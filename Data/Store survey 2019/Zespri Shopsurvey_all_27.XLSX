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727"/>
  <workbookPr defaultThemeVersion="124226"/>
  <mc:AlternateContent xmlns:mc="http://schemas.openxmlformats.org/markup-compatibility/2006">
    <mc:Choice Requires="x15">
      <x15ac:absPath xmlns:x15ac="http://schemas.microsoft.com/office/spreadsheetml/2010/11/ac" url="\\192.168.11.200\000_全国共有\2-Zespri\品質調査\2019\27週\"/>
    </mc:Choice>
  </mc:AlternateContent>
  <xr:revisionPtr revIDLastSave="0" documentId="13_ncr:1_{4AD4B2E2-FDDD-439E-A44E-E699789AE0B5}" xr6:coauthVersionLast="43" xr6:coauthVersionMax="43"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0" r:id="rId4"/>
    <sheet name="hiroshima" sheetId="21" r:id="rId5"/>
    <sheet name="fukuoka" sheetId="22" r:id="rId6"/>
    <sheet name="tokyo-east(ota)" sheetId="23" r:id="rId7"/>
    <sheet name="tokyo-west(kato)" sheetId="24" r:id="rId8"/>
  </sheets>
  <definedNames>
    <definedName name="_xlnm._FilterDatabase" localSheetId="5" hidden="1">fukuoka!$A$1:$BA$145</definedName>
    <definedName name="_xlnm._FilterDatabase" localSheetId="4" hidden="1">hiroshima!$A$1:$BA$1</definedName>
    <definedName name="_xlnm._FilterDatabase" localSheetId="1" hidden="1">miyagi!$A$1:$BA$399</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'tokyo-west(kato)'!$A$1:$BA$82</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T130" i="24" l="1"/>
  <c r="V130" i="24" s="1"/>
  <c r="Q130" i="24"/>
  <c r="T129" i="24"/>
  <c r="V129" i="24" s="1"/>
  <c r="Q129" i="24"/>
  <c r="V128" i="24"/>
  <c r="T128" i="24"/>
  <c r="Q128" i="24"/>
  <c r="T127" i="24"/>
  <c r="V127" i="24" s="1"/>
  <c r="Q127" i="24"/>
  <c r="T126" i="24"/>
  <c r="V126" i="24" s="1"/>
  <c r="Q126" i="24"/>
  <c r="T125" i="24"/>
  <c r="V125" i="24" s="1"/>
  <c r="Q125" i="24"/>
  <c r="V124" i="24"/>
  <c r="T124" i="24"/>
  <c r="Q124" i="24"/>
  <c r="T123" i="24"/>
  <c r="V123" i="24" s="1"/>
  <c r="Q123" i="24"/>
  <c r="T122" i="24"/>
  <c r="V122" i="24" s="1"/>
  <c r="Q122" i="24"/>
  <c r="T121" i="24"/>
  <c r="V121" i="24" s="1"/>
  <c r="Q121" i="24"/>
  <c r="V120" i="24"/>
  <c r="T120" i="24"/>
  <c r="Q120" i="24"/>
  <c r="T119" i="24"/>
  <c r="V119" i="24" s="1"/>
  <c r="Q119" i="24"/>
  <c r="T118" i="24"/>
  <c r="V118" i="24" s="1"/>
  <c r="Q118" i="24"/>
  <c r="T117" i="24"/>
  <c r="V117" i="24" s="1"/>
  <c r="Q117" i="24"/>
  <c r="V116" i="24"/>
  <c r="T116" i="24"/>
  <c r="Q116" i="24"/>
  <c r="T115" i="24"/>
  <c r="V115" i="24" s="1"/>
  <c r="Q115" i="24"/>
  <c r="T114" i="24"/>
  <c r="V114" i="24" s="1"/>
  <c r="Q114" i="24"/>
  <c r="T113" i="24"/>
  <c r="V113" i="24" s="1"/>
  <c r="Q113" i="24"/>
  <c r="V112" i="24"/>
  <c r="T112" i="24"/>
  <c r="Q112" i="24"/>
  <c r="T111" i="24"/>
  <c r="V111" i="24" s="1"/>
  <c r="Q111" i="24"/>
  <c r="T110" i="24"/>
  <c r="V110" i="24" s="1"/>
  <c r="Q110" i="24"/>
  <c r="T109" i="24"/>
  <c r="V109" i="24" s="1"/>
  <c r="Q109" i="24"/>
  <c r="V108" i="24"/>
  <c r="T108" i="24"/>
  <c r="Q108" i="24"/>
  <c r="T107" i="24"/>
  <c r="V107" i="24" s="1"/>
  <c r="Q107" i="24"/>
  <c r="T106" i="24"/>
  <c r="V106" i="24" s="1"/>
  <c r="Q106" i="24"/>
  <c r="T105" i="24"/>
  <c r="V105" i="24" s="1"/>
  <c r="Q105" i="24"/>
  <c r="V104" i="24"/>
  <c r="T104" i="24"/>
  <c r="Q104" i="24"/>
  <c r="T103" i="24"/>
  <c r="V103" i="24" s="1"/>
  <c r="Q103" i="24"/>
  <c r="T102" i="24"/>
  <c r="V102" i="24" s="1"/>
  <c r="Q102" i="24"/>
  <c r="T101" i="24"/>
  <c r="V101" i="24" s="1"/>
  <c r="Q101" i="24"/>
  <c r="V100" i="24"/>
  <c r="T100" i="24"/>
  <c r="Q100" i="24"/>
  <c r="T99" i="24"/>
  <c r="V99" i="24" s="1"/>
  <c r="Q99" i="24"/>
  <c r="T98" i="24"/>
  <c r="V98" i="24" s="1"/>
  <c r="Q98" i="24"/>
  <c r="T97" i="24"/>
  <c r="V97" i="24" s="1"/>
  <c r="Q97" i="24"/>
  <c r="V96" i="24"/>
  <c r="T96" i="24"/>
  <c r="Q96" i="24"/>
  <c r="T95" i="24"/>
  <c r="V95" i="24" s="1"/>
  <c r="Q95" i="24"/>
  <c r="T94" i="24"/>
  <c r="V94" i="24" s="1"/>
  <c r="Q94" i="24"/>
  <c r="T93" i="24"/>
  <c r="V93" i="24" s="1"/>
  <c r="Q93" i="24"/>
  <c r="V92" i="24"/>
  <c r="T92" i="24"/>
  <c r="Q92" i="24"/>
  <c r="T91" i="24"/>
  <c r="V91" i="24" s="1"/>
  <c r="Q91" i="24"/>
  <c r="T90" i="24"/>
  <c r="V90" i="24" s="1"/>
  <c r="Q90" i="24"/>
  <c r="T89" i="24"/>
  <c r="V89" i="24" s="1"/>
  <c r="Q89" i="24"/>
  <c r="V88" i="24"/>
  <c r="T88" i="24"/>
  <c r="Q88" i="24"/>
  <c r="T87" i="24"/>
  <c r="V87" i="24" s="1"/>
  <c r="Q87" i="24"/>
  <c r="T86" i="24"/>
  <c r="V86" i="24" s="1"/>
  <c r="Q86" i="24"/>
  <c r="T85" i="24"/>
  <c r="V85" i="24" s="1"/>
  <c r="Q85" i="24"/>
  <c r="V84" i="24"/>
  <c r="T84" i="24"/>
  <c r="Q84" i="24"/>
  <c r="T83" i="24"/>
  <c r="V83" i="24" s="1"/>
  <c r="Q83" i="24"/>
  <c r="T82" i="24"/>
  <c r="V82" i="24" s="1"/>
  <c r="Q82" i="24"/>
  <c r="T81" i="24"/>
  <c r="V81" i="24" s="1"/>
  <c r="Q81" i="24"/>
  <c r="V80" i="24"/>
  <c r="T80" i="24"/>
  <c r="Q80" i="24"/>
  <c r="T79" i="24"/>
  <c r="V79" i="24" s="1"/>
  <c r="Q79" i="24"/>
  <c r="T78" i="24"/>
  <c r="V78" i="24" s="1"/>
  <c r="Q78" i="24"/>
  <c r="T77" i="24"/>
  <c r="V77" i="24" s="1"/>
  <c r="Q77" i="24"/>
  <c r="V76" i="24"/>
  <c r="T76" i="24"/>
  <c r="Q76" i="24"/>
  <c r="T75" i="24"/>
  <c r="V75" i="24" s="1"/>
  <c r="Q75" i="24"/>
  <c r="T74" i="24"/>
  <c r="V74" i="24" s="1"/>
  <c r="Q74" i="24"/>
  <c r="T73" i="24"/>
  <c r="V73" i="24" s="1"/>
  <c r="Q73" i="24"/>
  <c r="V72" i="24"/>
  <c r="T72" i="24"/>
  <c r="Q72" i="24"/>
  <c r="T71" i="24"/>
  <c r="V71" i="24" s="1"/>
  <c r="Q71" i="24"/>
  <c r="T70" i="24"/>
  <c r="V70" i="24" s="1"/>
  <c r="Q70" i="24"/>
  <c r="T69" i="24"/>
  <c r="V69" i="24" s="1"/>
  <c r="Q69" i="24"/>
  <c r="V68" i="24"/>
  <c r="T68" i="24"/>
  <c r="Q68" i="24"/>
  <c r="T67" i="24"/>
  <c r="V67" i="24" s="1"/>
  <c r="Q67" i="24"/>
  <c r="T66" i="24"/>
  <c r="V66" i="24" s="1"/>
  <c r="Q66" i="24"/>
  <c r="T65" i="24"/>
  <c r="V65" i="24" s="1"/>
  <c r="Q65" i="24"/>
  <c r="V64" i="24"/>
  <c r="T64" i="24"/>
  <c r="Q64" i="24"/>
  <c r="T63" i="24"/>
  <c r="V63" i="24" s="1"/>
  <c r="Q63" i="24"/>
  <c r="T62" i="24"/>
  <c r="V62" i="24" s="1"/>
  <c r="Q62" i="24"/>
  <c r="T61" i="24"/>
  <c r="V61" i="24" s="1"/>
  <c r="Q61" i="24"/>
  <c r="V60" i="24"/>
  <c r="T60" i="24"/>
  <c r="Q60" i="24"/>
  <c r="T59" i="24"/>
  <c r="V59" i="24" s="1"/>
  <c r="Q59" i="24"/>
  <c r="T58" i="24"/>
  <c r="V58" i="24" s="1"/>
  <c r="Q58" i="24"/>
  <c r="T57" i="24"/>
  <c r="V57" i="24" s="1"/>
  <c r="Q57" i="24"/>
  <c r="V56" i="24"/>
  <c r="T56" i="24"/>
  <c r="Q56" i="24"/>
  <c r="T55" i="24"/>
  <c r="V55" i="24" s="1"/>
  <c r="Q55" i="24"/>
  <c r="T54" i="24"/>
  <c r="V54" i="24" s="1"/>
  <c r="Q54" i="24"/>
  <c r="T53" i="24"/>
  <c r="V53" i="24" s="1"/>
  <c r="Q53" i="24"/>
  <c r="V52" i="24"/>
  <c r="T52" i="24"/>
  <c r="Q52" i="24"/>
  <c r="T51" i="24"/>
  <c r="V51" i="24" s="1"/>
  <c r="Q51" i="24"/>
  <c r="T50" i="24"/>
  <c r="V50" i="24" s="1"/>
  <c r="Q50" i="24"/>
  <c r="T49" i="24"/>
  <c r="V49" i="24" s="1"/>
  <c r="Q49" i="24"/>
  <c r="V48" i="24"/>
  <c r="T48" i="24"/>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91" i="23" l="1"/>
  <c r="V91" i="23" s="1"/>
  <c r="Q91" i="23"/>
  <c r="T90" i="23"/>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61" i="23"/>
  <c r="V61" i="23" s="1"/>
  <c r="Q61" i="23"/>
  <c r="T60" i="23"/>
  <c r="V60" i="23" s="1"/>
  <c r="Q60" i="23"/>
  <c r="T59" i="23"/>
  <c r="V59" i="23" s="1"/>
  <c r="Q59" i="23"/>
  <c r="T58" i="23"/>
  <c r="V58" i="23" s="1"/>
  <c r="Q58" i="23"/>
  <c r="T57" i="23"/>
  <c r="V57" i="23" s="1"/>
  <c r="Q57" i="23"/>
  <c r="T56" i="23"/>
  <c r="V56" i="23" s="1"/>
  <c r="Q56" i="23"/>
  <c r="T55" i="23"/>
  <c r="V55" i="23" s="1"/>
  <c r="Q55" i="23"/>
  <c r="T54" i="23"/>
  <c r="V54" i="23" s="1"/>
  <c r="Q54" i="23"/>
  <c r="T53" i="23"/>
  <c r="V53" i="23" s="1"/>
  <c r="Q53" i="23"/>
  <c r="T52" i="23"/>
  <c r="V52" i="23" s="1"/>
  <c r="Q52" i="23"/>
  <c r="T51" i="23"/>
  <c r="V51" i="23" s="1"/>
  <c r="Q51" i="23"/>
  <c r="T50" i="23"/>
  <c r="V50" i="23" s="1"/>
  <c r="Q50" i="23"/>
  <c r="T49" i="23"/>
  <c r="V49" i="23" s="1"/>
  <c r="Q49" i="23"/>
  <c r="T48" i="23"/>
  <c r="V48" i="23" s="1"/>
  <c r="Q48" i="23"/>
  <c r="T47" i="23"/>
  <c r="V47" i="23" s="1"/>
  <c r="Q47" i="23"/>
  <c r="T46" i="23"/>
  <c r="V46" i="23" s="1"/>
  <c r="Q46" i="23"/>
  <c r="T45" i="23"/>
  <c r="V45" i="23" s="1"/>
  <c r="Q45" i="23"/>
  <c r="T44" i="23"/>
  <c r="V44" i="23" s="1"/>
  <c r="Q44"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V145" i="22" l="1"/>
  <c r="T145" i="22"/>
  <c r="Q145" i="22"/>
  <c r="V144" i="22"/>
  <c r="T144" i="22"/>
  <c r="Q144" i="22"/>
  <c r="V143" i="22"/>
  <c r="T143" i="22"/>
  <c r="Q143" i="22"/>
  <c r="V142" i="22"/>
  <c r="T142" i="22"/>
  <c r="Q142" i="22"/>
  <c r="V141" i="22"/>
  <c r="T141" i="22"/>
  <c r="Q141" i="22"/>
  <c r="V140" i="22"/>
  <c r="T140" i="22"/>
  <c r="Q140" i="22"/>
  <c r="V139" i="22"/>
  <c r="T139" i="22"/>
  <c r="Q139" i="22"/>
  <c r="V138" i="22"/>
  <c r="T138" i="22"/>
  <c r="Q138" i="22"/>
  <c r="V137" i="22"/>
  <c r="T137" i="22"/>
  <c r="Q137" i="22"/>
  <c r="V136" i="22"/>
  <c r="T136" i="22"/>
  <c r="Q136" i="22"/>
  <c r="V135" i="22"/>
  <c r="T135" i="22"/>
  <c r="Q135" i="22"/>
  <c r="V134" i="22"/>
  <c r="T134" i="22"/>
  <c r="Q134" i="22"/>
  <c r="V133" i="22"/>
  <c r="T133" i="22"/>
  <c r="Q133" i="22"/>
  <c r="V132" i="22"/>
  <c r="T132" i="22"/>
  <c r="Q132" i="22"/>
  <c r="V131" i="22"/>
  <c r="T131" i="22"/>
  <c r="Q131" i="22"/>
  <c r="V130" i="22"/>
  <c r="T130" i="22"/>
  <c r="Q130" i="22"/>
  <c r="V129" i="22"/>
  <c r="T129" i="22"/>
  <c r="Q129" i="22"/>
  <c r="V128" i="22"/>
  <c r="T128" i="22"/>
  <c r="Q128" i="22"/>
  <c r="V127" i="22"/>
  <c r="T127" i="22"/>
  <c r="Q127" i="22"/>
  <c r="V126" i="22"/>
  <c r="T126" i="22"/>
  <c r="Q126" i="22"/>
  <c r="V125" i="22"/>
  <c r="T125" i="22"/>
  <c r="Q125" i="22"/>
  <c r="V124" i="22"/>
  <c r="T124" i="22"/>
  <c r="Q124" i="22"/>
  <c r="V123" i="22"/>
  <c r="T123" i="22"/>
  <c r="Q123" i="22"/>
  <c r="V122" i="22"/>
  <c r="T122" i="22"/>
  <c r="Q122" i="22"/>
  <c r="V121" i="22"/>
  <c r="T121" i="22"/>
  <c r="Q121" i="22"/>
  <c r="V120" i="22"/>
  <c r="T120" i="22"/>
  <c r="Q120" i="22"/>
  <c r="V119" i="22"/>
  <c r="T119" i="22"/>
  <c r="Q119" i="22"/>
  <c r="V118" i="22"/>
  <c r="T118" i="22"/>
  <c r="Q118" i="22"/>
  <c r="V117" i="22"/>
  <c r="T117" i="22"/>
  <c r="Q117" i="22"/>
  <c r="V116" i="22"/>
  <c r="T116" i="22"/>
  <c r="Q116" i="22"/>
  <c r="V115" i="22"/>
  <c r="T115" i="22"/>
  <c r="Q115" i="22"/>
  <c r="V114" i="22"/>
  <c r="T114" i="22"/>
  <c r="Q114" i="22"/>
  <c r="V113" i="22"/>
  <c r="T113" i="22"/>
  <c r="Q113" i="22"/>
  <c r="V112" i="22"/>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V100" i="22"/>
  <c r="T100" i="22"/>
  <c r="Q100" i="22"/>
  <c r="V99" i="22"/>
  <c r="T99" i="22"/>
  <c r="Q99" i="22"/>
  <c r="V98" i="22"/>
  <c r="T98" i="22"/>
  <c r="Q98" i="22"/>
  <c r="V97" i="22"/>
  <c r="T97" i="22"/>
  <c r="Q97" i="22"/>
  <c r="V96" i="22"/>
  <c r="T96" i="22"/>
  <c r="Q96" i="22"/>
  <c r="V95" i="22"/>
  <c r="T95" i="22"/>
  <c r="Q95" i="22"/>
  <c r="V94" i="22"/>
  <c r="T94" i="22"/>
  <c r="Q94" i="22"/>
  <c r="V70" i="22"/>
  <c r="T70" i="22"/>
  <c r="Q70" i="22"/>
  <c r="V69" i="22"/>
  <c r="T69" i="22"/>
  <c r="Q69" i="22"/>
  <c r="V68" i="22"/>
  <c r="T68" i="22"/>
  <c r="Q68" i="22"/>
  <c r="V67" i="22"/>
  <c r="T67" i="22"/>
  <c r="Q67" i="22"/>
  <c r="V66" i="22"/>
  <c r="T66" i="22"/>
  <c r="Q66" i="22"/>
  <c r="V65" i="22"/>
  <c r="T65" i="22"/>
  <c r="Q65" i="22"/>
  <c r="V64" i="22"/>
  <c r="T64" i="22"/>
  <c r="Q64" i="22"/>
  <c r="V63" i="22"/>
  <c r="T63" i="22"/>
  <c r="Q63" i="22"/>
  <c r="V62" i="22"/>
  <c r="T62" i="22"/>
  <c r="Q62" i="22"/>
  <c r="V61" i="22"/>
  <c r="T61" i="22"/>
  <c r="Q61" i="22"/>
  <c r="V60" i="22"/>
  <c r="T60" i="22"/>
  <c r="Q60" i="22"/>
  <c r="V59" i="22"/>
  <c r="T59" i="22"/>
  <c r="Q59" i="22"/>
  <c r="V58" i="22"/>
  <c r="T58" i="22"/>
  <c r="Q58" i="22"/>
  <c r="V57" i="22"/>
  <c r="T57" i="22"/>
  <c r="Q57" i="22"/>
  <c r="V56" i="22"/>
  <c r="T56" i="22"/>
  <c r="Q56" i="22"/>
  <c r="V55" i="22"/>
  <c r="T55" i="22"/>
  <c r="Q55" i="22"/>
  <c r="V54" i="22"/>
  <c r="T54" i="22"/>
  <c r="Q54" i="22"/>
  <c r="V53" i="22"/>
  <c r="T53" i="22"/>
  <c r="Q53" i="22"/>
  <c r="V52" i="22"/>
  <c r="T52" i="22"/>
  <c r="Q52" i="22"/>
  <c r="V51" i="22"/>
  <c r="T51" i="22"/>
  <c r="Q51" i="22"/>
  <c r="V50" i="22"/>
  <c r="T50" i="22"/>
  <c r="Q50" i="22"/>
  <c r="V49" i="22"/>
  <c r="T49" i="22"/>
  <c r="Q49" i="22"/>
  <c r="V48" i="22"/>
  <c r="T48" i="22"/>
  <c r="Q48" i="22"/>
  <c r="V47" i="22"/>
  <c r="T47" i="22"/>
  <c r="Q47" i="22"/>
  <c r="V46" i="22"/>
  <c r="T46" i="22"/>
  <c r="Q46" i="22"/>
  <c r="V45" i="22"/>
  <c r="T45" i="22"/>
  <c r="Q45" i="22"/>
  <c r="V44" i="22"/>
  <c r="T44" i="22"/>
  <c r="Q44"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85" i="21" l="1"/>
  <c r="V85" i="21" s="1"/>
  <c r="Q85" i="21"/>
  <c r="T84" i="21"/>
  <c r="V84" i="21" s="1"/>
  <c r="Q84" i="21"/>
  <c r="T83" i="21"/>
  <c r="V83" i="21" s="1"/>
  <c r="Q83" i="21"/>
  <c r="T79" i="21"/>
  <c r="V79" i="21" s="1"/>
  <c r="Q79" i="21"/>
  <c r="T78" i="21"/>
  <c r="V78" i="21" s="1"/>
  <c r="Q78" i="21"/>
  <c r="T77" i="21"/>
  <c r="V77" i="21" s="1"/>
  <c r="Q77" i="21"/>
  <c r="T76" i="21"/>
  <c r="V76" i="21" s="1"/>
  <c r="Q76" i="21"/>
  <c r="T75" i="21"/>
  <c r="V75" i="21" s="1"/>
  <c r="Q75" i="21"/>
  <c r="T74" i="21"/>
  <c r="V74" i="21" s="1"/>
  <c r="Q74" i="21"/>
  <c r="T73" i="21"/>
  <c r="V73" i="21" s="1"/>
  <c r="Q73" i="21"/>
  <c r="T72" i="21"/>
  <c r="V72" i="21" s="1"/>
  <c r="Q72" i="21"/>
  <c r="T71" i="21"/>
  <c r="V71" i="21" s="1"/>
  <c r="Q71" i="21"/>
  <c r="T70" i="21"/>
  <c r="V70" i="21" s="1"/>
  <c r="Q70" i="21"/>
  <c r="T69" i="21"/>
  <c r="V69" i="21" s="1"/>
  <c r="Q69" i="21"/>
  <c r="T68" i="21"/>
  <c r="V68" i="21" s="1"/>
  <c r="Q68" i="21"/>
  <c r="T67" i="21"/>
  <c r="V67" i="21" s="1"/>
  <c r="Q67" i="21"/>
  <c r="T66" i="21"/>
  <c r="V66" i="21" s="1"/>
  <c r="Q66" i="21"/>
  <c r="T65" i="21"/>
  <c r="V65" i="21" s="1"/>
  <c r="Q65" i="21"/>
  <c r="T64" i="21"/>
  <c r="V64" i="21" s="1"/>
  <c r="Q64" i="21"/>
  <c r="T63" i="21"/>
  <c r="V63" i="21" s="1"/>
  <c r="Q63" i="21"/>
  <c r="T62" i="21"/>
  <c r="V62" i="21" s="1"/>
  <c r="Q62" i="21"/>
  <c r="T61" i="21"/>
  <c r="V61" i="21" s="1"/>
  <c r="Q61" i="21"/>
  <c r="T60" i="21"/>
  <c r="V60" i="21" s="1"/>
  <c r="Q60" i="21"/>
  <c r="T59" i="21"/>
  <c r="V59" i="21" s="1"/>
  <c r="Q59" i="21"/>
  <c r="T58" i="21"/>
  <c r="V58" i="21" s="1"/>
  <c r="Q58" i="21"/>
  <c r="T57" i="21"/>
  <c r="V57" i="21" s="1"/>
  <c r="Q57" i="21"/>
  <c r="T56" i="21"/>
  <c r="V56" i="21" s="1"/>
  <c r="Q56" i="21"/>
  <c r="T55" i="21"/>
  <c r="V55" i="21" s="1"/>
  <c r="Q55" i="21"/>
  <c r="T54" i="21"/>
  <c r="V54" i="21" s="1"/>
  <c r="Q54" i="21"/>
  <c r="T53" i="21"/>
  <c r="V53" i="21" s="1"/>
  <c r="Q53" i="21"/>
  <c r="T52" i="21"/>
  <c r="V52" i="21" s="1"/>
  <c r="Q52" i="21"/>
  <c r="T51" i="21"/>
  <c r="V51" i="21" s="1"/>
  <c r="Q51" i="21"/>
  <c r="T50" i="21"/>
  <c r="V50" i="21" s="1"/>
  <c r="Q50" i="21"/>
  <c r="T49" i="21"/>
  <c r="V49" i="21" s="1"/>
  <c r="Q49" i="21"/>
  <c r="T48" i="21"/>
  <c r="V48" i="21" s="1"/>
  <c r="Q48" i="21"/>
  <c r="T47" i="21"/>
  <c r="V47" i="21" s="1"/>
  <c r="Q47" i="21"/>
  <c r="T46" i="21"/>
  <c r="V46" i="21" s="1"/>
  <c r="Q46" i="21"/>
  <c r="T45" i="21"/>
  <c r="V45" i="21" s="1"/>
  <c r="Q45" i="21"/>
  <c r="T44" i="21"/>
  <c r="V44" i="21" s="1"/>
  <c r="Q44"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61" i="19"/>
  <c r="V61" i="19" s="1"/>
  <c r="Q61" i="19"/>
  <c r="T60" i="19"/>
  <c r="V60" i="19" s="1"/>
  <c r="Q60" i="19"/>
  <c r="T59" i="19"/>
  <c r="V59" i="19" s="1"/>
  <c r="Q59" i="19"/>
  <c r="T58" i="19"/>
  <c r="V58" i="19" s="1"/>
  <c r="Q58" i="19"/>
  <c r="T57" i="19"/>
  <c r="V57" i="19" s="1"/>
  <c r="Q57" i="19"/>
  <c r="T56" i="19"/>
  <c r="V56" i="19" s="1"/>
  <c r="Q56" i="19"/>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399" i="18" l="1"/>
  <c r="T398" i="18"/>
  <c r="T397" i="18"/>
  <c r="T396" i="18"/>
  <c r="T395" i="18"/>
  <c r="T394" i="18"/>
  <c r="T393" i="18"/>
  <c r="T392" i="18"/>
  <c r="T391" i="18"/>
  <c r="T390" i="18"/>
  <c r="T389" i="18"/>
  <c r="T388" i="18"/>
  <c r="T387" i="18"/>
  <c r="T386" i="18"/>
  <c r="T385" i="18"/>
  <c r="T384" i="18"/>
  <c r="T383" i="18"/>
  <c r="T382" i="18"/>
  <c r="T381" i="18"/>
  <c r="T380" i="18"/>
  <c r="T379" i="18"/>
  <c r="V379" i="18" s="1"/>
  <c r="T378" i="18"/>
  <c r="V378" i="18" s="1"/>
  <c r="T377" i="18"/>
  <c r="V377" i="18" s="1"/>
  <c r="T376" i="18"/>
  <c r="V376" i="18" s="1"/>
  <c r="T375" i="18"/>
  <c r="V375" i="18" s="1"/>
  <c r="V374" i="18"/>
  <c r="T374" i="18"/>
  <c r="T373" i="18"/>
  <c r="V373" i="18" s="1"/>
  <c r="T372" i="18"/>
  <c r="V372" i="18" s="1"/>
  <c r="V371" i="18"/>
  <c r="T371" i="18"/>
  <c r="Q371" i="18"/>
  <c r="T370" i="18"/>
  <c r="V370" i="18" s="1"/>
  <c r="Q370" i="18"/>
  <c r="V369" i="18"/>
  <c r="T369" i="18"/>
  <c r="Q369" i="18"/>
  <c r="T368" i="18"/>
  <c r="V368" i="18" s="1"/>
  <c r="Q368" i="18"/>
  <c r="V367" i="18"/>
  <c r="T367" i="18"/>
  <c r="Q367" i="18"/>
  <c r="T366" i="18"/>
  <c r="V366" i="18" s="1"/>
  <c r="Q366" i="18"/>
  <c r="V365" i="18"/>
  <c r="T365" i="18"/>
  <c r="Q365" i="18"/>
  <c r="T364" i="18"/>
  <c r="V364" i="18" s="1"/>
  <c r="Q364" i="18"/>
  <c r="V363" i="18"/>
  <c r="T363" i="18"/>
  <c r="Q363" i="18"/>
  <c r="T362" i="18"/>
  <c r="V362" i="18" s="1"/>
  <c r="Q362" i="18"/>
  <c r="V361" i="18"/>
  <c r="T361" i="18"/>
  <c r="Q361" i="18"/>
  <c r="T360" i="18"/>
  <c r="V360" i="18" s="1"/>
  <c r="Q360" i="18"/>
  <c r="V359" i="18"/>
  <c r="T359" i="18"/>
  <c r="Q359" i="18"/>
  <c r="T358" i="18"/>
  <c r="V358" i="18" s="1"/>
  <c r="Q358" i="18"/>
  <c r="V357" i="18"/>
  <c r="T357" i="18"/>
  <c r="Q357" i="18"/>
  <c r="T356" i="18"/>
  <c r="V356" i="18" s="1"/>
  <c r="Q356" i="18"/>
  <c r="V355" i="18"/>
  <c r="T355" i="18"/>
  <c r="Q355" i="18"/>
  <c r="T354" i="18"/>
  <c r="V354" i="18" s="1"/>
  <c r="Q354" i="18"/>
  <c r="V353" i="18"/>
  <c r="T353" i="18"/>
  <c r="Q353" i="18"/>
  <c r="T352" i="18"/>
  <c r="V352" i="18" s="1"/>
  <c r="Q352" i="18"/>
  <c r="V351" i="18"/>
  <c r="T351" i="18"/>
  <c r="Q351" i="18"/>
  <c r="T350" i="18"/>
  <c r="V350" i="18" s="1"/>
  <c r="Q350" i="18"/>
  <c r="V349" i="18"/>
  <c r="T349" i="18"/>
  <c r="Q349" i="18"/>
  <c r="T348" i="18"/>
  <c r="V348" i="18" s="1"/>
  <c r="Q348" i="18"/>
  <c r="V347" i="18"/>
  <c r="T347" i="18"/>
  <c r="Q347" i="18"/>
  <c r="V346" i="18"/>
  <c r="T346" i="18"/>
  <c r="Q346" i="18"/>
  <c r="V345" i="18"/>
  <c r="T345" i="18"/>
  <c r="Q345" i="18"/>
  <c r="T344" i="18"/>
  <c r="V344" i="18" s="1"/>
  <c r="Q344" i="18"/>
  <c r="V343" i="18"/>
  <c r="T343" i="18"/>
  <c r="Q343" i="18"/>
  <c r="V342" i="18"/>
  <c r="T342" i="18"/>
  <c r="Q342" i="18"/>
  <c r="V341" i="18"/>
  <c r="T341" i="18"/>
  <c r="Q341" i="18"/>
  <c r="T340" i="18"/>
  <c r="V340" i="18" s="1"/>
  <c r="Q340" i="18"/>
  <c r="V339" i="18"/>
  <c r="T339" i="18"/>
  <c r="Q339" i="18"/>
  <c r="V338" i="18"/>
  <c r="T338" i="18"/>
  <c r="Q338" i="18"/>
  <c r="V337" i="18"/>
  <c r="T337" i="18"/>
  <c r="Q337" i="18"/>
  <c r="T336" i="18"/>
  <c r="V336" i="18" s="1"/>
  <c r="Q336" i="18"/>
  <c r="V335" i="18"/>
  <c r="T335" i="18"/>
  <c r="Q335" i="18"/>
  <c r="V334" i="18"/>
  <c r="T334" i="18"/>
  <c r="Q334" i="18"/>
  <c r="V333" i="18"/>
  <c r="T333" i="18"/>
  <c r="Q333" i="18"/>
  <c r="T332" i="18"/>
  <c r="V332" i="18" s="1"/>
  <c r="Q332" i="18"/>
  <c r="V331" i="18"/>
  <c r="T331" i="18"/>
  <c r="Q331" i="18"/>
  <c r="V330" i="18"/>
  <c r="T330" i="18"/>
  <c r="Q330" i="18"/>
  <c r="V329" i="18"/>
  <c r="T329" i="18"/>
  <c r="Q329" i="18"/>
  <c r="T328" i="18"/>
  <c r="V328" i="18" s="1"/>
  <c r="Q328" i="18"/>
  <c r="V327" i="18"/>
  <c r="T327" i="18"/>
  <c r="Q327" i="18"/>
  <c r="V326" i="18"/>
  <c r="T326" i="18"/>
  <c r="Q326" i="18"/>
  <c r="V325" i="18"/>
  <c r="T325" i="18"/>
  <c r="Q325" i="18"/>
  <c r="T324" i="18"/>
  <c r="V324" i="18" s="1"/>
  <c r="Q324" i="18"/>
  <c r="V323" i="18"/>
  <c r="T323" i="18"/>
  <c r="Q323" i="18"/>
  <c r="V322" i="18"/>
  <c r="T322" i="18"/>
  <c r="Q322" i="18"/>
  <c r="V321" i="18"/>
  <c r="T321" i="18"/>
  <c r="Q321" i="18"/>
  <c r="T320" i="18"/>
  <c r="V320" i="18" s="1"/>
  <c r="Q320" i="18"/>
  <c r="V319" i="18"/>
  <c r="T319" i="18"/>
  <c r="Q319" i="18"/>
  <c r="V318" i="18"/>
  <c r="T318" i="18"/>
  <c r="Q318" i="18"/>
  <c r="V317" i="18"/>
  <c r="T317" i="18"/>
  <c r="Q317" i="18"/>
  <c r="T316" i="18"/>
  <c r="V316" i="18" s="1"/>
  <c r="Q316" i="18"/>
  <c r="V315" i="18"/>
  <c r="T315" i="18"/>
  <c r="Q315" i="18"/>
  <c r="V314" i="18"/>
  <c r="T314" i="18"/>
  <c r="Q314" i="18"/>
  <c r="V313" i="18"/>
  <c r="T313" i="18"/>
  <c r="Q313" i="18"/>
  <c r="T312" i="18"/>
  <c r="V312" i="18" s="1"/>
  <c r="Q312" i="18"/>
  <c r="T311" i="18"/>
  <c r="V311" i="18" s="1"/>
  <c r="Q311" i="18"/>
  <c r="V310" i="18"/>
  <c r="T310" i="18"/>
  <c r="Q310" i="18"/>
  <c r="V309" i="18"/>
  <c r="T309" i="18"/>
  <c r="Q309" i="18"/>
  <c r="T308" i="18"/>
  <c r="V308" i="18" s="1"/>
  <c r="Q308" i="18"/>
  <c r="T307" i="18"/>
  <c r="V307" i="18" s="1"/>
  <c r="Q307" i="18"/>
  <c r="T306" i="18"/>
  <c r="V306" i="18" s="1"/>
  <c r="Q306" i="18"/>
  <c r="V305" i="18"/>
  <c r="T305" i="18"/>
  <c r="Q305" i="18"/>
  <c r="T304" i="18"/>
  <c r="V304" i="18" s="1"/>
  <c r="Q304" i="18"/>
  <c r="T303" i="18"/>
  <c r="V303" i="18" s="1"/>
  <c r="Q303" i="18"/>
  <c r="T302" i="18"/>
  <c r="V302" i="18" s="1"/>
  <c r="Q302" i="18"/>
  <c r="V301" i="18"/>
  <c r="T301" i="18"/>
  <c r="Q301" i="18"/>
  <c r="T300" i="18"/>
  <c r="V300" i="18" s="1"/>
  <c r="Q300" i="18"/>
  <c r="T299" i="18"/>
  <c r="V299" i="18" s="1"/>
  <c r="Q299" i="18"/>
  <c r="T298" i="18"/>
  <c r="V298" i="18" s="1"/>
  <c r="Q298" i="18"/>
  <c r="V297" i="18"/>
  <c r="T297" i="18"/>
  <c r="Q297" i="18"/>
  <c r="T296" i="18"/>
  <c r="V296" i="18" s="1"/>
  <c r="Q296" i="18"/>
  <c r="T295" i="18"/>
  <c r="V295" i="18" s="1"/>
  <c r="Q295" i="18"/>
  <c r="T294" i="18"/>
  <c r="V294" i="18" s="1"/>
  <c r="Q294" i="18"/>
  <c r="V293" i="18"/>
  <c r="T293" i="18"/>
  <c r="Q293" i="18"/>
  <c r="T292" i="18"/>
  <c r="V292" i="18" s="1"/>
  <c r="Q292" i="18"/>
  <c r="T291" i="18"/>
  <c r="V291" i="18" s="1"/>
  <c r="Q291" i="18"/>
  <c r="T290" i="18"/>
  <c r="V290" i="18" s="1"/>
  <c r="Q290" i="18"/>
  <c r="V289" i="18"/>
  <c r="T289" i="18"/>
  <c r="Q289" i="18"/>
  <c r="T288" i="18"/>
  <c r="V288" i="18" s="1"/>
  <c r="Q288" i="18"/>
  <c r="T287" i="18"/>
  <c r="V287" i="18" s="1"/>
  <c r="Q287" i="18"/>
  <c r="T286" i="18"/>
  <c r="V286" i="18" s="1"/>
  <c r="Q286" i="18"/>
  <c r="V285" i="18"/>
  <c r="T285" i="18"/>
  <c r="Q285" i="18"/>
  <c r="T284" i="18"/>
  <c r="V284" i="18" s="1"/>
  <c r="Q284" i="18"/>
  <c r="T283" i="18"/>
  <c r="V283" i="18" s="1"/>
  <c r="Q283" i="18"/>
  <c r="T282" i="18"/>
  <c r="V282" i="18" s="1"/>
  <c r="Q282" i="18"/>
  <c r="V281" i="18"/>
  <c r="T281" i="18"/>
  <c r="Q281" i="18"/>
  <c r="T280" i="18"/>
  <c r="V280" i="18" s="1"/>
  <c r="Q280" i="18"/>
  <c r="T279" i="18"/>
  <c r="V279" i="18" s="1"/>
  <c r="Q279" i="18"/>
  <c r="T278" i="18"/>
  <c r="V278" i="18" s="1"/>
  <c r="Q278" i="18"/>
  <c r="V277" i="18"/>
  <c r="T277" i="18"/>
  <c r="Q277" i="18"/>
  <c r="T276" i="18"/>
  <c r="V276" i="18" s="1"/>
  <c r="Q276" i="18"/>
  <c r="T275" i="18"/>
  <c r="V275" i="18" s="1"/>
  <c r="Q275" i="18"/>
  <c r="T274" i="18"/>
  <c r="V274" i="18" s="1"/>
  <c r="Q274" i="18"/>
  <c r="V273" i="18"/>
  <c r="T273" i="18"/>
  <c r="Q273" i="18"/>
  <c r="T272" i="18"/>
  <c r="V272" i="18" s="1"/>
  <c r="Q272" i="18"/>
  <c r="T271" i="18"/>
  <c r="V271" i="18" s="1"/>
  <c r="Q271" i="18"/>
  <c r="T270" i="18"/>
  <c r="V270" i="18" s="1"/>
  <c r="Q270" i="18"/>
  <c r="V269" i="18"/>
  <c r="T269" i="18"/>
  <c r="Q269" i="18"/>
  <c r="T268" i="18"/>
  <c r="V268" i="18" s="1"/>
  <c r="Q268" i="18"/>
  <c r="T267" i="18"/>
  <c r="V267" i="18" s="1"/>
  <c r="Q267" i="18"/>
  <c r="T266" i="18"/>
  <c r="V266" i="18" s="1"/>
  <c r="Q266" i="18"/>
  <c r="V265" i="18"/>
  <c r="T265" i="18"/>
  <c r="Q265" i="18"/>
  <c r="T264" i="18"/>
  <c r="V264" i="18" s="1"/>
  <c r="Q264" i="18"/>
  <c r="T263" i="18"/>
  <c r="V263" i="18" s="1"/>
  <c r="Q263" i="18"/>
  <c r="T262" i="18"/>
  <c r="V262" i="18" s="1"/>
  <c r="Q262" i="18"/>
  <c r="V261" i="18"/>
  <c r="T261" i="18"/>
  <c r="Q261" i="18"/>
  <c r="T260" i="18"/>
  <c r="V260" i="18" s="1"/>
  <c r="Q260" i="18"/>
  <c r="T259" i="18"/>
  <c r="V259" i="18" s="1"/>
  <c r="Q259" i="18"/>
  <c r="T258" i="18"/>
  <c r="V258" i="18" s="1"/>
  <c r="Q258" i="18"/>
  <c r="V257" i="18"/>
  <c r="T257" i="18"/>
  <c r="Q257" i="18"/>
  <c r="T256" i="18"/>
  <c r="V256" i="18" s="1"/>
  <c r="Q256" i="18"/>
  <c r="T255" i="18"/>
  <c r="V255" i="18" s="1"/>
  <c r="Q255" i="18"/>
  <c r="T254" i="18"/>
  <c r="V254" i="18" s="1"/>
  <c r="Q254" i="18"/>
  <c r="V253" i="18"/>
  <c r="T253" i="18"/>
  <c r="Q253" i="18"/>
  <c r="T252" i="18"/>
  <c r="V252" i="18" s="1"/>
  <c r="Q252" i="18"/>
  <c r="T251" i="18"/>
  <c r="V251" i="18" s="1"/>
  <c r="Q251" i="18"/>
  <c r="T250" i="18"/>
  <c r="V250" i="18" s="1"/>
  <c r="Q250" i="18"/>
  <c r="V249" i="18"/>
  <c r="T249" i="18"/>
  <c r="Q249" i="18"/>
  <c r="T248" i="18"/>
  <c r="V248" i="18" s="1"/>
  <c r="Q248" i="18"/>
  <c r="T247" i="18"/>
  <c r="V247" i="18" s="1"/>
  <c r="Q247" i="18"/>
  <c r="T246" i="18"/>
  <c r="V246" i="18" s="1"/>
  <c r="Q246" i="18"/>
  <c r="V245" i="18"/>
  <c r="T245" i="18"/>
  <c r="Q245" i="18"/>
  <c r="T244" i="18"/>
  <c r="V244" i="18" s="1"/>
  <c r="Q244" i="18"/>
  <c r="T243" i="18"/>
  <c r="V243" i="18" s="1"/>
  <c r="Q243" i="18"/>
  <c r="T242" i="18"/>
  <c r="V242" i="18" s="1"/>
  <c r="Q242" i="18"/>
  <c r="V241" i="18"/>
  <c r="T241" i="18"/>
  <c r="Q241" i="18"/>
  <c r="T240" i="18"/>
  <c r="V240" i="18" s="1"/>
  <c r="Q240" i="18"/>
  <c r="T239" i="18"/>
  <c r="V239" i="18" s="1"/>
  <c r="Q239" i="18"/>
  <c r="T238" i="18"/>
  <c r="V238" i="18" s="1"/>
  <c r="Q238" i="18"/>
  <c r="V237" i="18"/>
  <c r="T237" i="18"/>
  <c r="Q237" i="18"/>
  <c r="T236" i="18"/>
  <c r="V236" i="18" s="1"/>
  <c r="Q236" i="18"/>
  <c r="T235" i="18"/>
  <c r="V235" i="18" s="1"/>
  <c r="Q235" i="18"/>
  <c r="T234" i="18"/>
  <c r="V234" i="18" s="1"/>
  <c r="Q234" i="18"/>
  <c r="V233" i="18"/>
  <c r="T233" i="18"/>
  <c r="Q233" i="18"/>
  <c r="T232" i="18"/>
  <c r="V232" i="18" s="1"/>
  <c r="Q232" i="18"/>
  <c r="T231" i="18"/>
  <c r="V231" i="18" s="1"/>
  <c r="Q231" i="18"/>
  <c r="T230" i="18"/>
  <c r="V230" i="18" s="1"/>
  <c r="Q230" i="18"/>
  <c r="V229" i="18"/>
  <c r="T229" i="18"/>
  <c r="Q229" i="18"/>
  <c r="T228" i="18"/>
  <c r="V228" i="18" s="1"/>
  <c r="Q228" i="18"/>
  <c r="T227" i="18"/>
  <c r="V227" i="18" s="1"/>
  <c r="Q227" i="18"/>
  <c r="T226" i="18"/>
  <c r="V226" i="18" s="1"/>
  <c r="Q226" i="18"/>
  <c r="V225" i="18"/>
  <c r="T225" i="18"/>
  <c r="Q225" i="18"/>
  <c r="T224" i="18"/>
  <c r="V224" i="18" s="1"/>
  <c r="Q224" i="18"/>
  <c r="T223" i="18"/>
  <c r="V223" i="18" s="1"/>
  <c r="Q223" i="18"/>
  <c r="T222" i="18"/>
  <c r="V222" i="18" s="1"/>
  <c r="Q222" i="18"/>
  <c r="V221" i="18"/>
  <c r="T221" i="18"/>
  <c r="Q221" i="18"/>
  <c r="T220" i="18"/>
  <c r="V220" i="18" s="1"/>
  <c r="Q220" i="18"/>
  <c r="T219" i="18"/>
  <c r="V219" i="18" s="1"/>
  <c r="Q219" i="18"/>
  <c r="T218" i="18"/>
  <c r="V218" i="18" s="1"/>
  <c r="Q218" i="18"/>
  <c r="V217" i="18"/>
  <c r="T217" i="18"/>
  <c r="Q217" i="18"/>
  <c r="T216" i="18"/>
  <c r="V216" i="18" s="1"/>
  <c r="Q216" i="18"/>
  <c r="T215" i="18"/>
  <c r="V215" i="18" s="1"/>
  <c r="Q215" i="18"/>
  <c r="T214" i="18"/>
  <c r="V214" i="18" s="1"/>
  <c r="Q214" i="18"/>
  <c r="V213" i="18"/>
  <c r="T213" i="18"/>
  <c r="Q213" i="18"/>
  <c r="T212" i="18"/>
  <c r="V212" i="18" s="1"/>
  <c r="Q212" i="18"/>
  <c r="T211" i="18"/>
  <c r="V211" i="18" s="1"/>
  <c r="Q211" i="18"/>
  <c r="T210" i="18"/>
  <c r="V210" i="18" s="1"/>
  <c r="Q210" i="18"/>
  <c r="V209" i="18"/>
  <c r="T209" i="18"/>
  <c r="Q209" i="18"/>
  <c r="T208" i="18"/>
  <c r="V208" i="18" s="1"/>
  <c r="Q208" i="18"/>
  <c r="T207" i="18"/>
  <c r="V207" i="18" s="1"/>
  <c r="Q207" i="18"/>
  <c r="T206" i="18"/>
  <c r="V206" i="18" s="1"/>
  <c r="Q206" i="18"/>
  <c r="T205" i="18"/>
  <c r="V205" i="18" s="1"/>
  <c r="Q205" i="18"/>
  <c r="T204" i="18"/>
  <c r="V204" i="18" s="1"/>
  <c r="Q204" i="18"/>
  <c r="T203" i="18"/>
  <c r="V203" i="18" s="1"/>
  <c r="Q203" i="18"/>
  <c r="T202" i="18"/>
  <c r="V202" i="18" s="1"/>
  <c r="Q202" i="18"/>
  <c r="V201" i="18"/>
  <c r="T201" i="18"/>
  <c r="Q201" i="18"/>
  <c r="T200" i="18"/>
  <c r="V200" i="18" s="1"/>
  <c r="Q200" i="18"/>
  <c r="T199" i="18"/>
  <c r="V199" i="18" s="1"/>
  <c r="Q199" i="18"/>
  <c r="T198" i="18"/>
  <c r="V198" i="18" s="1"/>
  <c r="Q198" i="18"/>
  <c r="V197" i="18"/>
  <c r="T197" i="18"/>
  <c r="Q197" i="18"/>
  <c r="T196" i="18"/>
  <c r="V196" i="18" s="1"/>
  <c r="Q196" i="18"/>
  <c r="T195" i="18"/>
  <c r="V195" i="18" s="1"/>
  <c r="Q195" i="18"/>
  <c r="T194" i="18"/>
  <c r="V194" i="18" s="1"/>
  <c r="Q194" i="18"/>
  <c r="V193" i="18"/>
  <c r="T193" i="18"/>
  <c r="Q193" i="18"/>
  <c r="T192" i="18"/>
  <c r="V192" i="18" s="1"/>
  <c r="Q192" i="18"/>
  <c r="T191" i="18"/>
  <c r="V191" i="18" s="1"/>
  <c r="Q191" i="18"/>
  <c r="T190" i="18"/>
  <c r="V190" i="18" s="1"/>
  <c r="Q190" i="18"/>
  <c r="T189" i="18"/>
  <c r="V189" i="18" s="1"/>
  <c r="Q189" i="18"/>
  <c r="T188" i="18"/>
  <c r="V188" i="18" s="1"/>
  <c r="Q188" i="18"/>
  <c r="T187" i="18"/>
  <c r="V187" i="18" s="1"/>
  <c r="Q187" i="18"/>
  <c r="T186" i="18"/>
  <c r="V186" i="18" s="1"/>
  <c r="Q186" i="18"/>
  <c r="V185" i="18"/>
  <c r="T185" i="18"/>
  <c r="Q185" i="18"/>
  <c r="T184" i="18"/>
  <c r="V184" i="18" s="1"/>
  <c r="Q184" i="18"/>
  <c r="T183" i="18"/>
  <c r="V183" i="18" s="1"/>
  <c r="Q183" i="18"/>
  <c r="T182" i="18"/>
  <c r="V182" i="18" s="1"/>
  <c r="Q182" i="18"/>
  <c r="V181" i="18"/>
  <c r="T181" i="18"/>
  <c r="Q181" i="18"/>
  <c r="T180" i="18"/>
  <c r="V180" i="18" s="1"/>
  <c r="Q180" i="18"/>
  <c r="T179" i="18"/>
  <c r="V179" i="18" s="1"/>
  <c r="Q179" i="18"/>
  <c r="T178" i="18"/>
  <c r="V178" i="18" s="1"/>
  <c r="Q178" i="18"/>
  <c r="V177" i="18"/>
  <c r="T177" i="18"/>
  <c r="Q177" i="18"/>
  <c r="T176" i="18"/>
  <c r="V176" i="18" s="1"/>
  <c r="Q176" i="18"/>
  <c r="T175" i="18"/>
  <c r="V175" i="18" s="1"/>
  <c r="Q175" i="18"/>
  <c r="T174" i="18"/>
  <c r="V174" i="18" s="1"/>
  <c r="Q174" i="18"/>
  <c r="T173" i="18"/>
  <c r="V173" i="18" s="1"/>
  <c r="Q173" i="18"/>
  <c r="T172" i="18"/>
  <c r="V172" i="18" s="1"/>
  <c r="Q172" i="18"/>
  <c r="T171" i="18"/>
  <c r="V171" i="18" s="1"/>
  <c r="Q171" i="18"/>
  <c r="T170" i="18"/>
  <c r="V170" i="18" s="1"/>
  <c r="Q170" i="18"/>
  <c r="V169" i="18"/>
  <c r="T169" i="18"/>
  <c r="Q169" i="18"/>
  <c r="T168" i="18"/>
  <c r="V168" i="18" s="1"/>
  <c r="Q168" i="18"/>
  <c r="T167" i="18"/>
  <c r="V167" i="18" s="1"/>
  <c r="Q167" i="18"/>
  <c r="T166" i="18"/>
  <c r="V166" i="18" s="1"/>
  <c r="Q166" i="18"/>
  <c r="V165" i="18"/>
  <c r="T165" i="18"/>
  <c r="Q165" i="18"/>
  <c r="T164" i="18"/>
  <c r="V164" i="18" s="1"/>
  <c r="Q164" i="18"/>
  <c r="T163" i="18"/>
  <c r="V163" i="18" s="1"/>
  <c r="Q163" i="18"/>
  <c r="T162" i="18"/>
  <c r="V162" i="18" s="1"/>
  <c r="Q162" i="18"/>
  <c r="V161" i="18"/>
  <c r="T161" i="18"/>
  <c r="Q161" i="18"/>
  <c r="T160" i="18"/>
  <c r="V160" i="18" s="1"/>
  <c r="Q160" i="18"/>
  <c r="T159" i="18"/>
  <c r="V159" i="18" s="1"/>
  <c r="Q159" i="18"/>
  <c r="T158" i="18"/>
  <c r="V158" i="18" s="1"/>
  <c r="Q158" i="18"/>
  <c r="T157" i="18"/>
  <c r="V157" i="18" s="1"/>
  <c r="Q157" i="18"/>
  <c r="T156" i="18"/>
  <c r="V156" i="18" s="1"/>
  <c r="Q156" i="18"/>
  <c r="T155" i="18"/>
  <c r="V155" i="18" s="1"/>
  <c r="Q155" i="18"/>
  <c r="T154" i="18"/>
  <c r="V154" i="18" s="1"/>
  <c r="Q154" i="18"/>
  <c r="T153" i="18"/>
  <c r="V153" i="18" s="1"/>
  <c r="Q153" i="18"/>
  <c r="T152" i="18"/>
  <c r="V152" i="18" s="1"/>
  <c r="Q152" i="18"/>
  <c r="T151" i="18"/>
  <c r="V151" i="18" s="1"/>
  <c r="Q151" i="18"/>
  <c r="T150" i="18"/>
  <c r="V150" i="18" s="1"/>
  <c r="Q150" i="18"/>
  <c r="T149" i="18"/>
  <c r="V149" i="18" s="1"/>
  <c r="Q149" i="18"/>
  <c r="T148" i="18"/>
  <c r="V148" i="18" s="1"/>
  <c r="Q148" i="18"/>
  <c r="T147" i="18"/>
  <c r="V147" i="18" s="1"/>
  <c r="Q147" i="18"/>
  <c r="T146" i="18"/>
  <c r="V146" i="18" s="1"/>
  <c r="Q146" i="18"/>
  <c r="V145" i="18"/>
  <c r="T145" i="18"/>
  <c r="Q145" i="18"/>
  <c r="T144" i="18"/>
  <c r="V144" i="18" s="1"/>
  <c r="Q144" i="18"/>
  <c r="T143" i="18"/>
  <c r="V143" i="18" s="1"/>
  <c r="Q143" i="18"/>
  <c r="T142" i="18"/>
  <c r="V142" i="18" s="1"/>
  <c r="Q142" i="18"/>
  <c r="T141" i="18"/>
  <c r="V141" i="18" s="1"/>
  <c r="Q141" i="18"/>
  <c r="T140" i="18"/>
  <c r="V140" i="18" s="1"/>
  <c r="Q140" i="18"/>
  <c r="T139" i="18"/>
  <c r="V139" i="18" s="1"/>
  <c r="Q139" i="18"/>
  <c r="T138" i="18"/>
  <c r="V138" i="18" s="1"/>
  <c r="Q138" i="18"/>
  <c r="T137" i="18"/>
  <c r="V137" i="18" s="1"/>
  <c r="Q137" i="18"/>
  <c r="T136" i="18"/>
  <c r="V136" i="18" s="1"/>
  <c r="Q136" i="18"/>
  <c r="T135" i="18"/>
  <c r="V135" i="18" s="1"/>
  <c r="Q135" i="18"/>
  <c r="T134" i="18"/>
  <c r="V134" i="18" s="1"/>
  <c r="Q134" i="18"/>
  <c r="T133" i="18"/>
  <c r="V133" i="18" s="1"/>
  <c r="Q133" i="18"/>
  <c r="T132" i="18"/>
  <c r="V132" i="18" s="1"/>
  <c r="Q132" i="18"/>
  <c r="T131" i="18"/>
  <c r="V131" i="18" s="1"/>
  <c r="Q131" i="18"/>
  <c r="T130" i="18"/>
  <c r="V130" i="18" s="1"/>
  <c r="Q130" i="18"/>
  <c r="V129" i="18"/>
  <c r="T129" i="18"/>
  <c r="Q129" i="18"/>
  <c r="T128" i="18"/>
  <c r="V128" i="18" s="1"/>
  <c r="Q128" i="18"/>
  <c r="T127" i="18"/>
  <c r="V127" i="18" s="1"/>
  <c r="Q127" i="18"/>
  <c r="T126" i="18"/>
  <c r="V126" i="18" s="1"/>
  <c r="Q126" i="18"/>
  <c r="T125" i="18"/>
  <c r="V125" i="18" s="1"/>
  <c r="Q125" i="18"/>
  <c r="T103" i="18"/>
  <c r="V103" i="18" s="1"/>
  <c r="Q103" i="18"/>
  <c r="T102" i="18"/>
  <c r="V102" i="18" s="1"/>
  <c r="Q102" i="18"/>
  <c r="T101" i="18"/>
  <c r="V101" i="18" s="1"/>
  <c r="Q101" i="18"/>
  <c r="T100" i="18"/>
  <c r="V100" i="18" s="1"/>
  <c r="Q100" i="18"/>
  <c r="T99" i="18"/>
  <c r="V99" i="18" s="1"/>
  <c r="Q99" i="18"/>
  <c r="T98" i="18"/>
  <c r="V98" i="18" s="1"/>
  <c r="Q98" i="18"/>
  <c r="T97" i="18"/>
  <c r="V97" i="18" s="1"/>
  <c r="Q97" i="18"/>
  <c r="V96" i="18"/>
  <c r="T96" i="18"/>
  <c r="Q96" i="18"/>
  <c r="T95" i="18"/>
  <c r="V95" i="18" s="1"/>
  <c r="Q95" i="18"/>
  <c r="T94" i="18"/>
  <c r="V94" i="18" s="1"/>
  <c r="Q94" i="18"/>
  <c r="T93" i="18"/>
  <c r="V93" i="18" s="1"/>
  <c r="Q93" i="18"/>
  <c r="V92" i="18"/>
  <c r="T92" i="18"/>
  <c r="Q92" i="18"/>
  <c r="T91" i="18"/>
  <c r="V91" i="18" s="1"/>
  <c r="Q91" i="18"/>
  <c r="T90" i="18"/>
  <c r="V90" i="18" s="1"/>
  <c r="Q90" i="18"/>
  <c r="T89" i="18"/>
  <c r="V89" i="18" s="1"/>
  <c r="Q89" i="18"/>
  <c r="T88" i="18"/>
  <c r="V88" i="18" s="1"/>
  <c r="Q88" i="18"/>
  <c r="T87" i="18"/>
  <c r="V87" i="18" s="1"/>
  <c r="Q87" i="18"/>
  <c r="T86" i="18"/>
  <c r="V86" i="18" s="1"/>
  <c r="Q86" i="18"/>
  <c r="T85" i="18"/>
  <c r="V85" i="18" s="1"/>
  <c r="Q85" i="18"/>
  <c r="T84" i="18"/>
  <c r="V84" i="18" s="1"/>
  <c r="Q84" i="18"/>
  <c r="T83" i="18"/>
  <c r="V83" i="18" s="1"/>
  <c r="Q83" i="18"/>
  <c r="T82" i="18"/>
  <c r="V82" i="18" s="1"/>
  <c r="Q82" i="18"/>
  <c r="T81" i="18"/>
  <c r="V81" i="18" s="1"/>
  <c r="Q81" i="18"/>
  <c r="V80" i="18"/>
  <c r="T80" i="18"/>
  <c r="Q80" i="18"/>
  <c r="T79" i="18"/>
  <c r="V79" i="18" s="1"/>
  <c r="Q79" i="18"/>
  <c r="T78" i="18"/>
  <c r="V78" i="18" s="1"/>
  <c r="Q78" i="18"/>
  <c r="T77" i="18"/>
  <c r="V77" i="18" s="1"/>
  <c r="Q77" i="18"/>
  <c r="V76" i="18"/>
  <c r="T76" i="18"/>
  <c r="Q76" i="18"/>
  <c r="T75" i="18"/>
  <c r="V75" i="18" s="1"/>
  <c r="Q75" i="18"/>
  <c r="T74" i="18"/>
  <c r="V74" i="18" s="1"/>
  <c r="Q74" i="18"/>
  <c r="T73" i="18"/>
  <c r="V73" i="18" s="1"/>
  <c r="Q73" i="18"/>
  <c r="T72" i="18"/>
  <c r="V72" i="18" s="1"/>
  <c r="Q72" i="18"/>
  <c r="T71" i="18"/>
  <c r="V71" i="18" s="1"/>
  <c r="Q71" i="18"/>
  <c r="T70" i="18"/>
  <c r="V70" i="18" s="1"/>
  <c r="Q70" i="18"/>
  <c r="T69" i="18"/>
  <c r="V69" i="18" s="1"/>
  <c r="Q69" i="18"/>
  <c r="V68" i="18"/>
  <c r="T68" i="18"/>
  <c r="Q68" i="18"/>
  <c r="T67" i="18"/>
  <c r="V67" i="18" s="1"/>
  <c r="Q67" i="18"/>
  <c r="T66" i="18"/>
  <c r="V66" i="18" s="1"/>
  <c r="Q66" i="18"/>
  <c r="T65" i="18"/>
  <c r="V65" i="18" s="1"/>
  <c r="Q65" i="18"/>
  <c r="V64" i="18"/>
  <c r="T64" i="18"/>
  <c r="Q64" i="18"/>
  <c r="T63" i="18"/>
  <c r="V63" i="18" s="1"/>
  <c r="Q63" i="18"/>
  <c r="T62" i="18"/>
  <c r="V62" i="18" s="1"/>
  <c r="Q62" i="18"/>
  <c r="T61" i="18"/>
  <c r="V61" i="18" s="1"/>
  <c r="Q61" i="18"/>
  <c r="V60" i="18"/>
  <c r="T60" i="18"/>
  <c r="Q60" i="18"/>
  <c r="T59" i="18"/>
  <c r="V59" i="18" s="1"/>
  <c r="Q59" i="18"/>
  <c r="T58" i="18"/>
  <c r="V58" i="18" s="1"/>
  <c r="Q58" i="18"/>
  <c r="T57" i="18"/>
  <c r="V57" i="18" s="1"/>
  <c r="Q57" i="18"/>
  <c r="T56" i="18"/>
  <c r="V56" i="18" s="1"/>
  <c r="Q56" i="18"/>
  <c r="T55" i="18"/>
  <c r="V55" i="18" s="1"/>
  <c r="Q55" i="18"/>
  <c r="T54" i="18"/>
  <c r="V54" i="18" s="1"/>
  <c r="Q54" i="18"/>
  <c r="T53" i="18"/>
  <c r="V53" i="18" s="1"/>
  <c r="Q53" i="18"/>
  <c r="V52" i="18"/>
  <c r="T52" i="18"/>
  <c r="Q52" i="18"/>
  <c r="T51" i="18"/>
  <c r="V51" i="18" s="1"/>
  <c r="Q51" i="18"/>
  <c r="T50" i="18"/>
  <c r="V50" i="18" s="1"/>
  <c r="Q50" i="18"/>
  <c r="T49" i="18"/>
  <c r="V49" i="18" s="1"/>
  <c r="Q49" i="18"/>
  <c r="V48" i="18"/>
  <c r="T48" i="18"/>
  <c r="Q48" i="18"/>
  <c r="T47" i="18"/>
  <c r="V47" i="18" s="1"/>
  <c r="Q47" i="18"/>
  <c r="T46" i="18"/>
  <c r="V46" i="18" s="1"/>
  <c r="Q46" i="18"/>
  <c r="T45" i="18"/>
  <c r="V45" i="18" s="1"/>
  <c r="Q45" i="18"/>
  <c r="T44" i="18"/>
  <c r="V44" i="18" s="1"/>
  <c r="Q44" i="18"/>
  <c r="T43" i="18"/>
  <c r="V43" i="18" s="1"/>
  <c r="Q43" i="18"/>
  <c r="T42" i="18"/>
  <c r="V42" i="18" s="1"/>
  <c r="Q42" i="18"/>
  <c r="T41" i="18"/>
  <c r="V41" i="18" s="1"/>
  <c r="Q41" i="18"/>
  <c r="T40" i="18"/>
  <c r="V40" i="18" s="1"/>
  <c r="Q40" i="18"/>
  <c r="T39" i="18"/>
  <c r="V39" i="18" s="1"/>
  <c r="Q39" i="18"/>
  <c r="T38" i="18"/>
  <c r="V38" i="18" s="1"/>
  <c r="Q38" i="18"/>
  <c r="T37" i="18"/>
  <c r="V37" i="18" s="1"/>
  <c r="Q37" i="18"/>
  <c r="V36" i="18"/>
  <c r="T36" i="18"/>
  <c r="Q36" i="18"/>
  <c r="T35" i="18"/>
  <c r="V35" i="18" s="1"/>
  <c r="Q35" i="18"/>
  <c r="T34" i="18"/>
  <c r="V34" i="18" s="1"/>
  <c r="Q34" i="18"/>
  <c r="T33" i="18"/>
  <c r="V33" i="18" s="1"/>
  <c r="Q33" i="18"/>
  <c r="V32" i="18"/>
  <c r="T32" i="18"/>
  <c r="Q32" i="18"/>
  <c r="T31" i="18"/>
  <c r="V31" i="18" s="1"/>
  <c r="Q31" i="18"/>
  <c r="T30" i="18"/>
  <c r="V30" i="18" s="1"/>
  <c r="Q30" i="18"/>
  <c r="T29" i="18"/>
  <c r="V29" i="18" s="1"/>
  <c r="Q29" i="18"/>
  <c r="T28" i="18"/>
  <c r="V28" i="18" s="1"/>
  <c r="Q28" i="18"/>
  <c r="T27" i="18"/>
  <c r="V27" i="18" s="1"/>
  <c r="Q27" i="18"/>
  <c r="T26" i="18"/>
  <c r="V26" i="18" s="1"/>
  <c r="Q26" i="18"/>
  <c r="T25" i="18"/>
  <c r="V25" i="18" s="1"/>
  <c r="Q25" i="18"/>
  <c r="T24" i="18"/>
  <c r="V24" i="18" s="1"/>
  <c r="Q24" i="18"/>
  <c r="T23" i="18"/>
  <c r="V23" i="18" s="1"/>
  <c r="Q23" i="18"/>
  <c r="T22" i="18"/>
  <c r="V22" i="18" s="1"/>
  <c r="Q22" i="18"/>
  <c r="T21" i="18"/>
  <c r="V21" i="18" s="1"/>
  <c r="Q21" i="18"/>
  <c r="V20" i="18"/>
  <c r="T20" i="18"/>
  <c r="Q20" i="18"/>
  <c r="T19" i="18"/>
  <c r="V19" i="18" s="1"/>
  <c r="Q19" i="18"/>
  <c r="T18" i="18"/>
  <c r="V18" i="18" s="1"/>
  <c r="Q18" i="18"/>
  <c r="T17" i="18"/>
  <c r="V17" i="18" s="1"/>
  <c r="Q17" i="18"/>
  <c r="V16" i="18"/>
  <c r="T16" i="18"/>
  <c r="Q16" i="18"/>
  <c r="T15" i="18"/>
  <c r="V15" i="18" s="1"/>
  <c r="Q15" i="18"/>
  <c r="T14" i="18"/>
  <c r="V14" i="18" s="1"/>
  <c r="Q14" i="18"/>
  <c r="T13" i="18"/>
  <c r="V13" i="18" s="1"/>
  <c r="Q13" i="18"/>
  <c r="T12" i="18"/>
  <c r="V12" i="18" s="1"/>
  <c r="Q12" i="18"/>
  <c r="T11" i="18"/>
  <c r="V11" i="18" s="1"/>
  <c r="Q11" i="18"/>
  <c r="V10" i="18"/>
  <c r="T10" i="18"/>
  <c r="Q10" i="18"/>
  <c r="T9" i="18"/>
  <c r="V9" i="18" s="1"/>
  <c r="Q9" i="18"/>
  <c r="V8" i="18"/>
  <c r="T8" i="18"/>
  <c r="Q8" i="18"/>
  <c r="T7" i="18"/>
  <c r="V7" i="18" s="1"/>
  <c r="Q7" i="18"/>
  <c r="T6" i="18"/>
  <c r="V6" i="18" s="1"/>
  <c r="Q6" i="18"/>
  <c r="T5" i="18"/>
  <c r="V5" i="18" s="1"/>
  <c r="Q5" i="18"/>
  <c r="V4" i="18"/>
  <c r="T4" i="18"/>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<sst xmlns="http://schemas.openxmlformats.org/spreadsheetml/2006/main" count="11422" uniqueCount="387">
  <si>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</si>
  <si>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</si>
  <si>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</si>
  <si>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</si>
  <si>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</si>
  <si>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</si>
  <si>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</si>
  <si>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</si>
  <si>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</si>
  <si>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</si>
  <si>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</si>
  <si>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</si>
  <si>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</si>
  <si>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</si>
  <si>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</si>
  <si>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</si>
  <si>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</si>
  <si>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</si>
  <si>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</si>
  <si>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</si>
  <si>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</si>
  <si>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</si>
  <si>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</si>
  <si>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</si>
  <si>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</si>
  <si>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</si>
  <si>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</si>
  <si>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</si>
  <si>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</si>
  <si>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</si>
  <si>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</si>
  <si>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</si>
  <si>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</si>
  <si>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</si>
  <si>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</si>
  <si>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</si>
  <si>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</si>
  <si>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</si>
  <si>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</si>
  <si>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</si>
  <si>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</si>
  <si>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</si>
  <si>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</si>
  <si>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</si>
  <si>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</si>
  <si>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</si>
  <si>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</si>
  <si>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</si>
  <si>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</si>
  <si>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</si>
  <si>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</si>
  <si>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</si>
  <si>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</si>
  <si>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</si>
  <si>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</si>
  <si>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</si>
  <si>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</si>
  <si>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</si>
  <si>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</si>
  <si>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</si>
  <si>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</si>
  <si>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</si>
  <si>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</si>
  <si>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</si>
  <si>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</si>
  <si>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</si>
  <si>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</si>
  <si>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</si>
  <si>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</si>
  <si>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</si>
  <si>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</si>
  <si>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</si>
  <si>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</si>
  <si>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</si>
  <si>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</si>
  <si>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</si>
  <si>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</si>
  <si>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</si>
  <si>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</si>
  <si>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</si>
  <si>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</si>
  <si>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</si>
  <si>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</si>
  <si>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</si>
  <si>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</si>
  <si>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</si>
  <si>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</si>
  <si>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</si>
  <si>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</si>
  <si>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</si>
  <si>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</si>
  <si>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</si>
  <si>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</si>
  <si>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</si>
  <si>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</si>
  <si>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</si>
  <si>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</si>
  <si>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</si>
  <si>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</si>
  <si>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</si>
  <si>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</si>
  <si>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</si>
  <si>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</si>
  <si>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</si>
  <si>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</si>
  <si>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</si>
  <si>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</si>
  <si>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</si>
  <si>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</si>
  <si>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</si>
  <si>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</si>
  <si>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</si>
  <si>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</si>
  <si>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</si>
  <si>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</si>
  <si>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</si>
  <si>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</si>
  <si>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</si>
  <si>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</si>
  <si>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</si>
  <si>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</si>
  <si>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</si>
  <si>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</si>
  <si>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</si>
  <si>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</si>
  <si>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</si>
  <si>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</si>
  <si>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</si>
  <si>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</si>
  <si>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</si>
  <si>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</si>
  <si>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</si>
  <si>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</si>
  <si>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</si>
  <si>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</si>
  <si>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</si>
  <si>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</si>
  <si>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</si>
  <si>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</si>
  <si>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</si>
  <si>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</si>
  <si>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</si>
  <si>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</si>
  <si>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</si>
  <si>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</si>
  <si>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</si>
  <si>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</si>
  <si>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</si>
  <si>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</si>
  <si>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</si>
  <si>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</si>
  <si>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</si>
  <si>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</si>
  <si>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</si>
  <si>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</si>
  <si>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</si>
  <si>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</si>
  <si>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</si>
  <si>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</si>
  <si>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</si>
  <si>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</si>
  <si>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</si>
  <si>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</si>
  <si>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</si>
  <si>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HW</t>
  </si>
  <si>
    <t>02.07.2019</t>
  </si>
  <si>
    <t>02.07.2019</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</si>
  <si>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</si>
  <si>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</si>
  <si>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</si>
  <si>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</si>
  <si>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</si>
  <si>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</si>
  <si>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</si>
  <si>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</si>
  <si>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</si>
  <si>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</si>
  <si>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</si>
  <si>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</si>
  <si>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</si>
  <si>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</si>
  <si>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</si>
  <si>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</si>
  <si>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03.07.2019</t>
  </si>
  <si>
    <t>利府店</t>
  </si>
  <si>
    <t>その他グリーン</t>
  </si>
  <si>
    <t>みやぎ生協</t>
  </si>
  <si>
    <t>その他ゴールド</t>
  </si>
  <si>
    <t>杉の入店</t>
  </si>
  <si>
    <t>その他レッド</t>
  </si>
  <si>
    <t>減農薬栽培</t>
  </si>
  <si>
    <t>D'lish</t>
  </si>
  <si>
    <t>中国</t>
  </si>
  <si>
    <t>HE</t>
  </si>
  <si>
    <t>ウジエ</t>
  </si>
  <si>
    <t>Del Monte</t>
  </si>
  <si>
    <t>塩釜店</t>
  </si>
  <si>
    <t>GK</t>
  </si>
  <si>
    <t>OB</t>
  </si>
  <si>
    <t>ザ・ビッグ</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</si>
  <si>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</si>
  <si>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</si>
  <si>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</si>
  <si>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</si>
  <si>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</si>
  <si>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</si>
  <si>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</si>
  <si>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</si>
  <si>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</si>
  <si>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</si>
  <si>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</si>
  <si>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</si>
  <si>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</si>
  <si>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</si>
  <si>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</si>
  <si>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</si>
  <si>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</si>
  <si>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</si>
  <si>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</si>
  <si>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</si>
  <si>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</si>
  <si>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</si>
  <si>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</si>
  <si>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</si>
  <si>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</si>
  <si>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</si>
  <si>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</si>
  <si>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</si>
  <si>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</si>
  <si>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</si>
  <si>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</si>
  <si>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</si>
  <si>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JP</t>
    <phoneticPr fontId="3"/>
  </si>
  <si>
    <t>05.07.2019</t>
    <phoneticPr fontId="3"/>
  </si>
  <si>
    <t>旬楽膳</t>
    <rPh sb="0" eb="1">
      <t>シュン</t>
    </rPh>
    <rPh sb="1" eb="2">
      <t>ラク</t>
    </rPh>
    <rPh sb="2" eb="3">
      <t>ゼン</t>
    </rPh>
    <phoneticPr fontId="4"/>
  </si>
  <si>
    <t>日進店</t>
    <rPh sb="0" eb="2">
      <t>ニッシン</t>
    </rPh>
    <rPh sb="2" eb="3">
      <t>ミセ</t>
    </rPh>
    <phoneticPr fontId="4"/>
  </si>
  <si>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</si>
  <si>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</si>
  <si>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</si>
  <si>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</si>
  <si>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</si>
  <si>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</si>
  <si>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</si>
  <si>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</si>
  <si>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</si>
  <si>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</si>
  <si>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</si>
  <si>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</si>
  <si>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アオキスーパー</t>
  </si>
  <si>
    <t>カネトク</t>
    <phoneticPr fontId="4"/>
  </si>
  <si>
    <t>長久手店</t>
  </si>
  <si>
    <t>ピアゴ</t>
  </si>
  <si>
    <t>長久手南店</t>
  </si>
  <si>
    <t>ラフランス</t>
    <phoneticPr fontId="4"/>
  </si>
  <si>
    <t>カネスエ</t>
  </si>
  <si>
    <t>カネトク</t>
  </si>
  <si>
    <t>フェルナ</t>
  </si>
  <si>
    <t>アピタ</t>
  </si>
  <si>
    <t>JPY</t>
    <phoneticPr fontId="3"/>
  </si>
  <si>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</si>
  <si>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</si>
  <si>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05.07.2019</t>
  </si>
  <si>
    <t>コノミヤ</t>
  </si>
  <si>
    <t>深井店</t>
  </si>
  <si>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</si>
  <si>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</si>
  <si>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</si>
  <si>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</si>
  <si>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</si>
  <si>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</si>
  <si>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</si>
  <si>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</si>
  <si>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</si>
  <si>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</si>
  <si>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</si>
  <si>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</si>
  <si>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</si>
  <si>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キラキラ</t>
  </si>
  <si>
    <t>グリーンアイ</t>
  </si>
  <si>
    <t>ＪＡ大阪</t>
  </si>
  <si>
    <t>県名</t>
    <phoneticPr fontId="3"/>
  </si>
  <si>
    <t>チェーン名</t>
    <phoneticPr fontId="3"/>
  </si>
  <si>
    <t>品種</t>
    <phoneticPr fontId="3"/>
  </si>
  <si>
    <t>03.07.2019</t>
    <phoneticPr fontId="3"/>
  </si>
  <si>
    <t>福や</t>
  </si>
  <si>
    <t>鉄砲町店</t>
    <rPh sb="3" eb="4">
      <t>テン</t>
    </rPh>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</si>
  <si>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</si>
  <si>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</si>
  <si>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</si>
  <si>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</si>
  <si>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</si>
  <si>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</si>
  <si>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</si>
  <si>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</si>
  <si>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</si>
  <si>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</si>
  <si>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</si>
  <si>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</si>
  <si>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</si>
  <si>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</si>
  <si>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</si>
  <si>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</si>
  <si>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</si>
  <si>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</si>
  <si>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</si>
  <si>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</si>
  <si>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</si>
  <si>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</si>
  <si>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バナナ</t>
    <phoneticPr fontId="3"/>
  </si>
  <si>
    <t>りんご</t>
    <phoneticPr fontId="4"/>
  </si>
  <si>
    <t>みかん</t>
    <phoneticPr fontId="4"/>
  </si>
  <si>
    <t>マンゴー</t>
    <phoneticPr fontId="3"/>
  </si>
  <si>
    <t>キウイフルーツ</t>
    <phoneticPr fontId="3"/>
  </si>
  <si>
    <t>販売
ユニット
個数</t>
    <phoneticPr fontId="4"/>
  </si>
  <si>
    <t>U/P JPY</t>
    <phoneticPr fontId="4"/>
  </si>
  <si>
    <t>マルショク</t>
    <phoneticPr fontId="3"/>
  </si>
  <si>
    <t>野間大池</t>
    <rPh sb="0" eb="2">
      <t>ノマ</t>
    </rPh>
    <rPh sb="2" eb="4">
      <t>オオイケ</t>
    </rPh>
    <phoneticPr fontId="3"/>
  </si>
  <si>
    <t>りんご</t>
    <phoneticPr fontId="3"/>
  </si>
  <si>
    <t>JPY</t>
    <phoneticPr fontId="4"/>
  </si>
  <si>
    <t>サニー</t>
  </si>
  <si>
    <t>野間</t>
    <rPh sb="0" eb="2">
      <t>ノマ</t>
    </rPh>
    <phoneticPr fontId="3"/>
  </si>
  <si>
    <t>一般栽培</t>
    <phoneticPr fontId="4"/>
  </si>
  <si>
    <t>マルショク</t>
  </si>
  <si>
    <t>CK</t>
    <phoneticPr fontId="3"/>
  </si>
  <si>
    <t>マミーズ</t>
  </si>
  <si>
    <t>美野島</t>
    <rPh sb="0" eb="1">
      <t>ミ</t>
    </rPh>
    <rPh sb="1" eb="2">
      <t>ノ</t>
    </rPh>
    <rPh sb="2" eb="3">
      <t>シマ</t>
    </rPh>
    <phoneticPr fontId="3"/>
  </si>
  <si>
    <t>福岡</t>
    <rPh sb="0" eb="2">
      <t>フクオカ</t>
    </rPh>
    <phoneticPr fontId="4"/>
  </si>
  <si>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</si>
  <si>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</si>
  <si>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</si>
  <si>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</si>
  <si>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</si>
  <si>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</si>
  <si>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</si>
  <si>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</si>
  <si>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</si>
  <si>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</si>
  <si>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</si>
  <si>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</si>
  <si>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</si>
  <si>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</si>
  <si>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</si>
  <si>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</si>
  <si>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</si>
  <si>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</si>
  <si>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</si>
  <si>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</si>
  <si>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</si>
  <si>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</si>
  <si>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</si>
  <si>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</si>
  <si>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</si>
  <si>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</si>
  <si>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</si>
  <si>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</si>
  <si>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</si>
  <si>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04.07.2019</t>
    <phoneticPr fontId="3"/>
  </si>
  <si>
    <t>サミット</t>
  </si>
  <si>
    <t>久が原食品館</t>
  </si>
  <si>
    <t>04.07.2019</t>
  </si>
  <si>
    <t>東急ストア</t>
  </si>
  <si>
    <t>蒲田</t>
  </si>
  <si>
    <t>マルエツ</t>
  </si>
  <si>
    <t>大森西</t>
  </si>
  <si>
    <t>大森</t>
  </si>
  <si>
    <t>カドヤ</t>
  </si>
  <si>
    <t>大井町</t>
  </si>
  <si>
    <t>品川シーサイド</t>
  </si>
  <si>
    <t>大崎ニューシティ</t>
  </si>
  <si>
    <t>２番人気
果実</t>
    <phoneticPr fontId="3"/>
  </si>
  <si>
    <t>ビッグ・エー</t>
  </si>
  <si>
    <t>江戸川本一色店</t>
  </si>
  <si>
    <t>松江店</t>
  </si>
  <si>
    <t>マックスバリュエクスプレス</t>
  </si>
  <si>
    <t>ヤマイチ</t>
  </si>
  <si>
    <t>中央店</t>
    <rPh sb="0" eb="2">
      <t>チュウオウ</t>
    </rPh>
    <phoneticPr fontId="3"/>
  </si>
  <si>
    <t>コモディイイダ</t>
  </si>
  <si>
    <t>西瑞江店</t>
  </si>
  <si>
    <t>いなげや</t>
  </si>
  <si>
    <t>江戸川春江店</t>
  </si>
  <si>
    <t>鹿骨店</t>
  </si>
  <si>
    <t>東武ストア</t>
  </si>
  <si>
    <t>新小岩店</t>
  </si>
  <si>
    <t>サミットストア</t>
  </si>
  <si>
    <t>江戸川区役所前店</t>
    <rPh sb="0" eb="6">
      <t>エドガワクヤクショ</t>
    </rPh>
    <rPh sb="6" eb="7">
      <t>マエ</t>
    </rPh>
    <rPh sb="7" eb="8">
      <t>ミセ</t>
    </rPh>
    <phoneticPr fontId="3"/>
  </si>
  <si>
    <t>江戸川中央店</t>
  </si>
  <si>
    <t>GA</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</si>
</sst>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9"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9">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cellStyleXfs>
  <cellXfs count="18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0" fillId="0" borderId="7" xfId="1" applyFont="1" applyBorder="1"/>
    <xf numFmtId="0" fontId="16" fillId="0" borderId="22" xfId="2" applyFont="1" applyBorder="1" applyAlignment="1">
      <alignment horizontal="center" vertical="center"/>
    </xf>
    <xf numFmtId="0" fontId="16" fillId="0" borderId="23" xfId="2"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6" fillId="0" borderId="12" xfId="2" applyFont="1" applyBorder="1" applyAlignment="1">
      <alignment horizontal="center" vertical="center"/>
    </xf>
    <xf numFmtId="178" fontId="1" fillId="3" borderId="0" xfId="1" applyNumberFormat="1" applyFill="1"/>
    <xf numFmtId="0" fontId="1" fillId="0" borderId="18" xfId="1" applyBorder="1"/>
    <xf numFmtId="0" fontId="15" fillId="0" borderId="0" xfId="1" applyFont="1"/>
    <xf numFmtId="178" fontId="1" fillId="2" borderId="0" xfId="1" applyNumberFormat="1" applyFill="1"/>
    <xf numFmtId="0" fontId="15" fillId="0" borderId="0" xfId="2" applyFont="1">
      <alignment vertical="center"/>
    </xf>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7" fillId="0" borderId="0" xfId="1" applyNumberFormat="1" applyFont="1"/>
    <xf numFmtId="0" fontId="1" fillId="0" borderId="12" xfId="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2" xfId="1" applyFont="1" applyBorder="1"/>
    <xf numFmtId="0" fontId="0" fillId="0" borderId="17" xfId="1" applyFont="1" applyBorder="1"/>
    <xf numFmtId="14" fontId="17" fillId="0" borderId="0" xfId="1" applyNumberFormat="1" applyFont="1" applyAlignment="1">
      <alignment horizontal="center"/>
    </xf>
    <xf numFmtId="0" fontId="18"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5" fillId="0" borderId="6" xfId="0" applyFont="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cellXfs>
  <cellStyles count="9">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85" zoomScaleNormal="85" workbookViewId="0">
      <selection activeCell="E31" sqref="E31"/>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166</v>
      </c>
      <c r="E2" s="15" t="s">
        <v>141</v>
      </c>
      <c r="F2" s="15" t="s">
        <v>149</v>
      </c>
      <c r="G2" s="15" t="s">
        <v>36</v>
      </c>
      <c r="H2" s="15" t="s">
        <v>164</v>
      </c>
      <c r="I2" s="15" t="s">
        <v>159</v>
      </c>
      <c r="J2" s="15" t="s">
        <v>38</v>
      </c>
      <c r="K2" s="7" t="s">
        <v>161</v>
      </c>
      <c r="L2" s="7">
        <v>1</v>
      </c>
      <c r="N2" s="47">
        <v>1</v>
      </c>
      <c r="O2" s="15">
        <v>0.75</v>
      </c>
      <c r="P2" s="15">
        <v>0.65</v>
      </c>
      <c r="Q2" s="51">
        <f t="shared" ref="Q2:Q65" si="0">IF(OR(O2="",P2=""),"",AVERAGE(O2,P2))</f>
        <v>0.7</v>
      </c>
      <c r="R2" s="15">
        <v>14.5</v>
      </c>
      <c r="S2" s="15">
        <v>122</v>
      </c>
      <c r="T2" s="38">
        <f t="shared" ref="T2:T59" si="1">IF(H2="","",IF(OR(H2="GREEN",H2="GK"),IF(S2&gt;=$AX$2,VLOOKUP(S2,$AX$2:$AY$12,2,1),""),IF(S2&gt;=$AZ$2,VLOOKUP(S2,$AZ$2:$BA$12,2,1),"")))</f>
        <v>27</v>
      </c>
      <c r="U2" s="15">
        <v>105</v>
      </c>
      <c r="V2" s="38">
        <f t="shared" ref="V2:V65" si="2">IF(OR(N2="",U2="",T2=""),"",U2/N2*T2)</f>
        <v>2835</v>
      </c>
      <c r="W2" s="15">
        <v>7</v>
      </c>
      <c r="X2" s="15" t="s">
        <v>46</v>
      </c>
      <c r="Y2" s="15" t="s">
        <v>55</v>
      </c>
      <c r="Z2" s="15" t="s">
        <v>86</v>
      </c>
      <c r="AA2" s="15" t="s">
        <v>64</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165</v>
      </c>
      <c r="E3" s="15" t="s">
        <v>141</v>
      </c>
      <c r="F3" s="7" t="s">
        <v>149</v>
      </c>
      <c r="G3" s="7" t="s">
        <v>36</v>
      </c>
      <c r="H3" s="15" t="s">
        <v>164</v>
      </c>
      <c r="I3" s="7" t="s">
        <v>159</v>
      </c>
      <c r="J3" s="15" t="s">
        <v>38</v>
      </c>
      <c r="K3" s="7" t="s">
        <v>161</v>
      </c>
      <c r="L3" s="7">
        <v>2</v>
      </c>
      <c r="N3" s="7">
        <v>1</v>
      </c>
      <c r="O3" s="34">
        <v>0.75</v>
      </c>
      <c r="P3" s="7">
        <v>0.75</v>
      </c>
      <c r="Q3" s="52">
        <f t="shared" si="0"/>
        <v>0.75</v>
      </c>
      <c r="R3" s="7">
        <v>12.5</v>
      </c>
      <c r="S3" s="7">
        <v>122</v>
      </c>
      <c r="T3" s="16">
        <f t="shared" si="1"/>
        <v>27</v>
      </c>
      <c r="U3" s="15">
        <v>105</v>
      </c>
      <c r="V3" s="16">
        <f t="shared" si="2"/>
        <v>2835</v>
      </c>
      <c r="W3" s="15">
        <v>7</v>
      </c>
      <c r="X3" s="15" t="s">
        <v>46</v>
      </c>
      <c r="Y3" s="15" t="s">
        <v>55</v>
      </c>
      <c r="Z3" s="15" t="s">
        <v>86</v>
      </c>
      <c r="AA3" s="15" t="s">
        <v>64</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165</v>
      </c>
      <c r="E4" s="15" t="s">
        <v>141</v>
      </c>
      <c r="F4" s="7" t="s">
        <v>149</v>
      </c>
      <c r="G4" s="7" t="s">
        <v>36</v>
      </c>
      <c r="H4" s="15" t="s">
        <v>164</v>
      </c>
      <c r="I4" s="7" t="s">
        <v>159</v>
      </c>
      <c r="J4" s="15" t="s">
        <v>38</v>
      </c>
      <c r="K4" s="7" t="s">
        <v>161</v>
      </c>
      <c r="L4" s="7">
        <v>3</v>
      </c>
      <c r="N4" s="7">
        <v>1</v>
      </c>
      <c r="O4" s="7">
        <v>0.5</v>
      </c>
      <c r="P4" s="7">
        <v>0.5</v>
      </c>
      <c r="Q4" s="52">
        <f t="shared" si="0"/>
        <v>0.5</v>
      </c>
      <c r="R4" s="7">
        <v>17.5</v>
      </c>
      <c r="S4" s="7">
        <v>119</v>
      </c>
      <c r="T4" s="16">
        <f t="shared" si="1"/>
        <v>30</v>
      </c>
      <c r="U4" s="15">
        <v>105</v>
      </c>
      <c r="V4" s="16">
        <f t="shared" si="2"/>
        <v>3150</v>
      </c>
      <c r="W4" s="15">
        <v>7</v>
      </c>
      <c r="X4" s="15" t="s">
        <v>46</v>
      </c>
      <c r="Y4" s="54" t="s">
        <v>55</v>
      </c>
      <c r="Z4" s="54" t="s">
        <v>86</v>
      </c>
      <c r="AA4" s="54" t="s">
        <v>64</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165</v>
      </c>
      <c r="E5" s="15" t="s">
        <v>141</v>
      </c>
      <c r="F5" s="15" t="s">
        <v>149</v>
      </c>
      <c r="G5" s="7" t="s">
        <v>36</v>
      </c>
      <c r="H5" s="15" t="s">
        <v>160</v>
      </c>
      <c r="I5" s="7" t="s">
        <v>159</v>
      </c>
      <c r="J5" s="15" t="s">
        <v>38</v>
      </c>
      <c r="K5" s="7" t="s">
        <v>161</v>
      </c>
      <c r="L5" s="7">
        <v>1</v>
      </c>
      <c r="N5" s="7">
        <v>1</v>
      </c>
      <c r="O5" s="7">
        <v>0.5</v>
      </c>
      <c r="P5" s="7">
        <v>0.5</v>
      </c>
      <c r="Q5" s="52">
        <f t="shared" si="0"/>
        <v>0.5</v>
      </c>
      <c r="R5" s="7">
        <v>16.100000000000001</v>
      </c>
      <c r="S5" s="7">
        <v>130</v>
      </c>
      <c r="T5" s="16">
        <f t="shared" si="1"/>
        <v>25</v>
      </c>
      <c r="U5" s="15">
        <v>105</v>
      </c>
      <c r="V5" s="16">
        <f t="shared" si="2"/>
        <v>2625</v>
      </c>
      <c r="W5" s="15">
        <v>23</v>
      </c>
      <c r="X5" s="15" t="s">
        <v>46</v>
      </c>
      <c r="Y5" s="54" t="s">
        <v>55</v>
      </c>
      <c r="Z5" s="54" t="s">
        <v>86</v>
      </c>
      <c r="AA5" s="54" t="s">
        <v>64</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165</v>
      </c>
      <c r="E6" s="15" t="s">
        <v>141</v>
      </c>
      <c r="F6" s="7" t="s">
        <v>149</v>
      </c>
      <c r="G6" s="7" t="s">
        <v>36</v>
      </c>
      <c r="H6" s="54" t="s">
        <v>160</v>
      </c>
      <c r="I6" s="7" t="s">
        <v>159</v>
      </c>
      <c r="J6" s="15" t="s">
        <v>38</v>
      </c>
      <c r="K6" s="7" t="s">
        <v>161</v>
      </c>
      <c r="L6" s="7">
        <v>2</v>
      </c>
      <c r="N6" s="7">
        <v>1</v>
      </c>
      <c r="O6" s="7">
        <v>0.6</v>
      </c>
      <c r="P6" s="7">
        <v>0.6</v>
      </c>
      <c r="Q6" s="52">
        <f t="shared" si="0"/>
        <v>0.6</v>
      </c>
      <c r="R6" s="7">
        <v>20.100000000000001</v>
      </c>
      <c r="S6" s="7">
        <v>125</v>
      </c>
      <c r="T6" s="16">
        <f t="shared" si="1"/>
        <v>27</v>
      </c>
      <c r="U6" s="15">
        <v>105</v>
      </c>
      <c r="V6" s="16">
        <f t="shared" si="2"/>
        <v>2835</v>
      </c>
      <c r="W6" s="15">
        <v>23</v>
      </c>
      <c r="X6" s="15" t="s">
        <v>46</v>
      </c>
      <c r="Y6" s="54" t="s">
        <v>55</v>
      </c>
      <c r="Z6" s="54" t="s">
        <v>86</v>
      </c>
      <c r="AA6" s="54" t="s">
        <v>64</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165</v>
      </c>
      <c r="E7" s="15" t="s">
        <v>141</v>
      </c>
      <c r="F7" s="7" t="s">
        <v>149</v>
      </c>
      <c r="G7" s="7" t="s">
        <v>36</v>
      </c>
      <c r="H7" s="54" t="s">
        <v>160</v>
      </c>
      <c r="I7" s="7" t="s">
        <v>159</v>
      </c>
      <c r="J7" s="15" t="s">
        <v>38</v>
      </c>
      <c r="K7" s="7" t="s">
        <v>161</v>
      </c>
      <c r="L7" s="7">
        <v>3</v>
      </c>
      <c r="N7" s="7">
        <v>1</v>
      </c>
      <c r="O7" s="7">
        <v>0.5</v>
      </c>
      <c r="P7" s="7">
        <v>0.5</v>
      </c>
      <c r="Q7" s="52">
        <f t="shared" si="0"/>
        <v>0.5</v>
      </c>
      <c r="R7" s="34">
        <v>19.399999999999999</v>
      </c>
      <c r="S7" s="7">
        <v>128</v>
      </c>
      <c r="T7" s="16">
        <f t="shared" si="1"/>
        <v>27</v>
      </c>
      <c r="U7" s="15">
        <v>105</v>
      </c>
      <c r="V7" s="16">
        <f t="shared" si="2"/>
        <v>2835</v>
      </c>
      <c r="W7" s="15">
        <v>23</v>
      </c>
      <c r="X7" s="15" t="s">
        <v>46</v>
      </c>
      <c r="Y7" s="54" t="s">
        <v>55</v>
      </c>
      <c r="Z7" s="54" t="s">
        <v>86</v>
      </c>
      <c r="AA7" s="54" t="s">
        <v>64</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165</v>
      </c>
      <c r="E8" s="15" t="s">
        <v>133</v>
      </c>
      <c r="F8" s="7" t="s">
        <v>150</v>
      </c>
      <c r="G8" s="7" t="s">
        <v>36</v>
      </c>
      <c r="H8" s="15" t="s">
        <v>164</v>
      </c>
      <c r="I8" s="7" t="s">
        <v>159</v>
      </c>
      <c r="J8" s="15" t="s">
        <v>38</v>
      </c>
      <c r="K8" s="7" t="s">
        <v>161</v>
      </c>
      <c r="L8" s="7">
        <v>1</v>
      </c>
      <c r="N8" s="7">
        <v>1</v>
      </c>
      <c r="O8" s="7">
        <v>0.7</v>
      </c>
      <c r="P8" s="7">
        <v>0.85</v>
      </c>
      <c r="Q8" s="52">
        <f t="shared" si="0"/>
        <v>0.77499999999999991</v>
      </c>
      <c r="R8" s="34">
        <v>13.7</v>
      </c>
      <c r="S8" s="7">
        <v>129</v>
      </c>
      <c r="T8" s="16">
        <f t="shared" si="1"/>
        <v>25</v>
      </c>
      <c r="U8" s="15">
        <v>98</v>
      </c>
      <c r="V8" s="16">
        <f t="shared" si="2"/>
        <v>2450</v>
      </c>
      <c r="W8" s="15">
        <v>22</v>
      </c>
      <c r="X8" s="15" t="s">
        <v>46</v>
      </c>
      <c r="Y8" s="54" t="s">
        <v>55</v>
      </c>
      <c r="Z8" s="54" t="s">
        <v>64</v>
      </c>
      <c r="AA8" s="54" t="s">
        <v>86</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165</v>
      </c>
      <c r="E9" s="15" t="s">
        <v>133</v>
      </c>
      <c r="F9" s="7" t="s">
        <v>150</v>
      </c>
      <c r="G9" s="7" t="s">
        <v>36</v>
      </c>
      <c r="H9" s="54" t="s">
        <v>164</v>
      </c>
      <c r="I9" s="7" t="s">
        <v>159</v>
      </c>
      <c r="J9" s="15" t="s">
        <v>38</v>
      </c>
      <c r="K9" s="7" t="s">
        <v>161</v>
      </c>
      <c r="L9" s="7">
        <v>2</v>
      </c>
      <c r="N9" s="7">
        <v>1</v>
      </c>
      <c r="O9" s="7">
        <v>0.85</v>
      </c>
      <c r="P9" s="7">
        <v>0.95</v>
      </c>
      <c r="Q9" s="52">
        <f t="shared" si="0"/>
        <v>0.89999999999999991</v>
      </c>
      <c r="R9" s="7">
        <v>15.5</v>
      </c>
      <c r="S9" s="7">
        <v>127</v>
      </c>
      <c r="T9" s="16">
        <f t="shared" si="1"/>
        <v>27</v>
      </c>
      <c r="U9" s="15">
        <v>98</v>
      </c>
      <c r="V9" s="16">
        <f t="shared" si="2"/>
        <v>2646</v>
      </c>
      <c r="W9" s="15">
        <v>22</v>
      </c>
      <c r="X9" s="15" t="s">
        <v>46</v>
      </c>
      <c r="Y9" s="54" t="s">
        <v>55</v>
      </c>
      <c r="Z9" s="54" t="s">
        <v>64</v>
      </c>
      <c r="AA9" s="54" t="s">
        <v>86</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165</v>
      </c>
      <c r="E10" s="15" t="s">
        <v>133</v>
      </c>
      <c r="F10" s="7" t="s">
        <v>150</v>
      </c>
      <c r="G10" s="7" t="s">
        <v>36</v>
      </c>
      <c r="H10" s="54" t="s">
        <v>164</v>
      </c>
      <c r="I10" s="7" t="s">
        <v>159</v>
      </c>
      <c r="J10" s="15" t="s">
        <v>38</v>
      </c>
      <c r="K10" s="7" t="s">
        <v>161</v>
      </c>
      <c r="L10" s="7">
        <v>3</v>
      </c>
      <c r="N10" s="7">
        <v>1</v>
      </c>
      <c r="O10" s="7">
        <v>1.1000000000000001</v>
      </c>
      <c r="P10" s="7">
        <v>1</v>
      </c>
      <c r="Q10" s="52">
        <f t="shared" si="0"/>
        <v>1.05</v>
      </c>
      <c r="R10" s="7">
        <v>14.7</v>
      </c>
      <c r="S10" s="7">
        <v>130</v>
      </c>
      <c r="T10" s="16">
        <f t="shared" si="1"/>
        <v>25</v>
      </c>
      <c r="U10" s="15">
        <v>98</v>
      </c>
      <c r="V10" s="16">
        <f t="shared" si="2"/>
        <v>2450</v>
      </c>
      <c r="W10" s="15">
        <v>22</v>
      </c>
      <c r="X10" s="15" t="s">
        <v>46</v>
      </c>
      <c r="Y10" s="54" t="s">
        <v>55</v>
      </c>
      <c r="Z10" s="54" t="s">
        <v>64</v>
      </c>
      <c r="AA10" s="54" t="s">
        <v>86</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165</v>
      </c>
      <c r="E11" s="15" t="s">
        <v>133</v>
      </c>
      <c r="F11" s="7" t="s">
        <v>150</v>
      </c>
      <c r="G11" s="7" t="s">
        <v>36</v>
      </c>
      <c r="H11" s="15" t="s">
        <v>160</v>
      </c>
      <c r="I11" s="7" t="s">
        <v>159</v>
      </c>
      <c r="J11" s="15" t="s">
        <v>38</v>
      </c>
      <c r="K11" s="7" t="s">
        <v>161</v>
      </c>
      <c r="L11" s="7">
        <v>1</v>
      </c>
      <c r="N11" s="7">
        <v>1</v>
      </c>
      <c r="O11" s="7">
        <v>0.8</v>
      </c>
      <c r="P11" s="7">
        <v>0.95</v>
      </c>
      <c r="Q11" s="52">
        <f t="shared" si="0"/>
        <v>0.875</v>
      </c>
      <c r="R11" s="7">
        <v>16.2</v>
      </c>
      <c r="S11" s="7">
        <v>133</v>
      </c>
      <c r="T11" s="16">
        <f t="shared" si="1"/>
        <v>25</v>
      </c>
      <c r="U11" s="7">
        <v>98</v>
      </c>
      <c r="V11" s="16">
        <f t="shared" si="2"/>
        <v>2450</v>
      </c>
      <c r="W11" s="7">
        <v>10</v>
      </c>
      <c r="X11" s="15" t="s">
        <v>46</v>
      </c>
      <c r="Y11" s="54" t="s">
        <v>55</v>
      </c>
      <c r="Z11" s="54" t="s">
        <v>64</v>
      </c>
      <c r="AA11" s="54" t="s">
        <v>86</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165</v>
      </c>
      <c r="E12" s="15" t="s">
        <v>133</v>
      </c>
      <c r="F12" s="7" t="s">
        <v>150</v>
      </c>
      <c r="G12" s="7" t="s">
        <v>36</v>
      </c>
      <c r="H12" s="54" t="s">
        <v>160</v>
      </c>
      <c r="I12" s="53" t="s">
        <v>159</v>
      </c>
      <c r="J12" s="15" t="s">
        <v>38</v>
      </c>
      <c r="K12" s="7" t="s">
        <v>161</v>
      </c>
      <c r="L12" s="7">
        <v>2</v>
      </c>
      <c r="N12" s="7">
        <v>1</v>
      </c>
      <c r="O12" s="7">
        <v>0.75</v>
      </c>
      <c r="P12" s="7">
        <v>0.9</v>
      </c>
      <c r="Q12" s="52">
        <f t="shared" si="0"/>
        <v>0.82499999999999996</v>
      </c>
      <c r="R12" s="34">
        <v>18.899999999999999</v>
      </c>
      <c r="S12" s="7">
        <v>129</v>
      </c>
      <c r="T12" s="16">
        <f t="shared" si="1"/>
        <v>25</v>
      </c>
      <c r="U12" s="7">
        <v>98</v>
      </c>
      <c r="V12" s="16">
        <f t="shared" si="2"/>
        <v>2450</v>
      </c>
      <c r="W12" s="7">
        <v>10</v>
      </c>
      <c r="X12" s="15" t="s">
        <v>46</v>
      </c>
      <c r="Y12" s="54" t="s">
        <v>55</v>
      </c>
      <c r="Z12" s="54" t="s">
        <v>64</v>
      </c>
      <c r="AA12" s="54" t="s">
        <v>86</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165</v>
      </c>
      <c r="E13" s="15" t="s">
        <v>133</v>
      </c>
      <c r="F13" s="7" t="s">
        <v>150</v>
      </c>
      <c r="G13" s="7" t="s">
        <v>36</v>
      </c>
      <c r="H13" s="54" t="s">
        <v>160</v>
      </c>
      <c r="I13" s="53" t="s">
        <v>159</v>
      </c>
      <c r="J13" s="15" t="s">
        <v>38</v>
      </c>
      <c r="K13" s="7" t="s">
        <v>161</v>
      </c>
      <c r="L13" s="7">
        <v>3</v>
      </c>
      <c r="N13" s="7">
        <v>1</v>
      </c>
      <c r="O13" s="7">
        <v>0.75</v>
      </c>
      <c r="P13" s="7">
        <v>0.7</v>
      </c>
      <c r="Q13" s="52">
        <f t="shared" si="0"/>
        <v>0.72499999999999998</v>
      </c>
      <c r="R13" s="7">
        <v>16.8</v>
      </c>
      <c r="S13" s="7">
        <v>137</v>
      </c>
      <c r="T13" s="16">
        <f t="shared" si="1"/>
        <v>25</v>
      </c>
      <c r="U13" s="7">
        <v>98</v>
      </c>
      <c r="V13" s="16">
        <f t="shared" si="2"/>
        <v>2450</v>
      </c>
      <c r="W13" s="7">
        <v>10</v>
      </c>
      <c r="X13" s="15" t="s">
        <v>46</v>
      </c>
      <c r="Y13" s="54" t="s">
        <v>55</v>
      </c>
      <c r="Z13" s="54" t="s">
        <v>64</v>
      </c>
      <c r="AA13" s="54" t="s">
        <v>86</v>
      </c>
      <c r="AB13" s="39" t="s">
        <v>158</v>
      </c>
      <c r="AE13" s="22" t="s">
        <v>73</v>
      </c>
      <c r="AG13" s="23"/>
      <c r="AH13" s="23"/>
      <c r="AP13" s="23" t="s">
        <v>71</v>
      </c>
      <c r="AR13" s="30" t="s">
        <v>103</v>
      </c>
      <c r="AV13" s="23" t="s">
        <v>75</v>
      </c>
    </row>
    <row r="14" spans="1:53" x14ac:dyDescent="0.15">
      <c r="A14" s="15" t="s">
        <v>156</v>
      </c>
      <c r="B14" s="15" t="s">
        <v>157</v>
      </c>
      <c r="C14" s="15">
        <v>2019</v>
      </c>
      <c r="D14" s="37" t="s">
        <v>165</v>
      </c>
      <c r="E14" s="15" t="s">
        <v>142</v>
      </c>
      <c r="F14" s="7" t="s">
        <v>151</v>
      </c>
      <c r="G14" s="7" t="s">
        <v>36</v>
      </c>
      <c r="H14" s="15" t="s">
        <v>164</v>
      </c>
      <c r="I14" s="7" t="s">
        <v>159</v>
      </c>
      <c r="J14" s="15" t="s">
        <v>38</v>
      </c>
      <c r="K14" s="7" t="s">
        <v>161</v>
      </c>
      <c r="L14" s="7">
        <v>1</v>
      </c>
      <c r="N14" s="53">
        <v>1</v>
      </c>
      <c r="O14" s="7">
        <v>0.6</v>
      </c>
      <c r="P14" s="7">
        <v>0.65</v>
      </c>
      <c r="Q14" s="52">
        <f t="shared" si="0"/>
        <v>0.625</v>
      </c>
      <c r="R14" s="7">
        <v>14.5</v>
      </c>
      <c r="S14" s="7">
        <v>130</v>
      </c>
      <c r="T14" s="16">
        <f t="shared" si="1"/>
        <v>25</v>
      </c>
      <c r="U14" s="7">
        <v>138</v>
      </c>
      <c r="V14" s="16">
        <f t="shared" si="2"/>
        <v>3450</v>
      </c>
      <c r="W14" s="7">
        <v>5</v>
      </c>
      <c r="X14" s="15" t="s">
        <v>46</v>
      </c>
      <c r="Y14" s="54" t="s">
        <v>55</v>
      </c>
      <c r="Z14" s="54" t="s">
        <v>86</v>
      </c>
      <c r="AA14" s="15" t="s">
        <v>69</v>
      </c>
      <c r="AB14" s="39" t="s">
        <v>158</v>
      </c>
      <c r="AE14" s="22" t="s">
        <v>76</v>
      </c>
      <c r="AG14" s="23"/>
      <c r="AH14" s="23"/>
      <c r="AP14" s="23" t="s">
        <v>74</v>
      </c>
      <c r="AR14" s="30" t="s">
        <v>125</v>
      </c>
      <c r="AV14" s="23" t="s">
        <v>78</v>
      </c>
    </row>
    <row r="15" spans="1:53" x14ac:dyDescent="0.15">
      <c r="A15" s="15" t="s">
        <v>156</v>
      </c>
      <c r="B15" s="15" t="s">
        <v>157</v>
      </c>
      <c r="C15" s="15">
        <v>2019</v>
      </c>
      <c r="D15" s="37" t="s">
        <v>165</v>
      </c>
      <c r="E15" s="15" t="s">
        <v>142</v>
      </c>
      <c r="F15" s="7" t="s">
        <v>151</v>
      </c>
      <c r="G15" s="7" t="s">
        <v>36</v>
      </c>
      <c r="H15" s="15" t="s">
        <v>164</v>
      </c>
      <c r="I15" s="7" t="s">
        <v>159</v>
      </c>
      <c r="J15" s="15" t="s">
        <v>38</v>
      </c>
      <c r="K15" s="7" t="s">
        <v>161</v>
      </c>
      <c r="L15" s="7">
        <v>2</v>
      </c>
      <c r="N15" s="53">
        <v>1</v>
      </c>
      <c r="O15" s="7">
        <v>0.7</v>
      </c>
      <c r="P15" s="7">
        <v>0.7</v>
      </c>
      <c r="Q15" s="52">
        <f t="shared" si="0"/>
        <v>0.7</v>
      </c>
      <c r="R15" s="7">
        <v>13.2</v>
      </c>
      <c r="S15" s="7">
        <v>139</v>
      </c>
      <c r="T15" s="16">
        <f t="shared" si="1"/>
        <v>22</v>
      </c>
      <c r="U15" s="7">
        <v>138</v>
      </c>
      <c r="V15" s="16">
        <f t="shared" si="2"/>
        <v>3036</v>
      </c>
      <c r="W15" s="7">
        <v>5</v>
      </c>
      <c r="X15" s="15" t="s">
        <v>46</v>
      </c>
      <c r="Y15" s="54" t="s">
        <v>55</v>
      </c>
      <c r="Z15" s="54" t="s">
        <v>86</v>
      </c>
      <c r="AA15" s="54" t="s">
        <v>69</v>
      </c>
      <c r="AB15" s="39" t="s">
        <v>158</v>
      </c>
      <c r="AE15" s="22" t="s">
        <v>79</v>
      </c>
      <c r="AG15" s="23"/>
      <c r="AH15" s="23"/>
      <c r="AP15" s="23" t="s">
        <v>77</v>
      </c>
      <c r="AR15" s="30" t="s">
        <v>94</v>
      </c>
      <c r="AV15" s="23" t="s">
        <v>107</v>
      </c>
    </row>
    <row r="16" spans="1:53" x14ac:dyDescent="0.15">
      <c r="A16" s="15" t="s">
        <v>156</v>
      </c>
      <c r="B16" s="15" t="s">
        <v>157</v>
      </c>
      <c r="C16" s="15">
        <v>2019</v>
      </c>
      <c r="D16" s="37" t="s">
        <v>165</v>
      </c>
      <c r="E16" s="15" t="s">
        <v>142</v>
      </c>
      <c r="F16" s="7" t="s">
        <v>151</v>
      </c>
      <c r="G16" s="7" t="s">
        <v>36</v>
      </c>
      <c r="H16" s="15" t="s">
        <v>164</v>
      </c>
      <c r="I16" s="7" t="s">
        <v>159</v>
      </c>
      <c r="J16" s="15" t="s">
        <v>38</v>
      </c>
      <c r="K16" s="7" t="s">
        <v>161</v>
      </c>
      <c r="L16" s="7">
        <v>3</v>
      </c>
      <c r="N16" s="53">
        <v>1</v>
      </c>
      <c r="O16" s="7">
        <v>0.6</v>
      </c>
      <c r="P16" s="7">
        <v>0.75</v>
      </c>
      <c r="Q16" s="52">
        <f t="shared" si="0"/>
        <v>0.67500000000000004</v>
      </c>
      <c r="R16" s="7">
        <v>11.5</v>
      </c>
      <c r="S16" s="7">
        <v>135</v>
      </c>
      <c r="T16" s="16">
        <f t="shared" si="1"/>
        <v>25</v>
      </c>
      <c r="U16" s="7">
        <v>138</v>
      </c>
      <c r="V16" s="16">
        <f t="shared" si="2"/>
        <v>3450</v>
      </c>
      <c r="W16" s="7">
        <v>5</v>
      </c>
      <c r="X16" s="15" t="s">
        <v>46</v>
      </c>
      <c r="Y16" s="54" t="s">
        <v>55</v>
      </c>
      <c r="Z16" s="54" t="s">
        <v>86</v>
      </c>
      <c r="AA16" s="54" t="s">
        <v>69</v>
      </c>
      <c r="AB16" s="39" t="s">
        <v>158</v>
      </c>
      <c r="AE16" s="22" t="s">
        <v>82</v>
      </c>
      <c r="AG16" s="28"/>
      <c r="AH16" s="28"/>
      <c r="AP16" s="23" t="s">
        <v>80</v>
      </c>
      <c r="AR16" s="41" t="s">
        <v>63</v>
      </c>
      <c r="AV16" s="23" t="s">
        <v>84</v>
      </c>
    </row>
    <row r="17" spans="1:48" x14ac:dyDescent="0.15">
      <c r="A17" s="15" t="s">
        <v>156</v>
      </c>
      <c r="B17" s="15" t="s">
        <v>157</v>
      </c>
      <c r="C17" s="15">
        <v>2019</v>
      </c>
      <c r="D17" s="37" t="s">
        <v>165</v>
      </c>
      <c r="E17" s="15" t="s">
        <v>142</v>
      </c>
      <c r="F17" s="7" t="s">
        <v>151</v>
      </c>
      <c r="G17" s="7" t="s">
        <v>36</v>
      </c>
      <c r="H17" s="15" t="s">
        <v>160</v>
      </c>
      <c r="I17" s="7" t="s">
        <v>159</v>
      </c>
      <c r="J17" s="15" t="s">
        <v>38</v>
      </c>
      <c r="K17" s="7" t="s">
        <v>161</v>
      </c>
      <c r="L17" s="7">
        <v>1</v>
      </c>
      <c r="N17" s="7">
        <v>1</v>
      </c>
      <c r="O17" s="7">
        <v>0.75</v>
      </c>
      <c r="P17" s="7">
        <v>0.85</v>
      </c>
      <c r="Q17" s="52">
        <f t="shared" si="0"/>
        <v>0.8</v>
      </c>
      <c r="R17" s="7">
        <v>14.4</v>
      </c>
      <c r="S17" s="7">
        <v>135</v>
      </c>
      <c r="T17" s="16">
        <f t="shared" si="1"/>
        <v>25</v>
      </c>
      <c r="U17" s="7">
        <v>149</v>
      </c>
      <c r="V17" s="16">
        <f t="shared" si="2"/>
        <v>3725</v>
      </c>
      <c r="W17" s="7">
        <v>5</v>
      </c>
      <c r="X17" s="15" t="s">
        <v>46</v>
      </c>
      <c r="Y17" s="54" t="s">
        <v>55</v>
      </c>
      <c r="Z17" s="54" t="s">
        <v>86</v>
      </c>
      <c r="AA17" s="54" t="s">
        <v>69</v>
      </c>
      <c r="AB17" s="39" t="s">
        <v>158</v>
      </c>
      <c r="AE17" s="22" t="s">
        <v>85</v>
      </c>
      <c r="AP17" s="43" t="s">
        <v>110</v>
      </c>
      <c r="AR17" s="41" t="s">
        <v>96</v>
      </c>
      <c r="AV17" s="23" t="s">
        <v>86</v>
      </c>
    </row>
    <row r="18" spans="1:48" x14ac:dyDescent="0.15">
      <c r="A18" s="15" t="s">
        <v>156</v>
      </c>
      <c r="B18" s="15" t="s">
        <v>157</v>
      </c>
      <c r="C18" s="15">
        <v>2019</v>
      </c>
      <c r="D18" s="37" t="s">
        <v>165</v>
      </c>
      <c r="E18" s="15" t="s">
        <v>142</v>
      </c>
      <c r="F18" s="7" t="s">
        <v>151</v>
      </c>
      <c r="G18" s="7" t="s">
        <v>36</v>
      </c>
      <c r="H18" s="15" t="s">
        <v>160</v>
      </c>
      <c r="I18" s="7" t="s">
        <v>159</v>
      </c>
      <c r="J18" s="15" t="s">
        <v>38</v>
      </c>
      <c r="K18" s="7" t="s">
        <v>161</v>
      </c>
      <c r="L18" s="7">
        <v>2</v>
      </c>
      <c r="N18" s="7">
        <v>1</v>
      </c>
      <c r="O18" s="7">
        <v>0.65</v>
      </c>
      <c r="P18" s="7">
        <v>0.85</v>
      </c>
      <c r="Q18" s="52">
        <f t="shared" si="0"/>
        <v>0.75</v>
      </c>
      <c r="R18" s="7">
        <v>15.7</v>
      </c>
      <c r="S18" s="7">
        <v>131</v>
      </c>
      <c r="T18" s="16">
        <f t="shared" si="1"/>
        <v>25</v>
      </c>
      <c r="U18" s="7">
        <v>149</v>
      </c>
      <c r="V18" s="16">
        <f t="shared" si="2"/>
        <v>3725</v>
      </c>
      <c r="W18" s="7">
        <v>5</v>
      </c>
      <c r="X18" s="15" t="s">
        <v>46</v>
      </c>
      <c r="Y18" s="54" t="s">
        <v>55</v>
      </c>
      <c r="Z18" s="54" t="s">
        <v>86</v>
      </c>
      <c r="AA18" s="54" t="s">
        <v>69</v>
      </c>
      <c r="AB18" s="39" t="s">
        <v>158</v>
      </c>
      <c r="AE18" s="22" t="s">
        <v>87</v>
      </c>
      <c r="AP18" s="43" t="s">
        <v>111</v>
      </c>
      <c r="AR18" s="41" t="s">
        <v>101</v>
      </c>
      <c r="AV18" s="23" t="s">
        <v>88</v>
      </c>
    </row>
    <row r="19" spans="1:48" x14ac:dyDescent="0.15">
      <c r="A19" s="15" t="s">
        <v>156</v>
      </c>
      <c r="B19" s="15" t="s">
        <v>157</v>
      </c>
      <c r="C19" s="15">
        <v>2019</v>
      </c>
      <c r="D19" s="37" t="s">
        <v>165</v>
      </c>
      <c r="E19" s="15" t="s">
        <v>142</v>
      </c>
      <c r="F19" s="7" t="s">
        <v>151</v>
      </c>
      <c r="G19" s="7" t="s">
        <v>36</v>
      </c>
      <c r="H19" s="15" t="s">
        <v>160</v>
      </c>
      <c r="I19" s="7" t="s">
        <v>159</v>
      </c>
      <c r="J19" s="15" t="s">
        <v>38</v>
      </c>
      <c r="K19" s="7" t="s">
        <v>161</v>
      </c>
      <c r="L19" s="7">
        <v>3</v>
      </c>
      <c r="N19" s="7">
        <v>1</v>
      </c>
      <c r="O19" s="7">
        <v>0.65</v>
      </c>
      <c r="P19" s="7">
        <v>0.75</v>
      </c>
      <c r="Q19" s="52">
        <f t="shared" si="0"/>
        <v>0.7</v>
      </c>
      <c r="R19" s="7">
        <v>17.2</v>
      </c>
      <c r="S19" s="7">
        <v>139</v>
      </c>
      <c r="T19" s="16">
        <f t="shared" si="1"/>
        <v>22</v>
      </c>
      <c r="U19" s="7">
        <v>149</v>
      </c>
      <c r="V19" s="16">
        <f t="shared" si="2"/>
        <v>3278</v>
      </c>
      <c r="W19" s="7">
        <v>5</v>
      </c>
      <c r="X19" s="15" t="s">
        <v>46</v>
      </c>
      <c r="Y19" s="54" t="s">
        <v>55</v>
      </c>
      <c r="Z19" s="54" t="s">
        <v>86</v>
      </c>
      <c r="AA19" s="54" t="s">
        <v>69</v>
      </c>
      <c r="AB19" s="39" t="s">
        <v>158</v>
      </c>
      <c r="AE19" s="35" t="s">
        <v>89</v>
      </c>
      <c r="AP19" s="43" t="s">
        <v>112</v>
      </c>
      <c r="AR19" s="30" t="s">
        <v>126</v>
      </c>
      <c r="AV19" s="23" t="s">
        <v>90</v>
      </c>
    </row>
    <row r="20" spans="1:48" x14ac:dyDescent="0.15">
      <c r="A20" s="15" t="s">
        <v>156</v>
      </c>
      <c r="B20" s="15" t="s">
        <v>157</v>
      </c>
      <c r="C20" s="15">
        <v>2019</v>
      </c>
      <c r="D20" s="37" t="s">
        <v>165</v>
      </c>
      <c r="E20" s="15" t="s">
        <v>143</v>
      </c>
      <c r="F20" s="7" t="s">
        <v>152</v>
      </c>
      <c r="G20" s="7" t="s">
        <v>36</v>
      </c>
      <c r="H20" s="15" t="s">
        <v>164</v>
      </c>
      <c r="I20" s="7" t="s">
        <v>159</v>
      </c>
      <c r="J20" s="15" t="s">
        <v>38</v>
      </c>
      <c r="K20" s="7" t="s">
        <v>161</v>
      </c>
      <c r="L20" s="7">
        <v>1</v>
      </c>
      <c r="N20" s="7">
        <v>1</v>
      </c>
      <c r="O20" s="7">
        <v>0.9</v>
      </c>
      <c r="P20" s="34">
        <v>0.9</v>
      </c>
      <c r="Q20" s="52">
        <f t="shared" si="0"/>
        <v>0.9</v>
      </c>
      <c r="R20" s="7">
        <v>13.8</v>
      </c>
      <c r="S20" s="7">
        <v>124</v>
      </c>
      <c r="T20" s="16">
        <f t="shared" si="1"/>
        <v>27</v>
      </c>
      <c r="U20" s="7">
        <v>105</v>
      </c>
      <c r="V20" s="16">
        <f t="shared" si="2"/>
        <v>2835</v>
      </c>
      <c r="W20" s="7">
        <v>5</v>
      </c>
      <c r="X20" s="15" t="s">
        <v>46</v>
      </c>
      <c r="Y20" s="54" t="s">
        <v>55</v>
      </c>
      <c r="Z20" s="54" t="s">
        <v>86</v>
      </c>
      <c r="AA20" s="54" t="s">
        <v>64</v>
      </c>
      <c r="AB20" s="39" t="s">
        <v>158</v>
      </c>
      <c r="AE20" s="22"/>
      <c r="AP20" s="43" t="s">
        <v>113</v>
      </c>
      <c r="AR20" s="41" t="s">
        <v>105</v>
      </c>
      <c r="AV20" s="27" t="s">
        <v>135</v>
      </c>
    </row>
    <row r="21" spans="1:48" x14ac:dyDescent="0.15">
      <c r="A21" s="15" t="s">
        <v>156</v>
      </c>
      <c r="B21" s="15" t="s">
        <v>157</v>
      </c>
      <c r="C21" s="15">
        <v>2019</v>
      </c>
      <c r="D21" s="37" t="s">
        <v>165</v>
      </c>
      <c r="E21" s="15" t="s">
        <v>143</v>
      </c>
      <c r="F21" s="7" t="s">
        <v>152</v>
      </c>
      <c r="G21" s="7" t="s">
        <v>36</v>
      </c>
      <c r="H21" s="15" t="s">
        <v>164</v>
      </c>
      <c r="I21" s="7" t="s">
        <v>159</v>
      </c>
      <c r="J21" s="15" t="s">
        <v>38</v>
      </c>
      <c r="K21" s="7" t="s">
        <v>161</v>
      </c>
      <c r="L21" s="7">
        <v>2</v>
      </c>
      <c r="N21" s="7">
        <v>1</v>
      </c>
      <c r="O21" s="7">
        <v>0.95</v>
      </c>
      <c r="P21" s="7">
        <v>0.85</v>
      </c>
      <c r="Q21" s="52">
        <f t="shared" si="0"/>
        <v>0.89999999999999991</v>
      </c>
      <c r="R21" s="7">
        <v>16.7</v>
      </c>
      <c r="S21" s="7">
        <v>119</v>
      </c>
      <c r="T21" s="16">
        <f t="shared" si="1"/>
        <v>30</v>
      </c>
      <c r="U21" s="7">
        <v>105</v>
      </c>
      <c r="V21" s="16">
        <f t="shared" si="2"/>
        <v>3150</v>
      </c>
      <c r="W21" s="7">
        <v>5</v>
      </c>
      <c r="X21" s="15" t="s">
        <v>46</v>
      </c>
      <c r="Y21" s="54" t="s">
        <v>55</v>
      </c>
      <c r="Z21" s="54" t="s">
        <v>86</v>
      </c>
      <c r="AA21" s="54" t="s">
        <v>64</v>
      </c>
      <c r="AB21" s="39" t="s">
        <v>158</v>
      </c>
      <c r="AE21" s="22"/>
      <c r="AP21" s="43" t="s">
        <v>114</v>
      </c>
      <c r="AR21" s="41" t="s">
        <v>68</v>
      </c>
      <c r="AV21" s="27" t="s">
        <v>136</v>
      </c>
    </row>
    <row r="22" spans="1:48" x14ac:dyDescent="0.15">
      <c r="A22" s="15" t="s">
        <v>156</v>
      </c>
      <c r="B22" s="15" t="s">
        <v>157</v>
      </c>
      <c r="C22" s="15">
        <v>2019</v>
      </c>
      <c r="D22" s="37" t="s">
        <v>165</v>
      </c>
      <c r="E22" s="15" t="s">
        <v>143</v>
      </c>
      <c r="F22" s="7" t="s">
        <v>152</v>
      </c>
      <c r="G22" s="7" t="s">
        <v>36</v>
      </c>
      <c r="H22" s="15" t="s">
        <v>164</v>
      </c>
      <c r="I22" s="7" t="s">
        <v>159</v>
      </c>
      <c r="J22" s="15" t="s">
        <v>38</v>
      </c>
      <c r="K22" s="7" t="s">
        <v>161</v>
      </c>
      <c r="L22" s="7">
        <v>3</v>
      </c>
      <c r="N22" s="7">
        <v>1</v>
      </c>
      <c r="O22" s="34">
        <v>1</v>
      </c>
      <c r="P22" s="7">
        <v>0.95</v>
      </c>
      <c r="Q22" s="52">
        <f t="shared" si="0"/>
        <v>0.97499999999999998</v>
      </c>
      <c r="R22" s="7">
        <v>16.2</v>
      </c>
      <c r="S22" s="7">
        <v>123</v>
      </c>
      <c r="T22" s="16">
        <f t="shared" si="1"/>
        <v>27</v>
      </c>
      <c r="U22" s="7">
        <v>105</v>
      </c>
      <c r="V22" s="16">
        <f t="shared" si="2"/>
        <v>2835</v>
      </c>
      <c r="W22" s="7">
        <v>5</v>
      </c>
      <c r="X22" s="15" t="s">
        <v>46</v>
      </c>
      <c r="Y22" s="54" t="s">
        <v>55</v>
      </c>
      <c r="Z22" s="54" t="s">
        <v>86</v>
      </c>
      <c r="AA22" s="54" t="s">
        <v>64</v>
      </c>
      <c r="AB22" s="39" t="s">
        <v>158</v>
      </c>
      <c r="AE22" s="35"/>
      <c r="AP22" s="43" t="s">
        <v>115</v>
      </c>
      <c r="AR22" s="41" t="s">
        <v>83</v>
      </c>
      <c r="AV22" s="27"/>
    </row>
    <row r="23" spans="1:48" x14ac:dyDescent="0.15">
      <c r="A23" s="15" t="s">
        <v>156</v>
      </c>
      <c r="B23" s="15" t="s">
        <v>157</v>
      </c>
      <c r="C23" s="15">
        <v>2019</v>
      </c>
      <c r="D23" s="37" t="s">
        <v>165</v>
      </c>
      <c r="E23" s="7" t="s">
        <v>143</v>
      </c>
      <c r="F23" s="7" t="s">
        <v>152</v>
      </c>
      <c r="G23" s="7" t="s">
        <v>36</v>
      </c>
      <c r="H23" s="15" t="s">
        <v>160</v>
      </c>
      <c r="I23" s="7" t="s">
        <v>159</v>
      </c>
      <c r="J23" s="15" t="s">
        <v>38</v>
      </c>
      <c r="K23" s="7" t="s">
        <v>161</v>
      </c>
      <c r="L23" s="7">
        <v>1</v>
      </c>
      <c r="N23" s="7">
        <v>1</v>
      </c>
      <c r="O23" s="34">
        <v>0.5</v>
      </c>
      <c r="P23" s="7">
        <v>0.55000000000000004</v>
      </c>
      <c r="Q23" s="52">
        <f t="shared" si="0"/>
        <v>0.52500000000000002</v>
      </c>
      <c r="R23" s="7">
        <v>19</v>
      </c>
      <c r="S23" s="7">
        <v>124</v>
      </c>
      <c r="T23" s="16">
        <f t="shared" si="1"/>
        <v>27</v>
      </c>
      <c r="U23" s="7">
        <v>105</v>
      </c>
      <c r="V23" s="16">
        <f t="shared" si="2"/>
        <v>2835</v>
      </c>
      <c r="W23" s="7">
        <v>6</v>
      </c>
      <c r="X23" s="15" t="s">
        <v>46</v>
      </c>
      <c r="Y23" s="54" t="s">
        <v>55</v>
      </c>
      <c r="Z23" s="54" t="s">
        <v>86</v>
      </c>
      <c r="AA23" s="54" t="s">
        <v>64</v>
      </c>
      <c r="AB23" s="39" t="s">
        <v>158</v>
      </c>
      <c r="AE23" s="22"/>
      <c r="AP23" s="43" t="s">
        <v>137</v>
      </c>
      <c r="AR23" s="41" t="s">
        <v>61</v>
      </c>
      <c r="AV23" s="27"/>
    </row>
    <row r="24" spans="1:48" x14ac:dyDescent="0.15">
      <c r="A24" s="15" t="s">
        <v>156</v>
      </c>
      <c r="B24" s="15" t="s">
        <v>157</v>
      </c>
      <c r="C24" s="15">
        <v>2019</v>
      </c>
      <c r="D24" s="37" t="s">
        <v>165</v>
      </c>
      <c r="E24" s="7" t="s">
        <v>143</v>
      </c>
      <c r="F24" s="7" t="s">
        <v>152</v>
      </c>
      <c r="G24" s="7" t="s">
        <v>36</v>
      </c>
      <c r="H24" s="15" t="s">
        <v>160</v>
      </c>
      <c r="I24" s="7" t="s">
        <v>159</v>
      </c>
      <c r="J24" s="15" t="s">
        <v>38</v>
      </c>
      <c r="K24" s="7" t="s">
        <v>161</v>
      </c>
      <c r="L24" s="7">
        <v>2</v>
      </c>
      <c r="N24" s="7">
        <v>1</v>
      </c>
      <c r="O24" s="7">
        <v>0.7</v>
      </c>
      <c r="P24" s="7">
        <v>0.65</v>
      </c>
      <c r="Q24" s="52">
        <f t="shared" si="0"/>
        <v>0.67500000000000004</v>
      </c>
      <c r="R24" s="7">
        <v>18.399999999999999</v>
      </c>
      <c r="S24" s="7">
        <v>117</v>
      </c>
      <c r="T24" s="16">
        <f t="shared" si="1"/>
        <v>30</v>
      </c>
      <c r="U24" s="7">
        <v>105</v>
      </c>
      <c r="V24" s="16">
        <f t="shared" si="2"/>
        <v>3150</v>
      </c>
      <c r="W24" s="7">
        <v>6</v>
      </c>
      <c r="X24" s="15" t="s">
        <v>46</v>
      </c>
      <c r="Y24" s="54" t="s">
        <v>55</v>
      </c>
      <c r="Z24" s="54" t="s">
        <v>86</v>
      </c>
      <c r="AA24" s="54" t="s">
        <v>64</v>
      </c>
      <c r="AB24" s="39" t="s">
        <v>158</v>
      </c>
      <c r="AE24" s="22"/>
      <c r="AP24" s="43" t="s">
        <v>138</v>
      </c>
      <c r="AR24" s="41" t="s">
        <v>91</v>
      </c>
      <c r="AV24" s="27"/>
    </row>
    <row r="25" spans="1:48" x14ac:dyDescent="0.15">
      <c r="A25" s="15" t="s">
        <v>156</v>
      </c>
      <c r="B25" s="15" t="s">
        <v>157</v>
      </c>
      <c r="C25" s="15">
        <v>2019</v>
      </c>
      <c r="D25" s="37" t="s">
        <v>165</v>
      </c>
      <c r="E25" s="7" t="s">
        <v>143</v>
      </c>
      <c r="F25" s="7" t="s">
        <v>152</v>
      </c>
      <c r="G25" s="7" t="s">
        <v>36</v>
      </c>
      <c r="H25" s="15" t="s">
        <v>160</v>
      </c>
      <c r="I25" s="7" t="s">
        <v>159</v>
      </c>
      <c r="J25" s="15" t="s">
        <v>38</v>
      </c>
      <c r="K25" s="7" t="s">
        <v>161</v>
      </c>
      <c r="L25" s="7">
        <v>3</v>
      </c>
      <c r="N25" s="7">
        <v>1</v>
      </c>
      <c r="O25" s="7">
        <v>0.65</v>
      </c>
      <c r="P25" s="7">
        <v>0.6</v>
      </c>
      <c r="Q25" s="52">
        <f t="shared" si="0"/>
        <v>0.625</v>
      </c>
      <c r="R25" s="7">
        <v>16.2</v>
      </c>
      <c r="S25" s="7">
        <v>117</v>
      </c>
      <c r="T25" s="16">
        <f t="shared" si="1"/>
        <v>30</v>
      </c>
      <c r="U25" s="7">
        <v>105</v>
      </c>
      <c r="V25" s="16">
        <f t="shared" si="2"/>
        <v>3150</v>
      </c>
      <c r="W25" s="7">
        <v>6</v>
      </c>
      <c r="X25" s="15" t="s">
        <v>46</v>
      </c>
      <c r="Y25" s="54" t="s">
        <v>55</v>
      </c>
      <c r="Z25" s="54" t="s">
        <v>86</v>
      </c>
      <c r="AA25" s="54" t="s">
        <v>64</v>
      </c>
      <c r="AB25" s="39" t="s">
        <v>158</v>
      </c>
      <c r="AE25" s="35"/>
      <c r="AP25" s="43" t="s">
        <v>116</v>
      </c>
      <c r="AR25" s="42" t="s">
        <v>92</v>
      </c>
      <c r="AV25" s="27"/>
    </row>
    <row r="26" spans="1:48" x14ac:dyDescent="0.15">
      <c r="A26" s="15" t="s">
        <v>156</v>
      </c>
      <c r="B26" s="15" t="s">
        <v>157</v>
      </c>
      <c r="C26" s="15">
        <v>2019</v>
      </c>
      <c r="D26" s="37" t="s">
        <v>165</v>
      </c>
      <c r="E26" s="7" t="s">
        <v>131</v>
      </c>
      <c r="F26" s="7" t="s">
        <v>144</v>
      </c>
      <c r="G26" s="7" t="s">
        <v>36</v>
      </c>
      <c r="H26" s="15" t="s">
        <v>164</v>
      </c>
      <c r="I26" s="7" t="s">
        <v>159</v>
      </c>
      <c r="J26" s="15" t="s">
        <v>38</v>
      </c>
      <c r="K26" s="7" t="s">
        <v>161</v>
      </c>
      <c r="L26" s="7">
        <v>1</v>
      </c>
      <c r="N26" s="53">
        <v>1</v>
      </c>
      <c r="O26" s="7">
        <v>0.6</v>
      </c>
      <c r="P26" s="7">
        <v>0.6</v>
      </c>
      <c r="Q26" s="52">
        <f t="shared" si="0"/>
        <v>0.6</v>
      </c>
      <c r="R26" s="7">
        <v>13.5</v>
      </c>
      <c r="S26" s="7">
        <v>123</v>
      </c>
      <c r="T26" s="16">
        <f t="shared" si="1"/>
        <v>27</v>
      </c>
      <c r="U26" s="7">
        <v>73</v>
      </c>
      <c r="V26" s="16">
        <f t="shared" si="2"/>
        <v>1971</v>
      </c>
      <c r="W26" s="7">
        <v>5</v>
      </c>
      <c r="X26" s="15" t="s">
        <v>46</v>
      </c>
      <c r="Y26" s="54" t="s">
        <v>55</v>
      </c>
      <c r="Z26" s="54" t="s">
        <v>86</v>
      </c>
      <c r="AA26" s="54" t="s">
        <v>90</v>
      </c>
      <c r="AB26" s="39" t="s">
        <v>158</v>
      </c>
      <c r="AE26" s="35"/>
      <c r="AP26" s="43" t="s">
        <v>117</v>
      </c>
      <c r="AR26" s="23" t="s">
        <v>153</v>
      </c>
      <c r="AV26" s="28"/>
    </row>
    <row r="27" spans="1:48" x14ac:dyDescent="0.15">
      <c r="A27" s="15" t="s">
        <v>156</v>
      </c>
      <c r="B27" s="15" t="s">
        <v>157</v>
      </c>
      <c r="C27" s="15">
        <v>2019</v>
      </c>
      <c r="D27" s="37" t="s">
        <v>165</v>
      </c>
      <c r="E27" s="7" t="s">
        <v>131</v>
      </c>
      <c r="F27" s="7" t="s">
        <v>144</v>
      </c>
      <c r="G27" s="7" t="s">
        <v>36</v>
      </c>
      <c r="H27" s="54" t="s">
        <v>164</v>
      </c>
      <c r="I27" s="7" t="s">
        <v>159</v>
      </c>
      <c r="J27" s="15" t="s">
        <v>38</v>
      </c>
      <c r="K27" s="7" t="s">
        <v>161</v>
      </c>
      <c r="L27" s="7">
        <v>2</v>
      </c>
      <c r="N27" s="53">
        <v>1</v>
      </c>
      <c r="O27" s="7">
        <v>0.85</v>
      </c>
      <c r="P27" s="7">
        <v>0.95</v>
      </c>
      <c r="Q27" s="52">
        <f t="shared" si="0"/>
        <v>0.89999999999999991</v>
      </c>
      <c r="R27" s="7">
        <v>16</v>
      </c>
      <c r="S27" s="7">
        <v>121</v>
      </c>
      <c r="T27" s="16">
        <f t="shared" si="1"/>
        <v>27</v>
      </c>
      <c r="U27" s="7">
        <v>73</v>
      </c>
      <c r="V27" s="16">
        <f t="shared" si="2"/>
        <v>1971</v>
      </c>
      <c r="W27" s="7">
        <v>5</v>
      </c>
      <c r="X27" s="15" t="s">
        <v>46</v>
      </c>
      <c r="Y27" s="54" t="s">
        <v>55</v>
      </c>
      <c r="Z27" s="54" t="s">
        <v>86</v>
      </c>
      <c r="AA27" s="54" t="s">
        <v>90</v>
      </c>
      <c r="AB27" s="39" t="s">
        <v>158</v>
      </c>
      <c r="AE27" s="28"/>
      <c r="AP27" s="43" t="s">
        <v>118</v>
      </c>
      <c r="AR27" s="23"/>
    </row>
    <row r="28" spans="1:48" x14ac:dyDescent="0.15">
      <c r="A28" s="15" t="s">
        <v>156</v>
      </c>
      <c r="B28" s="15" t="s">
        <v>157</v>
      </c>
      <c r="C28" s="15">
        <v>2019</v>
      </c>
      <c r="D28" s="37" t="s">
        <v>165</v>
      </c>
      <c r="E28" s="7" t="s">
        <v>131</v>
      </c>
      <c r="F28" s="7" t="s">
        <v>144</v>
      </c>
      <c r="G28" s="7" t="s">
        <v>36</v>
      </c>
      <c r="H28" s="54" t="s">
        <v>164</v>
      </c>
      <c r="I28" s="7" t="s">
        <v>159</v>
      </c>
      <c r="J28" s="15" t="s">
        <v>38</v>
      </c>
      <c r="K28" s="7" t="s">
        <v>161</v>
      </c>
      <c r="L28" s="7">
        <v>3</v>
      </c>
      <c r="N28" s="53">
        <v>1</v>
      </c>
      <c r="O28" s="7">
        <v>0.75</v>
      </c>
      <c r="P28" s="7">
        <v>0.75</v>
      </c>
      <c r="Q28" s="52">
        <f t="shared" si="0"/>
        <v>0.75</v>
      </c>
      <c r="R28" s="7">
        <v>14</v>
      </c>
      <c r="S28" s="7">
        <v>126</v>
      </c>
      <c r="T28" s="16">
        <f t="shared" si="1"/>
        <v>27</v>
      </c>
      <c r="U28" s="7">
        <v>73</v>
      </c>
      <c r="V28" s="16">
        <f t="shared" si="2"/>
        <v>1971</v>
      </c>
      <c r="W28" s="7">
        <v>5</v>
      </c>
      <c r="X28" s="15" t="s">
        <v>46</v>
      </c>
      <c r="Y28" s="54" t="s">
        <v>55</v>
      </c>
      <c r="Z28" s="54" t="s">
        <v>86</v>
      </c>
      <c r="AA28" s="54" t="s">
        <v>90</v>
      </c>
      <c r="AB28" s="39" t="s">
        <v>158</v>
      </c>
      <c r="AP28" s="27"/>
      <c r="AR28" s="23"/>
    </row>
    <row r="29" spans="1:48" x14ac:dyDescent="0.15">
      <c r="A29" s="15" t="s">
        <v>156</v>
      </c>
      <c r="B29" s="15" t="s">
        <v>157</v>
      </c>
      <c r="C29" s="15">
        <v>2019</v>
      </c>
      <c r="D29" s="37" t="s">
        <v>165</v>
      </c>
      <c r="E29" s="7" t="s">
        <v>131</v>
      </c>
      <c r="F29" s="7" t="s">
        <v>144</v>
      </c>
      <c r="G29" s="7" t="s">
        <v>36</v>
      </c>
      <c r="H29" s="54" t="s">
        <v>160</v>
      </c>
      <c r="I29" s="7" t="s">
        <v>159</v>
      </c>
      <c r="J29" s="15" t="s">
        <v>38</v>
      </c>
      <c r="K29" s="7" t="s">
        <v>161</v>
      </c>
      <c r="L29" s="7">
        <v>1</v>
      </c>
      <c r="N29" s="53">
        <v>1</v>
      </c>
      <c r="O29" s="7">
        <v>0.6</v>
      </c>
      <c r="P29" s="7">
        <v>0.75</v>
      </c>
      <c r="Q29" s="52">
        <f t="shared" si="0"/>
        <v>0.67500000000000004</v>
      </c>
      <c r="R29" s="7">
        <v>18.2</v>
      </c>
      <c r="S29" s="7">
        <v>126</v>
      </c>
      <c r="T29" s="16">
        <f t="shared" si="1"/>
        <v>27</v>
      </c>
      <c r="U29" s="7">
        <v>107</v>
      </c>
      <c r="V29" s="16">
        <f t="shared" si="2"/>
        <v>2889</v>
      </c>
      <c r="W29" s="7">
        <v>7</v>
      </c>
      <c r="X29" s="15" t="s">
        <v>46</v>
      </c>
      <c r="Y29" s="54" t="s">
        <v>55</v>
      </c>
      <c r="Z29" s="54" t="s">
        <v>86</v>
      </c>
      <c r="AA29" s="54" t="s">
        <v>90</v>
      </c>
      <c r="AB29" s="39" t="s">
        <v>158</v>
      </c>
      <c r="AP29" s="27"/>
      <c r="AR29" s="27"/>
      <c r="AV29" s="28"/>
    </row>
    <row r="30" spans="1:48" x14ac:dyDescent="0.15">
      <c r="A30" s="15" t="s">
        <v>156</v>
      </c>
      <c r="B30" s="15" t="s">
        <v>157</v>
      </c>
      <c r="C30" s="15">
        <v>2019</v>
      </c>
      <c r="D30" s="37" t="s">
        <v>165</v>
      </c>
      <c r="E30" s="7" t="s">
        <v>131</v>
      </c>
      <c r="F30" s="7" t="s">
        <v>144</v>
      </c>
      <c r="G30" s="7" t="s">
        <v>36</v>
      </c>
      <c r="H30" s="54" t="s">
        <v>160</v>
      </c>
      <c r="I30" s="53" t="s">
        <v>159</v>
      </c>
      <c r="J30" s="15" t="s">
        <v>38</v>
      </c>
      <c r="K30" s="7" t="s">
        <v>161</v>
      </c>
      <c r="L30" s="7">
        <v>2</v>
      </c>
      <c r="N30" s="7">
        <v>1</v>
      </c>
      <c r="O30" s="7">
        <v>0.75</v>
      </c>
      <c r="P30" s="7">
        <v>0.7</v>
      </c>
      <c r="Q30" s="52">
        <f t="shared" si="0"/>
        <v>0.72499999999999998</v>
      </c>
      <c r="R30" s="7">
        <v>17</v>
      </c>
      <c r="S30" s="7">
        <v>120</v>
      </c>
      <c r="T30" s="16">
        <f t="shared" si="1"/>
        <v>30</v>
      </c>
      <c r="U30" s="7">
        <v>107</v>
      </c>
      <c r="V30" s="16">
        <f t="shared" si="2"/>
        <v>3210</v>
      </c>
      <c r="W30" s="7">
        <v>7</v>
      </c>
      <c r="X30" s="15" t="s">
        <v>46</v>
      </c>
      <c r="Y30" s="54" t="s">
        <v>55</v>
      </c>
      <c r="Z30" s="54" t="s">
        <v>86</v>
      </c>
      <c r="AA30" s="54" t="s">
        <v>90</v>
      </c>
      <c r="AB30" s="39" t="s">
        <v>158</v>
      </c>
      <c r="AP30" s="27"/>
      <c r="AR30" s="27"/>
    </row>
    <row r="31" spans="1:48" x14ac:dyDescent="0.15">
      <c r="A31" s="15" t="s">
        <v>156</v>
      </c>
      <c r="B31" s="15" t="s">
        <v>157</v>
      </c>
      <c r="C31" s="15">
        <v>2019</v>
      </c>
      <c r="D31" s="37" t="s">
        <v>165</v>
      </c>
      <c r="E31" s="7" t="s">
        <v>131</v>
      </c>
      <c r="F31" s="7" t="s">
        <v>144</v>
      </c>
      <c r="G31" s="7" t="s">
        <v>36</v>
      </c>
      <c r="H31" s="54" t="s">
        <v>160</v>
      </c>
      <c r="I31" s="53" t="s">
        <v>159</v>
      </c>
      <c r="J31" s="15" t="s">
        <v>38</v>
      </c>
      <c r="K31" s="7" t="s">
        <v>161</v>
      </c>
      <c r="L31" s="7">
        <v>3</v>
      </c>
      <c r="N31" s="7">
        <v>1</v>
      </c>
      <c r="O31" s="7">
        <v>0.65</v>
      </c>
      <c r="P31" s="7">
        <v>0.75</v>
      </c>
      <c r="Q31" s="52">
        <f t="shared" si="0"/>
        <v>0.7</v>
      </c>
      <c r="R31" s="7">
        <v>15.8</v>
      </c>
      <c r="S31" s="7">
        <v>126</v>
      </c>
      <c r="T31" s="16">
        <f t="shared" si="1"/>
        <v>27</v>
      </c>
      <c r="U31" s="7">
        <v>107</v>
      </c>
      <c r="V31" s="16">
        <f t="shared" si="2"/>
        <v>2889</v>
      </c>
      <c r="W31" s="7">
        <v>7</v>
      </c>
      <c r="X31" s="15" t="s">
        <v>46</v>
      </c>
      <c r="Y31" s="54" t="s">
        <v>55</v>
      </c>
      <c r="Z31" s="54" t="s">
        <v>86</v>
      </c>
      <c r="AA31" s="54" t="s">
        <v>90</v>
      </c>
      <c r="AB31" s="39" t="s">
        <v>158</v>
      </c>
      <c r="AP31" s="27"/>
      <c r="AR31" s="27"/>
    </row>
    <row r="32" spans="1:48" x14ac:dyDescent="0.15">
      <c r="A32" s="15" t="s">
        <v>156</v>
      </c>
      <c r="B32" s="15" t="s">
        <v>157</v>
      </c>
      <c r="C32" s="15">
        <v>2019</v>
      </c>
      <c r="D32" s="37" t="s">
        <v>165</v>
      </c>
      <c r="E32" s="7" t="s">
        <v>139</v>
      </c>
      <c r="F32" s="7" t="s">
        <v>145</v>
      </c>
      <c r="G32" s="7" t="s">
        <v>36</v>
      </c>
      <c r="H32" s="15" t="s">
        <v>164</v>
      </c>
      <c r="I32" s="7" t="s">
        <v>159</v>
      </c>
      <c r="J32" s="15" t="s">
        <v>38</v>
      </c>
      <c r="K32" s="7" t="s">
        <v>161</v>
      </c>
      <c r="L32" s="7">
        <v>1</v>
      </c>
      <c r="N32" s="7">
        <v>1</v>
      </c>
      <c r="O32" s="7">
        <v>1</v>
      </c>
      <c r="P32" s="7">
        <v>1</v>
      </c>
      <c r="Q32" s="52">
        <f t="shared" si="0"/>
        <v>1</v>
      </c>
      <c r="R32" s="7">
        <v>16.600000000000001</v>
      </c>
      <c r="S32" s="7">
        <v>113</v>
      </c>
      <c r="T32" s="16">
        <f t="shared" si="1"/>
        <v>30</v>
      </c>
      <c r="U32" s="7">
        <v>100</v>
      </c>
      <c r="V32" s="16">
        <f t="shared" si="2"/>
        <v>3000</v>
      </c>
      <c r="W32" s="7">
        <v>10</v>
      </c>
      <c r="X32" s="15" t="s">
        <v>46</v>
      </c>
      <c r="Y32" s="54" t="s">
        <v>97</v>
      </c>
      <c r="Z32" s="54" t="s">
        <v>55</v>
      </c>
      <c r="AA32" s="54" t="s">
        <v>86</v>
      </c>
      <c r="AB32" s="39" t="s">
        <v>158</v>
      </c>
      <c r="AP32" s="28"/>
      <c r="AR32" s="28"/>
    </row>
    <row r="33" spans="1:44" x14ac:dyDescent="0.15">
      <c r="A33" s="15" t="s">
        <v>156</v>
      </c>
      <c r="B33" s="15" t="s">
        <v>157</v>
      </c>
      <c r="C33" s="15">
        <v>2019</v>
      </c>
      <c r="D33" s="37" t="s">
        <v>165</v>
      </c>
      <c r="E33" s="7" t="s">
        <v>139</v>
      </c>
      <c r="F33" s="7" t="s">
        <v>145</v>
      </c>
      <c r="G33" s="7" t="s">
        <v>36</v>
      </c>
      <c r="H33" s="15" t="s">
        <v>164</v>
      </c>
      <c r="I33" s="53" t="s">
        <v>159</v>
      </c>
      <c r="J33" s="15" t="s">
        <v>38</v>
      </c>
      <c r="K33" s="7" t="s">
        <v>161</v>
      </c>
      <c r="L33" s="7">
        <v>2</v>
      </c>
      <c r="N33" s="7">
        <v>1</v>
      </c>
      <c r="O33" s="7">
        <v>0.5</v>
      </c>
      <c r="P33" s="7">
        <v>0.5</v>
      </c>
      <c r="Q33" s="52">
        <f t="shared" si="0"/>
        <v>0.5</v>
      </c>
      <c r="R33" s="7">
        <v>17.8</v>
      </c>
      <c r="S33" s="7">
        <v>121</v>
      </c>
      <c r="T33" s="16">
        <f t="shared" si="1"/>
        <v>27</v>
      </c>
      <c r="U33" s="7">
        <v>100</v>
      </c>
      <c r="V33" s="16">
        <f t="shared" si="2"/>
        <v>2700</v>
      </c>
      <c r="W33" s="7">
        <v>10</v>
      </c>
      <c r="X33" s="15" t="s">
        <v>46</v>
      </c>
      <c r="Y33" s="54" t="s">
        <v>97</v>
      </c>
      <c r="Z33" s="54" t="s">
        <v>55</v>
      </c>
      <c r="AA33" s="54" t="s">
        <v>86</v>
      </c>
      <c r="AB33" s="39" t="s">
        <v>158</v>
      </c>
    </row>
    <row r="34" spans="1:44" x14ac:dyDescent="0.15">
      <c r="A34" s="15" t="s">
        <v>156</v>
      </c>
      <c r="B34" s="15" t="s">
        <v>157</v>
      </c>
      <c r="C34" s="15">
        <v>2019</v>
      </c>
      <c r="D34" s="37" t="s">
        <v>165</v>
      </c>
      <c r="E34" s="7" t="s">
        <v>139</v>
      </c>
      <c r="F34" s="7" t="s">
        <v>145</v>
      </c>
      <c r="G34" s="7" t="s">
        <v>36</v>
      </c>
      <c r="H34" s="15" t="s">
        <v>164</v>
      </c>
      <c r="I34" s="53" t="s">
        <v>159</v>
      </c>
      <c r="J34" s="15" t="s">
        <v>38</v>
      </c>
      <c r="K34" s="7" t="s">
        <v>161</v>
      </c>
      <c r="L34" s="7">
        <v>3</v>
      </c>
      <c r="N34" s="7">
        <v>1</v>
      </c>
      <c r="O34" s="7">
        <v>0.55000000000000004</v>
      </c>
      <c r="P34" s="7">
        <v>0.5</v>
      </c>
      <c r="Q34" s="52">
        <f t="shared" si="0"/>
        <v>0.52500000000000002</v>
      </c>
      <c r="R34" s="7">
        <v>17</v>
      </c>
      <c r="S34" s="7">
        <v>117</v>
      </c>
      <c r="T34" s="16">
        <f t="shared" si="1"/>
        <v>30</v>
      </c>
      <c r="U34" s="7">
        <v>100</v>
      </c>
      <c r="V34" s="16">
        <f t="shared" si="2"/>
        <v>3000</v>
      </c>
      <c r="W34" s="7">
        <v>10</v>
      </c>
      <c r="X34" s="15" t="s">
        <v>46</v>
      </c>
      <c r="Y34" s="54" t="s">
        <v>97</v>
      </c>
      <c r="Z34" s="54" t="s">
        <v>55</v>
      </c>
      <c r="AA34" s="54" t="s">
        <v>86</v>
      </c>
      <c r="AB34" s="39" t="s">
        <v>158</v>
      </c>
    </row>
    <row r="35" spans="1:44" x14ac:dyDescent="0.15">
      <c r="A35" s="15" t="s">
        <v>156</v>
      </c>
      <c r="B35" s="15" t="s">
        <v>157</v>
      </c>
      <c r="C35" s="15">
        <v>2019</v>
      </c>
      <c r="D35" s="37" t="s">
        <v>165</v>
      </c>
      <c r="E35" s="7" t="s">
        <v>139</v>
      </c>
      <c r="F35" s="7" t="s">
        <v>145</v>
      </c>
      <c r="G35" s="7" t="s">
        <v>36</v>
      </c>
      <c r="H35" s="15" t="s">
        <v>160</v>
      </c>
      <c r="I35" s="7" t="s">
        <v>159</v>
      </c>
      <c r="J35" s="15" t="s">
        <v>38</v>
      </c>
      <c r="K35" s="7" t="s">
        <v>161</v>
      </c>
      <c r="L35" s="7">
        <v>1</v>
      </c>
      <c r="N35" s="7">
        <v>1</v>
      </c>
      <c r="O35" s="7">
        <v>0.5</v>
      </c>
      <c r="P35" s="7">
        <v>0.5</v>
      </c>
      <c r="Q35" s="52">
        <f t="shared" si="0"/>
        <v>0.5</v>
      </c>
      <c r="R35" s="7">
        <v>18.100000000000001</v>
      </c>
      <c r="S35" s="7">
        <v>113</v>
      </c>
      <c r="T35" s="16">
        <f t="shared" si="1"/>
        <v>30</v>
      </c>
      <c r="U35" s="7">
        <v>159</v>
      </c>
      <c r="V35" s="16">
        <f t="shared" si="2"/>
        <v>4770</v>
      </c>
      <c r="W35" s="7">
        <v>13</v>
      </c>
      <c r="X35" s="15" t="s">
        <v>46</v>
      </c>
      <c r="Y35" s="54" t="s">
        <v>97</v>
      </c>
      <c r="Z35" s="54" t="s">
        <v>55</v>
      </c>
      <c r="AA35" s="54" t="s">
        <v>86</v>
      </c>
      <c r="AB35" s="39" t="s">
        <v>158</v>
      </c>
      <c r="AP35" s="28"/>
      <c r="AR35" s="28"/>
    </row>
    <row r="36" spans="1:44" x14ac:dyDescent="0.15">
      <c r="A36" s="15" t="s">
        <v>156</v>
      </c>
      <c r="B36" s="15" t="s">
        <v>157</v>
      </c>
      <c r="C36" s="15">
        <v>2019</v>
      </c>
      <c r="D36" s="37" t="s">
        <v>165</v>
      </c>
      <c r="E36" s="7" t="s">
        <v>139</v>
      </c>
      <c r="F36" s="7" t="s">
        <v>145</v>
      </c>
      <c r="G36" s="7" t="s">
        <v>36</v>
      </c>
      <c r="H36" s="54" t="s">
        <v>160</v>
      </c>
      <c r="I36" s="7" t="s">
        <v>159</v>
      </c>
      <c r="J36" s="15" t="s">
        <v>38</v>
      </c>
      <c r="K36" s="7" t="s">
        <v>161</v>
      </c>
      <c r="L36" s="7">
        <v>2</v>
      </c>
      <c r="N36" s="7">
        <v>1</v>
      </c>
      <c r="O36" s="7">
        <v>0.6</v>
      </c>
      <c r="P36" s="7">
        <v>0.6</v>
      </c>
      <c r="Q36" s="52">
        <f t="shared" si="0"/>
        <v>0.6</v>
      </c>
      <c r="R36" s="7">
        <v>19.100000000000001</v>
      </c>
      <c r="S36" s="7">
        <v>106</v>
      </c>
      <c r="T36" s="16">
        <f t="shared" si="1"/>
        <v>33</v>
      </c>
      <c r="U36" s="7">
        <v>159</v>
      </c>
      <c r="V36" s="16">
        <f t="shared" si="2"/>
        <v>5247</v>
      </c>
      <c r="W36" s="7">
        <v>13</v>
      </c>
      <c r="X36" s="15" t="s">
        <v>46</v>
      </c>
      <c r="Y36" s="54" t="s">
        <v>97</v>
      </c>
      <c r="Z36" s="54" t="s">
        <v>55</v>
      </c>
      <c r="AA36" s="54" t="s">
        <v>86</v>
      </c>
      <c r="AB36" s="39" t="s">
        <v>158</v>
      </c>
    </row>
    <row r="37" spans="1:44" x14ac:dyDescent="0.15">
      <c r="A37" s="15" t="s">
        <v>156</v>
      </c>
      <c r="B37" s="15" t="s">
        <v>157</v>
      </c>
      <c r="C37" s="15">
        <v>2019</v>
      </c>
      <c r="D37" s="37" t="s">
        <v>165</v>
      </c>
      <c r="E37" s="7" t="s">
        <v>139</v>
      </c>
      <c r="F37" s="7" t="s">
        <v>145</v>
      </c>
      <c r="G37" s="7" t="s">
        <v>36</v>
      </c>
      <c r="H37" s="54" t="s">
        <v>160</v>
      </c>
      <c r="I37" s="7" t="s">
        <v>159</v>
      </c>
      <c r="J37" s="15" t="s">
        <v>38</v>
      </c>
      <c r="K37" s="7" t="s">
        <v>161</v>
      </c>
      <c r="L37" s="7">
        <v>3</v>
      </c>
      <c r="N37" s="7">
        <v>1</v>
      </c>
      <c r="O37" s="34">
        <v>0.65</v>
      </c>
      <c r="P37" s="34">
        <v>0.75</v>
      </c>
      <c r="Q37" s="52">
        <f t="shared" si="0"/>
        <v>0.7</v>
      </c>
      <c r="R37" s="7">
        <v>19</v>
      </c>
      <c r="S37" s="7">
        <v>108</v>
      </c>
      <c r="T37" s="16">
        <f t="shared" si="1"/>
        <v>33</v>
      </c>
      <c r="U37" s="7">
        <v>159</v>
      </c>
      <c r="V37" s="16">
        <f t="shared" si="2"/>
        <v>5247</v>
      </c>
      <c r="W37" s="7">
        <v>13</v>
      </c>
      <c r="X37" s="15" t="s">
        <v>46</v>
      </c>
      <c r="Y37" s="54" t="s">
        <v>97</v>
      </c>
      <c r="Z37" s="54" t="s">
        <v>55</v>
      </c>
      <c r="AA37" s="54" t="s">
        <v>86</v>
      </c>
      <c r="AB37" s="39" t="s">
        <v>158</v>
      </c>
    </row>
    <row r="38" spans="1:44" x14ac:dyDescent="0.15">
      <c r="A38" s="15" t="s">
        <v>156</v>
      </c>
      <c r="B38" s="15" t="s">
        <v>157</v>
      </c>
      <c r="C38" s="15">
        <v>2019</v>
      </c>
      <c r="D38" s="37" t="s">
        <v>165</v>
      </c>
      <c r="E38" s="7" t="s">
        <v>162</v>
      </c>
      <c r="F38" s="7" t="s">
        <v>163</v>
      </c>
      <c r="G38" s="7" t="s">
        <v>36</v>
      </c>
      <c r="H38" s="15" t="s">
        <v>164</v>
      </c>
      <c r="I38" s="7" t="s">
        <v>159</v>
      </c>
      <c r="J38" s="15" t="s">
        <v>38</v>
      </c>
      <c r="K38" s="7" t="s">
        <v>161</v>
      </c>
      <c r="L38" s="7">
        <v>1</v>
      </c>
      <c r="N38" s="53">
        <v>1</v>
      </c>
      <c r="O38" s="34">
        <v>0.8</v>
      </c>
      <c r="P38" s="34">
        <v>0.8</v>
      </c>
      <c r="Q38" s="52">
        <f t="shared" si="0"/>
        <v>0.8</v>
      </c>
      <c r="R38" s="7">
        <v>16.5</v>
      </c>
      <c r="S38" s="7">
        <v>109</v>
      </c>
      <c r="T38" s="16">
        <f t="shared" si="1"/>
        <v>33</v>
      </c>
      <c r="U38" s="7">
        <v>95</v>
      </c>
      <c r="V38" s="16">
        <f t="shared" si="2"/>
        <v>3135</v>
      </c>
      <c r="W38" s="7">
        <v>8</v>
      </c>
      <c r="X38" s="15" t="s">
        <v>46</v>
      </c>
      <c r="Y38" s="54" t="s">
        <v>55</v>
      </c>
      <c r="Z38" s="54" t="s">
        <v>69</v>
      </c>
      <c r="AA38" s="54" t="s">
        <v>90</v>
      </c>
      <c r="AB38" s="39" t="s">
        <v>158</v>
      </c>
    </row>
    <row r="39" spans="1:44" x14ac:dyDescent="0.15">
      <c r="A39" s="15" t="s">
        <v>156</v>
      </c>
      <c r="B39" s="15" t="s">
        <v>157</v>
      </c>
      <c r="C39" s="15">
        <v>2019</v>
      </c>
      <c r="D39" s="37" t="s">
        <v>165</v>
      </c>
      <c r="E39" s="7" t="s">
        <v>162</v>
      </c>
      <c r="F39" s="7" t="s">
        <v>163</v>
      </c>
      <c r="G39" s="7" t="s">
        <v>36</v>
      </c>
      <c r="H39" s="54" t="s">
        <v>164</v>
      </c>
      <c r="I39" s="7" t="s">
        <v>159</v>
      </c>
      <c r="J39" s="15" t="s">
        <v>38</v>
      </c>
      <c r="K39" s="7" t="s">
        <v>161</v>
      </c>
      <c r="L39" s="7">
        <v>2</v>
      </c>
      <c r="N39" s="53">
        <v>1</v>
      </c>
      <c r="O39" s="7">
        <v>0.7</v>
      </c>
      <c r="P39" s="7">
        <v>0.8</v>
      </c>
      <c r="Q39" s="52">
        <f t="shared" si="0"/>
        <v>0.75</v>
      </c>
      <c r="R39" s="34">
        <v>14.6</v>
      </c>
      <c r="S39" s="7">
        <v>110</v>
      </c>
      <c r="T39" s="16">
        <f t="shared" si="1"/>
        <v>33</v>
      </c>
      <c r="U39" s="7">
        <v>95</v>
      </c>
      <c r="V39" s="16">
        <f t="shared" si="2"/>
        <v>3135</v>
      </c>
      <c r="W39" s="7">
        <v>8</v>
      </c>
      <c r="X39" s="15" t="s">
        <v>46</v>
      </c>
      <c r="Y39" s="54" t="s">
        <v>55</v>
      </c>
      <c r="Z39" s="54" t="s">
        <v>69</v>
      </c>
      <c r="AA39" s="54" t="s">
        <v>90</v>
      </c>
      <c r="AB39" s="39" t="s">
        <v>158</v>
      </c>
    </row>
    <row r="40" spans="1:44" x14ac:dyDescent="0.15">
      <c r="A40" s="15" t="s">
        <v>156</v>
      </c>
      <c r="B40" s="15" t="s">
        <v>157</v>
      </c>
      <c r="C40" s="15">
        <v>2019</v>
      </c>
      <c r="D40" s="37" t="s">
        <v>165</v>
      </c>
      <c r="E40" s="7" t="s">
        <v>162</v>
      </c>
      <c r="F40" s="7" t="s">
        <v>163</v>
      </c>
      <c r="G40" s="7" t="s">
        <v>36</v>
      </c>
      <c r="H40" s="54" t="s">
        <v>164</v>
      </c>
      <c r="I40" s="7" t="s">
        <v>159</v>
      </c>
      <c r="J40" s="15" t="s">
        <v>38</v>
      </c>
      <c r="K40" s="7" t="s">
        <v>161</v>
      </c>
      <c r="L40" s="7">
        <v>3</v>
      </c>
      <c r="N40" s="53">
        <v>1</v>
      </c>
      <c r="O40" s="7">
        <v>0.5</v>
      </c>
      <c r="P40" s="7">
        <v>0.5</v>
      </c>
      <c r="Q40" s="52">
        <f t="shared" si="0"/>
        <v>0.5</v>
      </c>
      <c r="R40" s="7">
        <v>15.4</v>
      </c>
      <c r="S40" s="7">
        <v>105</v>
      </c>
      <c r="T40" s="16">
        <f t="shared" si="1"/>
        <v>33</v>
      </c>
      <c r="U40" s="7">
        <v>95</v>
      </c>
      <c r="V40" s="16">
        <f t="shared" si="2"/>
        <v>3135</v>
      </c>
      <c r="W40" s="7">
        <v>8</v>
      </c>
      <c r="X40" s="15" t="s">
        <v>46</v>
      </c>
      <c r="Y40" s="54" t="s">
        <v>55</v>
      </c>
      <c r="Z40" s="54" t="s">
        <v>69</v>
      </c>
      <c r="AA40" s="54" t="s">
        <v>90</v>
      </c>
      <c r="AB40" s="39" t="s">
        <v>158</v>
      </c>
    </row>
    <row r="41" spans="1:44" ht="12.75" customHeight="1" x14ac:dyDescent="0.15">
      <c r="A41" s="15" t="s">
        <v>156</v>
      </c>
      <c r="B41" s="15" t="s">
        <v>157</v>
      </c>
      <c r="C41" s="15">
        <v>2019</v>
      </c>
      <c r="D41" s="37" t="s">
        <v>165</v>
      </c>
      <c r="E41" s="7" t="s">
        <v>162</v>
      </c>
      <c r="F41" s="7" t="s">
        <v>163</v>
      </c>
      <c r="G41" s="7" t="s">
        <v>36</v>
      </c>
      <c r="H41" s="15" t="s">
        <v>160</v>
      </c>
      <c r="I41" s="7" t="s">
        <v>159</v>
      </c>
      <c r="J41" s="15" t="s">
        <v>38</v>
      </c>
      <c r="K41" s="7" t="s">
        <v>161</v>
      </c>
      <c r="L41" s="7">
        <v>1</v>
      </c>
      <c r="N41" s="7">
        <v>1</v>
      </c>
      <c r="O41" s="7">
        <v>0.5</v>
      </c>
      <c r="P41" s="7">
        <v>0.5</v>
      </c>
      <c r="Q41" s="52">
        <f t="shared" si="0"/>
        <v>0.5</v>
      </c>
      <c r="R41" s="7">
        <v>20.2</v>
      </c>
      <c r="S41" s="7">
        <v>148</v>
      </c>
      <c r="T41" s="16">
        <f t="shared" si="1"/>
        <v>22</v>
      </c>
      <c r="U41" s="7">
        <v>95</v>
      </c>
      <c r="V41" s="16">
        <f t="shared" si="2"/>
        <v>2090</v>
      </c>
      <c r="W41" s="7">
        <v>6</v>
      </c>
      <c r="X41" s="15" t="s">
        <v>46</v>
      </c>
      <c r="Y41" s="54" t="s">
        <v>55</v>
      </c>
      <c r="Z41" s="54" t="s">
        <v>69</v>
      </c>
      <c r="AA41" s="54" t="s">
        <v>90</v>
      </c>
      <c r="AB41" s="39" t="s">
        <v>158</v>
      </c>
    </row>
    <row r="42" spans="1:44" x14ac:dyDescent="0.15">
      <c r="A42" s="15" t="s">
        <v>156</v>
      </c>
      <c r="B42" s="15" t="s">
        <v>157</v>
      </c>
      <c r="C42" s="15">
        <v>2019</v>
      </c>
      <c r="D42" s="37" t="s">
        <v>165</v>
      </c>
      <c r="E42" s="7" t="s">
        <v>162</v>
      </c>
      <c r="F42" s="7" t="s">
        <v>163</v>
      </c>
      <c r="G42" s="7" t="s">
        <v>36</v>
      </c>
      <c r="H42" s="54" t="s">
        <v>160</v>
      </c>
      <c r="I42" s="7" t="s">
        <v>159</v>
      </c>
      <c r="J42" s="15" t="s">
        <v>38</v>
      </c>
      <c r="K42" s="7" t="s">
        <v>161</v>
      </c>
      <c r="L42" s="7">
        <v>2</v>
      </c>
      <c r="N42" s="7">
        <v>1</v>
      </c>
      <c r="O42" s="7">
        <v>0.6</v>
      </c>
      <c r="P42" s="7">
        <v>0.6</v>
      </c>
      <c r="Q42" s="52">
        <f t="shared" si="0"/>
        <v>0.6</v>
      </c>
      <c r="R42" s="7">
        <v>18.8</v>
      </c>
      <c r="S42" s="7">
        <v>141</v>
      </c>
      <c r="T42" s="16">
        <f t="shared" si="1"/>
        <v>22</v>
      </c>
      <c r="U42" s="7">
        <v>95</v>
      </c>
      <c r="V42" s="16">
        <f t="shared" si="2"/>
        <v>2090</v>
      </c>
      <c r="W42" s="7">
        <v>6</v>
      </c>
      <c r="X42" s="15" t="s">
        <v>46</v>
      </c>
      <c r="Y42" s="54" t="s">
        <v>55</v>
      </c>
      <c r="Z42" s="54" t="s">
        <v>69</v>
      </c>
      <c r="AA42" s="54" t="s">
        <v>90</v>
      </c>
      <c r="AB42" s="39" t="s">
        <v>158</v>
      </c>
    </row>
    <row r="43" spans="1:44" x14ac:dyDescent="0.15">
      <c r="A43" s="15" t="s">
        <v>156</v>
      </c>
      <c r="B43" s="15" t="s">
        <v>157</v>
      </c>
      <c r="C43" s="15">
        <v>2019</v>
      </c>
      <c r="D43" s="37" t="s">
        <v>165</v>
      </c>
      <c r="E43" s="7" t="s">
        <v>162</v>
      </c>
      <c r="F43" s="7" t="s">
        <v>163</v>
      </c>
      <c r="G43" s="7" t="s">
        <v>36</v>
      </c>
      <c r="H43" s="54" t="s">
        <v>160</v>
      </c>
      <c r="I43" s="7" t="s">
        <v>159</v>
      </c>
      <c r="J43" s="15" t="s">
        <v>38</v>
      </c>
      <c r="K43" s="7" t="s">
        <v>161</v>
      </c>
      <c r="L43" s="7">
        <v>3</v>
      </c>
      <c r="N43" s="7">
        <v>1</v>
      </c>
      <c r="O43" s="7">
        <v>0.5</v>
      </c>
      <c r="P43" s="7">
        <v>0.65</v>
      </c>
      <c r="Q43" s="52">
        <f t="shared" si="0"/>
        <v>0.57499999999999996</v>
      </c>
      <c r="R43" s="7">
        <v>18.600000000000001</v>
      </c>
      <c r="S43" s="7">
        <v>142</v>
      </c>
      <c r="T43" s="16">
        <f t="shared" si="1"/>
        <v>22</v>
      </c>
      <c r="U43" s="7">
        <v>95</v>
      </c>
      <c r="V43" s="16">
        <f t="shared" si="2"/>
        <v>2090</v>
      </c>
      <c r="W43" s="7">
        <v>6</v>
      </c>
      <c r="X43" s="15" t="s">
        <v>46</v>
      </c>
      <c r="Y43" s="54" t="s">
        <v>55</v>
      </c>
      <c r="Z43" s="54" t="s">
        <v>69</v>
      </c>
      <c r="AA43" s="54" t="s">
        <v>90</v>
      </c>
      <c r="AB43" s="39" t="s">
        <v>158</v>
      </c>
    </row>
    <row r="44" spans="1:44" x14ac:dyDescent="0.15">
      <c r="A44" s="15" t="s">
        <v>156</v>
      </c>
      <c r="B44" s="15" t="s">
        <v>157</v>
      </c>
      <c r="C44" s="15">
        <v>2019</v>
      </c>
      <c r="D44" s="37" t="s">
        <v>165</v>
      </c>
      <c r="E44" s="7" t="s">
        <v>130</v>
      </c>
      <c r="F44" s="7" t="s">
        <v>146</v>
      </c>
      <c r="G44" s="7" t="s">
        <v>36</v>
      </c>
      <c r="H44" s="15" t="s">
        <v>164</v>
      </c>
      <c r="I44" s="7" t="s">
        <v>159</v>
      </c>
      <c r="J44" s="15" t="s">
        <v>38</v>
      </c>
      <c r="K44" s="7" t="s">
        <v>161</v>
      </c>
      <c r="L44" s="7">
        <v>1</v>
      </c>
      <c r="N44" s="7">
        <v>1</v>
      </c>
      <c r="O44" s="7">
        <v>0.9</v>
      </c>
      <c r="P44" s="7">
        <v>0.85</v>
      </c>
      <c r="Q44" s="52">
        <f t="shared" si="0"/>
        <v>0.875</v>
      </c>
      <c r="R44" s="7">
        <v>15.8</v>
      </c>
      <c r="S44" s="7">
        <v>122</v>
      </c>
      <c r="T44" s="16">
        <f t="shared" si="1"/>
        <v>27</v>
      </c>
      <c r="U44" s="7">
        <v>105</v>
      </c>
      <c r="V44" s="16">
        <f t="shared" si="2"/>
        <v>2835</v>
      </c>
      <c r="W44" s="7">
        <v>8</v>
      </c>
      <c r="X44" s="15" t="s">
        <v>46</v>
      </c>
      <c r="Y44" s="54" t="s">
        <v>55</v>
      </c>
      <c r="Z44" s="54" t="s">
        <v>97</v>
      </c>
      <c r="AA44" s="54" t="s">
        <v>86</v>
      </c>
      <c r="AB44" s="39" t="s">
        <v>158</v>
      </c>
    </row>
    <row r="45" spans="1:44" x14ac:dyDescent="0.15">
      <c r="A45" s="15" t="s">
        <v>156</v>
      </c>
      <c r="B45" s="15" t="s">
        <v>157</v>
      </c>
      <c r="C45" s="15">
        <v>2019</v>
      </c>
      <c r="D45" s="37" t="s">
        <v>165</v>
      </c>
      <c r="E45" s="7" t="s">
        <v>130</v>
      </c>
      <c r="F45" s="7" t="s">
        <v>146</v>
      </c>
      <c r="G45" s="7" t="s">
        <v>36</v>
      </c>
      <c r="H45" s="15" t="s">
        <v>164</v>
      </c>
      <c r="I45" s="7" t="s">
        <v>159</v>
      </c>
      <c r="J45" s="15" t="s">
        <v>38</v>
      </c>
      <c r="K45" s="7" t="s">
        <v>161</v>
      </c>
      <c r="L45" s="7">
        <v>2</v>
      </c>
      <c r="N45" s="7">
        <v>1</v>
      </c>
      <c r="O45" s="7">
        <v>0.9</v>
      </c>
      <c r="P45" s="7">
        <v>0.8</v>
      </c>
      <c r="Q45" s="52">
        <f t="shared" si="0"/>
        <v>0.85000000000000009</v>
      </c>
      <c r="R45" s="7">
        <v>15.9</v>
      </c>
      <c r="S45" s="7">
        <v>120</v>
      </c>
      <c r="T45" s="16">
        <f t="shared" si="1"/>
        <v>30</v>
      </c>
      <c r="U45" s="7">
        <v>105</v>
      </c>
      <c r="V45" s="16">
        <f t="shared" si="2"/>
        <v>3150</v>
      </c>
      <c r="W45" s="7">
        <v>8</v>
      </c>
      <c r="X45" s="15" t="s">
        <v>46</v>
      </c>
      <c r="Y45" s="54" t="s">
        <v>55</v>
      </c>
      <c r="Z45" s="54" t="s">
        <v>97</v>
      </c>
      <c r="AA45" s="54" t="s">
        <v>86</v>
      </c>
      <c r="AB45" s="39" t="s">
        <v>158</v>
      </c>
    </row>
    <row r="46" spans="1:44" x14ac:dyDescent="0.15">
      <c r="A46" s="15" t="s">
        <v>156</v>
      </c>
      <c r="B46" s="15" t="s">
        <v>157</v>
      </c>
      <c r="C46" s="15">
        <v>2019</v>
      </c>
      <c r="D46" s="37" t="s">
        <v>165</v>
      </c>
      <c r="E46" s="7" t="s">
        <v>130</v>
      </c>
      <c r="F46" s="7" t="s">
        <v>146</v>
      </c>
      <c r="G46" s="7" t="s">
        <v>36</v>
      </c>
      <c r="H46" s="15" t="s">
        <v>164</v>
      </c>
      <c r="I46" s="7" t="s">
        <v>159</v>
      </c>
      <c r="J46" s="15" t="s">
        <v>38</v>
      </c>
      <c r="K46" s="7" t="s">
        <v>161</v>
      </c>
      <c r="L46" s="7">
        <v>3</v>
      </c>
      <c r="N46" s="7">
        <v>1</v>
      </c>
      <c r="O46" s="7">
        <v>0.7</v>
      </c>
      <c r="P46" s="34">
        <v>0.85</v>
      </c>
      <c r="Q46" s="52">
        <f t="shared" si="0"/>
        <v>0.77499999999999991</v>
      </c>
      <c r="R46" s="7">
        <v>16</v>
      </c>
      <c r="S46" s="7">
        <v>114</v>
      </c>
      <c r="T46" s="16">
        <f t="shared" si="1"/>
        <v>30</v>
      </c>
      <c r="U46" s="7">
        <v>105</v>
      </c>
      <c r="V46" s="16">
        <f t="shared" si="2"/>
        <v>3150</v>
      </c>
      <c r="W46" s="7">
        <v>8</v>
      </c>
      <c r="X46" s="15" t="s">
        <v>46</v>
      </c>
      <c r="Y46" s="54" t="s">
        <v>55</v>
      </c>
      <c r="Z46" s="54" t="s">
        <v>97</v>
      </c>
      <c r="AA46" s="54" t="s">
        <v>86</v>
      </c>
      <c r="AB46" s="39" t="s">
        <v>158</v>
      </c>
    </row>
    <row r="47" spans="1:44" x14ac:dyDescent="0.15">
      <c r="A47" s="15" t="s">
        <v>156</v>
      </c>
      <c r="B47" s="15" t="s">
        <v>157</v>
      </c>
      <c r="C47" s="15">
        <v>2019</v>
      </c>
      <c r="D47" s="37" t="s">
        <v>165</v>
      </c>
      <c r="E47" s="7" t="s">
        <v>130</v>
      </c>
      <c r="F47" s="7" t="s">
        <v>146</v>
      </c>
      <c r="G47" s="7" t="s">
        <v>36</v>
      </c>
      <c r="H47" s="15" t="s">
        <v>160</v>
      </c>
      <c r="I47" s="7" t="s">
        <v>159</v>
      </c>
      <c r="J47" s="15" t="s">
        <v>38</v>
      </c>
      <c r="K47" s="7" t="s">
        <v>161</v>
      </c>
      <c r="L47" s="7">
        <v>1</v>
      </c>
      <c r="N47" s="7">
        <v>1</v>
      </c>
      <c r="O47" s="7">
        <v>0.6</v>
      </c>
      <c r="P47" s="7">
        <v>0.8</v>
      </c>
      <c r="Q47" s="52">
        <f t="shared" si="0"/>
        <v>0.7</v>
      </c>
      <c r="R47" s="7">
        <v>15.5</v>
      </c>
      <c r="S47" s="7">
        <v>135</v>
      </c>
      <c r="T47" s="16">
        <f t="shared" si="1"/>
        <v>25</v>
      </c>
      <c r="U47" s="7">
        <v>105</v>
      </c>
      <c r="V47" s="16">
        <f t="shared" si="2"/>
        <v>2625</v>
      </c>
      <c r="W47" s="7">
        <v>20</v>
      </c>
      <c r="X47" s="15" t="s">
        <v>46</v>
      </c>
      <c r="Y47" s="54" t="s">
        <v>55</v>
      </c>
      <c r="Z47" s="54" t="s">
        <v>97</v>
      </c>
      <c r="AA47" s="54" t="s">
        <v>86</v>
      </c>
      <c r="AB47" s="39" t="s">
        <v>158</v>
      </c>
    </row>
    <row r="48" spans="1:44" x14ac:dyDescent="0.15">
      <c r="A48" s="15" t="s">
        <v>156</v>
      </c>
      <c r="B48" s="15" t="s">
        <v>157</v>
      </c>
      <c r="C48" s="15">
        <v>2019</v>
      </c>
      <c r="D48" s="37" t="s">
        <v>165</v>
      </c>
      <c r="E48" s="7" t="s">
        <v>130</v>
      </c>
      <c r="F48" s="7" t="s">
        <v>146</v>
      </c>
      <c r="G48" s="7" t="s">
        <v>36</v>
      </c>
      <c r="H48" s="15" t="s">
        <v>160</v>
      </c>
      <c r="I48" s="7" t="s">
        <v>159</v>
      </c>
      <c r="J48" s="15" t="s">
        <v>38</v>
      </c>
      <c r="K48" s="7" t="s">
        <v>161</v>
      </c>
      <c r="L48" s="7">
        <v>2</v>
      </c>
      <c r="N48" s="7">
        <v>1</v>
      </c>
      <c r="O48" s="7">
        <v>0.8</v>
      </c>
      <c r="P48" s="7">
        <v>0.8</v>
      </c>
      <c r="Q48" s="52">
        <f t="shared" si="0"/>
        <v>0.8</v>
      </c>
      <c r="R48" s="7">
        <v>16</v>
      </c>
      <c r="S48" s="7">
        <v>135</v>
      </c>
      <c r="T48" s="16">
        <f t="shared" si="1"/>
        <v>25</v>
      </c>
      <c r="U48" s="7">
        <v>105</v>
      </c>
      <c r="V48" s="16">
        <f t="shared" si="2"/>
        <v>2625</v>
      </c>
      <c r="W48" s="7">
        <v>20</v>
      </c>
      <c r="X48" s="15" t="s">
        <v>46</v>
      </c>
      <c r="Y48" s="54" t="s">
        <v>55</v>
      </c>
      <c r="Z48" s="54" t="s">
        <v>97</v>
      </c>
      <c r="AA48" s="54" t="s">
        <v>86</v>
      </c>
      <c r="AB48" s="39" t="s">
        <v>158</v>
      </c>
    </row>
    <row r="49" spans="1:29" x14ac:dyDescent="0.15">
      <c r="A49" s="15" t="s">
        <v>156</v>
      </c>
      <c r="B49" s="15" t="s">
        <v>157</v>
      </c>
      <c r="C49" s="15">
        <v>2019</v>
      </c>
      <c r="D49" s="37" t="s">
        <v>165</v>
      </c>
      <c r="E49" s="7" t="s">
        <v>130</v>
      </c>
      <c r="F49" s="7" t="s">
        <v>146</v>
      </c>
      <c r="G49" s="7" t="s">
        <v>36</v>
      </c>
      <c r="H49" s="15" t="s">
        <v>160</v>
      </c>
      <c r="I49" s="7" t="s">
        <v>159</v>
      </c>
      <c r="J49" s="15" t="s">
        <v>38</v>
      </c>
      <c r="K49" s="7" t="s">
        <v>161</v>
      </c>
      <c r="L49" s="7">
        <v>3</v>
      </c>
      <c r="N49" s="7">
        <v>1</v>
      </c>
      <c r="O49" s="7">
        <v>0.7</v>
      </c>
      <c r="P49" s="34">
        <v>0.7</v>
      </c>
      <c r="Q49" s="52">
        <f t="shared" si="0"/>
        <v>0.7</v>
      </c>
      <c r="R49" s="7">
        <v>17.2</v>
      </c>
      <c r="S49" s="7">
        <v>136</v>
      </c>
      <c r="T49" s="16">
        <f t="shared" si="1"/>
        <v>25</v>
      </c>
      <c r="U49" s="7">
        <v>105</v>
      </c>
      <c r="V49" s="16">
        <f t="shared" si="2"/>
        <v>2625</v>
      </c>
      <c r="W49" s="7">
        <v>20</v>
      </c>
      <c r="X49" s="15" t="s">
        <v>46</v>
      </c>
      <c r="Y49" s="54" t="s">
        <v>55</v>
      </c>
      <c r="Z49" s="54" t="s">
        <v>97</v>
      </c>
      <c r="AA49" s="54" t="s">
        <v>86</v>
      </c>
      <c r="AB49" s="39" t="s">
        <v>158</v>
      </c>
    </row>
    <row r="50" spans="1:29" x14ac:dyDescent="0.15">
      <c r="A50" s="15" t="s">
        <v>156</v>
      </c>
      <c r="B50" s="15" t="s">
        <v>157</v>
      </c>
      <c r="C50" s="15">
        <v>2019</v>
      </c>
      <c r="D50" s="37" t="s">
        <v>165</v>
      </c>
      <c r="E50" s="7" t="s">
        <v>132</v>
      </c>
      <c r="F50" s="7" t="s">
        <v>147</v>
      </c>
      <c r="G50" s="7" t="s">
        <v>36</v>
      </c>
      <c r="H50" s="15" t="s">
        <v>164</v>
      </c>
      <c r="I50" s="7" t="s">
        <v>159</v>
      </c>
      <c r="J50" s="15" t="s">
        <v>38</v>
      </c>
      <c r="K50" s="7" t="s">
        <v>161</v>
      </c>
      <c r="L50" s="7">
        <v>1</v>
      </c>
      <c r="N50" s="7">
        <v>1</v>
      </c>
      <c r="O50" s="7">
        <v>0.65</v>
      </c>
      <c r="P50" s="7">
        <v>0.8</v>
      </c>
      <c r="Q50" s="52">
        <f t="shared" si="0"/>
        <v>0.72500000000000009</v>
      </c>
      <c r="R50" s="7">
        <v>14.4</v>
      </c>
      <c r="S50" s="7">
        <v>109</v>
      </c>
      <c r="T50" s="16">
        <f t="shared" si="1"/>
        <v>33</v>
      </c>
      <c r="U50" s="7">
        <v>84</v>
      </c>
      <c r="V50" s="16">
        <f t="shared" si="2"/>
        <v>2772</v>
      </c>
      <c r="W50" s="7">
        <v>8</v>
      </c>
      <c r="X50" s="15" t="s">
        <v>46</v>
      </c>
      <c r="Y50" s="54" t="s">
        <v>55</v>
      </c>
      <c r="Z50" s="54" t="s">
        <v>86</v>
      </c>
      <c r="AA50" s="54" t="s">
        <v>97</v>
      </c>
      <c r="AB50" s="39" t="s">
        <v>158</v>
      </c>
    </row>
    <row r="51" spans="1:29" x14ac:dyDescent="0.15">
      <c r="A51" s="15" t="s">
        <v>156</v>
      </c>
      <c r="B51" s="15" t="s">
        <v>157</v>
      </c>
      <c r="C51" s="15">
        <v>2019</v>
      </c>
      <c r="D51" s="37" t="s">
        <v>165</v>
      </c>
      <c r="E51" s="7" t="s">
        <v>132</v>
      </c>
      <c r="F51" s="7" t="s">
        <v>147</v>
      </c>
      <c r="G51" s="7" t="s">
        <v>36</v>
      </c>
      <c r="H51" s="15" t="s">
        <v>164</v>
      </c>
      <c r="I51" s="7" t="s">
        <v>159</v>
      </c>
      <c r="J51" s="15" t="s">
        <v>38</v>
      </c>
      <c r="K51" s="7" t="s">
        <v>161</v>
      </c>
      <c r="L51" s="7">
        <v>2</v>
      </c>
      <c r="N51" s="7">
        <v>1</v>
      </c>
      <c r="O51" s="7">
        <v>0.75</v>
      </c>
      <c r="P51" s="7">
        <v>0.8</v>
      </c>
      <c r="Q51" s="52">
        <f t="shared" si="0"/>
        <v>0.77500000000000002</v>
      </c>
      <c r="R51" s="7">
        <v>13.7</v>
      </c>
      <c r="S51" s="7">
        <v>107</v>
      </c>
      <c r="T51" s="16">
        <f t="shared" si="1"/>
        <v>33</v>
      </c>
      <c r="U51" s="7">
        <v>84</v>
      </c>
      <c r="V51" s="16">
        <f t="shared" si="2"/>
        <v>2772</v>
      </c>
      <c r="W51" s="7">
        <v>8</v>
      </c>
      <c r="X51" s="15" t="s">
        <v>46</v>
      </c>
      <c r="Y51" s="54" t="s">
        <v>55</v>
      </c>
      <c r="Z51" s="54" t="s">
        <v>86</v>
      </c>
      <c r="AA51" s="54" t="s">
        <v>97</v>
      </c>
      <c r="AB51" s="39" t="s">
        <v>158</v>
      </c>
    </row>
    <row r="52" spans="1:29" x14ac:dyDescent="0.15">
      <c r="A52" s="15" t="s">
        <v>156</v>
      </c>
      <c r="B52" s="15" t="s">
        <v>157</v>
      </c>
      <c r="C52" s="15">
        <v>2019</v>
      </c>
      <c r="D52" s="37" t="s">
        <v>165</v>
      </c>
      <c r="E52" s="7" t="s">
        <v>132</v>
      </c>
      <c r="F52" s="7" t="s">
        <v>147</v>
      </c>
      <c r="G52" s="7" t="s">
        <v>36</v>
      </c>
      <c r="H52" s="15" t="s">
        <v>164</v>
      </c>
      <c r="I52" s="7" t="s">
        <v>159</v>
      </c>
      <c r="J52" s="15" t="s">
        <v>38</v>
      </c>
      <c r="K52" s="7" t="s">
        <v>161</v>
      </c>
      <c r="L52" s="7">
        <v>3</v>
      </c>
      <c r="N52" s="7">
        <v>1</v>
      </c>
      <c r="O52" s="7">
        <v>0.8</v>
      </c>
      <c r="P52" s="7">
        <v>0.85</v>
      </c>
      <c r="Q52" s="52">
        <f t="shared" si="0"/>
        <v>0.82499999999999996</v>
      </c>
      <c r="R52" s="7">
        <v>12.9</v>
      </c>
      <c r="S52" s="7">
        <v>109</v>
      </c>
      <c r="T52" s="16">
        <f t="shared" si="1"/>
        <v>33</v>
      </c>
      <c r="U52" s="7">
        <v>84</v>
      </c>
      <c r="V52" s="16">
        <f t="shared" si="2"/>
        <v>2772</v>
      </c>
      <c r="W52" s="7">
        <v>8</v>
      </c>
      <c r="X52" s="15" t="s">
        <v>46</v>
      </c>
      <c r="Y52" s="54" t="s">
        <v>55</v>
      </c>
      <c r="Z52" s="54" t="s">
        <v>86</v>
      </c>
      <c r="AA52" s="54" t="s">
        <v>97</v>
      </c>
      <c r="AB52" s="39" t="s">
        <v>158</v>
      </c>
    </row>
    <row r="53" spans="1:29" x14ac:dyDescent="0.15">
      <c r="A53" s="15" t="s">
        <v>156</v>
      </c>
      <c r="B53" s="15" t="s">
        <v>157</v>
      </c>
      <c r="C53" s="15">
        <v>2019</v>
      </c>
      <c r="D53" s="37" t="s">
        <v>165</v>
      </c>
      <c r="E53" s="7" t="s">
        <v>132</v>
      </c>
      <c r="F53" s="7" t="s">
        <v>147</v>
      </c>
      <c r="G53" s="7" t="s">
        <v>36</v>
      </c>
      <c r="H53" s="15" t="s">
        <v>160</v>
      </c>
      <c r="I53" s="7" t="s">
        <v>159</v>
      </c>
      <c r="J53" s="15" t="s">
        <v>38</v>
      </c>
      <c r="K53" s="7" t="s">
        <v>161</v>
      </c>
      <c r="L53" s="7">
        <v>1</v>
      </c>
      <c r="N53" s="7">
        <v>1</v>
      </c>
      <c r="O53" s="7">
        <v>0.65</v>
      </c>
      <c r="P53" s="7">
        <v>0.7</v>
      </c>
      <c r="Q53" s="52">
        <f t="shared" si="0"/>
        <v>0.67500000000000004</v>
      </c>
      <c r="R53" s="7">
        <v>19.3</v>
      </c>
      <c r="S53" s="7">
        <v>143</v>
      </c>
      <c r="T53" s="16">
        <f t="shared" si="1"/>
        <v>22</v>
      </c>
      <c r="U53" s="7">
        <v>149</v>
      </c>
      <c r="V53" s="16">
        <f t="shared" si="2"/>
        <v>3278</v>
      </c>
      <c r="W53" s="7">
        <v>8</v>
      </c>
      <c r="X53" s="15" t="s">
        <v>46</v>
      </c>
      <c r="Y53" s="54" t="s">
        <v>55</v>
      </c>
      <c r="Z53" s="54" t="s">
        <v>86</v>
      </c>
      <c r="AA53" s="54" t="s">
        <v>97</v>
      </c>
      <c r="AB53" s="39" t="s">
        <v>158</v>
      </c>
      <c r="AC53" s="36"/>
    </row>
    <row r="54" spans="1:29" x14ac:dyDescent="0.15">
      <c r="A54" s="15" t="s">
        <v>156</v>
      </c>
      <c r="B54" s="15" t="s">
        <v>157</v>
      </c>
      <c r="C54" s="15">
        <v>2019</v>
      </c>
      <c r="D54" s="37" t="s">
        <v>165</v>
      </c>
      <c r="E54" s="7" t="s">
        <v>132</v>
      </c>
      <c r="F54" s="7" t="s">
        <v>147</v>
      </c>
      <c r="G54" s="7" t="s">
        <v>36</v>
      </c>
      <c r="H54" s="15" t="s">
        <v>160</v>
      </c>
      <c r="I54" s="7" t="s">
        <v>159</v>
      </c>
      <c r="J54" s="15" t="s">
        <v>38</v>
      </c>
      <c r="K54" s="7" t="s">
        <v>161</v>
      </c>
      <c r="L54" s="7">
        <v>2</v>
      </c>
      <c r="N54" s="7">
        <v>1</v>
      </c>
      <c r="O54" s="7">
        <v>0.8</v>
      </c>
      <c r="P54" s="7">
        <v>0.7</v>
      </c>
      <c r="Q54" s="52">
        <f t="shared" si="0"/>
        <v>0.75</v>
      </c>
      <c r="R54" s="7">
        <v>19.399999999999999</v>
      </c>
      <c r="S54" s="7">
        <v>138</v>
      </c>
      <c r="T54" s="16">
        <f t="shared" si="1"/>
        <v>22</v>
      </c>
      <c r="U54" s="7">
        <v>149</v>
      </c>
      <c r="V54" s="16">
        <f t="shared" si="2"/>
        <v>3278</v>
      </c>
      <c r="W54" s="7">
        <v>8</v>
      </c>
      <c r="X54" s="15" t="s">
        <v>46</v>
      </c>
      <c r="Y54" s="54" t="s">
        <v>55</v>
      </c>
      <c r="Z54" s="54" t="s">
        <v>86</v>
      </c>
      <c r="AA54" s="54" t="s">
        <v>97</v>
      </c>
      <c r="AB54" s="39" t="s">
        <v>158</v>
      </c>
      <c r="AC54" s="36"/>
    </row>
    <row r="55" spans="1:29" x14ac:dyDescent="0.15">
      <c r="A55" s="15" t="s">
        <v>156</v>
      </c>
      <c r="B55" s="15" t="s">
        <v>157</v>
      </c>
      <c r="C55" s="15">
        <v>2019</v>
      </c>
      <c r="D55" s="37" t="s">
        <v>165</v>
      </c>
      <c r="E55" s="7" t="s">
        <v>132</v>
      </c>
      <c r="F55" s="7" t="s">
        <v>147</v>
      </c>
      <c r="G55" s="7" t="s">
        <v>36</v>
      </c>
      <c r="H55" s="15" t="s">
        <v>160</v>
      </c>
      <c r="I55" s="7" t="s">
        <v>159</v>
      </c>
      <c r="J55" s="15" t="s">
        <v>38</v>
      </c>
      <c r="K55" s="7" t="s">
        <v>161</v>
      </c>
      <c r="L55" s="7">
        <v>3</v>
      </c>
      <c r="N55" s="7">
        <v>1</v>
      </c>
      <c r="O55" s="7">
        <v>0.8</v>
      </c>
      <c r="P55" s="7">
        <v>0.85</v>
      </c>
      <c r="Q55" s="52">
        <f t="shared" si="0"/>
        <v>0.82499999999999996</v>
      </c>
      <c r="R55" s="7">
        <v>19.2</v>
      </c>
      <c r="S55" s="7">
        <v>145</v>
      </c>
      <c r="T55" s="16">
        <f t="shared" si="1"/>
        <v>22</v>
      </c>
      <c r="U55" s="7">
        <v>149</v>
      </c>
      <c r="V55" s="16">
        <f t="shared" si="2"/>
        <v>3278</v>
      </c>
      <c r="W55" s="7">
        <v>8</v>
      </c>
      <c r="X55" s="15" t="s">
        <v>46</v>
      </c>
      <c r="Y55" s="54" t="s">
        <v>55</v>
      </c>
      <c r="Z55" s="54" t="s">
        <v>86</v>
      </c>
      <c r="AA55" s="54" t="s">
        <v>97</v>
      </c>
      <c r="AB55" s="39" t="s">
        <v>158</v>
      </c>
      <c r="AC55" s="36"/>
    </row>
    <row r="56" spans="1:29" x14ac:dyDescent="0.15">
      <c r="A56" s="15" t="s">
        <v>156</v>
      </c>
      <c r="B56" s="15" t="s">
        <v>157</v>
      </c>
      <c r="C56" s="15">
        <v>2019</v>
      </c>
      <c r="D56" s="37" t="s">
        <v>165</v>
      </c>
      <c r="E56" s="7" t="s">
        <v>140</v>
      </c>
      <c r="F56" s="7" t="s">
        <v>148</v>
      </c>
      <c r="G56" s="7" t="s">
        <v>36</v>
      </c>
      <c r="H56" s="15" t="s">
        <v>164</v>
      </c>
      <c r="I56" s="7" t="s">
        <v>159</v>
      </c>
      <c r="J56" s="15" t="s">
        <v>38</v>
      </c>
      <c r="K56" s="7" t="s">
        <v>161</v>
      </c>
      <c r="L56" s="7">
        <v>1</v>
      </c>
      <c r="N56" s="7">
        <v>1</v>
      </c>
      <c r="O56" s="7">
        <v>0.65</v>
      </c>
      <c r="P56" s="7">
        <v>0.75</v>
      </c>
      <c r="Q56" s="52">
        <f t="shared" si="0"/>
        <v>0.7</v>
      </c>
      <c r="R56" s="7">
        <v>13</v>
      </c>
      <c r="S56" s="7">
        <v>92</v>
      </c>
      <c r="T56" s="16">
        <f t="shared" si="1"/>
        <v>36</v>
      </c>
      <c r="U56" s="7">
        <v>95</v>
      </c>
      <c r="V56" s="16">
        <f t="shared" si="2"/>
        <v>3420</v>
      </c>
      <c r="W56" s="7">
        <v>12</v>
      </c>
      <c r="X56" s="15" t="s">
        <v>46</v>
      </c>
      <c r="Y56" s="54" t="s">
        <v>86</v>
      </c>
      <c r="Z56" s="54" t="s">
        <v>47</v>
      </c>
      <c r="AA56" s="54" t="s">
        <v>55</v>
      </c>
      <c r="AB56" s="39" t="s">
        <v>158</v>
      </c>
    </row>
    <row r="57" spans="1:29" x14ac:dyDescent="0.15">
      <c r="A57" s="15" t="s">
        <v>156</v>
      </c>
      <c r="B57" s="15" t="s">
        <v>157</v>
      </c>
      <c r="C57" s="15">
        <v>2019</v>
      </c>
      <c r="D57" s="37" t="s">
        <v>165</v>
      </c>
      <c r="E57" s="7" t="s">
        <v>140</v>
      </c>
      <c r="F57" s="7" t="s">
        <v>148</v>
      </c>
      <c r="G57" s="7" t="s">
        <v>36</v>
      </c>
      <c r="H57" s="54" t="s">
        <v>164</v>
      </c>
      <c r="I57" s="7" t="s">
        <v>159</v>
      </c>
      <c r="J57" s="15" t="s">
        <v>38</v>
      </c>
      <c r="K57" s="7" t="s">
        <v>161</v>
      </c>
      <c r="L57" s="7">
        <v>2</v>
      </c>
      <c r="N57" s="7">
        <v>1</v>
      </c>
      <c r="O57" s="7">
        <v>0.95</v>
      </c>
      <c r="P57" s="7">
        <v>0.75</v>
      </c>
      <c r="Q57" s="52">
        <f t="shared" si="0"/>
        <v>0.85</v>
      </c>
      <c r="R57" s="7">
        <v>13.3</v>
      </c>
      <c r="S57" s="7">
        <v>89</v>
      </c>
      <c r="T57" s="16">
        <f t="shared" si="1"/>
        <v>36</v>
      </c>
      <c r="U57" s="7">
        <v>95</v>
      </c>
      <c r="V57" s="16">
        <f t="shared" si="2"/>
        <v>3420</v>
      </c>
      <c r="W57" s="7">
        <v>12</v>
      </c>
      <c r="X57" s="15" t="s">
        <v>46</v>
      </c>
      <c r="Y57" s="54" t="s">
        <v>86</v>
      </c>
      <c r="Z57" s="54" t="s">
        <v>47</v>
      </c>
      <c r="AA57" s="54" t="s">
        <v>55</v>
      </c>
      <c r="AB57" s="39" t="s">
        <v>158</v>
      </c>
    </row>
    <row r="58" spans="1:29" x14ac:dyDescent="0.15">
      <c r="A58" s="15" t="s">
        <v>156</v>
      </c>
      <c r="B58" s="15" t="s">
        <v>157</v>
      </c>
      <c r="C58" s="15">
        <v>2019</v>
      </c>
      <c r="D58" s="37" t="s">
        <v>165</v>
      </c>
      <c r="E58" s="7" t="s">
        <v>140</v>
      </c>
      <c r="F58" s="7" t="s">
        <v>148</v>
      </c>
      <c r="G58" s="7" t="s">
        <v>36</v>
      </c>
      <c r="H58" s="54" t="s">
        <v>164</v>
      </c>
      <c r="I58" s="7" t="s">
        <v>159</v>
      </c>
      <c r="J58" s="15" t="s">
        <v>38</v>
      </c>
      <c r="K58" s="7" t="s">
        <v>161</v>
      </c>
      <c r="L58" s="7">
        <v>3</v>
      </c>
      <c r="N58" s="7">
        <v>1</v>
      </c>
      <c r="O58" s="7">
        <v>0.65</v>
      </c>
      <c r="P58" s="7">
        <v>0.65</v>
      </c>
      <c r="Q58" s="52">
        <f t="shared" si="0"/>
        <v>0.65</v>
      </c>
      <c r="R58" s="7">
        <v>15</v>
      </c>
      <c r="S58" s="7">
        <v>86</v>
      </c>
      <c r="T58" s="16">
        <f t="shared" si="1"/>
        <v>36</v>
      </c>
      <c r="U58" s="7">
        <v>95</v>
      </c>
      <c r="V58" s="16">
        <f t="shared" si="2"/>
        <v>3420</v>
      </c>
      <c r="W58" s="7">
        <v>12</v>
      </c>
      <c r="X58" s="15" t="s">
        <v>46</v>
      </c>
      <c r="Y58" s="54" t="s">
        <v>86</v>
      </c>
      <c r="Z58" s="54" t="s">
        <v>47</v>
      </c>
      <c r="AA58" s="54" t="s">
        <v>55</v>
      </c>
      <c r="AB58" s="39" t="s">
        <v>158</v>
      </c>
    </row>
    <row r="59" spans="1:29" x14ac:dyDescent="0.15">
      <c r="A59" s="15" t="s">
        <v>156</v>
      </c>
      <c r="B59" s="15" t="s">
        <v>157</v>
      </c>
      <c r="C59" s="15">
        <v>2019</v>
      </c>
      <c r="D59" s="37" t="s">
        <v>165</v>
      </c>
      <c r="E59" s="7" t="s">
        <v>140</v>
      </c>
      <c r="F59" s="7" t="s">
        <v>148</v>
      </c>
      <c r="G59" s="7" t="s">
        <v>36</v>
      </c>
      <c r="H59" s="15" t="s">
        <v>160</v>
      </c>
      <c r="I59" s="7" t="s">
        <v>159</v>
      </c>
      <c r="J59" s="15" t="s">
        <v>38</v>
      </c>
      <c r="K59" s="7" t="s">
        <v>161</v>
      </c>
      <c r="L59" s="7">
        <v>1</v>
      </c>
      <c r="N59" s="7">
        <v>1</v>
      </c>
      <c r="O59" s="7">
        <v>0.7</v>
      </c>
      <c r="P59" s="7">
        <v>0.65</v>
      </c>
      <c r="Q59" s="52">
        <f t="shared" si="0"/>
        <v>0.67500000000000004</v>
      </c>
      <c r="R59" s="7">
        <v>17.2</v>
      </c>
      <c r="S59" s="7">
        <v>104</v>
      </c>
      <c r="T59" s="16">
        <f t="shared" si="1"/>
        <v>33</v>
      </c>
      <c r="U59" s="7">
        <v>105</v>
      </c>
      <c r="V59" s="16">
        <f t="shared" si="2"/>
        <v>3465</v>
      </c>
      <c r="W59" s="7">
        <v>4</v>
      </c>
      <c r="X59" s="15" t="s">
        <v>46</v>
      </c>
      <c r="Y59" s="54" t="s">
        <v>86</v>
      </c>
      <c r="Z59" s="54" t="s">
        <v>47</v>
      </c>
      <c r="AA59" s="54" t="s">
        <v>55</v>
      </c>
      <c r="AB59" s="39" t="s">
        <v>158</v>
      </c>
    </row>
    <row r="60" spans="1:29" x14ac:dyDescent="0.15">
      <c r="A60" s="15" t="s">
        <v>156</v>
      </c>
      <c r="B60" s="15" t="s">
        <v>157</v>
      </c>
      <c r="C60" s="15">
        <v>2019</v>
      </c>
      <c r="D60" s="37" t="s">
        <v>165</v>
      </c>
      <c r="E60" s="7" t="s">
        <v>140</v>
      </c>
      <c r="F60" s="7" t="s">
        <v>148</v>
      </c>
      <c r="G60" s="7" t="s">
        <v>36</v>
      </c>
      <c r="H60" s="15" t="s">
        <v>160</v>
      </c>
      <c r="I60" s="7" t="s">
        <v>159</v>
      </c>
      <c r="J60" s="15" t="s">
        <v>38</v>
      </c>
      <c r="K60" s="7" t="s">
        <v>161</v>
      </c>
      <c r="L60" s="7">
        <v>2</v>
      </c>
      <c r="N60" s="7">
        <v>1</v>
      </c>
      <c r="O60" s="7">
        <v>0.6</v>
      </c>
      <c r="P60" s="7">
        <v>0.65</v>
      </c>
      <c r="Q60" s="52">
        <f t="shared" si="0"/>
        <v>0.625</v>
      </c>
      <c r="R60" s="7">
        <v>14.4</v>
      </c>
      <c r="S60" s="7">
        <v>96</v>
      </c>
      <c r="T60" s="16">
        <f>IF(H60="","",IF(OR(H60="GREEN",H60="GK"),IF(S60&gt;=$AX$2,VLOOKUP(S60,$AX$2:$AY$12,2,1),""),IF(S60&gt;=$AZ$2,VLOOKUP(S60,$AZ$2:$BA$12,2,1),"")))</f>
        <v>36</v>
      </c>
      <c r="U60" s="7">
        <v>105</v>
      </c>
      <c r="V60" s="16">
        <f t="shared" si="2"/>
        <v>3780</v>
      </c>
      <c r="W60" s="7">
        <v>4</v>
      </c>
      <c r="X60" s="15" t="s">
        <v>46</v>
      </c>
      <c r="Y60" s="54" t="s">
        <v>86</v>
      </c>
      <c r="Z60" s="54" t="s">
        <v>47</v>
      </c>
      <c r="AA60" s="54" t="s">
        <v>55</v>
      </c>
      <c r="AB60" s="39" t="s">
        <v>158</v>
      </c>
    </row>
    <row r="61" spans="1:29" x14ac:dyDescent="0.15">
      <c r="A61" s="15" t="s">
        <v>156</v>
      </c>
      <c r="B61" s="15" t="s">
        <v>157</v>
      </c>
      <c r="C61" s="15">
        <v>2019</v>
      </c>
      <c r="D61" s="37" t="s">
        <v>165</v>
      </c>
      <c r="E61" s="7" t="s">
        <v>140</v>
      </c>
      <c r="F61" s="7" t="s">
        <v>148</v>
      </c>
      <c r="G61" s="7" t="s">
        <v>36</v>
      </c>
      <c r="H61" s="15" t="s">
        <v>160</v>
      </c>
      <c r="I61" s="7" t="s">
        <v>159</v>
      </c>
      <c r="J61" s="15" t="s">
        <v>38</v>
      </c>
      <c r="K61" s="7" t="s">
        <v>161</v>
      </c>
      <c r="L61" s="7">
        <v>3</v>
      </c>
      <c r="N61" s="53">
        <v>1</v>
      </c>
      <c r="O61" s="7">
        <v>0.8</v>
      </c>
      <c r="P61" s="7">
        <v>0.75</v>
      </c>
      <c r="Q61" s="52">
        <f t="shared" si="0"/>
        <v>0.77500000000000002</v>
      </c>
      <c r="R61" s="7">
        <v>16</v>
      </c>
      <c r="S61" s="7">
        <v>95</v>
      </c>
      <c r="T61" s="16">
        <f>IF(H61="","",IF(OR(H61="GREEN",H61="GK"),IF(S61&gt;=$AX$2,VLOOKUP(S61,$AX$2:$AY$12,2,1),""),IF(S61&gt;=$AZ$2,VLOOKUP(S61,$AZ$2:$BA$12,2,1),"")))</f>
        <v>36</v>
      </c>
      <c r="U61" s="7">
        <v>105</v>
      </c>
      <c r="V61" s="16">
        <f t="shared" si="2"/>
        <v>3780</v>
      </c>
      <c r="W61" s="7">
        <v>4</v>
      </c>
      <c r="X61" s="15" t="s">
        <v>46</v>
      </c>
      <c r="Y61" s="54" t="s">
        <v>86</v>
      </c>
      <c r="Z61" s="54" t="s">
        <v>47</v>
      </c>
      <c r="AA61" s="54" t="s">
        <v>55</v>
      </c>
      <c r="AB61" s="39" t="s">
        <v>158</v>
      </c>
    </row>
    <row r="62" spans="1:29" x14ac:dyDescent="0.15">
      <c r="A62" s="15"/>
      <c r="B62" s="15"/>
      <c r="C62" s="15"/>
      <c r="D62" s="37"/>
      <c r="H62" s="15"/>
      <c r="J62" s="15"/>
      <c r="N62" s="53"/>
      <c r="Q62" s="52" t="str">
        <f t="shared" si="0"/>
        <v/>
      </c>
      <c r="T62" s="16" t="str">
        <f t="shared" ref="T62:T120" si="3">IF(H62="","",IF(OR(H62="GREEN",H62="GK"),IF(S62&gt;=$AX$2,VLOOKUP(S62,$AX$2:$AY$12,2,1),""),IF(S62&gt;=$AZ$2,VLOOKUP(S62,$AZ$2:$BA$12,2,1),"")))</f>
        <v/>
      </c>
      <c r="V62" s="16" t="str">
        <f t="shared" si="2"/>
        <v/>
      </c>
      <c r="X62" s="54"/>
      <c r="Y62" s="54"/>
      <c r="Z62" s="54"/>
      <c r="AA62" s="54"/>
      <c r="AB62" s="39"/>
    </row>
    <row r="63" spans="1:29" x14ac:dyDescent="0.15">
      <c r="A63" s="15"/>
      <c r="B63" s="15"/>
      <c r="C63" s="15"/>
      <c r="D63" s="37"/>
      <c r="H63" s="15"/>
      <c r="J63" s="15"/>
      <c r="N63" s="53"/>
      <c r="Q63" s="52" t="str">
        <f t="shared" si="0"/>
        <v/>
      </c>
      <c r="T63" s="16" t="str">
        <f t="shared" si="3"/>
        <v/>
      </c>
      <c r="V63" s="16" t="str">
        <f t="shared" si="2"/>
        <v/>
      </c>
      <c r="X63" s="54"/>
      <c r="Y63" s="54"/>
      <c r="Z63" s="54"/>
      <c r="AA63" s="54"/>
      <c r="AB63" s="39"/>
    </row>
    <row r="64" spans="1:29" x14ac:dyDescent="0.15">
      <c r="A64" s="15"/>
      <c r="B64" s="15"/>
      <c r="C64" s="15"/>
      <c r="D64" s="37"/>
      <c r="H64" s="15"/>
      <c r="J64" s="15"/>
      <c r="N64" s="53"/>
      <c r="Q64" s="52" t="str">
        <f t="shared" si="0"/>
        <v/>
      </c>
      <c r="T64" s="16" t="str">
        <f t="shared" si="3"/>
        <v/>
      </c>
      <c r="V64" s="16" t="str">
        <f t="shared" si="2"/>
        <v/>
      </c>
      <c r="X64" s="54"/>
      <c r="Y64" s="54"/>
      <c r="Z64" s="54"/>
      <c r="AA64" s="54"/>
      <c r="AB64" s="39"/>
    </row>
    <row r="65" spans="1:28" x14ac:dyDescent="0.15">
      <c r="A65" s="15"/>
      <c r="B65" s="15"/>
      <c r="C65" s="15"/>
      <c r="D65" s="37"/>
      <c r="H65" s="15"/>
      <c r="J65" s="15"/>
      <c r="N65" s="53"/>
      <c r="Q65" s="52" t="str">
        <f t="shared" si="0"/>
        <v/>
      </c>
      <c r="T65" s="16" t="str">
        <f t="shared" si="3"/>
        <v/>
      </c>
      <c r="V65" s="16" t="str">
        <f t="shared" si="2"/>
        <v/>
      </c>
      <c r="X65" s="54"/>
      <c r="Y65" s="54"/>
      <c r="Z65" s="54"/>
      <c r="AA65" s="54"/>
      <c r="AB65" s="39"/>
    </row>
    <row r="66" spans="1:28" x14ac:dyDescent="0.15">
      <c r="A66" s="15"/>
      <c r="B66" s="15"/>
      <c r="C66" s="15"/>
      <c r="D66" s="37"/>
      <c r="H66" s="15"/>
      <c r="J66" s="15"/>
      <c r="Q66" s="52" t="str">
        <f t="shared" ref="Q66:Q77" si="4">IF(OR(O66="",P66=""),"",AVERAGE(O66,P66))</f>
        <v/>
      </c>
      <c r="T66" s="16" t="str">
        <f t="shared" si="3"/>
        <v/>
      </c>
      <c r="V66" s="16" t="str">
        <f t="shared" ref="V66:V70" si="5">IF(OR(N66="",U66="",T66=""),"",U66/N66*T66)</f>
        <v/>
      </c>
      <c r="X66" s="54"/>
      <c r="Y66" s="54"/>
      <c r="Z66" s="54"/>
      <c r="AA66" s="54"/>
      <c r="AB66" s="39"/>
    </row>
    <row r="67" spans="1:28" x14ac:dyDescent="0.15">
      <c r="A67" s="15"/>
      <c r="B67" s="15"/>
      <c r="C67" s="15"/>
      <c r="D67" s="37"/>
      <c r="H67" s="15"/>
      <c r="J67" s="15"/>
      <c r="Q67" s="52" t="str">
        <f t="shared" si="4"/>
        <v/>
      </c>
      <c r="T67" s="16" t="str">
        <f t="shared" si="3"/>
        <v/>
      </c>
      <c r="V67" s="16" t="str">
        <f t="shared" si="5"/>
        <v/>
      </c>
      <c r="X67" s="54"/>
      <c r="Y67" s="54"/>
      <c r="Z67" s="54"/>
      <c r="AA67" s="54"/>
      <c r="AB67" s="39"/>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77EFA-2CB9-4625-AABF-49DA97FDC2EE}">
  <dimension ref="A1:BA399"/>
  <sheetViews>
    <sheetView zoomScale="70" zoomScaleNormal="70" workbookViewId="0">
      <selection activeCell="AB35" sqref="AB35"/>
    </sheetView>
  </sheetViews>
  <sheetFormatPr defaultColWidth="9" defaultRowHeight="13.5" x14ac:dyDescent="0.15"/>
  <cols>
    <col min="1" max="3" width="9" style="53"/>
    <col min="4" max="4" width="11" style="53" customWidth="1"/>
    <col min="5" max="5" width="10.875" style="53" customWidth="1"/>
    <col min="6"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167</v>
      </c>
      <c r="C1" s="55" t="s">
        <v>168</v>
      </c>
      <c r="D1" s="56" t="s">
        <v>3</v>
      </c>
      <c r="E1" s="45" t="s">
        <v>4</v>
      </c>
      <c r="F1" s="45" t="s">
        <v>5</v>
      </c>
      <c r="G1" s="45" t="s">
        <v>6</v>
      </c>
      <c r="H1" s="45" t="s">
        <v>7</v>
      </c>
      <c r="I1" s="45" t="s">
        <v>8</v>
      </c>
      <c r="J1" s="45" t="s">
        <v>9</v>
      </c>
      <c r="K1" s="45" t="s">
        <v>10</v>
      </c>
      <c r="L1" s="56" t="s">
        <v>169</v>
      </c>
      <c r="M1" s="56" t="s">
        <v>170</v>
      </c>
      <c r="N1" s="56" t="s">
        <v>13</v>
      </c>
      <c r="O1" s="56" t="s">
        <v>171</v>
      </c>
      <c r="P1" s="56" t="s">
        <v>172</v>
      </c>
      <c r="Q1" s="57" t="s">
        <v>173</v>
      </c>
      <c r="R1" s="56" t="s">
        <v>174</v>
      </c>
      <c r="S1" s="56" t="s">
        <v>175</v>
      </c>
      <c r="T1" s="57" t="s">
        <v>19</v>
      </c>
      <c r="U1" s="58" t="s">
        <v>108</v>
      </c>
      <c r="V1" s="59" t="s">
        <v>20</v>
      </c>
      <c r="W1" s="56" t="s">
        <v>176</v>
      </c>
      <c r="X1" s="45" t="s">
        <v>22</v>
      </c>
      <c r="Y1" s="45" t="s">
        <v>23</v>
      </c>
      <c r="Z1" s="45" t="s">
        <v>24</v>
      </c>
      <c r="AA1" s="45" t="s">
        <v>25</v>
      </c>
      <c r="AB1" s="46" t="s">
        <v>177</v>
      </c>
      <c r="AE1" s="60" t="s">
        <v>0</v>
      </c>
      <c r="AF1" s="61"/>
      <c r="AG1" s="60" t="s">
        <v>4</v>
      </c>
      <c r="AH1" s="60" t="s">
        <v>5</v>
      </c>
      <c r="AI1" s="61"/>
      <c r="AJ1" s="60" t="s">
        <v>6</v>
      </c>
      <c r="AK1" s="61"/>
      <c r="AL1" s="10" t="s">
        <v>7</v>
      </c>
      <c r="AM1" s="61"/>
      <c r="AN1" s="10" t="s">
        <v>8</v>
      </c>
      <c r="AO1" s="61"/>
      <c r="AP1" s="10" t="s">
        <v>27</v>
      </c>
      <c r="AQ1" s="61"/>
      <c r="AR1" s="10" t="s">
        <v>10</v>
      </c>
      <c r="AS1" s="61"/>
      <c r="AT1" s="11" t="s">
        <v>178</v>
      </c>
      <c r="AU1" s="61"/>
      <c r="AV1" s="10" t="s">
        <v>29</v>
      </c>
      <c r="AX1" s="12" t="s">
        <v>179</v>
      </c>
      <c r="AY1" s="13" t="s">
        <v>180</v>
      </c>
      <c r="AZ1" s="13" t="s">
        <v>181</v>
      </c>
      <c r="BA1" s="14" t="s">
        <v>182</v>
      </c>
    </row>
    <row r="2" spans="1:53" x14ac:dyDescent="0.15">
      <c r="A2" s="53" t="s">
        <v>41</v>
      </c>
      <c r="B2" s="53" t="s">
        <v>157</v>
      </c>
      <c r="C2" s="62">
        <v>2019</v>
      </c>
      <c r="D2" s="63" t="s">
        <v>183</v>
      </c>
      <c r="E2" s="53" t="s">
        <v>133</v>
      </c>
      <c r="F2" s="53" t="s">
        <v>184</v>
      </c>
      <c r="G2" s="53" t="s">
        <v>42</v>
      </c>
      <c r="H2" s="53" t="s">
        <v>164</v>
      </c>
      <c r="I2" s="53" t="s">
        <v>159</v>
      </c>
      <c r="J2" s="53" t="s">
        <v>38</v>
      </c>
      <c r="K2" s="53" t="s">
        <v>161</v>
      </c>
      <c r="L2" s="53">
        <v>1</v>
      </c>
      <c r="N2" s="53">
        <v>1</v>
      </c>
      <c r="O2" s="53">
        <v>1.2</v>
      </c>
      <c r="P2" s="53">
        <v>1.3</v>
      </c>
      <c r="Q2" s="16">
        <f t="shared" ref="Q2:Q65" si="0">IF(OR(O2="",P2=""),"",AVERAGE(O2,P2))</f>
        <v>1.25</v>
      </c>
      <c r="R2" s="53">
        <v>12.3</v>
      </c>
      <c r="S2" s="53">
        <v>130</v>
      </c>
      <c r="T2" s="16">
        <f t="shared" ref="T2:T65" si="1">IF(H2="","",IF(OR(H2="GREEN",H2="GK"),IF(S2&gt;=$AX$2,VLOOKUP(S2,$AX$2:$AY$10,2,1),""),IF(S2&gt;=$AZ$2,VLOOKUP(S2,$AZ$2:$BA$10,2,1),"")))</f>
        <v>25</v>
      </c>
      <c r="U2" s="53">
        <v>105</v>
      </c>
      <c r="V2" s="16">
        <f t="shared" ref="V2:V65" si="2">IF(OR(N2="",U2="",T2=""),"",U2/N2*T2)</f>
        <v>2625</v>
      </c>
      <c r="W2" s="53">
        <v>3</v>
      </c>
      <c r="X2" s="53" t="s">
        <v>46</v>
      </c>
      <c r="Y2" s="53" t="s">
        <v>86</v>
      </c>
      <c r="Z2" s="53" t="s">
        <v>97</v>
      </c>
      <c r="AA2" s="53" t="s">
        <v>69</v>
      </c>
      <c r="AB2" s="53" t="s">
        <v>158</v>
      </c>
      <c r="AE2" s="64" t="s">
        <v>35</v>
      </c>
      <c r="AG2" s="65" t="s">
        <v>133</v>
      </c>
      <c r="AH2" s="66" t="s">
        <v>184</v>
      </c>
      <c r="AJ2" s="67" t="s">
        <v>36</v>
      </c>
      <c r="AL2" s="67" t="s">
        <v>185</v>
      </c>
      <c r="AN2" s="67" t="s">
        <v>37</v>
      </c>
      <c r="AP2" s="67" t="s">
        <v>38</v>
      </c>
      <c r="AR2" s="67" t="s">
        <v>161</v>
      </c>
      <c r="AT2" s="67" t="s">
        <v>39</v>
      </c>
      <c r="AV2" s="67" t="s">
        <v>40</v>
      </c>
      <c r="AX2" s="68">
        <v>1</v>
      </c>
      <c r="AY2" s="69">
        <v>50</v>
      </c>
      <c r="AZ2" s="69">
        <v>1</v>
      </c>
      <c r="BA2" s="70">
        <v>50</v>
      </c>
    </row>
    <row r="3" spans="1:53" x14ac:dyDescent="0.15">
      <c r="A3" s="53" t="s">
        <v>41</v>
      </c>
      <c r="B3" s="53" t="s">
        <v>157</v>
      </c>
      <c r="C3" s="62">
        <v>2019</v>
      </c>
      <c r="D3" s="63" t="s">
        <v>183</v>
      </c>
      <c r="E3" s="53" t="s">
        <v>133</v>
      </c>
      <c r="F3" s="53" t="s">
        <v>184</v>
      </c>
      <c r="G3" s="53" t="s">
        <v>42</v>
      </c>
      <c r="H3" s="53" t="s">
        <v>164</v>
      </c>
      <c r="I3" s="53" t="s">
        <v>159</v>
      </c>
      <c r="J3" s="53" t="s">
        <v>38</v>
      </c>
      <c r="K3" s="53" t="s">
        <v>161</v>
      </c>
      <c r="L3" s="53">
        <v>2</v>
      </c>
      <c r="N3" s="53">
        <v>1</v>
      </c>
      <c r="O3" s="53">
        <v>0.95</v>
      </c>
      <c r="P3" s="53">
        <v>1.1000000000000001</v>
      </c>
      <c r="Q3" s="16">
        <f t="shared" si="0"/>
        <v>1.0249999999999999</v>
      </c>
      <c r="R3" s="53">
        <v>10.5</v>
      </c>
      <c r="S3" s="53">
        <v>132</v>
      </c>
      <c r="T3" s="16">
        <f t="shared" si="1"/>
        <v>25</v>
      </c>
      <c r="U3" s="53">
        <v>105</v>
      </c>
      <c r="V3" s="16">
        <f t="shared" si="2"/>
        <v>2625</v>
      </c>
      <c r="W3" s="53">
        <v>3</v>
      </c>
      <c r="X3" s="53" t="s">
        <v>46</v>
      </c>
      <c r="Y3" s="53" t="s">
        <v>86</v>
      </c>
      <c r="Z3" s="53" t="s">
        <v>97</v>
      </c>
      <c r="AA3" s="53" t="s">
        <v>69</v>
      </c>
      <c r="AB3" s="53" t="s">
        <v>158</v>
      </c>
      <c r="AE3" s="22" t="s">
        <v>41</v>
      </c>
      <c r="AG3" s="71" t="s">
        <v>186</v>
      </c>
      <c r="AH3" s="71" t="s">
        <v>184</v>
      </c>
      <c r="AJ3" s="23" t="s">
        <v>42</v>
      </c>
      <c r="AL3" s="23" t="s">
        <v>187</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183</v>
      </c>
      <c r="E4" s="53" t="s">
        <v>133</v>
      </c>
      <c r="F4" s="53" t="s">
        <v>184</v>
      </c>
      <c r="G4" s="53" t="s">
        <v>42</v>
      </c>
      <c r="H4" s="53" t="s">
        <v>164</v>
      </c>
      <c r="I4" s="53" t="s">
        <v>159</v>
      </c>
      <c r="J4" s="53" t="s">
        <v>38</v>
      </c>
      <c r="K4" s="53" t="s">
        <v>161</v>
      </c>
      <c r="L4" s="53">
        <v>3</v>
      </c>
      <c r="N4" s="53">
        <v>1</v>
      </c>
      <c r="O4" s="53">
        <v>1</v>
      </c>
      <c r="P4" s="53">
        <v>1.35</v>
      </c>
      <c r="Q4" s="16">
        <f t="shared" si="0"/>
        <v>1.175</v>
      </c>
      <c r="R4" s="53">
        <v>12.5</v>
      </c>
      <c r="S4" s="53">
        <v>134</v>
      </c>
      <c r="T4" s="16">
        <f t="shared" si="1"/>
        <v>25</v>
      </c>
      <c r="U4" s="53">
        <v>105</v>
      </c>
      <c r="V4" s="16">
        <f t="shared" si="2"/>
        <v>2625</v>
      </c>
      <c r="W4" s="53">
        <v>3</v>
      </c>
      <c r="X4" s="53" t="s">
        <v>46</v>
      </c>
      <c r="Y4" s="53" t="s">
        <v>86</v>
      </c>
      <c r="Z4" s="53" t="s">
        <v>97</v>
      </c>
      <c r="AA4" s="53" t="s">
        <v>69</v>
      </c>
      <c r="AB4" s="53" t="s">
        <v>158</v>
      </c>
      <c r="AE4" s="22" t="s">
        <v>34</v>
      </c>
      <c r="AG4" s="71" t="s">
        <v>186</v>
      </c>
      <c r="AH4" s="71" t="s">
        <v>188</v>
      </c>
      <c r="AJ4" s="27" t="s">
        <v>48</v>
      </c>
      <c r="AL4" s="27" t="s">
        <v>189</v>
      </c>
      <c r="AN4" s="28" t="s">
        <v>190</v>
      </c>
      <c r="AP4" s="23" t="s">
        <v>191</v>
      </c>
      <c r="AR4" s="23" t="s">
        <v>192</v>
      </c>
      <c r="AT4" s="28"/>
      <c r="AV4" s="23" t="s">
        <v>50</v>
      </c>
      <c r="AX4" s="24">
        <v>75</v>
      </c>
      <c r="AY4" s="25">
        <v>42</v>
      </c>
      <c r="AZ4" s="25">
        <v>76</v>
      </c>
      <c r="BA4" s="26">
        <v>39</v>
      </c>
    </row>
    <row r="5" spans="1:53" ht="13.5" customHeight="1" x14ac:dyDescent="0.15">
      <c r="A5" s="53" t="s">
        <v>41</v>
      </c>
      <c r="B5" s="53" t="s">
        <v>157</v>
      </c>
      <c r="C5" s="62">
        <v>2019</v>
      </c>
      <c r="D5" s="63" t="s">
        <v>183</v>
      </c>
      <c r="E5" s="53" t="s">
        <v>133</v>
      </c>
      <c r="F5" s="53" t="s">
        <v>184</v>
      </c>
      <c r="G5" s="53" t="s">
        <v>42</v>
      </c>
      <c r="H5" s="53" t="s">
        <v>193</v>
      </c>
      <c r="I5" s="53" t="s">
        <v>159</v>
      </c>
      <c r="J5" s="53" t="s">
        <v>38</v>
      </c>
      <c r="K5" s="53" t="s">
        <v>161</v>
      </c>
      <c r="L5" s="53">
        <v>1</v>
      </c>
      <c r="N5" s="53">
        <v>8</v>
      </c>
      <c r="O5" s="53">
        <v>0.45</v>
      </c>
      <c r="P5" s="53">
        <v>0.5</v>
      </c>
      <c r="Q5" s="72">
        <f t="shared" si="0"/>
        <v>0.47499999999999998</v>
      </c>
      <c r="R5" s="53">
        <v>11.4</v>
      </c>
      <c r="S5" s="53">
        <v>110</v>
      </c>
      <c r="T5" s="16">
        <f t="shared" si="1"/>
        <v>33</v>
      </c>
      <c r="U5" s="53">
        <v>753</v>
      </c>
      <c r="V5" s="16">
        <f t="shared" si="2"/>
        <v>3106.125</v>
      </c>
      <c r="W5" s="53">
        <v>2</v>
      </c>
      <c r="X5" s="53" t="s">
        <v>46</v>
      </c>
      <c r="Y5" s="53" t="s">
        <v>86</v>
      </c>
      <c r="Z5" s="53" t="s">
        <v>97</v>
      </c>
      <c r="AA5" s="53" t="s">
        <v>69</v>
      </c>
      <c r="AB5" s="53" t="s">
        <v>158</v>
      </c>
      <c r="AE5" s="22" t="s">
        <v>51</v>
      </c>
      <c r="AG5" s="71" t="s">
        <v>194</v>
      </c>
      <c r="AH5" s="71" t="s">
        <v>184</v>
      </c>
      <c r="AJ5" s="28"/>
      <c r="AL5" s="73" t="s">
        <v>164</v>
      </c>
      <c r="AN5" s="73" t="s">
        <v>159</v>
      </c>
      <c r="AP5" s="23" t="s">
        <v>195</v>
      </c>
      <c r="AR5" s="23" t="s">
        <v>54</v>
      </c>
      <c r="AV5" s="23" t="s">
        <v>55</v>
      </c>
      <c r="AX5" s="24">
        <v>84</v>
      </c>
      <c r="AY5" s="25">
        <v>39</v>
      </c>
      <c r="AZ5" s="25">
        <v>84</v>
      </c>
      <c r="BA5" s="26">
        <v>36</v>
      </c>
    </row>
    <row r="6" spans="1:53" x14ac:dyDescent="0.15">
      <c r="A6" s="53" t="s">
        <v>41</v>
      </c>
      <c r="B6" s="53" t="s">
        <v>157</v>
      </c>
      <c r="C6" s="62">
        <v>2019</v>
      </c>
      <c r="D6" s="63" t="s">
        <v>183</v>
      </c>
      <c r="E6" s="53" t="s">
        <v>133</v>
      </c>
      <c r="F6" s="53" t="s">
        <v>184</v>
      </c>
      <c r="G6" s="53" t="s">
        <v>42</v>
      </c>
      <c r="H6" s="53" t="s">
        <v>193</v>
      </c>
      <c r="I6" s="53" t="s">
        <v>159</v>
      </c>
      <c r="J6" s="53" t="s">
        <v>38</v>
      </c>
      <c r="K6" s="53" t="s">
        <v>161</v>
      </c>
      <c r="L6" s="53">
        <v>2</v>
      </c>
      <c r="N6" s="53">
        <v>8</v>
      </c>
      <c r="O6" s="53">
        <v>0.25</v>
      </c>
      <c r="P6" s="53">
        <v>0.25</v>
      </c>
      <c r="Q6" s="72">
        <f t="shared" si="0"/>
        <v>0.25</v>
      </c>
      <c r="R6" s="53">
        <v>13.7</v>
      </c>
      <c r="S6" s="53">
        <v>112</v>
      </c>
      <c r="T6" s="16">
        <f t="shared" si="1"/>
        <v>33</v>
      </c>
      <c r="U6" s="53">
        <v>753</v>
      </c>
      <c r="V6" s="16">
        <f t="shared" si="2"/>
        <v>3106.125</v>
      </c>
      <c r="W6" s="53">
        <v>2</v>
      </c>
      <c r="X6" s="53" t="s">
        <v>46</v>
      </c>
      <c r="Y6" s="53" t="s">
        <v>86</v>
      </c>
      <c r="Z6" s="53" t="s">
        <v>97</v>
      </c>
      <c r="AA6" s="53" t="s">
        <v>69</v>
      </c>
      <c r="AB6" s="53" t="s">
        <v>158</v>
      </c>
      <c r="AE6" s="22" t="s">
        <v>56</v>
      </c>
      <c r="AG6" s="71" t="s">
        <v>194</v>
      </c>
      <c r="AH6" s="71" t="s">
        <v>196</v>
      </c>
      <c r="AL6" s="73" t="s">
        <v>197</v>
      </c>
      <c r="AN6" s="73" t="s">
        <v>198</v>
      </c>
      <c r="AP6" s="23" t="s">
        <v>53</v>
      </c>
      <c r="AR6" s="23" t="s">
        <v>59</v>
      </c>
      <c r="AV6" s="23" t="s">
        <v>60</v>
      </c>
      <c r="AX6" s="24">
        <v>97</v>
      </c>
      <c r="AY6" s="25">
        <v>36</v>
      </c>
      <c r="AZ6" s="25">
        <v>99</v>
      </c>
      <c r="BA6" s="26">
        <v>33</v>
      </c>
    </row>
    <row r="7" spans="1:53" x14ac:dyDescent="0.15">
      <c r="A7" s="53" t="s">
        <v>41</v>
      </c>
      <c r="B7" s="53" t="s">
        <v>157</v>
      </c>
      <c r="C7" s="62">
        <v>2019</v>
      </c>
      <c r="D7" s="63" t="s">
        <v>183</v>
      </c>
      <c r="E7" s="53" t="s">
        <v>133</v>
      </c>
      <c r="F7" s="53" t="s">
        <v>184</v>
      </c>
      <c r="G7" s="53" t="s">
        <v>42</v>
      </c>
      <c r="H7" s="53" t="s">
        <v>193</v>
      </c>
      <c r="I7" s="53" t="s">
        <v>159</v>
      </c>
      <c r="J7" s="53" t="s">
        <v>38</v>
      </c>
      <c r="K7" s="53" t="s">
        <v>161</v>
      </c>
      <c r="L7" s="53">
        <v>3</v>
      </c>
      <c r="N7" s="53">
        <v>8</v>
      </c>
      <c r="O7" s="53">
        <v>0.25</v>
      </c>
      <c r="P7" s="53">
        <v>0.25</v>
      </c>
      <c r="Q7" s="72">
        <f t="shared" si="0"/>
        <v>0.25</v>
      </c>
      <c r="R7" s="53">
        <v>13.1</v>
      </c>
      <c r="S7" s="53">
        <v>105</v>
      </c>
      <c r="T7" s="16">
        <f t="shared" si="1"/>
        <v>33</v>
      </c>
      <c r="U7" s="53">
        <v>753</v>
      </c>
      <c r="V7" s="16">
        <f t="shared" si="2"/>
        <v>3106.125</v>
      </c>
      <c r="W7" s="53">
        <v>2</v>
      </c>
      <c r="X7" s="53" t="s">
        <v>46</v>
      </c>
      <c r="Y7" s="53" t="s">
        <v>86</v>
      </c>
      <c r="Z7" s="53" t="s">
        <v>97</v>
      </c>
      <c r="AA7" s="53" t="s">
        <v>69</v>
      </c>
      <c r="AB7" s="53" t="s">
        <v>158</v>
      </c>
      <c r="AE7" s="22" t="s">
        <v>61</v>
      </c>
      <c r="AG7" s="71" t="s">
        <v>199</v>
      </c>
      <c r="AH7" s="71" t="s">
        <v>196</v>
      </c>
      <c r="AL7" s="74" t="s">
        <v>193</v>
      </c>
      <c r="AP7" s="23" t="s">
        <v>58</v>
      </c>
      <c r="AR7" s="23" t="s">
        <v>200</v>
      </c>
      <c r="AV7" s="23" t="s">
        <v>64</v>
      </c>
      <c r="AX7" s="24">
        <v>109</v>
      </c>
      <c r="AY7" s="25">
        <v>33</v>
      </c>
      <c r="AZ7" s="25">
        <v>113</v>
      </c>
      <c r="BA7" s="26">
        <v>30</v>
      </c>
    </row>
    <row r="8" spans="1:53" x14ac:dyDescent="0.15">
      <c r="A8" s="53" t="s">
        <v>41</v>
      </c>
      <c r="B8" s="53" t="s">
        <v>157</v>
      </c>
      <c r="C8" s="62">
        <v>2019</v>
      </c>
      <c r="D8" s="63" t="s">
        <v>183</v>
      </c>
      <c r="E8" s="53" t="s">
        <v>133</v>
      </c>
      <c r="F8" s="53" t="s">
        <v>184</v>
      </c>
      <c r="G8" s="53" t="s">
        <v>42</v>
      </c>
      <c r="H8" s="53" t="s">
        <v>164</v>
      </c>
      <c r="I8" s="53" t="s">
        <v>159</v>
      </c>
      <c r="J8" s="53" t="s">
        <v>38</v>
      </c>
      <c r="K8" s="53" t="s">
        <v>161</v>
      </c>
      <c r="L8" s="53">
        <v>1</v>
      </c>
      <c r="N8" s="53">
        <v>8</v>
      </c>
      <c r="O8" s="53">
        <v>0.65</v>
      </c>
      <c r="P8" s="53">
        <v>0.45</v>
      </c>
      <c r="Q8" s="16">
        <f t="shared" si="0"/>
        <v>0.55000000000000004</v>
      </c>
      <c r="R8" s="53">
        <v>14.1</v>
      </c>
      <c r="S8" s="53">
        <v>100</v>
      </c>
      <c r="T8" s="16">
        <f t="shared" si="1"/>
        <v>33</v>
      </c>
      <c r="U8" s="53">
        <v>753</v>
      </c>
      <c r="V8" s="16">
        <f t="shared" si="2"/>
        <v>3106.125</v>
      </c>
      <c r="W8" s="53">
        <v>2</v>
      </c>
      <c r="X8" s="53" t="s">
        <v>46</v>
      </c>
      <c r="Y8" s="53" t="s">
        <v>86</v>
      </c>
      <c r="Z8" s="53" t="s">
        <v>97</v>
      </c>
      <c r="AA8" s="53" t="s">
        <v>69</v>
      </c>
      <c r="AB8" s="53" t="s">
        <v>158</v>
      </c>
      <c r="AE8" s="22" t="s">
        <v>59</v>
      </c>
      <c r="AG8" s="71" t="s">
        <v>201</v>
      </c>
      <c r="AH8" s="71" t="s">
        <v>202</v>
      </c>
      <c r="AL8" s="74" t="s">
        <v>160</v>
      </c>
      <c r="AP8" s="23" t="s">
        <v>62</v>
      </c>
      <c r="AR8" s="23" t="s">
        <v>81</v>
      </c>
      <c r="AV8" s="23" t="s">
        <v>97</v>
      </c>
      <c r="AX8" s="24">
        <v>119</v>
      </c>
      <c r="AY8" s="25">
        <v>30</v>
      </c>
      <c r="AZ8" s="25">
        <v>121</v>
      </c>
      <c r="BA8" s="26">
        <v>27</v>
      </c>
    </row>
    <row r="9" spans="1:53" x14ac:dyDescent="0.15">
      <c r="A9" s="53" t="s">
        <v>41</v>
      </c>
      <c r="B9" s="53" t="s">
        <v>157</v>
      </c>
      <c r="C9" s="62">
        <v>2019</v>
      </c>
      <c r="D9" s="63" t="s">
        <v>183</v>
      </c>
      <c r="E9" s="53" t="s">
        <v>133</v>
      </c>
      <c r="F9" s="53" t="s">
        <v>184</v>
      </c>
      <c r="G9" s="53" t="s">
        <v>42</v>
      </c>
      <c r="H9" s="53" t="s">
        <v>164</v>
      </c>
      <c r="I9" s="53" t="s">
        <v>159</v>
      </c>
      <c r="J9" s="53" t="s">
        <v>38</v>
      </c>
      <c r="K9" s="53" t="s">
        <v>161</v>
      </c>
      <c r="L9" s="53">
        <v>2</v>
      </c>
      <c r="N9" s="53">
        <v>8</v>
      </c>
      <c r="O9" s="53">
        <v>0.7</v>
      </c>
      <c r="P9" s="53">
        <v>0.6</v>
      </c>
      <c r="Q9" s="16">
        <f t="shared" si="0"/>
        <v>0.64999999999999991</v>
      </c>
      <c r="R9" s="53">
        <v>14.5</v>
      </c>
      <c r="S9" s="53">
        <v>103</v>
      </c>
      <c r="T9" s="16">
        <f t="shared" si="1"/>
        <v>33</v>
      </c>
      <c r="U9" s="53">
        <v>753</v>
      </c>
      <c r="V9" s="16">
        <f t="shared" si="2"/>
        <v>3106.125</v>
      </c>
      <c r="W9" s="53">
        <v>2</v>
      </c>
      <c r="X9" s="53" t="s">
        <v>46</v>
      </c>
      <c r="Y9" s="53" t="s">
        <v>86</v>
      </c>
      <c r="Z9" s="53" t="s">
        <v>97</v>
      </c>
      <c r="AA9" s="53" t="s">
        <v>69</v>
      </c>
      <c r="AB9" s="53" t="s">
        <v>158</v>
      </c>
      <c r="AE9" s="22" t="s">
        <v>203</v>
      </c>
      <c r="AG9" s="71" t="s">
        <v>204</v>
      </c>
      <c r="AH9" s="71" t="s">
        <v>205</v>
      </c>
      <c r="AL9" s="73"/>
      <c r="AP9" s="23" t="s">
        <v>95</v>
      </c>
      <c r="AR9" s="23" t="s">
        <v>206</v>
      </c>
      <c r="AV9" s="23" t="s">
        <v>102</v>
      </c>
      <c r="AX9" s="24">
        <v>128</v>
      </c>
      <c r="AY9" s="25">
        <v>27</v>
      </c>
      <c r="AZ9" s="25">
        <v>129</v>
      </c>
      <c r="BA9" s="26">
        <v>25</v>
      </c>
    </row>
    <row r="10" spans="1:53" x14ac:dyDescent="0.15">
      <c r="A10" s="53" t="s">
        <v>41</v>
      </c>
      <c r="B10" s="53" t="s">
        <v>157</v>
      </c>
      <c r="C10" s="62">
        <v>2019</v>
      </c>
      <c r="D10" s="63" t="s">
        <v>183</v>
      </c>
      <c r="E10" s="53" t="s">
        <v>133</v>
      </c>
      <c r="F10" s="53" t="s">
        <v>184</v>
      </c>
      <c r="G10" s="53" t="s">
        <v>42</v>
      </c>
      <c r="H10" s="53" t="s">
        <v>164</v>
      </c>
      <c r="I10" s="53" t="s">
        <v>159</v>
      </c>
      <c r="J10" s="53" t="s">
        <v>38</v>
      </c>
      <c r="K10" s="53" t="s">
        <v>161</v>
      </c>
      <c r="L10" s="53">
        <v>3</v>
      </c>
      <c r="N10" s="53">
        <v>8</v>
      </c>
      <c r="O10" s="53">
        <v>0.5</v>
      </c>
      <c r="P10" s="53">
        <v>0.65</v>
      </c>
      <c r="Q10" s="16">
        <f t="shared" si="0"/>
        <v>0.57499999999999996</v>
      </c>
      <c r="R10" s="53">
        <v>12.9</v>
      </c>
      <c r="S10" s="53">
        <v>104</v>
      </c>
      <c r="T10" s="16">
        <f t="shared" si="1"/>
        <v>33</v>
      </c>
      <c r="U10" s="53">
        <v>753</v>
      </c>
      <c r="V10" s="16">
        <f t="shared" si="2"/>
        <v>3106.125</v>
      </c>
      <c r="W10" s="53">
        <v>2</v>
      </c>
      <c r="X10" s="53" t="s">
        <v>46</v>
      </c>
      <c r="Y10" s="53" t="s">
        <v>86</v>
      </c>
      <c r="Z10" s="53" t="s">
        <v>97</v>
      </c>
      <c r="AA10" s="53" t="s">
        <v>69</v>
      </c>
      <c r="AB10" s="53" t="s">
        <v>158</v>
      </c>
      <c r="AE10" s="22" t="s">
        <v>207</v>
      </c>
      <c r="AG10" s="71" t="s">
        <v>201</v>
      </c>
      <c r="AH10" s="71" t="s">
        <v>208</v>
      </c>
      <c r="AL10" s="74"/>
      <c r="AP10" s="23" t="s">
        <v>100</v>
      </c>
      <c r="AR10" s="23" t="s">
        <v>209</v>
      </c>
      <c r="AV10" s="23" t="s">
        <v>106</v>
      </c>
      <c r="AX10" s="24">
        <v>138</v>
      </c>
      <c r="AY10" s="25">
        <v>25</v>
      </c>
      <c r="AZ10" s="25">
        <v>138</v>
      </c>
      <c r="BA10" s="26">
        <v>22</v>
      </c>
    </row>
    <row r="11" spans="1:53" x14ac:dyDescent="0.15">
      <c r="A11" s="53" t="s">
        <v>41</v>
      </c>
      <c r="B11" s="53" t="s">
        <v>157</v>
      </c>
      <c r="C11" s="62">
        <v>2019</v>
      </c>
      <c r="D11" s="63" t="s">
        <v>183</v>
      </c>
      <c r="E11" s="53" t="s">
        <v>133</v>
      </c>
      <c r="F11" s="53" t="s">
        <v>184</v>
      </c>
      <c r="G11" s="53" t="s">
        <v>42</v>
      </c>
      <c r="H11" s="53" t="s">
        <v>160</v>
      </c>
      <c r="I11" s="53" t="s">
        <v>159</v>
      </c>
      <c r="J11" s="53" t="s">
        <v>38</v>
      </c>
      <c r="K11" s="53" t="s">
        <v>161</v>
      </c>
      <c r="L11" s="53">
        <v>1</v>
      </c>
      <c r="N11" s="53">
        <v>1</v>
      </c>
      <c r="O11" s="53">
        <v>0.4</v>
      </c>
      <c r="P11" s="53">
        <v>0.4</v>
      </c>
      <c r="Q11" s="75">
        <f t="shared" si="0"/>
        <v>0.4</v>
      </c>
      <c r="R11" s="53">
        <v>16</v>
      </c>
      <c r="S11" s="53">
        <v>131</v>
      </c>
      <c r="T11" s="16">
        <f t="shared" si="1"/>
        <v>25</v>
      </c>
      <c r="U11" s="53">
        <v>139</v>
      </c>
      <c r="V11" s="16">
        <f t="shared" si="2"/>
        <v>3475</v>
      </c>
      <c r="W11" s="53">
        <v>6</v>
      </c>
      <c r="X11" s="53" t="s">
        <v>46</v>
      </c>
      <c r="Y11" s="53" t="s">
        <v>86</v>
      </c>
      <c r="Z11" s="53" t="s">
        <v>97</v>
      </c>
      <c r="AA11" s="53" t="s">
        <v>69</v>
      </c>
      <c r="AB11" s="53" t="s">
        <v>158</v>
      </c>
      <c r="AE11" s="22" t="s">
        <v>68</v>
      </c>
      <c r="AG11" s="71" t="s">
        <v>210</v>
      </c>
      <c r="AH11" s="71" t="s">
        <v>211</v>
      </c>
      <c r="AL11" s="74"/>
      <c r="AP11" s="23" t="s">
        <v>104</v>
      </c>
      <c r="AR11" s="23" t="s">
        <v>212</v>
      </c>
      <c r="AV11" s="23" t="s">
        <v>69</v>
      </c>
      <c r="AX11" s="24">
        <v>151</v>
      </c>
      <c r="AY11" s="25">
        <v>22</v>
      </c>
      <c r="AZ11" s="25">
        <v>152</v>
      </c>
      <c r="BA11" s="26">
        <v>18</v>
      </c>
    </row>
    <row r="12" spans="1:53" x14ac:dyDescent="0.15">
      <c r="A12" s="53" t="s">
        <v>41</v>
      </c>
      <c r="B12" s="53" t="s">
        <v>157</v>
      </c>
      <c r="C12" s="62">
        <v>2019</v>
      </c>
      <c r="D12" s="63" t="s">
        <v>183</v>
      </c>
      <c r="E12" s="53" t="s">
        <v>133</v>
      </c>
      <c r="F12" s="53" t="s">
        <v>184</v>
      </c>
      <c r="G12" s="53" t="s">
        <v>42</v>
      </c>
      <c r="H12" s="53" t="s">
        <v>160</v>
      </c>
      <c r="I12" s="53" t="s">
        <v>159</v>
      </c>
      <c r="J12" s="53" t="s">
        <v>38</v>
      </c>
      <c r="K12" s="53" t="s">
        <v>161</v>
      </c>
      <c r="L12" s="53">
        <v>2</v>
      </c>
      <c r="N12" s="53">
        <v>1</v>
      </c>
      <c r="O12" s="53">
        <v>0.5</v>
      </c>
      <c r="P12" s="53">
        <v>0.65</v>
      </c>
      <c r="Q12" s="75">
        <f t="shared" si="0"/>
        <v>0.57499999999999996</v>
      </c>
      <c r="R12" s="53">
        <v>15.7</v>
      </c>
      <c r="S12" s="53">
        <v>130</v>
      </c>
      <c r="T12" s="16">
        <f t="shared" si="1"/>
        <v>25</v>
      </c>
      <c r="U12" s="53">
        <v>139</v>
      </c>
      <c r="V12" s="16">
        <f t="shared" si="2"/>
        <v>3475</v>
      </c>
      <c r="W12" s="53">
        <v>6</v>
      </c>
      <c r="X12" s="53" t="s">
        <v>46</v>
      </c>
      <c r="Y12" s="53" t="s">
        <v>86</v>
      </c>
      <c r="Z12" s="53" t="s">
        <v>97</v>
      </c>
      <c r="AA12" s="53" t="s">
        <v>69</v>
      </c>
      <c r="AB12" s="53" t="s">
        <v>158</v>
      </c>
      <c r="AE12" s="22" t="s">
        <v>213</v>
      </c>
      <c r="AG12" s="22"/>
      <c r="AH12" s="22"/>
      <c r="AL12" s="74"/>
      <c r="AP12" s="23" t="s">
        <v>67</v>
      </c>
      <c r="AR12" s="23" t="s">
        <v>214</v>
      </c>
      <c r="AV12" s="23" t="s">
        <v>72</v>
      </c>
      <c r="AX12" s="31">
        <v>180</v>
      </c>
      <c r="AY12" s="32">
        <v>18</v>
      </c>
      <c r="AZ12" s="32">
        <v>181</v>
      </c>
      <c r="BA12" s="33">
        <v>16</v>
      </c>
    </row>
    <row r="13" spans="1:53" x14ac:dyDescent="0.15">
      <c r="A13" s="53" t="s">
        <v>41</v>
      </c>
      <c r="B13" s="53" t="s">
        <v>157</v>
      </c>
      <c r="C13" s="62">
        <v>2019</v>
      </c>
      <c r="D13" s="63" t="s">
        <v>183</v>
      </c>
      <c r="E13" s="53" t="s">
        <v>133</v>
      </c>
      <c r="F13" s="53" t="s">
        <v>184</v>
      </c>
      <c r="G13" s="53" t="s">
        <v>42</v>
      </c>
      <c r="H13" s="53" t="s">
        <v>160</v>
      </c>
      <c r="I13" s="53" t="s">
        <v>159</v>
      </c>
      <c r="J13" s="53" t="s">
        <v>38</v>
      </c>
      <c r="K13" s="53" t="s">
        <v>161</v>
      </c>
      <c r="L13" s="53">
        <v>3</v>
      </c>
      <c r="N13" s="53">
        <v>1</v>
      </c>
      <c r="O13" s="53">
        <v>0.65</v>
      </c>
      <c r="P13" s="53">
        <v>0.5</v>
      </c>
      <c r="Q13" s="75">
        <f t="shared" si="0"/>
        <v>0.57499999999999996</v>
      </c>
      <c r="R13" s="53">
        <v>15.5</v>
      </c>
      <c r="S13" s="53">
        <v>129</v>
      </c>
      <c r="T13" s="16">
        <f t="shared" si="1"/>
        <v>25</v>
      </c>
      <c r="U13" s="53">
        <v>139</v>
      </c>
      <c r="V13" s="16">
        <f t="shared" si="2"/>
        <v>3475</v>
      </c>
      <c r="W13" s="53">
        <v>6</v>
      </c>
      <c r="X13" s="53" t="s">
        <v>46</v>
      </c>
      <c r="Y13" s="53" t="s">
        <v>86</v>
      </c>
      <c r="Z13" s="53" t="s">
        <v>97</v>
      </c>
      <c r="AA13" s="53" t="s">
        <v>69</v>
      </c>
      <c r="AB13" s="53" t="s">
        <v>158</v>
      </c>
      <c r="AE13" s="22" t="s">
        <v>215</v>
      </c>
      <c r="AG13" s="23"/>
      <c r="AH13" s="23"/>
      <c r="AP13" s="23" t="s">
        <v>71</v>
      </c>
      <c r="AR13" s="23" t="s">
        <v>207</v>
      </c>
      <c r="AV13" s="23" t="s">
        <v>75</v>
      </c>
    </row>
    <row r="14" spans="1:53" x14ac:dyDescent="0.15">
      <c r="A14" s="53" t="s">
        <v>41</v>
      </c>
      <c r="B14" s="53" t="s">
        <v>157</v>
      </c>
      <c r="C14" s="62">
        <v>2019</v>
      </c>
      <c r="D14" s="63" t="s">
        <v>183</v>
      </c>
      <c r="E14" s="53" t="s">
        <v>186</v>
      </c>
      <c r="F14" s="53" t="s">
        <v>184</v>
      </c>
      <c r="G14" s="53" t="s">
        <v>42</v>
      </c>
      <c r="H14" s="53" t="s">
        <v>160</v>
      </c>
      <c r="I14" s="53" t="s">
        <v>159</v>
      </c>
      <c r="J14" s="53" t="s">
        <v>38</v>
      </c>
      <c r="K14" s="53" t="s">
        <v>161</v>
      </c>
      <c r="L14" s="53">
        <v>1</v>
      </c>
      <c r="N14" s="53">
        <v>1</v>
      </c>
      <c r="O14" s="53">
        <v>0.7</v>
      </c>
      <c r="P14" s="53">
        <v>0.65</v>
      </c>
      <c r="Q14" s="72">
        <f t="shared" si="0"/>
        <v>0.67500000000000004</v>
      </c>
      <c r="R14" s="53">
        <v>16.8</v>
      </c>
      <c r="S14" s="53">
        <v>122</v>
      </c>
      <c r="T14" s="16">
        <f t="shared" si="1"/>
        <v>27</v>
      </c>
      <c r="U14" s="53">
        <v>149</v>
      </c>
      <c r="V14" s="16">
        <f t="shared" si="2"/>
        <v>4023</v>
      </c>
      <c r="W14" s="53">
        <v>2</v>
      </c>
      <c r="X14" s="53" t="s">
        <v>46</v>
      </c>
      <c r="Y14" s="53" t="s">
        <v>69</v>
      </c>
      <c r="Z14" s="53" t="s">
        <v>55</v>
      </c>
      <c r="AA14" s="53" t="s">
        <v>90</v>
      </c>
      <c r="AB14" s="53" t="s">
        <v>158</v>
      </c>
      <c r="AE14" s="22" t="s">
        <v>96</v>
      </c>
      <c r="AG14" s="23"/>
      <c r="AH14" s="23"/>
      <c r="AP14" s="23" t="s">
        <v>74</v>
      </c>
      <c r="AR14" s="23" t="s">
        <v>216</v>
      </c>
      <c r="AV14" s="23" t="s">
        <v>78</v>
      </c>
    </row>
    <row r="15" spans="1:53" x14ac:dyDescent="0.15">
      <c r="A15" s="53" t="s">
        <v>41</v>
      </c>
      <c r="B15" s="53" t="s">
        <v>157</v>
      </c>
      <c r="C15" s="62">
        <v>2019</v>
      </c>
      <c r="D15" s="63" t="s">
        <v>183</v>
      </c>
      <c r="E15" s="53" t="s">
        <v>186</v>
      </c>
      <c r="F15" s="53" t="s">
        <v>184</v>
      </c>
      <c r="G15" s="53" t="s">
        <v>42</v>
      </c>
      <c r="H15" s="53" t="s">
        <v>160</v>
      </c>
      <c r="I15" s="53" t="s">
        <v>159</v>
      </c>
      <c r="J15" s="53" t="s">
        <v>38</v>
      </c>
      <c r="K15" s="53" t="s">
        <v>161</v>
      </c>
      <c r="L15" s="53">
        <v>2</v>
      </c>
      <c r="N15" s="53">
        <v>1</v>
      </c>
      <c r="O15" s="53">
        <v>0.45</v>
      </c>
      <c r="P15" s="53">
        <v>0.5</v>
      </c>
      <c r="Q15" s="72">
        <f t="shared" si="0"/>
        <v>0.47499999999999998</v>
      </c>
      <c r="R15" s="53">
        <v>16.399999999999999</v>
      </c>
      <c r="S15" s="53">
        <v>125</v>
      </c>
      <c r="T15" s="16">
        <f t="shared" si="1"/>
        <v>27</v>
      </c>
      <c r="U15" s="53">
        <v>149</v>
      </c>
      <c r="V15" s="16">
        <f t="shared" si="2"/>
        <v>4023</v>
      </c>
      <c r="W15" s="53">
        <v>2</v>
      </c>
      <c r="X15" s="53" t="s">
        <v>46</v>
      </c>
      <c r="Y15" s="53" t="s">
        <v>69</v>
      </c>
      <c r="Z15" s="53" t="s">
        <v>55</v>
      </c>
      <c r="AA15" s="53" t="s">
        <v>90</v>
      </c>
      <c r="AB15" s="53" t="s">
        <v>158</v>
      </c>
      <c r="AE15" s="22" t="s">
        <v>217</v>
      </c>
      <c r="AG15" s="23"/>
      <c r="AH15" s="23"/>
      <c r="AP15" s="23" t="s">
        <v>77</v>
      </c>
      <c r="AR15" s="23" t="s">
        <v>80</v>
      </c>
      <c r="AV15" s="23" t="s">
        <v>107</v>
      </c>
    </row>
    <row r="16" spans="1:53" x14ac:dyDescent="0.15">
      <c r="A16" s="53" t="s">
        <v>41</v>
      </c>
      <c r="B16" s="53" t="s">
        <v>157</v>
      </c>
      <c r="C16" s="62">
        <v>2019</v>
      </c>
      <c r="D16" s="63" t="s">
        <v>183</v>
      </c>
      <c r="E16" s="53" t="s">
        <v>186</v>
      </c>
      <c r="F16" s="53" t="s">
        <v>184</v>
      </c>
      <c r="G16" s="53" t="s">
        <v>42</v>
      </c>
      <c r="H16" s="53" t="s">
        <v>160</v>
      </c>
      <c r="I16" s="53" t="s">
        <v>159</v>
      </c>
      <c r="J16" s="53" t="s">
        <v>38</v>
      </c>
      <c r="K16" s="53" t="s">
        <v>161</v>
      </c>
      <c r="L16" s="53">
        <v>3</v>
      </c>
      <c r="N16" s="53">
        <v>1</v>
      </c>
      <c r="O16" s="53">
        <v>0.6</v>
      </c>
      <c r="P16" s="53">
        <v>0.45</v>
      </c>
      <c r="Q16" s="72">
        <f t="shared" si="0"/>
        <v>0.52500000000000002</v>
      </c>
      <c r="R16" s="53">
        <v>16.8</v>
      </c>
      <c r="S16" s="53">
        <v>126</v>
      </c>
      <c r="T16" s="16">
        <f t="shared" si="1"/>
        <v>27</v>
      </c>
      <c r="U16" s="53">
        <v>149</v>
      </c>
      <c r="V16" s="16">
        <f t="shared" si="2"/>
        <v>4023</v>
      </c>
      <c r="W16" s="53">
        <v>2</v>
      </c>
      <c r="X16" s="53" t="s">
        <v>46</v>
      </c>
      <c r="Y16" s="53" t="s">
        <v>69</v>
      </c>
      <c r="Z16" s="53" t="s">
        <v>55</v>
      </c>
      <c r="AA16" s="53" t="s">
        <v>90</v>
      </c>
      <c r="AB16" s="53" t="s">
        <v>158</v>
      </c>
      <c r="AE16" s="22" t="s">
        <v>218</v>
      </c>
      <c r="AG16" s="28"/>
      <c r="AH16" s="28"/>
      <c r="AP16" s="23" t="s">
        <v>80</v>
      </c>
      <c r="AR16" s="23" t="s">
        <v>63</v>
      </c>
      <c r="AV16" s="23" t="s">
        <v>84</v>
      </c>
    </row>
    <row r="17" spans="1:48" x14ac:dyDescent="0.15">
      <c r="A17" s="53" t="s">
        <v>41</v>
      </c>
      <c r="B17" s="53" t="s">
        <v>157</v>
      </c>
      <c r="C17" s="62">
        <v>2019</v>
      </c>
      <c r="D17" s="63" t="s">
        <v>183</v>
      </c>
      <c r="E17" s="53" t="s">
        <v>186</v>
      </c>
      <c r="F17" s="53" t="s">
        <v>184</v>
      </c>
      <c r="G17" s="53" t="s">
        <v>42</v>
      </c>
      <c r="H17" s="53" t="s">
        <v>160</v>
      </c>
      <c r="I17" s="53" t="s">
        <v>159</v>
      </c>
      <c r="J17" s="53" t="s">
        <v>38</v>
      </c>
      <c r="K17" s="53" t="s">
        <v>161</v>
      </c>
      <c r="L17" s="53">
        <v>1</v>
      </c>
      <c r="N17" s="53">
        <v>4</v>
      </c>
      <c r="O17" s="53">
        <v>0.5</v>
      </c>
      <c r="P17" s="53">
        <v>0.4</v>
      </c>
      <c r="Q17" s="72">
        <f t="shared" si="0"/>
        <v>0.45</v>
      </c>
      <c r="R17" s="53">
        <v>15.4</v>
      </c>
      <c r="S17" s="53">
        <v>120</v>
      </c>
      <c r="T17" s="16">
        <f t="shared" si="1"/>
        <v>30</v>
      </c>
      <c r="U17" s="53">
        <v>429</v>
      </c>
      <c r="V17" s="16">
        <f t="shared" si="2"/>
        <v>3217.5</v>
      </c>
      <c r="W17" s="53">
        <v>2</v>
      </c>
      <c r="X17" s="53" t="s">
        <v>46</v>
      </c>
      <c r="Y17" s="53" t="s">
        <v>69</v>
      </c>
      <c r="Z17" s="53" t="s">
        <v>55</v>
      </c>
      <c r="AA17" s="53" t="s">
        <v>90</v>
      </c>
      <c r="AB17" s="53" t="s">
        <v>158</v>
      </c>
      <c r="AE17" s="22" t="s">
        <v>219</v>
      </c>
      <c r="AP17" s="27" t="s">
        <v>220</v>
      </c>
      <c r="AR17" s="23" t="s">
        <v>96</v>
      </c>
      <c r="AV17" s="23" t="s">
        <v>86</v>
      </c>
    </row>
    <row r="18" spans="1:48" x14ac:dyDescent="0.15">
      <c r="A18" s="53" t="s">
        <v>41</v>
      </c>
      <c r="B18" s="53" t="s">
        <v>157</v>
      </c>
      <c r="C18" s="62">
        <v>2019</v>
      </c>
      <c r="D18" s="63" t="s">
        <v>183</v>
      </c>
      <c r="E18" s="53" t="s">
        <v>186</v>
      </c>
      <c r="F18" s="53" t="s">
        <v>184</v>
      </c>
      <c r="G18" s="53" t="s">
        <v>42</v>
      </c>
      <c r="H18" s="53" t="s">
        <v>160</v>
      </c>
      <c r="I18" s="53" t="s">
        <v>159</v>
      </c>
      <c r="J18" s="53" t="s">
        <v>38</v>
      </c>
      <c r="K18" s="53" t="s">
        <v>161</v>
      </c>
      <c r="L18" s="53">
        <v>2</v>
      </c>
      <c r="N18" s="53">
        <v>4</v>
      </c>
      <c r="O18" s="53">
        <v>0.35</v>
      </c>
      <c r="P18" s="53">
        <v>0.4</v>
      </c>
      <c r="Q18" s="72">
        <f t="shared" si="0"/>
        <v>0.375</v>
      </c>
      <c r="R18" s="53">
        <v>19.100000000000001</v>
      </c>
      <c r="S18" s="53">
        <v>120</v>
      </c>
      <c r="T18" s="16">
        <f t="shared" si="1"/>
        <v>30</v>
      </c>
      <c r="U18" s="53">
        <v>429</v>
      </c>
      <c r="V18" s="16">
        <f t="shared" si="2"/>
        <v>3217.5</v>
      </c>
      <c r="W18" s="53">
        <v>2</v>
      </c>
      <c r="X18" s="53" t="s">
        <v>46</v>
      </c>
      <c r="Y18" s="53" t="s">
        <v>69</v>
      </c>
      <c r="Z18" s="53" t="s">
        <v>55</v>
      </c>
      <c r="AA18" s="53" t="s">
        <v>90</v>
      </c>
      <c r="AB18" s="53" t="s">
        <v>158</v>
      </c>
      <c r="AE18" s="22" t="s">
        <v>212</v>
      </c>
      <c r="AP18" s="27" t="s">
        <v>221</v>
      </c>
      <c r="AR18" s="23" t="s">
        <v>101</v>
      </c>
      <c r="AV18" s="23" t="s">
        <v>88</v>
      </c>
    </row>
    <row r="19" spans="1:48" x14ac:dyDescent="0.15">
      <c r="A19" s="53" t="s">
        <v>41</v>
      </c>
      <c r="B19" s="53" t="s">
        <v>157</v>
      </c>
      <c r="C19" s="62">
        <v>2019</v>
      </c>
      <c r="D19" s="63" t="s">
        <v>183</v>
      </c>
      <c r="E19" s="53" t="s">
        <v>186</v>
      </c>
      <c r="F19" s="53" t="s">
        <v>184</v>
      </c>
      <c r="G19" s="53" t="s">
        <v>42</v>
      </c>
      <c r="H19" s="53" t="s">
        <v>160</v>
      </c>
      <c r="I19" s="53" t="s">
        <v>159</v>
      </c>
      <c r="J19" s="53" t="s">
        <v>38</v>
      </c>
      <c r="K19" s="53" t="s">
        <v>161</v>
      </c>
      <c r="L19" s="53">
        <v>3</v>
      </c>
      <c r="N19" s="53">
        <v>4</v>
      </c>
      <c r="O19" s="53">
        <v>0.25</v>
      </c>
      <c r="P19" s="53">
        <v>0.35</v>
      </c>
      <c r="Q19" s="72">
        <f t="shared" si="0"/>
        <v>0.3</v>
      </c>
      <c r="R19" s="53">
        <v>14.1</v>
      </c>
      <c r="S19" s="53">
        <v>117</v>
      </c>
      <c r="T19" s="16">
        <f t="shared" si="1"/>
        <v>30</v>
      </c>
      <c r="U19" s="53">
        <v>429</v>
      </c>
      <c r="V19" s="16">
        <f t="shared" si="2"/>
        <v>3217.5</v>
      </c>
      <c r="W19" s="53">
        <v>2</v>
      </c>
      <c r="X19" s="53" t="s">
        <v>46</v>
      </c>
      <c r="Y19" s="53" t="s">
        <v>69</v>
      </c>
      <c r="Z19" s="53" t="s">
        <v>55</v>
      </c>
      <c r="AA19" s="53" t="s">
        <v>90</v>
      </c>
      <c r="AB19" s="53" t="s">
        <v>158</v>
      </c>
      <c r="AE19" s="35" t="s">
        <v>206</v>
      </c>
      <c r="AP19" s="27" t="s">
        <v>222</v>
      </c>
      <c r="AR19" s="23" t="s">
        <v>223</v>
      </c>
      <c r="AV19" s="23" t="s">
        <v>90</v>
      </c>
    </row>
    <row r="20" spans="1:48" x14ac:dyDescent="0.15">
      <c r="A20" s="53" t="s">
        <v>41</v>
      </c>
      <c r="B20" s="53" t="s">
        <v>157</v>
      </c>
      <c r="C20" s="62">
        <v>2019</v>
      </c>
      <c r="D20" s="63" t="s">
        <v>183</v>
      </c>
      <c r="E20" s="53" t="s">
        <v>186</v>
      </c>
      <c r="F20" s="53" t="s">
        <v>184</v>
      </c>
      <c r="G20" s="53" t="s">
        <v>42</v>
      </c>
      <c r="H20" s="53" t="s">
        <v>160</v>
      </c>
      <c r="I20" s="53" t="s">
        <v>159</v>
      </c>
      <c r="J20" s="53" t="s">
        <v>38</v>
      </c>
      <c r="K20" s="53" t="s">
        <v>161</v>
      </c>
      <c r="L20" s="53">
        <v>1</v>
      </c>
      <c r="N20" s="53">
        <v>6</v>
      </c>
      <c r="O20" s="53">
        <v>0.6</v>
      </c>
      <c r="P20" s="53">
        <v>0.7</v>
      </c>
      <c r="Q20" s="72">
        <f t="shared" si="0"/>
        <v>0.64999999999999991</v>
      </c>
      <c r="R20" s="53">
        <v>12.8</v>
      </c>
      <c r="S20" s="53">
        <v>105</v>
      </c>
      <c r="T20" s="16">
        <f t="shared" si="1"/>
        <v>33</v>
      </c>
      <c r="U20" s="53">
        <v>626</v>
      </c>
      <c r="V20" s="16">
        <f t="shared" si="2"/>
        <v>3443</v>
      </c>
      <c r="W20" s="53">
        <v>2</v>
      </c>
      <c r="X20" s="53" t="s">
        <v>46</v>
      </c>
      <c r="Y20" s="53" t="s">
        <v>69</v>
      </c>
      <c r="Z20" s="53" t="s">
        <v>55</v>
      </c>
      <c r="AA20" s="53" t="s">
        <v>90</v>
      </c>
      <c r="AB20" s="53" t="s">
        <v>158</v>
      </c>
      <c r="AE20" s="35"/>
      <c r="AP20" s="27" t="s">
        <v>224</v>
      </c>
      <c r="AR20" s="23" t="s">
        <v>105</v>
      </c>
      <c r="AV20" s="27" t="s">
        <v>225</v>
      </c>
    </row>
    <row r="21" spans="1:48" x14ac:dyDescent="0.15">
      <c r="A21" s="53" t="s">
        <v>41</v>
      </c>
      <c r="B21" s="53" t="s">
        <v>157</v>
      </c>
      <c r="C21" s="62">
        <v>2019</v>
      </c>
      <c r="D21" s="63" t="s">
        <v>183</v>
      </c>
      <c r="E21" s="53" t="s">
        <v>186</v>
      </c>
      <c r="F21" s="53" t="s">
        <v>184</v>
      </c>
      <c r="G21" s="53" t="s">
        <v>42</v>
      </c>
      <c r="H21" s="53" t="s">
        <v>160</v>
      </c>
      <c r="I21" s="53" t="s">
        <v>159</v>
      </c>
      <c r="J21" s="53" t="s">
        <v>38</v>
      </c>
      <c r="K21" s="53" t="s">
        <v>161</v>
      </c>
      <c r="L21" s="53">
        <v>2</v>
      </c>
      <c r="N21" s="53">
        <v>6</v>
      </c>
      <c r="O21" s="53">
        <v>0.45</v>
      </c>
      <c r="P21" s="53">
        <v>0.5</v>
      </c>
      <c r="Q21" s="72">
        <f t="shared" si="0"/>
        <v>0.47499999999999998</v>
      </c>
      <c r="R21" s="53">
        <v>13.7</v>
      </c>
      <c r="S21" s="53">
        <v>110</v>
      </c>
      <c r="T21" s="16">
        <f t="shared" si="1"/>
        <v>33</v>
      </c>
      <c r="U21" s="53">
        <v>626</v>
      </c>
      <c r="V21" s="16">
        <f t="shared" si="2"/>
        <v>3443</v>
      </c>
      <c r="W21" s="53">
        <v>2</v>
      </c>
      <c r="X21" s="53" t="s">
        <v>46</v>
      </c>
      <c r="Y21" s="53" t="s">
        <v>69</v>
      </c>
      <c r="Z21" s="53" t="s">
        <v>55</v>
      </c>
      <c r="AA21" s="53" t="s">
        <v>90</v>
      </c>
      <c r="AB21" s="53" t="s">
        <v>158</v>
      </c>
      <c r="AE21" s="28"/>
      <c r="AP21" s="27" t="s">
        <v>226</v>
      </c>
      <c r="AR21" s="23" t="s">
        <v>68</v>
      </c>
      <c r="AV21" s="27" t="s">
        <v>227</v>
      </c>
    </row>
    <row r="22" spans="1:48" x14ac:dyDescent="0.15">
      <c r="A22" s="53" t="s">
        <v>41</v>
      </c>
      <c r="B22" s="53" t="s">
        <v>157</v>
      </c>
      <c r="C22" s="62">
        <v>2019</v>
      </c>
      <c r="D22" s="63" t="s">
        <v>183</v>
      </c>
      <c r="E22" s="53" t="s">
        <v>186</v>
      </c>
      <c r="F22" s="53" t="s">
        <v>184</v>
      </c>
      <c r="G22" s="53" t="s">
        <v>42</v>
      </c>
      <c r="H22" s="53" t="s">
        <v>160</v>
      </c>
      <c r="I22" s="53" t="s">
        <v>159</v>
      </c>
      <c r="J22" s="53" t="s">
        <v>38</v>
      </c>
      <c r="K22" s="53" t="s">
        <v>161</v>
      </c>
      <c r="L22" s="53">
        <v>3</v>
      </c>
      <c r="N22" s="53">
        <v>6</v>
      </c>
      <c r="O22" s="53">
        <v>0.8</v>
      </c>
      <c r="P22" s="53">
        <v>0.65</v>
      </c>
      <c r="Q22" s="72">
        <f t="shared" si="0"/>
        <v>0.72500000000000009</v>
      </c>
      <c r="R22" s="53">
        <v>14.8</v>
      </c>
      <c r="S22" s="53">
        <v>104</v>
      </c>
      <c r="T22" s="16">
        <f t="shared" si="1"/>
        <v>33</v>
      </c>
      <c r="U22" s="53">
        <v>626</v>
      </c>
      <c r="V22" s="16">
        <f t="shared" si="2"/>
        <v>3443</v>
      </c>
      <c r="W22" s="53">
        <v>2</v>
      </c>
      <c r="X22" s="53" t="s">
        <v>46</v>
      </c>
      <c r="Y22" s="53" t="s">
        <v>69</v>
      </c>
      <c r="Z22" s="53" t="s">
        <v>55</v>
      </c>
      <c r="AA22" s="53" t="s">
        <v>90</v>
      </c>
      <c r="AB22" s="53" t="s">
        <v>158</v>
      </c>
      <c r="AP22" s="27" t="s">
        <v>228</v>
      </c>
      <c r="AR22" s="23" t="s">
        <v>83</v>
      </c>
      <c r="AV22" s="27"/>
    </row>
    <row r="23" spans="1:48" x14ac:dyDescent="0.15">
      <c r="A23" s="53" t="s">
        <v>41</v>
      </c>
      <c r="B23" s="53" t="s">
        <v>157</v>
      </c>
      <c r="C23" s="62">
        <v>2019</v>
      </c>
      <c r="D23" s="63" t="s">
        <v>183</v>
      </c>
      <c r="E23" s="53" t="s">
        <v>186</v>
      </c>
      <c r="F23" s="53" t="s">
        <v>184</v>
      </c>
      <c r="G23" s="53" t="s">
        <v>42</v>
      </c>
      <c r="H23" s="53" t="s">
        <v>164</v>
      </c>
      <c r="I23" s="53" t="s">
        <v>159</v>
      </c>
      <c r="J23" s="53" t="s">
        <v>38</v>
      </c>
      <c r="K23" s="53" t="s">
        <v>161</v>
      </c>
      <c r="L23" s="53">
        <v>1</v>
      </c>
      <c r="N23" s="53">
        <v>1</v>
      </c>
      <c r="O23" s="53">
        <v>0.55000000000000004</v>
      </c>
      <c r="P23" s="53">
        <v>0.6</v>
      </c>
      <c r="Q23" s="75">
        <f t="shared" si="0"/>
        <v>0.57499999999999996</v>
      </c>
      <c r="R23" s="53">
        <v>15.4</v>
      </c>
      <c r="S23" s="53">
        <v>126</v>
      </c>
      <c r="T23" s="16">
        <f t="shared" si="1"/>
        <v>27</v>
      </c>
      <c r="U23" s="53">
        <v>149</v>
      </c>
      <c r="V23" s="16">
        <f t="shared" si="2"/>
        <v>4023</v>
      </c>
      <c r="W23" s="53">
        <v>2</v>
      </c>
      <c r="X23" s="53" t="s">
        <v>46</v>
      </c>
      <c r="Y23" s="53" t="s">
        <v>69</v>
      </c>
      <c r="Z23" s="53" t="s">
        <v>55</v>
      </c>
      <c r="AA23" s="53" t="s">
        <v>90</v>
      </c>
      <c r="AB23" s="53" t="s">
        <v>158</v>
      </c>
      <c r="AP23" s="27" t="s">
        <v>229</v>
      </c>
      <c r="AR23" s="28" t="s">
        <v>230</v>
      </c>
      <c r="AV23" s="28"/>
    </row>
    <row r="24" spans="1:48" x14ac:dyDescent="0.15">
      <c r="A24" s="53" t="s">
        <v>41</v>
      </c>
      <c r="B24" s="53" t="s">
        <v>157</v>
      </c>
      <c r="C24" s="62">
        <v>2019</v>
      </c>
      <c r="D24" s="63" t="s">
        <v>183</v>
      </c>
      <c r="E24" s="53" t="s">
        <v>186</v>
      </c>
      <c r="F24" s="53" t="s">
        <v>184</v>
      </c>
      <c r="G24" s="53" t="s">
        <v>42</v>
      </c>
      <c r="H24" s="53" t="s">
        <v>164</v>
      </c>
      <c r="I24" s="53" t="s">
        <v>159</v>
      </c>
      <c r="J24" s="53" t="s">
        <v>38</v>
      </c>
      <c r="K24" s="53" t="s">
        <v>161</v>
      </c>
      <c r="L24" s="53">
        <v>2</v>
      </c>
      <c r="N24" s="53">
        <v>1</v>
      </c>
      <c r="O24" s="53">
        <v>0.65</v>
      </c>
      <c r="P24" s="53">
        <v>0.45</v>
      </c>
      <c r="Q24" s="75">
        <f t="shared" si="0"/>
        <v>0.55000000000000004</v>
      </c>
      <c r="R24" s="53">
        <v>14.7</v>
      </c>
      <c r="S24" s="53">
        <v>125</v>
      </c>
      <c r="T24" s="16">
        <f t="shared" si="1"/>
        <v>27</v>
      </c>
      <c r="U24" s="53">
        <v>149</v>
      </c>
      <c r="V24" s="16">
        <f t="shared" si="2"/>
        <v>4023</v>
      </c>
      <c r="W24" s="53">
        <v>2</v>
      </c>
      <c r="X24" s="53" t="s">
        <v>46</v>
      </c>
      <c r="Y24" s="53" t="s">
        <v>69</v>
      </c>
      <c r="Z24" s="53" t="s">
        <v>55</v>
      </c>
      <c r="AA24" s="53" t="s">
        <v>90</v>
      </c>
      <c r="AB24" s="53" t="s">
        <v>158</v>
      </c>
      <c r="AP24" s="27" t="s">
        <v>231</v>
      </c>
    </row>
    <row r="25" spans="1:48" x14ac:dyDescent="0.15">
      <c r="A25" s="53" t="s">
        <v>41</v>
      </c>
      <c r="B25" s="53" t="s">
        <v>157</v>
      </c>
      <c r="C25" s="62">
        <v>2019</v>
      </c>
      <c r="D25" s="63" t="s">
        <v>183</v>
      </c>
      <c r="E25" s="53" t="s">
        <v>186</v>
      </c>
      <c r="F25" s="53" t="s">
        <v>184</v>
      </c>
      <c r="G25" s="53" t="s">
        <v>42</v>
      </c>
      <c r="H25" s="53" t="s">
        <v>164</v>
      </c>
      <c r="I25" s="53" t="s">
        <v>159</v>
      </c>
      <c r="J25" s="53" t="s">
        <v>38</v>
      </c>
      <c r="K25" s="53" t="s">
        <v>161</v>
      </c>
      <c r="L25" s="53">
        <v>3</v>
      </c>
      <c r="N25" s="53">
        <v>1</v>
      </c>
      <c r="O25" s="53">
        <v>0.5</v>
      </c>
      <c r="P25" s="53">
        <v>0.5</v>
      </c>
      <c r="Q25" s="75">
        <f t="shared" si="0"/>
        <v>0.5</v>
      </c>
      <c r="R25" s="53">
        <v>13.2</v>
      </c>
      <c r="S25" s="53">
        <v>122</v>
      </c>
      <c r="T25" s="16">
        <f t="shared" si="1"/>
        <v>27</v>
      </c>
      <c r="U25" s="53">
        <v>149</v>
      </c>
      <c r="V25" s="16">
        <f t="shared" si="2"/>
        <v>4023</v>
      </c>
      <c r="W25" s="53">
        <v>2</v>
      </c>
      <c r="X25" s="53" t="s">
        <v>46</v>
      </c>
      <c r="Y25" s="53" t="s">
        <v>69</v>
      </c>
      <c r="Z25" s="53" t="s">
        <v>55</v>
      </c>
      <c r="AA25" s="53" t="s">
        <v>90</v>
      </c>
      <c r="AB25" s="53" t="s">
        <v>158</v>
      </c>
    </row>
    <row r="26" spans="1:48" x14ac:dyDescent="0.15">
      <c r="A26" s="53" t="s">
        <v>41</v>
      </c>
      <c r="B26" s="53" t="s">
        <v>157</v>
      </c>
      <c r="C26" s="62">
        <v>2019</v>
      </c>
      <c r="D26" s="63" t="s">
        <v>183</v>
      </c>
      <c r="E26" s="53" t="s">
        <v>186</v>
      </c>
      <c r="F26" s="53" t="s">
        <v>184</v>
      </c>
      <c r="G26" s="53" t="s">
        <v>42</v>
      </c>
      <c r="H26" s="53" t="s">
        <v>164</v>
      </c>
      <c r="I26" s="53" t="s">
        <v>159</v>
      </c>
      <c r="J26" s="53" t="s">
        <v>38</v>
      </c>
      <c r="K26" s="53" t="s">
        <v>161</v>
      </c>
      <c r="L26" s="53">
        <v>1</v>
      </c>
      <c r="N26" s="53">
        <v>5</v>
      </c>
      <c r="O26" s="53">
        <v>0.8</v>
      </c>
      <c r="P26" s="53">
        <v>0.95</v>
      </c>
      <c r="Q26" s="75">
        <f t="shared" si="0"/>
        <v>0.875</v>
      </c>
      <c r="R26" s="53">
        <v>16</v>
      </c>
      <c r="S26" s="53">
        <v>100</v>
      </c>
      <c r="T26" s="16">
        <f t="shared" si="1"/>
        <v>33</v>
      </c>
      <c r="U26" s="53">
        <v>429</v>
      </c>
      <c r="V26" s="16">
        <f t="shared" si="2"/>
        <v>2831.4</v>
      </c>
      <c r="W26" s="53">
        <v>1</v>
      </c>
      <c r="X26" s="53" t="s">
        <v>46</v>
      </c>
      <c r="Y26" s="53" t="s">
        <v>69</v>
      </c>
      <c r="Z26" s="53" t="s">
        <v>55</v>
      </c>
      <c r="AA26" s="53" t="s">
        <v>90</v>
      </c>
      <c r="AB26" s="53" t="s">
        <v>158</v>
      </c>
    </row>
    <row r="27" spans="1:48" x14ac:dyDescent="0.15">
      <c r="A27" s="53" t="s">
        <v>41</v>
      </c>
      <c r="B27" s="53" t="s">
        <v>157</v>
      </c>
      <c r="C27" s="62">
        <v>2019</v>
      </c>
      <c r="D27" s="63" t="s">
        <v>183</v>
      </c>
      <c r="E27" s="53" t="s">
        <v>186</v>
      </c>
      <c r="F27" s="53" t="s">
        <v>184</v>
      </c>
      <c r="G27" s="53" t="s">
        <v>42</v>
      </c>
      <c r="H27" s="53" t="s">
        <v>164</v>
      </c>
      <c r="I27" s="53" t="s">
        <v>159</v>
      </c>
      <c r="J27" s="53" t="s">
        <v>38</v>
      </c>
      <c r="K27" s="53" t="s">
        <v>161</v>
      </c>
      <c r="L27" s="53">
        <v>2</v>
      </c>
      <c r="N27" s="53">
        <v>5</v>
      </c>
      <c r="O27" s="53">
        <v>0.8</v>
      </c>
      <c r="P27" s="53">
        <v>0.9</v>
      </c>
      <c r="Q27" s="75">
        <f t="shared" si="0"/>
        <v>0.85000000000000009</v>
      </c>
      <c r="R27" s="53">
        <v>12.5</v>
      </c>
      <c r="S27" s="53">
        <v>98</v>
      </c>
      <c r="T27" s="16">
        <f t="shared" si="1"/>
        <v>36</v>
      </c>
      <c r="U27" s="53">
        <v>429</v>
      </c>
      <c r="V27" s="16">
        <f t="shared" si="2"/>
        <v>3088.7999999999997</v>
      </c>
      <c r="W27" s="53">
        <v>1</v>
      </c>
      <c r="X27" s="53" t="s">
        <v>46</v>
      </c>
      <c r="Y27" s="53" t="s">
        <v>69</v>
      </c>
      <c r="Z27" s="53" t="s">
        <v>55</v>
      </c>
      <c r="AA27" s="53" t="s">
        <v>90</v>
      </c>
      <c r="AB27" s="53" t="s">
        <v>158</v>
      </c>
    </row>
    <row r="28" spans="1:48" x14ac:dyDescent="0.15">
      <c r="A28" s="53" t="s">
        <v>41</v>
      </c>
      <c r="B28" s="53" t="s">
        <v>157</v>
      </c>
      <c r="C28" s="62">
        <v>2019</v>
      </c>
      <c r="D28" s="63" t="s">
        <v>183</v>
      </c>
      <c r="E28" s="53" t="s">
        <v>186</v>
      </c>
      <c r="F28" s="53" t="s">
        <v>184</v>
      </c>
      <c r="G28" s="53" t="s">
        <v>42</v>
      </c>
      <c r="H28" s="53" t="s">
        <v>164</v>
      </c>
      <c r="I28" s="53" t="s">
        <v>159</v>
      </c>
      <c r="J28" s="53" t="s">
        <v>38</v>
      </c>
      <c r="K28" s="53" t="s">
        <v>161</v>
      </c>
      <c r="L28" s="53">
        <v>3</v>
      </c>
      <c r="N28" s="53">
        <v>5</v>
      </c>
      <c r="O28" s="53">
        <v>1</v>
      </c>
      <c r="P28" s="53">
        <v>1.1499999999999999</v>
      </c>
      <c r="Q28" s="75">
        <f t="shared" si="0"/>
        <v>1.075</v>
      </c>
      <c r="R28" s="53">
        <v>12</v>
      </c>
      <c r="S28" s="53">
        <v>102</v>
      </c>
      <c r="T28" s="16">
        <f t="shared" si="1"/>
        <v>33</v>
      </c>
      <c r="U28" s="53">
        <v>429</v>
      </c>
      <c r="V28" s="16">
        <f t="shared" si="2"/>
        <v>2831.4</v>
      </c>
      <c r="W28" s="53">
        <v>1</v>
      </c>
      <c r="X28" s="53" t="s">
        <v>46</v>
      </c>
      <c r="Y28" s="53" t="s">
        <v>69</v>
      </c>
      <c r="Z28" s="53" t="s">
        <v>55</v>
      </c>
      <c r="AA28" s="53" t="s">
        <v>90</v>
      </c>
      <c r="AB28" s="53" t="s">
        <v>158</v>
      </c>
    </row>
    <row r="29" spans="1:48" x14ac:dyDescent="0.15">
      <c r="A29" s="53" t="s">
        <v>41</v>
      </c>
      <c r="B29" s="53" t="s">
        <v>157</v>
      </c>
      <c r="C29" s="62">
        <v>2019</v>
      </c>
      <c r="D29" s="63" t="s">
        <v>183</v>
      </c>
      <c r="E29" s="53" t="s">
        <v>186</v>
      </c>
      <c r="F29" s="53" t="s">
        <v>184</v>
      </c>
      <c r="G29" s="53" t="s">
        <v>42</v>
      </c>
      <c r="H29" s="53" t="s">
        <v>164</v>
      </c>
      <c r="I29" s="53" t="s">
        <v>159</v>
      </c>
      <c r="J29" s="53" t="s">
        <v>38</v>
      </c>
      <c r="K29" s="53" t="s">
        <v>161</v>
      </c>
      <c r="L29" s="53">
        <v>1</v>
      </c>
      <c r="N29" s="53">
        <v>7</v>
      </c>
      <c r="O29" s="53">
        <v>0.9</v>
      </c>
      <c r="P29" s="53">
        <v>1.1000000000000001</v>
      </c>
      <c r="Q29" s="75">
        <f t="shared" si="0"/>
        <v>1</v>
      </c>
      <c r="R29" s="53">
        <v>10.4</v>
      </c>
      <c r="S29" s="53">
        <v>95</v>
      </c>
      <c r="T29" s="16">
        <f t="shared" si="1"/>
        <v>36</v>
      </c>
      <c r="U29" s="53">
        <v>626</v>
      </c>
      <c r="V29" s="16">
        <f t="shared" si="2"/>
        <v>3219.4285714285716</v>
      </c>
      <c r="W29" s="53">
        <v>2</v>
      </c>
      <c r="X29" s="53" t="s">
        <v>46</v>
      </c>
      <c r="Y29" s="53" t="s">
        <v>69</v>
      </c>
      <c r="Z29" s="53" t="s">
        <v>55</v>
      </c>
      <c r="AA29" s="53" t="s">
        <v>90</v>
      </c>
      <c r="AB29" s="53" t="s">
        <v>158</v>
      </c>
    </row>
    <row r="30" spans="1:48" x14ac:dyDescent="0.15">
      <c r="A30" s="53" t="s">
        <v>41</v>
      </c>
      <c r="B30" s="53" t="s">
        <v>157</v>
      </c>
      <c r="C30" s="62">
        <v>2019</v>
      </c>
      <c r="D30" s="63" t="s">
        <v>183</v>
      </c>
      <c r="E30" s="53" t="s">
        <v>186</v>
      </c>
      <c r="F30" s="53" t="s">
        <v>184</v>
      </c>
      <c r="G30" s="53" t="s">
        <v>42</v>
      </c>
      <c r="H30" s="53" t="s">
        <v>164</v>
      </c>
      <c r="I30" s="53" t="s">
        <v>159</v>
      </c>
      <c r="J30" s="53" t="s">
        <v>38</v>
      </c>
      <c r="K30" s="53" t="s">
        <v>161</v>
      </c>
      <c r="L30" s="53">
        <v>2</v>
      </c>
      <c r="N30" s="53">
        <v>7</v>
      </c>
      <c r="O30" s="53">
        <v>0.95</v>
      </c>
      <c r="P30" s="53">
        <v>1</v>
      </c>
      <c r="Q30" s="75">
        <f t="shared" si="0"/>
        <v>0.97499999999999998</v>
      </c>
      <c r="R30" s="53">
        <v>9.9</v>
      </c>
      <c r="S30" s="53">
        <v>97</v>
      </c>
      <c r="T30" s="16">
        <f t="shared" si="1"/>
        <v>36</v>
      </c>
      <c r="U30" s="53">
        <v>626</v>
      </c>
      <c r="V30" s="16">
        <f t="shared" si="2"/>
        <v>3219.4285714285716</v>
      </c>
      <c r="W30" s="53">
        <v>2</v>
      </c>
      <c r="X30" s="53" t="s">
        <v>46</v>
      </c>
      <c r="Y30" s="53" t="s">
        <v>69</v>
      </c>
      <c r="Z30" s="53" t="s">
        <v>55</v>
      </c>
      <c r="AA30" s="53" t="s">
        <v>90</v>
      </c>
      <c r="AB30" s="53" t="s">
        <v>158</v>
      </c>
    </row>
    <row r="31" spans="1:48" x14ac:dyDescent="0.15">
      <c r="A31" s="53" t="s">
        <v>41</v>
      </c>
      <c r="B31" s="53" t="s">
        <v>157</v>
      </c>
      <c r="C31" s="62">
        <v>2019</v>
      </c>
      <c r="D31" s="63" t="s">
        <v>183</v>
      </c>
      <c r="E31" s="53" t="s">
        <v>186</v>
      </c>
      <c r="F31" s="53" t="s">
        <v>184</v>
      </c>
      <c r="G31" s="53" t="s">
        <v>42</v>
      </c>
      <c r="H31" s="53" t="s">
        <v>164</v>
      </c>
      <c r="I31" s="53" t="s">
        <v>159</v>
      </c>
      <c r="J31" s="53" t="s">
        <v>38</v>
      </c>
      <c r="K31" s="53" t="s">
        <v>161</v>
      </c>
      <c r="L31" s="53">
        <v>3</v>
      </c>
      <c r="N31" s="53">
        <v>7</v>
      </c>
      <c r="O31" s="53">
        <v>0.85</v>
      </c>
      <c r="P31" s="53">
        <v>0.9</v>
      </c>
      <c r="Q31" s="75">
        <f t="shared" si="0"/>
        <v>0.875</v>
      </c>
      <c r="R31" s="53">
        <v>11.4</v>
      </c>
      <c r="S31" s="53">
        <v>94</v>
      </c>
      <c r="T31" s="16">
        <f t="shared" si="1"/>
        <v>36</v>
      </c>
      <c r="U31" s="53">
        <v>626</v>
      </c>
      <c r="V31" s="16">
        <f t="shared" si="2"/>
        <v>3219.4285714285716</v>
      </c>
      <c r="W31" s="53">
        <v>2</v>
      </c>
      <c r="X31" s="53" t="s">
        <v>46</v>
      </c>
      <c r="Y31" s="53" t="s">
        <v>69</v>
      </c>
      <c r="Z31" s="53" t="s">
        <v>55</v>
      </c>
      <c r="AA31" s="53" t="s">
        <v>90</v>
      </c>
      <c r="AB31" s="53" t="s">
        <v>158</v>
      </c>
    </row>
    <row r="32" spans="1:48" x14ac:dyDescent="0.15">
      <c r="A32" s="53" t="s">
        <v>41</v>
      </c>
      <c r="B32" s="53" t="s">
        <v>157</v>
      </c>
      <c r="C32" s="62">
        <v>2019</v>
      </c>
      <c r="D32" s="63" t="s">
        <v>183</v>
      </c>
      <c r="E32" s="53" t="s">
        <v>186</v>
      </c>
      <c r="F32" s="53" t="s">
        <v>188</v>
      </c>
      <c r="G32" s="53" t="s">
        <v>42</v>
      </c>
      <c r="H32" s="53" t="s">
        <v>160</v>
      </c>
      <c r="I32" s="53" t="s">
        <v>159</v>
      </c>
      <c r="J32" s="53" t="s">
        <v>38</v>
      </c>
      <c r="K32" s="53" t="s">
        <v>161</v>
      </c>
      <c r="L32" s="53">
        <v>1</v>
      </c>
      <c r="N32" s="53">
        <v>1</v>
      </c>
      <c r="O32" s="53">
        <v>0.45</v>
      </c>
      <c r="P32" s="53">
        <v>0.5</v>
      </c>
      <c r="Q32" s="75">
        <f t="shared" si="0"/>
        <v>0.47499999999999998</v>
      </c>
      <c r="R32" s="53">
        <v>15</v>
      </c>
      <c r="S32" s="53">
        <v>130</v>
      </c>
      <c r="T32" s="16">
        <f t="shared" si="1"/>
        <v>25</v>
      </c>
      <c r="U32" s="53">
        <v>149</v>
      </c>
      <c r="V32" s="16">
        <f t="shared" si="2"/>
        <v>3725</v>
      </c>
      <c r="W32" s="53">
        <v>4</v>
      </c>
      <c r="X32" s="53" t="s">
        <v>46</v>
      </c>
      <c r="Y32" s="53" t="s">
        <v>55</v>
      </c>
      <c r="Z32" s="53" t="s">
        <v>86</v>
      </c>
      <c r="AA32" s="53" t="s">
        <v>69</v>
      </c>
      <c r="AB32" s="53" t="s">
        <v>158</v>
      </c>
    </row>
    <row r="33" spans="1:28" x14ac:dyDescent="0.15">
      <c r="A33" s="53" t="s">
        <v>41</v>
      </c>
      <c r="B33" s="53" t="s">
        <v>157</v>
      </c>
      <c r="C33" s="62">
        <v>2019</v>
      </c>
      <c r="D33" s="63" t="s">
        <v>183</v>
      </c>
      <c r="E33" s="53" t="s">
        <v>186</v>
      </c>
      <c r="F33" s="53" t="s">
        <v>188</v>
      </c>
      <c r="G33" s="53" t="s">
        <v>42</v>
      </c>
      <c r="H33" s="53" t="s">
        <v>160</v>
      </c>
      <c r="I33" s="53" t="s">
        <v>159</v>
      </c>
      <c r="J33" s="53" t="s">
        <v>38</v>
      </c>
      <c r="K33" s="53" t="s">
        <v>161</v>
      </c>
      <c r="L33" s="53">
        <v>2</v>
      </c>
      <c r="N33" s="53">
        <v>1</v>
      </c>
      <c r="O33" s="53">
        <v>0.25</v>
      </c>
      <c r="P33" s="53">
        <v>0.4</v>
      </c>
      <c r="Q33" s="75">
        <f t="shared" si="0"/>
        <v>0.32500000000000001</v>
      </c>
      <c r="R33" s="53">
        <v>15.1</v>
      </c>
      <c r="S33" s="53">
        <v>125</v>
      </c>
      <c r="T33" s="16">
        <f t="shared" si="1"/>
        <v>27</v>
      </c>
      <c r="U33" s="53">
        <v>149</v>
      </c>
      <c r="V33" s="16">
        <f t="shared" si="2"/>
        <v>4023</v>
      </c>
      <c r="W33" s="53">
        <v>4</v>
      </c>
      <c r="X33" s="53" t="s">
        <v>46</v>
      </c>
      <c r="Y33" s="53" t="s">
        <v>55</v>
      </c>
      <c r="Z33" s="53" t="s">
        <v>86</v>
      </c>
      <c r="AA33" s="53" t="s">
        <v>69</v>
      </c>
      <c r="AB33" s="53" t="s">
        <v>158</v>
      </c>
    </row>
    <row r="34" spans="1:28" x14ac:dyDescent="0.15">
      <c r="A34" s="53" t="s">
        <v>41</v>
      </c>
      <c r="B34" s="53" t="s">
        <v>157</v>
      </c>
      <c r="C34" s="62">
        <v>2019</v>
      </c>
      <c r="D34" s="63" t="s">
        <v>183</v>
      </c>
      <c r="E34" s="53" t="s">
        <v>186</v>
      </c>
      <c r="F34" s="53" t="s">
        <v>188</v>
      </c>
      <c r="G34" s="53" t="s">
        <v>42</v>
      </c>
      <c r="H34" s="53" t="s">
        <v>160</v>
      </c>
      <c r="I34" s="53" t="s">
        <v>159</v>
      </c>
      <c r="J34" s="53" t="s">
        <v>38</v>
      </c>
      <c r="K34" s="53" t="s">
        <v>161</v>
      </c>
      <c r="L34" s="53">
        <v>3</v>
      </c>
      <c r="N34" s="53">
        <v>1</v>
      </c>
      <c r="O34" s="53">
        <v>0.5</v>
      </c>
      <c r="P34" s="53">
        <v>0.55000000000000004</v>
      </c>
      <c r="Q34" s="75">
        <f t="shared" si="0"/>
        <v>0.52500000000000002</v>
      </c>
      <c r="R34" s="53">
        <v>13.7</v>
      </c>
      <c r="S34" s="53">
        <v>127</v>
      </c>
      <c r="T34" s="16">
        <f t="shared" si="1"/>
        <v>27</v>
      </c>
      <c r="U34" s="53">
        <v>149</v>
      </c>
      <c r="V34" s="16">
        <f t="shared" si="2"/>
        <v>4023</v>
      </c>
      <c r="W34" s="53">
        <v>4</v>
      </c>
      <c r="X34" s="53" t="s">
        <v>46</v>
      </c>
      <c r="Y34" s="53" t="s">
        <v>55</v>
      </c>
      <c r="Z34" s="53" t="s">
        <v>86</v>
      </c>
      <c r="AA34" s="53" t="s">
        <v>69</v>
      </c>
      <c r="AB34" s="53" t="s">
        <v>158</v>
      </c>
    </row>
    <row r="35" spans="1:28" x14ac:dyDescent="0.15">
      <c r="A35" s="53" t="s">
        <v>41</v>
      </c>
      <c r="B35" s="53" t="s">
        <v>157</v>
      </c>
      <c r="C35" s="62">
        <v>2019</v>
      </c>
      <c r="D35" s="63" t="s">
        <v>183</v>
      </c>
      <c r="E35" s="53" t="s">
        <v>186</v>
      </c>
      <c r="F35" s="53" t="s">
        <v>188</v>
      </c>
      <c r="G35" s="53" t="s">
        <v>42</v>
      </c>
      <c r="H35" s="53" t="s">
        <v>160</v>
      </c>
      <c r="I35" s="53" t="s">
        <v>159</v>
      </c>
      <c r="J35" s="53" t="s">
        <v>38</v>
      </c>
      <c r="K35" s="53" t="s">
        <v>161</v>
      </c>
      <c r="L35" s="53">
        <v>1</v>
      </c>
      <c r="N35" s="53">
        <v>4</v>
      </c>
      <c r="O35" s="53">
        <v>0.65</v>
      </c>
      <c r="P35" s="53">
        <v>0.5</v>
      </c>
      <c r="Q35" s="75">
        <f t="shared" si="0"/>
        <v>0.57499999999999996</v>
      </c>
      <c r="R35" s="53">
        <v>14.4</v>
      </c>
      <c r="S35" s="53">
        <v>119</v>
      </c>
      <c r="T35" s="16">
        <f t="shared" si="1"/>
        <v>30</v>
      </c>
      <c r="U35" s="53">
        <v>429</v>
      </c>
      <c r="V35" s="16">
        <f t="shared" si="2"/>
        <v>3217.5</v>
      </c>
      <c r="W35" s="53">
        <v>4</v>
      </c>
      <c r="X35" s="53" t="s">
        <v>46</v>
      </c>
      <c r="Y35" s="53" t="s">
        <v>55</v>
      </c>
      <c r="Z35" s="53" t="s">
        <v>86</v>
      </c>
      <c r="AA35" s="53" t="s">
        <v>69</v>
      </c>
      <c r="AB35" s="53" t="s">
        <v>258</v>
      </c>
    </row>
    <row r="36" spans="1:28" x14ac:dyDescent="0.15">
      <c r="A36" s="53" t="s">
        <v>41</v>
      </c>
      <c r="B36" s="53" t="s">
        <v>157</v>
      </c>
      <c r="C36" s="62">
        <v>2019</v>
      </c>
      <c r="D36" s="63" t="s">
        <v>183</v>
      </c>
      <c r="E36" s="53" t="s">
        <v>186</v>
      </c>
      <c r="F36" s="53" t="s">
        <v>188</v>
      </c>
      <c r="G36" s="53" t="s">
        <v>42</v>
      </c>
      <c r="H36" s="53" t="s">
        <v>160</v>
      </c>
      <c r="I36" s="53" t="s">
        <v>159</v>
      </c>
      <c r="J36" s="53" t="s">
        <v>38</v>
      </c>
      <c r="K36" s="53" t="s">
        <v>161</v>
      </c>
      <c r="L36" s="53">
        <v>2</v>
      </c>
      <c r="N36" s="53">
        <v>4</v>
      </c>
      <c r="O36" s="53">
        <v>0.75</v>
      </c>
      <c r="P36" s="53">
        <v>0.45</v>
      </c>
      <c r="Q36" s="75">
        <f t="shared" si="0"/>
        <v>0.6</v>
      </c>
      <c r="R36" s="53">
        <v>12</v>
      </c>
      <c r="S36" s="53">
        <v>120</v>
      </c>
      <c r="T36" s="16">
        <f t="shared" si="1"/>
        <v>30</v>
      </c>
      <c r="U36" s="53">
        <v>429</v>
      </c>
      <c r="V36" s="16">
        <f t="shared" si="2"/>
        <v>3217.5</v>
      </c>
      <c r="W36" s="53">
        <v>4</v>
      </c>
      <c r="X36" s="53" t="s">
        <v>46</v>
      </c>
      <c r="Y36" s="53" t="s">
        <v>55</v>
      </c>
      <c r="Z36" s="53" t="s">
        <v>86</v>
      </c>
      <c r="AA36" s="53" t="s">
        <v>69</v>
      </c>
      <c r="AB36" s="53" t="s">
        <v>158</v>
      </c>
    </row>
    <row r="37" spans="1:28" x14ac:dyDescent="0.15">
      <c r="A37" s="53" t="s">
        <v>41</v>
      </c>
      <c r="B37" s="53" t="s">
        <v>157</v>
      </c>
      <c r="C37" s="62">
        <v>2019</v>
      </c>
      <c r="D37" s="63" t="s">
        <v>183</v>
      </c>
      <c r="E37" s="53" t="s">
        <v>186</v>
      </c>
      <c r="F37" s="53" t="s">
        <v>188</v>
      </c>
      <c r="G37" s="53" t="s">
        <v>42</v>
      </c>
      <c r="H37" s="53" t="s">
        <v>160</v>
      </c>
      <c r="I37" s="53" t="s">
        <v>159</v>
      </c>
      <c r="J37" s="53" t="s">
        <v>38</v>
      </c>
      <c r="K37" s="53" t="s">
        <v>161</v>
      </c>
      <c r="L37" s="53">
        <v>3</v>
      </c>
      <c r="N37" s="53">
        <v>4</v>
      </c>
      <c r="O37" s="53">
        <v>0.45</v>
      </c>
      <c r="P37" s="74">
        <v>0.65</v>
      </c>
      <c r="Q37" s="75">
        <f t="shared" si="0"/>
        <v>0.55000000000000004</v>
      </c>
      <c r="R37" s="53">
        <v>13.8</v>
      </c>
      <c r="S37" s="53">
        <v>120</v>
      </c>
      <c r="T37" s="16">
        <f t="shared" si="1"/>
        <v>30</v>
      </c>
      <c r="U37" s="53">
        <v>429</v>
      </c>
      <c r="V37" s="16">
        <f t="shared" si="2"/>
        <v>3217.5</v>
      </c>
      <c r="W37" s="53">
        <v>4</v>
      </c>
      <c r="X37" s="53" t="s">
        <v>46</v>
      </c>
      <c r="Y37" s="53" t="s">
        <v>55</v>
      </c>
      <c r="Z37" s="53" t="s">
        <v>86</v>
      </c>
      <c r="AA37" s="53" t="s">
        <v>69</v>
      </c>
      <c r="AB37" s="53" t="s">
        <v>158</v>
      </c>
    </row>
    <row r="38" spans="1:28" x14ac:dyDescent="0.15">
      <c r="A38" s="53" t="s">
        <v>41</v>
      </c>
      <c r="B38" s="53" t="s">
        <v>157</v>
      </c>
      <c r="C38" s="62">
        <v>2019</v>
      </c>
      <c r="D38" s="63" t="s">
        <v>183</v>
      </c>
      <c r="E38" s="53" t="s">
        <v>186</v>
      </c>
      <c r="F38" s="53" t="s">
        <v>188</v>
      </c>
      <c r="G38" s="53" t="s">
        <v>42</v>
      </c>
      <c r="H38" s="53" t="s">
        <v>160</v>
      </c>
      <c r="I38" s="53" t="s">
        <v>159</v>
      </c>
      <c r="J38" s="53" t="s">
        <v>38</v>
      </c>
      <c r="K38" s="53" t="s">
        <v>161</v>
      </c>
      <c r="L38" s="53">
        <v>1</v>
      </c>
      <c r="N38" s="53">
        <v>8</v>
      </c>
      <c r="O38" s="53">
        <v>0.7</v>
      </c>
      <c r="P38" s="53">
        <v>0.65</v>
      </c>
      <c r="Q38" s="75">
        <f t="shared" si="0"/>
        <v>0.67500000000000004</v>
      </c>
      <c r="R38" s="53">
        <v>16.399999999999999</v>
      </c>
      <c r="S38" s="53">
        <v>105</v>
      </c>
      <c r="T38" s="16">
        <f t="shared" si="1"/>
        <v>33</v>
      </c>
      <c r="U38" s="53">
        <v>626</v>
      </c>
      <c r="V38" s="16">
        <f t="shared" si="2"/>
        <v>2582.25</v>
      </c>
      <c r="W38" s="53">
        <v>4</v>
      </c>
      <c r="X38" s="53" t="s">
        <v>46</v>
      </c>
      <c r="Y38" s="53" t="s">
        <v>55</v>
      </c>
      <c r="Z38" s="53" t="s">
        <v>86</v>
      </c>
      <c r="AA38" s="53" t="s">
        <v>69</v>
      </c>
      <c r="AB38" s="53" t="s">
        <v>158</v>
      </c>
    </row>
    <row r="39" spans="1:28" x14ac:dyDescent="0.15">
      <c r="A39" s="53" t="s">
        <v>41</v>
      </c>
      <c r="B39" s="53" t="s">
        <v>157</v>
      </c>
      <c r="C39" s="62">
        <v>2019</v>
      </c>
      <c r="D39" s="63" t="s">
        <v>183</v>
      </c>
      <c r="E39" s="53" t="s">
        <v>186</v>
      </c>
      <c r="F39" s="53" t="s">
        <v>188</v>
      </c>
      <c r="G39" s="53" t="s">
        <v>42</v>
      </c>
      <c r="H39" s="53" t="s">
        <v>160</v>
      </c>
      <c r="I39" s="53" t="s">
        <v>159</v>
      </c>
      <c r="J39" s="53" t="s">
        <v>38</v>
      </c>
      <c r="K39" s="53" t="s">
        <v>161</v>
      </c>
      <c r="L39" s="53">
        <v>2</v>
      </c>
      <c r="N39" s="53">
        <v>8</v>
      </c>
      <c r="O39" s="53">
        <v>0.65</v>
      </c>
      <c r="P39" s="53">
        <v>0.75</v>
      </c>
      <c r="Q39" s="75">
        <f t="shared" si="0"/>
        <v>0.7</v>
      </c>
      <c r="R39" s="53">
        <v>16.8</v>
      </c>
      <c r="S39" s="53">
        <v>110</v>
      </c>
      <c r="T39" s="16">
        <f t="shared" si="1"/>
        <v>33</v>
      </c>
      <c r="U39" s="53">
        <v>626</v>
      </c>
      <c r="V39" s="16">
        <f t="shared" si="2"/>
        <v>2582.25</v>
      </c>
      <c r="W39" s="53">
        <v>4</v>
      </c>
      <c r="X39" s="53" t="s">
        <v>46</v>
      </c>
      <c r="Y39" s="53" t="s">
        <v>55</v>
      </c>
      <c r="Z39" s="53" t="s">
        <v>86</v>
      </c>
      <c r="AA39" s="53" t="s">
        <v>69</v>
      </c>
      <c r="AB39" s="53" t="s">
        <v>158</v>
      </c>
    </row>
    <row r="40" spans="1:28" x14ac:dyDescent="0.15">
      <c r="A40" s="53" t="s">
        <v>41</v>
      </c>
      <c r="B40" s="53" t="s">
        <v>157</v>
      </c>
      <c r="C40" s="62">
        <v>2019</v>
      </c>
      <c r="D40" s="63" t="s">
        <v>183</v>
      </c>
      <c r="E40" s="53" t="s">
        <v>186</v>
      </c>
      <c r="F40" s="53" t="s">
        <v>188</v>
      </c>
      <c r="G40" s="53" t="s">
        <v>42</v>
      </c>
      <c r="H40" s="53" t="s">
        <v>160</v>
      </c>
      <c r="I40" s="53" t="s">
        <v>159</v>
      </c>
      <c r="J40" s="53" t="s">
        <v>38</v>
      </c>
      <c r="K40" s="53" t="s">
        <v>161</v>
      </c>
      <c r="L40" s="53">
        <v>3</v>
      </c>
      <c r="N40" s="53">
        <v>8</v>
      </c>
      <c r="O40" s="53">
        <v>1</v>
      </c>
      <c r="P40" s="74">
        <v>0.95</v>
      </c>
      <c r="Q40" s="75">
        <f t="shared" si="0"/>
        <v>0.97499999999999998</v>
      </c>
      <c r="R40" s="53">
        <v>14.7</v>
      </c>
      <c r="S40" s="53">
        <v>107</v>
      </c>
      <c r="T40" s="16">
        <f t="shared" si="1"/>
        <v>33</v>
      </c>
      <c r="U40" s="53">
        <v>626</v>
      </c>
      <c r="V40" s="16">
        <f t="shared" si="2"/>
        <v>2582.25</v>
      </c>
      <c r="W40" s="53">
        <v>4</v>
      </c>
      <c r="X40" s="53" t="s">
        <v>46</v>
      </c>
      <c r="Y40" s="53" t="s">
        <v>55</v>
      </c>
      <c r="Z40" s="53" t="s">
        <v>86</v>
      </c>
      <c r="AA40" s="53" t="s">
        <v>69</v>
      </c>
      <c r="AB40" s="53" t="s">
        <v>158</v>
      </c>
    </row>
    <row r="41" spans="1:28" x14ac:dyDescent="0.15">
      <c r="A41" s="53" t="s">
        <v>41</v>
      </c>
      <c r="B41" s="53" t="s">
        <v>157</v>
      </c>
      <c r="C41" s="62">
        <v>2019</v>
      </c>
      <c r="D41" s="63" t="s">
        <v>183</v>
      </c>
      <c r="E41" s="53" t="s">
        <v>186</v>
      </c>
      <c r="F41" s="53" t="s">
        <v>188</v>
      </c>
      <c r="G41" s="53" t="s">
        <v>42</v>
      </c>
      <c r="H41" s="53" t="s">
        <v>160</v>
      </c>
      <c r="I41" s="53" t="s">
        <v>198</v>
      </c>
      <c r="J41" s="53" t="s">
        <v>38</v>
      </c>
      <c r="K41" s="53" t="s">
        <v>161</v>
      </c>
      <c r="L41" s="53">
        <v>1</v>
      </c>
      <c r="N41" s="53">
        <v>2</v>
      </c>
      <c r="O41" s="53">
        <v>0.45</v>
      </c>
      <c r="P41" s="53">
        <v>0.6</v>
      </c>
      <c r="Q41" s="16">
        <f t="shared" si="0"/>
        <v>0.52500000000000002</v>
      </c>
      <c r="R41" s="53">
        <v>15.9</v>
      </c>
      <c r="S41" s="53">
        <v>131</v>
      </c>
      <c r="T41" s="16">
        <f t="shared" si="1"/>
        <v>25</v>
      </c>
      <c r="U41" s="53">
        <v>321</v>
      </c>
      <c r="V41" s="16">
        <f t="shared" si="2"/>
        <v>4012.5</v>
      </c>
      <c r="W41" s="53">
        <v>1</v>
      </c>
      <c r="X41" s="53" t="s">
        <v>46</v>
      </c>
      <c r="Y41" s="53" t="s">
        <v>55</v>
      </c>
      <c r="Z41" s="53" t="s">
        <v>86</v>
      </c>
      <c r="AA41" s="53" t="s">
        <v>69</v>
      </c>
      <c r="AB41" s="53" t="s">
        <v>158</v>
      </c>
    </row>
    <row r="42" spans="1:28" x14ac:dyDescent="0.15">
      <c r="A42" s="53" t="s">
        <v>41</v>
      </c>
      <c r="B42" s="53" t="s">
        <v>157</v>
      </c>
      <c r="C42" s="62">
        <v>2019</v>
      </c>
      <c r="D42" s="63" t="s">
        <v>183</v>
      </c>
      <c r="E42" s="53" t="s">
        <v>186</v>
      </c>
      <c r="F42" s="53" t="s">
        <v>188</v>
      </c>
      <c r="G42" s="53" t="s">
        <v>42</v>
      </c>
      <c r="H42" s="53" t="s">
        <v>160</v>
      </c>
      <c r="I42" s="53" t="s">
        <v>198</v>
      </c>
      <c r="J42" s="53" t="s">
        <v>38</v>
      </c>
      <c r="K42" s="53" t="s">
        <v>161</v>
      </c>
      <c r="L42" s="53">
        <v>2</v>
      </c>
      <c r="N42" s="53">
        <v>2</v>
      </c>
      <c r="O42" s="53">
        <v>0.5</v>
      </c>
      <c r="P42" s="53">
        <v>0.35</v>
      </c>
      <c r="Q42" s="16">
        <f t="shared" si="0"/>
        <v>0.42499999999999999</v>
      </c>
      <c r="R42" s="53">
        <v>16.7</v>
      </c>
      <c r="S42" s="53">
        <v>130</v>
      </c>
      <c r="T42" s="16">
        <f t="shared" si="1"/>
        <v>25</v>
      </c>
      <c r="U42" s="53">
        <v>321</v>
      </c>
      <c r="V42" s="16">
        <f t="shared" si="2"/>
        <v>4012.5</v>
      </c>
      <c r="W42" s="53">
        <v>1</v>
      </c>
      <c r="X42" s="53" t="s">
        <v>46</v>
      </c>
      <c r="Y42" s="53" t="s">
        <v>55</v>
      </c>
      <c r="Z42" s="53" t="s">
        <v>86</v>
      </c>
      <c r="AA42" s="53" t="s">
        <v>69</v>
      </c>
      <c r="AB42" s="53" t="s">
        <v>158</v>
      </c>
    </row>
    <row r="43" spans="1:28" x14ac:dyDescent="0.15">
      <c r="A43" s="53" t="s">
        <v>41</v>
      </c>
      <c r="B43" s="53" t="s">
        <v>157</v>
      </c>
      <c r="C43" s="62">
        <v>2019</v>
      </c>
      <c r="D43" s="63" t="s">
        <v>183</v>
      </c>
      <c r="E43" s="53" t="s">
        <v>186</v>
      </c>
      <c r="F43" s="53" t="s">
        <v>188</v>
      </c>
      <c r="G43" s="53" t="s">
        <v>42</v>
      </c>
      <c r="H43" s="53" t="s">
        <v>160</v>
      </c>
      <c r="I43" s="53" t="s">
        <v>198</v>
      </c>
      <c r="J43" s="53" t="s">
        <v>38</v>
      </c>
      <c r="K43" s="53" t="s">
        <v>161</v>
      </c>
      <c r="L43" s="53">
        <v>3</v>
      </c>
      <c r="N43" s="53">
        <v>2</v>
      </c>
      <c r="O43" s="53">
        <v>0.35</v>
      </c>
      <c r="P43" s="53">
        <v>0.35</v>
      </c>
      <c r="Q43" s="16">
        <f t="shared" si="0"/>
        <v>0.35</v>
      </c>
      <c r="R43" s="53">
        <v>15.1</v>
      </c>
      <c r="S43" s="53">
        <v>132</v>
      </c>
      <c r="T43" s="16">
        <f t="shared" si="1"/>
        <v>25</v>
      </c>
      <c r="U43" s="53">
        <v>321</v>
      </c>
      <c r="V43" s="16">
        <f t="shared" si="2"/>
        <v>4012.5</v>
      </c>
      <c r="W43" s="53">
        <v>1</v>
      </c>
      <c r="X43" s="53" t="s">
        <v>46</v>
      </c>
      <c r="Y43" s="53" t="s">
        <v>55</v>
      </c>
      <c r="Z43" s="53" t="s">
        <v>86</v>
      </c>
      <c r="AA43" s="53" t="s">
        <v>69</v>
      </c>
      <c r="AB43" s="53" t="s">
        <v>158</v>
      </c>
    </row>
    <row r="44" spans="1:28" x14ac:dyDescent="0.15">
      <c r="A44" s="53" t="s">
        <v>41</v>
      </c>
      <c r="B44" s="53" t="s">
        <v>157</v>
      </c>
      <c r="C44" s="62">
        <v>2019</v>
      </c>
      <c r="D44" s="63" t="s">
        <v>183</v>
      </c>
      <c r="E44" s="53" t="s">
        <v>186</v>
      </c>
      <c r="F44" s="53" t="s">
        <v>188</v>
      </c>
      <c r="G44" s="53" t="s">
        <v>42</v>
      </c>
      <c r="H44" s="53" t="s">
        <v>164</v>
      </c>
      <c r="I44" s="53" t="s">
        <v>159</v>
      </c>
      <c r="J44" s="53" t="s">
        <v>38</v>
      </c>
      <c r="K44" s="53" t="s">
        <v>161</v>
      </c>
      <c r="L44" s="53">
        <v>1</v>
      </c>
      <c r="N44" s="53">
        <v>1</v>
      </c>
      <c r="O44" s="53">
        <v>0.75</v>
      </c>
      <c r="P44" s="53">
        <v>0.8</v>
      </c>
      <c r="Q44" s="16">
        <f t="shared" si="0"/>
        <v>0.77500000000000002</v>
      </c>
      <c r="R44" s="53">
        <v>14</v>
      </c>
      <c r="S44" s="53">
        <v>128</v>
      </c>
      <c r="T44" s="16">
        <f t="shared" si="1"/>
        <v>27</v>
      </c>
      <c r="U44" s="53">
        <v>149</v>
      </c>
      <c r="V44" s="16">
        <f t="shared" si="2"/>
        <v>4023</v>
      </c>
      <c r="W44" s="53">
        <v>2</v>
      </c>
      <c r="X44" s="53" t="s">
        <v>46</v>
      </c>
      <c r="Y44" s="53" t="s">
        <v>55</v>
      </c>
      <c r="Z44" s="53" t="s">
        <v>86</v>
      </c>
      <c r="AA44" s="53" t="s">
        <v>69</v>
      </c>
      <c r="AB44" s="53" t="s">
        <v>158</v>
      </c>
    </row>
    <row r="45" spans="1:28" x14ac:dyDescent="0.15">
      <c r="A45" s="53" t="s">
        <v>41</v>
      </c>
      <c r="B45" s="53" t="s">
        <v>157</v>
      </c>
      <c r="C45" s="62">
        <v>2019</v>
      </c>
      <c r="D45" s="63" t="s">
        <v>183</v>
      </c>
      <c r="E45" s="53" t="s">
        <v>186</v>
      </c>
      <c r="F45" s="53" t="s">
        <v>188</v>
      </c>
      <c r="G45" s="53" t="s">
        <v>42</v>
      </c>
      <c r="H45" s="53" t="s">
        <v>164</v>
      </c>
      <c r="I45" s="53" t="s">
        <v>159</v>
      </c>
      <c r="J45" s="53" t="s">
        <v>38</v>
      </c>
      <c r="K45" s="53" t="s">
        <v>161</v>
      </c>
      <c r="L45" s="53">
        <v>2</v>
      </c>
      <c r="N45" s="53">
        <v>1</v>
      </c>
      <c r="O45" s="53">
        <v>0.85</v>
      </c>
      <c r="P45" s="53">
        <v>0.75</v>
      </c>
      <c r="Q45" s="16">
        <f t="shared" si="0"/>
        <v>0.8</v>
      </c>
      <c r="R45" s="53">
        <v>16.399999999999999</v>
      </c>
      <c r="S45" s="53">
        <v>124</v>
      </c>
      <c r="T45" s="16">
        <f t="shared" si="1"/>
        <v>27</v>
      </c>
      <c r="U45" s="53">
        <v>149</v>
      </c>
      <c r="V45" s="16">
        <f t="shared" si="2"/>
        <v>4023</v>
      </c>
      <c r="W45" s="53">
        <v>2</v>
      </c>
      <c r="X45" s="53" t="s">
        <v>46</v>
      </c>
      <c r="Y45" s="53" t="s">
        <v>55</v>
      </c>
      <c r="Z45" s="53" t="s">
        <v>86</v>
      </c>
      <c r="AA45" s="53" t="s">
        <v>69</v>
      </c>
      <c r="AB45" s="53" t="s">
        <v>158</v>
      </c>
    </row>
    <row r="46" spans="1:28" x14ac:dyDescent="0.15">
      <c r="A46" s="53" t="s">
        <v>41</v>
      </c>
      <c r="B46" s="53" t="s">
        <v>157</v>
      </c>
      <c r="C46" s="62">
        <v>2019</v>
      </c>
      <c r="D46" s="63" t="s">
        <v>183</v>
      </c>
      <c r="E46" s="53" t="s">
        <v>186</v>
      </c>
      <c r="F46" s="53" t="s">
        <v>188</v>
      </c>
      <c r="G46" s="53" t="s">
        <v>42</v>
      </c>
      <c r="H46" s="53" t="s">
        <v>164</v>
      </c>
      <c r="I46" s="53" t="s">
        <v>159</v>
      </c>
      <c r="J46" s="53" t="s">
        <v>38</v>
      </c>
      <c r="K46" s="53" t="s">
        <v>161</v>
      </c>
      <c r="L46" s="53">
        <v>3</v>
      </c>
      <c r="N46" s="53">
        <v>1</v>
      </c>
      <c r="O46" s="53">
        <v>0.65</v>
      </c>
      <c r="P46" s="53">
        <v>0.7</v>
      </c>
      <c r="Q46" s="16">
        <f t="shared" si="0"/>
        <v>0.67500000000000004</v>
      </c>
      <c r="R46" s="53">
        <v>15.9</v>
      </c>
      <c r="S46" s="53">
        <v>126</v>
      </c>
      <c r="T46" s="16">
        <f t="shared" si="1"/>
        <v>27</v>
      </c>
      <c r="U46" s="53">
        <v>149</v>
      </c>
      <c r="V46" s="16">
        <f t="shared" si="2"/>
        <v>4023</v>
      </c>
      <c r="W46" s="53">
        <v>2</v>
      </c>
      <c r="X46" s="53" t="s">
        <v>46</v>
      </c>
      <c r="Y46" s="53" t="s">
        <v>55</v>
      </c>
      <c r="Z46" s="53" t="s">
        <v>86</v>
      </c>
      <c r="AA46" s="53" t="s">
        <v>69</v>
      </c>
      <c r="AB46" s="53" t="s">
        <v>158</v>
      </c>
    </row>
    <row r="47" spans="1:28" x14ac:dyDescent="0.15">
      <c r="A47" s="53" t="s">
        <v>41</v>
      </c>
      <c r="B47" s="53" t="s">
        <v>157</v>
      </c>
      <c r="C47" s="62">
        <v>2019</v>
      </c>
      <c r="D47" s="63" t="s">
        <v>183</v>
      </c>
      <c r="E47" s="53" t="s">
        <v>186</v>
      </c>
      <c r="F47" s="53" t="s">
        <v>188</v>
      </c>
      <c r="G47" s="53" t="s">
        <v>42</v>
      </c>
      <c r="H47" s="53" t="s">
        <v>164</v>
      </c>
      <c r="I47" s="53" t="s">
        <v>159</v>
      </c>
      <c r="J47" s="53" t="s">
        <v>38</v>
      </c>
      <c r="K47" s="53" t="s">
        <v>161</v>
      </c>
      <c r="L47" s="53">
        <v>1</v>
      </c>
      <c r="N47" s="53">
        <v>4</v>
      </c>
      <c r="O47" s="53">
        <v>0.35</v>
      </c>
      <c r="P47" s="53">
        <v>0.5</v>
      </c>
      <c r="Q47" s="16">
        <f t="shared" si="0"/>
        <v>0.42499999999999999</v>
      </c>
      <c r="R47" s="53">
        <v>14</v>
      </c>
      <c r="S47" s="53">
        <v>120</v>
      </c>
      <c r="T47" s="16">
        <f t="shared" si="1"/>
        <v>30</v>
      </c>
      <c r="U47" s="53">
        <v>429</v>
      </c>
      <c r="V47" s="16">
        <f t="shared" si="2"/>
        <v>3217.5</v>
      </c>
      <c r="W47" s="53">
        <v>2</v>
      </c>
      <c r="X47" s="53" t="s">
        <v>46</v>
      </c>
      <c r="Y47" s="53" t="s">
        <v>55</v>
      </c>
      <c r="Z47" s="53" t="s">
        <v>86</v>
      </c>
      <c r="AA47" s="53" t="s">
        <v>69</v>
      </c>
      <c r="AB47" s="53" t="s">
        <v>158</v>
      </c>
    </row>
    <row r="48" spans="1:28" x14ac:dyDescent="0.15">
      <c r="A48" s="53" t="s">
        <v>41</v>
      </c>
      <c r="B48" s="53" t="s">
        <v>157</v>
      </c>
      <c r="C48" s="62">
        <v>2019</v>
      </c>
      <c r="D48" s="63" t="s">
        <v>183</v>
      </c>
      <c r="E48" s="53" t="s">
        <v>186</v>
      </c>
      <c r="F48" s="53" t="s">
        <v>188</v>
      </c>
      <c r="G48" s="53" t="s">
        <v>42</v>
      </c>
      <c r="H48" s="53" t="s">
        <v>164</v>
      </c>
      <c r="I48" s="53" t="s">
        <v>159</v>
      </c>
      <c r="J48" s="53" t="s">
        <v>38</v>
      </c>
      <c r="K48" s="53" t="s">
        <v>161</v>
      </c>
      <c r="L48" s="53">
        <v>2</v>
      </c>
      <c r="N48" s="53">
        <v>4</v>
      </c>
      <c r="O48" s="53">
        <v>0.65</v>
      </c>
      <c r="P48" s="53">
        <v>0.5</v>
      </c>
      <c r="Q48" s="16">
        <f t="shared" si="0"/>
        <v>0.57499999999999996</v>
      </c>
      <c r="R48" s="53">
        <v>12.8</v>
      </c>
      <c r="S48" s="53">
        <v>121</v>
      </c>
      <c r="T48" s="16">
        <f t="shared" si="1"/>
        <v>27</v>
      </c>
      <c r="U48" s="53">
        <v>429</v>
      </c>
      <c r="V48" s="16">
        <f t="shared" si="2"/>
        <v>2895.75</v>
      </c>
      <c r="W48" s="53">
        <v>2</v>
      </c>
      <c r="X48" s="53" t="s">
        <v>46</v>
      </c>
      <c r="Y48" s="53" t="s">
        <v>55</v>
      </c>
      <c r="Z48" s="53" t="s">
        <v>86</v>
      </c>
      <c r="AA48" s="53" t="s">
        <v>69</v>
      </c>
      <c r="AB48" s="53" t="s">
        <v>158</v>
      </c>
    </row>
    <row r="49" spans="1:28" x14ac:dyDescent="0.15">
      <c r="A49" s="53" t="s">
        <v>41</v>
      </c>
      <c r="B49" s="53" t="s">
        <v>157</v>
      </c>
      <c r="C49" s="62">
        <v>2019</v>
      </c>
      <c r="D49" s="63" t="s">
        <v>183</v>
      </c>
      <c r="E49" s="53" t="s">
        <v>186</v>
      </c>
      <c r="F49" s="53" t="s">
        <v>188</v>
      </c>
      <c r="G49" s="53" t="s">
        <v>42</v>
      </c>
      <c r="H49" s="53" t="s">
        <v>164</v>
      </c>
      <c r="I49" s="53" t="s">
        <v>159</v>
      </c>
      <c r="J49" s="53" t="s">
        <v>38</v>
      </c>
      <c r="K49" s="53" t="s">
        <v>161</v>
      </c>
      <c r="L49" s="53">
        <v>3</v>
      </c>
      <c r="N49" s="53">
        <v>4</v>
      </c>
      <c r="O49" s="53">
        <v>0.45</v>
      </c>
      <c r="P49" s="53">
        <v>0.5</v>
      </c>
      <c r="Q49" s="16">
        <f t="shared" si="0"/>
        <v>0.47499999999999998</v>
      </c>
      <c r="R49" s="53">
        <v>15.1</v>
      </c>
      <c r="S49" s="53">
        <v>121</v>
      </c>
      <c r="T49" s="16">
        <f t="shared" si="1"/>
        <v>27</v>
      </c>
      <c r="U49" s="53">
        <v>429</v>
      </c>
      <c r="V49" s="16">
        <f t="shared" si="2"/>
        <v>2895.75</v>
      </c>
      <c r="W49" s="53">
        <v>2</v>
      </c>
      <c r="X49" s="53" t="s">
        <v>46</v>
      </c>
      <c r="Y49" s="53" t="s">
        <v>55</v>
      </c>
      <c r="Z49" s="53" t="s">
        <v>86</v>
      </c>
      <c r="AA49" s="53" t="s">
        <v>69</v>
      </c>
      <c r="AB49" s="53" t="s">
        <v>158</v>
      </c>
    </row>
    <row r="50" spans="1:28" x14ac:dyDescent="0.15">
      <c r="A50" s="53" t="s">
        <v>41</v>
      </c>
      <c r="B50" s="53" t="s">
        <v>157</v>
      </c>
      <c r="C50" s="62">
        <v>2019</v>
      </c>
      <c r="D50" s="63" t="s">
        <v>183</v>
      </c>
      <c r="E50" s="53" t="s">
        <v>186</v>
      </c>
      <c r="F50" s="53" t="s">
        <v>188</v>
      </c>
      <c r="G50" s="53" t="s">
        <v>42</v>
      </c>
      <c r="H50" s="53" t="s">
        <v>164</v>
      </c>
      <c r="I50" s="53" t="s">
        <v>159</v>
      </c>
      <c r="J50" s="53" t="s">
        <v>38</v>
      </c>
      <c r="K50" s="53" t="s">
        <v>161</v>
      </c>
      <c r="L50" s="53">
        <v>1</v>
      </c>
      <c r="N50" s="53">
        <v>8</v>
      </c>
      <c r="O50" s="53">
        <v>0.8</v>
      </c>
      <c r="P50" s="53">
        <v>0.55000000000000004</v>
      </c>
      <c r="Q50" s="16">
        <f t="shared" si="0"/>
        <v>0.67500000000000004</v>
      </c>
      <c r="R50" s="53">
        <v>14.7</v>
      </c>
      <c r="S50" s="53">
        <v>95</v>
      </c>
      <c r="T50" s="16">
        <f t="shared" si="1"/>
        <v>36</v>
      </c>
      <c r="U50" s="53">
        <v>429</v>
      </c>
      <c r="V50" s="16">
        <f t="shared" si="2"/>
        <v>1930.5</v>
      </c>
      <c r="W50" s="53">
        <v>2</v>
      </c>
      <c r="X50" s="53" t="s">
        <v>46</v>
      </c>
      <c r="Y50" s="53" t="s">
        <v>55</v>
      </c>
      <c r="Z50" s="53" t="s">
        <v>86</v>
      </c>
      <c r="AA50" s="53" t="s">
        <v>69</v>
      </c>
      <c r="AB50" s="53" t="s">
        <v>158</v>
      </c>
    </row>
    <row r="51" spans="1:28" x14ac:dyDescent="0.15">
      <c r="A51" s="53" t="s">
        <v>41</v>
      </c>
      <c r="B51" s="53" t="s">
        <v>157</v>
      </c>
      <c r="C51" s="62">
        <v>2019</v>
      </c>
      <c r="D51" s="63" t="s">
        <v>183</v>
      </c>
      <c r="E51" s="53" t="s">
        <v>186</v>
      </c>
      <c r="F51" s="53" t="s">
        <v>188</v>
      </c>
      <c r="G51" s="53" t="s">
        <v>42</v>
      </c>
      <c r="H51" s="53" t="s">
        <v>164</v>
      </c>
      <c r="I51" s="53" t="s">
        <v>159</v>
      </c>
      <c r="J51" s="53" t="s">
        <v>38</v>
      </c>
      <c r="K51" s="53" t="s">
        <v>161</v>
      </c>
      <c r="L51" s="53">
        <v>2</v>
      </c>
      <c r="N51" s="53">
        <v>8</v>
      </c>
      <c r="O51" s="53">
        <v>0.65</v>
      </c>
      <c r="P51" s="53">
        <v>0.65</v>
      </c>
      <c r="Q51" s="16">
        <f t="shared" si="0"/>
        <v>0.65</v>
      </c>
      <c r="R51" s="53">
        <v>11.5</v>
      </c>
      <c r="S51" s="53">
        <v>101</v>
      </c>
      <c r="T51" s="16">
        <f t="shared" si="1"/>
        <v>33</v>
      </c>
      <c r="U51" s="53">
        <v>429</v>
      </c>
      <c r="V51" s="16">
        <f t="shared" si="2"/>
        <v>1769.625</v>
      </c>
      <c r="W51" s="53">
        <v>2</v>
      </c>
      <c r="X51" s="53" t="s">
        <v>46</v>
      </c>
      <c r="Y51" s="53" t="s">
        <v>55</v>
      </c>
      <c r="Z51" s="53" t="s">
        <v>86</v>
      </c>
      <c r="AA51" s="53" t="s">
        <v>69</v>
      </c>
      <c r="AB51" s="53" t="s">
        <v>158</v>
      </c>
    </row>
    <row r="52" spans="1:28" x14ac:dyDescent="0.15">
      <c r="A52" s="53" t="s">
        <v>41</v>
      </c>
      <c r="B52" s="53" t="s">
        <v>157</v>
      </c>
      <c r="C52" s="62">
        <v>2019</v>
      </c>
      <c r="D52" s="63" t="s">
        <v>183</v>
      </c>
      <c r="E52" s="53" t="s">
        <v>186</v>
      </c>
      <c r="F52" s="53" t="s">
        <v>188</v>
      </c>
      <c r="G52" s="53" t="s">
        <v>42</v>
      </c>
      <c r="H52" s="53" t="s">
        <v>164</v>
      </c>
      <c r="I52" s="53" t="s">
        <v>159</v>
      </c>
      <c r="J52" s="53" t="s">
        <v>38</v>
      </c>
      <c r="K52" s="53" t="s">
        <v>161</v>
      </c>
      <c r="L52" s="53">
        <v>3</v>
      </c>
      <c r="N52" s="53">
        <v>8</v>
      </c>
      <c r="O52" s="53">
        <v>0.7</v>
      </c>
      <c r="P52" s="53">
        <v>0.7</v>
      </c>
      <c r="Q52" s="16">
        <f t="shared" si="0"/>
        <v>0.7</v>
      </c>
      <c r="R52" s="53">
        <v>12.9</v>
      </c>
      <c r="S52" s="53">
        <v>100</v>
      </c>
      <c r="T52" s="16">
        <f t="shared" si="1"/>
        <v>33</v>
      </c>
      <c r="U52" s="53">
        <v>429</v>
      </c>
      <c r="V52" s="16">
        <f t="shared" si="2"/>
        <v>1769.625</v>
      </c>
      <c r="W52" s="53">
        <v>2</v>
      </c>
      <c r="X52" s="53" t="s">
        <v>46</v>
      </c>
      <c r="Y52" s="53" t="s">
        <v>55</v>
      </c>
      <c r="Z52" s="53" t="s">
        <v>86</v>
      </c>
      <c r="AA52" s="53" t="s">
        <v>69</v>
      </c>
      <c r="AB52" s="53" t="s">
        <v>158</v>
      </c>
    </row>
    <row r="53" spans="1:28" x14ac:dyDescent="0.15">
      <c r="A53" s="53" t="s">
        <v>41</v>
      </c>
      <c r="B53" s="53" t="s">
        <v>157</v>
      </c>
      <c r="C53" s="62">
        <v>2019</v>
      </c>
      <c r="D53" s="63" t="s">
        <v>183</v>
      </c>
      <c r="E53" s="53" t="s">
        <v>186</v>
      </c>
      <c r="F53" s="53" t="s">
        <v>188</v>
      </c>
      <c r="G53" s="53" t="s">
        <v>42</v>
      </c>
      <c r="H53" s="53" t="s">
        <v>164</v>
      </c>
      <c r="I53" s="53" t="s">
        <v>198</v>
      </c>
      <c r="J53" s="53" t="s">
        <v>38</v>
      </c>
      <c r="K53" s="53" t="s">
        <v>161</v>
      </c>
      <c r="L53" s="53">
        <v>1</v>
      </c>
      <c r="N53" s="53">
        <v>2</v>
      </c>
      <c r="O53" s="53">
        <v>0.8</v>
      </c>
      <c r="P53" s="53">
        <v>0.8</v>
      </c>
      <c r="Q53" s="16">
        <f t="shared" si="0"/>
        <v>0.8</v>
      </c>
      <c r="R53" s="53">
        <v>13.3</v>
      </c>
      <c r="S53" s="53">
        <v>129</v>
      </c>
      <c r="T53" s="16">
        <f t="shared" si="1"/>
        <v>25</v>
      </c>
      <c r="U53" s="53">
        <v>321</v>
      </c>
      <c r="V53" s="16">
        <f t="shared" si="2"/>
        <v>4012.5</v>
      </c>
      <c r="W53" s="53">
        <v>1</v>
      </c>
      <c r="X53" s="53" t="s">
        <v>46</v>
      </c>
      <c r="Y53" s="53" t="s">
        <v>55</v>
      </c>
      <c r="Z53" s="53" t="s">
        <v>86</v>
      </c>
      <c r="AA53" s="53" t="s">
        <v>69</v>
      </c>
      <c r="AB53" s="53" t="s">
        <v>158</v>
      </c>
    </row>
    <row r="54" spans="1:28" x14ac:dyDescent="0.15">
      <c r="A54" s="53" t="s">
        <v>41</v>
      </c>
      <c r="B54" s="53" t="s">
        <v>157</v>
      </c>
      <c r="C54" s="62">
        <v>2019</v>
      </c>
      <c r="D54" s="63" t="s">
        <v>183</v>
      </c>
      <c r="E54" s="53" t="s">
        <v>186</v>
      </c>
      <c r="F54" s="53" t="s">
        <v>188</v>
      </c>
      <c r="G54" s="53" t="s">
        <v>42</v>
      </c>
      <c r="H54" s="53" t="s">
        <v>164</v>
      </c>
      <c r="I54" s="53" t="s">
        <v>198</v>
      </c>
      <c r="J54" s="53" t="s">
        <v>38</v>
      </c>
      <c r="K54" s="53" t="s">
        <v>161</v>
      </c>
      <c r="L54" s="53">
        <v>2</v>
      </c>
      <c r="N54" s="53">
        <v>2</v>
      </c>
      <c r="O54" s="53">
        <v>0.75</v>
      </c>
      <c r="P54" s="53">
        <v>0.9</v>
      </c>
      <c r="Q54" s="16">
        <f t="shared" si="0"/>
        <v>0.82499999999999996</v>
      </c>
      <c r="R54" s="53">
        <v>13.3</v>
      </c>
      <c r="S54" s="53">
        <v>130</v>
      </c>
      <c r="T54" s="16">
        <f t="shared" si="1"/>
        <v>25</v>
      </c>
      <c r="U54" s="53">
        <v>321</v>
      </c>
      <c r="V54" s="16">
        <f t="shared" si="2"/>
        <v>4012.5</v>
      </c>
      <c r="W54" s="53">
        <v>1</v>
      </c>
      <c r="X54" s="53" t="s">
        <v>46</v>
      </c>
      <c r="Y54" s="53" t="s">
        <v>55</v>
      </c>
      <c r="Z54" s="53" t="s">
        <v>86</v>
      </c>
      <c r="AA54" s="53" t="s">
        <v>69</v>
      </c>
      <c r="AB54" s="53" t="s">
        <v>158</v>
      </c>
    </row>
    <row r="55" spans="1:28" x14ac:dyDescent="0.15">
      <c r="A55" s="53" t="s">
        <v>41</v>
      </c>
      <c r="B55" s="53" t="s">
        <v>157</v>
      </c>
      <c r="C55" s="62">
        <v>2019</v>
      </c>
      <c r="D55" s="63" t="s">
        <v>183</v>
      </c>
      <c r="E55" s="53" t="s">
        <v>186</v>
      </c>
      <c r="F55" s="53" t="s">
        <v>188</v>
      </c>
      <c r="G55" s="53" t="s">
        <v>42</v>
      </c>
      <c r="H55" s="53" t="s">
        <v>164</v>
      </c>
      <c r="I55" s="53" t="s">
        <v>198</v>
      </c>
      <c r="J55" s="53" t="s">
        <v>38</v>
      </c>
      <c r="K55" s="53" t="s">
        <v>161</v>
      </c>
      <c r="L55" s="53">
        <v>3</v>
      </c>
      <c r="N55" s="53">
        <v>2</v>
      </c>
      <c r="O55" s="53">
        <v>0.6</v>
      </c>
      <c r="P55" s="53">
        <v>0.8</v>
      </c>
      <c r="Q55" s="16">
        <f t="shared" si="0"/>
        <v>0.7</v>
      </c>
      <c r="R55" s="53">
        <v>12.4</v>
      </c>
      <c r="S55" s="53">
        <v>124</v>
      </c>
      <c r="T55" s="16">
        <f t="shared" si="1"/>
        <v>27</v>
      </c>
      <c r="U55" s="53">
        <v>321</v>
      </c>
      <c r="V55" s="16">
        <f t="shared" si="2"/>
        <v>4333.5</v>
      </c>
      <c r="W55" s="53">
        <v>1</v>
      </c>
      <c r="X55" s="53" t="s">
        <v>46</v>
      </c>
      <c r="Y55" s="53" t="s">
        <v>55</v>
      </c>
      <c r="Z55" s="53" t="s">
        <v>86</v>
      </c>
      <c r="AA55" s="53" t="s">
        <v>69</v>
      </c>
      <c r="AB55" s="53" t="s">
        <v>158</v>
      </c>
    </row>
    <row r="56" spans="1:28" x14ac:dyDescent="0.15">
      <c r="A56" s="53" t="s">
        <v>41</v>
      </c>
      <c r="B56" s="53" t="s">
        <v>157</v>
      </c>
      <c r="C56" s="62">
        <v>2019</v>
      </c>
      <c r="D56" s="63" t="s">
        <v>183</v>
      </c>
      <c r="E56" s="53" t="s">
        <v>194</v>
      </c>
      <c r="F56" s="53" t="s">
        <v>184</v>
      </c>
      <c r="G56" s="53" t="s">
        <v>42</v>
      </c>
      <c r="H56" s="53" t="s">
        <v>164</v>
      </c>
      <c r="I56" s="53" t="s">
        <v>159</v>
      </c>
      <c r="J56" s="53" t="s">
        <v>38</v>
      </c>
      <c r="K56" s="53" t="s">
        <v>161</v>
      </c>
      <c r="L56" s="53">
        <v>1</v>
      </c>
      <c r="N56" s="53">
        <v>1</v>
      </c>
      <c r="O56" s="53">
        <v>0.6</v>
      </c>
      <c r="P56" s="53">
        <v>0.45</v>
      </c>
      <c r="Q56" s="75">
        <f t="shared" si="0"/>
        <v>0.52500000000000002</v>
      </c>
      <c r="R56" s="53">
        <v>12.9</v>
      </c>
      <c r="S56" s="53">
        <v>121</v>
      </c>
      <c r="T56" s="16">
        <f t="shared" si="1"/>
        <v>27</v>
      </c>
      <c r="U56" s="53">
        <v>108</v>
      </c>
      <c r="V56" s="16">
        <f t="shared" si="2"/>
        <v>2916</v>
      </c>
      <c r="W56" s="53">
        <v>1</v>
      </c>
      <c r="X56" s="53" t="s">
        <v>46</v>
      </c>
      <c r="Y56" s="53" t="s">
        <v>86</v>
      </c>
      <c r="Z56" s="53" t="s">
        <v>97</v>
      </c>
      <c r="AA56" s="53" t="s">
        <v>69</v>
      </c>
      <c r="AB56" s="53" t="s">
        <v>158</v>
      </c>
    </row>
    <row r="57" spans="1:28" x14ac:dyDescent="0.15">
      <c r="A57" s="53" t="s">
        <v>41</v>
      </c>
      <c r="B57" s="53" t="s">
        <v>157</v>
      </c>
      <c r="C57" s="62">
        <v>2019</v>
      </c>
      <c r="D57" s="63" t="s">
        <v>183</v>
      </c>
      <c r="E57" s="53" t="s">
        <v>194</v>
      </c>
      <c r="F57" s="53" t="s">
        <v>184</v>
      </c>
      <c r="G57" s="53" t="s">
        <v>42</v>
      </c>
      <c r="H57" s="53" t="s">
        <v>164</v>
      </c>
      <c r="I57" s="53" t="s">
        <v>159</v>
      </c>
      <c r="J57" s="53" t="s">
        <v>38</v>
      </c>
      <c r="K57" s="53" t="s">
        <v>161</v>
      </c>
      <c r="L57" s="53">
        <v>2</v>
      </c>
      <c r="N57" s="53">
        <v>1</v>
      </c>
      <c r="O57" s="53">
        <v>0.45</v>
      </c>
      <c r="P57" s="53">
        <v>0.5</v>
      </c>
      <c r="Q57" s="75">
        <f t="shared" si="0"/>
        <v>0.47499999999999998</v>
      </c>
      <c r="R57" s="53">
        <v>13.8</v>
      </c>
      <c r="S57" s="53">
        <v>122</v>
      </c>
      <c r="T57" s="16">
        <f t="shared" si="1"/>
        <v>27</v>
      </c>
      <c r="U57" s="53">
        <v>108</v>
      </c>
      <c r="V57" s="16">
        <f t="shared" si="2"/>
        <v>2916</v>
      </c>
      <c r="W57" s="53">
        <v>1</v>
      </c>
      <c r="X57" s="53" t="s">
        <v>46</v>
      </c>
      <c r="Y57" s="53" t="s">
        <v>86</v>
      </c>
      <c r="Z57" s="53" t="s">
        <v>97</v>
      </c>
      <c r="AA57" s="53" t="s">
        <v>69</v>
      </c>
      <c r="AB57" s="53" t="s">
        <v>158</v>
      </c>
    </row>
    <row r="58" spans="1:28" x14ac:dyDescent="0.15">
      <c r="A58" s="53" t="s">
        <v>41</v>
      </c>
      <c r="B58" s="53" t="s">
        <v>157</v>
      </c>
      <c r="C58" s="62">
        <v>2019</v>
      </c>
      <c r="D58" s="63" t="s">
        <v>183</v>
      </c>
      <c r="E58" s="53" t="s">
        <v>194</v>
      </c>
      <c r="F58" s="53" t="s">
        <v>184</v>
      </c>
      <c r="G58" s="53" t="s">
        <v>42</v>
      </c>
      <c r="H58" s="53" t="s">
        <v>164</v>
      </c>
      <c r="I58" s="53" t="s">
        <v>159</v>
      </c>
      <c r="J58" s="53" t="s">
        <v>38</v>
      </c>
      <c r="K58" s="53" t="s">
        <v>161</v>
      </c>
      <c r="L58" s="53">
        <v>3</v>
      </c>
      <c r="N58" s="53">
        <v>1</v>
      </c>
      <c r="O58" s="53">
        <v>0.5</v>
      </c>
      <c r="P58" s="53">
        <v>0.55000000000000004</v>
      </c>
      <c r="Q58" s="75">
        <f t="shared" si="0"/>
        <v>0.52500000000000002</v>
      </c>
      <c r="R58" s="53">
        <v>14.7</v>
      </c>
      <c r="S58" s="53">
        <v>124</v>
      </c>
      <c r="T58" s="16">
        <f t="shared" si="1"/>
        <v>27</v>
      </c>
      <c r="U58" s="53">
        <v>108</v>
      </c>
      <c r="V58" s="16">
        <f t="shared" si="2"/>
        <v>2916</v>
      </c>
      <c r="W58" s="53">
        <v>1</v>
      </c>
      <c r="X58" s="53" t="s">
        <v>46</v>
      </c>
      <c r="Y58" s="53" t="s">
        <v>86</v>
      </c>
      <c r="Z58" s="53" t="s">
        <v>97</v>
      </c>
      <c r="AA58" s="53" t="s">
        <v>69</v>
      </c>
      <c r="AB58" s="53" t="s">
        <v>158</v>
      </c>
    </row>
    <row r="59" spans="1:28" x14ac:dyDescent="0.15">
      <c r="A59" s="53" t="s">
        <v>41</v>
      </c>
      <c r="B59" s="53" t="s">
        <v>157</v>
      </c>
      <c r="C59" s="62">
        <v>2019</v>
      </c>
      <c r="D59" s="63" t="s">
        <v>183</v>
      </c>
      <c r="E59" s="53" t="s">
        <v>194</v>
      </c>
      <c r="F59" s="53" t="s">
        <v>184</v>
      </c>
      <c r="G59" s="53" t="s">
        <v>42</v>
      </c>
      <c r="H59" s="53" t="s">
        <v>164</v>
      </c>
      <c r="I59" s="53" t="s">
        <v>159</v>
      </c>
      <c r="J59" s="53" t="s">
        <v>38</v>
      </c>
      <c r="K59" s="53" t="s">
        <v>161</v>
      </c>
      <c r="L59" s="53">
        <v>1</v>
      </c>
      <c r="N59" s="53">
        <v>6</v>
      </c>
      <c r="O59" s="53">
        <v>0.45</v>
      </c>
      <c r="P59" s="53">
        <v>0.6</v>
      </c>
      <c r="Q59" s="75">
        <f t="shared" si="0"/>
        <v>0.52500000000000002</v>
      </c>
      <c r="R59" s="53">
        <v>12</v>
      </c>
      <c r="S59" s="53">
        <v>120</v>
      </c>
      <c r="T59" s="16">
        <f t="shared" si="1"/>
        <v>30</v>
      </c>
      <c r="U59" s="53">
        <v>429</v>
      </c>
      <c r="V59" s="16">
        <f t="shared" si="2"/>
        <v>2145</v>
      </c>
      <c r="W59" s="53">
        <v>2</v>
      </c>
      <c r="X59" s="53" t="s">
        <v>46</v>
      </c>
      <c r="Y59" s="53" t="s">
        <v>86</v>
      </c>
      <c r="Z59" s="53" t="s">
        <v>97</v>
      </c>
      <c r="AA59" s="53" t="s">
        <v>69</v>
      </c>
      <c r="AB59" s="53" t="s">
        <v>158</v>
      </c>
    </row>
    <row r="60" spans="1:28" x14ac:dyDescent="0.15">
      <c r="A60" s="53" t="s">
        <v>41</v>
      </c>
      <c r="B60" s="53" t="s">
        <v>157</v>
      </c>
      <c r="C60" s="62">
        <v>2019</v>
      </c>
      <c r="D60" s="63" t="s">
        <v>183</v>
      </c>
      <c r="E60" s="53" t="s">
        <v>194</v>
      </c>
      <c r="F60" s="53" t="s">
        <v>184</v>
      </c>
      <c r="G60" s="53" t="s">
        <v>42</v>
      </c>
      <c r="H60" s="53" t="s">
        <v>164</v>
      </c>
      <c r="I60" s="53" t="s">
        <v>159</v>
      </c>
      <c r="J60" s="53" t="s">
        <v>38</v>
      </c>
      <c r="K60" s="53" t="s">
        <v>161</v>
      </c>
      <c r="L60" s="53">
        <v>2</v>
      </c>
      <c r="N60" s="53">
        <v>6</v>
      </c>
      <c r="O60" s="53">
        <v>0.5</v>
      </c>
      <c r="P60" s="53">
        <v>0.55000000000000004</v>
      </c>
      <c r="Q60" s="75">
        <f t="shared" si="0"/>
        <v>0.52500000000000002</v>
      </c>
      <c r="R60" s="53">
        <v>13.3</v>
      </c>
      <c r="S60" s="53">
        <v>118</v>
      </c>
      <c r="T60" s="16">
        <f t="shared" si="1"/>
        <v>30</v>
      </c>
      <c r="U60" s="53">
        <v>429</v>
      </c>
      <c r="V60" s="16">
        <f t="shared" si="2"/>
        <v>2145</v>
      </c>
      <c r="W60" s="53">
        <v>2</v>
      </c>
      <c r="X60" s="53" t="s">
        <v>46</v>
      </c>
      <c r="Y60" s="53" t="s">
        <v>86</v>
      </c>
      <c r="Z60" s="53" t="s">
        <v>97</v>
      </c>
      <c r="AA60" s="53" t="s">
        <v>69</v>
      </c>
      <c r="AB60" s="53" t="s">
        <v>158</v>
      </c>
    </row>
    <row r="61" spans="1:28" x14ac:dyDescent="0.15">
      <c r="A61" s="53" t="s">
        <v>41</v>
      </c>
      <c r="B61" s="53" t="s">
        <v>157</v>
      </c>
      <c r="C61" s="62">
        <v>2019</v>
      </c>
      <c r="D61" s="63" t="s">
        <v>183</v>
      </c>
      <c r="E61" s="53" t="s">
        <v>194</v>
      </c>
      <c r="F61" s="53" t="s">
        <v>184</v>
      </c>
      <c r="G61" s="53" t="s">
        <v>42</v>
      </c>
      <c r="H61" s="53" t="s">
        <v>164</v>
      </c>
      <c r="I61" s="53" t="s">
        <v>159</v>
      </c>
      <c r="J61" s="53" t="s">
        <v>38</v>
      </c>
      <c r="K61" s="53" t="s">
        <v>161</v>
      </c>
      <c r="L61" s="53">
        <v>3</v>
      </c>
      <c r="N61" s="53">
        <v>6</v>
      </c>
      <c r="O61" s="53">
        <v>0.65</v>
      </c>
      <c r="P61" s="53">
        <v>0.6</v>
      </c>
      <c r="Q61" s="75">
        <f t="shared" si="0"/>
        <v>0.625</v>
      </c>
      <c r="R61" s="53">
        <v>12.8</v>
      </c>
      <c r="S61" s="53">
        <v>121</v>
      </c>
      <c r="T61" s="16">
        <f t="shared" si="1"/>
        <v>27</v>
      </c>
      <c r="U61" s="53">
        <v>429</v>
      </c>
      <c r="V61" s="16">
        <f t="shared" si="2"/>
        <v>1930.5</v>
      </c>
      <c r="W61" s="53">
        <v>2</v>
      </c>
      <c r="X61" s="53" t="s">
        <v>46</v>
      </c>
      <c r="Y61" s="53" t="s">
        <v>86</v>
      </c>
      <c r="Z61" s="53" t="s">
        <v>97</v>
      </c>
      <c r="AA61" s="53" t="s">
        <v>69</v>
      </c>
      <c r="AB61" s="53" t="s">
        <v>158</v>
      </c>
    </row>
    <row r="62" spans="1:28" x14ac:dyDescent="0.15">
      <c r="A62" s="53" t="s">
        <v>41</v>
      </c>
      <c r="B62" s="53" t="s">
        <v>157</v>
      </c>
      <c r="C62" s="62">
        <v>2019</v>
      </c>
      <c r="D62" s="63" t="s">
        <v>183</v>
      </c>
      <c r="E62" s="53" t="s">
        <v>194</v>
      </c>
      <c r="F62" s="53" t="s">
        <v>184</v>
      </c>
      <c r="G62" s="53" t="s">
        <v>42</v>
      </c>
      <c r="H62" s="53" t="s">
        <v>160</v>
      </c>
      <c r="I62" s="53" t="s">
        <v>159</v>
      </c>
      <c r="J62" s="53" t="s">
        <v>38</v>
      </c>
      <c r="K62" s="53" t="s">
        <v>161</v>
      </c>
      <c r="L62" s="53">
        <v>1</v>
      </c>
      <c r="N62" s="53">
        <v>1</v>
      </c>
      <c r="O62" s="53">
        <v>0.7</v>
      </c>
      <c r="P62" s="53">
        <v>0.65</v>
      </c>
      <c r="Q62" s="75">
        <f t="shared" si="0"/>
        <v>0.67500000000000004</v>
      </c>
      <c r="R62" s="53">
        <v>15.2</v>
      </c>
      <c r="S62" s="53">
        <v>123</v>
      </c>
      <c r="T62" s="16">
        <f t="shared" si="1"/>
        <v>27</v>
      </c>
      <c r="U62" s="53">
        <v>170</v>
      </c>
      <c r="V62" s="16">
        <f t="shared" si="2"/>
        <v>4590</v>
      </c>
      <c r="W62" s="53">
        <v>1</v>
      </c>
      <c r="X62" s="53" t="s">
        <v>46</v>
      </c>
      <c r="Y62" s="53" t="s">
        <v>86</v>
      </c>
      <c r="Z62" s="53" t="s">
        <v>97</v>
      </c>
      <c r="AA62" s="53" t="s">
        <v>69</v>
      </c>
      <c r="AB62" s="53" t="s">
        <v>158</v>
      </c>
    </row>
    <row r="63" spans="1:28" x14ac:dyDescent="0.15">
      <c r="A63" s="53" t="s">
        <v>41</v>
      </c>
      <c r="B63" s="53" t="s">
        <v>157</v>
      </c>
      <c r="C63" s="62">
        <v>2019</v>
      </c>
      <c r="D63" s="63" t="s">
        <v>183</v>
      </c>
      <c r="E63" s="53" t="s">
        <v>194</v>
      </c>
      <c r="F63" s="53" t="s">
        <v>184</v>
      </c>
      <c r="G63" s="53" t="s">
        <v>42</v>
      </c>
      <c r="H63" s="53" t="s">
        <v>160</v>
      </c>
      <c r="I63" s="53" t="s">
        <v>159</v>
      </c>
      <c r="J63" s="53" t="s">
        <v>38</v>
      </c>
      <c r="K63" s="53" t="s">
        <v>161</v>
      </c>
      <c r="L63" s="53">
        <v>2</v>
      </c>
      <c r="N63" s="53">
        <v>1</v>
      </c>
      <c r="O63" s="53">
        <v>0.45</v>
      </c>
      <c r="P63" s="53">
        <v>0.5</v>
      </c>
      <c r="Q63" s="75">
        <f t="shared" si="0"/>
        <v>0.47499999999999998</v>
      </c>
      <c r="R63" s="53">
        <v>14.1</v>
      </c>
      <c r="S63" s="53">
        <v>121</v>
      </c>
      <c r="T63" s="16">
        <f t="shared" si="1"/>
        <v>27</v>
      </c>
      <c r="U63" s="53">
        <v>170</v>
      </c>
      <c r="V63" s="16">
        <f t="shared" si="2"/>
        <v>4590</v>
      </c>
      <c r="W63" s="53">
        <v>1</v>
      </c>
      <c r="X63" s="53" t="s">
        <v>46</v>
      </c>
      <c r="Y63" s="53" t="s">
        <v>86</v>
      </c>
      <c r="Z63" s="53" t="s">
        <v>97</v>
      </c>
      <c r="AA63" s="53" t="s">
        <v>69</v>
      </c>
      <c r="AB63" s="53" t="s">
        <v>158</v>
      </c>
    </row>
    <row r="64" spans="1:28" x14ac:dyDescent="0.15">
      <c r="A64" s="53" t="s">
        <v>41</v>
      </c>
      <c r="B64" s="53" t="s">
        <v>157</v>
      </c>
      <c r="C64" s="62">
        <v>2019</v>
      </c>
      <c r="D64" s="63" t="s">
        <v>183</v>
      </c>
      <c r="E64" s="53" t="s">
        <v>194</v>
      </c>
      <c r="F64" s="53" t="s">
        <v>184</v>
      </c>
      <c r="G64" s="53" t="s">
        <v>42</v>
      </c>
      <c r="H64" s="53" t="s">
        <v>160</v>
      </c>
      <c r="I64" s="53" t="s">
        <v>159</v>
      </c>
      <c r="J64" s="53" t="s">
        <v>38</v>
      </c>
      <c r="K64" s="53" t="s">
        <v>161</v>
      </c>
      <c r="L64" s="53">
        <v>3</v>
      </c>
      <c r="N64" s="53">
        <v>1</v>
      </c>
      <c r="O64" s="53">
        <v>0.6</v>
      </c>
      <c r="P64" s="53">
        <v>0.45</v>
      </c>
      <c r="Q64" s="75">
        <f t="shared" si="0"/>
        <v>0.52500000000000002</v>
      </c>
      <c r="R64" s="53">
        <v>14</v>
      </c>
      <c r="S64" s="53">
        <v>124</v>
      </c>
      <c r="T64" s="16">
        <f t="shared" si="1"/>
        <v>27</v>
      </c>
      <c r="U64" s="53">
        <v>170</v>
      </c>
      <c r="V64" s="16">
        <f t="shared" si="2"/>
        <v>4590</v>
      </c>
      <c r="W64" s="53">
        <v>1</v>
      </c>
      <c r="X64" s="53" t="s">
        <v>46</v>
      </c>
      <c r="Y64" s="53" t="s">
        <v>86</v>
      </c>
      <c r="Z64" s="53" t="s">
        <v>97</v>
      </c>
      <c r="AA64" s="53" t="s">
        <v>69</v>
      </c>
      <c r="AB64" s="53" t="s">
        <v>158</v>
      </c>
    </row>
    <row r="65" spans="1:34" x14ac:dyDescent="0.15">
      <c r="A65" s="53" t="s">
        <v>41</v>
      </c>
      <c r="B65" s="53" t="s">
        <v>157</v>
      </c>
      <c r="C65" s="62">
        <v>2019</v>
      </c>
      <c r="D65" s="63" t="s">
        <v>183</v>
      </c>
      <c r="E65" s="53" t="s">
        <v>194</v>
      </c>
      <c r="F65" s="53" t="s">
        <v>184</v>
      </c>
      <c r="G65" s="53" t="s">
        <v>42</v>
      </c>
      <c r="H65" s="53" t="s">
        <v>160</v>
      </c>
      <c r="I65" s="53" t="s">
        <v>159</v>
      </c>
      <c r="J65" s="53" t="s">
        <v>38</v>
      </c>
      <c r="K65" s="53" t="s">
        <v>161</v>
      </c>
      <c r="L65" s="53">
        <v>1</v>
      </c>
      <c r="N65" s="53">
        <v>4</v>
      </c>
      <c r="O65" s="53">
        <v>0.5</v>
      </c>
      <c r="P65" s="53">
        <v>0.4</v>
      </c>
      <c r="Q65" s="75">
        <f t="shared" si="0"/>
        <v>0.45</v>
      </c>
      <c r="R65" s="53">
        <v>15.7</v>
      </c>
      <c r="S65" s="53">
        <v>120</v>
      </c>
      <c r="T65" s="16">
        <f t="shared" si="1"/>
        <v>30</v>
      </c>
      <c r="U65" s="53">
        <v>645</v>
      </c>
      <c r="V65" s="16">
        <f t="shared" si="2"/>
        <v>4837.5</v>
      </c>
      <c r="W65" s="53">
        <v>4</v>
      </c>
      <c r="X65" s="53" t="s">
        <v>46</v>
      </c>
      <c r="Y65" s="53" t="s">
        <v>86</v>
      </c>
      <c r="Z65" s="53" t="s">
        <v>97</v>
      </c>
      <c r="AA65" s="53" t="s">
        <v>69</v>
      </c>
      <c r="AB65" s="53" t="s">
        <v>158</v>
      </c>
    </row>
    <row r="66" spans="1:34" x14ac:dyDescent="0.15">
      <c r="A66" s="53" t="s">
        <v>41</v>
      </c>
      <c r="B66" s="53" t="s">
        <v>157</v>
      </c>
      <c r="C66" s="62">
        <v>2019</v>
      </c>
      <c r="D66" s="63" t="s">
        <v>183</v>
      </c>
      <c r="E66" s="53" t="s">
        <v>194</v>
      </c>
      <c r="F66" s="53" t="s">
        <v>184</v>
      </c>
      <c r="G66" s="53" t="s">
        <v>42</v>
      </c>
      <c r="H66" s="53" t="s">
        <v>160</v>
      </c>
      <c r="I66" s="53" t="s">
        <v>159</v>
      </c>
      <c r="J66" s="53" t="s">
        <v>38</v>
      </c>
      <c r="K66" s="53" t="s">
        <v>161</v>
      </c>
      <c r="L66" s="53">
        <v>2</v>
      </c>
      <c r="N66" s="53">
        <v>4</v>
      </c>
      <c r="O66" s="53">
        <v>0.35</v>
      </c>
      <c r="P66" s="53">
        <v>0.4</v>
      </c>
      <c r="Q66" s="75">
        <f t="shared" ref="Q66:Q103" si="3">IF(OR(O66="",P66=""),"",AVERAGE(O66,P66))</f>
        <v>0.375</v>
      </c>
      <c r="R66" s="53">
        <v>14.2</v>
      </c>
      <c r="S66" s="53">
        <v>115</v>
      </c>
      <c r="T66" s="16">
        <f t="shared" ref="T66:T110" si="4">IF(H66="","",IF(OR(H66="GREEN",H66="GK"),IF(S66&gt;=$AX$2,VLOOKUP(S66,$AX$2:$AY$10,2,1),""),IF(S66&gt;=$AZ$2,VLOOKUP(S66,$AZ$2:$BA$10,2,1),"")))</f>
        <v>30</v>
      </c>
      <c r="U66" s="53">
        <v>645</v>
      </c>
      <c r="V66" s="16">
        <f t="shared" ref="V66:V103" si="5">IF(OR(N66="",U66="",T66=""),"",U66/N66*T66)</f>
        <v>4837.5</v>
      </c>
      <c r="W66" s="53">
        <v>4</v>
      </c>
      <c r="X66" s="53" t="s">
        <v>46</v>
      </c>
      <c r="Y66" s="53" t="s">
        <v>86</v>
      </c>
      <c r="Z66" s="53" t="s">
        <v>97</v>
      </c>
      <c r="AA66" s="53" t="s">
        <v>69</v>
      </c>
      <c r="AB66" s="53" t="s">
        <v>158</v>
      </c>
    </row>
    <row r="67" spans="1:34" x14ac:dyDescent="0.15">
      <c r="A67" s="53" t="s">
        <v>41</v>
      </c>
      <c r="B67" s="53" t="s">
        <v>157</v>
      </c>
      <c r="C67" s="62">
        <v>2019</v>
      </c>
      <c r="D67" s="63" t="s">
        <v>183</v>
      </c>
      <c r="E67" s="53" t="s">
        <v>194</v>
      </c>
      <c r="F67" s="53" t="s">
        <v>184</v>
      </c>
      <c r="G67" s="53" t="s">
        <v>42</v>
      </c>
      <c r="H67" s="53" t="s">
        <v>160</v>
      </c>
      <c r="I67" s="53" t="s">
        <v>159</v>
      </c>
      <c r="J67" s="53" t="s">
        <v>38</v>
      </c>
      <c r="K67" s="53" t="s">
        <v>161</v>
      </c>
      <c r="L67" s="53">
        <v>3</v>
      </c>
      <c r="N67" s="53">
        <v>4</v>
      </c>
      <c r="O67" s="53">
        <v>0.25</v>
      </c>
      <c r="P67" s="53">
        <v>0.35</v>
      </c>
      <c r="Q67" s="75">
        <f t="shared" si="3"/>
        <v>0.3</v>
      </c>
      <c r="R67" s="53">
        <v>13.4</v>
      </c>
      <c r="S67" s="53">
        <v>119</v>
      </c>
      <c r="T67" s="16">
        <f t="shared" si="4"/>
        <v>30</v>
      </c>
      <c r="U67" s="53">
        <v>645</v>
      </c>
      <c r="V67" s="16">
        <f t="shared" si="5"/>
        <v>4837.5</v>
      </c>
      <c r="W67" s="53">
        <v>4</v>
      </c>
      <c r="X67" s="53" t="s">
        <v>46</v>
      </c>
      <c r="Y67" s="53" t="s">
        <v>86</v>
      </c>
      <c r="Z67" s="53" t="s">
        <v>97</v>
      </c>
      <c r="AA67" s="53" t="s">
        <v>69</v>
      </c>
      <c r="AB67" s="53" t="s">
        <v>158</v>
      </c>
    </row>
    <row r="68" spans="1:34" x14ac:dyDescent="0.15">
      <c r="A68" s="53" t="s">
        <v>41</v>
      </c>
      <c r="B68" s="53" t="s">
        <v>157</v>
      </c>
      <c r="C68" s="62">
        <v>2019</v>
      </c>
      <c r="D68" s="63" t="s">
        <v>183</v>
      </c>
      <c r="E68" s="53" t="s">
        <v>194</v>
      </c>
      <c r="F68" s="53" t="s">
        <v>196</v>
      </c>
      <c r="G68" s="53" t="s">
        <v>42</v>
      </c>
      <c r="H68" s="53" t="s">
        <v>164</v>
      </c>
      <c r="I68" s="53" t="s">
        <v>159</v>
      </c>
      <c r="J68" s="53" t="s">
        <v>38</v>
      </c>
      <c r="K68" s="53" t="s">
        <v>161</v>
      </c>
      <c r="L68" s="53">
        <v>1</v>
      </c>
      <c r="N68" s="53">
        <v>1</v>
      </c>
      <c r="O68" s="53">
        <v>0.6</v>
      </c>
      <c r="P68" s="53">
        <v>0.7</v>
      </c>
      <c r="Q68" s="75">
        <f t="shared" si="3"/>
        <v>0.64999999999999991</v>
      </c>
      <c r="R68" s="53">
        <v>12.6</v>
      </c>
      <c r="S68" s="53">
        <v>124</v>
      </c>
      <c r="T68" s="16">
        <f t="shared" si="4"/>
        <v>27</v>
      </c>
      <c r="U68" s="53">
        <v>84</v>
      </c>
      <c r="V68" s="16">
        <f t="shared" si="5"/>
        <v>2268</v>
      </c>
      <c r="W68" s="53">
        <v>2</v>
      </c>
      <c r="X68" s="53" t="s">
        <v>46</v>
      </c>
      <c r="Y68" s="53" t="s">
        <v>55</v>
      </c>
      <c r="Z68" s="53" t="s">
        <v>69</v>
      </c>
      <c r="AA68" s="53" t="s">
        <v>86</v>
      </c>
      <c r="AB68" s="53" t="s">
        <v>158</v>
      </c>
    </row>
    <row r="69" spans="1:34" x14ac:dyDescent="0.15">
      <c r="A69" s="53" t="s">
        <v>41</v>
      </c>
      <c r="B69" s="53" t="s">
        <v>157</v>
      </c>
      <c r="C69" s="62">
        <v>2019</v>
      </c>
      <c r="D69" s="63" t="s">
        <v>183</v>
      </c>
      <c r="E69" s="53" t="s">
        <v>194</v>
      </c>
      <c r="F69" s="53" t="s">
        <v>196</v>
      </c>
      <c r="G69" s="53" t="s">
        <v>42</v>
      </c>
      <c r="H69" s="53" t="s">
        <v>164</v>
      </c>
      <c r="I69" s="53" t="s">
        <v>159</v>
      </c>
      <c r="J69" s="53" t="s">
        <v>38</v>
      </c>
      <c r="K69" s="53" t="s">
        <v>161</v>
      </c>
      <c r="L69" s="53">
        <v>2</v>
      </c>
      <c r="N69" s="53">
        <v>1</v>
      </c>
      <c r="O69" s="53">
        <v>0.45</v>
      </c>
      <c r="P69" s="53">
        <v>0.5</v>
      </c>
      <c r="Q69" s="75">
        <f t="shared" si="3"/>
        <v>0.47499999999999998</v>
      </c>
      <c r="R69" s="53">
        <v>11.1</v>
      </c>
      <c r="S69" s="53">
        <v>123</v>
      </c>
      <c r="T69" s="16">
        <f t="shared" si="4"/>
        <v>27</v>
      </c>
      <c r="U69" s="53">
        <v>84</v>
      </c>
      <c r="V69" s="16">
        <f t="shared" si="5"/>
        <v>2268</v>
      </c>
      <c r="W69" s="53">
        <v>2</v>
      </c>
      <c r="X69" s="53" t="s">
        <v>46</v>
      </c>
      <c r="Y69" s="53" t="s">
        <v>55</v>
      </c>
      <c r="Z69" s="53" t="s">
        <v>69</v>
      </c>
      <c r="AA69" s="53" t="s">
        <v>86</v>
      </c>
      <c r="AB69" s="53" t="s">
        <v>158</v>
      </c>
    </row>
    <row r="70" spans="1:34" x14ac:dyDescent="0.15">
      <c r="A70" s="53" t="s">
        <v>41</v>
      </c>
      <c r="B70" s="53" t="s">
        <v>157</v>
      </c>
      <c r="C70" s="62">
        <v>2019</v>
      </c>
      <c r="D70" s="63" t="s">
        <v>183</v>
      </c>
      <c r="E70" s="53" t="s">
        <v>194</v>
      </c>
      <c r="F70" s="53" t="s">
        <v>196</v>
      </c>
      <c r="G70" s="53" t="s">
        <v>42</v>
      </c>
      <c r="H70" s="53" t="s">
        <v>164</v>
      </c>
      <c r="I70" s="53" t="s">
        <v>159</v>
      </c>
      <c r="J70" s="53" t="s">
        <v>38</v>
      </c>
      <c r="K70" s="53" t="s">
        <v>161</v>
      </c>
      <c r="L70" s="53">
        <v>3</v>
      </c>
      <c r="N70" s="53">
        <v>1</v>
      </c>
      <c r="O70" s="53">
        <v>0.8</v>
      </c>
      <c r="P70" s="53">
        <v>0.65</v>
      </c>
      <c r="Q70" s="75">
        <f t="shared" si="3"/>
        <v>0.72500000000000009</v>
      </c>
      <c r="R70" s="53">
        <v>12.8</v>
      </c>
      <c r="S70" s="53">
        <v>126</v>
      </c>
      <c r="T70" s="16">
        <f t="shared" si="4"/>
        <v>27</v>
      </c>
      <c r="U70" s="53">
        <v>84</v>
      </c>
      <c r="V70" s="16">
        <f t="shared" si="5"/>
        <v>2268</v>
      </c>
      <c r="W70" s="53">
        <v>2</v>
      </c>
      <c r="X70" s="53" t="s">
        <v>46</v>
      </c>
      <c r="Y70" s="53" t="s">
        <v>55</v>
      </c>
      <c r="Z70" s="53" t="s">
        <v>69</v>
      </c>
      <c r="AA70" s="53" t="s">
        <v>86</v>
      </c>
      <c r="AB70" s="53" t="s">
        <v>158</v>
      </c>
    </row>
    <row r="71" spans="1:34" x14ac:dyDescent="0.15">
      <c r="A71" s="53" t="s">
        <v>41</v>
      </c>
      <c r="B71" s="53" t="s">
        <v>157</v>
      </c>
      <c r="C71" s="62">
        <v>2019</v>
      </c>
      <c r="D71" s="63" t="s">
        <v>183</v>
      </c>
      <c r="E71" s="53" t="s">
        <v>194</v>
      </c>
      <c r="F71" s="53" t="s">
        <v>196</v>
      </c>
      <c r="G71" s="53" t="s">
        <v>42</v>
      </c>
      <c r="H71" s="53" t="s">
        <v>164</v>
      </c>
      <c r="I71" s="53" t="s">
        <v>159</v>
      </c>
      <c r="J71" s="53" t="s">
        <v>38</v>
      </c>
      <c r="K71" s="53" t="s">
        <v>161</v>
      </c>
      <c r="L71" s="53">
        <v>1</v>
      </c>
      <c r="N71" s="53">
        <v>5</v>
      </c>
      <c r="O71" s="53">
        <v>0.8</v>
      </c>
      <c r="P71" s="53">
        <v>0.95</v>
      </c>
      <c r="Q71" s="75">
        <f t="shared" si="3"/>
        <v>0.875</v>
      </c>
      <c r="R71" s="53">
        <v>13.6</v>
      </c>
      <c r="S71" s="53">
        <v>110</v>
      </c>
      <c r="T71" s="16">
        <f t="shared" si="4"/>
        <v>33</v>
      </c>
      <c r="U71" s="53">
        <v>421</v>
      </c>
      <c r="V71" s="16">
        <f t="shared" si="5"/>
        <v>2778.6</v>
      </c>
      <c r="W71" s="53">
        <v>4</v>
      </c>
      <c r="X71" s="53" t="s">
        <v>46</v>
      </c>
      <c r="Y71" s="53" t="s">
        <v>55</v>
      </c>
      <c r="Z71" s="53" t="s">
        <v>69</v>
      </c>
      <c r="AA71" s="53" t="s">
        <v>86</v>
      </c>
      <c r="AB71" s="53" t="s">
        <v>158</v>
      </c>
    </row>
    <row r="72" spans="1:34" x14ac:dyDescent="0.15">
      <c r="A72" s="53" t="s">
        <v>41</v>
      </c>
      <c r="B72" s="53" t="s">
        <v>157</v>
      </c>
      <c r="C72" s="62">
        <v>2019</v>
      </c>
      <c r="D72" s="63" t="s">
        <v>183</v>
      </c>
      <c r="E72" s="53" t="s">
        <v>194</v>
      </c>
      <c r="F72" s="53" t="s">
        <v>196</v>
      </c>
      <c r="G72" s="53" t="s">
        <v>42</v>
      </c>
      <c r="H72" s="53" t="s">
        <v>164</v>
      </c>
      <c r="I72" s="53" t="s">
        <v>159</v>
      </c>
      <c r="J72" s="53" t="s">
        <v>38</v>
      </c>
      <c r="K72" s="53" t="s">
        <v>161</v>
      </c>
      <c r="L72" s="53">
        <v>2</v>
      </c>
      <c r="N72" s="53">
        <v>5</v>
      </c>
      <c r="O72" s="53">
        <v>0.6</v>
      </c>
      <c r="P72" s="53">
        <v>0.6</v>
      </c>
      <c r="Q72" s="75">
        <f t="shared" si="3"/>
        <v>0.6</v>
      </c>
      <c r="R72" s="53">
        <v>14.7</v>
      </c>
      <c r="S72" s="53">
        <v>108</v>
      </c>
      <c r="T72" s="16">
        <f t="shared" si="4"/>
        <v>33</v>
      </c>
      <c r="U72" s="53">
        <v>421</v>
      </c>
      <c r="V72" s="16">
        <f t="shared" si="5"/>
        <v>2778.6</v>
      </c>
      <c r="W72" s="53">
        <v>4</v>
      </c>
      <c r="X72" s="53" t="s">
        <v>46</v>
      </c>
      <c r="Y72" s="53" t="s">
        <v>55</v>
      </c>
      <c r="Z72" s="53" t="s">
        <v>69</v>
      </c>
      <c r="AA72" s="53" t="s">
        <v>86</v>
      </c>
      <c r="AB72" s="53" t="s">
        <v>158</v>
      </c>
    </row>
    <row r="73" spans="1:34" x14ac:dyDescent="0.15">
      <c r="A73" s="53" t="s">
        <v>41</v>
      </c>
      <c r="B73" s="53" t="s">
        <v>157</v>
      </c>
      <c r="C73" s="62">
        <v>2019</v>
      </c>
      <c r="D73" s="63" t="s">
        <v>183</v>
      </c>
      <c r="E73" s="53" t="s">
        <v>194</v>
      </c>
      <c r="F73" s="53" t="s">
        <v>196</v>
      </c>
      <c r="G73" s="53" t="s">
        <v>42</v>
      </c>
      <c r="H73" s="53" t="s">
        <v>164</v>
      </c>
      <c r="I73" s="53" t="s">
        <v>159</v>
      </c>
      <c r="J73" s="53" t="s">
        <v>38</v>
      </c>
      <c r="K73" s="53" t="s">
        <v>161</v>
      </c>
      <c r="L73" s="53">
        <v>3</v>
      </c>
      <c r="N73" s="53">
        <v>5</v>
      </c>
      <c r="O73" s="53">
        <v>0.5</v>
      </c>
      <c r="P73" s="53">
        <v>0.75</v>
      </c>
      <c r="Q73" s="75">
        <f t="shared" si="3"/>
        <v>0.625</v>
      </c>
      <c r="R73" s="53">
        <v>14</v>
      </c>
      <c r="S73" s="53">
        <v>106</v>
      </c>
      <c r="T73" s="16">
        <f t="shared" si="4"/>
        <v>33</v>
      </c>
      <c r="U73" s="53">
        <v>421</v>
      </c>
      <c r="V73" s="16">
        <f t="shared" si="5"/>
        <v>2778.6</v>
      </c>
      <c r="W73" s="53">
        <v>4</v>
      </c>
      <c r="X73" s="53" t="s">
        <v>46</v>
      </c>
      <c r="Y73" s="53" t="s">
        <v>55</v>
      </c>
      <c r="Z73" s="53" t="s">
        <v>69</v>
      </c>
      <c r="AA73" s="53" t="s">
        <v>86</v>
      </c>
      <c r="AB73" s="53" t="s">
        <v>158</v>
      </c>
    </row>
    <row r="74" spans="1:34" x14ac:dyDescent="0.15">
      <c r="A74" s="53" t="s">
        <v>41</v>
      </c>
      <c r="B74" s="53" t="s">
        <v>157</v>
      </c>
      <c r="C74" s="62">
        <v>2019</v>
      </c>
      <c r="D74" s="63" t="s">
        <v>183</v>
      </c>
      <c r="E74" s="53" t="s">
        <v>194</v>
      </c>
      <c r="F74" s="53" t="s">
        <v>196</v>
      </c>
      <c r="G74" s="53" t="s">
        <v>42</v>
      </c>
      <c r="H74" s="53" t="s">
        <v>164</v>
      </c>
      <c r="I74" s="53" t="s">
        <v>159</v>
      </c>
      <c r="J74" s="53" t="s">
        <v>38</v>
      </c>
      <c r="K74" s="53" t="s">
        <v>161</v>
      </c>
      <c r="L74" s="53">
        <v>1</v>
      </c>
      <c r="N74" s="53">
        <v>8</v>
      </c>
      <c r="O74" s="53">
        <v>0.65</v>
      </c>
      <c r="P74" s="53">
        <v>0.75</v>
      </c>
      <c r="Q74" s="75">
        <f t="shared" si="3"/>
        <v>0.7</v>
      </c>
      <c r="R74" s="53">
        <v>16.2</v>
      </c>
      <c r="S74" s="53">
        <v>120</v>
      </c>
      <c r="T74" s="16">
        <f t="shared" si="4"/>
        <v>30</v>
      </c>
      <c r="U74" s="53">
        <v>842</v>
      </c>
      <c r="V74" s="16">
        <f t="shared" si="5"/>
        <v>3157.5</v>
      </c>
      <c r="W74" s="53">
        <v>3</v>
      </c>
      <c r="X74" s="53" t="s">
        <v>46</v>
      </c>
      <c r="Y74" s="53" t="s">
        <v>55</v>
      </c>
      <c r="Z74" s="53" t="s">
        <v>69</v>
      </c>
      <c r="AA74" s="53" t="s">
        <v>86</v>
      </c>
      <c r="AB74" s="53" t="s">
        <v>158</v>
      </c>
      <c r="AC74" s="76"/>
      <c r="AD74" s="76"/>
      <c r="AE74" s="76"/>
      <c r="AF74" s="76"/>
      <c r="AG74" s="76"/>
      <c r="AH74" s="76"/>
    </row>
    <row r="75" spans="1:34" x14ac:dyDescent="0.15">
      <c r="A75" s="53" t="s">
        <v>41</v>
      </c>
      <c r="B75" s="53" t="s">
        <v>157</v>
      </c>
      <c r="C75" s="62">
        <v>2019</v>
      </c>
      <c r="D75" s="63" t="s">
        <v>183</v>
      </c>
      <c r="E75" s="53" t="s">
        <v>194</v>
      </c>
      <c r="F75" s="53" t="s">
        <v>196</v>
      </c>
      <c r="G75" s="53" t="s">
        <v>42</v>
      </c>
      <c r="H75" s="53" t="s">
        <v>164</v>
      </c>
      <c r="I75" s="53" t="s">
        <v>159</v>
      </c>
      <c r="J75" s="53" t="s">
        <v>38</v>
      </c>
      <c r="K75" s="53" t="s">
        <v>161</v>
      </c>
      <c r="L75" s="53">
        <v>2</v>
      </c>
      <c r="N75" s="53">
        <v>8</v>
      </c>
      <c r="O75" s="53">
        <v>0.7</v>
      </c>
      <c r="P75" s="53">
        <v>0.85</v>
      </c>
      <c r="Q75" s="75">
        <f t="shared" si="3"/>
        <v>0.77499999999999991</v>
      </c>
      <c r="R75" s="53">
        <v>14.7</v>
      </c>
      <c r="S75" s="53">
        <v>115</v>
      </c>
      <c r="T75" s="16">
        <f t="shared" si="4"/>
        <v>30</v>
      </c>
      <c r="U75" s="53">
        <v>842</v>
      </c>
      <c r="V75" s="16">
        <f t="shared" si="5"/>
        <v>3157.5</v>
      </c>
      <c r="W75" s="53">
        <v>3</v>
      </c>
      <c r="X75" s="53" t="s">
        <v>46</v>
      </c>
      <c r="Y75" s="53" t="s">
        <v>55</v>
      </c>
      <c r="Z75" s="53" t="s">
        <v>69</v>
      </c>
      <c r="AA75" s="53" t="s">
        <v>86</v>
      </c>
      <c r="AB75" s="53" t="s">
        <v>158</v>
      </c>
      <c r="AC75" s="76"/>
      <c r="AD75" s="76"/>
      <c r="AE75" s="76"/>
      <c r="AF75" s="76"/>
      <c r="AG75" s="76"/>
      <c r="AH75" s="76"/>
    </row>
    <row r="76" spans="1:34" x14ac:dyDescent="0.15">
      <c r="A76" s="53" t="s">
        <v>41</v>
      </c>
      <c r="B76" s="53" t="s">
        <v>157</v>
      </c>
      <c r="C76" s="62">
        <v>2019</v>
      </c>
      <c r="D76" s="63" t="s">
        <v>183</v>
      </c>
      <c r="E76" s="53" t="s">
        <v>194</v>
      </c>
      <c r="F76" s="53" t="s">
        <v>196</v>
      </c>
      <c r="G76" s="53" t="s">
        <v>42</v>
      </c>
      <c r="H76" s="53" t="s">
        <v>164</v>
      </c>
      <c r="I76" s="53" t="s">
        <v>159</v>
      </c>
      <c r="J76" s="53" t="s">
        <v>38</v>
      </c>
      <c r="K76" s="53" t="s">
        <v>161</v>
      </c>
      <c r="L76" s="53">
        <v>3</v>
      </c>
      <c r="N76" s="53">
        <v>8</v>
      </c>
      <c r="O76" s="53">
        <v>0.5</v>
      </c>
      <c r="P76" s="53">
        <v>0.7</v>
      </c>
      <c r="Q76" s="75">
        <f t="shared" si="3"/>
        <v>0.6</v>
      </c>
      <c r="R76" s="53">
        <v>12.1</v>
      </c>
      <c r="S76" s="53">
        <v>110</v>
      </c>
      <c r="T76" s="16">
        <f t="shared" si="4"/>
        <v>33</v>
      </c>
      <c r="U76" s="53">
        <v>842</v>
      </c>
      <c r="V76" s="16">
        <f t="shared" si="5"/>
        <v>3473.25</v>
      </c>
      <c r="W76" s="53">
        <v>3</v>
      </c>
      <c r="X76" s="53" t="s">
        <v>46</v>
      </c>
      <c r="Y76" s="53" t="s">
        <v>55</v>
      </c>
      <c r="Z76" s="53" t="s">
        <v>69</v>
      </c>
      <c r="AA76" s="53" t="s">
        <v>86</v>
      </c>
      <c r="AB76" s="53" t="s">
        <v>158</v>
      </c>
      <c r="AC76" s="76"/>
      <c r="AD76" s="76"/>
      <c r="AE76" s="76"/>
      <c r="AF76" s="76"/>
      <c r="AG76" s="76"/>
      <c r="AH76" s="76"/>
    </row>
    <row r="77" spans="1:34" x14ac:dyDescent="0.15">
      <c r="A77" s="53" t="s">
        <v>41</v>
      </c>
      <c r="B77" s="53" t="s">
        <v>157</v>
      </c>
      <c r="C77" s="62">
        <v>2019</v>
      </c>
      <c r="D77" s="63" t="s">
        <v>183</v>
      </c>
      <c r="E77" s="53" t="s">
        <v>194</v>
      </c>
      <c r="F77" s="53" t="s">
        <v>196</v>
      </c>
      <c r="G77" s="53" t="s">
        <v>42</v>
      </c>
      <c r="H77" s="53" t="s">
        <v>160</v>
      </c>
      <c r="I77" s="53" t="s">
        <v>159</v>
      </c>
      <c r="J77" s="53" t="s">
        <v>38</v>
      </c>
      <c r="K77" s="53" t="s">
        <v>161</v>
      </c>
      <c r="L77" s="53">
        <v>1</v>
      </c>
      <c r="N77" s="53">
        <v>1</v>
      </c>
      <c r="O77" s="53">
        <v>0.65</v>
      </c>
      <c r="P77" s="53">
        <v>0.5</v>
      </c>
      <c r="Q77" s="75">
        <f t="shared" si="3"/>
        <v>0.57499999999999996</v>
      </c>
      <c r="R77" s="53">
        <v>16.399999999999999</v>
      </c>
      <c r="S77" s="53">
        <v>122</v>
      </c>
      <c r="T77" s="16">
        <f t="shared" si="4"/>
        <v>27</v>
      </c>
      <c r="U77" s="53">
        <v>84</v>
      </c>
      <c r="V77" s="16">
        <f t="shared" si="5"/>
        <v>2268</v>
      </c>
      <c r="W77" s="53">
        <v>5</v>
      </c>
      <c r="X77" s="53" t="s">
        <v>46</v>
      </c>
      <c r="Y77" s="53" t="s">
        <v>55</v>
      </c>
      <c r="Z77" s="53" t="s">
        <v>69</v>
      </c>
      <c r="AA77" s="53" t="s">
        <v>86</v>
      </c>
      <c r="AB77" s="53" t="s">
        <v>158</v>
      </c>
      <c r="AC77" s="76"/>
      <c r="AD77" s="76"/>
      <c r="AE77" s="76"/>
      <c r="AF77" s="76"/>
      <c r="AG77" s="76"/>
      <c r="AH77" s="76"/>
    </row>
    <row r="78" spans="1:34" x14ac:dyDescent="0.15">
      <c r="A78" s="53" t="s">
        <v>41</v>
      </c>
      <c r="B78" s="53" t="s">
        <v>157</v>
      </c>
      <c r="C78" s="62">
        <v>2019</v>
      </c>
      <c r="D78" s="63" t="s">
        <v>183</v>
      </c>
      <c r="E78" s="53" t="s">
        <v>194</v>
      </c>
      <c r="F78" s="53" t="s">
        <v>196</v>
      </c>
      <c r="G78" s="53" t="s">
        <v>42</v>
      </c>
      <c r="H78" s="53" t="s">
        <v>160</v>
      </c>
      <c r="I78" s="53" t="s">
        <v>159</v>
      </c>
      <c r="J78" s="53" t="s">
        <v>38</v>
      </c>
      <c r="K78" s="53" t="s">
        <v>161</v>
      </c>
      <c r="L78" s="53">
        <v>2</v>
      </c>
      <c r="N78" s="53">
        <v>1</v>
      </c>
      <c r="O78" s="53">
        <v>0.8</v>
      </c>
      <c r="P78" s="53">
        <v>0.95</v>
      </c>
      <c r="Q78" s="75">
        <f t="shared" si="3"/>
        <v>0.875</v>
      </c>
      <c r="R78" s="53">
        <v>16.5</v>
      </c>
      <c r="S78" s="53">
        <v>124</v>
      </c>
      <c r="T78" s="16">
        <f t="shared" si="4"/>
        <v>27</v>
      </c>
      <c r="U78" s="53">
        <v>84</v>
      </c>
      <c r="V78" s="16">
        <f t="shared" si="5"/>
        <v>2268</v>
      </c>
      <c r="W78" s="53">
        <v>5</v>
      </c>
      <c r="X78" s="53" t="s">
        <v>46</v>
      </c>
      <c r="Y78" s="53" t="s">
        <v>55</v>
      </c>
      <c r="Z78" s="53" t="s">
        <v>69</v>
      </c>
      <c r="AA78" s="53" t="s">
        <v>86</v>
      </c>
      <c r="AB78" s="53" t="s">
        <v>158</v>
      </c>
      <c r="AC78" s="76"/>
      <c r="AD78" s="76"/>
      <c r="AE78" s="76"/>
      <c r="AF78" s="76"/>
      <c r="AG78" s="76"/>
      <c r="AH78" s="76"/>
    </row>
    <row r="79" spans="1:34" x14ac:dyDescent="0.15">
      <c r="A79" s="53" t="s">
        <v>41</v>
      </c>
      <c r="B79" s="53" t="s">
        <v>157</v>
      </c>
      <c r="C79" s="62">
        <v>2019</v>
      </c>
      <c r="D79" s="63" t="s">
        <v>183</v>
      </c>
      <c r="E79" s="53" t="s">
        <v>194</v>
      </c>
      <c r="F79" s="53" t="s">
        <v>196</v>
      </c>
      <c r="G79" s="53" t="s">
        <v>42</v>
      </c>
      <c r="H79" s="53" t="s">
        <v>160</v>
      </c>
      <c r="I79" s="53" t="s">
        <v>159</v>
      </c>
      <c r="J79" s="53" t="s">
        <v>38</v>
      </c>
      <c r="K79" s="53" t="s">
        <v>161</v>
      </c>
      <c r="L79" s="53">
        <v>3</v>
      </c>
      <c r="N79" s="53">
        <v>1</v>
      </c>
      <c r="O79" s="53">
        <v>0.65</v>
      </c>
      <c r="P79" s="53">
        <v>0.7</v>
      </c>
      <c r="Q79" s="75">
        <f t="shared" si="3"/>
        <v>0.67500000000000004</v>
      </c>
      <c r="R79" s="53">
        <v>16</v>
      </c>
      <c r="S79" s="53">
        <v>121</v>
      </c>
      <c r="T79" s="16">
        <f t="shared" si="4"/>
        <v>27</v>
      </c>
      <c r="U79" s="53">
        <v>84</v>
      </c>
      <c r="V79" s="16">
        <f t="shared" si="5"/>
        <v>2268</v>
      </c>
      <c r="W79" s="53">
        <v>5</v>
      </c>
      <c r="X79" s="53" t="s">
        <v>46</v>
      </c>
      <c r="Y79" s="53" t="s">
        <v>55</v>
      </c>
      <c r="Z79" s="53" t="s">
        <v>69</v>
      </c>
      <c r="AA79" s="53" t="s">
        <v>86</v>
      </c>
      <c r="AB79" s="53" t="s">
        <v>158</v>
      </c>
      <c r="AC79" s="76"/>
      <c r="AD79" s="76"/>
      <c r="AE79" s="76"/>
      <c r="AF79" s="76"/>
      <c r="AG79" s="76"/>
      <c r="AH79" s="76"/>
    </row>
    <row r="80" spans="1:34" x14ac:dyDescent="0.15">
      <c r="A80" s="53" t="s">
        <v>41</v>
      </c>
      <c r="B80" s="53" t="s">
        <v>157</v>
      </c>
      <c r="C80" s="62">
        <v>2019</v>
      </c>
      <c r="D80" s="63" t="s">
        <v>183</v>
      </c>
      <c r="E80" s="53" t="s">
        <v>194</v>
      </c>
      <c r="F80" s="53" t="s">
        <v>196</v>
      </c>
      <c r="G80" s="53" t="s">
        <v>42</v>
      </c>
      <c r="H80" s="53" t="s">
        <v>160</v>
      </c>
      <c r="I80" s="53" t="s">
        <v>159</v>
      </c>
      <c r="J80" s="53" t="s">
        <v>38</v>
      </c>
      <c r="K80" s="53" t="s">
        <v>161</v>
      </c>
      <c r="L80" s="53">
        <v>1</v>
      </c>
      <c r="N80" s="53">
        <v>4</v>
      </c>
      <c r="O80" s="53">
        <v>0.8</v>
      </c>
      <c r="P80" s="53">
        <v>0.9</v>
      </c>
      <c r="Q80" s="75">
        <f t="shared" si="3"/>
        <v>0.85000000000000009</v>
      </c>
      <c r="R80" s="53">
        <v>14.8</v>
      </c>
      <c r="S80" s="53">
        <v>123</v>
      </c>
      <c r="T80" s="16">
        <f t="shared" si="4"/>
        <v>27</v>
      </c>
      <c r="U80" s="53">
        <v>421</v>
      </c>
      <c r="V80" s="16">
        <f t="shared" si="5"/>
        <v>2841.75</v>
      </c>
      <c r="W80" s="53">
        <v>4</v>
      </c>
      <c r="X80" s="53" t="s">
        <v>46</v>
      </c>
      <c r="Y80" s="53" t="s">
        <v>55</v>
      </c>
      <c r="Z80" s="53" t="s">
        <v>69</v>
      </c>
      <c r="AA80" s="53" t="s">
        <v>86</v>
      </c>
      <c r="AB80" s="53" t="s">
        <v>158</v>
      </c>
      <c r="AC80" s="76"/>
      <c r="AD80" s="76"/>
      <c r="AE80" s="76"/>
      <c r="AF80" s="76"/>
      <c r="AG80" s="76"/>
      <c r="AH80" s="76"/>
    </row>
    <row r="81" spans="1:34" x14ac:dyDescent="0.15">
      <c r="A81" s="53" t="s">
        <v>41</v>
      </c>
      <c r="B81" s="53" t="s">
        <v>157</v>
      </c>
      <c r="C81" s="62">
        <v>2019</v>
      </c>
      <c r="D81" s="63" t="s">
        <v>183</v>
      </c>
      <c r="E81" s="53" t="s">
        <v>194</v>
      </c>
      <c r="F81" s="53" t="s">
        <v>196</v>
      </c>
      <c r="G81" s="53" t="s">
        <v>42</v>
      </c>
      <c r="H81" s="53" t="s">
        <v>160</v>
      </c>
      <c r="I81" s="53" t="s">
        <v>159</v>
      </c>
      <c r="J81" s="53" t="s">
        <v>38</v>
      </c>
      <c r="K81" s="53" t="s">
        <v>161</v>
      </c>
      <c r="L81" s="53">
        <v>2</v>
      </c>
      <c r="N81" s="53">
        <v>4</v>
      </c>
      <c r="O81" s="53">
        <v>0.65</v>
      </c>
      <c r="P81" s="53">
        <v>0.6</v>
      </c>
      <c r="Q81" s="75">
        <f t="shared" si="3"/>
        <v>0.625</v>
      </c>
      <c r="R81" s="53">
        <v>15.1</v>
      </c>
      <c r="S81" s="53">
        <v>121</v>
      </c>
      <c r="T81" s="16">
        <f t="shared" si="4"/>
        <v>27</v>
      </c>
      <c r="U81" s="53">
        <v>421</v>
      </c>
      <c r="V81" s="16">
        <f t="shared" si="5"/>
        <v>2841.75</v>
      </c>
      <c r="W81" s="53">
        <v>4</v>
      </c>
      <c r="X81" s="53" t="s">
        <v>46</v>
      </c>
      <c r="Y81" s="53" t="s">
        <v>55</v>
      </c>
      <c r="Z81" s="53" t="s">
        <v>69</v>
      </c>
      <c r="AA81" s="53" t="s">
        <v>86</v>
      </c>
      <c r="AB81" s="53" t="s">
        <v>158</v>
      </c>
      <c r="AC81" s="76"/>
      <c r="AD81" s="76"/>
      <c r="AE81" s="76"/>
      <c r="AF81" s="76"/>
      <c r="AG81" s="76"/>
      <c r="AH81" s="76"/>
    </row>
    <row r="82" spans="1:34" x14ac:dyDescent="0.15">
      <c r="A82" s="53" t="s">
        <v>41</v>
      </c>
      <c r="B82" s="53" t="s">
        <v>157</v>
      </c>
      <c r="C82" s="62">
        <v>2019</v>
      </c>
      <c r="D82" s="63" t="s">
        <v>183</v>
      </c>
      <c r="E82" s="53" t="s">
        <v>194</v>
      </c>
      <c r="F82" s="53" t="s">
        <v>196</v>
      </c>
      <c r="G82" s="53" t="s">
        <v>42</v>
      </c>
      <c r="H82" s="53" t="s">
        <v>160</v>
      </c>
      <c r="I82" s="53" t="s">
        <v>159</v>
      </c>
      <c r="J82" s="53" t="s">
        <v>38</v>
      </c>
      <c r="K82" s="53" t="s">
        <v>161</v>
      </c>
      <c r="L82" s="53">
        <v>3</v>
      </c>
      <c r="N82" s="53">
        <v>4</v>
      </c>
      <c r="O82" s="53">
        <v>0.7</v>
      </c>
      <c r="P82" s="53">
        <v>0.5</v>
      </c>
      <c r="Q82" s="75">
        <f t="shared" si="3"/>
        <v>0.6</v>
      </c>
      <c r="R82" s="53">
        <v>15.2</v>
      </c>
      <c r="S82" s="53">
        <v>126</v>
      </c>
      <c r="T82" s="16">
        <f t="shared" si="4"/>
        <v>27</v>
      </c>
      <c r="U82" s="53">
        <v>421</v>
      </c>
      <c r="V82" s="16">
        <f t="shared" si="5"/>
        <v>2841.75</v>
      </c>
      <c r="W82" s="53">
        <v>4</v>
      </c>
      <c r="X82" s="53" t="s">
        <v>46</v>
      </c>
      <c r="Y82" s="53" t="s">
        <v>55</v>
      </c>
      <c r="Z82" s="53" t="s">
        <v>69</v>
      </c>
      <c r="AA82" s="53" t="s">
        <v>86</v>
      </c>
      <c r="AB82" s="53" t="s">
        <v>158</v>
      </c>
      <c r="AC82" s="76"/>
      <c r="AD82" s="76"/>
      <c r="AE82" s="76"/>
      <c r="AF82" s="76"/>
      <c r="AG82" s="76"/>
      <c r="AH82" s="76"/>
    </row>
    <row r="83" spans="1:34" x14ac:dyDescent="0.15">
      <c r="A83" s="53" t="s">
        <v>41</v>
      </c>
      <c r="B83" s="53" t="s">
        <v>157</v>
      </c>
      <c r="C83" s="62">
        <v>2019</v>
      </c>
      <c r="D83" s="63" t="s">
        <v>183</v>
      </c>
      <c r="E83" s="53" t="s">
        <v>194</v>
      </c>
      <c r="F83" s="53" t="s">
        <v>196</v>
      </c>
      <c r="G83" s="53" t="s">
        <v>42</v>
      </c>
      <c r="H83" s="53" t="s">
        <v>160</v>
      </c>
      <c r="I83" s="53" t="s">
        <v>159</v>
      </c>
      <c r="J83" s="53" t="s">
        <v>38</v>
      </c>
      <c r="K83" s="53" t="s">
        <v>161</v>
      </c>
      <c r="L83" s="53">
        <v>1</v>
      </c>
      <c r="N83" s="53">
        <v>6</v>
      </c>
      <c r="O83" s="53">
        <v>0.7</v>
      </c>
      <c r="P83" s="53">
        <v>0.8</v>
      </c>
      <c r="Q83" s="75">
        <f t="shared" si="3"/>
        <v>0.75</v>
      </c>
      <c r="R83" s="53">
        <v>17.399999999999999</v>
      </c>
      <c r="S83" s="53">
        <v>120</v>
      </c>
      <c r="T83" s="16">
        <f t="shared" si="4"/>
        <v>30</v>
      </c>
      <c r="U83" s="53">
        <v>540</v>
      </c>
      <c r="V83" s="16">
        <f t="shared" si="5"/>
        <v>2700</v>
      </c>
      <c r="W83" s="53">
        <v>3</v>
      </c>
      <c r="X83" s="53" t="s">
        <v>46</v>
      </c>
      <c r="Y83" s="53" t="s">
        <v>55</v>
      </c>
      <c r="Z83" s="53" t="s">
        <v>69</v>
      </c>
      <c r="AA83" s="53" t="s">
        <v>86</v>
      </c>
      <c r="AB83" s="53" t="s">
        <v>158</v>
      </c>
      <c r="AC83" s="76"/>
      <c r="AD83" s="76"/>
      <c r="AE83" s="76"/>
      <c r="AF83" s="76"/>
      <c r="AG83" s="76"/>
      <c r="AH83" s="76"/>
    </row>
    <row r="84" spans="1:34" x14ac:dyDescent="0.15">
      <c r="A84" s="53" t="s">
        <v>41</v>
      </c>
      <c r="B84" s="53" t="s">
        <v>157</v>
      </c>
      <c r="C84" s="62">
        <v>2019</v>
      </c>
      <c r="D84" s="63" t="s">
        <v>183</v>
      </c>
      <c r="E84" s="53" t="s">
        <v>194</v>
      </c>
      <c r="F84" s="53" t="s">
        <v>196</v>
      </c>
      <c r="G84" s="53" t="s">
        <v>42</v>
      </c>
      <c r="H84" s="53" t="s">
        <v>160</v>
      </c>
      <c r="I84" s="53" t="s">
        <v>159</v>
      </c>
      <c r="J84" s="53" t="s">
        <v>38</v>
      </c>
      <c r="K84" s="53" t="s">
        <v>161</v>
      </c>
      <c r="L84" s="53">
        <v>2</v>
      </c>
      <c r="N84" s="53">
        <v>6</v>
      </c>
      <c r="O84" s="53">
        <v>0.45</v>
      </c>
      <c r="P84" s="53">
        <v>0.6</v>
      </c>
      <c r="Q84" s="75">
        <f t="shared" si="3"/>
        <v>0.52500000000000002</v>
      </c>
      <c r="R84" s="53">
        <v>15</v>
      </c>
      <c r="S84" s="53">
        <v>120</v>
      </c>
      <c r="T84" s="16">
        <f t="shared" si="4"/>
        <v>30</v>
      </c>
      <c r="U84" s="53">
        <v>540</v>
      </c>
      <c r="V84" s="16">
        <f t="shared" si="5"/>
        <v>2700</v>
      </c>
      <c r="W84" s="53">
        <v>3</v>
      </c>
      <c r="X84" s="53" t="s">
        <v>46</v>
      </c>
      <c r="Y84" s="53" t="s">
        <v>55</v>
      </c>
      <c r="Z84" s="53" t="s">
        <v>69</v>
      </c>
      <c r="AA84" s="53" t="s">
        <v>86</v>
      </c>
      <c r="AB84" s="53" t="s">
        <v>158</v>
      </c>
      <c r="AC84" s="76"/>
      <c r="AD84" s="76"/>
      <c r="AE84" s="76"/>
      <c r="AF84" s="76"/>
      <c r="AG84" s="76"/>
      <c r="AH84" s="76"/>
    </row>
    <row r="85" spans="1:34" x14ac:dyDescent="0.15">
      <c r="A85" s="53" t="s">
        <v>41</v>
      </c>
      <c r="B85" s="53" t="s">
        <v>157</v>
      </c>
      <c r="C85" s="62">
        <v>2019</v>
      </c>
      <c r="D85" s="63" t="s">
        <v>183</v>
      </c>
      <c r="E85" s="53" t="s">
        <v>194</v>
      </c>
      <c r="F85" s="53" t="s">
        <v>196</v>
      </c>
      <c r="G85" s="53" t="s">
        <v>42</v>
      </c>
      <c r="H85" s="53" t="s">
        <v>160</v>
      </c>
      <c r="I85" s="53" t="s">
        <v>159</v>
      </c>
      <c r="J85" s="53" t="s">
        <v>38</v>
      </c>
      <c r="K85" s="53" t="s">
        <v>161</v>
      </c>
      <c r="L85" s="53">
        <v>3</v>
      </c>
      <c r="N85" s="53">
        <v>6</v>
      </c>
      <c r="O85" s="53">
        <v>0.7</v>
      </c>
      <c r="P85" s="53">
        <v>0.55000000000000004</v>
      </c>
      <c r="Q85" s="75">
        <f t="shared" si="3"/>
        <v>0.625</v>
      </c>
      <c r="R85" s="53">
        <v>14.1</v>
      </c>
      <c r="S85" s="53">
        <v>119</v>
      </c>
      <c r="T85" s="16">
        <f t="shared" si="4"/>
        <v>30</v>
      </c>
      <c r="U85" s="53">
        <v>540</v>
      </c>
      <c r="V85" s="16">
        <f t="shared" si="5"/>
        <v>2700</v>
      </c>
      <c r="W85" s="53">
        <v>3</v>
      </c>
      <c r="X85" s="53" t="s">
        <v>46</v>
      </c>
      <c r="Y85" s="53" t="s">
        <v>55</v>
      </c>
      <c r="Z85" s="53" t="s">
        <v>69</v>
      </c>
      <c r="AA85" s="53" t="s">
        <v>86</v>
      </c>
      <c r="AB85" s="53" t="s">
        <v>158</v>
      </c>
      <c r="AC85" s="76"/>
      <c r="AD85" s="76"/>
      <c r="AE85" s="76"/>
      <c r="AF85" s="76"/>
      <c r="AG85" s="76"/>
      <c r="AH85" s="76"/>
    </row>
    <row r="86" spans="1:34" x14ac:dyDescent="0.15">
      <c r="A86" s="53" t="s">
        <v>41</v>
      </c>
      <c r="B86" s="53" t="s">
        <v>157</v>
      </c>
      <c r="C86" s="62">
        <v>2019</v>
      </c>
      <c r="D86" s="63" t="s">
        <v>183</v>
      </c>
      <c r="E86" s="53" t="s">
        <v>199</v>
      </c>
      <c r="F86" s="53" t="s">
        <v>196</v>
      </c>
      <c r="G86" s="53" t="s">
        <v>42</v>
      </c>
      <c r="H86" s="53" t="s">
        <v>160</v>
      </c>
      <c r="I86" s="53" t="s">
        <v>159</v>
      </c>
      <c r="J86" s="53" t="s">
        <v>38</v>
      </c>
      <c r="K86" s="53" t="s">
        <v>161</v>
      </c>
      <c r="L86" s="53">
        <v>1</v>
      </c>
      <c r="N86" s="53">
        <v>1</v>
      </c>
      <c r="O86" s="53">
        <v>0.45</v>
      </c>
      <c r="P86" s="53">
        <v>0.5</v>
      </c>
      <c r="Q86" s="16">
        <f t="shared" si="3"/>
        <v>0.47499999999999998</v>
      </c>
      <c r="R86" s="53">
        <v>15.6</v>
      </c>
      <c r="S86" s="53">
        <v>116</v>
      </c>
      <c r="T86" s="38">
        <f t="shared" si="4"/>
        <v>30</v>
      </c>
      <c r="U86" s="53">
        <v>104</v>
      </c>
      <c r="V86" s="16">
        <f t="shared" si="5"/>
        <v>3120</v>
      </c>
      <c r="W86" s="53">
        <v>2</v>
      </c>
      <c r="X86" s="53" t="s">
        <v>46</v>
      </c>
      <c r="Y86" s="53" t="s">
        <v>86</v>
      </c>
      <c r="Z86" s="53" t="s">
        <v>90</v>
      </c>
      <c r="AA86" s="53" t="s">
        <v>97</v>
      </c>
      <c r="AB86" s="53" t="s">
        <v>158</v>
      </c>
      <c r="AC86" s="76"/>
      <c r="AD86" s="76"/>
      <c r="AE86" s="76"/>
      <c r="AF86" s="76"/>
      <c r="AG86" s="76"/>
      <c r="AH86" s="76"/>
    </row>
    <row r="87" spans="1:34" x14ac:dyDescent="0.15">
      <c r="A87" s="53" t="s">
        <v>41</v>
      </c>
      <c r="B87" s="53" t="s">
        <v>157</v>
      </c>
      <c r="C87" s="62">
        <v>2019</v>
      </c>
      <c r="D87" s="63" t="s">
        <v>183</v>
      </c>
      <c r="E87" s="53" t="s">
        <v>199</v>
      </c>
      <c r="F87" s="53" t="s">
        <v>196</v>
      </c>
      <c r="G87" s="53" t="s">
        <v>42</v>
      </c>
      <c r="H87" s="53" t="s">
        <v>160</v>
      </c>
      <c r="I87" s="53" t="s">
        <v>159</v>
      </c>
      <c r="J87" s="53" t="s">
        <v>38</v>
      </c>
      <c r="K87" s="53" t="s">
        <v>161</v>
      </c>
      <c r="L87" s="53">
        <v>2</v>
      </c>
      <c r="N87" s="53">
        <v>1</v>
      </c>
      <c r="O87" s="53">
        <v>0.3</v>
      </c>
      <c r="P87" s="53">
        <v>0.3</v>
      </c>
      <c r="Q87" s="16">
        <f t="shared" si="3"/>
        <v>0.3</v>
      </c>
      <c r="R87" s="53">
        <v>13.4</v>
      </c>
      <c r="S87" s="53">
        <v>113</v>
      </c>
      <c r="T87" s="38">
        <f t="shared" si="4"/>
        <v>30</v>
      </c>
      <c r="U87" s="53">
        <v>104</v>
      </c>
      <c r="V87" s="16">
        <f t="shared" si="5"/>
        <v>3120</v>
      </c>
      <c r="W87" s="53">
        <v>2</v>
      </c>
      <c r="X87" s="53" t="s">
        <v>46</v>
      </c>
      <c r="Y87" s="53" t="s">
        <v>86</v>
      </c>
      <c r="Z87" s="53" t="s">
        <v>90</v>
      </c>
      <c r="AA87" s="53" t="s">
        <v>97</v>
      </c>
      <c r="AB87" s="53" t="s">
        <v>158</v>
      </c>
      <c r="AC87" s="76"/>
      <c r="AD87" s="76"/>
      <c r="AE87" s="76"/>
      <c r="AF87" s="76"/>
      <c r="AG87" s="76"/>
      <c r="AH87" s="76"/>
    </row>
    <row r="88" spans="1:34" x14ac:dyDescent="0.15">
      <c r="A88" s="53" t="s">
        <v>41</v>
      </c>
      <c r="B88" s="53" t="s">
        <v>157</v>
      </c>
      <c r="C88" s="62">
        <v>2019</v>
      </c>
      <c r="D88" s="63" t="s">
        <v>183</v>
      </c>
      <c r="E88" s="53" t="s">
        <v>199</v>
      </c>
      <c r="F88" s="53" t="s">
        <v>196</v>
      </c>
      <c r="G88" s="53" t="s">
        <v>42</v>
      </c>
      <c r="H88" s="53" t="s">
        <v>160</v>
      </c>
      <c r="I88" s="53" t="s">
        <v>159</v>
      </c>
      <c r="J88" s="53" t="s">
        <v>38</v>
      </c>
      <c r="K88" s="53" t="s">
        <v>161</v>
      </c>
      <c r="L88" s="53">
        <v>3</v>
      </c>
      <c r="N88" s="53">
        <v>1</v>
      </c>
      <c r="O88" s="53">
        <v>0.5</v>
      </c>
      <c r="P88" s="53">
        <v>0.4</v>
      </c>
      <c r="Q88" s="16">
        <f t="shared" si="3"/>
        <v>0.45</v>
      </c>
      <c r="R88" s="53">
        <v>17.399999999999999</v>
      </c>
      <c r="S88" s="53">
        <v>117</v>
      </c>
      <c r="T88" s="38">
        <f t="shared" si="4"/>
        <v>30</v>
      </c>
      <c r="U88" s="53">
        <v>104</v>
      </c>
      <c r="V88" s="38">
        <f t="shared" si="5"/>
        <v>3120</v>
      </c>
      <c r="W88" s="53">
        <v>2</v>
      </c>
      <c r="X88" s="53" t="s">
        <v>46</v>
      </c>
      <c r="Y88" s="53" t="s">
        <v>86</v>
      </c>
      <c r="Z88" s="53" t="s">
        <v>90</v>
      </c>
      <c r="AA88" s="53" t="s">
        <v>97</v>
      </c>
      <c r="AB88" s="53" t="s">
        <v>158</v>
      </c>
      <c r="AC88" s="76"/>
      <c r="AD88" s="76"/>
      <c r="AE88" s="76"/>
      <c r="AF88" s="76"/>
      <c r="AG88" s="76"/>
      <c r="AH88" s="76"/>
    </row>
    <row r="89" spans="1:34" x14ac:dyDescent="0.15">
      <c r="A89" s="53" t="s">
        <v>41</v>
      </c>
      <c r="B89" s="53" t="s">
        <v>157</v>
      </c>
      <c r="C89" s="62">
        <v>2019</v>
      </c>
      <c r="D89" s="63" t="s">
        <v>183</v>
      </c>
      <c r="E89" s="53" t="s">
        <v>199</v>
      </c>
      <c r="F89" s="53" t="s">
        <v>196</v>
      </c>
      <c r="G89" s="53" t="s">
        <v>42</v>
      </c>
      <c r="H89" s="53" t="s">
        <v>164</v>
      </c>
      <c r="I89" s="53" t="s">
        <v>159</v>
      </c>
      <c r="J89" s="53" t="s">
        <v>38</v>
      </c>
      <c r="K89" s="53" t="s">
        <v>161</v>
      </c>
      <c r="L89" s="53">
        <v>1</v>
      </c>
      <c r="N89" s="53">
        <v>1</v>
      </c>
      <c r="O89" s="53">
        <v>1.3</v>
      </c>
      <c r="P89" s="53">
        <v>1.35</v>
      </c>
      <c r="Q89" s="75">
        <f t="shared" si="3"/>
        <v>1.3250000000000002</v>
      </c>
      <c r="R89" s="53">
        <v>12</v>
      </c>
      <c r="S89" s="53">
        <v>120</v>
      </c>
      <c r="T89" s="16">
        <f t="shared" si="4"/>
        <v>30</v>
      </c>
      <c r="U89" s="53">
        <v>104</v>
      </c>
      <c r="V89" s="16">
        <f t="shared" si="5"/>
        <v>3120</v>
      </c>
      <c r="W89" s="53">
        <v>2</v>
      </c>
      <c r="X89" s="53" t="s">
        <v>46</v>
      </c>
      <c r="Y89" s="53" t="s">
        <v>86</v>
      </c>
      <c r="Z89" s="53" t="s">
        <v>90</v>
      </c>
      <c r="AA89" s="53" t="s">
        <v>97</v>
      </c>
      <c r="AB89" s="53" t="s">
        <v>158</v>
      </c>
      <c r="AC89" s="76"/>
      <c r="AD89" s="76"/>
      <c r="AE89" s="76"/>
      <c r="AF89" s="76"/>
      <c r="AG89" s="76"/>
      <c r="AH89" s="76"/>
    </row>
    <row r="90" spans="1:34" x14ac:dyDescent="0.15">
      <c r="A90" s="53" t="s">
        <v>41</v>
      </c>
      <c r="B90" s="53" t="s">
        <v>157</v>
      </c>
      <c r="C90" s="62">
        <v>2019</v>
      </c>
      <c r="D90" s="63" t="s">
        <v>183</v>
      </c>
      <c r="E90" s="53" t="s">
        <v>199</v>
      </c>
      <c r="F90" s="53" t="s">
        <v>196</v>
      </c>
      <c r="G90" s="53" t="s">
        <v>42</v>
      </c>
      <c r="H90" s="53" t="s">
        <v>164</v>
      </c>
      <c r="I90" s="53" t="s">
        <v>159</v>
      </c>
      <c r="J90" s="53" t="s">
        <v>38</v>
      </c>
      <c r="K90" s="53" t="s">
        <v>161</v>
      </c>
      <c r="L90" s="53">
        <v>2</v>
      </c>
      <c r="N90" s="53">
        <v>1</v>
      </c>
      <c r="O90" s="53">
        <v>1.4</v>
      </c>
      <c r="P90" s="53">
        <v>1.2</v>
      </c>
      <c r="Q90" s="75">
        <f t="shared" si="3"/>
        <v>1.2999999999999998</v>
      </c>
      <c r="R90" s="53">
        <v>11.2</v>
      </c>
      <c r="S90" s="53">
        <v>120</v>
      </c>
      <c r="T90" s="16">
        <f t="shared" si="4"/>
        <v>30</v>
      </c>
      <c r="U90" s="53">
        <v>104</v>
      </c>
      <c r="V90" s="16">
        <f t="shared" si="5"/>
        <v>3120</v>
      </c>
      <c r="W90" s="53">
        <v>2</v>
      </c>
      <c r="X90" s="53" t="s">
        <v>46</v>
      </c>
      <c r="Y90" s="53" t="s">
        <v>86</v>
      </c>
      <c r="Z90" s="53" t="s">
        <v>90</v>
      </c>
      <c r="AA90" s="53" t="s">
        <v>97</v>
      </c>
      <c r="AB90" s="53" t="s">
        <v>158</v>
      </c>
      <c r="AC90" s="76"/>
      <c r="AD90" s="76"/>
      <c r="AE90" s="76"/>
      <c r="AF90" s="76"/>
      <c r="AG90" s="76"/>
      <c r="AH90" s="76"/>
    </row>
    <row r="91" spans="1:34" x14ac:dyDescent="0.15">
      <c r="A91" s="53" t="s">
        <v>41</v>
      </c>
      <c r="B91" s="53" t="s">
        <v>157</v>
      </c>
      <c r="C91" s="62">
        <v>2019</v>
      </c>
      <c r="D91" s="63" t="s">
        <v>183</v>
      </c>
      <c r="E91" s="53" t="s">
        <v>199</v>
      </c>
      <c r="F91" s="53" t="s">
        <v>196</v>
      </c>
      <c r="G91" s="53" t="s">
        <v>42</v>
      </c>
      <c r="H91" s="53" t="s">
        <v>164</v>
      </c>
      <c r="I91" s="53" t="s">
        <v>159</v>
      </c>
      <c r="J91" s="53" t="s">
        <v>38</v>
      </c>
      <c r="K91" s="53" t="s">
        <v>161</v>
      </c>
      <c r="L91" s="53">
        <v>3</v>
      </c>
      <c r="N91" s="53">
        <v>1</v>
      </c>
      <c r="O91" s="53">
        <v>1.25</v>
      </c>
      <c r="P91" s="53">
        <v>1.1000000000000001</v>
      </c>
      <c r="Q91" s="75">
        <f t="shared" si="3"/>
        <v>1.175</v>
      </c>
      <c r="R91" s="53">
        <v>10.5</v>
      </c>
      <c r="S91" s="53">
        <v>114</v>
      </c>
      <c r="T91" s="16">
        <f t="shared" si="4"/>
        <v>30</v>
      </c>
      <c r="U91" s="53">
        <v>104</v>
      </c>
      <c r="V91" s="16">
        <f t="shared" si="5"/>
        <v>3120</v>
      </c>
      <c r="W91" s="53">
        <v>2</v>
      </c>
      <c r="X91" s="53" t="s">
        <v>46</v>
      </c>
      <c r="Y91" s="53" t="s">
        <v>86</v>
      </c>
      <c r="Z91" s="53" t="s">
        <v>90</v>
      </c>
      <c r="AA91" s="53" t="s">
        <v>97</v>
      </c>
      <c r="AB91" s="53" t="s">
        <v>158</v>
      </c>
      <c r="AC91" s="76"/>
      <c r="AD91" s="76"/>
      <c r="AE91" s="76"/>
      <c r="AF91" s="76"/>
      <c r="AG91" s="76"/>
      <c r="AH91" s="76"/>
    </row>
    <row r="92" spans="1:34" x14ac:dyDescent="0.15">
      <c r="A92" s="53" t="s">
        <v>41</v>
      </c>
      <c r="B92" s="53" t="s">
        <v>157</v>
      </c>
      <c r="C92" s="62">
        <v>2019</v>
      </c>
      <c r="D92" s="63" t="s">
        <v>183</v>
      </c>
      <c r="E92" s="53" t="s">
        <v>201</v>
      </c>
      <c r="F92" s="53" t="s">
        <v>202</v>
      </c>
      <c r="G92" s="53" t="s">
        <v>42</v>
      </c>
      <c r="H92" s="53" t="s">
        <v>160</v>
      </c>
      <c r="I92" s="53" t="s">
        <v>159</v>
      </c>
      <c r="J92" s="53" t="s">
        <v>38</v>
      </c>
      <c r="K92" s="53" t="s">
        <v>161</v>
      </c>
      <c r="L92" s="53">
        <v>1</v>
      </c>
      <c r="N92" s="53">
        <v>1</v>
      </c>
      <c r="O92" s="53">
        <v>0.4</v>
      </c>
      <c r="P92" s="53">
        <v>0.35</v>
      </c>
      <c r="Q92" s="75">
        <f t="shared" si="3"/>
        <v>0.375</v>
      </c>
      <c r="R92" s="53">
        <v>16.8</v>
      </c>
      <c r="S92" s="53">
        <v>124</v>
      </c>
      <c r="T92" s="16">
        <f t="shared" si="4"/>
        <v>27</v>
      </c>
      <c r="U92" s="53">
        <v>138</v>
      </c>
      <c r="V92" s="16">
        <f t="shared" si="5"/>
        <v>3726</v>
      </c>
      <c r="W92" s="53">
        <v>4</v>
      </c>
      <c r="X92" s="53" t="s">
        <v>46</v>
      </c>
      <c r="Y92" s="53" t="s">
        <v>69</v>
      </c>
      <c r="Z92" s="53" t="s">
        <v>64</v>
      </c>
      <c r="AA92" s="53" t="s">
        <v>97</v>
      </c>
      <c r="AB92" s="53" t="s">
        <v>158</v>
      </c>
      <c r="AC92" s="76"/>
      <c r="AD92" s="76"/>
      <c r="AE92" s="76"/>
      <c r="AF92" s="76"/>
      <c r="AG92" s="76"/>
      <c r="AH92" s="76"/>
    </row>
    <row r="93" spans="1:34" x14ac:dyDescent="0.15">
      <c r="A93" s="53" t="s">
        <v>41</v>
      </c>
      <c r="B93" s="53" t="s">
        <v>157</v>
      </c>
      <c r="C93" s="62">
        <v>2019</v>
      </c>
      <c r="D93" s="63" t="s">
        <v>183</v>
      </c>
      <c r="E93" s="53" t="s">
        <v>201</v>
      </c>
      <c r="F93" s="53" t="s">
        <v>202</v>
      </c>
      <c r="G93" s="53" t="s">
        <v>42</v>
      </c>
      <c r="H93" s="53" t="s">
        <v>160</v>
      </c>
      <c r="I93" s="53" t="s">
        <v>159</v>
      </c>
      <c r="J93" s="53" t="s">
        <v>38</v>
      </c>
      <c r="K93" s="53" t="s">
        <v>161</v>
      </c>
      <c r="L93" s="53">
        <v>2</v>
      </c>
      <c r="N93" s="53">
        <v>1</v>
      </c>
      <c r="O93" s="53">
        <v>0.3</v>
      </c>
      <c r="P93" s="53">
        <v>0.3</v>
      </c>
      <c r="Q93" s="75">
        <f t="shared" si="3"/>
        <v>0.3</v>
      </c>
      <c r="R93" s="53">
        <v>15.1</v>
      </c>
      <c r="S93" s="53">
        <v>123</v>
      </c>
      <c r="T93" s="16">
        <f t="shared" si="4"/>
        <v>27</v>
      </c>
      <c r="U93" s="53">
        <v>138</v>
      </c>
      <c r="V93" s="16">
        <f t="shared" si="5"/>
        <v>3726</v>
      </c>
      <c r="W93" s="53">
        <v>4</v>
      </c>
      <c r="X93" s="53" t="s">
        <v>46</v>
      </c>
      <c r="Y93" s="53" t="s">
        <v>69</v>
      </c>
      <c r="Z93" s="53" t="s">
        <v>64</v>
      </c>
      <c r="AA93" s="53" t="s">
        <v>97</v>
      </c>
      <c r="AB93" s="53" t="s">
        <v>158</v>
      </c>
      <c r="AC93" s="76"/>
      <c r="AD93" s="76"/>
      <c r="AE93" s="76"/>
      <c r="AF93" s="76"/>
      <c r="AG93" s="76"/>
      <c r="AH93" s="76"/>
    </row>
    <row r="94" spans="1:34" x14ac:dyDescent="0.15">
      <c r="A94" s="53" t="s">
        <v>41</v>
      </c>
      <c r="B94" s="53" t="s">
        <v>157</v>
      </c>
      <c r="C94" s="62">
        <v>2019</v>
      </c>
      <c r="D94" s="63" t="s">
        <v>183</v>
      </c>
      <c r="E94" s="53" t="s">
        <v>201</v>
      </c>
      <c r="F94" s="53" t="s">
        <v>202</v>
      </c>
      <c r="G94" s="53" t="s">
        <v>42</v>
      </c>
      <c r="H94" s="53" t="s">
        <v>160</v>
      </c>
      <c r="I94" s="53" t="s">
        <v>159</v>
      </c>
      <c r="J94" s="53" t="s">
        <v>38</v>
      </c>
      <c r="K94" s="53" t="s">
        <v>161</v>
      </c>
      <c r="L94" s="53">
        <v>3</v>
      </c>
      <c r="N94" s="53">
        <v>1</v>
      </c>
      <c r="O94" s="53">
        <v>0.25</v>
      </c>
      <c r="P94" s="53">
        <v>0.25</v>
      </c>
      <c r="Q94" s="75">
        <f t="shared" si="3"/>
        <v>0.25</v>
      </c>
      <c r="R94" s="53">
        <v>14.7</v>
      </c>
      <c r="S94" s="53">
        <v>124</v>
      </c>
      <c r="T94" s="16">
        <f t="shared" si="4"/>
        <v>27</v>
      </c>
      <c r="U94" s="53">
        <v>138</v>
      </c>
      <c r="V94" s="16">
        <f t="shared" si="5"/>
        <v>3726</v>
      </c>
      <c r="W94" s="53">
        <v>4</v>
      </c>
      <c r="X94" s="53" t="s">
        <v>46</v>
      </c>
      <c r="Y94" s="53" t="s">
        <v>69</v>
      </c>
      <c r="Z94" s="53" t="s">
        <v>64</v>
      </c>
      <c r="AA94" s="53" t="s">
        <v>97</v>
      </c>
      <c r="AB94" s="53" t="s">
        <v>158</v>
      </c>
      <c r="AC94" s="76"/>
      <c r="AD94" s="76"/>
      <c r="AE94" s="76"/>
      <c r="AF94" s="76"/>
      <c r="AG94" s="76"/>
      <c r="AH94" s="76"/>
    </row>
    <row r="95" spans="1:34" x14ac:dyDescent="0.15">
      <c r="A95" s="53" t="s">
        <v>41</v>
      </c>
      <c r="B95" s="53" t="s">
        <v>157</v>
      </c>
      <c r="C95" s="62">
        <v>2019</v>
      </c>
      <c r="D95" s="63" t="s">
        <v>183</v>
      </c>
      <c r="E95" s="53" t="s">
        <v>201</v>
      </c>
      <c r="F95" s="53" t="s">
        <v>202</v>
      </c>
      <c r="G95" s="53" t="s">
        <v>42</v>
      </c>
      <c r="H95" s="53" t="s">
        <v>160</v>
      </c>
      <c r="I95" s="53" t="s">
        <v>159</v>
      </c>
      <c r="J95" s="53" t="s">
        <v>38</v>
      </c>
      <c r="K95" s="53" t="s">
        <v>161</v>
      </c>
      <c r="L95" s="53">
        <v>1</v>
      </c>
      <c r="N95" s="53">
        <v>4</v>
      </c>
      <c r="O95" s="53">
        <v>0.25</v>
      </c>
      <c r="P95" s="53">
        <v>0.25</v>
      </c>
      <c r="Q95" s="75">
        <f t="shared" si="3"/>
        <v>0.25</v>
      </c>
      <c r="R95" s="53">
        <v>16</v>
      </c>
      <c r="S95" s="53">
        <v>120</v>
      </c>
      <c r="T95" s="16">
        <f t="shared" si="4"/>
        <v>30</v>
      </c>
      <c r="U95" s="53">
        <v>518</v>
      </c>
      <c r="V95" s="16">
        <f t="shared" si="5"/>
        <v>3885</v>
      </c>
      <c r="W95" s="53">
        <v>2</v>
      </c>
      <c r="X95" s="53" t="s">
        <v>46</v>
      </c>
      <c r="Y95" s="53" t="s">
        <v>69</v>
      </c>
      <c r="Z95" s="53" t="s">
        <v>64</v>
      </c>
      <c r="AA95" s="53" t="s">
        <v>97</v>
      </c>
      <c r="AB95" s="53" t="s">
        <v>158</v>
      </c>
      <c r="AC95" s="76"/>
      <c r="AD95" s="76"/>
      <c r="AE95" s="76"/>
      <c r="AF95" s="76"/>
      <c r="AG95" s="76"/>
      <c r="AH95" s="76"/>
    </row>
    <row r="96" spans="1:34" x14ac:dyDescent="0.15">
      <c r="A96" s="53" t="s">
        <v>41</v>
      </c>
      <c r="B96" s="53" t="s">
        <v>157</v>
      </c>
      <c r="C96" s="62">
        <v>2019</v>
      </c>
      <c r="D96" s="63" t="s">
        <v>183</v>
      </c>
      <c r="E96" s="53" t="s">
        <v>201</v>
      </c>
      <c r="F96" s="53" t="s">
        <v>202</v>
      </c>
      <c r="G96" s="53" t="s">
        <v>42</v>
      </c>
      <c r="H96" s="53" t="s">
        <v>160</v>
      </c>
      <c r="I96" s="53" t="s">
        <v>159</v>
      </c>
      <c r="J96" s="53" t="s">
        <v>38</v>
      </c>
      <c r="K96" s="53" t="s">
        <v>161</v>
      </c>
      <c r="L96" s="53">
        <v>2</v>
      </c>
      <c r="N96" s="53">
        <v>4</v>
      </c>
      <c r="O96" s="53">
        <v>0.25</v>
      </c>
      <c r="P96" s="53">
        <v>0.25</v>
      </c>
      <c r="Q96" s="75">
        <f t="shared" si="3"/>
        <v>0.25</v>
      </c>
      <c r="R96" s="53">
        <v>15.8</v>
      </c>
      <c r="S96" s="53">
        <v>118</v>
      </c>
      <c r="T96" s="16">
        <f t="shared" si="4"/>
        <v>30</v>
      </c>
      <c r="U96" s="53">
        <v>518</v>
      </c>
      <c r="V96" s="16">
        <f t="shared" si="5"/>
        <v>3885</v>
      </c>
      <c r="W96" s="53">
        <v>2</v>
      </c>
      <c r="X96" s="53" t="s">
        <v>46</v>
      </c>
      <c r="Y96" s="53" t="s">
        <v>69</v>
      </c>
      <c r="Z96" s="53" t="s">
        <v>64</v>
      </c>
      <c r="AA96" s="53" t="s">
        <v>97</v>
      </c>
      <c r="AB96" s="53" t="s">
        <v>158</v>
      </c>
      <c r="AC96" s="76"/>
      <c r="AD96" s="76"/>
      <c r="AE96" s="76"/>
      <c r="AF96" s="76"/>
      <c r="AG96" s="76"/>
      <c r="AH96" s="76"/>
    </row>
    <row r="97" spans="1:34" x14ac:dyDescent="0.15">
      <c r="A97" s="53" t="s">
        <v>41</v>
      </c>
      <c r="B97" s="53" t="s">
        <v>157</v>
      </c>
      <c r="C97" s="62">
        <v>2019</v>
      </c>
      <c r="D97" s="63" t="s">
        <v>183</v>
      </c>
      <c r="E97" s="53" t="s">
        <v>201</v>
      </c>
      <c r="F97" s="53" t="s">
        <v>202</v>
      </c>
      <c r="G97" s="53" t="s">
        <v>42</v>
      </c>
      <c r="H97" s="53" t="s">
        <v>160</v>
      </c>
      <c r="I97" s="53" t="s">
        <v>159</v>
      </c>
      <c r="J97" s="53" t="s">
        <v>38</v>
      </c>
      <c r="K97" s="53" t="s">
        <v>161</v>
      </c>
      <c r="L97" s="53">
        <v>3</v>
      </c>
      <c r="N97" s="53">
        <v>4</v>
      </c>
      <c r="O97" s="53">
        <v>0.25</v>
      </c>
      <c r="P97" s="53">
        <v>0.25</v>
      </c>
      <c r="Q97" s="72">
        <f t="shared" si="3"/>
        <v>0.25</v>
      </c>
      <c r="R97" s="53">
        <v>14.1</v>
      </c>
      <c r="S97" s="53">
        <v>120</v>
      </c>
      <c r="T97" s="38">
        <f t="shared" si="4"/>
        <v>30</v>
      </c>
      <c r="U97" s="53">
        <v>518</v>
      </c>
      <c r="V97" s="16">
        <f t="shared" si="5"/>
        <v>3885</v>
      </c>
      <c r="W97" s="53">
        <v>2</v>
      </c>
      <c r="X97" s="53" t="s">
        <v>46</v>
      </c>
      <c r="Y97" s="53" t="s">
        <v>69</v>
      </c>
      <c r="Z97" s="53" t="s">
        <v>64</v>
      </c>
      <c r="AA97" s="53" t="s">
        <v>97</v>
      </c>
      <c r="AB97" s="53" t="s">
        <v>158</v>
      </c>
      <c r="AC97" s="76"/>
      <c r="AD97" s="76"/>
      <c r="AE97" s="76"/>
      <c r="AF97" s="76"/>
      <c r="AG97" s="76"/>
      <c r="AH97" s="76"/>
    </row>
    <row r="98" spans="1:34" x14ac:dyDescent="0.15">
      <c r="A98" s="53" t="s">
        <v>41</v>
      </c>
      <c r="B98" s="53" t="s">
        <v>157</v>
      </c>
      <c r="C98" s="62">
        <v>2019</v>
      </c>
      <c r="D98" s="63" t="s">
        <v>183</v>
      </c>
      <c r="E98" s="53" t="s">
        <v>201</v>
      </c>
      <c r="F98" s="53" t="s">
        <v>202</v>
      </c>
      <c r="G98" s="53" t="s">
        <v>42</v>
      </c>
      <c r="H98" s="53" t="s">
        <v>164</v>
      </c>
      <c r="I98" s="53" t="s">
        <v>159</v>
      </c>
      <c r="J98" s="53" t="s">
        <v>38</v>
      </c>
      <c r="K98" s="53" t="s">
        <v>161</v>
      </c>
      <c r="L98" s="53">
        <v>1</v>
      </c>
      <c r="N98" s="53">
        <v>1</v>
      </c>
      <c r="O98" s="53">
        <v>0.6</v>
      </c>
      <c r="P98" s="53">
        <v>0.45</v>
      </c>
      <c r="Q98" s="72">
        <f t="shared" si="3"/>
        <v>0.52500000000000002</v>
      </c>
      <c r="R98" s="53">
        <v>12.2</v>
      </c>
      <c r="S98" s="53">
        <v>128</v>
      </c>
      <c r="T98" s="38">
        <f t="shared" si="4"/>
        <v>27</v>
      </c>
      <c r="U98" s="53">
        <v>138</v>
      </c>
      <c r="V98" s="38">
        <f t="shared" si="5"/>
        <v>3726</v>
      </c>
      <c r="W98" s="53">
        <v>3</v>
      </c>
      <c r="X98" s="53" t="s">
        <v>46</v>
      </c>
      <c r="Y98" s="53" t="s">
        <v>69</v>
      </c>
      <c r="Z98" s="53" t="s">
        <v>64</v>
      </c>
      <c r="AA98" s="53" t="s">
        <v>97</v>
      </c>
      <c r="AB98" s="53" t="s">
        <v>158</v>
      </c>
      <c r="AC98" s="76"/>
      <c r="AD98" s="76"/>
      <c r="AE98" s="76"/>
      <c r="AF98" s="76"/>
      <c r="AG98" s="76"/>
      <c r="AH98" s="76"/>
    </row>
    <row r="99" spans="1:34" x14ac:dyDescent="0.15">
      <c r="A99" s="53" t="s">
        <v>41</v>
      </c>
      <c r="B99" s="53" t="s">
        <v>157</v>
      </c>
      <c r="C99" s="62">
        <v>2019</v>
      </c>
      <c r="D99" s="63" t="s">
        <v>183</v>
      </c>
      <c r="E99" s="53" t="s">
        <v>201</v>
      </c>
      <c r="F99" s="53" t="s">
        <v>202</v>
      </c>
      <c r="G99" s="53" t="s">
        <v>42</v>
      </c>
      <c r="H99" s="53" t="s">
        <v>164</v>
      </c>
      <c r="I99" s="53" t="s">
        <v>159</v>
      </c>
      <c r="J99" s="53" t="s">
        <v>38</v>
      </c>
      <c r="K99" s="53" t="s">
        <v>161</v>
      </c>
      <c r="L99" s="53">
        <v>2</v>
      </c>
      <c r="N99" s="53">
        <v>1</v>
      </c>
      <c r="O99" s="53">
        <v>0.4</v>
      </c>
      <c r="P99" s="53">
        <v>0.35</v>
      </c>
      <c r="Q99" s="72">
        <f t="shared" si="3"/>
        <v>0.375</v>
      </c>
      <c r="R99" s="53">
        <v>13</v>
      </c>
      <c r="S99" s="53">
        <v>125</v>
      </c>
      <c r="T99" s="38">
        <f t="shared" si="4"/>
        <v>27</v>
      </c>
      <c r="U99" s="53">
        <v>138</v>
      </c>
      <c r="V99" s="38">
        <f t="shared" si="5"/>
        <v>3726</v>
      </c>
      <c r="W99" s="53">
        <v>3</v>
      </c>
      <c r="X99" s="53" t="s">
        <v>46</v>
      </c>
      <c r="Y99" s="53" t="s">
        <v>69</v>
      </c>
      <c r="Z99" s="53" t="s">
        <v>64</v>
      </c>
      <c r="AA99" s="53" t="s">
        <v>97</v>
      </c>
      <c r="AB99" s="53" t="s">
        <v>158</v>
      </c>
      <c r="AC99" s="76"/>
      <c r="AD99" s="76"/>
      <c r="AE99" s="76"/>
      <c r="AF99" s="76"/>
      <c r="AG99" s="76"/>
      <c r="AH99" s="76"/>
    </row>
    <row r="100" spans="1:34" x14ac:dyDescent="0.15">
      <c r="A100" s="53" t="s">
        <v>41</v>
      </c>
      <c r="B100" s="53" t="s">
        <v>157</v>
      </c>
      <c r="C100" s="62">
        <v>2019</v>
      </c>
      <c r="D100" s="63" t="s">
        <v>183</v>
      </c>
      <c r="E100" s="53" t="s">
        <v>201</v>
      </c>
      <c r="F100" s="53" t="s">
        <v>202</v>
      </c>
      <c r="G100" s="53" t="s">
        <v>42</v>
      </c>
      <c r="H100" s="53" t="s">
        <v>164</v>
      </c>
      <c r="I100" s="53" t="s">
        <v>159</v>
      </c>
      <c r="J100" s="53" t="s">
        <v>38</v>
      </c>
      <c r="K100" s="53" t="s">
        <v>161</v>
      </c>
      <c r="L100" s="53">
        <v>3</v>
      </c>
      <c r="N100" s="53">
        <v>1</v>
      </c>
      <c r="O100" s="53">
        <v>0.5</v>
      </c>
      <c r="P100" s="53">
        <v>0.4</v>
      </c>
      <c r="Q100" s="72">
        <f t="shared" si="3"/>
        <v>0.45</v>
      </c>
      <c r="R100" s="53">
        <v>12.1</v>
      </c>
      <c r="S100" s="53">
        <v>126</v>
      </c>
      <c r="T100" s="38">
        <f t="shared" si="4"/>
        <v>27</v>
      </c>
      <c r="U100" s="53">
        <v>138</v>
      </c>
      <c r="V100" s="38">
        <f t="shared" si="5"/>
        <v>3726</v>
      </c>
      <c r="W100" s="53">
        <v>3</v>
      </c>
      <c r="X100" s="53" t="s">
        <v>46</v>
      </c>
      <c r="Y100" s="53" t="s">
        <v>69</v>
      </c>
      <c r="Z100" s="53" t="s">
        <v>64</v>
      </c>
      <c r="AA100" s="53" t="s">
        <v>97</v>
      </c>
      <c r="AB100" s="53" t="s">
        <v>158</v>
      </c>
      <c r="AC100" s="76"/>
      <c r="AD100" s="76"/>
      <c r="AE100" s="76"/>
      <c r="AF100" s="76"/>
      <c r="AG100" s="76"/>
      <c r="AH100" s="76"/>
    </row>
    <row r="101" spans="1:34" x14ac:dyDescent="0.15">
      <c r="A101" s="53" t="s">
        <v>41</v>
      </c>
      <c r="B101" s="53" t="s">
        <v>157</v>
      </c>
      <c r="C101" s="62">
        <v>2019</v>
      </c>
      <c r="D101" s="63" t="s">
        <v>183</v>
      </c>
      <c r="E101" s="53" t="s">
        <v>201</v>
      </c>
      <c r="F101" s="53" t="s">
        <v>202</v>
      </c>
      <c r="G101" s="53" t="s">
        <v>42</v>
      </c>
      <c r="H101" s="53" t="s">
        <v>164</v>
      </c>
      <c r="I101" s="53" t="s">
        <v>159</v>
      </c>
      <c r="J101" s="53" t="s">
        <v>38</v>
      </c>
      <c r="K101" s="53" t="s">
        <v>161</v>
      </c>
      <c r="L101" s="53">
        <v>1</v>
      </c>
      <c r="N101" s="53">
        <v>5</v>
      </c>
      <c r="O101" s="53">
        <v>0.35</v>
      </c>
      <c r="P101" s="53">
        <v>0.3</v>
      </c>
      <c r="Q101" s="75">
        <f t="shared" si="3"/>
        <v>0.32499999999999996</v>
      </c>
      <c r="R101" s="53">
        <v>13.5</v>
      </c>
      <c r="S101" s="53">
        <v>120</v>
      </c>
      <c r="T101" s="16">
        <f t="shared" si="4"/>
        <v>30</v>
      </c>
      <c r="U101" s="53">
        <v>410</v>
      </c>
      <c r="V101" s="16">
        <f t="shared" si="5"/>
        <v>2460</v>
      </c>
      <c r="W101" s="53">
        <v>2</v>
      </c>
      <c r="X101" s="53" t="s">
        <v>46</v>
      </c>
      <c r="Y101" s="53" t="s">
        <v>69</v>
      </c>
      <c r="Z101" s="53" t="s">
        <v>64</v>
      </c>
      <c r="AA101" s="53" t="s">
        <v>97</v>
      </c>
      <c r="AB101" s="53" t="s">
        <v>158</v>
      </c>
      <c r="AC101" s="76"/>
      <c r="AD101" s="76"/>
      <c r="AE101" s="76"/>
      <c r="AF101" s="76"/>
      <c r="AG101" s="76"/>
      <c r="AH101" s="76"/>
    </row>
    <row r="102" spans="1:34" x14ac:dyDescent="0.15">
      <c r="A102" s="53" t="s">
        <v>41</v>
      </c>
      <c r="B102" s="53" t="s">
        <v>157</v>
      </c>
      <c r="C102" s="62">
        <v>2019</v>
      </c>
      <c r="D102" s="63" t="s">
        <v>183</v>
      </c>
      <c r="E102" s="53" t="s">
        <v>201</v>
      </c>
      <c r="F102" s="53" t="s">
        <v>202</v>
      </c>
      <c r="G102" s="53" t="s">
        <v>42</v>
      </c>
      <c r="H102" s="53" t="s">
        <v>164</v>
      </c>
      <c r="I102" s="53" t="s">
        <v>159</v>
      </c>
      <c r="J102" s="53" t="s">
        <v>38</v>
      </c>
      <c r="K102" s="53" t="s">
        <v>161</v>
      </c>
      <c r="L102" s="53">
        <v>2</v>
      </c>
      <c r="N102" s="53">
        <v>5</v>
      </c>
      <c r="O102" s="53">
        <v>0.4</v>
      </c>
      <c r="P102" s="53">
        <v>0.5</v>
      </c>
      <c r="Q102" s="75">
        <f t="shared" si="3"/>
        <v>0.45</v>
      </c>
      <c r="R102" s="53">
        <v>16</v>
      </c>
      <c r="S102" s="53">
        <v>115</v>
      </c>
      <c r="T102" s="16">
        <f t="shared" si="4"/>
        <v>30</v>
      </c>
      <c r="U102" s="53">
        <v>410</v>
      </c>
      <c r="V102" s="16">
        <f t="shared" si="5"/>
        <v>2460</v>
      </c>
      <c r="W102" s="53">
        <v>2</v>
      </c>
      <c r="X102" s="53" t="s">
        <v>46</v>
      </c>
      <c r="Y102" s="53" t="s">
        <v>69</v>
      </c>
      <c r="Z102" s="53" t="s">
        <v>64</v>
      </c>
      <c r="AA102" s="53" t="s">
        <v>97</v>
      </c>
      <c r="AB102" s="53" t="s">
        <v>158</v>
      </c>
      <c r="AC102" s="76"/>
      <c r="AD102" s="76"/>
      <c r="AE102" s="76"/>
      <c r="AF102" s="76"/>
      <c r="AG102" s="76"/>
      <c r="AH102" s="76"/>
    </row>
    <row r="103" spans="1:34" x14ac:dyDescent="0.15">
      <c r="A103" s="53" t="s">
        <v>41</v>
      </c>
      <c r="B103" s="53" t="s">
        <v>157</v>
      </c>
      <c r="C103" s="62">
        <v>2019</v>
      </c>
      <c r="D103" s="63" t="s">
        <v>183</v>
      </c>
      <c r="E103" s="53" t="s">
        <v>201</v>
      </c>
      <c r="F103" s="53" t="s">
        <v>202</v>
      </c>
      <c r="G103" s="53" t="s">
        <v>42</v>
      </c>
      <c r="H103" s="53" t="s">
        <v>164</v>
      </c>
      <c r="I103" s="53" t="s">
        <v>159</v>
      </c>
      <c r="J103" s="53" t="s">
        <v>38</v>
      </c>
      <c r="K103" s="53" t="s">
        <v>161</v>
      </c>
      <c r="L103" s="53">
        <v>3</v>
      </c>
      <c r="N103" s="53">
        <v>5</v>
      </c>
      <c r="O103" s="53">
        <v>0.3</v>
      </c>
      <c r="P103" s="53">
        <v>0.3</v>
      </c>
      <c r="Q103" s="75">
        <f t="shared" si="3"/>
        <v>0.3</v>
      </c>
      <c r="R103" s="53">
        <v>14.8</v>
      </c>
      <c r="S103" s="53">
        <v>120</v>
      </c>
      <c r="T103" s="16">
        <f t="shared" si="4"/>
        <v>30</v>
      </c>
      <c r="U103" s="53">
        <v>410</v>
      </c>
      <c r="V103" s="16">
        <f t="shared" si="5"/>
        <v>2460</v>
      </c>
      <c r="W103" s="53">
        <v>2</v>
      </c>
      <c r="X103" s="53" t="s">
        <v>46</v>
      </c>
      <c r="Y103" s="53" t="s">
        <v>69</v>
      </c>
      <c r="Z103" s="53" t="s">
        <v>64</v>
      </c>
      <c r="AA103" s="53" t="s">
        <v>97</v>
      </c>
      <c r="AB103" s="53" t="s">
        <v>158</v>
      </c>
      <c r="AC103" s="76"/>
      <c r="AD103" s="76"/>
      <c r="AE103" s="76"/>
      <c r="AF103" s="76"/>
      <c r="AG103" s="76"/>
      <c r="AH103" s="76"/>
    </row>
    <row r="104" spans="1:34" x14ac:dyDescent="0.15">
      <c r="A104" s="53" t="s">
        <v>41</v>
      </c>
      <c r="B104" s="53" t="s">
        <v>157</v>
      </c>
      <c r="C104" s="62">
        <v>2019</v>
      </c>
      <c r="D104" s="63" t="s">
        <v>183</v>
      </c>
      <c r="E104" s="53" t="s">
        <v>201</v>
      </c>
      <c r="F104" s="53" t="s">
        <v>208</v>
      </c>
      <c r="G104" s="53" t="s">
        <v>42</v>
      </c>
      <c r="H104" s="53" t="s">
        <v>160</v>
      </c>
      <c r="I104" s="53" t="s">
        <v>159</v>
      </c>
      <c r="J104" s="53" t="s">
        <v>38</v>
      </c>
      <c r="K104" s="53" t="s">
        <v>161</v>
      </c>
      <c r="L104" s="53">
        <v>1</v>
      </c>
      <c r="N104" s="53">
        <v>1</v>
      </c>
      <c r="O104" s="53">
        <v>0.65</v>
      </c>
      <c r="P104" s="53">
        <v>0.3</v>
      </c>
      <c r="Q104" s="75">
        <v>0.47499999999999998</v>
      </c>
      <c r="R104" s="53">
        <v>12.6</v>
      </c>
      <c r="S104" s="53">
        <v>122</v>
      </c>
      <c r="T104" s="16">
        <v>27</v>
      </c>
      <c r="U104" s="53">
        <v>138</v>
      </c>
      <c r="V104" s="16">
        <v>3726</v>
      </c>
      <c r="W104" s="53">
        <v>2</v>
      </c>
      <c r="X104" s="53" t="s">
        <v>46</v>
      </c>
      <c r="Y104" s="53" t="s">
        <v>55</v>
      </c>
      <c r="Z104" s="53" t="s">
        <v>69</v>
      </c>
      <c r="AA104" s="53" t="s">
        <v>64</v>
      </c>
      <c r="AB104" s="53" t="s">
        <v>158</v>
      </c>
      <c r="AC104" s="76"/>
      <c r="AD104" s="76"/>
      <c r="AE104" s="76"/>
      <c r="AF104" s="76"/>
      <c r="AG104" s="76"/>
      <c r="AH104" s="76"/>
    </row>
    <row r="105" spans="1:34" x14ac:dyDescent="0.15">
      <c r="A105" s="53" t="s">
        <v>41</v>
      </c>
      <c r="B105" s="53" t="s">
        <v>157</v>
      </c>
      <c r="C105" s="62">
        <v>2019</v>
      </c>
      <c r="D105" s="63" t="s">
        <v>183</v>
      </c>
      <c r="E105" s="53" t="s">
        <v>201</v>
      </c>
      <c r="F105" s="53" t="s">
        <v>208</v>
      </c>
      <c r="G105" s="53" t="s">
        <v>42</v>
      </c>
      <c r="H105" s="53" t="s">
        <v>160</v>
      </c>
      <c r="I105" s="53" t="s">
        <v>159</v>
      </c>
      <c r="J105" s="53" t="s">
        <v>38</v>
      </c>
      <c r="K105" s="53" t="s">
        <v>161</v>
      </c>
      <c r="L105" s="53">
        <v>2</v>
      </c>
      <c r="N105" s="53">
        <v>1</v>
      </c>
      <c r="O105" s="53">
        <v>0.85</v>
      </c>
      <c r="P105" s="53">
        <v>0.8</v>
      </c>
      <c r="Q105" s="75">
        <v>0.82499999999999996</v>
      </c>
      <c r="R105" s="53">
        <v>13.2</v>
      </c>
      <c r="S105" s="53">
        <v>124</v>
      </c>
      <c r="T105" s="16">
        <v>27</v>
      </c>
      <c r="U105" s="53">
        <v>138</v>
      </c>
      <c r="V105" s="16">
        <v>3726</v>
      </c>
      <c r="W105" s="53">
        <v>2</v>
      </c>
      <c r="X105" s="53" t="s">
        <v>46</v>
      </c>
      <c r="Y105" s="53" t="s">
        <v>55</v>
      </c>
      <c r="Z105" s="53" t="s">
        <v>69</v>
      </c>
      <c r="AA105" s="53" t="s">
        <v>64</v>
      </c>
      <c r="AB105" s="53" t="s">
        <v>158</v>
      </c>
      <c r="AC105" s="76"/>
      <c r="AD105" s="76"/>
      <c r="AE105" s="76"/>
      <c r="AF105" s="76"/>
      <c r="AG105" s="76"/>
      <c r="AH105" s="76"/>
    </row>
    <row r="106" spans="1:34" x14ac:dyDescent="0.15">
      <c r="A106" s="53" t="s">
        <v>41</v>
      </c>
      <c r="B106" s="53" t="s">
        <v>157</v>
      </c>
      <c r="C106" s="62">
        <v>2019</v>
      </c>
      <c r="D106" s="63" t="s">
        <v>183</v>
      </c>
      <c r="E106" s="53" t="s">
        <v>201</v>
      </c>
      <c r="F106" s="53" t="s">
        <v>208</v>
      </c>
      <c r="G106" s="53" t="s">
        <v>42</v>
      </c>
      <c r="H106" s="53" t="s">
        <v>160</v>
      </c>
      <c r="I106" s="53" t="s">
        <v>159</v>
      </c>
      <c r="J106" s="53" t="s">
        <v>38</v>
      </c>
      <c r="K106" s="53" t="s">
        <v>161</v>
      </c>
      <c r="L106" s="53">
        <v>3</v>
      </c>
      <c r="N106" s="53">
        <v>1</v>
      </c>
      <c r="O106" s="53">
        <v>0.45</v>
      </c>
      <c r="P106" s="53">
        <v>0.6</v>
      </c>
      <c r="Q106" s="75">
        <v>0.52500000000000002</v>
      </c>
      <c r="R106" s="53">
        <v>12</v>
      </c>
      <c r="S106" s="53">
        <v>126</v>
      </c>
      <c r="T106" s="16">
        <v>27</v>
      </c>
      <c r="U106" s="53">
        <v>138</v>
      </c>
      <c r="V106" s="16">
        <v>3726</v>
      </c>
      <c r="W106" s="53">
        <v>2</v>
      </c>
      <c r="X106" s="53" t="s">
        <v>46</v>
      </c>
      <c r="Y106" s="53" t="s">
        <v>55</v>
      </c>
      <c r="Z106" s="53" t="s">
        <v>69</v>
      </c>
      <c r="AA106" s="53" t="s">
        <v>64</v>
      </c>
      <c r="AB106" s="53" t="s">
        <v>158</v>
      </c>
      <c r="AC106" s="76"/>
      <c r="AD106" s="76"/>
      <c r="AE106" s="76"/>
      <c r="AF106" s="76"/>
      <c r="AG106" s="76"/>
      <c r="AH106" s="76"/>
    </row>
    <row r="107" spans="1:34" x14ac:dyDescent="0.15">
      <c r="A107" s="53" t="s">
        <v>41</v>
      </c>
      <c r="B107" s="53" t="s">
        <v>157</v>
      </c>
      <c r="C107" s="62">
        <v>2019</v>
      </c>
      <c r="D107" s="63" t="s">
        <v>183</v>
      </c>
      <c r="E107" s="53" t="s">
        <v>201</v>
      </c>
      <c r="F107" s="53" t="s">
        <v>208</v>
      </c>
      <c r="G107" s="53" t="s">
        <v>42</v>
      </c>
      <c r="H107" s="53" t="s">
        <v>160</v>
      </c>
      <c r="I107" s="53" t="s">
        <v>159</v>
      </c>
      <c r="J107" s="53" t="s">
        <v>38</v>
      </c>
      <c r="K107" s="53" t="s">
        <v>161</v>
      </c>
      <c r="L107" s="53">
        <v>1</v>
      </c>
      <c r="N107" s="53">
        <v>4</v>
      </c>
      <c r="O107" s="53">
        <v>1.2</v>
      </c>
      <c r="P107" s="53">
        <v>0.95</v>
      </c>
      <c r="Q107" s="75">
        <v>1.075</v>
      </c>
      <c r="R107" s="53">
        <v>11.4</v>
      </c>
      <c r="S107" s="53">
        <v>120</v>
      </c>
      <c r="T107" s="16">
        <v>30</v>
      </c>
      <c r="U107" s="53">
        <v>410</v>
      </c>
      <c r="V107" s="16">
        <v>2460</v>
      </c>
      <c r="W107" s="53">
        <v>2</v>
      </c>
      <c r="X107" s="53" t="s">
        <v>46</v>
      </c>
      <c r="Y107" s="53" t="s">
        <v>55</v>
      </c>
      <c r="Z107" s="53" t="s">
        <v>69</v>
      </c>
      <c r="AA107" s="53" t="s">
        <v>64</v>
      </c>
      <c r="AB107" s="53" t="s">
        <v>158</v>
      </c>
      <c r="AC107" s="76"/>
      <c r="AD107" s="76"/>
      <c r="AE107" s="76"/>
      <c r="AF107" s="76"/>
      <c r="AG107" s="76"/>
      <c r="AH107" s="76"/>
    </row>
    <row r="108" spans="1:34" x14ac:dyDescent="0.15">
      <c r="A108" s="53" t="s">
        <v>41</v>
      </c>
      <c r="B108" s="53" t="s">
        <v>157</v>
      </c>
      <c r="C108" s="62">
        <v>2019</v>
      </c>
      <c r="D108" s="63" t="s">
        <v>183</v>
      </c>
      <c r="E108" s="53" t="s">
        <v>201</v>
      </c>
      <c r="F108" s="53" t="s">
        <v>208</v>
      </c>
      <c r="G108" s="53" t="s">
        <v>42</v>
      </c>
      <c r="H108" s="53" t="s">
        <v>160</v>
      </c>
      <c r="I108" s="53" t="s">
        <v>159</v>
      </c>
      <c r="J108" s="53" t="s">
        <v>38</v>
      </c>
      <c r="K108" s="53" t="s">
        <v>161</v>
      </c>
      <c r="L108" s="53">
        <v>2</v>
      </c>
      <c r="N108" s="53">
        <v>4</v>
      </c>
      <c r="O108" s="53">
        <v>1</v>
      </c>
      <c r="P108" s="53">
        <v>0.9</v>
      </c>
      <c r="Q108" s="75">
        <v>0.95</v>
      </c>
      <c r="R108" s="53">
        <v>15.2</v>
      </c>
      <c r="S108" s="53">
        <v>115</v>
      </c>
      <c r="T108" s="16">
        <v>30</v>
      </c>
      <c r="U108" s="53">
        <v>410</v>
      </c>
      <c r="V108" s="16">
        <v>2460</v>
      </c>
      <c r="W108" s="53">
        <v>2</v>
      </c>
      <c r="X108" s="53" t="s">
        <v>46</v>
      </c>
      <c r="Y108" s="53" t="s">
        <v>55</v>
      </c>
      <c r="Z108" s="53" t="s">
        <v>69</v>
      </c>
      <c r="AA108" s="53" t="s">
        <v>64</v>
      </c>
      <c r="AB108" s="53" t="s">
        <v>158</v>
      </c>
      <c r="AC108" s="76"/>
      <c r="AD108" s="76"/>
      <c r="AE108" s="76"/>
      <c r="AF108" s="76"/>
      <c r="AG108" s="76"/>
      <c r="AH108" s="76"/>
    </row>
    <row r="109" spans="1:34" x14ac:dyDescent="0.15">
      <c r="A109" s="53" t="s">
        <v>41</v>
      </c>
      <c r="B109" s="53" t="s">
        <v>157</v>
      </c>
      <c r="C109" s="62">
        <v>2019</v>
      </c>
      <c r="D109" s="63" t="s">
        <v>183</v>
      </c>
      <c r="E109" s="53" t="s">
        <v>201</v>
      </c>
      <c r="F109" s="53" t="s">
        <v>208</v>
      </c>
      <c r="G109" s="53" t="s">
        <v>42</v>
      </c>
      <c r="H109" s="53" t="s">
        <v>160</v>
      </c>
      <c r="I109" s="53" t="s">
        <v>159</v>
      </c>
      <c r="J109" s="53" t="s">
        <v>38</v>
      </c>
      <c r="K109" s="53" t="s">
        <v>161</v>
      </c>
      <c r="L109" s="53">
        <v>3</v>
      </c>
      <c r="N109" s="53">
        <v>4</v>
      </c>
      <c r="O109" s="53">
        <v>1.1499999999999999</v>
      </c>
      <c r="P109" s="53">
        <v>1.2</v>
      </c>
      <c r="Q109" s="75">
        <v>1.175</v>
      </c>
      <c r="R109" s="53">
        <v>13.6</v>
      </c>
      <c r="S109" s="53">
        <v>121</v>
      </c>
      <c r="T109" s="16">
        <v>27</v>
      </c>
      <c r="U109" s="53">
        <v>410</v>
      </c>
      <c r="V109" s="16">
        <v>2214</v>
      </c>
      <c r="W109" s="53">
        <v>2</v>
      </c>
      <c r="X109" s="53" t="s">
        <v>46</v>
      </c>
      <c r="Y109" s="53" t="s">
        <v>55</v>
      </c>
      <c r="Z109" s="53" t="s">
        <v>69</v>
      </c>
      <c r="AA109" s="53" t="s">
        <v>64</v>
      </c>
      <c r="AB109" s="53" t="s">
        <v>158</v>
      </c>
      <c r="AC109" s="76"/>
      <c r="AD109" s="76"/>
      <c r="AE109" s="76"/>
      <c r="AF109" s="76"/>
      <c r="AG109" s="76"/>
      <c r="AH109" s="76"/>
    </row>
    <row r="110" spans="1:34" x14ac:dyDescent="0.15">
      <c r="A110" s="53" t="s">
        <v>41</v>
      </c>
      <c r="B110" s="53" t="s">
        <v>157</v>
      </c>
      <c r="C110" s="62">
        <v>2019</v>
      </c>
      <c r="D110" s="63" t="s">
        <v>183</v>
      </c>
      <c r="E110" s="53" t="s">
        <v>201</v>
      </c>
      <c r="F110" s="53" t="s">
        <v>208</v>
      </c>
      <c r="G110" s="53" t="s">
        <v>42</v>
      </c>
      <c r="H110" s="53" t="s">
        <v>160</v>
      </c>
      <c r="I110" s="53" t="s">
        <v>159</v>
      </c>
      <c r="J110" s="53" t="s">
        <v>38</v>
      </c>
      <c r="K110" s="53" t="s">
        <v>161</v>
      </c>
      <c r="L110" s="53">
        <v>1</v>
      </c>
      <c r="N110" s="53">
        <v>3</v>
      </c>
      <c r="O110" s="53">
        <v>1</v>
      </c>
      <c r="P110" s="53">
        <v>0.8</v>
      </c>
      <c r="Q110" s="75">
        <v>0.9</v>
      </c>
      <c r="R110" s="53">
        <v>12</v>
      </c>
      <c r="S110" s="53">
        <v>110</v>
      </c>
      <c r="T110" s="16">
        <v>33</v>
      </c>
      <c r="U110" s="53">
        <v>626</v>
      </c>
      <c r="V110" s="16">
        <v>2582.25</v>
      </c>
      <c r="W110" s="53">
        <v>2</v>
      </c>
      <c r="X110" s="53" t="s">
        <v>46</v>
      </c>
      <c r="Y110" s="53" t="s">
        <v>55</v>
      </c>
      <c r="Z110" s="53" t="s">
        <v>69</v>
      </c>
      <c r="AA110" s="53" t="s">
        <v>64</v>
      </c>
      <c r="AB110" s="53" t="s">
        <v>158</v>
      </c>
      <c r="AC110" s="76"/>
      <c r="AD110" s="76"/>
      <c r="AE110" s="76"/>
      <c r="AF110" s="76"/>
      <c r="AG110" s="76"/>
      <c r="AH110" s="76"/>
    </row>
    <row r="111" spans="1:34" x14ac:dyDescent="0.15">
      <c r="A111" s="53" t="s">
        <v>41</v>
      </c>
      <c r="B111" s="53" t="s">
        <v>157</v>
      </c>
      <c r="C111" s="62">
        <v>2019</v>
      </c>
      <c r="D111" s="63" t="s">
        <v>183</v>
      </c>
      <c r="E111" s="53" t="s">
        <v>201</v>
      </c>
      <c r="F111" s="53" t="s">
        <v>208</v>
      </c>
      <c r="G111" s="53" t="s">
        <v>42</v>
      </c>
      <c r="H111" s="53" t="s">
        <v>160</v>
      </c>
      <c r="I111" s="53" t="s">
        <v>159</v>
      </c>
      <c r="J111" s="53" t="s">
        <v>38</v>
      </c>
      <c r="K111" s="53" t="s">
        <v>161</v>
      </c>
      <c r="L111" s="53">
        <v>2</v>
      </c>
      <c r="N111" s="53">
        <v>3</v>
      </c>
      <c r="O111" s="53">
        <v>0.95</v>
      </c>
      <c r="P111" s="53">
        <v>1</v>
      </c>
      <c r="Q111" s="75">
        <v>0.97499999999999998</v>
      </c>
      <c r="R111" s="53">
        <v>14</v>
      </c>
      <c r="S111" s="53">
        <v>114</v>
      </c>
      <c r="T111" s="16">
        <v>30</v>
      </c>
      <c r="U111" s="53">
        <v>626</v>
      </c>
      <c r="V111" s="16">
        <v>2347.5</v>
      </c>
      <c r="W111" s="53">
        <v>2</v>
      </c>
      <c r="X111" s="53" t="s">
        <v>46</v>
      </c>
      <c r="Y111" s="53" t="s">
        <v>55</v>
      </c>
      <c r="Z111" s="53" t="s">
        <v>69</v>
      </c>
      <c r="AA111" s="53" t="s">
        <v>64</v>
      </c>
      <c r="AB111" s="53" t="s">
        <v>158</v>
      </c>
      <c r="AC111" s="76"/>
      <c r="AD111" s="76"/>
      <c r="AE111" s="76"/>
      <c r="AF111" s="76"/>
      <c r="AG111" s="76"/>
      <c r="AH111" s="76"/>
    </row>
    <row r="112" spans="1:34" x14ac:dyDescent="0.15">
      <c r="A112" s="53" t="s">
        <v>41</v>
      </c>
      <c r="B112" s="53" t="s">
        <v>157</v>
      </c>
      <c r="C112" s="62">
        <v>2019</v>
      </c>
      <c r="D112" s="63" t="s">
        <v>183</v>
      </c>
      <c r="E112" s="53" t="s">
        <v>201</v>
      </c>
      <c r="F112" s="53" t="s">
        <v>208</v>
      </c>
      <c r="G112" s="53" t="s">
        <v>42</v>
      </c>
      <c r="H112" s="53" t="s">
        <v>160</v>
      </c>
      <c r="I112" s="53" t="s">
        <v>159</v>
      </c>
      <c r="J112" s="53" t="s">
        <v>38</v>
      </c>
      <c r="K112" s="53" t="s">
        <v>161</v>
      </c>
      <c r="L112" s="53">
        <v>3</v>
      </c>
      <c r="N112" s="53">
        <v>3</v>
      </c>
      <c r="O112" s="53">
        <v>0.85</v>
      </c>
      <c r="P112" s="53">
        <v>0.9</v>
      </c>
      <c r="Q112" s="75">
        <v>0.875</v>
      </c>
      <c r="R112" s="53">
        <v>14.2</v>
      </c>
      <c r="S112" s="53">
        <v>113</v>
      </c>
      <c r="T112" s="16">
        <v>30</v>
      </c>
      <c r="U112" s="53">
        <v>626</v>
      </c>
      <c r="V112" s="16">
        <v>2347.5</v>
      </c>
      <c r="W112" s="53">
        <v>2</v>
      </c>
      <c r="X112" s="53" t="s">
        <v>46</v>
      </c>
      <c r="Y112" s="53" t="s">
        <v>55</v>
      </c>
      <c r="Z112" s="53" t="s">
        <v>69</v>
      </c>
      <c r="AA112" s="53" t="s">
        <v>64</v>
      </c>
      <c r="AB112" s="53" t="s">
        <v>158</v>
      </c>
      <c r="AC112" s="76"/>
      <c r="AD112" s="76"/>
      <c r="AE112" s="76"/>
      <c r="AF112" s="76"/>
      <c r="AG112" s="76"/>
      <c r="AH112" s="76"/>
    </row>
    <row r="113" spans="1:34" x14ac:dyDescent="0.15">
      <c r="A113" s="53" t="s">
        <v>41</v>
      </c>
      <c r="B113" s="53" t="s">
        <v>157</v>
      </c>
      <c r="C113" s="62">
        <v>2019</v>
      </c>
      <c r="D113" s="63" t="s">
        <v>183</v>
      </c>
      <c r="E113" s="53" t="s">
        <v>201</v>
      </c>
      <c r="F113" s="53" t="s">
        <v>208</v>
      </c>
      <c r="G113" s="53" t="s">
        <v>42</v>
      </c>
      <c r="H113" s="53" t="s">
        <v>160</v>
      </c>
      <c r="I113" s="53" t="s">
        <v>159</v>
      </c>
      <c r="J113" s="53" t="s">
        <v>38</v>
      </c>
      <c r="K113" s="53" t="s">
        <v>161</v>
      </c>
      <c r="L113" s="53">
        <v>1</v>
      </c>
      <c r="N113" s="53">
        <v>7</v>
      </c>
      <c r="O113" s="53">
        <v>0.7</v>
      </c>
      <c r="P113" s="53">
        <v>0.65</v>
      </c>
      <c r="Q113" s="75">
        <v>0.67500000000000004</v>
      </c>
      <c r="R113" s="53">
        <v>13.5</v>
      </c>
      <c r="S113" s="53">
        <v>123</v>
      </c>
      <c r="T113" s="16">
        <v>27</v>
      </c>
      <c r="U113" s="53">
        <v>138</v>
      </c>
      <c r="V113" s="16">
        <v>3726</v>
      </c>
      <c r="W113" s="53">
        <v>4</v>
      </c>
      <c r="X113" s="53" t="s">
        <v>46</v>
      </c>
      <c r="Y113" s="53" t="s">
        <v>55</v>
      </c>
      <c r="Z113" s="53" t="s">
        <v>69</v>
      </c>
      <c r="AA113" s="53" t="s">
        <v>64</v>
      </c>
      <c r="AB113" s="53" t="s">
        <v>158</v>
      </c>
      <c r="AC113" s="76"/>
      <c r="AD113" s="76"/>
      <c r="AE113" s="76"/>
      <c r="AF113" s="76"/>
      <c r="AG113" s="76"/>
      <c r="AH113" s="76"/>
    </row>
    <row r="114" spans="1:34" x14ac:dyDescent="0.15">
      <c r="A114" s="53" t="s">
        <v>41</v>
      </c>
      <c r="B114" s="53" t="s">
        <v>157</v>
      </c>
      <c r="C114" s="62">
        <v>2019</v>
      </c>
      <c r="D114" s="63" t="s">
        <v>183</v>
      </c>
      <c r="E114" s="53" t="s">
        <v>201</v>
      </c>
      <c r="F114" s="53" t="s">
        <v>208</v>
      </c>
      <c r="G114" s="53" t="s">
        <v>42</v>
      </c>
      <c r="H114" s="53" t="s">
        <v>160</v>
      </c>
      <c r="I114" s="53" t="s">
        <v>159</v>
      </c>
      <c r="J114" s="53" t="s">
        <v>38</v>
      </c>
      <c r="K114" s="53" t="s">
        <v>161</v>
      </c>
      <c r="L114" s="53">
        <v>2</v>
      </c>
      <c r="N114" s="53">
        <v>7</v>
      </c>
      <c r="O114" s="53">
        <v>0.5</v>
      </c>
      <c r="P114" s="53">
        <v>0.65</v>
      </c>
      <c r="Q114" s="75">
        <v>0.57499999999999996</v>
      </c>
      <c r="R114" s="53">
        <v>16</v>
      </c>
      <c r="S114" s="53">
        <v>122</v>
      </c>
      <c r="T114" s="16">
        <v>27</v>
      </c>
      <c r="U114" s="53">
        <v>138</v>
      </c>
      <c r="V114" s="16">
        <v>3726</v>
      </c>
      <c r="W114" s="53">
        <v>4</v>
      </c>
      <c r="X114" s="53" t="s">
        <v>46</v>
      </c>
      <c r="Y114" s="53" t="s">
        <v>55</v>
      </c>
      <c r="Z114" s="53" t="s">
        <v>69</v>
      </c>
      <c r="AA114" s="53" t="s">
        <v>64</v>
      </c>
      <c r="AB114" s="53" t="s">
        <v>158</v>
      </c>
      <c r="AC114" s="76"/>
      <c r="AD114" s="76"/>
      <c r="AE114" s="76"/>
      <c r="AF114" s="76"/>
      <c r="AG114" s="76"/>
      <c r="AH114" s="76"/>
    </row>
    <row r="115" spans="1:34" x14ac:dyDescent="0.15">
      <c r="A115" s="53" t="s">
        <v>41</v>
      </c>
      <c r="B115" s="53" t="s">
        <v>157</v>
      </c>
      <c r="C115" s="62">
        <v>2019</v>
      </c>
      <c r="D115" s="63" t="s">
        <v>183</v>
      </c>
      <c r="E115" s="53" t="s">
        <v>201</v>
      </c>
      <c r="F115" s="53" t="s">
        <v>208</v>
      </c>
      <c r="G115" s="53" t="s">
        <v>42</v>
      </c>
      <c r="H115" s="53" t="s">
        <v>160</v>
      </c>
      <c r="I115" s="53" t="s">
        <v>159</v>
      </c>
      <c r="J115" s="53" t="s">
        <v>38</v>
      </c>
      <c r="K115" s="53" t="s">
        <v>161</v>
      </c>
      <c r="L115" s="53">
        <v>3</v>
      </c>
      <c r="N115" s="53">
        <v>7</v>
      </c>
      <c r="O115" s="53">
        <v>0.65</v>
      </c>
      <c r="P115" s="53">
        <v>0.45</v>
      </c>
      <c r="Q115" s="72">
        <v>0.55000000000000004</v>
      </c>
      <c r="R115" s="53">
        <v>14.7</v>
      </c>
      <c r="S115" s="53">
        <v>124</v>
      </c>
      <c r="T115" s="38">
        <v>27</v>
      </c>
      <c r="U115" s="53">
        <v>138</v>
      </c>
      <c r="V115" s="16">
        <v>3726</v>
      </c>
      <c r="W115" s="53">
        <v>4</v>
      </c>
      <c r="X115" s="53" t="s">
        <v>46</v>
      </c>
      <c r="Y115" s="53" t="s">
        <v>55</v>
      </c>
      <c r="Z115" s="53" t="s">
        <v>69</v>
      </c>
      <c r="AA115" s="53" t="s">
        <v>64</v>
      </c>
      <c r="AB115" s="53" t="s">
        <v>158</v>
      </c>
      <c r="AC115" s="76"/>
      <c r="AD115" s="76"/>
      <c r="AE115" s="76"/>
      <c r="AF115" s="76"/>
      <c r="AG115" s="76"/>
      <c r="AH115" s="76"/>
    </row>
    <row r="116" spans="1:34" x14ac:dyDescent="0.15">
      <c r="A116" s="53" t="s">
        <v>41</v>
      </c>
      <c r="B116" s="53" t="s">
        <v>157</v>
      </c>
      <c r="C116" s="62">
        <v>2019</v>
      </c>
      <c r="D116" s="63" t="s">
        <v>183</v>
      </c>
      <c r="E116" s="53" t="s">
        <v>201</v>
      </c>
      <c r="F116" s="53" t="s">
        <v>208</v>
      </c>
      <c r="G116" s="53" t="s">
        <v>42</v>
      </c>
      <c r="H116" s="53" t="s">
        <v>164</v>
      </c>
      <c r="I116" s="53" t="s">
        <v>159</v>
      </c>
      <c r="J116" s="53" t="s">
        <v>38</v>
      </c>
      <c r="K116" s="53" t="s">
        <v>161</v>
      </c>
      <c r="L116" s="53">
        <v>1</v>
      </c>
      <c r="N116" s="53">
        <v>1</v>
      </c>
      <c r="O116" s="53">
        <v>0.5</v>
      </c>
      <c r="P116" s="53">
        <v>0.5</v>
      </c>
      <c r="Q116" s="72">
        <v>0.5</v>
      </c>
      <c r="R116" s="53">
        <v>16.8</v>
      </c>
      <c r="S116" s="53">
        <v>115</v>
      </c>
      <c r="T116" s="38">
        <v>30</v>
      </c>
      <c r="U116" s="53">
        <v>518</v>
      </c>
      <c r="V116" s="16">
        <v>3885</v>
      </c>
      <c r="W116" s="53">
        <v>2</v>
      </c>
      <c r="X116" s="53" t="s">
        <v>46</v>
      </c>
      <c r="Y116" s="53" t="s">
        <v>55</v>
      </c>
      <c r="Z116" s="53" t="s">
        <v>69</v>
      </c>
      <c r="AA116" s="53" t="s">
        <v>64</v>
      </c>
      <c r="AB116" s="53" t="s">
        <v>158</v>
      </c>
      <c r="AC116" s="76"/>
      <c r="AD116" s="76"/>
      <c r="AE116" s="76"/>
      <c r="AF116" s="76"/>
      <c r="AG116" s="76"/>
      <c r="AH116" s="76"/>
    </row>
    <row r="117" spans="1:34" x14ac:dyDescent="0.15">
      <c r="A117" s="53" t="s">
        <v>41</v>
      </c>
      <c r="B117" s="53" t="s">
        <v>157</v>
      </c>
      <c r="C117" s="62">
        <v>2019</v>
      </c>
      <c r="D117" s="63" t="s">
        <v>183</v>
      </c>
      <c r="E117" s="53" t="s">
        <v>201</v>
      </c>
      <c r="F117" s="53" t="s">
        <v>208</v>
      </c>
      <c r="G117" s="53" t="s">
        <v>42</v>
      </c>
      <c r="H117" s="53" t="s">
        <v>164</v>
      </c>
      <c r="I117" s="53" t="s">
        <v>159</v>
      </c>
      <c r="J117" s="53" t="s">
        <v>38</v>
      </c>
      <c r="K117" s="53" t="s">
        <v>161</v>
      </c>
      <c r="L117" s="53">
        <v>2</v>
      </c>
      <c r="N117" s="53">
        <v>1</v>
      </c>
      <c r="O117" s="53">
        <v>0.55000000000000004</v>
      </c>
      <c r="P117" s="53">
        <v>0.45</v>
      </c>
      <c r="Q117" s="72">
        <v>0.5</v>
      </c>
      <c r="R117" s="53">
        <v>18</v>
      </c>
      <c r="S117" s="53">
        <v>117</v>
      </c>
      <c r="T117" s="38">
        <v>30</v>
      </c>
      <c r="U117" s="53">
        <v>518</v>
      </c>
      <c r="V117" s="16">
        <v>3885</v>
      </c>
      <c r="W117" s="53">
        <v>2</v>
      </c>
      <c r="X117" s="53" t="s">
        <v>46</v>
      </c>
      <c r="Y117" s="53" t="s">
        <v>55</v>
      </c>
      <c r="Z117" s="53" t="s">
        <v>69</v>
      </c>
      <c r="AA117" s="53" t="s">
        <v>64</v>
      </c>
      <c r="AB117" s="53" t="s">
        <v>158</v>
      </c>
      <c r="AC117" s="76"/>
      <c r="AD117" s="76"/>
      <c r="AE117" s="76"/>
      <c r="AF117" s="76"/>
      <c r="AG117" s="76"/>
      <c r="AH117" s="76"/>
    </row>
    <row r="118" spans="1:34" x14ac:dyDescent="0.15">
      <c r="A118" s="53" t="s">
        <v>41</v>
      </c>
      <c r="B118" s="53" t="s">
        <v>157</v>
      </c>
      <c r="C118" s="62">
        <v>2019</v>
      </c>
      <c r="D118" s="63" t="s">
        <v>183</v>
      </c>
      <c r="E118" s="53" t="s">
        <v>201</v>
      </c>
      <c r="F118" s="53" t="s">
        <v>208</v>
      </c>
      <c r="G118" s="53" t="s">
        <v>42</v>
      </c>
      <c r="H118" s="53" t="s">
        <v>164</v>
      </c>
      <c r="I118" s="53" t="s">
        <v>159</v>
      </c>
      <c r="J118" s="53" t="s">
        <v>38</v>
      </c>
      <c r="K118" s="53" t="s">
        <v>161</v>
      </c>
      <c r="L118" s="53">
        <v>3</v>
      </c>
      <c r="N118" s="53">
        <v>1</v>
      </c>
      <c r="O118" s="53">
        <v>0.45</v>
      </c>
      <c r="P118" s="53">
        <v>0.4</v>
      </c>
      <c r="Q118" s="72">
        <v>0.42499999999999999</v>
      </c>
      <c r="R118" s="53">
        <v>12.1</v>
      </c>
      <c r="S118" s="53">
        <v>119</v>
      </c>
      <c r="T118" s="38">
        <v>30</v>
      </c>
      <c r="U118" s="53">
        <v>518</v>
      </c>
      <c r="V118" s="38">
        <v>3885</v>
      </c>
      <c r="W118" s="53">
        <v>2</v>
      </c>
      <c r="X118" s="53" t="s">
        <v>46</v>
      </c>
      <c r="Y118" s="53" t="s">
        <v>55</v>
      </c>
      <c r="Z118" s="53" t="s">
        <v>69</v>
      </c>
      <c r="AA118" s="53" t="s">
        <v>64</v>
      </c>
      <c r="AB118" s="53" t="s">
        <v>158</v>
      </c>
      <c r="AC118" s="76"/>
      <c r="AD118" s="76"/>
      <c r="AE118" s="76"/>
      <c r="AF118" s="76"/>
      <c r="AG118" s="76"/>
      <c r="AH118" s="76"/>
    </row>
    <row r="119" spans="1:34" x14ac:dyDescent="0.15">
      <c r="A119" s="53" t="s">
        <v>41</v>
      </c>
      <c r="B119" s="53" t="s">
        <v>157</v>
      </c>
      <c r="C119" s="62">
        <v>2019</v>
      </c>
      <c r="D119" s="63" t="s">
        <v>183</v>
      </c>
      <c r="E119" s="53" t="s">
        <v>201</v>
      </c>
      <c r="F119" s="53" t="s">
        <v>208</v>
      </c>
      <c r="G119" s="53" t="s">
        <v>42</v>
      </c>
      <c r="H119" s="53" t="s">
        <v>164</v>
      </c>
      <c r="I119" s="53" t="s">
        <v>159</v>
      </c>
      <c r="J119" s="53" t="s">
        <v>38</v>
      </c>
      <c r="K119" s="53" t="s">
        <v>161</v>
      </c>
      <c r="L119" s="53">
        <v>1</v>
      </c>
      <c r="N119" s="53">
        <v>5</v>
      </c>
      <c r="O119" s="53">
        <v>0.25</v>
      </c>
      <c r="P119" s="53">
        <v>0.3</v>
      </c>
      <c r="Q119" s="72">
        <v>0.27500000000000002</v>
      </c>
      <c r="R119" s="53">
        <v>12.7</v>
      </c>
      <c r="S119" s="53">
        <v>151</v>
      </c>
      <c r="T119" s="38">
        <v>22</v>
      </c>
      <c r="U119" s="53">
        <v>429</v>
      </c>
      <c r="V119" s="38">
        <v>3146</v>
      </c>
      <c r="W119" s="53">
        <v>2</v>
      </c>
      <c r="X119" s="53" t="s">
        <v>46</v>
      </c>
      <c r="Y119" s="53" t="s">
        <v>55</v>
      </c>
      <c r="Z119" s="53" t="s">
        <v>69</v>
      </c>
      <c r="AA119" s="53" t="s">
        <v>64</v>
      </c>
      <c r="AB119" s="53" t="s">
        <v>158</v>
      </c>
      <c r="AC119" s="76"/>
      <c r="AD119" s="76"/>
      <c r="AE119" s="76"/>
      <c r="AF119" s="76"/>
      <c r="AG119" s="76"/>
      <c r="AH119" s="76"/>
    </row>
    <row r="120" spans="1:34" x14ac:dyDescent="0.15">
      <c r="A120" s="53" t="s">
        <v>41</v>
      </c>
      <c r="B120" s="53" t="s">
        <v>157</v>
      </c>
      <c r="C120" s="62">
        <v>2019</v>
      </c>
      <c r="D120" s="63" t="s">
        <v>183</v>
      </c>
      <c r="E120" s="53" t="s">
        <v>201</v>
      </c>
      <c r="F120" s="53" t="s">
        <v>208</v>
      </c>
      <c r="G120" s="53" t="s">
        <v>42</v>
      </c>
      <c r="H120" s="53" t="s">
        <v>164</v>
      </c>
      <c r="I120" s="53" t="s">
        <v>159</v>
      </c>
      <c r="J120" s="53" t="s">
        <v>38</v>
      </c>
      <c r="K120" s="53" t="s">
        <v>161</v>
      </c>
      <c r="L120" s="53">
        <v>2</v>
      </c>
      <c r="N120" s="53">
        <v>5</v>
      </c>
      <c r="O120" s="53">
        <v>0.35</v>
      </c>
      <c r="P120" s="53">
        <v>0.35</v>
      </c>
      <c r="Q120" s="72">
        <v>0.35</v>
      </c>
      <c r="R120" s="53">
        <v>15.4</v>
      </c>
      <c r="S120" s="53">
        <v>160</v>
      </c>
      <c r="T120" s="38">
        <v>22</v>
      </c>
      <c r="U120" s="53">
        <v>429</v>
      </c>
      <c r="V120" s="38">
        <v>3146</v>
      </c>
      <c r="W120" s="53">
        <v>2</v>
      </c>
      <c r="X120" s="53" t="s">
        <v>46</v>
      </c>
      <c r="Y120" s="53" t="s">
        <v>55</v>
      </c>
      <c r="Z120" s="53" t="s">
        <v>69</v>
      </c>
      <c r="AA120" s="53" t="s">
        <v>64</v>
      </c>
      <c r="AB120" s="53" t="s">
        <v>158</v>
      </c>
      <c r="AC120" s="76"/>
      <c r="AD120" s="76"/>
      <c r="AE120" s="76"/>
      <c r="AF120" s="76"/>
      <c r="AG120" s="76"/>
      <c r="AH120" s="76"/>
    </row>
    <row r="121" spans="1:34" x14ac:dyDescent="0.15">
      <c r="A121" s="53" t="s">
        <v>41</v>
      </c>
      <c r="B121" s="53" t="s">
        <v>157</v>
      </c>
      <c r="C121" s="62">
        <v>2019</v>
      </c>
      <c r="D121" s="63" t="s">
        <v>183</v>
      </c>
      <c r="E121" s="53" t="s">
        <v>201</v>
      </c>
      <c r="F121" s="53" t="s">
        <v>208</v>
      </c>
      <c r="G121" s="53" t="s">
        <v>42</v>
      </c>
      <c r="H121" s="53" t="s">
        <v>164</v>
      </c>
      <c r="I121" s="53" t="s">
        <v>159</v>
      </c>
      <c r="J121" s="53" t="s">
        <v>38</v>
      </c>
      <c r="K121" s="53" t="s">
        <v>161</v>
      </c>
      <c r="L121" s="53">
        <v>3</v>
      </c>
      <c r="N121" s="53">
        <v>5</v>
      </c>
      <c r="O121" s="53">
        <v>0.45</v>
      </c>
      <c r="P121" s="53">
        <v>0.35</v>
      </c>
      <c r="Q121" s="72">
        <v>0.4</v>
      </c>
      <c r="R121" s="53">
        <v>15.1</v>
      </c>
      <c r="S121" s="53">
        <v>154</v>
      </c>
      <c r="T121" s="38">
        <v>22</v>
      </c>
      <c r="U121" s="53">
        <v>429</v>
      </c>
      <c r="V121" s="38">
        <v>3146</v>
      </c>
      <c r="W121" s="53">
        <v>2</v>
      </c>
      <c r="X121" s="53" t="s">
        <v>46</v>
      </c>
      <c r="Y121" s="53" t="s">
        <v>55</v>
      </c>
      <c r="Z121" s="53" t="s">
        <v>69</v>
      </c>
      <c r="AA121" s="53" t="s">
        <v>64</v>
      </c>
      <c r="AB121" s="53" t="s">
        <v>158</v>
      </c>
      <c r="AC121" s="76"/>
      <c r="AD121" s="76"/>
      <c r="AE121" s="76"/>
      <c r="AF121" s="76"/>
      <c r="AG121" s="76"/>
      <c r="AH121" s="76"/>
    </row>
    <row r="122" spans="1:34" x14ac:dyDescent="0.15">
      <c r="A122" s="53" t="s">
        <v>41</v>
      </c>
      <c r="B122" s="53" t="s">
        <v>157</v>
      </c>
      <c r="C122" s="62">
        <v>2019</v>
      </c>
      <c r="D122" s="63" t="s">
        <v>183</v>
      </c>
      <c r="E122" s="53" t="s">
        <v>201</v>
      </c>
      <c r="F122" s="53" t="s">
        <v>208</v>
      </c>
      <c r="G122" s="53" t="s">
        <v>42</v>
      </c>
      <c r="H122" s="53" t="s">
        <v>164</v>
      </c>
      <c r="I122" s="53" t="s">
        <v>159</v>
      </c>
      <c r="J122" s="53" t="s">
        <v>38</v>
      </c>
      <c r="K122" s="53" t="s">
        <v>161</v>
      </c>
      <c r="L122" s="53">
        <v>1</v>
      </c>
      <c r="N122" s="53">
        <v>8</v>
      </c>
      <c r="O122" s="53">
        <v>0.3</v>
      </c>
      <c r="P122" s="53">
        <v>0.25</v>
      </c>
      <c r="Q122" s="72">
        <v>0.27500000000000002</v>
      </c>
      <c r="R122" s="53">
        <v>13.6</v>
      </c>
      <c r="S122" s="53">
        <v>120</v>
      </c>
      <c r="T122" s="38">
        <v>30</v>
      </c>
      <c r="U122" s="53">
        <v>734</v>
      </c>
      <c r="V122" s="38">
        <v>3670</v>
      </c>
      <c r="W122" s="53">
        <v>2</v>
      </c>
      <c r="X122" s="53" t="s">
        <v>46</v>
      </c>
      <c r="Y122" s="53" t="s">
        <v>55</v>
      </c>
      <c r="Z122" s="53" t="s">
        <v>69</v>
      </c>
      <c r="AA122" s="53" t="s">
        <v>64</v>
      </c>
      <c r="AB122" s="53" t="s">
        <v>158</v>
      </c>
      <c r="AC122" s="76"/>
      <c r="AD122" s="76"/>
      <c r="AE122" s="76"/>
      <c r="AF122" s="76"/>
      <c r="AG122" s="76"/>
      <c r="AH122" s="76"/>
    </row>
    <row r="123" spans="1:34" x14ac:dyDescent="0.15">
      <c r="A123" s="53" t="s">
        <v>41</v>
      </c>
      <c r="B123" s="53" t="s">
        <v>157</v>
      </c>
      <c r="C123" s="62">
        <v>2019</v>
      </c>
      <c r="D123" s="63" t="s">
        <v>183</v>
      </c>
      <c r="E123" s="53" t="s">
        <v>201</v>
      </c>
      <c r="F123" s="53" t="s">
        <v>208</v>
      </c>
      <c r="G123" s="53" t="s">
        <v>42</v>
      </c>
      <c r="H123" s="53" t="s">
        <v>164</v>
      </c>
      <c r="I123" s="53" t="s">
        <v>159</v>
      </c>
      <c r="J123" s="53" t="s">
        <v>38</v>
      </c>
      <c r="K123" s="53" t="s">
        <v>161</v>
      </c>
      <c r="L123" s="53">
        <v>2</v>
      </c>
      <c r="N123" s="53">
        <v>8</v>
      </c>
      <c r="O123" s="53">
        <v>0.65</v>
      </c>
      <c r="P123" s="53">
        <v>0.4</v>
      </c>
      <c r="Q123" s="72">
        <v>0.52500000000000002</v>
      </c>
      <c r="R123" s="53">
        <v>13.3</v>
      </c>
      <c r="S123" s="53">
        <v>121</v>
      </c>
      <c r="T123" s="38">
        <v>27</v>
      </c>
      <c r="U123" s="53">
        <v>734</v>
      </c>
      <c r="V123" s="38">
        <v>3303</v>
      </c>
      <c r="W123" s="53">
        <v>2</v>
      </c>
      <c r="X123" s="53" t="s">
        <v>46</v>
      </c>
      <c r="Y123" s="53" t="s">
        <v>55</v>
      </c>
      <c r="Z123" s="53" t="s">
        <v>69</v>
      </c>
      <c r="AA123" s="53" t="s">
        <v>64</v>
      </c>
      <c r="AB123" s="53" t="s">
        <v>158</v>
      </c>
      <c r="AC123" s="76"/>
      <c r="AD123" s="76"/>
      <c r="AE123" s="76"/>
      <c r="AF123" s="76"/>
      <c r="AG123" s="76"/>
      <c r="AH123" s="76"/>
    </row>
    <row r="124" spans="1:34" x14ac:dyDescent="0.15">
      <c r="A124" s="53" t="s">
        <v>41</v>
      </c>
      <c r="B124" s="53" t="s">
        <v>157</v>
      </c>
      <c r="C124" s="62">
        <v>2019</v>
      </c>
      <c r="D124" s="63" t="s">
        <v>183</v>
      </c>
      <c r="E124" s="53" t="s">
        <v>201</v>
      </c>
      <c r="F124" s="53" t="s">
        <v>208</v>
      </c>
      <c r="G124" s="53" t="s">
        <v>42</v>
      </c>
      <c r="H124" s="53" t="s">
        <v>164</v>
      </c>
      <c r="I124" s="53" t="s">
        <v>159</v>
      </c>
      <c r="J124" s="53" t="s">
        <v>38</v>
      </c>
      <c r="K124" s="53" t="s">
        <v>161</v>
      </c>
      <c r="L124" s="53">
        <v>3</v>
      </c>
      <c r="N124" s="53">
        <v>8</v>
      </c>
      <c r="O124" s="53">
        <v>0.65</v>
      </c>
      <c r="P124" s="53">
        <v>0.8</v>
      </c>
      <c r="Q124" s="72">
        <v>0.72499999999999998</v>
      </c>
      <c r="R124" s="53">
        <v>14.2</v>
      </c>
      <c r="S124" s="53">
        <v>118</v>
      </c>
      <c r="T124" s="38">
        <v>30</v>
      </c>
      <c r="U124" s="53">
        <v>734</v>
      </c>
      <c r="V124" s="38">
        <v>3670</v>
      </c>
      <c r="W124" s="53">
        <v>2</v>
      </c>
      <c r="X124" s="53" t="s">
        <v>46</v>
      </c>
      <c r="Y124" s="53" t="s">
        <v>55</v>
      </c>
      <c r="Z124" s="53" t="s">
        <v>69</v>
      </c>
      <c r="AA124" s="53" t="s">
        <v>64</v>
      </c>
      <c r="AB124" s="53" t="s">
        <v>158</v>
      </c>
      <c r="AC124" s="76"/>
      <c r="AD124" s="76"/>
      <c r="AE124" s="76"/>
      <c r="AF124" s="76"/>
      <c r="AG124" s="76"/>
      <c r="AH124" s="76"/>
    </row>
    <row r="125" spans="1:34" x14ac:dyDescent="0.15">
      <c r="A125" s="53" t="s">
        <v>41</v>
      </c>
      <c r="B125" s="53" t="s">
        <v>157</v>
      </c>
      <c r="C125" s="62">
        <v>2019</v>
      </c>
      <c r="D125" s="63" t="s">
        <v>183</v>
      </c>
      <c r="E125" s="53" t="s">
        <v>204</v>
      </c>
      <c r="F125" s="53" t="s">
        <v>205</v>
      </c>
      <c r="G125" s="53" t="s">
        <v>42</v>
      </c>
      <c r="H125" s="53" t="s">
        <v>164</v>
      </c>
      <c r="I125" s="53" t="s">
        <v>159</v>
      </c>
      <c r="J125" s="53" t="s">
        <v>38</v>
      </c>
      <c r="K125" s="53" t="s">
        <v>161</v>
      </c>
      <c r="L125" s="53">
        <v>1</v>
      </c>
      <c r="N125" s="53">
        <v>1</v>
      </c>
      <c r="O125" s="53">
        <v>1.2</v>
      </c>
      <c r="P125" s="53">
        <v>1.3</v>
      </c>
      <c r="Q125" s="72">
        <f t="shared" ref="Q125:Q188" si="6">IF(OR(O125="",P125=""),"",AVERAGE(O125,P125))</f>
        <v>1.25</v>
      </c>
      <c r="R125" s="53">
        <v>11.5</v>
      </c>
      <c r="S125" s="53">
        <v>124</v>
      </c>
      <c r="T125" s="38">
        <f t="shared" ref="T125:T188" si="7">IF(H125="","",IF(OR(H125="GREEN",H125="GK"),IF(S125&gt;=$AX$2,VLOOKUP(S125,$AX$2:$AY$10,2,1),""),IF(S125&gt;=$AZ$2,VLOOKUP(S125,$AZ$2:$BA$10,2,1),"")))</f>
        <v>27</v>
      </c>
      <c r="U125" s="53">
        <v>138</v>
      </c>
      <c r="V125" s="16">
        <f t="shared" ref="V125:V188" si="8">IF(OR(N125="",U125="",T125=""),"",U125/N125*T125)</f>
        <v>3726</v>
      </c>
      <c r="W125" s="53">
        <v>4</v>
      </c>
      <c r="X125" s="53" t="s">
        <v>46</v>
      </c>
      <c r="Y125" s="53" t="s">
        <v>55</v>
      </c>
      <c r="Z125" s="53" t="s">
        <v>69</v>
      </c>
      <c r="AA125" s="53" t="s">
        <v>47</v>
      </c>
      <c r="AB125" s="53" t="s">
        <v>158</v>
      </c>
      <c r="AC125" s="76"/>
      <c r="AD125" s="76"/>
      <c r="AE125" s="76"/>
      <c r="AF125" s="76"/>
      <c r="AG125" s="76"/>
      <c r="AH125" s="76"/>
    </row>
    <row r="126" spans="1:34" x14ac:dyDescent="0.15">
      <c r="A126" s="53" t="s">
        <v>41</v>
      </c>
      <c r="B126" s="53" t="s">
        <v>157</v>
      </c>
      <c r="C126" s="62">
        <v>2019</v>
      </c>
      <c r="D126" s="63" t="s">
        <v>183</v>
      </c>
      <c r="E126" s="53" t="s">
        <v>204</v>
      </c>
      <c r="F126" s="53" t="s">
        <v>205</v>
      </c>
      <c r="G126" s="53" t="s">
        <v>42</v>
      </c>
      <c r="H126" s="53" t="s">
        <v>164</v>
      </c>
      <c r="I126" s="53" t="s">
        <v>159</v>
      </c>
      <c r="J126" s="53" t="s">
        <v>38</v>
      </c>
      <c r="K126" s="53" t="s">
        <v>161</v>
      </c>
      <c r="L126" s="53">
        <v>2</v>
      </c>
      <c r="N126" s="53">
        <v>1</v>
      </c>
      <c r="O126" s="53">
        <v>1.3</v>
      </c>
      <c r="P126" s="53">
        <v>1.1000000000000001</v>
      </c>
      <c r="Q126" s="72">
        <f t="shared" si="6"/>
        <v>1.2000000000000002</v>
      </c>
      <c r="R126" s="53">
        <v>9.8000000000000007</v>
      </c>
      <c r="S126" s="53">
        <v>123</v>
      </c>
      <c r="T126" s="38">
        <f t="shared" si="7"/>
        <v>27</v>
      </c>
      <c r="U126" s="53">
        <v>138</v>
      </c>
      <c r="V126" s="16">
        <f t="shared" si="8"/>
        <v>3726</v>
      </c>
      <c r="W126" s="53">
        <v>4</v>
      </c>
      <c r="X126" s="53" t="s">
        <v>46</v>
      </c>
      <c r="Y126" s="53" t="s">
        <v>55</v>
      </c>
      <c r="Z126" s="53" t="s">
        <v>69</v>
      </c>
      <c r="AA126" s="53" t="s">
        <v>47</v>
      </c>
      <c r="AB126" s="53" t="s">
        <v>158</v>
      </c>
      <c r="AC126" s="76"/>
      <c r="AD126" s="76"/>
      <c r="AE126" s="76"/>
      <c r="AF126" s="76"/>
      <c r="AG126" s="76"/>
      <c r="AH126" s="76"/>
    </row>
    <row r="127" spans="1:34" x14ac:dyDescent="0.15">
      <c r="A127" s="53" t="s">
        <v>41</v>
      </c>
      <c r="B127" s="53" t="s">
        <v>157</v>
      </c>
      <c r="C127" s="62">
        <v>2019</v>
      </c>
      <c r="D127" s="63" t="s">
        <v>183</v>
      </c>
      <c r="E127" s="53" t="s">
        <v>204</v>
      </c>
      <c r="F127" s="53" t="s">
        <v>205</v>
      </c>
      <c r="G127" s="53" t="s">
        <v>42</v>
      </c>
      <c r="H127" s="53" t="s">
        <v>164</v>
      </c>
      <c r="I127" s="53" t="s">
        <v>159</v>
      </c>
      <c r="J127" s="53" t="s">
        <v>38</v>
      </c>
      <c r="K127" s="53" t="s">
        <v>161</v>
      </c>
      <c r="L127" s="53">
        <v>3</v>
      </c>
      <c r="N127" s="53">
        <v>1</v>
      </c>
      <c r="O127" s="53">
        <v>1</v>
      </c>
      <c r="P127" s="53">
        <v>1.2</v>
      </c>
      <c r="Q127" s="72">
        <f t="shared" si="6"/>
        <v>1.1000000000000001</v>
      </c>
      <c r="R127" s="53">
        <v>12.5</v>
      </c>
      <c r="S127" s="53">
        <v>125</v>
      </c>
      <c r="T127" s="38">
        <f t="shared" si="7"/>
        <v>27</v>
      </c>
      <c r="U127" s="53">
        <v>138</v>
      </c>
      <c r="V127" s="38">
        <f t="shared" si="8"/>
        <v>3726</v>
      </c>
      <c r="W127" s="53">
        <v>4</v>
      </c>
      <c r="X127" s="53" t="s">
        <v>46</v>
      </c>
      <c r="Y127" s="53" t="s">
        <v>55</v>
      </c>
      <c r="Z127" s="53" t="s">
        <v>69</v>
      </c>
      <c r="AA127" s="53" t="s">
        <v>47</v>
      </c>
      <c r="AB127" s="53" t="s">
        <v>158</v>
      </c>
      <c r="AC127" s="76"/>
      <c r="AD127" s="76"/>
      <c r="AE127" s="76"/>
      <c r="AF127" s="76"/>
      <c r="AG127" s="76"/>
      <c r="AH127" s="76"/>
    </row>
    <row r="128" spans="1:34" x14ac:dyDescent="0.15">
      <c r="A128" s="53" t="s">
        <v>41</v>
      </c>
      <c r="B128" s="53" t="s">
        <v>157</v>
      </c>
      <c r="C128" s="62">
        <v>2018</v>
      </c>
      <c r="D128" s="63" t="s">
        <v>183</v>
      </c>
      <c r="E128" s="53" t="s">
        <v>204</v>
      </c>
      <c r="F128" s="53" t="s">
        <v>205</v>
      </c>
      <c r="G128" s="53" t="s">
        <v>42</v>
      </c>
      <c r="H128" s="53" t="s">
        <v>164</v>
      </c>
      <c r="I128" s="53" t="s">
        <v>159</v>
      </c>
      <c r="J128" s="53" t="s">
        <v>38</v>
      </c>
      <c r="K128" s="53" t="s">
        <v>161</v>
      </c>
      <c r="L128" s="53">
        <v>1</v>
      </c>
      <c r="N128" s="53">
        <v>4</v>
      </c>
      <c r="O128" s="53">
        <v>0.85</v>
      </c>
      <c r="P128" s="53">
        <v>0.9</v>
      </c>
      <c r="Q128" s="16">
        <f t="shared" si="6"/>
        <v>0.875</v>
      </c>
      <c r="R128" s="53">
        <v>13.4</v>
      </c>
      <c r="S128" s="53">
        <v>122</v>
      </c>
      <c r="T128" s="16">
        <f t="shared" si="7"/>
        <v>27</v>
      </c>
      <c r="U128" s="53">
        <v>321</v>
      </c>
      <c r="V128" s="16">
        <f t="shared" si="8"/>
        <v>2166.75</v>
      </c>
      <c r="W128" s="53">
        <v>1</v>
      </c>
      <c r="X128" s="53" t="s">
        <v>46</v>
      </c>
      <c r="Y128" s="53" t="s">
        <v>55</v>
      </c>
      <c r="Z128" s="53" t="s">
        <v>69</v>
      </c>
      <c r="AA128" s="53" t="s">
        <v>47</v>
      </c>
      <c r="AB128" s="53" t="s">
        <v>158</v>
      </c>
    </row>
    <row r="129" spans="1:34" x14ac:dyDescent="0.15">
      <c r="A129" s="53" t="s">
        <v>41</v>
      </c>
      <c r="B129" s="53" t="s">
        <v>157</v>
      </c>
      <c r="C129" s="62">
        <v>2018</v>
      </c>
      <c r="D129" s="63" t="s">
        <v>183</v>
      </c>
      <c r="E129" s="53" t="s">
        <v>204</v>
      </c>
      <c r="F129" s="53" t="s">
        <v>205</v>
      </c>
      <c r="G129" s="53" t="s">
        <v>42</v>
      </c>
      <c r="H129" s="53" t="s">
        <v>164</v>
      </c>
      <c r="I129" s="53" t="s">
        <v>159</v>
      </c>
      <c r="J129" s="53" t="s">
        <v>38</v>
      </c>
      <c r="K129" s="53" t="s">
        <v>161</v>
      </c>
      <c r="L129" s="53">
        <v>2</v>
      </c>
      <c r="N129" s="53">
        <v>4</v>
      </c>
      <c r="O129" s="53">
        <v>0.9</v>
      </c>
      <c r="P129" s="53">
        <v>0.95</v>
      </c>
      <c r="Q129" s="16">
        <f t="shared" si="6"/>
        <v>0.92500000000000004</v>
      </c>
      <c r="R129" s="53">
        <v>12.1</v>
      </c>
      <c r="S129" s="53">
        <v>124</v>
      </c>
      <c r="T129" s="16">
        <f t="shared" si="7"/>
        <v>27</v>
      </c>
      <c r="U129" s="53">
        <v>321</v>
      </c>
      <c r="V129" s="16">
        <f t="shared" si="8"/>
        <v>2166.75</v>
      </c>
      <c r="W129" s="53">
        <v>1</v>
      </c>
      <c r="X129" s="53" t="s">
        <v>46</v>
      </c>
      <c r="Y129" s="53" t="s">
        <v>55</v>
      </c>
      <c r="Z129" s="53" t="s">
        <v>69</v>
      </c>
      <c r="AA129" s="53" t="s">
        <v>47</v>
      </c>
      <c r="AB129" s="53" t="s">
        <v>158</v>
      </c>
    </row>
    <row r="130" spans="1:34" x14ac:dyDescent="0.15">
      <c r="A130" s="53" t="s">
        <v>41</v>
      </c>
      <c r="B130" s="53" t="s">
        <v>157</v>
      </c>
      <c r="C130" s="62">
        <v>2018</v>
      </c>
      <c r="D130" s="63" t="s">
        <v>183</v>
      </c>
      <c r="E130" s="53" t="s">
        <v>204</v>
      </c>
      <c r="F130" s="53" t="s">
        <v>205</v>
      </c>
      <c r="G130" s="53" t="s">
        <v>42</v>
      </c>
      <c r="H130" s="53" t="s">
        <v>164</v>
      </c>
      <c r="I130" s="53" t="s">
        <v>159</v>
      </c>
      <c r="J130" s="53" t="s">
        <v>38</v>
      </c>
      <c r="K130" s="53" t="s">
        <v>161</v>
      </c>
      <c r="L130" s="53">
        <v>3</v>
      </c>
      <c r="N130" s="53">
        <v>4</v>
      </c>
      <c r="O130" s="53">
        <v>1</v>
      </c>
      <c r="P130" s="53">
        <v>1.2</v>
      </c>
      <c r="Q130" s="16">
        <f t="shared" si="6"/>
        <v>1.1000000000000001</v>
      </c>
      <c r="R130" s="53">
        <v>14.8</v>
      </c>
      <c r="S130" s="53">
        <v>123</v>
      </c>
      <c r="T130" s="16">
        <f t="shared" si="7"/>
        <v>27</v>
      </c>
      <c r="U130" s="53">
        <v>321</v>
      </c>
      <c r="V130" s="16">
        <f t="shared" si="8"/>
        <v>2166.75</v>
      </c>
      <c r="W130" s="53">
        <v>1</v>
      </c>
      <c r="X130" s="53" t="s">
        <v>46</v>
      </c>
      <c r="Y130" s="53" t="s">
        <v>55</v>
      </c>
      <c r="Z130" s="53" t="s">
        <v>69</v>
      </c>
      <c r="AA130" s="53" t="s">
        <v>47</v>
      </c>
      <c r="AB130" s="53" t="s">
        <v>158</v>
      </c>
    </row>
    <row r="131" spans="1:34" x14ac:dyDescent="0.15">
      <c r="A131" s="53" t="s">
        <v>41</v>
      </c>
      <c r="B131" s="53" t="s">
        <v>157</v>
      </c>
      <c r="C131" s="62">
        <v>2018</v>
      </c>
      <c r="D131" s="63" t="s">
        <v>183</v>
      </c>
      <c r="E131" s="53" t="s">
        <v>204</v>
      </c>
      <c r="F131" s="53" t="s">
        <v>205</v>
      </c>
      <c r="G131" s="53" t="s">
        <v>42</v>
      </c>
      <c r="H131" s="53" t="s">
        <v>164</v>
      </c>
      <c r="I131" s="53" t="s">
        <v>159</v>
      </c>
      <c r="J131" s="53" t="s">
        <v>38</v>
      </c>
      <c r="K131" s="53" t="s">
        <v>161</v>
      </c>
      <c r="L131" s="53">
        <v>1</v>
      </c>
      <c r="N131" s="53">
        <v>8</v>
      </c>
      <c r="O131" s="53">
        <v>0.75</v>
      </c>
      <c r="P131" s="53">
        <v>0.8</v>
      </c>
      <c r="Q131" s="16">
        <f t="shared" si="6"/>
        <v>0.77500000000000002</v>
      </c>
      <c r="R131" s="53">
        <v>14</v>
      </c>
      <c r="S131" s="53">
        <v>120</v>
      </c>
      <c r="T131" s="16">
        <f t="shared" si="7"/>
        <v>30</v>
      </c>
      <c r="U131" s="53">
        <v>626</v>
      </c>
      <c r="V131" s="16">
        <f t="shared" si="8"/>
        <v>2347.5</v>
      </c>
      <c r="W131" s="53">
        <v>1</v>
      </c>
      <c r="X131" s="53" t="s">
        <v>46</v>
      </c>
      <c r="Y131" s="53" t="s">
        <v>55</v>
      </c>
      <c r="Z131" s="53" t="s">
        <v>69</v>
      </c>
      <c r="AA131" s="53" t="s">
        <v>47</v>
      </c>
      <c r="AB131" s="53" t="s">
        <v>158</v>
      </c>
    </row>
    <row r="132" spans="1:34" x14ac:dyDescent="0.15">
      <c r="A132" s="53" t="s">
        <v>41</v>
      </c>
      <c r="B132" s="53" t="s">
        <v>157</v>
      </c>
      <c r="C132" s="62">
        <v>2018</v>
      </c>
      <c r="D132" s="63" t="s">
        <v>183</v>
      </c>
      <c r="E132" s="53" t="s">
        <v>204</v>
      </c>
      <c r="F132" s="53" t="s">
        <v>205</v>
      </c>
      <c r="G132" s="53" t="s">
        <v>42</v>
      </c>
      <c r="H132" s="53" t="s">
        <v>164</v>
      </c>
      <c r="I132" s="53" t="s">
        <v>159</v>
      </c>
      <c r="J132" s="53" t="s">
        <v>38</v>
      </c>
      <c r="K132" s="53" t="s">
        <v>161</v>
      </c>
      <c r="L132" s="53">
        <v>2</v>
      </c>
      <c r="N132" s="53">
        <v>8</v>
      </c>
      <c r="O132" s="53">
        <v>0.65</v>
      </c>
      <c r="P132" s="53">
        <v>0.8</v>
      </c>
      <c r="Q132" s="16">
        <f t="shared" si="6"/>
        <v>0.72500000000000009</v>
      </c>
      <c r="R132" s="53">
        <v>12.8</v>
      </c>
      <c r="S132" s="53">
        <v>118</v>
      </c>
      <c r="T132" s="16">
        <f t="shared" si="7"/>
        <v>30</v>
      </c>
      <c r="U132" s="53">
        <v>626</v>
      </c>
      <c r="V132" s="16">
        <f t="shared" si="8"/>
        <v>2347.5</v>
      </c>
      <c r="W132" s="53">
        <v>1</v>
      </c>
      <c r="X132" s="53" t="s">
        <v>46</v>
      </c>
      <c r="Y132" s="53" t="s">
        <v>55</v>
      </c>
      <c r="Z132" s="53" t="s">
        <v>69</v>
      </c>
      <c r="AA132" s="53" t="s">
        <v>47</v>
      </c>
      <c r="AB132" s="53" t="s">
        <v>158</v>
      </c>
    </row>
    <row r="133" spans="1:34" x14ac:dyDescent="0.15">
      <c r="A133" s="53" t="s">
        <v>41</v>
      </c>
      <c r="B133" s="53" t="s">
        <v>157</v>
      </c>
      <c r="C133" s="62">
        <v>2018</v>
      </c>
      <c r="D133" s="63" t="s">
        <v>183</v>
      </c>
      <c r="E133" s="53" t="s">
        <v>204</v>
      </c>
      <c r="F133" s="53" t="s">
        <v>205</v>
      </c>
      <c r="G133" s="53" t="s">
        <v>42</v>
      </c>
      <c r="H133" s="53" t="s">
        <v>164</v>
      </c>
      <c r="I133" s="53" t="s">
        <v>159</v>
      </c>
      <c r="J133" s="53" t="s">
        <v>38</v>
      </c>
      <c r="K133" s="53" t="s">
        <v>161</v>
      </c>
      <c r="L133" s="53">
        <v>3</v>
      </c>
      <c r="N133" s="53">
        <v>8</v>
      </c>
      <c r="O133" s="53">
        <v>0.8</v>
      </c>
      <c r="P133" s="53">
        <v>0.75</v>
      </c>
      <c r="Q133" s="16">
        <f t="shared" si="6"/>
        <v>0.77500000000000002</v>
      </c>
      <c r="R133" s="53">
        <v>13.6</v>
      </c>
      <c r="S133" s="53">
        <v>116</v>
      </c>
      <c r="T133" s="16">
        <f t="shared" si="7"/>
        <v>30</v>
      </c>
      <c r="U133" s="53">
        <v>626</v>
      </c>
      <c r="V133" s="16">
        <f t="shared" si="8"/>
        <v>2347.5</v>
      </c>
      <c r="W133" s="53">
        <v>1</v>
      </c>
      <c r="X133" s="53" t="s">
        <v>46</v>
      </c>
      <c r="Y133" s="53" t="s">
        <v>55</v>
      </c>
      <c r="Z133" s="53" t="s">
        <v>69</v>
      </c>
      <c r="AA133" s="53" t="s">
        <v>47</v>
      </c>
      <c r="AB133" s="53" t="s">
        <v>158</v>
      </c>
    </row>
    <row r="134" spans="1:34" x14ac:dyDescent="0.15">
      <c r="A134" s="53" t="s">
        <v>41</v>
      </c>
      <c r="B134" s="53" t="s">
        <v>157</v>
      </c>
      <c r="C134" s="62">
        <v>2019</v>
      </c>
      <c r="D134" s="63" t="s">
        <v>183</v>
      </c>
      <c r="E134" s="53" t="s">
        <v>204</v>
      </c>
      <c r="F134" s="53" t="s">
        <v>205</v>
      </c>
      <c r="G134" s="53" t="s">
        <v>42</v>
      </c>
      <c r="H134" s="53" t="s">
        <v>160</v>
      </c>
      <c r="I134" s="53" t="s">
        <v>159</v>
      </c>
      <c r="J134" s="53" t="s">
        <v>38</v>
      </c>
      <c r="K134" s="53" t="s">
        <v>161</v>
      </c>
      <c r="L134" s="53">
        <v>1</v>
      </c>
      <c r="N134" s="53">
        <v>1</v>
      </c>
      <c r="O134" s="53">
        <v>0.35</v>
      </c>
      <c r="P134" s="53">
        <v>0.4</v>
      </c>
      <c r="Q134" s="72">
        <f t="shared" si="6"/>
        <v>0.375</v>
      </c>
      <c r="R134" s="53">
        <v>12.6</v>
      </c>
      <c r="S134" s="53">
        <v>129</v>
      </c>
      <c r="T134" s="38">
        <f t="shared" si="7"/>
        <v>25</v>
      </c>
      <c r="U134" s="53">
        <v>138</v>
      </c>
      <c r="V134" s="16">
        <f t="shared" si="8"/>
        <v>3450</v>
      </c>
      <c r="W134" s="53">
        <v>4</v>
      </c>
      <c r="X134" s="53" t="s">
        <v>46</v>
      </c>
      <c r="Y134" s="53" t="s">
        <v>55</v>
      </c>
      <c r="Z134" s="53" t="s">
        <v>69</v>
      </c>
      <c r="AA134" s="53" t="s">
        <v>47</v>
      </c>
      <c r="AB134" s="53" t="s">
        <v>158</v>
      </c>
      <c r="AC134" s="76"/>
      <c r="AD134" s="76"/>
      <c r="AE134" s="76"/>
      <c r="AF134" s="76"/>
      <c r="AG134" s="76"/>
      <c r="AH134" s="76"/>
    </row>
    <row r="135" spans="1:34" x14ac:dyDescent="0.15">
      <c r="A135" s="53" t="s">
        <v>41</v>
      </c>
      <c r="B135" s="53" t="s">
        <v>157</v>
      </c>
      <c r="C135" s="62">
        <v>2019</v>
      </c>
      <c r="D135" s="63" t="s">
        <v>183</v>
      </c>
      <c r="E135" s="53" t="s">
        <v>204</v>
      </c>
      <c r="F135" s="53" t="s">
        <v>205</v>
      </c>
      <c r="G135" s="53" t="s">
        <v>42</v>
      </c>
      <c r="H135" s="53" t="s">
        <v>160</v>
      </c>
      <c r="I135" s="53" t="s">
        <v>159</v>
      </c>
      <c r="J135" s="53" t="s">
        <v>38</v>
      </c>
      <c r="K135" s="53" t="s">
        <v>161</v>
      </c>
      <c r="L135" s="53">
        <v>2</v>
      </c>
      <c r="N135" s="53">
        <v>1</v>
      </c>
      <c r="O135" s="53">
        <v>0.4</v>
      </c>
      <c r="P135" s="53">
        <v>0.35</v>
      </c>
      <c r="Q135" s="72">
        <f t="shared" si="6"/>
        <v>0.375</v>
      </c>
      <c r="R135" s="53">
        <v>13.4</v>
      </c>
      <c r="S135" s="53">
        <v>132</v>
      </c>
      <c r="T135" s="38">
        <f t="shared" si="7"/>
        <v>25</v>
      </c>
      <c r="U135" s="53">
        <v>138</v>
      </c>
      <c r="V135" s="16">
        <f t="shared" si="8"/>
        <v>3450</v>
      </c>
      <c r="W135" s="53">
        <v>4</v>
      </c>
      <c r="X135" s="53" t="s">
        <v>46</v>
      </c>
      <c r="Y135" s="53" t="s">
        <v>55</v>
      </c>
      <c r="Z135" s="53" t="s">
        <v>69</v>
      </c>
      <c r="AA135" s="53" t="s">
        <v>47</v>
      </c>
      <c r="AB135" s="53" t="s">
        <v>158</v>
      </c>
      <c r="AC135" s="76"/>
      <c r="AD135" s="76"/>
      <c r="AE135" s="76"/>
      <c r="AF135" s="76"/>
      <c r="AG135" s="76"/>
      <c r="AH135" s="76"/>
    </row>
    <row r="136" spans="1:34" x14ac:dyDescent="0.15">
      <c r="A136" s="53" t="s">
        <v>41</v>
      </c>
      <c r="B136" s="53" t="s">
        <v>157</v>
      </c>
      <c r="C136" s="62">
        <v>2019</v>
      </c>
      <c r="D136" s="63" t="s">
        <v>183</v>
      </c>
      <c r="E136" s="53" t="s">
        <v>204</v>
      </c>
      <c r="F136" s="53" t="s">
        <v>205</v>
      </c>
      <c r="G136" s="53" t="s">
        <v>42</v>
      </c>
      <c r="H136" s="53" t="s">
        <v>160</v>
      </c>
      <c r="I136" s="53" t="s">
        <v>159</v>
      </c>
      <c r="J136" s="53" t="s">
        <v>38</v>
      </c>
      <c r="K136" s="53" t="s">
        <v>161</v>
      </c>
      <c r="L136" s="53">
        <v>3</v>
      </c>
      <c r="N136" s="53">
        <v>1</v>
      </c>
      <c r="O136" s="53">
        <v>0.5</v>
      </c>
      <c r="P136" s="53">
        <v>0.4</v>
      </c>
      <c r="Q136" s="72">
        <f t="shared" si="6"/>
        <v>0.45</v>
      </c>
      <c r="R136" s="53">
        <v>15.1</v>
      </c>
      <c r="S136" s="53">
        <v>130</v>
      </c>
      <c r="T136" s="38">
        <f t="shared" si="7"/>
        <v>25</v>
      </c>
      <c r="U136" s="53">
        <v>138</v>
      </c>
      <c r="V136" s="38">
        <f t="shared" si="8"/>
        <v>3450</v>
      </c>
      <c r="W136" s="53">
        <v>4</v>
      </c>
      <c r="X136" s="53" t="s">
        <v>46</v>
      </c>
      <c r="Y136" s="53" t="s">
        <v>55</v>
      </c>
      <c r="Z136" s="53" t="s">
        <v>69</v>
      </c>
      <c r="AA136" s="53" t="s">
        <v>47</v>
      </c>
      <c r="AB136" s="53" t="s">
        <v>158</v>
      </c>
      <c r="AC136" s="76"/>
      <c r="AD136" s="76"/>
      <c r="AE136" s="76"/>
      <c r="AF136" s="76"/>
      <c r="AG136" s="76"/>
      <c r="AH136" s="76"/>
    </row>
    <row r="137" spans="1:34" x14ac:dyDescent="0.15">
      <c r="A137" s="53" t="s">
        <v>41</v>
      </c>
      <c r="B137" s="53" t="s">
        <v>157</v>
      </c>
      <c r="C137" s="62">
        <v>2018</v>
      </c>
      <c r="D137" s="63" t="s">
        <v>183</v>
      </c>
      <c r="E137" s="53" t="s">
        <v>204</v>
      </c>
      <c r="F137" s="53" t="s">
        <v>205</v>
      </c>
      <c r="G137" s="53" t="s">
        <v>42</v>
      </c>
      <c r="H137" s="53" t="s">
        <v>160</v>
      </c>
      <c r="I137" s="53" t="s">
        <v>159</v>
      </c>
      <c r="J137" s="53" t="s">
        <v>38</v>
      </c>
      <c r="K137" s="53" t="s">
        <v>161</v>
      </c>
      <c r="L137" s="53">
        <v>1</v>
      </c>
      <c r="N137" s="53">
        <v>4</v>
      </c>
      <c r="O137" s="53">
        <v>0.25</v>
      </c>
      <c r="P137" s="53">
        <v>0.25</v>
      </c>
      <c r="Q137" s="16">
        <f t="shared" si="6"/>
        <v>0.25</v>
      </c>
      <c r="R137" s="53">
        <v>12.6</v>
      </c>
      <c r="S137" s="53">
        <v>121</v>
      </c>
      <c r="T137" s="16">
        <f t="shared" si="7"/>
        <v>27</v>
      </c>
      <c r="U137" s="53">
        <v>408</v>
      </c>
      <c r="V137" s="16">
        <f t="shared" si="8"/>
        <v>2754</v>
      </c>
      <c r="W137" s="53">
        <v>1</v>
      </c>
      <c r="X137" s="53" t="s">
        <v>46</v>
      </c>
      <c r="Y137" s="53" t="s">
        <v>55</v>
      </c>
      <c r="Z137" s="53" t="s">
        <v>69</v>
      </c>
      <c r="AA137" s="53" t="s">
        <v>47</v>
      </c>
      <c r="AB137" s="53" t="s">
        <v>158</v>
      </c>
    </row>
    <row r="138" spans="1:34" x14ac:dyDescent="0.15">
      <c r="A138" s="53" t="s">
        <v>41</v>
      </c>
      <c r="B138" s="53" t="s">
        <v>157</v>
      </c>
      <c r="C138" s="62">
        <v>2018</v>
      </c>
      <c r="D138" s="63" t="s">
        <v>183</v>
      </c>
      <c r="E138" s="53" t="s">
        <v>204</v>
      </c>
      <c r="F138" s="53" t="s">
        <v>205</v>
      </c>
      <c r="G138" s="53" t="s">
        <v>42</v>
      </c>
      <c r="H138" s="53" t="s">
        <v>160</v>
      </c>
      <c r="I138" s="53" t="s">
        <v>159</v>
      </c>
      <c r="J138" s="53" t="s">
        <v>38</v>
      </c>
      <c r="K138" s="53" t="s">
        <v>161</v>
      </c>
      <c r="L138" s="53">
        <v>2</v>
      </c>
      <c r="N138" s="53">
        <v>4</v>
      </c>
      <c r="O138" s="53">
        <v>0.25</v>
      </c>
      <c r="P138" s="53">
        <v>0.25</v>
      </c>
      <c r="Q138" s="16">
        <f t="shared" si="6"/>
        <v>0.25</v>
      </c>
      <c r="R138" s="53">
        <v>16.399999999999999</v>
      </c>
      <c r="S138" s="53">
        <v>123</v>
      </c>
      <c r="T138" s="16">
        <f t="shared" si="7"/>
        <v>27</v>
      </c>
      <c r="U138" s="53">
        <v>408</v>
      </c>
      <c r="V138" s="16">
        <f t="shared" si="8"/>
        <v>2754</v>
      </c>
      <c r="W138" s="53">
        <v>1</v>
      </c>
      <c r="X138" s="53" t="s">
        <v>46</v>
      </c>
      <c r="Y138" s="53" t="s">
        <v>55</v>
      </c>
      <c r="Z138" s="53" t="s">
        <v>69</v>
      </c>
      <c r="AA138" s="53" t="s">
        <v>47</v>
      </c>
      <c r="AB138" s="53" t="s">
        <v>158</v>
      </c>
    </row>
    <row r="139" spans="1:34" x14ac:dyDescent="0.15">
      <c r="A139" s="53" t="s">
        <v>41</v>
      </c>
      <c r="B139" s="53" t="s">
        <v>157</v>
      </c>
      <c r="C139" s="62">
        <v>2018</v>
      </c>
      <c r="D139" s="63" t="s">
        <v>183</v>
      </c>
      <c r="E139" s="53" t="s">
        <v>204</v>
      </c>
      <c r="F139" s="53" t="s">
        <v>205</v>
      </c>
      <c r="G139" s="53" t="s">
        <v>42</v>
      </c>
      <c r="H139" s="53" t="s">
        <v>160</v>
      </c>
      <c r="I139" s="53" t="s">
        <v>159</v>
      </c>
      <c r="J139" s="53" t="s">
        <v>38</v>
      </c>
      <c r="K139" s="53" t="s">
        <v>161</v>
      </c>
      <c r="L139" s="53">
        <v>3</v>
      </c>
      <c r="N139" s="53">
        <v>4</v>
      </c>
      <c r="O139" s="53">
        <v>0.25</v>
      </c>
      <c r="P139" s="53">
        <v>0.25</v>
      </c>
      <c r="Q139" s="16">
        <f t="shared" si="6"/>
        <v>0.25</v>
      </c>
      <c r="R139" s="53">
        <v>14.4</v>
      </c>
      <c r="S139" s="53">
        <v>121</v>
      </c>
      <c r="T139" s="16">
        <f t="shared" si="7"/>
        <v>27</v>
      </c>
      <c r="U139" s="53">
        <v>408</v>
      </c>
      <c r="V139" s="16">
        <f t="shared" si="8"/>
        <v>2754</v>
      </c>
      <c r="W139" s="53">
        <v>1</v>
      </c>
      <c r="X139" s="53" t="s">
        <v>46</v>
      </c>
      <c r="Y139" s="53" t="s">
        <v>55</v>
      </c>
      <c r="Z139" s="53" t="s">
        <v>69</v>
      </c>
      <c r="AA139" s="53" t="s">
        <v>47</v>
      </c>
      <c r="AB139" s="53" t="s">
        <v>158</v>
      </c>
    </row>
    <row r="140" spans="1:34" x14ac:dyDescent="0.15">
      <c r="A140" s="53" t="s">
        <v>41</v>
      </c>
      <c r="B140" s="53" t="s">
        <v>157</v>
      </c>
      <c r="C140" s="62">
        <v>2018</v>
      </c>
      <c r="D140" s="63" t="s">
        <v>183</v>
      </c>
      <c r="E140" s="53" t="s">
        <v>204</v>
      </c>
      <c r="F140" s="53" t="s">
        <v>205</v>
      </c>
      <c r="G140" s="53" t="s">
        <v>42</v>
      </c>
      <c r="H140" s="53" t="s">
        <v>160</v>
      </c>
      <c r="I140" s="53" t="s">
        <v>159</v>
      </c>
      <c r="J140" s="53" t="s">
        <v>38</v>
      </c>
      <c r="K140" s="53" t="s">
        <v>161</v>
      </c>
      <c r="L140" s="53">
        <v>1</v>
      </c>
      <c r="N140" s="53">
        <v>8</v>
      </c>
      <c r="O140" s="53">
        <v>0.65</v>
      </c>
      <c r="P140" s="53">
        <v>0.5</v>
      </c>
      <c r="Q140" s="16">
        <f t="shared" si="6"/>
        <v>0.57499999999999996</v>
      </c>
      <c r="R140" s="53">
        <v>14.2</v>
      </c>
      <c r="S140" s="53">
        <v>115</v>
      </c>
      <c r="T140" s="16">
        <f t="shared" si="7"/>
        <v>30</v>
      </c>
      <c r="U140" s="53">
        <v>1058</v>
      </c>
      <c r="V140" s="16">
        <f t="shared" si="8"/>
        <v>3967.5</v>
      </c>
      <c r="W140" s="53">
        <v>2</v>
      </c>
      <c r="X140" s="53" t="s">
        <v>46</v>
      </c>
      <c r="Y140" s="53" t="s">
        <v>55</v>
      </c>
      <c r="Z140" s="53" t="s">
        <v>69</v>
      </c>
      <c r="AA140" s="53" t="s">
        <v>47</v>
      </c>
      <c r="AB140" s="53" t="s">
        <v>158</v>
      </c>
    </row>
    <row r="141" spans="1:34" x14ac:dyDescent="0.15">
      <c r="A141" s="53" t="s">
        <v>41</v>
      </c>
      <c r="B141" s="53" t="s">
        <v>157</v>
      </c>
      <c r="C141" s="62">
        <v>2018</v>
      </c>
      <c r="D141" s="63" t="s">
        <v>183</v>
      </c>
      <c r="E141" s="53" t="s">
        <v>204</v>
      </c>
      <c r="F141" s="53" t="s">
        <v>205</v>
      </c>
      <c r="G141" s="53" t="s">
        <v>42</v>
      </c>
      <c r="H141" s="53" t="s">
        <v>160</v>
      </c>
      <c r="I141" s="53" t="s">
        <v>159</v>
      </c>
      <c r="J141" s="53" t="s">
        <v>38</v>
      </c>
      <c r="K141" s="53" t="s">
        <v>161</v>
      </c>
      <c r="L141" s="53">
        <v>2</v>
      </c>
      <c r="N141" s="53">
        <v>8</v>
      </c>
      <c r="O141" s="53">
        <v>0.5</v>
      </c>
      <c r="P141" s="53">
        <v>0.4</v>
      </c>
      <c r="Q141" s="16">
        <f t="shared" si="6"/>
        <v>0.45</v>
      </c>
      <c r="R141" s="53">
        <v>12.8</v>
      </c>
      <c r="S141" s="53">
        <v>117</v>
      </c>
      <c r="T141" s="16">
        <f t="shared" si="7"/>
        <v>30</v>
      </c>
      <c r="U141" s="53">
        <v>1058</v>
      </c>
      <c r="V141" s="16">
        <f t="shared" si="8"/>
        <v>3967.5</v>
      </c>
      <c r="W141" s="53">
        <v>2</v>
      </c>
      <c r="X141" s="53" t="s">
        <v>46</v>
      </c>
      <c r="Y141" s="53" t="s">
        <v>55</v>
      </c>
      <c r="Z141" s="53" t="s">
        <v>69</v>
      </c>
      <c r="AA141" s="53" t="s">
        <v>47</v>
      </c>
      <c r="AB141" s="53" t="s">
        <v>158</v>
      </c>
    </row>
    <row r="142" spans="1:34" x14ac:dyDescent="0.15">
      <c r="A142" s="53" t="s">
        <v>41</v>
      </c>
      <c r="B142" s="53" t="s">
        <v>157</v>
      </c>
      <c r="C142" s="62">
        <v>2018</v>
      </c>
      <c r="D142" s="63" t="s">
        <v>183</v>
      </c>
      <c r="E142" s="53" t="s">
        <v>204</v>
      </c>
      <c r="F142" s="53" t="s">
        <v>205</v>
      </c>
      <c r="G142" s="53" t="s">
        <v>42</v>
      </c>
      <c r="H142" s="53" t="s">
        <v>160</v>
      </c>
      <c r="I142" s="53" t="s">
        <v>159</v>
      </c>
      <c r="J142" s="53" t="s">
        <v>38</v>
      </c>
      <c r="K142" s="53" t="s">
        <v>161</v>
      </c>
      <c r="L142" s="53">
        <v>3</v>
      </c>
      <c r="N142" s="53">
        <v>8</v>
      </c>
      <c r="O142" s="53">
        <v>0.7</v>
      </c>
      <c r="P142" s="53">
        <v>0.6</v>
      </c>
      <c r="Q142" s="16">
        <f t="shared" si="6"/>
        <v>0.64999999999999991</v>
      </c>
      <c r="R142" s="53">
        <v>15.2</v>
      </c>
      <c r="S142" s="53">
        <v>120</v>
      </c>
      <c r="T142" s="16">
        <f t="shared" si="7"/>
        <v>30</v>
      </c>
      <c r="U142" s="53">
        <v>1058</v>
      </c>
      <c r="V142" s="16">
        <f t="shared" si="8"/>
        <v>3967.5</v>
      </c>
      <c r="W142" s="53">
        <v>2</v>
      </c>
      <c r="X142" s="53" t="s">
        <v>46</v>
      </c>
      <c r="Y142" s="53" t="s">
        <v>55</v>
      </c>
      <c r="Z142" s="53" t="s">
        <v>69</v>
      </c>
      <c r="AA142" s="53" t="s">
        <v>47</v>
      </c>
      <c r="AB142" s="53" t="s">
        <v>158</v>
      </c>
    </row>
    <row r="143" spans="1:34" x14ac:dyDescent="0.15">
      <c r="A143" s="53" t="s">
        <v>41</v>
      </c>
      <c r="B143" s="53" t="s">
        <v>157</v>
      </c>
      <c r="C143" s="62">
        <v>2019</v>
      </c>
      <c r="D143" s="63" t="s">
        <v>183</v>
      </c>
      <c r="E143" s="53" t="s">
        <v>210</v>
      </c>
      <c r="F143" s="53" t="s">
        <v>211</v>
      </c>
      <c r="G143" s="53" t="s">
        <v>42</v>
      </c>
      <c r="H143" s="53" t="s">
        <v>160</v>
      </c>
      <c r="I143" s="53" t="s">
        <v>159</v>
      </c>
      <c r="J143" s="53" t="s">
        <v>38</v>
      </c>
      <c r="K143" s="53" t="s">
        <v>161</v>
      </c>
      <c r="L143" s="53">
        <v>1</v>
      </c>
      <c r="N143" s="53">
        <v>1</v>
      </c>
      <c r="O143" s="53">
        <v>0.25</v>
      </c>
      <c r="P143" s="53">
        <v>0.25</v>
      </c>
      <c r="Q143" s="16">
        <f t="shared" si="6"/>
        <v>0.25</v>
      </c>
      <c r="R143" s="53">
        <v>16.5</v>
      </c>
      <c r="S143" s="53">
        <v>128</v>
      </c>
      <c r="T143" s="38">
        <f t="shared" si="7"/>
        <v>27</v>
      </c>
      <c r="U143" s="53">
        <v>96</v>
      </c>
      <c r="V143" s="38">
        <f t="shared" si="8"/>
        <v>2592</v>
      </c>
      <c r="W143" s="53">
        <v>5</v>
      </c>
      <c r="X143" s="53" t="s">
        <v>46</v>
      </c>
      <c r="Y143" s="53" t="s">
        <v>55</v>
      </c>
      <c r="Z143" s="53" t="s">
        <v>69</v>
      </c>
      <c r="AA143" s="53" t="s">
        <v>97</v>
      </c>
      <c r="AB143" s="53" t="s">
        <v>158</v>
      </c>
      <c r="AC143" s="76"/>
      <c r="AD143" s="76"/>
      <c r="AE143" s="76"/>
      <c r="AF143" s="76"/>
      <c r="AG143" s="76"/>
      <c r="AH143" s="76"/>
    </row>
    <row r="144" spans="1:34" x14ac:dyDescent="0.15">
      <c r="A144" s="53" t="s">
        <v>41</v>
      </c>
      <c r="B144" s="53" t="s">
        <v>157</v>
      </c>
      <c r="C144" s="62">
        <v>2019</v>
      </c>
      <c r="D144" s="63" t="s">
        <v>183</v>
      </c>
      <c r="E144" s="53" t="s">
        <v>210</v>
      </c>
      <c r="F144" s="53" t="s">
        <v>211</v>
      </c>
      <c r="G144" s="53" t="s">
        <v>42</v>
      </c>
      <c r="H144" s="53" t="s">
        <v>160</v>
      </c>
      <c r="I144" s="53" t="s">
        <v>159</v>
      </c>
      <c r="J144" s="53" t="s">
        <v>38</v>
      </c>
      <c r="K144" s="53" t="s">
        <v>161</v>
      </c>
      <c r="L144" s="53">
        <v>2</v>
      </c>
      <c r="N144" s="53">
        <v>1</v>
      </c>
      <c r="O144" s="53">
        <v>0.25</v>
      </c>
      <c r="P144" s="53">
        <v>0.25</v>
      </c>
      <c r="Q144" s="16">
        <f t="shared" si="6"/>
        <v>0.25</v>
      </c>
      <c r="R144" s="53">
        <v>15.4</v>
      </c>
      <c r="S144" s="53">
        <v>126</v>
      </c>
      <c r="T144" s="38">
        <f t="shared" si="7"/>
        <v>27</v>
      </c>
      <c r="U144" s="53">
        <v>96</v>
      </c>
      <c r="V144" s="38">
        <f t="shared" si="8"/>
        <v>2592</v>
      </c>
      <c r="W144" s="53">
        <v>5</v>
      </c>
      <c r="X144" s="53" t="s">
        <v>46</v>
      </c>
      <c r="Y144" s="53" t="s">
        <v>55</v>
      </c>
      <c r="Z144" s="53" t="s">
        <v>69</v>
      </c>
      <c r="AA144" s="53" t="s">
        <v>97</v>
      </c>
      <c r="AB144" s="53" t="s">
        <v>158</v>
      </c>
      <c r="AC144" s="76"/>
      <c r="AD144" s="76"/>
      <c r="AE144" s="76"/>
      <c r="AF144" s="76"/>
      <c r="AG144" s="76"/>
      <c r="AH144" s="76"/>
    </row>
    <row r="145" spans="1:34" x14ac:dyDescent="0.15">
      <c r="A145" s="53" t="s">
        <v>41</v>
      </c>
      <c r="B145" s="53" t="s">
        <v>157</v>
      </c>
      <c r="C145" s="62">
        <v>2019</v>
      </c>
      <c r="D145" s="63" t="s">
        <v>183</v>
      </c>
      <c r="E145" s="53" t="s">
        <v>210</v>
      </c>
      <c r="F145" s="53" t="s">
        <v>211</v>
      </c>
      <c r="G145" s="53" t="s">
        <v>42</v>
      </c>
      <c r="H145" s="53" t="s">
        <v>160</v>
      </c>
      <c r="I145" s="53" t="s">
        <v>159</v>
      </c>
      <c r="J145" s="53" t="s">
        <v>38</v>
      </c>
      <c r="K145" s="53" t="s">
        <v>161</v>
      </c>
      <c r="L145" s="53">
        <v>3</v>
      </c>
      <c r="N145" s="53">
        <v>1</v>
      </c>
      <c r="O145" s="53">
        <v>0.25</v>
      </c>
      <c r="P145" s="53">
        <v>0.25</v>
      </c>
      <c r="Q145" s="16">
        <f t="shared" si="6"/>
        <v>0.25</v>
      </c>
      <c r="R145" s="53">
        <v>14.1</v>
      </c>
      <c r="S145" s="53">
        <v>123</v>
      </c>
      <c r="T145" s="38">
        <f t="shared" si="7"/>
        <v>27</v>
      </c>
      <c r="U145" s="53">
        <v>96</v>
      </c>
      <c r="V145" s="38">
        <f t="shared" si="8"/>
        <v>2592</v>
      </c>
      <c r="W145" s="53">
        <v>5</v>
      </c>
      <c r="X145" s="53" t="s">
        <v>46</v>
      </c>
      <c r="Y145" s="53" t="s">
        <v>55</v>
      </c>
      <c r="Z145" s="53" t="s">
        <v>69</v>
      </c>
      <c r="AA145" s="53" t="s">
        <v>97</v>
      </c>
      <c r="AB145" s="53" t="s">
        <v>158</v>
      </c>
      <c r="AC145" s="76"/>
      <c r="AD145" s="76"/>
      <c r="AE145" s="76"/>
      <c r="AF145" s="76"/>
      <c r="AG145" s="76"/>
      <c r="AH145" s="76"/>
    </row>
    <row r="146" spans="1:34" x14ac:dyDescent="0.15">
      <c r="A146" s="53" t="s">
        <v>41</v>
      </c>
      <c r="B146" s="53" t="s">
        <v>157</v>
      </c>
      <c r="C146" s="62">
        <v>2019</v>
      </c>
      <c r="D146" s="63" t="s">
        <v>183</v>
      </c>
      <c r="E146" s="53" t="s">
        <v>210</v>
      </c>
      <c r="F146" s="53" t="s">
        <v>211</v>
      </c>
      <c r="G146" s="53" t="s">
        <v>42</v>
      </c>
      <c r="H146" s="53" t="s">
        <v>160</v>
      </c>
      <c r="I146" s="53" t="s">
        <v>159</v>
      </c>
      <c r="J146" s="53" t="s">
        <v>38</v>
      </c>
      <c r="K146" s="53" t="s">
        <v>161</v>
      </c>
      <c r="L146" s="53">
        <v>1</v>
      </c>
      <c r="N146" s="53">
        <v>4</v>
      </c>
      <c r="O146" s="53">
        <v>0.3</v>
      </c>
      <c r="P146" s="53">
        <v>0.25</v>
      </c>
      <c r="Q146" s="16">
        <f t="shared" si="6"/>
        <v>0.27500000000000002</v>
      </c>
      <c r="R146" s="53">
        <v>15.1</v>
      </c>
      <c r="S146" s="53">
        <v>122</v>
      </c>
      <c r="T146" s="38">
        <f t="shared" si="7"/>
        <v>27</v>
      </c>
      <c r="U146" s="53">
        <v>320</v>
      </c>
      <c r="V146" s="38">
        <f t="shared" si="8"/>
        <v>2160</v>
      </c>
      <c r="W146" s="53">
        <v>2</v>
      </c>
      <c r="X146" s="53" t="s">
        <v>46</v>
      </c>
      <c r="Y146" s="53" t="s">
        <v>55</v>
      </c>
      <c r="Z146" s="53" t="s">
        <v>69</v>
      </c>
      <c r="AA146" s="53" t="s">
        <v>97</v>
      </c>
      <c r="AB146" s="53" t="s">
        <v>158</v>
      </c>
      <c r="AC146" s="76"/>
      <c r="AD146" s="76"/>
      <c r="AE146" s="76"/>
      <c r="AF146" s="76"/>
      <c r="AG146" s="76"/>
      <c r="AH146" s="76"/>
    </row>
    <row r="147" spans="1:34" x14ac:dyDescent="0.15">
      <c r="A147" s="53" t="s">
        <v>41</v>
      </c>
      <c r="B147" s="53" t="s">
        <v>157</v>
      </c>
      <c r="C147" s="62">
        <v>2019</v>
      </c>
      <c r="D147" s="63" t="s">
        <v>183</v>
      </c>
      <c r="E147" s="53" t="s">
        <v>210</v>
      </c>
      <c r="F147" s="53" t="s">
        <v>211</v>
      </c>
      <c r="G147" s="53" t="s">
        <v>42</v>
      </c>
      <c r="H147" s="53" t="s">
        <v>160</v>
      </c>
      <c r="I147" s="53" t="s">
        <v>159</v>
      </c>
      <c r="J147" s="53" t="s">
        <v>38</v>
      </c>
      <c r="K147" s="53" t="s">
        <v>161</v>
      </c>
      <c r="L147" s="53">
        <v>2</v>
      </c>
      <c r="N147" s="53">
        <v>4</v>
      </c>
      <c r="O147" s="53">
        <v>0.25</v>
      </c>
      <c r="P147" s="53">
        <v>0.25</v>
      </c>
      <c r="Q147" s="16">
        <f t="shared" si="6"/>
        <v>0.25</v>
      </c>
      <c r="R147" s="53">
        <v>16.2</v>
      </c>
      <c r="S147" s="53">
        <v>122</v>
      </c>
      <c r="T147" s="38">
        <f t="shared" si="7"/>
        <v>27</v>
      </c>
      <c r="U147" s="53">
        <v>320</v>
      </c>
      <c r="V147" s="38">
        <f t="shared" si="8"/>
        <v>2160</v>
      </c>
      <c r="W147" s="53">
        <v>2</v>
      </c>
      <c r="X147" s="53" t="s">
        <v>46</v>
      </c>
      <c r="Y147" s="53" t="s">
        <v>55</v>
      </c>
      <c r="Z147" s="53" t="s">
        <v>69</v>
      </c>
      <c r="AA147" s="53" t="s">
        <v>97</v>
      </c>
      <c r="AB147" s="53" t="s">
        <v>158</v>
      </c>
      <c r="AC147" s="76"/>
      <c r="AD147" s="76"/>
      <c r="AE147" s="76"/>
      <c r="AF147" s="76"/>
      <c r="AG147" s="76"/>
      <c r="AH147" s="76"/>
    </row>
    <row r="148" spans="1:34" x14ac:dyDescent="0.15">
      <c r="A148" s="53" t="s">
        <v>41</v>
      </c>
      <c r="B148" s="53" t="s">
        <v>157</v>
      </c>
      <c r="C148" s="62">
        <v>2019</v>
      </c>
      <c r="D148" s="63" t="s">
        <v>183</v>
      </c>
      <c r="E148" s="53" t="s">
        <v>210</v>
      </c>
      <c r="F148" s="53" t="s">
        <v>211</v>
      </c>
      <c r="G148" s="53" t="s">
        <v>42</v>
      </c>
      <c r="H148" s="53" t="s">
        <v>160</v>
      </c>
      <c r="I148" s="53" t="s">
        <v>159</v>
      </c>
      <c r="J148" s="53" t="s">
        <v>38</v>
      </c>
      <c r="K148" s="53" t="s">
        <v>161</v>
      </c>
      <c r="L148" s="53">
        <v>3</v>
      </c>
      <c r="N148" s="53">
        <v>4</v>
      </c>
      <c r="O148" s="53">
        <v>0.25</v>
      </c>
      <c r="P148" s="53">
        <v>0.3</v>
      </c>
      <c r="Q148" s="16">
        <f t="shared" si="6"/>
        <v>0.27500000000000002</v>
      </c>
      <c r="R148" s="53">
        <v>13.6</v>
      </c>
      <c r="S148" s="53">
        <v>123</v>
      </c>
      <c r="T148" s="38">
        <f t="shared" si="7"/>
        <v>27</v>
      </c>
      <c r="U148" s="53">
        <v>320</v>
      </c>
      <c r="V148" s="38">
        <f t="shared" si="8"/>
        <v>2160</v>
      </c>
      <c r="W148" s="53">
        <v>2</v>
      </c>
      <c r="X148" s="53" t="s">
        <v>46</v>
      </c>
      <c r="Y148" s="53" t="s">
        <v>55</v>
      </c>
      <c r="Z148" s="53" t="s">
        <v>69</v>
      </c>
      <c r="AA148" s="53" t="s">
        <v>97</v>
      </c>
      <c r="AB148" s="53" t="s">
        <v>158</v>
      </c>
      <c r="AC148" s="76"/>
      <c r="AD148" s="76"/>
      <c r="AE148" s="76"/>
      <c r="AF148" s="76"/>
      <c r="AG148" s="76"/>
      <c r="AH148" s="76"/>
    </row>
    <row r="149" spans="1:34" x14ac:dyDescent="0.15">
      <c r="A149" s="53" t="s">
        <v>41</v>
      </c>
      <c r="B149" s="53" t="s">
        <v>157</v>
      </c>
      <c r="C149" s="62">
        <v>2019</v>
      </c>
      <c r="D149" s="63" t="s">
        <v>183</v>
      </c>
      <c r="E149" s="53" t="s">
        <v>210</v>
      </c>
      <c r="F149" s="53" t="s">
        <v>211</v>
      </c>
      <c r="G149" s="53" t="s">
        <v>42</v>
      </c>
      <c r="H149" s="53" t="s">
        <v>164</v>
      </c>
      <c r="I149" s="53" t="s">
        <v>159</v>
      </c>
      <c r="J149" s="53" t="s">
        <v>38</v>
      </c>
      <c r="K149" s="53" t="s">
        <v>161</v>
      </c>
      <c r="L149" s="53">
        <v>1</v>
      </c>
      <c r="N149" s="53">
        <v>1</v>
      </c>
      <c r="O149" s="53">
        <v>0.3</v>
      </c>
      <c r="P149" s="53">
        <v>0.4</v>
      </c>
      <c r="Q149" s="16">
        <f t="shared" si="6"/>
        <v>0.35</v>
      </c>
      <c r="R149" s="53">
        <v>13.8</v>
      </c>
      <c r="S149" s="53">
        <v>128</v>
      </c>
      <c r="T149" s="38">
        <f t="shared" si="7"/>
        <v>27</v>
      </c>
      <c r="U149" s="53">
        <v>96</v>
      </c>
      <c r="V149" s="38">
        <f t="shared" si="8"/>
        <v>2592</v>
      </c>
      <c r="W149" s="53">
        <v>3</v>
      </c>
      <c r="X149" s="53" t="s">
        <v>46</v>
      </c>
      <c r="Y149" s="53" t="s">
        <v>55</v>
      </c>
      <c r="Z149" s="53" t="s">
        <v>69</v>
      </c>
      <c r="AA149" s="53" t="s">
        <v>97</v>
      </c>
      <c r="AB149" s="53" t="s">
        <v>158</v>
      </c>
      <c r="AC149" s="76"/>
      <c r="AD149" s="76"/>
      <c r="AE149" s="76"/>
      <c r="AF149" s="76"/>
      <c r="AG149" s="76"/>
      <c r="AH149" s="76"/>
    </row>
    <row r="150" spans="1:34" x14ac:dyDescent="0.15">
      <c r="A150" s="53" t="s">
        <v>41</v>
      </c>
      <c r="B150" s="53" t="s">
        <v>157</v>
      </c>
      <c r="C150" s="62">
        <v>2019</v>
      </c>
      <c r="D150" s="63" t="s">
        <v>183</v>
      </c>
      <c r="E150" s="53" t="s">
        <v>210</v>
      </c>
      <c r="F150" s="53" t="s">
        <v>211</v>
      </c>
      <c r="G150" s="53" t="s">
        <v>42</v>
      </c>
      <c r="H150" s="53" t="s">
        <v>164</v>
      </c>
      <c r="I150" s="53" t="s">
        <v>159</v>
      </c>
      <c r="J150" s="53" t="s">
        <v>38</v>
      </c>
      <c r="K150" s="53" t="s">
        <v>161</v>
      </c>
      <c r="L150" s="53">
        <v>2</v>
      </c>
      <c r="N150" s="53">
        <v>1</v>
      </c>
      <c r="O150" s="53">
        <v>0.5</v>
      </c>
      <c r="P150" s="53">
        <v>0.5</v>
      </c>
      <c r="Q150" s="16">
        <f t="shared" si="6"/>
        <v>0.5</v>
      </c>
      <c r="R150" s="53">
        <v>15.2</v>
      </c>
      <c r="S150" s="53">
        <v>124</v>
      </c>
      <c r="T150" s="38">
        <f t="shared" si="7"/>
        <v>27</v>
      </c>
      <c r="U150" s="53">
        <v>96</v>
      </c>
      <c r="V150" s="38">
        <f t="shared" si="8"/>
        <v>2592</v>
      </c>
      <c r="W150" s="53">
        <v>3</v>
      </c>
      <c r="X150" s="53" t="s">
        <v>46</v>
      </c>
      <c r="Y150" s="53" t="s">
        <v>55</v>
      </c>
      <c r="Z150" s="53" t="s">
        <v>69</v>
      </c>
      <c r="AA150" s="53" t="s">
        <v>97</v>
      </c>
      <c r="AB150" s="53" t="s">
        <v>158</v>
      </c>
      <c r="AC150" s="76"/>
      <c r="AD150" s="76"/>
      <c r="AE150" s="76"/>
      <c r="AF150" s="76"/>
      <c r="AG150" s="76"/>
      <c r="AH150" s="76"/>
    </row>
    <row r="151" spans="1:34" x14ac:dyDescent="0.15">
      <c r="A151" s="53" t="s">
        <v>41</v>
      </c>
      <c r="B151" s="53" t="s">
        <v>157</v>
      </c>
      <c r="C151" s="62">
        <v>2019</v>
      </c>
      <c r="D151" s="63" t="s">
        <v>183</v>
      </c>
      <c r="E151" s="53" t="s">
        <v>210</v>
      </c>
      <c r="F151" s="53" t="s">
        <v>211</v>
      </c>
      <c r="G151" s="53" t="s">
        <v>42</v>
      </c>
      <c r="H151" s="53" t="s">
        <v>164</v>
      </c>
      <c r="I151" s="53" t="s">
        <v>159</v>
      </c>
      <c r="J151" s="53" t="s">
        <v>38</v>
      </c>
      <c r="K151" s="53" t="s">
        <v>161</v>
      </c>
      <c r="L151" s="53">
        <v>3</v>
      </c>
      <c r="N151" s="53">
        <v>1</v>
      </c>
      <c r="O151" s="53">
        <v>0.4</v>
      </c>
      <c r="P151" s="53">
        <v>0.35</v>
      </c>
      <c r="Q151" s="16">
        <f t="shared" si="6"/>
        <v>0.375</v>
      </c>
      <c r="R151" s="53">
        <v>14.4</v>
      </c>
      <c r="S151" s="53">
        <v>125</v>
      </c>
      <c r="T151" s="38">
        <f t="shared" si="7"/>
        <v>27</v>
      </c>
      <c r="U151" s="53">
        <v>96</v>
      </c>
      <c r="V151" s="38">
        <f t="shared" si="8"/>
        <v>2592</v>
      </c>
      <c r="W151" s="53">
        <v>3</v>
      </c>
      <c r="X151" s="53" t="s">
        <v>46</v>
      </c>
      <c r="Y151" s="53" t="s">
        <v>55</v>
      </c>
      <c r="Z151" s="53" t="s">
        <v>69</v>
      </c>
      <c r="AA151" s="53" t="s">
        <v>97</v>
      </c>
      <c r="AB151" s="53" t="s">
        <v>158</v>
      </c>
      <c r="AC151" s="76"/>
      <c r="AD151" s="76"/>
      <c r="AE151" s="76"/>
      <c r="AF151" s="76"/>
      <c r="AG151" s="76"/>
      <c r="AH151" s="76"/>
    </row>
    <row r="152" spans="1:34" x14ac:dyDescent="0.15">
      <c r="A152" s="53" t="s">
        <v>41</v>
      </c>
      <c r="B152" s="53" t="s">
        <v>157</v>
      </c>
      <c r="C152" s="62">
        <v>2019</v>
      </c>
      <c r="D152" s="63" t="s">
        <v>183</v>
      </c>
      <c r="E152" s="53" t="s">
        <v>210</v>
      </c>
      <c r="F152" s="53" t="s">
        <v>211</v>
      </c>
      <c r="G152" s="53" t="s">
        <v>42</v>
      </c>
      <c r="H152" s="53" t="s">
        <v>164</v>
      </c>
      <c r="I152" s="53" t="s">
        <v>159</v>
      </c>
      <c r="J152" s="53" t="s">
        <v>38</v>
      </c>
      <c r="K152" s="53" t="s">
        <v>161</v>
      </c>
      <c r="L152" s="53">
        <v>1</v>
      </c>
      <c r="N152" s="53">
        <v>4</v>
      </c>
      <c r="O152" s="53">
        <v>0.35</v>
      </c>
      <c r="P152" s="53">
        <v>0.4</v>
      </c>
      <c r="Q152" s="16">
        <f t="shared" si="6"/>
        <v>0.375</v>
      </c>
      <c r="R152" s="53">
        <v>14.5</v>
      </c>
      <c r="S152" s="53">
        <v>118</v>
      </c>
      <c r="T152" s="38">
        <f t="shared" si="7"/>
        <v>30</v>
      </c>
      <c r="U152" s="53">
        <v>320</v>
      </c>
      <c r="V152" s="38">
        <f t="shared" si="8"/>
        <v>2400</v>
      </c>
      <c r="W152" s="53">
        <v>2</v>
      </c>
      <c r="X152" s="53" t="s">
        <v>46</v>
      </c>
      <c r="Y152" s="53" t="s">
        <v>55</v>
      </c>
      <c r="Z152" s="53" t="s">
        <v>69</v>
      </c>
      <c r="AA152" s="53" t="s">
        <v>97</v>
      </c>
      <c r="AB152" s="53" t="s">
        <v>158</v>
      </c>
      <c r="AC152" s="76"/>
      <c r="AD152" s="76"/>
      <c r="AE152" s="76"/>
      <c r="AF152" s="76"/>
      <c r="AG152" s="76"/>
      <c r="AH152" s="76"/>
    </row>
    <row r="153" spans="1:34" x14ac:dyDescent="0.15">
      <c r="A153" s="53" t="s">
        <v>41</v>
      </c>
      <c r="B153" s="53" t="s">
        <v>157</v>
      </c>
      <c r="C153" s="62">
        <v>2019</v>
      </c>
      <c r="D153" s="63" t="s">
        <v>183</v>
      </c>
      <c r="E153" s="53" t="s">
        <v>210</v>
      </c>
      <c r="F153" s="53" t="s">
        <v>211</v>
      </c>
      <c r="G153" s="53" t="s">
        <v>42</v>
      </c>
      <c r="H153" s="53" t="s">
        <v>164</v>
      </c>
      <c r="I153" s="53" t="s">
        <v>159</v>
      </c>
      <c r="J153" s="53" t="s">
        <v>38</v>
      </c>
      <c r="K153" s="53" t="s">
        <v>161</v>
      </c>
      <c r="L153" s="53">
        <v>2</v>
      </c>
      <c r="N153" s="53">
        <v>4</v>
      </c>
      <c r="O153" s="53">
        <v>0.35</v>
      </c>
      <c r="P153" s="53">
        <v>0.5</v>
      </c>
      <c r="Q153" s="16">
        <f t="shared" si="6"/>
        <v>0.42499999999999999</v>
      </c>
      <c r="R153" s="53">
        <v>14.6</v>
      </c>
      <c r="S153" s="53">
        <v>115</v>
      </c>
      <c r="T153" s="38">
        <f t="shared" si="7"/>
        <v>30</v>
      </c>
      <c r="U153" s="53">
        <v>320</v>
      </c>
      <c r="V153" s="38">
        <f t="shared" si="8"/>
        <v>2400</v>
      </c>
      <c r="W153" s="53">
        <v>2</v>
      </c>
      <c r="X153" s="53" t="s">
        <v>46</v>
      </c>
      <c r="Y153" s="53" t="s">
        <v>55</v>
      </c>
      <c r="Z153" s="53" t="s">
        <v>69</v>
      </c>
      <c r="AA153" s="53" t="s">
        <v>97</v>
      </c>
      <c r="AB153" s="53" t="s">
        <v>158</v>
      </c>
      <c r="AC153" s="76"/>
      <c r="AD153" s="76"/>
      <c r="AE153" s="76"/>
      <c r="AF153" s="76"/>
      <c r="AG153" s="76"/>
      <c r="AH153" s="76"/>
    </row>
    <row r="154" spans="1:34" x14ac:dyDescent="0.15">
      <c r="A154" s="53" t="s">
        <v>41</v>
      </c>
      <c r="B154" s="53" t="s">
        <v>157</v>
      </c>
      <c r="C154" s="62">
        <v>2019</v>
      </c>
      <c r="D154" s="63" t="s">
        <v>183</v>
      </c>
      <c r="E154" s="53" t="s">
        <v>210</v>
      </c>
      <c r="F154" s="53" t="s">
        <v>211</v>
      </c>
      <c r="G154" s="53" t="s">
        <v>42</v>
      </c>
      <c r="H154" s="53" t="s">
        <v>164</v>
      </c>
      <c r="I154" s="53" t="s">
        <v>159</v>
      </c>
      <c r="J154" s="53" t="s">
        <v>38</v>
      </c>
      <c r="K154" s="53" t="s">
        <v>161</v>
      </c>
      <c r="L154" s="53">
        <v>3</v>
      </c>
      <c r="N154" s="53">
        <v>4</v>
      </c>
      <c r="O154" s="53">
        <v>0.4</v>
      </c>
      <c r="P154" s="53">
        <v>0.35</v>
      </c>
      <c r="Q154" s="16">
        <f t="shared" si="6"/>
        <v>0.375</v>
      </c>
      <c r="R154" s="53">
        <v>12.7</v>
      </c>
      <c r="S154" s="53">
        <v>120</v>
      </c>
      <c r="T154" s="38">
        <f t="shared" si="7"/>
        <v>30</v>
      </c>
      <c r="U154" s="53">
        <v>320</v>
      </c>
      <c r="V154" s="38">
        <f t="shared" si="8"/>
        <v>2400</v>
      </c>
      <c r="W154" s="53">
        <v>2</v>
      </c>
      <c r="X154" s="53" t="s">
        <v>46</v>
      </c>
      <c r="Y154" s="53" t="s">
        <v>55</v>
      </c>
      <c r="Z154" s="53" t="s">
        <v>69</v>
      </c>
      <c r="AA154" s="53" t="s">
        <v>97</v>
      </c>
      <c r="AB154" s="53" t="s">
        <v>158</v>
      </c>
      <c r="AC154" s="76"/>
      <c r="AD154" s="76"/>
      <c r="AE154" s="76"/>
      <c r="AF154" s="76"/>
      <c r="AG154" s="76"/>
      <c r="AH154" s="76"/>
    </row>
    <row r="155" spans="1:34" x14ac:dyDescent="0.15">
      <c r="Q155" s="75" t="str">
        <f t="shared" si="6"/>
        <v/>
      </c>
      <c r="T155" s="16" t="str">
        <f t="shared" si="7"/>
        <v/>
      </c>
      <c r="V155" s="16" t="str">
        <f t="shared" si="8"/>
        <v/>
      </c>
    </row>
    <row r="156" spans="1:34" x14ac:dyDescent="0.15">
      <c r="Q156" s="75" t="str">
        <f t="shared" si="6"/>
        <v/>
      </c>
      <c r="T156" s="16" t="str">
        <f t="shared" si="7"/>
        <v/>
      </c>
      <c r="V156" s="16" t="str">
        <f t="shared" si="8"/>
        <v/>
      </c>
    </row>
    <row r="157" spans="1:34" x14ac:dyDescent="0.15">
      <c r="Q157" s="75" t="str">
        <f t="shared" si="6"/>
        <v/>
      </c>
      <c r="T157" s="16" t="str">
        <f t="shared" si="7"/>
        <v/>
      </c>
      <c r="V157" s="16" t="str">
        <f t="shared" si="8"/>
        <v/>
      </c>
    </row>
    <row r="158" spans="1:34" x14ac:dyDescent="0.15">
      <c r="Q158" s="75" t="str">
        <f t="shared" si="6"/>
        <v/>
      </c>
      <c r="T158" s="16" t="str">
        <f t="shared" si="7"/>
        <v/>
      </c>
      <c r="V158" s="16" t="str">
        <f t="shared" si="8"/>
        <v/>
      </c>
    </row>
    <row r="159" spans="1:34" x14ac:dyDescent="0.15">
      <c r="Q159" s="75" t="str">
        <f t="shared" si="6"/>
        <v/>
      </c>
      <c r="T159" s="16" t="str">
        <f t="shared" si="7"/>
        <v/>
      </c>
      <c r="V159" s="16" t="str">
        <f t="shared" si="8"/>
        <v/>
      </c>
    </row>
    <row r="160" spans="1:34" x14ac:dyDescent="0.15">
      <c r="Q160" s="75" t="str">
        <f t="shared" si="6"/>
        <v/>
      </c>
      <c r="T160" s="16" t="str">
        <f t="shared" si="7"/>
        <v/>
      </c>
      <c r="V160" s="16" t="str">
        <f t="shared" si="8"/>
        <v/>
      </c>
    </row>
    <row r="161" spans="17:22" x14ac:dyDescent="0.15">
      <c r="Q161" s="75" t="str">
        <f t="shared" si="6"/>
        <v/>
      </c>
      <c r="T161" s="16" t="str">
        <f t="shared" si="7"/>
        <v/>
      </c>
      <c r="V161" s="16" t="str">
        <f t="shared" si="8"/>
        <v/>
      </c>
    </row>
    <row r="162" spans="17:22" x14ac:dyDescent="0.15">
      <c r="Q162" s="75" t="str">
        <f t="shared" si="6"/>
        <v/>
      </c>
      <c r="T162" s="16" t="str">
        <f t="shared" si="7"/>
        <v/>
      </c>
      <c r="V162" s="16" t="str">
        <f t="shared" si="8"/>
        <v/>
      </c>
    </row>
    <row r="163" spans="17:22" x14ac:dyDescent="0.15">
      <c r="Q163" s="75" t="str">
        <f t="shared" si="6"/>
        <v/>
      </c>
      <c r="T163" s="16" t="str">
        <f t="shared" si="7"/>
        <v/>
      </c>
      <c r="V163" s="16" t="str">
        <f t="shared" si="8"/>
        <v/>
      </c>
    </row>
    <row r="164" spans="17:22" x14ac:dyDescent="0.15">
      <c r="Q164" s="75" t="str">
        <f t="shared" si="6"/>
        <v/>
      </c>
      <c r="T164" s="16" t="str">
        <f t="shared" si="7"/>
        <v/>
      </c>
      <c r="V164" s="16" t="str">
        <f t="shared" si="8"/>
        <v/>
      </c>
    </row>
    <row r="165" spans="17:22" x14ac:dyDescent="0.15">
      <c r="Q165" s="75" t="str">
        <f t="shared" si="6"/>
        <v/>
      </c>
      <c r="T165" s="16" t="str">
        <f t="shared" si="7"/>
        <v/>
      </c>
      <c r="V165" s="16" t="str">
        <f t="shared" si="8"/>
        <v/>
      </c>
    </row>
    <row r="166" spans="17:22" x14ac:dyDescent="0.15">
      <c r="Q166" s="75" t="str">
        <f t="shared" si="6"/>
        <v/>
      </c>
      <c r="T166" s="16" t="str">
        <f t="shared" si="7"/>
        <v/>
      </c>
      <c r="V166" s="16" t="str">
        <f t="shared" si="8"/>
        <v/>
      </c>
    </row>
    <row r="167" spans="17:22" x14ac:dyDescent="0.15">
      <c r="Q167" s="75" t="str">
        <f t="shared" si="6"/>
        <v/>
      </c>
      <c r="T167" s="16" t="str">
        <f t="shared" si="7"/>
        <v/>
      </c>
      <c r="V167" s="16" t="str">
        <f t="shared" si="8"/>
        <v/>
      </c>
    </row>
    <row r="168" spans="17:22" x14ac:dyDescent="0.15">
      <c r="Q168" s="75" t="str">
        <f t="shared" si="6"/>
        <v/>
      </c>
      <c r="T168" s="16" t="str">
        <f t="shared" si="7"/>
        <v/>
      </c>
      <c r="V168" s="16" t="str">
        <f t="shared" si="8"/>
        <v/>
      </c>
    </row>
    <row r="169" spans="17:22" x14ac:dyDescent="0.15">
      <c r="Q169" s="75" t="str">
        <f t="shared" si="6"/>
        <v/>
      </c>
      <c r="T169" s="16" t="str">
        <f t="shared" si="7"/>
        <v/>
      </c>
      <c r="V169" s="16" t="str">
        <f t="shared" si="8"/>
        <v/>
      </c>
    </row>
    <row r="170" spans="17:22" x14ac:dyDescent="0.15">
      <c r="Q170" s="75" t="str">
        <f t="shared" si="6"/>
        <v/>
      </c>
      <c r="T170" s="16" t="str">
        <f t="shared" si="7"/>
        <v/>
      </c>
      <c r="V170" s="16" t="str">
        <f t="shared" si="8"/>
        <v/>
      </c>
    </row>
    <row r="171" spans="17:22" x14ac:dyDescent="0.15">
      <c r="Q171" s="75" t="str">
        <f t="shared" si="6"/>
        <v/>
      </c>
      <c r="T171" s="16" t="str">
        <f t="shared" si="7"/>
        <v/>
      </c>
      <c r="V171" s="16" t="str">
        <f t="shared" si="8"/>
        <v/>
      </c>
    </row>
    <row r="172" spans="17:22" x14ac:dyDescent="0.15">
      <c r="Q172" s="75" t="str">
        <f t="shared" si="6"/>
        <v/>
      </c>
      <c r="T172" s="16" t="str">
        <f t="shared" si="7"/>
        <v/>
      </c>
      <c r="V172" s="16" t="str">
        <f t="shared" si="8"/>
        <v/>
      </c>
    </row>
    <row r="173" spans="17:22" x14ac:dyDescent="0.15">
      <c r="Q173" s="75" t="str">
        <f t="shared" si="6"/>
        <v/>
      </c>
      <c r="T173" s="16" t="str">
        <f t="shared" si="7"/>
        <v/>
      </c>
      <c r="V173" s="16" t="str">
        <f t="shared" si="8"/>
        <v/>
      </c>
    </row>
    <row r="174" spans="17:22" x14ac:dyDescent="0.15">
      <c r="Q174" s="75" t="str">
        <f t="shared" si="6"/>
        <v/>
      </c>
      <c r="T174" s="16" t="str">
        <f t="shared" si="7"/>
        <v/>
      </c>
      <c r="V174" s="16" t="str">
        <f t="shared" si="8"/>
        <v/>
      </c>
    </row>
    <row r="175" spans="17:22" x14ac:dyDescent="0.15">
      <c r="Q175" s="75" t="str">
        <f t="shared" si="6"/>
        <v/>
      </c>
      <c r="T175" s="16" t="str">
        <f t="shared" si="7"/>
        <v/>
      </c>
      <c r="V175" s="16" t="str">
        <f t="shared" si="8"/>
        <v/>
      </c>
    </row>
    <row r="176" spans="17:22" x14ac:dyDescent="0.15">
      <c r="Q176" s="75" t="str">
        <f t="shared" si="6"/>
        <v/>
      </c>
      <c r="T176" s="16" t="str">
        <f t="shared" si="7"/>
        <v/>
      </c>
      <c r="V176" s="16" t="str">
        <f t="shared" si="8"/>
        <v/>
      </c>
    </row>
    <row r="177" spans="17:22" x14ac:dyDescent="0.15">
      <c r="Q177" s="75" t="str">
        <f t="shared" si="6"/>
        <v/>
      </c>
      <c r="T177" s="16" t="str">
        <f t="shared" si="7"/>
        <v/>
      </c>
      <c r="V177" s="16" t="str">
        <f t="shared" si="8"/>
        <v/>
      </c>
    </row>
    <row r="178" spans="17:22" x14ac:dyDescent="0.15">
      <c r="Q178" s="75" t="str">
        <f t="shared" si="6"/>
        <v/>
      </c>
      <c r="T178" s="16" t="str">
        <f t="shared" si="7"/>
        <v/>
      </c>
      <c r="V178" s="16" t="str">
        <f t="shared" si="8"/>
        <v/>
      </c>
    </row>
    <row r="179" spans="17:22" x14ac:dyDescent="0.15">
      <c r="Q179" s="75" t="str">
        <f t="shared" si="6"/>
        <v/>
      </c>
      <c r="T179" s="16" t="str">
        <f t="shared" si="7"/>
        <v/>
      </c>
      <c r="V179" s="16" t="str">
        <f t="shared" si="8"/>
        <v/>
      </c>
    </row>
    <row r="180" spans="17:22" x14ac:dyDescent="0.15">
      <c r="Q180" s="75" t="str">
        <f t="shared" si="6"/>
        <v/>
      </c>
      <c r="T180" s="16" t="str">
        <f t="shared" si="7"/>
        <v/>
      </c>
      <c r="V180" s="16" t="str">
        <f t="shared" si="8"/>
        <v/>
      </c>
    </row>
    <row r="181" spans="17:22" x14ac:dyDescent="0.15">
      <c r="Q181" s="75" t="str">
        <f t="shared" si="6"/>
        <v/>
      </c>
      <c r="T181" s="16" t="str">
        <f t="shared" si="7"/>
        <v/>
      </c>
      <c r="V181" s="16" t="str">
        <f t="shared" si="8"/>
        <v/>
      </c>
    </row>
    <row r="182" spans="17:22" x14ac:dyDescent="0.15">
      <c r="Q182" s="75" t="str">
        <f t="shared" si="6"/>
        <v/>
      </c>
      <c r="T182" s="16" t="str">
        <f t="shared" si="7"/>
        <v/>
      </c>
      <c r="V182" s="16" t="str">
        <f t="shared" si="8"/>
        <v/>
      </c>
    </row>
    <row r="183" spans="17:22" x14ac:dyDescent="0.15">
      <c r="Q183" s="75" t="str">
        <f t="shared" si="6"/>
        <v/>
      </c>
      <c r="T183" s="16" t="str">
        <f t="shared" si="7"/>
        <v/>
      </c>
      <c r="V183" s="16" t="str">
        <f t="shared" si="8"/>
        <v/>
      </c>
    </row>
    <row r="184" spans="17:22" x14ac:dyDescent="0.15">
      <c r="Q184" s="75" t="str">
        <f t="shared" si="6"/>
        <v/>
      </c>
      <c r="T184" s="16" t="str">
        <f t="shared" si="7"/>
        <v/>
      </c>
      <c r="V184" s="16" t="str">
        <f t="shared" si="8"/>
        <v/>
      </c>
    </row>
    <row r="185" spans="17:22" x14ac:dyDescent="0.15">
      <c r="Q185" s="75" t="str">
        <f t="shared" si="6"/>
        <v/>
      </c>
      <c r="T185" s="16" t="str">
        <f t="shared" si="7"/>
        <v/>
      </c>
      <c r="V185" s="16" t="str">
        <f t="shared" si="8"/>
        <v/>
      </c>
    </row>
    <row r="186" spans="17:22" x14ac:dyDescent="0.15">
      <c r="Q186" s="75" t="str">
        <f t="shared" si="6"/>
        <v/>
      </c>
      <c r="T186" s="16" t="str">
        <f t="shared" si="7"/>
        <v/>
      </c>
      <c r="V186" s="16" t="str">
        <f t="shared" si="8"/>
        <v/>
      </c>
    </row>
    <row r="187" spans="17:22" x14ac:dyDescent="0.15">
      <c r="Q187" s="75" t="str">
        <f t="shared" si="6"/>
        <v/>
      </c>
      <c r="T187" s="16" t="str">
        <f t="shared" si="7"/>
        <v/>
      </c>
      <c r="V187" s="16" t="str">
        <f t="shared" si="8"/>
        <v/>
      </c>
    </row>
    <row r="188" spans="17:22" x14ac:dyDescent="0.15">
      <c r="Q188" s="75" t="str">
        <f t="shared" si="6"/>
        <v/>
      </c>
      <c r="T188" s="16" t="str">
        <f t="shared" si="7"/>
        <v/>
      </c>
      <c r="V188" s="16" t="str">
        <f t="shared" si="8"/>
        <v/>
      </c>
    </row>
    <row r="189" spans="17:22" x14ac:dyDescent="0.15">
      <c r="Q189" s="75" t="str">
        <f t="shared" ref="Q189:Q252" si="9">IF(OR(O189="",P189=""),"",AVERAGE(O189,P189))</f>
        <v/>
      </c>
      <c r="T189" s="16" t="str">
        <f t="shared" ref="T189:T252" si="10">IF(H189="","",IF(OR(H189="GREEN",H189="GK"),IF(S189&gt;=$AX$2,VLOOKUP(S189,$AX$2:$AY$10,2,1),""),IF(S189&gt;=$AZ$2,VLOOKUP(S189,$AZ$2:$BA$10,2,1),"")))</f>
        <v/>
      </c>
      <c r="V189" s="16" t="str">
        <f t="shared" ref="V189:V252" si="11">IF(OR(N189="",U189="",T189=""),"",U189/N189*T189)</f>
        <v/>
      </c>
    </row>
    <row r="190" spans="17:22" x14ac:dyDescent="0.15">
      <c r="Q190" s="75" t="str">
        <f t="shared" si="9"/>
        <v/>
      </c>
      <c r="T190" s="16" t="str">
        <f t="shared" si="10"/>
        <v/>
      </c>
      <c r="V190" s="16" t="str">
        <f t="shared" si="11"/>
        <v/>
      </c>
    </row>
    <row r="191" spans="17:22" x14ac:dyDescent="0.15">
      <c r="Q191" s="75" t="str">
        <f t="shared" si="9"/>
        <v/>
      </c>
      <c r="T191" s="16" t="str">
        <f t="shared" si="10"/>
        <v/>
      </c>
      <c r="V191" s="16" t="str">
        <f t="shared" si="11"/>
        <v/>
      </c>
    </row>
    <row r="192" spans="17:22" x14ac:dyDescent="0.15">
      <c r="Q192" s="75" t="str">
        <f t="shared" si="9"/>
        <v/>
      </c>
      <c r="T192" s="16" t="str">
        <f t="shared" si="10"/>
        <v/>
      </c>
      <c r="V192" s="16" t="str">
        <f t="shared" si="11"/>
        <v/>
      </c>
    </row>
    <row r="193" spans="17:22" x14ac:dyDescent="0.15">
      <c r="Q193" s="75" t="str">
        <f t="shared" si="9"/>
        <v/>
      </c>
      <c r="T193" s="16" t="str">
        <f t="shared" si="10"/>
        <v/>
      </c>
      <c r="V193" s="16" t="str">
        <f t="shared" si="11"/>
        <v/>
      </c>
    </row>
    <row r="194" spans="17:22" x14ac:dyDescent="0.15">
      <c r="Q194" s="75" t="str">
        <f t="shared" si="9"/>
        <v/>
      </c>
      <c r="T194" s="16" t="str">
        <f t="shared" si="10"/>
        <v/>
      </c>
      <c r="V194" s="16" t="str">
        <f t="shared" si="11"/>
        <v/>
      </c>
    </row>
    <row r="195" spans="17:22" x14ac:dyDescent="0.15">
      <c r="Q195" s="75" t="str">
        <f t="shared" si="9"/>
        <v/>
      </c>
      <c r="T195" s="16" t="str">
        <f t="shared" si="10"/>
        <v/>
      </c>
      <c r="V195" s="16" t="str">
        <f t="shared" si="11"/>
        <v/>
      </c>
    </row>
    <row r="196" spans="17:22" x14ac:dyDescent="0.15">
      <c r="Q196" s="75" t="str">
        <f t="shared" si="9"/>
        <v/>
      </c>
      <c r="T196" s="16" t="str">
        <f t="shared" si="10"/>
        <v/>
      </c>
      <c r="V196" s="16" t="str">
        <f t="shared" si="11"/>
        <v/>
      </c>
    </row>
    <row r="197" spans="17:22" x14ac:dyDescent="0.15">
      <c r="Q197" s="75" t="str">
        <f t="shared" si="9"/>
        <v/>
      </c>
      <c r="T197" s="16" t="str">
        <f t="shared" si="10"/>
        <v/>
      </c>
      <c r="V197" s="16" t="str">
        <f t="shared" si="11"/>
        <v/>
      </c>
    </row>
    <row r="198" spans="17:22" x14ac:dyDescent="0.15">
      <c r="Q198" s="75" t="str">
        <f t="shared" si="9"/>
        <v/>
      </c>
      <c r="T198" s="16" t="str">
        <f t="shared" si="10"/>
        <v/>
      </c>
      <c r="V198" s="16" t="str">
        <f t="shared" si="11"/>
        <v/>
      </c>
    </row>
    <row r="199" spans="17:22" x14ac:dyDescent="0.15">
      <c r="Q199" s="75" t="str">
        <f t="shared" si="9"/>
        <v/>
      </c>
      <c r="T199" s="16" t="str">
        <f t="shared" si="10"/>
        <v/>
      </c>
      <c r="V199" s="16" t="str">
        <f t="shared" si="11"/>
        <v/>
      </c>
    </row>
    <row r="200" spans="17:22" x14ac:dyDescent="0.15">
      <c r="Q200" s="75" t="str">
        <f t="shared" si="9"/>
        <v/>
      </c>
      <c r="T200" s="16" t="str">
        <f t="shared" si="10"/>
        <v/>
      </c>
      <c r="V200" s="16" t="str">
        <f t="shared" si="11"/>
        <v/>
      </c>
    </row>
    <row r="201" spans="17:22" x14ac:dyDescent="0.15">
      <c r="Q201" s="75" t="str">
        <f t="shared" si="9"/>
        <v/>
      </c>
      <c r="T201" s="16" t="str">
        <f t="shared" si="10"/>
        <v/>
      </c>
      <c r="V201" s="16" t="str">
        <f t="shared" si="11"/>
        <v/>
      </c>
    </row>
    <row r="202" spans="17:22" x14ac:dyDescent="0.15">
      <c r="Q202" s="75" t="str">
        <f t="shared" si="9"/>
        <v/>
      </c>
      <c r="T202" s="16" t="str">
        <f t="shared" si="10"/>
        <v/>
      </c>
      <c r="V202" s="16" t="str">
        <f t="shared" si="11"/>
        <v/>
      </c>
    </row>
    <row r="203" spans="17:22" x14ac:dyDescent="0.15">
      <c r="Q203" s="75" t="str">
        <f t="shared" si="9"/>
        <v/>
      </c>
      <c r="T203" s="16" t="str">
        <f t="shared" si="10"/>
        <v/>
      </c>
      <c r="V203" s="16" t="str">
        <f t="shared" si="11"/>
        <v/>
      </c>
    </row>
    <row r="204" spans="17:22" x14ac:dyDescent="0.15">
      <c r="Q204" s="75" t="str">
        <f t="shared" si="9"/>
        <v/>
      </c>
      <c r="T204" s="16" t="str">
        <f t="shared" si="10"/>
        <v/>
      </c>
      <c r="V204" s="16" t="str">
        <f t="shared" si="11"/>
        <v/>
      </c>
    </row>
    <row r="205" spans="17:22" x14ac:dyDescent="0.15">
      <c r="Q205" s="75" t="str">
        <f t="shared" si="9"/>
        <v/>
      </c>
      <c r="T205" s="16" t="str">
        <f t="shared" si="10"/>
        <v/>
      </c>
      <c r="V205" s="16" t="str">
        <f t="shared" si="11"/>
        <v/>
      </c>
    </row>
    <row r="206" spans="17:22" x14ac:dyDescent="0.15">
      <c r="Q206" s="75" t="str">
        <f t="shared" si="9"/>
        <v/>
      </c>
      <c r="T206" s="16" t="str">
        <f t="shared" si="10"/>
        <v/>
      </c>
      <c r="V206" s="16" t="str">
        <f t="shared" si="11"/>
        <v/>
      </c>
    </row>
    <row r="207" spans="17:22" x14ac:dyDescent="0.15">
      <c r="Q207" s="75" t="str">
        <f t="shared" si="9"/>
        <v/>
      </c>
      <c r="T207" s="16" t="str">
        <f t="shared" si="10"/>
        <v/>
      </c>
      <c r="V207" s="16" t="str">
        <f t="shared" si="11"/>
        <v/>
      </c>
    </row>
    <row r="208" spans="17:22" x14ac:dyDescent="0.15">
      <c r="Q208" s="75" t="str">
        <f t="shared" si="9"/>
        <v/>
      </c>
      <c r="T208" s="16" t="str">
        <f t="shared" si="10"/>
        <v/>
      </c>
      <c r="V208" s="16" t="str">
        <f t="shared" si="11"/>
        <v/>
      </c>
    </row>
    <row r="209" spans="17:22" x14ac:dyDescent="0.15">
      <c r="Q209" s="75" t="str">
        <f t="shared" si="9"/>
        <v/>
      </c>
      <c r="T209" s="16" t="str">
        <f t="shared" si="10"/>
        <v/>
      </c>
      <c r="V209" s="16" t="str">
        <f t="shared" si="11"/>
        <v/>
      </c>
    </row>
    <row r="210" spans="17:22" x14ac:dyDescent="0.15">
      <c r="Q210" s="75" t="str">
        <f t="shared" si="9"/>
        <v/>
      </c>
      <c r="T210" s="16" t="str">
        <f t="shared" si="10"/>
        <v/>
      </c>
      <c r="V210" s="16" t="str">
        <f t="shared" si="11"/>
        <v/>
      </c>
    </row>
    <row r="211" spans="17:22" x14ac:dyDescent="0.15">
      <c r="Q211" s="75" t="str">
        <f t="shared" si="9"/>
        <v/>
      </c>
      <c r="T211" s="16" t="str">
        <f t="shared" si="10"/>
        <v/>
      </c>
      <c r="V211" s="16" t="str">
        <f t="shared" si="11"/>
        <v/>
      </c>
    </row>
    <row r="212" spans="17:22" x14ac:dyDescent="0.15">
      <c r="Q212" s="75" t="str">
        <f t="shared" si="9"/>
        <v/>
      </c>
      <c r="T212" s="16" t="str">
        <f t="shared" si="10"/>
        <v/>
      </c>
      <c r="V212" s="16" t="str">
        <f t="shared" si="11"/>
        <v/>
      </c>
    </row>
    <row r="213" spans="17:22" x14ac:dyDescent="0.15">
      <c r="Q213" s="75" t="str">
        <f t="shared" si="9"/>
        <v/>
      </c>
      <c r="T213" s="16" t="str">
        <f t="shared" si="10"/>
        <v/>
      </c>
      <c r="V213" s="16" t="str">
        <f t="shared" si="11"/>
        <v/>
      </c>
    </row>
    <row r="214" spans="17:22" x14ac:dyDescent="0.15">
      <c r="Q214" s="75" t="str">
        <f t="shared" si="9"/>
        <v/>
      </c>
      <c r="T214" s="16" t="str">
        <f t="shared" si="10"/>
        <v/>
      </c>
      <c r="V214" s="16" t="str">
        <f t="shared" si="11"/>
        <v/>
      </c>
    </row>
    <row r="215" spans="17:22" x14ac:dyDescent="0.15">
      <c r="Q215" s="75" t="str">
        <f t="shared" si="9"/>
        <v/>
      </c>
      <c r="T215" s="16" t="str">
        <f t="shared" si="10"/>
        <v/>
      </c>
      <c r="V215" s="16" t="str">
        <f t="shared" si="11"/>
        <v/>
      </c>
    </row>
    <row r="216" spans="17:22" x14ac:dyDescent="0.15">
      <c r="Q216" s="75" t="str">
        <f t="shared" si="9"/>
        <v/>
      </c>
      <c r="T216" s="16" t="str">
        <f t="shared" si="10"/>
        <v/>
      </c>
      <c r="V216" s="16" t="str">
        <f t="shared" si="11"/>
        <v/>
      </c>
    </row>
    <row r="217" spans="17:22" x14ac:dyDescent="0.15">
      <c r="Q217" s="75" t="str">
        <f t="shared" si="9"/>
        <v/>
      </c>
      <c r="T217" s="16" t="str">
        <f t="shared" si="10"/>
        <v/>
      </c>
      <c r="V217" s="16" t="str">
        <f t="shared" si="11"/>
        <v/>
      </c>
    </row>
    <row r="218" spans="17:22" x14ac:dyDescent="0.15">
      <c r="Q218" s="75" t="str">
        <f t="shared" si="9"/>
        <v/>
      </c>
      <c r="T218" s="16" t="str">
        <f t="shared" si="10"/>
        <v/>
      </c>
      <c r="V218" s="16" t="str">
        <f t="shared" si="11"/>
        <v/>
      </c>
    </row>
    <row r="219" spans="17:22" x14ac:dyDescent="0.15">
      <c r="Q219" s="75" t="str">
        <f t="shared" si="9"/>
        <v/>
      </c>
      <c r="T219" s="16" t="str">
        <f t="shared" si="10"/>
        <v/>
      </c>
      <c r="V219" s="16" t="str">
        <f t="shared" si="11"/>
        <v/>
      </c>
    </row>
    <row r="220" spans="17:22" x14ac:dyDescent="0.15">
      <c r="Q220" s="75" t="str">
        <f t="shared" si="9"/>
        <v/>
      </c>
      <c r="T220" s="16" t="str">
        <f t="shared" si="10"/>
        <v/>
      </c>
      <c r="V220" s="16" t="str">
        <f t="shared" si="11"/>
        <v/>
      </c>
    </row>
    <row r="221" spans="17:22" x14ac:dyDescent="0.15">
      <c r="Q221" s="75" t="str">
        <f t="shared" si="9"/>
        <v/>
      </c>
      <c r="T221" s="16" t="str">
        <f t="shared" si="10"/>
        <v/>
      </c>
      <c r="V221" s="16" t="str">
        <f t="shared" si="11"/>
        <v/>
      </c>
    </row>
    <row r="222" spans="17:22" x14ac:dyDescent="0.15">
      <c r="Q222" s="75" t="str">
        <f t="shared" si="9"/>
        <v/>
      </c>
      <c r="T222" s="16" t="str">
        <f t="shared" si="10"/>
        <v/>
      </c>
      <c r="V222" s="16" t="str">
        <f t="shared" si="11"/>
        <v/>
      </c>
    </row>
    <row r="223" spans="17:22" x14ac:dyDescent="0.15">
      <c r="Q223" s="75" t="str">
        <f t="shared" si="9"/>
        <v/>
      </c>
      <c r="T223" s="16" t="str">
        <f t="shared" si="10"/>
        <v/>
      </c>
      <c r="V223" s="16" t="str">
        <f t="shared" si="11"/>
        <v/>
      </c>
    </row>
    <row r="224" spans="17:22" x14ac:dyDescent="0.15">
      <c r="Q224" s="75" t="str">
        <f t="shared" si="9"/>
        <v/>
      </c>
      <c r="T224" s="16" t="str">
        <f t="shared" si="10"/>
        <v/>
      </c>
      <c r="V224" s="16" t="str">
        <f t="shared" si="11"/>
        <v/>
      </c>
    </row>
    <row r="225" spans="17:22" x14ac:dyDescent="0.15">
      <c r="Q225" s="75" t="str">
        <f t="shared" si="9"/>
        <v/>
      </c>
      <c r="T225" s="16" t="str">
        <f t="shared" si="10"/>
        <v/>
      </c>
      <c r="V225" s="16" t="str">
        <f t="shared" si="11"/>
        <v/>
      </c>
    </row>
    <row r="226" spans="17:22" x14ac:dyDescent="0.15">
      <c r="Q226" s="75" t="str">
        <f t="shared" si="9"/>
        <v/>
      </c>
      <c r="T226" s="16" t="str">
        <f t="shared" si="10"/>
        <v/>
      </c>
      <c r="V226" s="16" t="str">
        <f t="shared" si="11"/>
        <v/>
      </c>
    </row>
    <row r="227" spans="17:22" x14ac:dyDescent="0.15">
      <c r="Q227" s="75" t="str">
        <f t="shared" si="9"/>
        <v/>
      </c>
      <c r="T227" s="16" t="str">
        <f t="shared" si="10"/>
        <v/>
      </c>
      <c r="V227" s="16" t="str">
        <f t="shared" si="11"/>
        <v/>
      </c>
    </row>
    <row r="228" spans="17:22" x14ac:dyDescent="0.15">
      <c r="Q228" s="75" t="str">
        <f t="shared" si="9"/>
        <v/>
      </c>
      <c r="T228" s="16" t="str">
        <f t="shared" si="10"/>
        <v/>
      </c>
      <c r="V228" s="16" t="str">
        <f t="shared" si="11"/>
        <v/>
      </c>
    </row>
    <row r="229" spans="17:22" x14ac:dyDescent="0.15">
      <c r="Q229" s="75" t="str">
        <f t="shared" si="9"/>
        <v/>
      </c>
      <c r="T229" s="16" t="str">
        <f t="shared" si="10"/>
        <v/>
      </c>
      <c r="V229" s="16" t="str">
        <f t="shared" si="11"/>
        <v/>
      </c>
    </row>
    <row r="230" spans="17:22" x14ac:dyDescent="0.15">
      <c r="Q230" s="75" t="str">
        <f t="shared" si="9"/>
        <v/>
      </c>
      <c r="T230" s="16" t="str">
        <f t="shared" si="10"/>
        <v/>
      </c>
      <c r="V230" s="16" t="str">
        <f t="shared" si="11"/>
        <v/>
      </c>
    </row>
    <row r="231" spans="17:22" x14ac:dyDescent="0.15">
      <c r="Q231" s="75" t="str">
        <f t="shared" si="9"/>
        <v/>
      </c>
      <c r="T231" s="16" t="str">
        <f t="shared" si="10"/>
        <v/>
      </c>
      <c r="V231" s="16" t="str">
        <f t="shared" si="11"/>
        <v/>
      </c>
    </row>
    <row r="232" spans="17:22" x14ac:dyDescent="0.15">
      <c r="Q232" s="75" t="str">
        <f t="shared" si="9"/>
        <v/>
      </c>
      <c r="T232" s="16" t="str">
        <f t="shared" si="10"/>
        <v/>
      </c>
      <c r="V232" s="16" t="str">
        <f t="shared" si="11"/>
        <v/>
      </c>
    </row>
    <row r="233" spans="17:22" x14ac:dyDescent="0.15">
      <c r="Q233" s="75" t="str">
        <f t="shared" si="9"/>
        <v/>
      </c>
      <c r="T233" s="16" t="str">
        <f t="shared" si="10"/>
        <v/>
      </c>
      <c r="V233" s="16" t="str">
        <f t="shared" si="11"/>
        <v/>
      </c>
    </row>
    <row r="234" spans="17:22" x14ac:dyDescent="0.15">
      <c r="Q234" s="75" t="str">
        <f t="shared" si="9"/>
        <v/>
      </c>
      <c r="T234" s="16" t="str">
        <f t="shared" si="10"/>
        <v/>
      </c>
      <c r="V234" s="16" t="str">
        <f t="shared" si="11"/>
        <v/>
      </c>
    </row>
    <row r="235" spans="17:22" x14ac:dyDescent="0.15">
      <c r="Q235" s="75" t="str">
        <f t="shared" si="9"/>
        <v/>
      </c>
      <c r="T235" s="16" t="str">
        <f t="shared" si="10"/>
        <v/>
      </c>
      <c r="V235" s="16" t="str">
        <f t="shared" si="11"/>
        <v/>
      </c>
    </row>
    <row r="236" spans="17:22" x14ac:dyDescent="0.15">
      <c r="Q236" s="75" t="str">
        <f t="shared" si="9"/>
        <v/>
      </c>
      <c r="T236" s="16" t="str">
        <f t="shared" si="10"/>
        <v/>
      </c>
      <c r="V236" s="16" t="str">
        <f t="shared" si="11"/>
        <v/>
      </c>
    </row>
    <row r="237" spans="17:22" x14ac:dyDescent="0.15">
      <c r="Q237" s="75" t="str">
        <f t="shared" si="9"/>
        <v/>
      </c>
      <c r="T237" s="16" t="str">
        <f t="shared" si="10"/>
        <v/>
      </c>
      <c r="V237" s="16" t="str">
        <f t="shared" si="11"/>
        <v/>
      </c>
    </row>
    <row r="238" spans="17:22" x14ac:dyDescent="0.15">
      <c r="Q238" s="75" t="str">
        <f t="shared" si="9"/>
        <v/>
      </c>
      <c r="T238" s="16" t="str">
        <f t="shared" si="10"/>
        <v/>
      </c>
      <c r="V238" s="16" t="str">
        <f t="shared" si="11"/>
        <v/>
      </c>
    </row>
    <row r="239" spans="17:22" x14ac:dyDescent="0.15">
      <c r="Q239" s="75" t="str">
        <f t="shared" si="9"/>
        <v/>
      </c>
      <c r="T239" s="16" t="str">
        <f t="shared" si="10"/>
        <v/>
      </c>
      <c r="V239" s="16" t="str">
        <f t="shared" si="11"/>
        <v/>
      </c>
    </row>
    <row r="240" spans="17:22" x14ac:dyDescent="0.15">
      <c r="Q240" s="75" t="str">
        <f t="shared" si="9"/>
        <v/>
      </c>
      <c r="T240" s="16" t="str">
        <f t="shared" si="10"/>
        <v/>
      </c>
      <c r="V240" s="16" t="str">
        <f t="shared" si="11"/>
        <v/>
      </c>
    </row>
    <row r="241" spans="17:22" x14ac:dyDescent="0.15">
      <c r="Q241" s="75" t="str">
        <f t="shared" si="9"/>
        <v/>
      </c>
      <c r="T241" s="16" t="str">
        <f t="shared" si="10"/>
        <v/>
      </c>
      <c r="V241" s="16" t="str">
        <f t="shared" si="11"/>
        <v/>
      </c>
    </row>
    <row r="242" spans="17:22" x14ac:dyDescent="0.15">
      <c r="Q242" s="75" t="str">
        <f t="shared" si="9"/>
        <v/>
      </c>
      <c r="T242" s="16" t="str">
        <f t="shared" si="10"/>
        <v/>
      </c>
      <c r="V242" s="16" t="str">
        <f t="shared" si="11"/>
        <v/>
      </c>
    </row>
    <row r="243" spans="17:22" x14ac:dyDescent="0.15">
      <c r="Q243" s="75" t="str">
        <f t="shared" si="9"/>
        <v/>
      </c>
      <c r="T243" s="16" t="str">
        <f t="shared" si="10"/>
        <v/>
      </c>
      <c r="V243" s="16" t="str">
        <f t="shared" si="11"/>
        <v/>
      </c>
    </row>
    <row r="244" spans="17:22" x14ac:dyDescent="0.15">
      <c r="Q244" s="75" t="str">
        <f t="shared" si="9"/>
        <v/>
      </c>
      <c r="T244" s="16" t="str">
        <f t="shared" si="10"/>
        <v/>
      </c>
      <c r="V244" s="16" t="str">
        <f t="shared" si="11"/>
        <v/>
      </c>
    </row>
    <row r="245" spans="17:22" x14ac:dyDescent="0.15">
      <c r="Q245" s="75" t="str">
        <f t="shared" si="9"/>
        <v/>
      </c>
      <c r="T245" s="16" t="str">
        <f t="shared" si="10"/>
        <v/>
      </c>
      <c r="V245" s="16" t="str">
        <f t="shared" si="11"/>
        <v/>
      </c>
    </row>
    <row r="246" spans="17:22" x14ac:dyDescent="0.15">
      <c r="Q246" s="75" t="str">
        <f t="shared" si="9"/>
        <v/>
      </c>
      <c r="T246" s="16" t="str">
        <f t="shared" si="10"/>
        <v/>
      </c>
      <c r="V246" s="16" t="str">
        <f t="shared" si="11"/>
        <v/>
      </c>
    </row>
    <row r="247" spans="17:22" x14ac:dyDescent="0.15">
      <c r="Q247" s="75" t="str">
        <f t="shared" si="9"/>
        <v/>
      </c>
      <c r="T247" s="16" t="str">
        <f t="shared" si="10"/>
        <v/>
      </c>
      <c r="V247" s="16" t="str">
        <f t="shared" si="11"/>
        <v/>
      </c>
    </row>
    <row r="248" spans="17:22" x14ac:dyDescent="0.15">
      <c r="Q248" s="75" t="str">
        <f t="shared" si="9"/>
        <v/>
      </c>
      <c r="T248" s="16" t="str">
        <f t="shared" si="10"/>
        <v/>
      </c>
      <c r="V248" s="16" t="str">
        <f t="shared" si="11"/>
        <v/>
      </c>
    </row>
    <row r="249" spans="17:22" x14ac:dyDescent="0.15">
      <c r="Q249" s="75" t="str">
        <f t="shared" si="9"/>
        <v/>
      </c>
      <c r="T249" s="16" t="str">
        <f t="shared" si="10"/>
        <v/>
      </c>
      <c r="V249" s="16" t="str">
        <f t="shared" si="11"/>
        <v/>
      </c>
    </row>
    <row r="250" spans="17:22" x14ac:dyDescent="0.15">
      <c r="Q250" s="75" t="str">
        <f t="shared" si="9"/>
        <v/>
      </c>
      <c r="T250" s="16" t="str">
        <f t="shared" si="10"/>
        <v/>
      </c>
      <c r="V250" s="16" t="str">
        <f t="shared" si="11"/>
        <v/>
      </c>
    </row>
    <row r="251" spans="17:22" x14ac:dyDescent="0.15">
      <c r="Q251" s="75" t="str">
        <f t="shared" si="9"/>
        <v/>
      </c>
      <c r="T251" s="16" t="str">
        <f t="shared" si="10"/>
        <v/>
      </c>
      <c r="V251" s="16" t="str">
        <f t="shared" si="11"/>
        <v/>
      </c>
    </row>
    <row r="252" spans="17:22" x14ac:dyDescent="0.15">
      <c r="Q252" s="75" t="str">
        <f t="shared" si="9"/>
        <v/>
      </c>
      <c r="T252" s="16" t="str">
        <f t="shared" si="10"/>
        <v/>
      </c>
      <c r="V252" s="16" t="str">
        <f t="shared" si="11"/>
        <v/>
      </c>
    </row>
    <row r="253" spans="17:22" x14ac:dyDescent="0.15">
      <c r="Q253" s="75" t="str">
        <f t="shared" ref="Q253:Q316" si="12">IF(OR(O253="",P253=""),"",AVERAGE(O253,P253))</f>
        <v/>
      </c>
      <c r="T253" s="16" t="str">
        <f t="shared" ref="T253:T316" si="13">IF(H253="","",IF(OR(H253="GREEN",H253="GK"),IF(S253&gt;=$AX$2,VLOOKUP(S253,$AX$2:$AY$10,2,1),""),IF(S253&gt;=$AZ$2,VLOOKUP(S253,$AZ$2:$BA$10,2,1),"")))</f>
        <v/>
      </c>
      <c r="V253" s="16" t="str">
        <f t="shared" ref="V253:V316" si="14">IF(OR(N253="",U253="",T253=""),"",U253/N253*T253)</f>
        <v/>
      </c>
    </row>
    <row r="254" spans="17:22" x14ac:dyDescent="0.15">
      <c r="Q254" s="75" t="str">
        <f t="shared" si="12"/>
        <v/>
      </c>
      <c r="T254" s="16" t="str">
        <f t="shared" si="13"/>
        <v/>
      </c>
      <c r="V254" s="16" t="str">
        <f t="shared" si="14"/>
        <v/>
      </c>
    </row>
    <row r="255" spans="17:22" x14ac:dyDescent="0.15">
      <c r="Q255" s="75" t="str">
        <f t="shared" si="12"/>
        <v/>
      </c>
      <c r="T255" s="16" t="str">
        <f t="shared" si="13"/>
        <v/>
      </c>
      <c r="V255" s="16" t="str">
        <f t="shared" si="14"/>
        <v/>
      </c>
    </row>
    <row r="256" spans="17:22" x14ac:dyDescent="0.15">
      <c r="Q256" s="75" t="str">
        <f t="shared" si="12"/>
        <v/>
      </c>
      <c r="T256" s="16" t="str">
        <f t="shared" si="13"/>
        <v/>
      </c>
      <c r="V256" s="16" t="str">
        <f t="shared" si="14"/>
        <v/>
      </c>
    </row>
    <row r="257" spans="17:22" x14ac:dyDescent="0.15">
      <c r="Q257" s="75" t="str">
        <f t="shared" si="12"/>
        <v/>
      </c>
      <c r="T257" s="16" t="str">
        <f t="shared" si="13"/>
        <v/>
      </c>
      <c r="V257" s="16" t="str">
        <f t="shared" si="14"/>
        <v/>
      </c>
    </row>
    <row r="258" spans="17:22" x14ac:dyDescent="0.15">
      <c r="Q258" s="75" t="str">
        <f t="shared" si="12"/>
        <v/>
      </c>
      <c r="T258" s="16" t="str">
        <f t="shared" si="13"/>
        <v/>
      </c>
      <c r="V258" s="16" t="str">
        <f t="shared" si="14"/>
        <v/>
      </c>
    </row>
    <row r="259" spans="17:22" x14ac:dyDescent="0.15">
      <c r="Q259" s="75" t="str">
        <f t="shared" si="12"/>
        <v/>
      </c>
      <c r="T259" s="16" t="str">
        <f t="shared" si="13"/>
        <v/>
      </c>
      <c r="V259" s="16" t="str">
        <f t="shared" si="14"/>
        <v/>
      </c>
    </row>
    <row r="260" spans="17:22" x14ac:dyDescent="0.15">
      <c r="Q260" s="75" t="str">
        <f t="shared" si="12"/>
        <v/>
      </c>
      <c r="T260" s="16" t="str">
        <f t="shared" si="13"/>
        <v/>
      </c>
      <c r="V260" s="16" t="str">
        <f t="shared" si="14"/>
        <v/>
      </c>
    </row>
    <row r="261" spans="17:22" x14ac:dyDescent="0.15">
      <c r="Q261" s="75" t="str">
        <f t="shared" si="12"/>
        <v/>
      </c>
      <c r="T261" s="16" t="str">
        <f t="shared" si="13"/>
        <v/>
      </c>
      <c r="V261" s="16" t="str">
        <f t="shared" si="14"/>
        <v/>
      </c>
    </row>
    <row r="262" spans="17:22" x14ac:dyDescent="0.15">
      <c r="Q262" s="75" t="str">
        <f t="shared" si="12"/>
        <v/>
      </c>
      <c r="T262" s="16" t="str">
        <f t="shared" si="13"/>
        <v/>
      </c>
      <c r="V262" s="16" t="str">
        <f t="shared" si="14"/>
        <v/>
      </c>
    </row>
    <row r="263" spans="17:22" x14ac:dyDescent="0.15">
      <c r="Q263" s="75" t="str">
        <f t="shared" si="12"/>
        <v/>
      </c>
      <c r="T263" s="16" t="str">
        <f t="shared" si="13"/>
        <v/>
      </c>
      <c r="V263" s="16" t="str">
        <f t="shared" si="14"/>
        <v/>
      </c>
    </row>
    <row r="264" spans="17:22" x14ac:dyDescent="0.15">
      <c r="Q264" s="75" t="str">
        <f t="shared" si="12"/>
        <v/>
      </c>
      <c r="T264" s="16" t="str">
        <f t="shared" si="13"/>
        <v/>
      </c>
      <c r="V264" s="16" t="str">
        <f t="shared" si="14"/>
        <v/>
      </c>
    </row>
    <row r="265" spans="17:22" x14ac:dyDescent="0.15">
      <c r="Q265" s="75" t="str">
        <f t="shared" si="12"/>
        <v/>
      </c>
      <c r="T265" s="16" t="str">
        <f t="shared" si="13"/>
        <v/>
      </c>
      <c r="V265" s="16" t="str">
        <f t="shared" si="14"/>
        <v/>
      </c>
    </row>
    <row r="266" spans="17:22" x14ac:dyDescent="0.15">
      <c r="Q266" s="75" t="str">
        <f t="shared" si="12"/>
        <v/>
      </c>
      <c r="T266" s="16" t="str">
        <f t="shared" si="13"/>
        <v/>
      </c>
      <c r="V266" s="16" t="str">
        <f t="shared" si="14"/>
        <v/>
      </c>
    </row>
    <row r="267" spans="17:22" x14ac:dyDescent="0.15">
      <c r="Q267" s="75" t="str">
        <f t="shared" si="12"/>
        <v/>
      </c>
      <c r="T267" s="16" t="str">
        <f t="shared" si="13"/>
        <v/>
      </c>
      <c r="V267" s="16" t="str">
        <f t="shared" si="14"/>
        <v/>
      </c>
    </row>
    <row r="268" spans="17:22" x14ac:dyDescent="0.15">
      <c r="Q268" s="75" t="str">
        <f t="shared" si="12"/>
        <v/>
      </c>
      <c r="T268" s="16" t="str">
        <f t="shared" si="13"/>
        <v/>
      </c>
      <c r="V268" s="16" t="str">
        <f t="shared" si="14"/>
        <v/>
      </c>
    </row>
    <row r="269" spans="17:22" x14ac:dyDescent="0.15">
      <c r="Q269" s="75" t="str">
        <f t="shared" si="12"/>
        <v/>
      </c>
      <c r="T269" s="16" t="str">
        <f t="shared" si="13"/>
        <v/>
      </c>
      <c r="V269" s="16" t="str">
        <f t="shared" si="14"/>
        <v/>
      </c>
    </row>
    <row r="270" spans="17:22" x14ac:dyDescent="0.15">
      <c r="Q270" s="75" t="str">
        <f t="shared" si="12"/>
        <v/>
      </c>
      <c r="T270" s="16" t="str">
        <f t="shared" si="13"/>
        <v/>
      </c>
      <c r="V270" s="16" t="str">
        <f t="shared" si="14"/>
        <v/>
      </c>
    </row>
    <row r="271" spans="17:22" x14ac:dyDescent="0.15">
      <c r="Q271" s="75" t="str">
        <f t="shared" si="12"/>
        <v/>
      </c>
      <c r="T271" s="16" t="str">
        <f t="shared" si="13"/>
        <v/>
      </c>
      <c r="V271" s="16" t="str">
        <f t="shared" si="14"/>
        <v/>
      </c>
    </row>
    <row r="272" spans="17:22" x14ac:dyDescent="0.15">
      <c r="Q272" s="75" t="str">
        <f t="shared" si="12"/>
        <v/>
      </c>
      <c r="T272" s="16" t="str">
        <f t="shared" si="13"/>
        <v/>
      </c>
      <c r="V272" s="16" t="str">
        <f t="shared" si="14"/>
        <v/>
      </c>
    </row>
    <row r="273" spans="17:22" x14ac:dyDescent="0.15">
      <c r="Q273" s="75" t="str">
        <f t="shared" si="12"/>
        <v/>
      </c>
      <c r="T273" s="16" t="str">
        <f t="shared" si="13"/>
        <v/>
      </c>
      <c r="V273" s="16" t="str">
        <f t="shared" si="14"/>
        <v/>
      </c>
    </row>
    <row r="274" spans="17:22" x14ac:dyDescent="0.15">
      <c r="Q274" s="75" t="str">
        <f t="shared" si="12"/>
        <v/>
      </c>
      <c r="T274" s="16" t="str">
        <f t="shared" si="13"/>
        <v/>
      </c>
      <c r="V274" s="16" t="str">
        <f t="shared" si="14"/>
        <v/>
      </c>
    </row>
    <row r="275" spans="17:22" x14ac:dyDescent="0.15">
      <c r="Q275" s="75" t="str">
        <f t="shared" si="12"/>
        <v/>
      </c>
      <c r="T275" s="16" t="str">
        <f t="shared" si="13"/>
        <v/>
      </c>
      <c r="V275" s="16" t="str">
        <f t="shared" si="14"/>
        <v/>
      </c>
    </row>
    <row r="276" spans="17:22" x14ac:dyDescent="0.15">
      <c r="Q276" s="75" t="str">
        <f t="shared" si="12"/>
        <v/>
      </c>
      <c r="T276" s="16" t="str">
        <f t="shared" si="13"/>
        <v/>
      </c>
      <c r="V276" s="16" t="str">
        <f t="shared" si="14"/>
        <v/>
      </c>
    </row>
    <row r="277" spans="17:22" x14ac:dyDescent="0.15">
      <c r="Q277" s="75" t="str">
        <f t="shared" si="12"/>
        <v/>
      </c>
      <c r="T277" s="16" t="str">
        <f t="shared" si="13"/>
        <v/>
      </c>
      <c r="V277" s="16" t="str">
        <f t="shared" si="14"/>
        <v/>
      </c>
    </row>
    <row r="278" spans="17:22" x14ac:dyDescent="0.15">
      <c r="Q278" s="75" t="str">
        <f t="shared" si="12"/>
        <v/>
      </c>
      <c r="T278" s="16" t="str">
        <f t="shared" si="13"/>
        <v/>
      </c>
      <c r="V278" s="16" t="str">
        <f t="shared" si="14"/>
        <v/>
      </c>
    </row>
    <row r="279" spans="17:22" x14ac:dyDescent="0.15">
      <c r="Q279" s="75" t="str">
        <f t="shared" si="12"/>
        <v/>
      </c>
      <c r="T279" s="16" t="str">
        <f t="shared" si="13"/>
        <v/>
      </c>
      <c r="V279" s="16" t="str">
        <f t="shared" si="14"/>
        <v/>
      </c>
    </row>
    <row r="280" spans="17:22" x14ac:dyDescent="0.15">
      <c r="Q280" s="75" t="str">
        <f t="shared" si="12"/>
        <v/>
      </c>
      <c r="T280" s="16" t="str">
        <f t="shared" si="13"/>
        <v/>
      </c>
      <c r="V280" s="16" t="str">
        <f t="shared" si="14"/>
        <v/>
      </c>
    </row>
    <row r="281" spans="17:22" x14ac:dyDescent="0.15">
      <c r="Q281" s="75" t="str">
        <f t="shared" si="12"/>
        <v/>
      </c>
      <c r="T281" s="16" t="str">
        <f t="shared" si="13"/>
        <v/>
      </c>
      <c r="V281" s="16" t="str">
        <f t="shared" si="14"/>
        <v/>
      </c>
    </row>
    <row r="282" spans="17:22" x14ac:dyDescent="0.15">
      <c r="Q282" s="75" t="str">
        <f t="shared" si="12"/>
        <v/>
      </c>
      <c r="T282" s="16" t="str">
        <f t="shared" si="13"/>
        <v/>
      </c>
      <c r="V282" s="16" t="str">
        <f t="shared" si="14"/>
        <v/>
      </c>
    </row>
    <row r="283" spans="17:22" x14ac:dyDescent="0.15">
      <c r="Q283" s="75" t="str">
        <f t="shared" si="12"/>
        <v/>
      </c>
      <c r="T283" s="16" t="str">
        <f t="shared" si="13"/>
        <v/>
      </c>
      <c r="V283" s="16" t="str">
        <f t="shared" si="14"/>
        <v/>
      </c>
    </row>
    <row r="284" spans="17:22" x14ac:dyDescent="0.15">
      <c r="Q284" s="75" t="str">
        <f t="shared" si="12"/>
        <v/>
      </c>
      <c r="T284" s="16" t="str">
        <f t="shared" si="13"/>
        <v/>
      </c>
      <c r="V284" s="16" t="str">
        <f t="shared" si="14"/>
        <v/>
      </c>
    </row>
    <row r="285" spans="17:22" x14ac:dyDescent="0.15">
      <c r="Q285" s="75" t="str">
        <f t="shared" si="12"/>
        <v/>
      </c>
      <c r="T285" s="16" t="str">
        <f t="shared" si="13"/>
        <v/>
      </c>
      <c r="V285" s="16" t="str">
        <f t="shared" si="14"/>
        <v/>
      </c>
    </row>
    <row r="286" spans="17:22" x14ac:dyDescent="0.15">
      <c r="Q286" s="75" t="str">
        <f t="shared" si="12"/>
        <v/>
      </c>
      <c r="T286" s="16" t="str">
        <f t="shared" si="13"/>
        <v/>
      </c>
      <c r="V286" s="16" t="str">
        <f t="shared" si="14"/>
        <v/>
      </c>
    </row>
    <row r="287" spans="17:22" x14ac:dyDescent="0.15">
      <c r="Q287" s="75" t="str">
        <f t="shared" si="12"/>
        <v/>
      </c>
      <c r="T287" s="16" t="str">
        <f t="shared" si="13"/>
        <v/>
      </c>
      <c r="V287" s="16" t="str">
        <f t="shared" si="14"/>
        <v/>
      </c>
    </row>
    <row r="288" spans="17:22" x14ac:dyDescent="0.15">
      <c r="Q288" s="75" t="str">
        <f t="shared" si="12"/>
        <v/>
      </c>
      <c r="T288" s="16" t="str">
        <f t="shared" si="13"/>
        <v/>
      </c>
      <c r="V288" s="16" t="str">
        <f t="shared" si="14"/>
        <v/>
      </c>
    </row>
    <row r="289" spans="17:22" x14ac:dyDescent="0.15">
      <c r="Q289" s="75" t="str">
        <f t="shared" si="12"/>
        <v/>
      </c>
      <c r="T289" s="16" t="str">
        <f t="shared" si="13"/>
        <v/>
      </c>
      <c r="V289" s="16" t="str">
        <f t="shared" si="14"/>
        <v/>
      </c>
    </row>
    <row r="290" spans="17:22" x14ac:dyDescent="0.15">
      <c r="Q290" s="75" t="str">
        <f t="shared" si="12"/>
        <v/>
      </c>
      <c r="T290" s="16" t="str">
        <f t="shared" si="13"/>
        <v/>
      </c>
      <c r="V290" s="16" t="str">
        <f t="shared" si="14"/>
        <v/>
      </c>
    </row>
    <row r="291" spans="17:22" x14ac:dyDescent="0.15">
      <c r="Q291" s="75" t="str">
        <f t="shared" si="12"/>
        <v/>
      </c>
      <c r="T291" s="16" t="str">
        <f t="shared" si="13"/>
        <v/>
      </c>
      <c r="V291" s="16" t="str">
        <f t="shared" si="14"/>
        <v/>
      </c>
    </row>
    <row r="292" spans="17:22" x14ac:dyDescent="0.15">
      <c r="Q292" s="75" t="str">
        <f t="shared" si="12"/>
        <v/>
      </c>
      <c r="T292" s="16" t="str">
        <f t="shared" si="13"/>
        <v/>
      </c>
      <c r="V292" s="16" t="str">
        <f t="shared" si="14"/>
        <v/>
      </c>
    </row>
    <row r="293" spans="17:22" x14ac:dyDescent="0.15">
      <c r="Q293" s="75" t="str">
        <f t="shared" si="12"/>
        <v/>
      </c>
      <c r="T293" s="16" t="str">
        <f t="shared" si="13"/>
        <v/>
      </c>
      <c r="V293" s="16" t="str">
        <f t="shared" si="14"/>
        <v/>
      </c>
    </row>
    <row r="294" spans="17:22" x14ac:dyDescent="0.15">
      <c r="Q294" s="75" t="str">
        <f t="shared" si="12"/>
        <v/>
      </c>
      <c r="T294" s="16" t="str">
        <f t="shared" si="13"/>
        <v/>
      </c>
      <c r="V294" s="16" t="str">
        <f t="shared" si="14"/>
        <v/>
      </c>
    </row>
    <row r="295" spans="17:22" x14ac:dyDescent="0.15">
      <c r="Q295" s="75" t="str">
        <f t="shared" si="12"/>
        <v/>
      </c>
      <c r="T295" s="16" t="str">
        <f t="shared" si="13"/>
        <v/>
      </c>
      <c r="V295" s="16" t="str">
        <f t="shared" si="14"/>
        <v/>
      </c>
    </row>
    <row r="296" spans="17:22" x14ac:dyDescent="0.15">
      <c r="Q296" s="75" t="str">
        <f t="shared" si="12"/>
        <v/>
      </c>
      <c r="T296" s="16" t="str">
        <f t="shared" si="13"/>
        <v/>
      </c>
      <c r="V296" s="16" t="str">
        <f t="shared" si="14"/>
        <v/>
      </c>
    </row>
    <row r="297" spans="17:22" x14ac:dyDescent="0.15">
      <c r="Q297" s="75" t="str">
        <f t="shared" si="12"/>
        <v/>
      </c>
      <c r="T297" s="16" t="str">
        <f t="shared" si="13"/>
        <v/>
      </c>
      <c r="V297" s="16" t="str">
        <f t="shared" si="14"/>
        <v/>
      </c>
    </row>
    <row r="298" spans="17:22" x14ac:dyDescent="0.15">
      <c r="Q298" s="75" t="str">
        <f t="shared" si="12"/>
        <v/>
      </c>
      <c r="T298" s="16" t="str">
        <f t="shared" si="13"/>
        <v/>
      </c>
      <c r="V298" s="16" t="str">
        <f t="shared" si="14"/>
        <v/>
      </c>
    </row>
    <row r="299" spans="17:22" x14ac:dyDescent="0.15">
      <c r="Q299" s="75" t="str">
        <f t="shared" si="12"/>
        <v/>
      </c>
      <c r="T299" s="16" t="str">
        <f t="shared" si="13"/>
        <v/>
      </c>
      <c r="V299" s="16" t="str">
        <f t="shared" si="14"/>
        <v/>
      </c>
    </row>
    <row r="300" spans="17:22" x14ac:dyDescent="0.15">
      <c r="Q300" s="75" t="str">
        <f t="shared" si="12"/>
        <v/>
      </c>
      <c r="T300" s="16" t="str">
        <f t="shared" si="13"/>
        <v/>
      </c>
      <c r="V300" s="16" t="str">
        <f t="shared" si="14"/>
        <v/>
      </c>
    </row>
    <row r="301" spans="17:22" x14ac:dyDescent="0.15">
      <c r="Q301" s="75" t="str">
        <f t="shared" si="12"/>
        <v/>
      </c>
      <c r="T301" s="16" t="str">
        <f t="shared" si="13"/>
        <v/>
      </c>
      <c r="V301" s="16" t="str">
        <f t="shared" si="14"/>
        <v/>
      </c>
    </row>
    <row r="302" spans="17:22" x14ac:dyDescent="0.15">
      <c r="Q302" s="75" t="str">
        <f t="shared" si="12"/>
        <v/>
      </c>
      <c r="T302" s="16" t="str">
        <f t="shared" si="13"/>
        <v/>
      </c>
      <c r="V302" s="16" t="str">
        <f t="shared" si="14"/>
        <v/>
      </c>
    </row>
    <row r="303" spans="17:22" x14ac:dyDescent="0.15">
      <c r="Q303" s="75" t="str">
        <f t="shared" si="12"/>
        <v/>
      </c>
      <c r="T303" s="16" t="str">
        <f t="shared" si="13"/>
        <v/>
      </c>
      <c r="V303" s="16" t="str">
        <f t="shared" si="14"/>
        <v/>
      </c>
    </row>
    <row r="304" spans="17:22" x14ac:dyDescent="0.15">
      <c r="Q304" s="75" t="str">
        <f t="shared" si="12"/>
        <v/>
      </c>
      <c r="T304" s="16" t="str">
        <f t="shared" si="13"/>
        <v/>
      </c>
      <c r="V304" s="16" t="str">
        <f t="shared" si="14"/>
        <v/>
      </c>
    </row>
    <row r="305" spans="17:22" x14ac:dyDescent="0.15">
      <c r="Q305" s="75" t="str">
        <f t="shared" si="12"/>
        <v/>
      </c>
      <c r="T305" s="16" t="str">
        <f t="shared" si="13"/>
        <v/>
      </c>
      <c r="V305" s="16" t="str">
        <f t="shared" si="14"/>
        <v/>
      </c>
    </row>
    <row r="306" spans="17:22" x14ac:dyDescent="0.15">
      <c r="Q306" s="75" t="str">
        <f t="shared" si="12"/>
        <v/>
      </c>
      <c r="T306" s="16" t="str">
        <f t="shared" si="13"/>
        <v/>
      </c>
      <c r="V306" s="16" t="str">
        <f t="shared" si="14"/>
        <v/>
      </c>
    </row>
    <row r="307" spans="17:22" x14ac:dyDescent="0.15">
      <c r="Q307" s="75" t="str">
        <f t="shared" si="12"/>
        <v/>
      </c>
      <c r="T307" s="16" t="str">
        <f t="shared" si="13"/>
        <v/>
      </c>
      <c r="V307" s="16" t="str">
        <f t="shared" si="14"/>
        <v/>
      </c>
    </row>
    <row r="308" spans="17:22" x14ac:dyDescent="0.15">
      <c r="Q308" s="75" t="str">
        <f t="shared" si="12"/>
        <v/>
      </c>
      <c r="T308" s="16" t="str">
        <f t="shared" si="13"/>
        <v/>
      </c>
      <c r="V308" s="16" t="str">
        <f t="shared" si="14"/>
        <v/>
      </c>
    </row>
    <row r="309" spans="17:22" x14ac:dyDescent="0.15">
      <c r="Q309" s="75" t="str">
        <f t="shared" si="12"/>
        <v/>
      </c>
      <c r="T309" s="16" t="str">
        <f t="shared" si="13"/>
        <v/>
      </c>
      <c r="V309" s="16" t="str">
        <f t="shared" si="14"/>
        <v/>
      </c>
    </row>
    <row r="310" spans="17:22" x14ac:dyDescent="0.15">
      <c r="Q310" s="75" t="str">
        <f t="shared" si="12"/>
        <v/>
      </c>
      <c r="T310" s="16" t="str">
        <f t="shared" si="13"/>
        <v/>
      </c>
      <c r="V310" s="16" t="str">
        <f t="shared" si="14"/>
        <v/>
      </c>
    </row>
    <row r="311" spans="17:22" x14ac:dyDescent="0.15">
      <c r="Q311" s="75" t="str">
        <f t="shared" si="12"/>
        <v/>
      </c>
      <c r="T311" s="16" t="str">
        <f t="shared" si="13"/>
        <v/>
      </c>
      <c r="V311" s="16" t="str">
        <f t="shared" si="14"/>
        <v/>
      </c>
    </row>
    <row r="312" spans="17:22" x14ac:dyDescent="0.15">
      <c r="Q312" s="75" t="str">
        <f t="shared" si="12"/>
        <v/>
      </c>
      <c r="T312" s="16" t="str">
        <f t="shared" si="13"/>
        <v/>
      </c>
      <c r="V312" s="16" t="str">
        <f t="shared" si="14"/>
        <v/>
      </c>
    </row>
    <row r="313" spans="17:22" x14ac:dyDescent="0.15">
      <c r="Q313" s="75" t="str">
        <f t="shared" si="12"/>
        <v/>
      </c>
      <c r="T313" s="16" t="str">
        <f t="shared" si="13"/>
        <v/>
      </c>
      <c r="V313" s="16" t="str">
        <f t="shared" si="14"/>
        <v/>
      </c>
    </row>
    <row r="314" spans="17:22" x14ac:dyDescent="0.15">
      <c r="Q314" s="75" t="str">
        <f t="shared" si="12"/>
        <v/>
      </c>
      <c r="T314" s="16" t="str">
        <f t="shared" si="13"/>
        <v/>
      </c>
      <c r="V314" s="16" t="str">
        <f t="shared" si="14"/>
        <v/>
      </c>
    </row>
    <row r="315" spans="17:22" x14ac:dyDescent="0.15">
      <c r="Q315" s="75" t="str">
        <f t="shared" si="12"/>
        <v/>
      </c>
      <c r="T315" s="16" t="str">
        <f t="shared" si="13"/>
        <v/>
      </c>
      <c r="V315" s="16" t="str">
        <f t="shared" si="14"/>
        <v/>
      </c>
    </row>
    <row r="316" spans="17:22" x14ac:dyDescent="0.15">
      <c r="Q316" s="75" t="str">
        <f t="shared" si="12"/>
        <v/>
      </c>
      <c r="T316" s="16" t="str">
        <f t="shared" si="13"/>
        <v/>
      </c>
      <c r="V316" s="16" t="str">
        <f t="shared" si="14"/>
        <v/>
      </c>
    </row>
    <row r="317" spans="17:22" x14ac:dyDescent="0.15">
      <c r="Q317" s="75" t="str">
        <f t="shared" ref="Q317:Q375" si="15">IF(OR(O317="",P317=""),"",AVERAGE(O317,P317))</f>
        <v/>
      </c>
      <c r="T317" s="16" t="str">
        <f t="shared" ref="T317:T380" si="16">IF(H317="","",IF(OR(H317="GREEN",H317="GK"),IF(S317&gt;=$AX$2,VLOOKUP(S317,$AX$2:$AY$10,2,1),""),IF(S317&gt;=$AZ$2,VLOOKUP(S317,$AZ$2:$BA$10,2,1),"")))</f>
        <v/>
      </c>
      <c r="V317" s="16" t="str">
        <f t="shared" ref="V317:V380" si="17">IF(OR(N317="",U317="",T317=""),"",U317/N317*T317)</f>
        <v/>
      </c>
    </row>
    <row r="318" spans="17:22" x14ac:dyDescent="0.15">
      <c r="Q318" s="75" t="str">
        <f t="shared" si="15"/>
        <v/>
      </c>
      <c r="T318" s="16" t="str">
        <f t="shared" si="16"/>
        <v/>
      </c>
      <c r="V318" s="16" t="str">
        <f t="shared" si="17"/>
        <v/>
      </c>
    </row>
    <row r="319" spans="17:22" x14ac:dyDescent="0.15">
      <c r="Q319" s="75" t="str">
        <f t="shared" si="15"/>
        <v/>
      </c>
      <c r="T319" s="16" t="str">
        <f t="shared" si="16"/>
        <v/>
      </c>
      <c r="V319" s="16" t="str">
        <f t="shared" si="17"/>
        <v/>
      </c>
    </row>
    <row r="320" spans="17:22" x14ac:dyDescent="0.15">
      <c r="Q320" s="75" t="str">
        <f t="shared" si="15"/>
        <v/>
      </c>
      <c r="T320" s="16" t="str">
        <f t="shared" si="16"/>
        <v/>
      </c>
      <c r="V320" s="16" t="str">
        <f t="shared" si="17"/>
        <v/>
      </c>
    </row>
    <row r="321" spans="17:22" x14ac:dyDescent="0.15">
      <c r="Q321" s="75" t="str">
        <f t="shared" si="15"/>
        <v/>
      </c>
      <c r="T321" s="16" t="str">
        <f t="shared" si="16"/>
        <v/>
      </c>
      <c r="V321" s="16" t="str">
        <f t="shared" si="17"/>
        <v/>
      </c>
    </row>
    <row r="322" spans="17:22" x14ac:dyDescent="0.15">
      <c r="Q322" s="75" t="str">
        <f t="shared" si="15"/>
        <v/>
      </c>
      <c r="T322" s="16" t="str">
        <f t="shared" si="16"/>
        <v/>
      </c>
      <c r="V322" s="16" t="str">
        <f t="shared" si="17"/>
        <v/>
      </c>
    </row>
    <row r="323" spans="17:22" x14ac:dyDescent="0.15">
      <c r="Q323" s="75" t="str">
        <f t="shared" si="15"/>
        <v/>
      </c>
      <c r="T323" s="16" t="str">
        <f t="shared" si="16"/>
        <v/>
      </c>
      <c r="V323" s="16" t="str">
        <f t="shared" si="17"/>
        <v/>
      </c>
    </row>
    <row r="324" spans="17:22" x14ac:dyDescent="0.15">
      <c r="Q324" s="75" t="str">
        <f t="shared" si="15"/>
        <v/>
      </c>
      <c r="T324" s="16" t="str">
        <f t="shared" si="16"/>
        <v/>
      </c>
      <c r="V324" s="16" t="str">
        <f t="shared" si="17"/>
        <v/>
      </c>
    </row>
    <row r="325" spans="17:22" x14ac:dyDescent="0.15">
      <c r="Q325" s="75" t="str">
        <f t="shared" si="15"/>
        <v/>
      </c>
      <c r="T325" s="16" t="str">
        <f t="shared" si="16"/>
        <v/>
      </c>
      <c r="V325" s="16" t="str">
        <f t="shared" si="17"/>
        <v/>
      </c>
    </row>
    <row r="326" spans="17:22" x14ac:dyDescent="0.15">
      <c r="Q326" s="75" t="str">
        <f t="shared" si="15"/>
        <v/>
      </c>
      <c r="T326" s="16" t="str">
        <f t="shared" si="16"/>
        <v/>
      </c>
      <c r="V326" s="16" t="str">
        <f t="shared" si="17"/>
        <v/>
      </c>
    </row>
    <row r="327" spans="17:22" x14ac:dyDescent="0.15">
      <c r="Q327" s="75" t="str">
        <f t="shared" si="15"/>
        <v/>
      </c>
      <c r="T327" s="16" t="str">
        <f t="shared" si="16"/>
        <v/>
      </c>
      <c r="V327" s="16" t="str">
        <f t="shared" si="17"/>
        <v/>
      </c>
    </row>
    <row r="328" spans="17:22" x14ac:dyDescent="0.15">
      <c r="Q328" s="75" t="str">
        <f t="shared" si="15"/>
        <v/>
      </c>
      <c r="T328" s="16" t="str">
        <f t="shared" si="16"/>
        <v/>
      </c>
      <c r="V328" s="16" t="str">
        <f t="shared" si="17"/>
        <v/>
      </c>
    </row>
    <row r="329" spans="17:22" x14ac:dyDescent="0.15">
      <c r="Q329" s="75" t="str">
        <f t="shared" si="15"/>
        <v/>
      </c>
      <c r="T329" s="16" t="str">
        <f t="shared" si="16"/>
        <v/>
      </c>
      <c r="V329" s="16" t="str">
        <f t="shared" si="17"/>
        <v/>
      </c>
    </row>
    <row r="330" spans="17:22" x14ac:dyDescent="0.15">
      <c r="Q330" s="75" t="str">
        <f t="shared" si="15"/>
        <v/>
      </c>
      <c r="T330" s="16" t="str">
        <f t="shared" si="16"/>
        <v/>
      </c>
      <c r="V330" s="16" t="str">
        <f t="shared" si="17"/>
        <v/>
      </c>
    </row>
    <row r="331" spans="17:22" x14ac:dyDescent="0.15">
      <c r="Q331" s="75" t="str">
        <f t="shared" si="15"/>
        <v/>
      </c>
      <c r="T331" s="16" t="str">
        <f t="shared" si="16"/>
        <v/>
      </c>
      <c r="V331" s="16" t="str">
        <f t="shared" si="17"/>
        <v/>
      </c>
    </row>
    <row r="332" spans="17:22" x14ac:dyDescent="0.15">
      <c r="Q332" s="75" t="str">
        <f t="shared" si="15"/>
        <v/>
      </c>
      <c r="T332" s="16" t="str">
        <f t="shared" si="16"/>
        <v/>
      </c>
      <c r="V332" s="16" t="str">
        <f t="shared" si="17"/>
        <v/>
      </c>
    </row>
    <row r="333" spans="17:22" x14ac:dyDescent="0.15">
      <c r="Q333" s="75" t="str">
        <f t="shared" si="15"/>
        <v/>
      </c>
      <c r="T333" s="16" t="str">
        <f t="shared" si="16"/>
        <v/>
      </c>
      <c r="V333" s="16" t="str">
        <f t="shared" si="17"/>
        <v/>
      </c>
    </row>
    <row r="334" spans="17:22" x14ac:dyDescent="0.15">
      <c r="Q334" s="75" t="str">
        <f t="shared" si="15"/>
        <v/>
      </c>
      <c r="T334" s="16" t="str">
        <f t="shared" si="16"/>
        <v/>
      </c>
      <c r="V334" s="16" t="str">
        <f t="shared" si="17"/>
        <v/>
      </c>
    </row>
    <row r="335" spans="17:22" x14ac:dyDescent="0.15">
      <c r="Q335" s="75" t="str">
        <f t="shared" si="15"/>
        <v/>
      </c>
      <c r="T335" s="16" t="str">
        <f t="shared" si="16"/>
        <v/>
      </c>
      <c r="V335" s="16" t="str">
        <f t="shared" si="17"/>
        <v/>
      </c>
    </row>
    <row r="336" spans="17:22" x14ac:dyDescent="0.15">
      <c r="Q336" s="75" t="str">
        <f t="shared" si="15"/>
        <v/>
      </c>
      <c r="T336" s="16" t="str">
        <f t="shared" si="16"/>
        <v/>
      </c>
      <c r="V336" s="16" t="str">
        <f t="shared" si="17"/>
        <v/>
      </c>
    </row>
    <row r="337" spans="17:22" x14ac:dyDescent="0.15">
      <c r="Q337" s="75" t="str">
        <f t="shared" si="15"/>
        <v/>
      </c>
      <c r="T337" s="16" t="str">
        <f t="shared" si="16"/>
        <v/>
      </c>
      <c r="V337" s="16" t="str">
        <f t="shared" si="17"/>
        <v/>
      </c>
    </row>
    <row r="338" spans="17:22" x14ac:dyDescent="0.15">
      <c r="Q338" s="75" t="str">
        <f t="shared" si="15"/>
        <v/>
      </c>
      <c r="T338" s="16" t="str">
        <f t="shared" si="16"/>
        <v/>
      </c>
      <c r="V338" s="16" t="str">
        <f t="shared" si="17"/>
        <v/>
      </c>
    </row>
    <row r="339" spans="17:22" x14ac:dyDescent="0.15">
      <c r="Q339" s="75" t="str">
        <f t="shared" si="15"/>
        <v/>
      </c>
      <c r="T339" s="16" t="str">
        <f t="shared" si="16"/>
        <v/>
      </c>
      <c r="V339" s="16" t="str">
        <f t="shared" si="17"/>
        <v/>
      </c>
    </row>
    <row r="340" spans="17:22" x14ac:dyDescent="0.15">
      <c r="Q340" s="75" t="str">
        <f t="shared" si="15"/>
        <v/>
      </c>
      <c r="T340" s="16" t="str">
        <f t="shared" si="16"/>
        <v/>
      </c>
      <c r="V340" s="16" t="str">
        <f t="shared" si="17"/>
        <v/>
      </c>
    </row>
    <row r="341" spans="17:22" x14ac:dyDescent="0.15">
      <c r="Q341" s="75" t="str">
        <f t="shared" si="15"/>
        <v/>
      </c>
      <c r="T341" s="16" t="str">
        <f t="shared" si="16"/>
        <v/>
      </c>
      <c r="V341" s="16" t="str">
        <f t="shared" si="17"/>
        <v/>
      </c>
    </row>
    <row r="342" spans="17:22" x14ac:dyDescent="0.15">
      <c r="Q342" s="75" t="str">
        <f t="shared" si="15"/>
        <v/>
      </c>
      <c r="T342" s="16" t="str">
        <f t="shared" si="16"/>
        <v/>
      </c>
      <c r="V342" s="16" t="str">
        <f t="shared" si="17"/>
        <v/>
      </c>
    </row>
    <row r="343" spans="17:22" x14ac:dyDescent="0.15">
      <c r="Q343" s="75" t="str">
        <f t="shared" si="15"/>
        <v/>
      </c>
      <c r="T343" s="16" t="str">
        <f t="shared" si="16"/>
        <v/>
      </c>
      <c r="V343" s="16" t="str">
        <f t="shared" si="17"/>
        <v/>
      </c>
    </row>
    <row r="344" spans="17:22" x14ac:dyDescent="0.15">
      <c r="Q344" s="75" t="str">
        <f t="shared" si="15"/>
        <v/>
      </c>
      <c r="T344" s="16" t="str">
        <f t="shared" si="16"/>
        <v/>
      </c>
      <c r="V344" s="16" t="str">
        <f t="shared" si="17"/>
        <v/>
      </c>
    </row>
    <row r="345" spans="17:22" x14ac:dyDescent="0.15">
      <c r="Q345" s="75" t="str">
        <f t="shared" si="15"/>
        <v/>
      </c>
      <c r="T345" s="16" t="str">
        <f t="shared" si="16"/>
        <v/>
      </c>
      <c r="V345" s="16" t="str">
        <f t="shared" si="17"/>
        <v/>
      </c>
    </row>
    <row r="346" spans="17:22" x14ac:dyDescent="0.15">
      <c r="Q346" s="75" t="str">
        <f t="shared" si="15"/>
        <v/>
      </c>
      <c r="T346" s="16" t="str">
        <f t="shared" si="16"/>
        <v/>
      </c>
      <c r="V346" s="16" t="str">
        <f t="shared" si="17"/>
        <v/>
      </c>
    </row>
    <row r="347" spans="17:22" x14ac:dyDescent="0.15">
      <c r="Q347" s="75" t="str">
        <f t="shared" si="15"/>
        <v/>
      </c>
      <c r="T347" s="16" t="str">
        <f t="shared" si="16"/>
        <v/>
      </c>
      <c r="V347" s="16" t="str">
        <f t="shared" si="17"/>
        <v/>
      </c>
    </row>
    <row r="348" spans="17:22" x14ac:dyDescent="0.15">
      <c r="Q348" s="75" t="str">
        <f t="shared" si="15"/>
        <v/>
      </c>
      <c r="T348" s="16" t="str">
        <f t="shared" si="16"/>
        <v/>
      </c>
      <c r="V348" s="16" t="str">
        <f t="shared" si="17"/>
        <v/>
      </c>
    </row>
    <row r="349" spans="17:22" x14ac:dyDescent="0.15">
      <c r="Q349" s="75" t="str">
        <f t="shared" si="15"/>
        <v/>
      </c>
      <c r="T349" s="16" t="str">
        <f t="shared" si="16"/>
        <v/>
      </c>
      <c r="V349" s="16" t="str">
        <f t="shared" si="17"/>
        <v/>
      </c>
    </row>
    <row r="350" spans="17:22" x14ac:dyDescent="0.15">
      <c r="Q350" s="75" t="str">
        <f t="shared" si="15"/>
        <v/>
      </c>
      <c r="T350" s="16" t="str">
        <f t="shared" si="16"/>
        <v/>
      </c>
      <c r="V350" s="16" t="str">
        <f t="shared" si="17"/>
        <v/>
      </c>
    </row>
    <row r="351" spans="17:22" x14ac:dyDescent="0.15">
      <c r="Q351" s="75" t="str">
        <f t="shared" si="15"/>
        <v/>
      </c>
      <c r="T351" s="16" t="str">
        <f t="shared" si="16"/>
        <v/>
      </c>
      <c r="V351" s="16" t="str">
        <f t="shared" si="17"/>
        <v/>
      </c>
    </row>
    <row r="352" spans="17:22" x14ac:dyDescent="0.15">
      <c r="Q352" s="75" t="str">
        <f t="shared" si="15"/>
        <v/>
      </c>
      <c r="T352" s="16" t="str">
        <f t="shared" si="16"/>
        <v/>
      </c>
      <c r="V352" s="16" t="str">
        <f t="shared" si="17"/>
        <v/>
      </c>
    </row>
    <row r="353" spans="17:22" x14ac:dyDescent="0.15">
      <c r="Q353" s="75" t="str">
        <f t="shared" si="15"/>
        <v/>
      </c>
      <c r="T353" s="16" t="str">
        <f t="shared" si="16"/>
        <v/>
      </c>
      <c r="V353" s="16" t="str">
        <f t="shared" si="17"/>
        <v/>
      </c>
    </row>
    <row r="354" spans="17:22" x14ac:dyDescent="0.15">
      <c r="Q354" s="75" t="str">
        <f t="shared" si="15"/>
        <v/>
      </c>
      <c r="T354" s="16" t="str">
        <f t="shared" si="16"/>
        <v/>
      </c>
      <c r="V354" s="16" t="str">
        <f t="shared" si="17"/>
        <v/>
      </c>
    </row>
    <row r="355" spans="17:22" x14ac:dyDescent="0.15">
      <c r="Q355" s="75" t="str">
        <f t="shared" si="15"/>
        <v/>
      </c>
      <c r="T355" s="16" t="str">
        <f t="shared" si="16"/>
        <v/>
      </c>
      <c r="V355" s="16" t="str">
        <f t="shared" si="17"/>
        <v/>
      </c>
    </row>
    <row r="356" spans="17:22" x14ac:dyDescent="0.15">
      <c r="Q356" s="75" t="str">
        <f t="shared" si="15"/>
        <v/>
      </c>
      <c r="T356" s="16" t="str">
        <f t="shared" si="16"/>
        <v/>
      </c>
      <c r="V356" s="16" t="str">
        <f t="shared" si="17"/>
        <v/>
      </c>
    </row>
    <row r="357" spans="17:22" x14ac:dyDescent="0.15">
      <c r="Q357" s="75" t="str">
        <f t="shared" si="15"/>
        <v/>
      </c>
      <c r="T357" s="16" t="str">
        <f t="shared" si="16"/>
        <v/>
      </c>
      <c r="V357" s="16" t="str">
        <f t="shared" si="17"/>
        <v/>
      </c>
    </row>
    <row r="358" spans="17:22" x14ac:dyDescent="0.15">
      <c r="Q358" s="75" t="str">
        <f t="shared" si="15"/>
        <v/>
      </c>
      <c r="T358" s="16" t="str">
        <f t="shared" si="16"/>
        <v/>
      </c>
      <c r="V358" s="16" t="str">
        <f t="shared" si="17"/>
        <v/>
      </c>
    </row>
    <row r="359" spans="17:22" x14ac:dyDescent="0.15">
      <c r="Q359" s="75" t="str">
        <f t="shared" si="15"/>
        <v/>
      </c>
      <c r="T359" s="16" t="str">
        <f t="shared" si="16"/>
        <v/>
      </c>
      <c r="V359" s="16" t="str">
        <f t="shared" si="17"/>
        <v/>
      </c>
    </row>
    <row r="360" spans="17:22" x14ac:dyDescent="0.15">
      <c r="Q360" s="75" t="str">
        <f t="shared" si="15"/>
        <v/>
      </c>
      <c r="T360" s="16" t="str">
        <f t="shared" si="16"/>
        <v/>
      </c>
      <c r="V360" s="16" t="str">
        <f t="shared" si="17"/>
        <v/>
      </c>
    </row>
    <row r="361" spans="17:22" x14ac:dyDescent="0.15">
      <c r="Q361" s="75" t="str">
        <f t="shared" si="15"/>
        <v/>
      </c>
      <c r="T361" s="16" t="str">
        <f t="shared" si="16"/>
        <v/>
      </c>
      <c r="V361" s="16" t="str">
        <f t="shared" si="17"/>
        <v/>
      </c>
    </row>
    <row r="362" spans="17:22" x14ac:dyDescent="0.15">
      <c r="Q362" s="75" t="str">
        <f t="shared" si="15"/>
        <v/>
      </c>
      <c r="T362" s="16" t="str">
        <f t="shared" si="16"/>
        <v/>
      </c>
      <c r="V362" s="16" t="str">
        <f t="shared" si="17"/>
        <v/>
      </c>
    </row>
    <row r="363" spans="17:22" x14ac:dyDescent="0.15">
      <c r="Q363" s="75" t="str">
        <f t="shared" si="15"/>
        <v/>
      </c>
      <c r="T363" s="16" t="str">
        <f t="shared" si="16"/>
        <v/>
      </c>
      <c r="V363" s="16" t="str">
        <f t="shared" si="17"/>
        <v/>
      </c>
    </row>
    <row r="364" spans="17:22" x14ac:dyDescent="0.15">
      <c r="Q364" s="75" t="str">
        <f t="shared" si="15"/>
        <v/>
      </c>
      <c r="T364" s="16" t="str">
        <f t="shared" si="16"/>
        <v/>
      </c>
      <c r="V364" s="16" t="str">
        <f t="shared" si="17"/>
        <v/>
      </c>
    </row>
    <row r="365" spans="17:22" x14ac:dyDescent="0.15">
      <c r="Q365" s="75" t="str">
        <f t="shared" si="15"/>
        <v/>
      </c>
      <c r="T365" s="16" t="str">
        <f t="shared" si="16"/>
        <v/>
      </c>
      <c r="V365" s="16" t="str">
        <f t="shared" si="17"/>
        <v/>
      </c>
    </row>
    <row r="366" spans="17:22" x14ac:dyDescent="0.15">
      <c r="Q366" s="75" t="str">
        <f t="shared" si="15"/>
        <v/>
      </c>
      <c r="T366" s="16" t="str">
        <f t="shared" si="16"/>
        <v/>
      </c>
      <c r="V366" s="16" t="str">
        <f t="shared" si="17"/>
        <v/>
      </c>
    </row>
    <row r="367" spans="17:22" x14ac:dyDescent="0.15">
      <c r="Q367" s="75" t="str">
        <f t="shared" si="15"/>
        <v/>
      </c>
      <c r="T367" s="16" t="str">
        <f t="shared" si="16"/>
        <v/>
      </c>
      <c r="V367" s="16" t="str">
        <f t="shared" si="17"/>
        <v/>
      </c>
    </row>
    <row r="368" spans="17:22" x14ac:dyDescent="0.15">
      <c r="Q368" s="75" t="str">
        <f t="shared" si="15"/>
        <v/>
      </c>
      <c r="T368" s="16" t="str">
        <f t="shared" si="16"/>
        <v/>
      </c>
      <c r="V368" s="16" t="str">
        <f t="shared" si="17"/>
        <v/>
      </c>
    </row>
    <row r="369" spans="17:22" x14ac:dyDescent="0.15">
      <c r="Q369" s="75" t="str">
        <f t="shared" si="15"/>
        <v/>
      </c>
      <c r="T369" s="16" t="str">
        <f t="shared" si="16"/>
        <v/>
      </c>
      <c r="V369" s="16" t="str">
        <f t="shared" si="17"/>
        <v/>
      </c>
    </row>
    <row r="370" spans="17:22" x14ac:dyDescent="0.15">
      <c r="Q370" s="75" t="str">
        <f t="shared" si="15"/>
        <v/>
      </c>
      <c r="T370" s="16" t="str">
        <f t="shared" si="16"/>
        <v/>
      </c>
      <c r="V370" s="16" t="str">
        <f t="shared" si="17"/>
        <v/>
      </c>
    </row>
    <row r="371" spans="17:22" x14ac:dyDescent="0.15">
      <c r="Q371" s="75" t="str">
        <f t="shared" si="15"/>
        <v/>
      </c>
      <c r="T371" s="16" t="str">
        <f t="shared" si="16"/>
        <v/>
      </c>
      <c r="V371" s="16" t="str">
        <f t="shared" si="17"/>
        <v/>
      </c>
    </row>
    <row r="372" spans="17:22" x14ac:dyDescent="0.15">
      <c r="T372" s="16" t="str">
        <f t="shared" si="16"/>
        <v/>
      </c>
      <c r="V372" s="16" t="str">
        <f t="shared" si="17"/>
        <v/>
      </c>
    </row>
    <row r="373" spans="17:22" x14ac:dyDescent="0.15">
      <c r="T373" s="16" t="str">
        <f t="shared" si="16"/>
        <v/>
      </c>
      <c r="V373" s="16" t="str">
        <f t="shared" si="17"/>
        <v/>
      </c>
    </row>
    <row r="374" spans="17:22" x14ac:dyDescent="0.15">
      <c r="T374" s="16" t="str">
        <f t="shared" si="16"/>
        <v/>
      </c>
      <c r="V374" s="16" t="str">
        <f t="shared" si="17"/>
        <v/>
      </c>
    </row>
    <row r="375" spans="17:22" x14ac:dyDescent="0.15">
      <c r="T375" s="16" t="str">
        <f t="shared" si="16"/>
        <v/>
      </c>
      <c r="V375" s="16" t="str">
        <f t="shared" si="17"/>
        <v/>
      </c>
    </row>
    <row r="376" spans="17:22" x14ac:dyDescent="0.15">
      <c r="T376" s="16" t="str">
        <f t="shared" si="16"/>
        <v/>
      </c>
      <c r="V376" s="16" t="str">
        <f t="shared" si="17"/>
        <v/>
      </c>
    </row>
    <row r="377" spans="17:22" x14ac:dyDescent="0.15">
      <c r="T377" s="16" t="str">
        <f t="shared" si="16"/>
        <v/>
      </c>
      <c r="V377" s="16" t="str">
        <f t="shared" si="17"/>
        <v/>
      </c>
    </row>
    <row r="378" spans="17:22" x14ac:dyDescent="0.15">
      <c r="T378" s="16" t="str">
        <f t="shared" si="16"/>
        <v/>
      </c>
      <c r="V378" s="16" t="str">
        <f t="shared" si="17"/>
        <v/>
      </c>
    </row>
    <row r="379" spans="17:22" x14ac:dyDescent="0.15">
      <c r="T379" s="16" t="str">
        <f t="shared" si="16"/>
        <v/>
      </c>
      <c r="V379" s="16" t="str">
        <f t="shared" si="17"/>
        <v/>
      </c>
    </row>
    <row r="380" spans="17:22" x14ac:dyDescent="0.15">
      <c r="T380" s="16" t="str">
        <f t="shared" si="16"/>
        <v/>
      </c>
    </row>
    <row r="381" spans="17:22" x14ac:dyDescent="0.15">
      <c r="T381" s="16" t="str">
        <f t="shared" ref="T381:T439" si="18">IF(H381="","",IF(OR(H381="GREEN",H381="GK"),IF(S381&gt;=$AX$2,VLOOKUP(S381,$AX$2:$AY$10,2,1),""),IF(S381&gt;=$AZ$2,VLOOKUP(S381,$AZ$2:$BA$10,2,1),"")))</f>
        <v/>
      </c>
    </row>
    <row r="382" spans="17:22" x14ac:dyDescent="0.15">
      <c r="T382" s="16" t="str">
        <f t="shared" si="18"/>
        <v/>
      </c>
    </row>
    <row r="383" spans="17:22" x14ac:dyDescent="0.15">
      <c r="T383" s="16" t="str">
        <f t="shared" si="18"/>
        <v/>
      </c>
    </row>
    <row r="384" spans="17:22" x14ac:dyDescent="0.15">
      <c r="T384" s="16" t="str">
        <f t="shared" si="18"/>
        <v/>
      </c>
    </row>
    <row r="385" spans="20:20" x14ac:dyDescent="0.15">
      <c r="T385" s="16" t="str">
        <f t="shared" si="18"/>
        <v/>
      </c>
    </row>
    <row r="386" spans="20:20" x14ac:dyDescent="0.15">
      <c r="T386" s="16" t="str">
        <f t="shared" si="18"/>
        <v/>
      </c>
    </row>
    <row r="387" spans="20:20" x14ac:dyDescent="0.15">
      <c r="T387" s="16" t="str">
        <f t="shared" si="18"/>
        <v/>
      </c>
    </row>
    <row r="388" spans="20:20" x14ac:dyDescent="0.15">
      <c r="T388" s="16" t="str">
        <f t="shared" si="18"/>
        <v/>
      </c>
    </row>
    <row r="389" spans="20:20" x14ac:dyDescent="0.15">
      <c r="T389" s="16" t="str">
        <f t="shared" si="18"/>
        <v/>
      </c>
    </row>
    <row r="390" spans="20:20" x14ac:dyDescent="0.15">
      <c r="T390" s="16" t="str">
        <f t="shared" si="18"/>
        <v/>
      </c>
    </row>
    <row r="391" spans="20:20" x14ac:dyDescent="0.15">
      <c r="T391" s="16" t="str">
        <f t="shared" si="18"/>
        <v/>
      </c>
    </row>
    <row r="392" spans="20:20" x14ac:dyDescent="0.15">
      <c r="T392" s="16" t="str">
        <f t="shared" si="18"/>
        <v/>
      </c>
    </row>
    <row r="393" spans="20:20" x14ac:dyDescent="0.15">
      <c r="T393" s="16" t="str">
        <f t="shared" si="18"/>
        <v/>
      </c>
    </row>
    <row r="394" spans="20:20" x14ac:dyDescent="0.15">
      <c r="T394" s="16" t="str">
        <f t="shared" si="18"/>
        <v/>
      </c>
    </row>
    <row r="395" spans="20:20" x14ac:dyDescent="0.15">
      <c r="T395" s="16" t="str">
        <f t="shared" si="18"/>
        <v/>
      </c>
    </row>
    <row r="396" spans="20:20" x14ac:dyDescent="0.15">
      <c r="T396" s="16" t="str">
        <f t="shared" si="18"/>
        <v/>
      </c>
    </row>
    <row r="397" spans="20:20" x14ac:dyDescent="0.15">
      <c r="T397" s="16" t="str">
        <f t="shared" si="18"/>
        <v/>
      </c>
    </row>
    <row r="398" spans="20:20" x14ac:dyDescent="0.15">
      <c r="T398" s="16" t="str">
        <f t="shared" si="18"/>
        <v/>
      </c>
    </row>
    <row r="399" spans="20:20" x14ac:dyDescent="0.15">
      <c r="T399" s="16" t="str">
        <f t="shared" si="18"/>
        <v/>
      </c>
    </row>
  </sheetData>
  <autoFilter ref="A1:BA399" xr:uid="{00000000-0009-0000-0000-000001000000}"/>
  <phoneticPr fontId="3"/>
  <dataValidations count="14">
    <dataValidation type="list" allowBlank="1" showInputMessage="1" showErrorMessage="1" sqref="Y155:AA355" xr:uid="{8776828D-FA76-4F31-A6AE-EC8E603B731B}">
      <formula1>$AV$2:$AV$16</formula1>
    </dataValidation>
    <dataValidation type="list" allowBlank="1" showInputMessage="1" showErrorMessage="1" sqref="X2:X355" xr:uid="{E29C74BD-5215-4E9D-B244-92FA0418B155}">
      <formula1>$AT$2:$AT$3</formula1>
    </dataValidation>
    <dataValidation type="list" allowBlank="1" showInputMessage="1" showErrorMessage="1" sqref="K172:K355" xr:uid="{BD317CAB-11E2-41F0-B2E0-5191E2E472D1}">
      <formula1>$AR$2:$AR$19</formula1>
    </dataValidation>
    <dataValidation type="list" allowBlank="1" showInputMessage="1" showErrorMessage="1" sqref="A2:A355" xr:uid="{D953D787-476B-4D6F-9448-BC2E4287C380}">
      <formula1>$AE$2:$AE$16</formula1>
    </dataValidation>
    <dataValidation type="decimal" allowBlank="1" showInputMessage="1" showErrorMessage="1" error="硬度を正しく入力して下さい。" sqref="O2:P355" xr:uid="{FBFAC023-962D-4A74-87AD-B8CE41F448D4}">
      <formula1>0</formula1>
      <formula2>7</formula2>
    </dataValidation>
    <dataValidation type="list" allowBlank="1" showInputMessage="1" showErrorMessage="1" sqref="I2:I355" xr:uid="{2B6C2580-6100-44D1-8EA7-A3B36F745F71}">
      <formula1>$AN$5:$AN$6</formula1>
    </dataValidation>
    <dataValidation type="list" allowBlank="1" showInputMessage="1" showErrorMessage="1" sqref="G2:G355" xr:uid="{90298ECD-CBAB-443B-999D-9CCF8A415377}">
      <formula1>$AJ$2:$AJ$4</formula1>
    </dataValidation>
    <dataValidation type="list" allowBlank="1" showInputMessage="1" showErrorMessage="1" sqref="F1:F65509" xr:uid="{232AA6DD-7EF4-4709-BA16-C25E875AD4EE}">
      <formula1>$AH$2:$AH$11</formula1>
    </dataValidation>
    <dataValidation type="list" allowBlank="1" showInputMessage="1" showErrorMessage="1" sqref="E1:E65509" xr:uid="{68CFB10A-6A4A-4DBC-8F78-E20CCE086DC2}">
      <formula1>$AG$2:$AG$11</formula1>
    </dataValidation>
    <dataValidation allowBlank="1" showInputMessage="1" showErrorMessage="1" sqref="B2:B154" xr:uid="{DDC77064-17EF-4454-ABFD-8035955F2E60}"/>
    <dataValidation type="list" allowBlank="1" showInputMessage="1" showErrorMessage="1" sqref="J2:J355" xr:uid="{CE8F25B1-732E-4C20-8654-D1CD93822F8F}">
      <formula1>$AP$2:$AP$19</formula1>
    </dataValidation>
    <dataValidation type="list" allowBlank="1" showInputMessage="1" showErrorMessage="1" sqref="Y2:AA154" xr:uid="{A63E08A9-A046-4933-B7EF-9B4F27551235}">
      <formula1>$AV$2:$AV$23</formula1>
    </dataValidation>
    <dataValidation type="list" allowBlank="1" showInputMessage="1" showErrorMessage="1" sqref="K2:K171" xr:uid="{EBF5862D-FB78-40CA-9F05-D58B5372F7A2}">
      <formula1>$AR$2:$AR$23</formula1>
    </dataValidation>
    <dataValidation type="list" allowBlank="1" showInputMessage="1" showErrorMessage="1" sqref="H2:H355" xr:uid="{9225788C-9075-4736-9BD6-A04711EAE5B2}">
      <formula1>$AL$2:$AL$8</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CEF97-24A6-482E-AB9D-76B0B263421F}">
  <dimension ref="A1:BA82"/>
  <sheetViews>
    <sheetView topLeftCell="A19" zoomScale="85" zoomScaleNormal="85" workbookViewId="0">
      <selection activeCell="AB2" sqref="AB2"/>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77" t="s">
        <v>0</v>
      </c>
      <c r="B1" s="55" t="s">
        <v>1</v>
      </c>
      <c r="C1" s="55" t="s">
        <v>2</v>
      </c>
      <c r="D1" s="56" t="s">
        <v>3</v>
      </c>
      <c r="E1" s="78" t="s">
        <v>4</v>
      </c>
      <c r="F1" s="78" t="s">
        <v>5</v>
      </c>
      <c r="G1" s="78" t="s">
        <v>6</v>
      </c>
      <c r="H1" s="78" t="s">
        <v>7</v>
      </c>
      <c r="I1" s="78" t="s">
        <v>8</v>
      </c>
      <c r="J1" s="78" t="s">
        <v>9</v>
      </c>
      <c r="K1" s="78" t="s">
        <v>10</v>
      </c>
      <c r="L1" s="56" t="s">
        <v>11</v>
      </c>
      <c r="M1" s="56" t="s">
        <v>12</v>
      </c>
      <c r="N1" s="56" t="s">
        <v>13</v>
      </c>
      <c r="O1" s="56" t="s">
        <v>14</v>
      </c>
      <c r="P1" s="56" t="s">
        <v>15</v>
      </c>
      <c r="Q1" s="3" t="s">
        <v>16</v>
      </c>
      <c r="R1" s="56" t="s">
        <v>17</v>
      </c>
      <c r="S1" s="56" t="s">
        <v>18</v>
      </c>
      <c r="T1" s="3" t="s">
        <v>19</v>
      </c>
      <c r="U1" s="58" t="s">
        <v>108</v>
      </c>
      <c r="V1" s="5" t="s">
        <v>20</v>
      </c>
      <c r="W1" s="56" t="s">
        <v>21</v>
      </c>
      <c r="X1" s="78" t="s">
        <v>22</v>
      </c>
      <c r="Y1" s="78" t="s">
        <v>23</v>
      </c>
      <c r="Z1" s="78" t="s">
        <v>24</v>
      </c>
      <c r="AA1" s="79"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56</v>
      </c>
      <c r="B2" s="53" t="s">
        <v>232</v>
      </c>
      <c r="C2" s="53">
        <v>2019</v>
      </c>
      <c r="D2" s="81" t="s">
        <v>233</v>
      </c>
      <c r="E2" s="53" t="s">
        <v>234</v>
      </c>
      <c r="F2" s="53" t="s">
        <v>235</v>
      </c>
      <c r="G2" s="53" t="s">
        <v>42</v>
      </c>
      <c r="H2" s="53" t="s">
        <v>164</v>
      </c>
      <c r="I2" s="53" t="s">
        <v>198</v>
      </c>
      <c r="J2" s="53" t="s">
        <v>38</v>
      </c>
      <c r="K2" s="53" t="s">
        <v>161</v>
      </c>
      <c r="L2" s="53">
        <v>1</v>
      </c>
      <c r="N2" s="53">
        <v>5</v>
      </c>
      <c r="O2" s="53">
        <v>0.5</v>
      </c>
      <c r="P2" s="53">
        <v>0.5</v>
      </c>
      <c r="Q2" s="75">
        <f t="shared" ref="Q2:Q61" si="0">IF(OR(O2="",P2=""),"",AVERAGE(O2,P2))</f>
        <v>0.5</v>
      </c>
      <c r="R2" s="53">
        <v>15.9</v>
      </c>
      <c r="S2" s="53">
        <v>102</v>
      </c>
      <c r="T2" s="16">
        <f t="shared" ref="T2:T61" si="1">IF(H2="","",IF(OR(H2="GREEN",H2="GK"),IF(S2&gt;=$AX$2,VLOOKUP(S2,$AX$2:$AY$10,2,1),""),IF(S2&gt;=$AZ$2,VLOOKUP(S2,$AZ$2:$BA$10,2,1),"")))</f>
        <v>33</v>
      </c>
      <c r="U2" s="53">
        <v>539</v>
      </c>
      <c r="V2" s="16">
        <f t="shared" ref="V2:V61" si="2">IF(OR(N2="",U2="",T2=""),"",U2/N2*T2)</f>
        <v>3557.4</v>
      </c>
      <c r="W2" s="53">
        <v>4</v>
      </c>
      <c r="X2" s="53" t="s">
        <v>46</v>
      </c>
      <c r="Y2" s="53" t="s">
        <v>55</v>
      </c>
      <c r="Z2" s="53" t="s">
        <v>88</v>
      </c>
      <c r="AA2" s="53" t="s">
        <v>90</v>
      </c>
      <c r="AB2" s="53" t="s">
        <v>258</v>
      </c>
      <c r="AE2" s="64" t="s">
        <v>35</v>
      </c>
      <c r="AG2" s="23" t="s">
        <v>236</v>
      </c>
      <c r="AH2" s="82" t="s">
        <v>237</v>
      </c>
      <c r="AJ2" s="67" t="s">
        <v>36</v>
      </c>
      <c r="AL2" s="67" t="s">
        <v>127</v>
      </c>
      <c r="AN2" s="67" t="s">
        <v>37</v>
      </c>
      <c r="AP2" s="67" t="s">
        <v>38</v>
      </c>
      <c r="AR2" s="67" t="s">
        <v>120</v>
      </c>
      <c r="AT2" s="67" t="s">
        <v>39</v>
      </c>
      <c r="AV2" s="67" t="s">
        <v>40</v>
      </c>
      <c r="AX2" s="68">
        <v>1</v>
      </c>
      <c r="AY2" s="69">
        <v>50</v>
      </c>
      <c r="AZ2" s="69">
        <v>1</v>
      </c>
      <c r="BA2" s="70">
        <v>50</v>
      </c>
    </row>
    <row r="3" spans="1:53" x14ac:dyDescent="0.15">
      <c r="A3" s="53" t="s">
        <v>56</v>
      </c>
      <c r="B3" s="53" t="s">
        <v>232</v>
      </c>
      <c r="C3" s="53">
        <v>2019</v>
      </c>
      <c r="D3" s="81" t="s">
        <v>233</v>
      </c>
      <c r="E3" s="53" t="s">
        <v>234</v>
      </c>
      <c r="F3" s="53" t="s">
        <v>235</v>
      </c>
      <c r="G3" s="53" t="s">
        <v>42</v>
      </c>
      <c r="H3" s="53" t="s">
        <v>164</v>
      </c>
      <c r="I3" s="53" t="s">
        <v>198</v>
      </c>
      <c r="J3" s="53" t="s">
        <v>38</v>
      </c>
      <c r="K3" s="53" t="s">
        <v>161</v>
      </c>
      <c r="L3" s="53">
        <v>2</v>
      </c>
      <c r="N3" s="53">
        <v>5</v>
      </c>
      <c r="O3" s="53">
        <v>0.5</v>
      </c>
      <c r="P3" s="53">
        <v>0.55000000000000004</v>
      </c>
      <c r="Q3" s="75">
        <f t="shared" si="0"/>
        <v>0.52500000000000002</v>
      </c>
      <c r="R3" s="53">
        <v>13.4</v>
      </c>
      <c r="S3" s="53">
        <v>98</v>
      </c>
      <c r="T3" s="16">
        <f t="shared" si="1"/>
        <v>36</v>
      </c>
      <c r="U3" s="53">
        <v>539</v>
      </c>
      <c r="V3" s="16">
        <f t="shared" si="2"/>
        <v>3880.7999999999997</v>
      </c>
      <c r="W3" s="53">
        <v>4</v>
      </c>
      <c r="X3" s="53" t="s">
        <v>46</v>
      </c>
      <c r="Y3" s="53" t="s">
        <v>55</v>
      </c>
      <c r="Z3" s="53" t="s">
        <v>88</v>
      </c>
      <c r="AA3" s="53" t="s">
        <v>90</v>
      </c>
      <c r="AB3" s="53" t="s">
        <v>158</v>
      </c>
      <c r="AE3" s="22" t="s">
        <v>41</v>
      </c>
      <c r="AG3" s="23" t="s">
        <v>238</v>
      </c>
      <c r="AH3" s="82" t="s">
        <v>235</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232</v>
      </c>
      <c r="C4" s="53">
        <v>2019</v>
      </c>
      <c r="D4" s="81" t="s">
        <v>233</v>
      </c>
      <c r="E4" s="53" t="s">
        <v>234</v>
      </c>
      <c r="F4" s="53" t="s">
        <v>235</v>
      </c>
      <c r="G4" s="53" t="s">
        <v>42</v>
      </c>
      <c r="H4" s="53" t="s">
        <v>164</v>
      </c>
      <c r="I4" s="53" t="s">
        <v>198</v>
      </c>
      <c r="J4" s="53" t="s">
        <v>38</v>
      </c>
      <c r="K4" s="53" t="s">
        <v>161</v>
      </c>
      <c r="L4" s="53">
        <v>3</v>
      </c>
      <c r="N4" s="53">
        <v>5</v>
      </c>
      <c r="O4" s="53">
        <v>0.55000000000000004</v>
      </c>
      <c r="P4" s="53">
        <v>0.55000000000000004</v>
      </c>
      <c r="Q4" s="75">
        <f t="shared" si="0"/>
        <v>0.55000000000000004</v>
      </c>
      <c r="R4" s="53">
        <v>14.5</v>
      </c>
      <c r="S4" s="53">
        <v>92</v>
      </c>
      <c r="T4" s="16">
        <f t="shared" si="1"/>
        <v>36</v>
      </c>
      <c r="U4" s="53">
        <v>539</v>
      </c>
      <c r="V4" s="16">
        <f t="shared" si="2"/>
        <v>3880.7999999999997</v>
      </c>
      <c r="W4" s="53">
        <v>4</v>
      </c>
      <c r="X4" s="53" t="s">
        <v>46</v>
      </c>
      <c r="Y4" s="53" t="s">
        <v>55</v>
      </c>
      <c r="Z4" s="53" t="s">
        <v>88</v>
      </c>
      <c r="AA4" s="53" t="s">
        <v>90</v>
      </c>
      <c r="AB4" s="53" t="s">
        <v>158</v>
      </c>
      <c r="AE4" s="22" t="s">
        <v>34</v>
      </c>
      <c r="AG4" s="23" t="s">
        <v>239</v>
      </c>
      <c r="AH4" s="82" t="s">
        <v>240</v>
      </c>
      <c r="AJ4" s="27" t="s">
        <v>48</v>
      </c>
      <c r="AL4" s="27" t="s">
        <v>241</v>
      </c>
      <c r="AN4" s="28" t="s">
        <v>49</v>
      </c>
      <c r="AP4" s="23" t="s">
        <v>93</v>
      </c>
      <c r="AR4" s="23" t="s">
        <v>121</v>
      </c>
      <c r="AT4" s="28"/>
      <c r="AV4" s="23" t="s">
        <v>50</v>
      </c>
      <c r="AX4" s="24">
        <v>75</v>
      </c>
      <c r="AY4" s="25">
        <v>42</v>
      </c>
      <c r="AZ4" s="25">
        <v>76</v>
      </c>
      <c r="BA4" s="26">
        <v>39</v>
      </c>
    </row>
    <row r="5" spans="1:53" x14ac:dyDescent="0.15">
      <c r="A5" s="53" t="s">
        <v>56</v>
      </c>
      <c r="B5" s="53" t="s">
        <v>232</v>
      </c>
      <c r="C5" s="53">
        <v>2019</v>
      </c>
      <c r="D5" s="81" t="s">
        <v>233</v>
      </c>
      <c r="E5" s="53" t="s">
        <v>234</v>
      </c>
      <c r="F5" s="53" t="s">
        <v>235</v>
      </c>
      <c r="G5" s="53" t="s">
        <v>42</v>
      </c>
      <c r="H5" s="53" t="s">
        <v>160</v>
      </c>
      <c r="I5" s="53" t="s">
        <v>198</v>
      </c>
      <c r="J5" s="53" t="s">
        <v>38</v>
      </c>
      <c r="K5" s="53" t="s">
        <v>161</v>
      </c>
      <c r="L5" s="53">
        <v>1</v>
      </c>
      <c r="N5" s="53">
        <v>1</v>
      </c>
      <c r="O5" s="53">
        <v>0.5</v>
      </c>
      <c r="P5" s="53">
        <v>0.5</v>
      </c>
      <c r="Q5" s="75">
        <f t="shared" si="0"/>
        <v>0.5</v>
      </c>
      <c r="R5" s="53">
        <v>13.7</v>
      </c>
      <c r="S5" s="53">
        <v>139</v>
      </c>
      <c r="T5" s="16">
        <f t="shared" si="1"/>
        <v>22</v>
      </c>
      <c r="U5" s="53">
        <v>183</v>
      </c>
      <c r="V5" s="16">
        <f t="shared" si="2"/>
        <v>4026</v>
      </c>
      <c r="W5" s="53">
        <v>6</v>
      </c>
      <c r="X5" s="53" t="s">
        <v>46</v>
      </c>
      <c r="Y5" s="53" t="s">
        <v>55</v>
      </c>
      <c r="Z5" s="53" t="s">
        <v>88</v>
      </c>
      <c r="AA5" s="53" t="s">
        <v>90</v>
      </c>
      <c r="AB5" s="53" t="s">
        <v>158</v>
      </c>
      <c r="AE5" s="22" t="s">
        <v>51</v>
      </c>
      <c r="AG5" s="23" t="s">
        <v>242</v>
      </c>
      <c r="AH5" s="82" t="s">
        <v>243</v>
      </c>
      <c r="AJ5" s="28"/>
      <c r="AL5" s="73" t="s">
        <v>66</v>
      </c>
      <c r="AN5" s="73" t="s">
        <v>52</v>
      </c>
      <c r="AP5" s="23" t="s">
        <v>244</v>
      </c>
      <c r="AR5" s="23" t="s">
        <v>54</v>
      </c>
      <c r="AV5" s="23" t="s">
        <v>55</v>
      </c>
      <c r="AX5" s="24">
        <v>84</v>
      </c>
      <c r="AY5" s="25">
        <v>39</v>
      </c>
      <c r="AZ5" s="25">
        <v>84</v>
      </c>
      <c r="BA5" s="26">
        <v>36</v>
      </c>
    </row>
    <row r="6" spans="1:53" x14ac:dyDescent="0.15">
      <c r="A6" s="53" t="s">
        <v>56</v>
      </c>
      <c r="B6" s="53" t="s">
        <v>232</v>
      </c>
      <c r="C6" s="53">
        <v>2019</v>
      </c>
      <c r="D6" s="81" t="s">
        <v>233</v>
      </c>
      <c r="E6" s="53" t="s">
        <v>234</v>
      </c>
      <c r="F6" s="53" t="s">
        <v>235</v>
      </c>
      <c r="G6" s="53" t="s">
        <v>42</v>
      </c>
      <c r="H6" s="53" t="s">
        <v>160</v>
      </c>
      <c r="I6" s="53" t="s">
        <v>198</v>
      </c>
      <c r="J6" s="53" t="s">
        <v>38</v>
      </c>
      <c r="K6" s="53" t="s">
        <v>161</v>
      </c>
      <c r="L6" s="53">
        <v>2</v>
      </c>
      <c r="N6" s="53">
        <v>1</v>
      </c>
      <c r="O6" s="53">
        <v>0.55000000000000004</v>
      </c>
      <c r="P6" s="53">
        <v>0.5</v>
      </c>
      <c r="Q6" s="75">
        <f t="shared" si="0"/>
        <v>0.52500000000000002</v>
      </c>
      <c r="R6" s="53">
        <v>17</v>
      </c>
      <c r="S6" s="53">
        <v>141</v>
      </c>
      <c r="T6" s="16">
        <f t="shared" si="1"/>
        <v>22</v>
      </c>
      <c r="U6" s="53">
        <v>183</v>
      </c>
      <c r="V6" s="16">
        <f t="shared" si="2"/>
        <v>4026</v>
      </c>
      <c r="W6" s="53">
        <v>6</v>
      </c>
      <c r="X6" s="53" t="s">
        <v>46</v>
      </c>
      <c r="Y6" s="53" t="s">
        <v>55</v>
      </c>
      <c r="Z6" s="53" t="s">
        <v>88</v>
      </c>
      <c r="AA6" s="53" t="s">
        <v>90</v>
      </c>
      <c r="AB6" s="53" t="s">
        <v>158</v>
      </c>
      <c r="AE6" s="22" t="s">
        <v>56</v>
      </c>
      <c r="AG6" s="23" t="s">
        <v>245</v>
      </c>
      <c r="AH6" s="82" t="s">
        <v>243</v>
      </c>
      <c r="AL6" s="73" t="s">
        <v>99</v>
      </c>
      <c r="AN6" s="73" t="s">
        <v>57</v>
      </c>
      <c r="AP6" s="23" t="s">
        <v>53</v>
      </c>
      <c r="AR6" s="23" t="s">
        <v>59</v>
      </c>
      <c r="AV6" s="23" t="s">
        <v>60</v>
      </c>
      <c r="AX6" s="24">
        <v>97</v>
      </c>
      <c r="AY6" s="25">
        <v>36</v>
      </c>
      <c r="AZ6" s="25">
        <v>99</v>
      </c>
      <c r="BA6" s="26">
        <v>33</v>
      </c>
    </row>
    <row r="7" spans="1:53" x14ac:dyDescent="0.15">
      <c r="A7" s="53" t="s">
        <v>56</v>
      </c>
      <c r="B7" s="53" t="s">
        <v>232</v>
      </c>
      <c r="C7" s="53">
        <v>2019</v>
      </c>
      <c r="D7" s="81" t="s">
        <v>233</v>
      </c>
      <c r="E7" s="53" t="s">
        <v>234</v>
      </c>
      <c r="F7" s="53" t="s">
        <v>235</v>
      </c>
      <c r="G7" s="53" t="s">
        <v>42</v>
      </c>
      <c r="H7" s="53" t="s">
        <v>160</v>
      </c>
      <c r="I7" s="53" t="s">
        <v>198</v>
      </c>
      <c r="J7" s="53" t="s">
        <v>38</v>
      </c>
      <c r="K7" s="53" t="s">
        <v>161</v>
      </c>
      <c r="L7" s="53">
        <v>3</v>
      </c>
      <c r="N7" s="53">
        <v>1</v>
      </c>
      <c r="O7" s="53">
        <v>0.5</v>
      </c>
      <c r="P7" s="53">
        <v>0.55000000000000004</v>
      </c>
      <c r="Q7" s="75">
        <f t="shared" si="0"/>
        <v>0.52500000000000002</v>
      </c>
      <c r="R7" s="53">
        <v>16.2</v>
      </c>
      <c r="S7" s="53">
        <v>132</v>
      </c>
      <c r="T7" s="16">
        <f t="shared" si="1"/>
        <v>25</v>
      </c>
      <c r="U7" s="53">
        <v>183</v>
      </c>
      <c r="V7" s="16">
        <f t="shared" si="2"/>
        <v>4575</v>
      </c>
      <c r="W7" s="53">
        <v>6</v>
      </c>
      <c r="X7" s="53" t="s">
        <v>46</v>
      </c>
      <c r="Y7" s="53" t="s">
        <v>55</v>
      </c>
      <c r="Z7" s="53" t="s">
        <v>88</v>
      </c>
      <c r="AA7" s="53" t="s">
        <v>90</v>
      </c>
      <c r="AB7" s="53" t="s">
        <v>158</v>
      </c>
      <c r="AE7" s="22" t="s">
        <v>61</v>
      </c>
      <c r="AG7" s="23" t="s">
        <v>246</v>
      </c>
      <c r="AH7" s="82" t="s">
        <v>247</v>
      </c>
      <c r="AL7" s="83" t="s">
        <v>109</v>
      </c>
      <c r="AP7" s="23" t="s">
        <v>58</v>
      </c>
      <c r="AR7" s="23" t="s">
        <v>122</v>
      </c>
      <c r="AV7" s="23" t="s">
        <v>64</v>
      </c>
      <c r="AX7" s="24">
        <v>109</v>
      </c>
      <c r="AY7" s="25">
        <v>33</v>
      </c>
      <c r="AZ7" s="25">
        <v>113</v>
      </c>
      <c r="BA7" s="26">
        <v>30</v>
      </c>
    </row>
    <row r="8" spans="1:53" x14ac:dyDescent="0.15">
      <c r="A8" s="53" t="s">
        <v>56</v>
      </c>
      <c r="B8" s="53" t="s">
        <v>232</v>
      </c>
      <c r="C8" s="53">
        <v>2019</v>
      </c>
      <c r="D8" s="81" t="s">
        <v>233</v>
      </c>
      <c r="E8" s="53" t="s">
        <v>248</v>
      </c>
      <c r="F8" s="53" t="s">
        <v>235</v>
      </c>
      <c r="G8" s="53" t="s">
        <v>42</v>
      </c>
      <c r="H8" s="53" t="s">
        <v>164</v>
      </c>
      <c r="I8" s="53" t="s">
        <v>159</v>
      </c>
      <c r="J8" s="53" t="s">
        <v>38</v>
      </c>
      <c r="K8" s="53" t="s">
        <v>161</v>
      </c>
      <c r="L8" s="53">
        <v>1</v>
      </c>
      <c r="N8" s="53">
        <v>8</v>
      </c>
      <c r="O8" s="53">
        <v>0.6</v>
      </c>
      <c r="P8" s="53">
        <v>0.6</v>
      </c>
      <c r="Q8" s="75">
        <f t="shared" si="0"/>
        <v>0.6</v>
      </c>
      <c r="R8" s="53">
        <v>15.9</v>
      </c>
      <c r="S8" s="53">
        <v>99</v>
      </c>
      <c r="T8" s="16">
        <f t="shared" si="1"/>
        <v>33</v>
      </c>
      <c r="U8" s="53">
        <v>538</v>
      </c>
      <c r="V8" s="16">
        <f t="shared" si="2"/>
        <v>2219.25</v>
      </c>
      <c r="W8" s="53">
        <v>6</v>
      </c>
      <c r="X8" s="53" t="s">
        <v>46</v>
      </c>
      <c r="Y8" s="53" t="s">
        <v>55</v>
      </c>
      <c r="Z8" s="53" t="s">
        <v>88</v>
      </c>
      <c r="AA8" s="53" t="s">
        <v>97</v>
      </c>
      <c r="AB8" s="53" t="s">
        <v>158</v>
      </c>
      <c r="AE8" s="22" t="s">
        <v>59</v>
      </c>
      <c r="AG8" s="23" t="s">
        <v>249</v>
      </c>
      <c r="AH8" s="82" t="s">
        <v>247</v>
      </c>
      <c r="AL8" s="83" t="s">
        <v>134</v>
      </c>
      <c r="AP8" s="23" t="s">
        <v>62</v>
      </c>
      <c r="AR8" s="23" t="s">
        <v>81</v>
      </c>
      <c r="AV8" s="23" t="s">
        <v>97</v>
      </c>
      <c r="AX8" s="24">
        <v>119</v>
      </c>
      <c r="AY8" s="25">
        <v>30</v>
      </c>
      <c r="AZ8" s="25">
        <v>121</v>
      </c>
      <c r="BA8" s="26">
        <v>27</v>
      </c>
    </row>
    <row r="9" spans="1:53" x14ac:dyDescent="0.15">
      <c r="A9" s="53" t="s">
        <v>56</v>
      </c>
      <c r="B9" s="53" t="s">
        <v>232</v>
      </c>
      <c r="C9" s="53">
        <v>2019</v>
      </c>
      <c r="D9" s="81" t="s">
        <v>233</v>
      </c>
      <c r="E9" s="53" t="s">
        <v>248</v>
      </c>
      <c r="F9" s="53" t="s">
        <v>235</v>
      </c>
      <c r="G9" s="53" t="s">
        <v>42</v>
      </c>
      <c r="H9" s="53" t="s">
        <v>164</v>
      </c>
      <c r="I9" s="53" t="s">
        <v>159</v>
      </c>
      <c r="J9" s="53" t="s">
        <v>38</v>
      </c>
      <c r="K9" s="53" t="s">
        <v>161</v>
      </c>
      <c r="L9" s="53">
        <v>2</v>
      </c>
      <c r="N9" s="53">
        <v>8</v>
      </c>
      <c r="O9" s="53">
        <v>0.65</v>
      </c>
      <c r="P9" s="53">
        <v>0.6</v>
      </c>
      <c r="Q9" s="75">
        <f t="shared" si="0"/>
        <v>0.625</v>
      </c>
      <c r="R9" s="53">
        <v>12.1</v>
      </c>
      <c r="S9" s="53">
        <v>101</v>
      </c>
      <c r="T9" s="16">
        <f t="shared" si="1"/>
        <v>33</v>
      </c>
      <c r="U9" s="53">
        <v>538</v>
      </c>
      <c r="V9" s="16">
        <f t="shared" si="2"/>
        <v>2219.25</v>
      </c>
      <c r="W9" s="53">
        <v>6</v>
      </c>
      <c r="X9" s="53" t="s">
        <v>46</v>
      </c>
      <c r="Y9" s="53" t="s">
        <v>55</v>
      </c>
      <c r="Z9" s="53" t="s">
        <v>88</v>
      </c>
      <c r="AA9" s="53" t="s">
        <v>97</v>
      </c>
      <c r="AB9" s="53" t="s">
        <v>158</v>
      </c>
      <c r="AE9" s="22" t="s">
        <v>98</v>
      </c>
      <c r="AG9" s="23" t="s">
        <v>234</v>
      </c>
      <c r="AH9" s="23" t="s">
        <v>235</v>
      </c>
      <c r="AL9" s="73"/>
      <c r="AP9" s="23" t="s">
        <v>95</v>
      </c>
      <c r="AR9" s="23" t="s">
        <v>89</v>
      </c>
      <c r="AV9" s="23" t="s">
        <v>102</v>
      </c>
      <c r="AX9" s="24">
        <v>128</v>
      </c>
      <c r="AY9" s="25">
        <v>27</v>
      </c>
      <c r="AZ9" s="25">
        <v>129</v>
      </c>
      <c r="BA9" s="26">
        <v>25</v>
      </c>
    </row>
    <row r="10" spans="1:53" x14ac:dyDescent="0.15">
      <c r="A10" s="53" t="s">
        <v>56</v>
      </c>
      <c r="B10" s="53" t="s">
        <v>232</v>
      </c>
      <c r="C10" s="53">
        <v>2019</v>
      </c>
      <c r="D10" s="81" t="s">
        <v>233</v>
      </c>
      <c r="E10" s="53" t="s">
        <v>248</v>
      </c>
      <c r="F10" s="53" t="s">
        <v>235</v>
      </c>
      <c r="G10" s="53" t="s">
        <v>42</v>
      </c>
      <c r="H10" s="53" t="s">
        <v>164</v>
      </c>
      <c r="I10" s="53" t="s">
        <v>159</v>
      </c>
      <c r="J10" s="53" t="s">
        <v>38</v>
      </c>
      <c r="K10" s="53" t="s">
        <v>161</v>
      </c>
      <c r="L10" s="53">
        <v>3</v>
      </c>
      <c r="N10" s="53">
        <v>8</v>
      </c>
      <c r="O10" s="53">
        <v>0.55000000000000004</v>
      </c>
      <c r="P10" s="53">
        <v>0.5</v>
      </c>
      <c r="Q10" s="75">
        <f t="shared" si="0"/>
        <v>0.52500000000000002</v>
      </c>
      <c r="R10" s="53">
        <v>16.5</v>
      </c>
      <c r="S10" s="53">
        <v>102</v>
      </c>
      <c r="T10" s="16">
        <f t="shared" si="1"/>
        <v>33</v>
      </c>
      <c r="U10" s="53">
        <v>538</v>
      </c>
      <c r="V10" s="16">
        <f t="shared" si="2"/>
        <v>2219.25</v>
      </c>
      <c r="W10" s="53">
        <v>6</v>
      </c>
      <c r="X10" s="53" t="s">
        <v>46</v>
      </c>
      <c r="Y10" s="53" t="s">
        <v>55</v>
      </c>
      <c r="Z10" s="53" t="s">
        <v>88</v>
      </c>
      <c r="AA10" s="53" t="s">
        <v>97</v>
      </c>
      <c r="AB10" s="53" t="s">
        <v>158</v>
      </c>
      <c r="AE10" s="22" t="s">
        <v>103</v>
      </c>
      <c r="AG10" s="23" t="s">
        <v>246</v>
      </c>
      <c r="AH10" s="82" t="s">
        <v>243</v>
      </c>
      <c r="AL10" s="83"/>
      <c r="AP10" s="23" t="s">
        <v>100</v>
      </c>
      <c r="AR10" s="23" t="s">
        <v>123</v>
      </c>
      <c r="AV10" s="23" t="s">
        <v>106</v>
      </c>
      <c r="AX10" s="24">
        <v>138</v>
      </c>
      <c r="AY10" s="25">
        <v>25</v>
      </c>
      <c r="AZ10" s="25">
        <v>138</v>
      </c>
      <c r="BA10" s="26">
        <v>22</v>
      </c>
    </row>
    <row r="11" spans="1:53" x14ac:dyDescent="0.15">
      <c r="A11" s="53" t="s">
        <v>56</v>
      </c>
      <c r="B11" s="53" t="s">
        <v>232</v>
      </c>
      <c r="C11" s="53">
        <v>2019</v>
      </c>
      <c r="D11" s="81" t="s">
        <v>233</v>
      </c>
      <c r="E11" s="53" t="s">
        <v>248</v>
      </c>
      <c r="F11" s="53" t="s">
        <v>235</v>
      </c>
      <c r="G11" s="53" t="s">
        <v>42</v>
      </c>
      <c r="H11" s="53" t="s">
        <v>160</v>
      </c>
      <c r="I11" s="53" t="s">
        <v>159</v>
      </c>
      <c r="J11" s="53" t="s">
        <v>38</v>
      </c>
      <c r="K11" s="53" t="s">
        <v>161</v>
      </c>
      <c r="L11" s="53">
        <v>1</v>
      </c>
      <c r="N11" s="53">
        <v>1</v>
      </c>
      <c r="O11" s="53">
        <v>0.55000000000000004</v>
      </c>
      <c r="P11" s="53">
        <v>0.55000000000000004</v>
      </c>
      <c r="Q11" s="75">
        <f t="shared" si="0"/>
        <v>0.55000000000000004</v>
      </c>
      <c r="R11" s="53">
        <v>15.9</v>
      </c>
      <c r="S11" s="53">
        <v>128</v>
      </c>
      <c r="T11" s="16">
        <f t="shared" si="1"/>
        <v>27</v>
      </c>
      <c r="U11" s="53">
        <v>81</v>
      </c>
      <c r="V11" s="16">
        <f t="shared" si="2"/>
        <v>2187</v>
      </c>
      <c r="W11" s="53">
        <v>8</v>
      </c>
      <c r="X11" s="53" t="s">
        <v>46</v>
      </c>
      <c r="Y11" s="53" t="s">
        <v>55</v>
      </c>
      <c r="Z11" s="53" t="s">
        <v>88</v>
      </c>
      <c r="AA11" s="53" t="s">
        <v>97</v>
      </c>
      <c r="AB11" s="53" t="s">
        <v>158</v>
      </c>
      <c r="AE11" s="22" t="s">
        <v>65</v>
      </c>
      <c r="AG11" s="23" t="s">
        <v>245</v>
      </c>
      <c r="AH11" s="82" t="s">
        <v>243</v>
      </c>
      <c r="AJ11" s="83"/>
      <c r="AP11" s="23" t="s">
        <v>104</v>
      </c>
      <c r="AR11" s="23" t="s">
        <v>87</v>
      </c>
      <c r="AV11" s="23" t="s">
        <v>69</v>
      </c>
    </row>
    <row r="12" spans="1:53" x14ac:dyDescent="0.15">
      <c r="A12" s="53" t="s">
        <v>56</v>
      </c>
      <c r="B12" s="53" t="s">
        <v>232</v>
      </c>
      <c r="C12" s="53">
        <v>2019</v>
      </c>
      <c r="D12" s="81" t="s">
        <v>233</v>
      </c>
      <c r="E12" s="53" t="s">
        <v>248</v>
      </c>
      <c r="F12" s="53" t="s">
        <v>235</v>
      </c>
      <c r="G12" s="53" t="s">
        <v>42</v>
      </c>
      <c r="H12" s="53" t="s">
        <v>160</v>
      </c>
      <c r="I12" s="53" t="s">
        <v>159</v>
      </c>
      <c r="J12" s="53" t="s">
        <v>38</v>
      </c>
      <c r="K12" s="53" t="s">
        <v>161</v>
      </c>
      <c r="L12" s="53">
        <v>2</v>
      </c>
      <c r="N12" s="53">
        <v>1</v>
      </c>
      <c r="O12" s="53">
        <v>0.55000000000000004</v>
      </c>
      <c r="P12" s="53">
        <v>0.55000000000000004</v>
      </c>
      <c r="Q12" s="75">
        <f t="shared" si="0"/>
        <v>0.55000000000000004</v>
      </c>
      <c r="R12" s="53">
        <v>16.600000000000001</v>
      </c>
      <c r="S12" s="53">
        <v>133</v>
      </c>
      <c r="T12" s="16">
        <f t="shared" si="1"/>
        <v>25</v>
      </c>
      <c r="U12" s="53">
        <v>81</v>
      </c>
      <c r="V12" s="16">
        <f t="shared" si="2"/>
        <v>2025</v>
      </c>
      <c r="W12" s="53">
        <v>8</v>
      </c>
      <c r="X12" s="53" t="s">
        <v>46</v>
      </c>
      <c r="Y12" s="53" t="s">
        <v>55</v>
      </c>
      <c r="Z12" s="53" t="s">
        <v>88</v>
      </c>
      <c r="AA12" s="53" t="s">
        <v>97</v>
      </c>
      <c r="AB12" s="53" t="s">
        <v>158</v>
      </c>
      <c r="AE12" s="22" t="s">
        <v>70</v>
      </c>
      <c r="AG12" s="23" t="s">
        <v>238</v>
      </c>
      <c r="AH12" s="82" t="s">
        <v>243</v>
      </c>
      <c r="AJ12" s="83"/>
      <c r="AP12" s="23" t="s">
        <v>67</v>
      </c>
      <c r="AR12" s="23" t="s">
        <v>124</v>
      </c>
      <c r="AV12" s="23" t="s">
        <v>72</v>
      </c>
    </row>
    <row r="13" spans="1:53" x14ac:dyDescent="0.15">
      <c r="A13" s="53" t="s">
        <v>56</v>
      </c>
      <c r="B13" s="53" t="s">
        <v>232</v>
      </c>
      <c r="C13" s="53">
        <v>2019</v>
      </c>
      <c r="D13" s="81" t="s">
        <v>233</v>
      </c>
      <c r="E13" s="53" t="s">
        <v>248</v>
      </c>
      <c r="F13" s="53" t="s">
        <v>235</v>
      </c>
      <c r="G13" s="53" t="s">
        <v>42</v>
      </c>
      <c r="H13" s="53" t="s">
        <v>160</v>
      </c>
      <c r="I13" s="53" t="s">
        <v>159</v>
      </c>
      <c r="J13" s="53" t="s">
        <v>38</v>
      </c>
      <c r="K13" s="53" t="s">
        <v>161</v>
      </c>
      <c r="L13" s="53">
        <v>3</v>
      </c>
      <c r="N13" s="53">
        <v>1</v>
      </c>
      <c r="O13" s="53">
        <v>0.55000000000000004</v>
      </c>
      <c r="P13" s="53">
        <v>0.55000000000000004</v>
      </c>
      <c r="Q13" s="75">
        <f t="shared" si="0"/>
        <v>0.55000000000000004</v>
      </c>
      <c r="R13" s="53">
        <v>17.2</v>
      </c>
      <c r="S13" s="53">
        <v>129</v>
      </c>
      <c r="T13" s="16">
        <f t="shared" si="1"/>
        <v>25</v>
      </c>
      <c r="U13" s="53">
        <v>81</v>
      </c>
      <c r="V13" s="16">
        <f t="shared" si="2"/>
        <v>2025</v>
      </c>
      <c r="W13" s="53">
        <v>8</v>
      </c>
      <c r="X13" s="53" t="s">
        <v>46</v>
      </c>
      <c r="Y13" s="53" t="s">
        <v>55</v>
      </c>
      <c r="Z13" s="53" t="s">
        <v>88</v>
      </c>
      <c r="AA13" s="53" t="s">
        <v>97</v>
      </c>
      <c r="AB13" s="53" t="s">
        <v>158</v>
      </c>
      <c r="AE13" s="22" t="s">
        <v>73</v>
      </c>
      <c r="AP13" s="23" t="s">
        <v>71</v>
      </c>
      <c r="AR13" s="23" t="s">
        <v>103</v>
      </c>
      <c r="AV13" s="23" t="s">
        <v>75</v>
      </c>
    </row>
    <row r="14" spans="1:53" x14ac:dyDescent="0.15">
      <c r="A14" s="53" t="s">
        <v>56</v>
      </c>
      <c r="B14" s="53" t="s">
        <v>232</v>
      </c>
      <c r="C14" s="53">
        <v>2019</v>
      </c>
      <c r="D14" s="81" t="s">
        <v>233</v>
      </c>
      <c r="E14" s="53" t="s">
        <v>162</v>
      </c>
      <c r="F14" s="53" t="s">
        <v>250</v>
      </c>
      <c r="G14" s="53" t="s">
        <v>42</v>
      </c>
      <c r="H14" s="53" t="s">
        <v>164</v>
      </c>
      <c r="I14" s="53" t="s">
        <v>159</v>
      </c>
      <c r="J14" s="53" t="s">
        <v>38</v>
      </c>
      <c r="K14" s="53" t="s">
        <v>161</v>
      </c>
      <c r="L14" s="53">
        <v>1</v>
      </c>
      <c r="N14" s="53">
        <v>10</v>
      </c>
      <c r="O14" s="53">
        <v>0.55000000000000004</v>
      </c>
      <c r="P14" s="53">
        <v>0.55000000000000004</v>
      </c>
      <c r="Q14" s="75">
        <f t="shared" si="0"/>
        <v>0.55000000000000004</v>
      </c>
      <c r="R14" s="53">
        <v>15.9</v>
      </c>
      <c r="S14" s="53">
        <v>77</v>
      </c>
      <c r="T14" s="16">
        <f t="shared" si="1"/>
        <v>39</v>
      </c>
      <c r="U14" s="53">
        <v>538</v>
      </c>
      <c r="V14" s="16">
        <f t="shared" si="2"/>
        <v>2098.1999999999998</v>
      </c>
      <c r="W14" s="53">
        <v>4</v>
      </c>
      <c r="X14" s="53" t="s">
        <v>46</v>
      </c>
      <c r="Y14" s="53" t="s">
        <v>55</v>
      </c>
      <c r="Z14" s="53" t="s">
        <v>88</v>
      </c>
      <c r="AA14" s="53" t="s">
        <v>78</v>
      </c>
      <c r="AB14" s="53" t="s">
        <v>158</v>
      </c>
      <c r="AE14" s="22" t="s">
        <v>76</v>
      </c>
      <c r="AP14" s="23" t="s">
        <v>74</v>
      </c>
      <c r="AR14" s="23" t="s">
        <v>125</v>
      </c>
      <c r="AV14" s="23" t="s">
        <v>78</v>
      </c>
    </row>
    <row r="15" spans="1:53" x14ac:dyDescent="0.15">
      <c r="A15" s="53" t="s">
        <v>56</v>
      </c>
      <c r="B15" s="53" t="s">
        <v>232</v>
      </c>
      <c r="C15" s="53">
        <v>2019</v>
      </c>
      <c r="D15" s="81" t="s">
        <v>233</v>
      </c>
      <c r="E15" s="53" t="s">
        <v>162</v>
      </c>
      <c r="F15" s="53" t="s">
        <v>250</v>
      </c>
      <c r="G15" s="53" t="s">
        <v>42</v>
      </c>
      <c r="H15" s="53" t="s">
        <v>164</v>
      </c>
      <c r="I15" s="53" t="s">
        <v>159</v>
      </c>
      <c r="J15" s="53" t="s">
        <v>38</v>
      </c>
      <c r="K15" s="53" t="s">
        <v>161</v>
      </c>
      <c r="L15" s="53">
        <v>2</v>
      </c>
      <c r="N15" s="53">
        <v>10</v>
      </c>
      <c r="O15" s="53">
        <v>0.55000000000000004</v>
      </c>
      <c r="P15" s="53">
        <v>0.55000000000000004</v>
      </c>
      <c r="Q15" s="75">
        <f t="shared" si="0"/>
        <v>0.55000000000000004</v>
      </c>
      <c r="R15" s="53">
        <v>16.399999999999999</v>
      </c>
      <c r="S15" s="53">
        <v>80</v>
      </c>
      <c r="T15" s="16">
        <f t="shared" si="1"/>
        <v>39</v>
      </c>
      <c r="U15" s="53">
        <v>538</v>
      </c>
      <c r="V15" s="16">
        <f t="shared" si="2"/>
        <v>2098.1999999999998</v>
      </c>
      <c r="W15" s="53">
        <v>4</v>
      </c>
      <c r="X15" s="53" t="s">
        <v>46</v>
      </c>
      <c r="Y15" s="53" t="s">
        <v>55</v>
      </c>
      <c r="Z15" s="53" t="s">
        <v>88</v>
      </c>
      <c r="AA15" s="53" t="s">
        <v>78</v>
      </c>
      <c r="AB15" s="53" t="s">
        <v>158</v>
      </c>
      <c r="AE15" s="22" t="s">
        <v>79</v>
      </c>
      <c r="AP15" s="23" t="s">
        <v>77</v>
      </c>
      <c r="AR15" s="23" t="s">
        <v>94</v>
      </c>
      <c r="AV15" s="23" t="s">
        <v>107</v>
      </c>
    </row>
    <row r="16" spans="1:53" x14ac:dyDescent="0.15">
      <c r="A16" s="53" t="s">
        <v>56</v>
      </c>
      <c r="B16" s="53" t="s">
        <v>232</v>
      </c>
      <c r="C16" s="53">
        <v>2019</v>
      </c>
      <c r="D16" s="81" t="s">
        <v>233</v>
      </c>
      <c r="E16" s="53" t="s">
        <v>162</v>
      </c>
      <c r="F16" s="53" t="s">
        <v>250</v>
      </c>
      <c r="G16" s="53" t="s">
        <v>42</v>
      </c>
      <c r="H16" s="53" t="s">
        <v>164</v>
      </c>
      <c r="I16" s="53" t="s">
        <v>159</v>
      </c>
      <c r="J16" s="53" t="s">
        <v>38</v>
      </c>
      <c r="K16" s="53" t="s">
        <v>161</v>
      </c>
      <c r="L16" s="53">
        <v>3</v>
      </c>
      <c r="N16" s="53">
        <v>10</v>
      </c>
      <c r="O16" s="53">
        <v>0.5</v>
      </c>
      <c r="P16" s="53">
        <v>0.6</v>
      </c>
      <c r="Q16" s="75">
        <f t="shared" si="0"/>
        <v>0.55000000000000004</v>
      </c>
      <c r="R16" s="53">
        <v>16.600000000000001</v>
      </c>
      <c r="S16" s="53">
        <v>76</v>
      </c>
      <c r="T16" s="16">
        <f t="shared" si="1"/>
        <v>39</v>
      </c>
      <c r="U16" s="53">
        <v>538</v>
      </c>
      <c r="V16" s="16">
        <f t="shared" si="2"/>
        <v>2098.1999999999998</v>
      </c>
      <c r="W16" s="53">
        <v>4</v>
      </c>
      <c r="X16" s="53" t="s">
        <v>46</v>
      </c>
      <c r="Y16" s="53" t="s">
        <v>55</v>
      </c>
      <c r="Z16" s="53" t="s">
        <v>88</v>
      </c>
      <c r="AA16" s="53" t="s">
        <v>78</v>
      </c>
      <c r="AB16" s="53" t="s">
        <v>158</v>
      </c>
      <c r="AE16" s="22" t="s">
        <v>82</v>
      </c>
      <c r="AP16" s="23" t="s">
        <v>80</v>
      </c>
      <c r="AR16" s="23" t="s">
        <v>63</v>
      </c>
      <c r="AV16" s="23" t="s">
        <v>84</v>
      </c>
    </row>
    <row r="17" spans="1:48" x14ac:dyDescent="0.15">
      <c r="A17" s="53" t="s">
        <v>56</v>
      </c>
      <c r="B17" s="53" t="s">
        <v>232</v>
      </c>
      <c r="C17" s="53">
        <v>2019</v>
      </c>
      <c r="D17" s="81" t="s">
        <v>233</v>
      </c>
      <c r="E17" s="53" t="s">
        <v>162</v>
      </c>
      <c r="F17" s="53" t="s">
        <v>250</v>
      </c>
      <c r="G17" s="53" t="s">
        <v>42</v>
      </c>
      <c r="H17" s="53" t="s">
        <v>160</v>
      </c>
      <c r="I17" s="53" t="s">
        <v>159</v>
      </c>
      <c r="J17" s="53" t="s">
        <v>38</v>
      </c>
      <c r="K17" s="53" t="s">
        <v>161</v>
      </c>
      <c r="L17" s="53">
        <v>1</v>
      </c>
      <c r="N17" s="53">
        <v>1</v>
      </c>
      <c r="O17" s="53">
        <v>0.75</v>
      </c>
      <c r="P17" s="53">
        <v>0.75</v>
      </c>
      <c r="Q17" s="75">
        <f t="shared" si="0"/>
        <v>0.75</v>
      </c>
      <c r="R17" s="53">
        <v>15.1</v>
      </c>
      <c r="S17" s="53">
        <v>117</v>
      </c>
      <c r="T17" s="16">
        <f t="shared" si="1"/>
        <v>30</v>
      </c>
      <c r="U17" s="53">
        <v>106</v>
      </c>
      <c r="V17" s="16">
        <f t="shared" si="2"/>
        <v>3180</v>
      </c>
      <c r="W17" s="53">
        <v>4</v>
      </c>
      <c r="X17" s="53" t="s">
        <v>46</v>
      </c>
      <c r="Y17" s="53" t="s">
        <v>55</v>
      </c>
      <c r="Z17" s="53" t="s">
        <v>88</v>
      </c>
      <c r="AA17" s="53" t="s">
        <v>78</v>
      </c>
      <c r="AB17" s="53" t="s">
        <v>158</v>
      </c>
      <c r="AE17" s="22" t="s">
        <v>85</v>
      </c>
      <c r="AP17" s="27" t="s">
        <v>110</v>
      </c>
      <c r="AR17" s="23" t="s">
        <v>96</v>
      </c>
      <c r="AV17" s="23" t="s">
        <v>86</v>
      </c>
    </row>
    <row r="18" spans="1:48" x14ac:dyDescent="0.15">
      <c r="A18" s="53" t="s">
        <v>56</v>
      </c>
      <c r="B18" s="53" t="s">
        <v>232</v>
      </c>
      <c r="C18" s="53">
        <v>2019</v>
      </c>
      <c r="D18" s="81" t="s">
        <v>233</v>
      </c>
      <c r="E18" s="53" t="s">
        <v>162</v>
      </c>
      <c r="F18" s="53" t="s">
        <v>250</v>
      </c>
      <c r="G18" s="53" t="s">
        <v>42</v>
      </c>
      <c r="H18" s="53" t="s">
        <v>160</v>
      </c>
      <c r="I18" s="53" t="s">
        <v>159</v>
      </c>
      <c r="J18" s="53" t="s">
        <v>38</v>
      </c>
      <c r="K18" s="53" t="s">
        <v>161</v>
      </c>
      <c r="L18" s="53">
        <v>2</v>
      </c>
      <c r="N18" s="53">
        <v>1</v>
      </c>
      <c r="O18" s="53">
        <v>0.85</v>
      </c>
      <c r="P18" s="53">
        <v>0.75</v>
      </c>
      <c r="Q18" s="75">
        <f t="shared" si="0"/>
        <v>0.8</v>
      </c>
      <c r="R18" s="53">
        <v>12</v>
      </c>
      <c r="S18" s="53">
        <v>123</v>
      </c>
      <c r="T18" s="16">
        <f t="shared" si="1"/>
        <v>27</v>
      </c>
      <c r="U18" s="53">
        <v>106</v>
      </c>
      <c r="V18" s="16">
        <f t="shared" si="2"/>
        <v>2862</v>
      </c>
      <c r="W18" s="53">
        <v>4</v>
      </c>
      <c r="X18" s="53" t="s">
        <v>46</v>
      </c>
      <c r="Y18" s="53" t="s">
        <v>55</v>
      </c>
      <c r="Z18" s="53" t="s">
        <v>88</v>
      </c>
      <c r="AA18" s="53" t="s">
        <v>78</v>
      </c>
      <c r="AB18" s="53" t="s">
        <v>158</v>
      </c>
      <c r="AE18" s="22" t="s">
        <v>87</v>
      </c>
      <c r="AP18" s="27" t="s">
        <v>111</v>
      </c>
      <c r="AR18" s="23" t="s">
        <v>101</v>
      </c>
      <c r="AV18" s="23" t="s">
        <v>88</v>
      </c>
    </row>
    <row r="19" spans="1:48" x14ac:dyDescent="0.15">
      <c r="A19" s="53" t="s">
        <v>56</v>
      </c>
      <c r="B19" s="53" t="s">
        <v>232</v>
      </c>
      <c r="C19" s="53">
        <v>2019</v>
      </c>
      <c r="D19" s="81" t="s">
        <v>233</v>
      </c>
      <c r="E19" s="53" t="s">
        <v>162</v>
      </c>
      <c r="F19" s="53" t="s">
        <v>250</v>
      </c>
      <c r="G19" s="53" t="s">
        <v>42</v>
      </c>
      <c r="H19" s="53" t="s">
        <v>160</v>
      </c>
      <c r="I19" s="53" t="s">
        <v>159</v>
      </c>
      <c r="J19" s="53" t="s">
        <v>38</v>
      </c>
      <c r="K19" s="53" t="s">
        <v>161</v>
      </c>
      <c r="L19" s="53">
        <v>3</v>
      </c>
      <c r="N19" s="53">
        <v>1</v>
      </c>
      <c r="O19" s="53">
        <v>0.7</v>
      </c>
      <c r="P19" s="53">
        <v>0.65</v>
      </c>
      <c r="Q19" s="75">
        <f t="shared" si="0"/>
        <v>0.67500000000000004</v>
      </c>
      <c r="R19" s="53">
        <v>15.4</v>
      </c>
      <c r="S19" s="53">
        <v>120</v>
      </c>
      <c r="T19" s="16">
        <f t="shared" si="1"/>
        <v>30</v>
      </c>
      <c r="U19" s="53">
        <v>106</v>
      </c>
      <c r="V19" s="16">
        <f t="shared" si="2"/>
        <v>3180</v>
      </c>
      <c r="W19" s="53">
        <v>4</v>
      </c>
      <c r="X19" s="53" t="s">
        <v>46</v>
      </c>
      <c r="Y19" s="53" t="s">
        <v>55</v>
      </c>
      <c r="Z19" s="53" t="s">
        <v>88</v>
      </c>
      <c r="AA19" s="53" t="s">
        <v>78</v>
      </c>
      <c r="AB19" s="53" t="s">
        <v>158</v>
      </c>
      <c r="AE19" s="35" t="s">
        <v>89</v>
      </c>
      <c r="AP19" s="27" t="s">
        <v>112</v>
      </c>
      <c r="AR19" s="23" t="s">
        <v>126</v>
      </c>
      <c r="AV19" s="23" t="s">
        <v>90</v>
      </c>
    </row>
    <row r="20" spans="1:48" x14ac:dyDescent="0.15">
      <c r="A20" s="53" t="s">
        <v>56</v>
      </c>
      <c r="B20" s="53" t="s">
        <v>232</v>
      </c>
      <c r="C20" s="53">
        <v>2019</v>
      </c>
      <c r="D20" s="81" t="s">
        <v>233</v>
      </c>
      <c r="E20" s="53" t="s">
        <v>251</v>
      </c>
      <c r="F20" s="53" t="s">
        <v>252</v>
      </c>
      <c r="G20" s="53" t="s">
        <v>42</v>
      </c>
      <c r="H20" s="53" t="s">
        <v>164</v>
      </c>
      <c r="I20" s="53" t="s">
        <v>159</v>
      </c>
      <c r="J20" s="53" t="s">
        <v>38</v>
      </c>
      <c r="K20" s="53" t="s">
        <v>161</v>
      </c>
      <c r="L20" s="53">
        <v>1</v>
      </c>
      <c r="N20" s="53">
        <v>8</v>
      </c>
      <c r="O20" s="53">
        <v>0.75</v>
      </c>
      <c r="P20" s="53">
        <v>0.7</v>
      </c>
      <c r="Q20" s="75">
        <f t="shared" si="0"/>
        <v>0.72499999999999998</v>
      </c>
      <c r="R20" s="53">
        <v>16.5</v>
      </c>
      <c r="S20" s="53">
        <v>104</v>
      </c>
      <c r="T20" s="16">
        <f t="shared" si="1"/>
        <v>33</v>
      </c>
      <c r="U20" s="53">
        <v>538</v>
      </c>
      <c r="V20" s="16">
        <f t="shared" si="2"/>
        <v>2219.25</v>
      </c>
      <c r="W20" s="53">
        <v>2</v>
      </c>
      <c r="X20" s="53" t="s">
        <v>46</v>
      </c>
      <c r="Y20" s="53" t="s">
        <v>55</v>
      </c>
      <c r="Z20" s="53" t="s">
        <v>88</v>
      </c>
      <c r="AA20" s="53" t="s">
        <v>78</v>
      </c>
      <c r="AB20" s="53" t="s">
        <v>158</v>
      </c>
      <c r="AP20" s="27" t="s">
        <v>113</v>
      </c>
      <c r="AR20" s="23" t="s">
        <v>105</v>
      </c>
      <c r="AV20" s="27" t="s">
        <v>135</v>
      </c>
    </row>
    <row r="21" spans="1:48" x14ac:dyDescent="0.15">
      <c r="A21" s="53" t="s">
        <v>56</v>
      </c>
      <c r="B21" s="53" t="s">
        <v>232</v>
      </c>
      <c r="C21" s="53">
        <v>2019</v>
      </c>
      <c r="D21" s="81" t="s">
        <v>233</v>
      </c>
      <c r="E21" s="53" t="s">
        <v>251</v>
      </c>
      <c r="F21" s="53" t="s">
        <v>252</v>
      </c>
      <c r="G21" s="53" t="s">
        <v>42</v>
      </c>
      <c r="H21" s="53" t="s">
        <v>164</v>
      </c>
      <c r="I21" s="53" t="s">
        <v>159</v>
      </c>
      <c r="J21" s="53" t="s">
        <v>38</v>
      </c>
      <c r="K21" s="53" t="s">
        <v>161</v>
      </c>
      <c r="L21" s="53">
        <v>2</v>
      </c>
      <c r="N21" s="53">
        <v>8</v>
      </c>
      <c r="O21" s="53">
        <v>0.6</v>
      </c>
      <c r="P21" s="53">
        <v>0.6</v>
      </c>
      <c r="Q21" s="75">
        <f t="shared" si="0"/>
        <v>0.6</v>
      </c>
      <c r="R21" s="53">
        <v>18</v>
      </c>
      <c r="S21" s="53">
        <v>106</v>
      </c>
      <c r="T21" s="16">
        <f t="shared" si="1"/>
        <v>33</v>
      </c>
      <c r="U21" s="53">
        <v>538</v>
      </c>
      <c r="V21" s="16">
        <f t="shared" si="2"/>
        <v>2219.25</v>
      </c>
      <c r="W21" s="53">
        <v>2</v>
      </c>
      <c r="X21" s="53" t="s">
        <v>46</v>
      </c>
      <c r="Y21" s="53" t="s">
        <v>55</v>
      </c>
      <c r="Z21" s="53" t="s">
        <v>88</v>
      </c>
      <c r="AA21" s="53" t="s">
        <v>78</v>
      </c>
      <c r="AB21" s="53" t="s">
        <v>158</v>
      </c>
      <c r="AP21" s="27" t="s">
        <v>114</v>
      </c>
      <c r="AR21" s="23" t="s">
        <v>68</v>
      </c>
      <c r="AV21" s="28" t="s">
        <v>253</v>
      </c>
    </row>
    <row r="22" spans="1:48" x14ac:dyDescent="0.15">
      <c r="A22" s="53" t="s">
        <v>56</v>
      </c>
      <c r="B22" s="53" t="s">
        <v>232</v>
      </c>
      <c r="C22" s="53">
        <v>2019</v>
      </c>
      <c r="D22" s="81" t="s">
        <v>233</v>
      </c>
      <c r="E22" s="53" t="s">
        <v>251</v>
      </c>
      <c r="F22" s="53" t="s">
        <v>252</v>
      </c>
      <c r="G22" s="53" t="s">
        <v>42</v>
      </c>
      <c r="H22" s="53" t="s">
        <v>164</v>
      </c>
      <c r="I22" s="53" t="s">
        <v>159</v>
      </c>
      <c r="J22" s="53" t="s">
        <v>38</v>
      </c>
      <c r="K22" s="53" t="s">
        <v>161</v>
      </c>
      <c r="L22" s="53">
        <v>3</v>
      </c>
      <c r="N22" s="53">
        <v>8</v>
      </c>
      <c r="O22" s="53">
        <v>0.65</v>
      </c>
      <c r="P22" s="53">
        <v>0.6</v>
      </c>
      <c r="Q22" s="75">
        <f t="shared" si="0"/>
        <v>0.625</v>
      </c>
      <c r="R22" s="53">
        <v>16.600000000000001</v>
      </c>
      <c r="S22" s="53">
        <v>94</v>
      </c>
      <c r="T22" s="16">
        <f t="shared" si="1"/>
        <v>36</v>
      </c>
      <c r="U22" s="53">
        <v>538</v>
      </c>
      <c r="V22" s="16">
        <f t="shared" si="2"/>
        <v>2421</v>
      </c>
      <c r="W22" s="53">
        <v>2</v>
      </c>
      <c r="X22" s="53" t="s">
        <v>46</v>
      </c>
      <c r="Y22" s="53" t="s">
        <v>55</v>
      </c>
      <c r="Z22" s="53" t="s">
        <v>88</v>
      </c>
      <c r="AA22" s="53" t="s">
        <v>78</v>
      </c>
      <c r="AB22" s="53" t="s">
        <v>158</v>
      </c>
      <c r="AP22" s="27" t="s">
        <v>115</v>
      </c>
      <c r="AR22" s="23" t="s">
        <v>83</v>
      </c>
    </row>
    <row r="23" spans="1:48" x14ac:dyDescent="0.15">
      <c r="A23" s="53" t="s">
        <v>56</v>
      </c>
      <c r="B23" s="53" t="s">
        <v>232</v>
      </c>
      <c r="C23" s="53">
        <v>2019</v>
      </c>
      <c r="D23" s="81" t="s">
        <v>233</v>
      </c>
      <c r="E23" s="53" t="s">
        <v>251</v>
      </c>
      <c r="F23" s="53" t="s">
        <v>252</v>
      </c>
      <c r="G23" s="53" t="s">
        <v>42</v>
      </c>
      <c r="H23" s="53" t="s">
        <v>160</v>
      </c>
      <c r="I23" s="53" t="s">
        <v>159</v>
      </c>
      <c r="J23" s="53" t="s">
        <v>38</v>
      </c>
      <c r="K23" s="53" t="s">
        <v>161</v>
      </c>
      <c r="L23" s="53">
        <v>1</v>
      </c>
      <c r="N23" s="53">
        <v>1</v>
      </c>
      <c r="O23" s="53">
        <v>0.7</v>
      </c>
      <c r="P23" s="53">
        <v>0.65</v>
      </c>
      <c r="Q23" s="75">
        <f t="shared" si="0"/>
        <v>0.67500000000000004</v>
      </c>
      <c r="R23" s="53">
        <v>17.8</v>
      </c>
      <c r="S23" s="53">
        <v>128</v>
      </c>
      <c r="T23" s="16">
        <f t="shared" si="1"/>
        <v>27</v>
      </c>
      <c r="U23" s="53">
        <v>138</v>
      </c>
      <c r="V23" s="16">
        <f t="shared" si="2"/>
        <v>3726</v>
      </c>
      <c r="W23" s="53">
        <v>4</v>
      </c>
      <c r="X23" s="53" t="s">
        <v>46</v>
      </c>
      <c r="Y23" s="53" t="s">
        <v>55</v>
      </c>
      <c r="Z23" s="53" t="s">
        <v>88</v>
      </c>
      <c r="AA23" s="53" t="s">
        <v>78</v>
      </c>
      <c r="AB23" s="53" t="s">
        <v>158</v>
      </c>
      <c r="AP23" s="27" t="s">
        <v>137</v>
      </c>
      <c r="AR23" s="23" t="s">
        <v>61</v>
      </c>
    </row>
    <row r="24" spans="1:48" x14ac:dyDescent="0.15">
      <c r="A24" s="53" t="s">
        <v>56</v>
      </c>
      <c r="B24" s="53" t="s">
        <v>232</v>
      </c>
      <c r="C24" s="53">
        <v>2019</v>
      </c>
      <c r="D24" s="81" t="s">
        <v>233</v>
      </c>
      <c r="E24" s="53" t="s">
        <v>251</v>
      </c>
      <c r="F24" s="53" t="s">
        <v>252</v>
      </c>
      <c r="G24" s="53" t="s">
        <v>42</v>
      </c>
      <c r="H24" s="53" t="s">
        <v>160</v>
      </c>
      <c r="I24" s="53" t="s">
        <v>159</v>
      </c>
      <c r="J24" s="53" t="s">
        <v>38</v>
      </c>
      <c r="K24" s="53" t="s">
        <v>161</v>
      </c>
      <c r="L24" s="53">
        <v>2</v>
      </c>
      <c r="N24" s="53">
        <v>1</v>
      </c>
      <c r="O24" s="53">
        <v>0.6</v>
      </c>
      <c r="P24" s="53">
        <v>0.6</v>
      </c>
      <c r="Q24" s="75">
        <f t="shared" si="0"/>
        <v>0.6</v>
      </c>
      <c r="R24" s="53">
        <v>17.5</v>
      </c>
      <c r="S24" s="53">
        <v>128</v>
      </c>
      <c r="T24" s="16">
        <f t="shared" si="1"/>
        <v>27</v>
      </c>
      <c r="U24" s="53">
        <v>138</v>
      </c>
      <c r="V24" s="16">
        <f t="shared" si="2"/>
        <v>3726</v>
      </c>
      <c r="W24" s="53">
        <v>4</v>
      </c>
      <c r="X24" s="53" t="s">
        <v>46</v>
      </c>
      <c r="Y24" s="53" t="s">
        <v>55</v>
      </c>
      <c r="Z24" s="53" t="s">
        <v>88</v>
      </c>
      <c r="AA24" s="53" t="s">
        <v>78</v>
      </c>
      <c r="AB24" s="53" t="s">
        <v>158</v>
      </c>
      <c r="AP24" s="27" t="s">
        <v>138</v>
      </c>
      <c r="AR24" s="23" t="s">
        <v>91</v>
      </c>
    </row>
    <row r="25" spans="1:48" x14ac:dyDescent="0.15">
      <c r="A25" s="53" t="s">
        <v>56</v>
      </c>
      <c r="B25" s="53" t="s">
        <v>232</v>
      </c>
      <c r="C25" s="53">
        <v>2019</v>
      </c>
      <c r="D25" s="81" t="s">
        <v>233</v>
      </c>
      <c r="E25" s="53" t="s">
        <v>251</v>
      </c>
      <c r="F25" s="53" t="s">
        <v>252</v>
      </c>
      <c r="G25" s="53" t="s">
        <v>42</v>
      </c>
      <c r="H25" s="53" t="s">
        <v>160</v>
      </c>
      <c r="I25" s="53" t="s">
        <v>159</v>
      </c>
      <c r="J25" s="53" t="s">
        <v>38</v>
      </c>
      <c r="K25" s="53" t="s">
        <v>161</v>
      </c>
      <c r="L25" s="53">
        <v>3</v>
      </c>
      <c r="N25" s="53">
        <v>1</v>
      </c>
      <c r="O25" s="53">
        <v>0.7</v>
      </c>
      <c r="P25" s="53">
        <v>0.65</v>
      </c>
      <c r="Q25" s="75">
        <f t="shared" si="0"/>
        <v>0.67500000000000004</v>
      </c>
      <c r="R25" s="53">
        <v>16.8</v>
      </c>
      <c r="S25" s="53">
        <v>131</v>
      </c>
      <c r="T25" s="16">
        <f t="shared" si="1"/>
        <v>25</v>
      </c>
      <c r="U25" s="53">
        <v>138</v>
      </c>
      <c r="V25" s="16">
        <f t="shared" si="2"/>
        <v>3450</v>
      </c>
      <c r="W25" s="53">
        <v>4</v>
      </c>
      <c r="X25" s="53" t="s">
        <v>46</v>
      </c>
      <c r="Y25" s="53" t="s">
        <v>55</v>
      </c>
      <c r="Z25" s="53" t="s">
        <v>88</v>
      </c>
      <c r="AA25" s="53" t="s">
        <v>78</v>
      </c>
      <c r="AB25" s="53" t="s">
        <v>158</v>
      </c>
      <c r="AP25" s="27" t="s">
        <v>116</v>
      </c>
      <c r="AR25" s="27" t="s">
        <v>92</v>
      </c>
    </row>
    <row r="26" spans="1:48" x14ac:dyDescent="0.15">
      <c r="A26" s="53" t="s">
        <v>56</v>
      </c>
      <c r="B26" s="53" t="s">
        <v>232</v>
      </c>
      <c r="C26" s="53">
        <v>2019</v>
      </c>
      <c r="D26" s="81" t="s">
        <v>233</v>
      </c>
      <c r="E26" s="53" t="s">
        <v>254</v>
      </c>
      <c r="F26" s="53" t="s">
        <v>250</v>
      </c>
      <c r="G26" s="53" t="s">
        <v>42</v>
      </c>
      <c r="H26" s="53" t="s">
        <v>164</v>
      </c>
      <c r="I26" s="53" t="s">
        <v>159</v>
      </c>
      <c r="J26" s="53" t="s">
        <v>38</v>
      </c>
      <c r="K26" s="53" t="s">
        <v>161</v>
      </c>
      <c r="L26" s="53">
        <v>1</v>
      </c>
      <c r="N26" s="53">
        <v>5</v>
      </c>
      <c r="O26" s="53">
        <v>0.8</v>
      </c>
      <c r="P26" s="53">
        <v>0.75</v>
      </c>
      <c r="Q26" s="16">
        <f t="shared" si="0"/>
        <v>0.77500000000000002</v>
      </c>
      <c r="R26" s="53">
        <v>13.7</v>
      </c>
      <c r="S26" s="53">
        <v>100</v>
      </c>
      <c r="T26" s="16">
        <f t="shared" si="1"/>
        <v>33</v>
      </c>
      <c r="U26" s="53">
        <v>418</v>
      </c>
      <c r="V26" s="16">
        <f t="shared" si="2"/>
        <v>2758.7999999999997</v>
      </c>
      <c r="W26" s="53">
        <v>2</v>
      </c>
      <c r="X26" s="53" t="s">
        <v>39</v>
      </c>
      <c r="Y26" s="53" t="s">
        <v>55</v>
      </c>
      <c r="Z26" s="53" t="s">
        <v>78</v>
      </c>
      <c r="AA26" s="53" t="s">
        <v>47</v>
      </c>
      <c r="AB26" s="53" t="s">
        <v>158</v>
      </c>
      <c r="AP26" s="27" t="s">
        <v>117</v>
      </c>
      <c r="AR26" s="53" t="s">
        <v>153</v>
      </c>
    </row>
    <row r="27" spans="1:48" x14ac:dyDescent="0.15">
      <c r="A27" s="53" t="s">
        <v>56</v>
      </c>
      <c r="B27" s="53" t="s">
        <v>232</v>
      </c>
      <c r="C27" s="53">
        <v>2019</v>
      </c>
      <c r="D27" s="81" t="s">
        <v>233</v>
      </c>
      <c r="E27" s="53" t="s">
        <v>254</v>
      </c>
      <c r="F27" s="53" t="s">
        <v>250</v>
      </c>
      <c r="G27" s="53" t="s">
        <v>42</v>
      </c>
      <c r="H27" s="53" t="s">
        <v>164</v>
      </c>
      <c r="I27" s="53" t="s">
        <v>159</v>
      </c>
      <c r="J27" s="53" t="s">
        <v>38</v>
      </c>
      <c r="K27" s="53" t="s">
        <v>161</v>
      </c>
      <c r="L27" s="53">
        <v>2</v>
      </c>
      <c r="N27" s="53">
        <v>5</v>
      </c>
      <c r="O27" s="53">
        <v>0.75</v>
      </c>
      <c r="P27" s="53">
        <v>0.85</v>
      </c>
      <c r="Q27" s="16">
        <f t="shared" si="0"/>
        <v>0.8</v>
      </c>
      <c r="R27" s="53">
        <v>16.399999999999999</v>
      </c>
      <c r="S27" s="53">
        <v>93</v>
      </c>
      <c r="T27" s="16">
        <f t="shared" si="1"/>
        <v>36</v>
      </c>
      <c r="U27" s="53">
        <v>418</v>
      </c>
      <c r="V27" s="16">
        <f t="shared" si="2"/>
        <v>3009.6</v>
      </c>
      <c r="W27" s="53">
        <v>2</v>
      </c>
      <c r="X27" s="53" t="s">
        <v>39</v>
      </c>
      <c r="Y27" s="53" t="s">
        <v>55</v>
      </c>
      <c r="Z27" s="53" t="s">
        <v>78</v>
      </c>
      <c r="AA27" s="53" t="s">
        <v>47</v>
      </c>
      <c r="AB27" s="53" t="s">
        <v>158</v>
      </c>
      <c r="AP27" s="27" t="s">
        <v>118</v>
      </c>
    </row>
    <row r="28" spans="1:48" x14ac:dyDescent="0.15">
      <c r="A28" s="53" t="s">
        <v>56</v>
      </c>
      <c r="B28" s="53" t="s">
        <v>232</v>
      </c>
      <c r="C28" s="53">
        <v>2019</v>
      </c>
      <c r="D28" s="81" t="s">
        <v>233</v>
      </c>
      <c r="E28" s="53" t="s">
        <v>254</v>
      </c>
      <c r="F28" s="53" t="s">
        <v>250</v>
      </c>
      <c r="G28" s="53" t="s">
        <v>42</v>
      </c>
      <c r="H28" s="53" t="s">
        <v>164</v>
      </c>
      <c r="I28" s="53" t="s">
        <v>159</v>
      </c>
      <c r="J28" s="53" t="s">
        <v>38</v>
      </c>
      <c r="K28" s="53" t="s">
        <v>161</v>
      </c>
      <c r="L28" s="53">
        <v>3</v>
      </c>
      <c r="N28" s="53">
        <v>5</v>
      </c>
      <c r="O28" s="53">
        <v>0.9</v>
      </c>
      <c r="P28" s="53">
        <v>0.8</v>
      </c>
      <c r="Q28" s="16">
        <f t="shared" si="0"/>
        <v>0.85000000000000009</v>
      </c>
      <c r="R28" s="53">
        <v>16.3</v>
      </c>
      <c r="S28" s="53">
        <v>103</v>
      </c>
      <c r="T28" s="16">
        <f t="shared" si="1"/>
        <v>33</v>
      </c>
      <c r="U28" s="53">
        <v>418</v>
      </c>
      <c r="V28" s="16">
        <f t="shared" si="2"/>
        <v>2758.7999999999997</v>
      </c>
      <c r="W28" s="53">
        <v>2</v>
      </c>
      <c r="X28" s="53" t="s">
        <v>39</v>
      </c>
      <c r="Y28" s="53" t="s">
        <v>55</v>
      </c>
      <c r="Z28" s="53" t="s">
        <v>78</v>
      </c>
      <c r="AA28" s="53" t="s">
        <v>47</v>
      </c>
      <c r="AB28" s="53" t="s">
        <v>158</v>
      </c>
    </row>
    <row r="29" spans="1:48" x14ac:dyDescent="0.15">
      <c r="A29" s="53" t="s">
        <v>56</v>
      </c>
      <c r="B29" s="53" t="s">
        <v>232</v>
      </c>
      <c r="C29" s="53">
        <v>2019</v>
      </c>
      <c r="D29" s="81" t="s">
        <v>233</v>
      </c>
      <c r="E29" s="53" t="s">
        <v>254</v>
      </c>
      <c r="F29" s="53" t="s">
        <v>250</v>
      </c>
      <c r="G29" s="53" t="s">
        <v>42</v>
      </c>
      <c r="H29" s="53" t="s">
        <v>160</v>
      </c>
      <c r="I29" s="53" t="s">
        <v>159</v>
      </c>
      <c r="J29" s="53" t="s">
        <v>38</v>
      </c>
      <c r="K29" s="53" t="s">
        <v>161</v>
      </c>
      <c r="L29" s="53">
        <v>1</v>
      </c>
      <c r="N29" s="53">
        <v>4</v>
      </c>
      <c r="O29" s="53">
        <v>0.8</v>
      </c>
      <c r="P29" s="53">
        <v>0.8</v>
      </c>
      <c r="Q29" s="16">
        <f t="shared" si="0"/>
        <v>0.8</v>
      </c>
      <c r="R29" s="53">
        <v>16.7</v>
      </c>
      <c r="S29" s="53">
        <v>106</v>
      </c>
      <c r="T29" s="16">
        <f t="shared" si="1"/>
        <v>33</v>
      </c>
      <c r="U29" s="53">
        <v>418</v>
      </c>
      <c r="V29" s="16">
        <f t="shared" si="2"/>
        <v>3448.5</v>
      </c>
      <c r="W29" s="53">
        <v>2</v>
      </c>
      <c r="X29" s="53" t="s">
        <v>39</v>
      </c>
      <c r="Y29" s="53" t="s">
        <v>55</v>
      </c>
      <c r="Z29" s="53" t="s">
        <v>78</v>
      </c>
      <c r="AA29" s="53" t="s">
        <v>47</v>
      </c>
      <c r="AB29" s="53" t="s">
        <v>158</v>
      </c>
    </row>
    <row r="30" spans="1:48" x14ac:dyDescent="0.15">
      <c r="A30" s="53" t="s">
        <v>56</v>
      </c>
      <c r="B30" s="53" t="s">
        <v>232</v>
      </c>
      <c r="C30" s="53">
        <v>2019</v>
      </c>
      <c r="D30" s="81" t="s">
        <v>233</v>
      </c>
      <c r="E30" s="53" t="s">
        <v>254</v>
      </c>
      <c r="F30" s="53" t="s">
        <v>250</v>
      </c>
      <c r="G30" s="53" t="s">
        <v>42</v>
      </c>
      <c r="H30" s="53" t="s">
        <v>160</v>
      </c>
      <c r="I30" s="53" t="s">
        <v>159</v>
      </c>
      <c r="J30" s="53" t="s">
        <v>38</v>
      </c>
      <c r="K30" s="53" t="s">
        <v>161</v>
      </c>
      <c r="L30" s="53">
        <v>2</v>
      </c>
      <c r="N30" s="53">
        <v>4</v>
      </c>
      <c r="O30" s="53">
        <v>0.6</v>
      </c>
      <c r="P30" s="53">
        <v>0.6</v>
      </c>
      <c r="Q30" s="16">
        <f t="shared" si="0"/>
        <v>0.6</v>
      </c>
      <c r="R30" s="53">
        <v>16.5</v>
      </c>
      <c r="S30" s="53">
        <v>108</v>
      </c>
      <c r="T30" s="16">
        <f t="shared" si="1"/>
        <v>33</v>
      </c>
      <c r="U30" s="53">
        <v>418</v>
      </c>
      <c r="V30" s="16">
        <f t="shared" si="2"/>
        <v>3448.5</v>
      </c>
      <c r="W30" s="53">
        <v>2</v>
      </c>
      <c r="X30" s="53" t="s">
        <v>39</v>
      </c>
      <c r="Y30" s="53" t="s">
        <v>55</v>
      </c>
      <c r="Z30" s="53" t="s">
        <v>78</v>
      </c>
      <c r="AA30" s="53" t="s">
        <v>47</v>
      </c>
      <c r="AB30" s="53" t="s">
        <v>158</v>
      </c>
    </row>
    <row r="31" spans="1:48" x14ac:dyDescent="0.15">
      <c r="A31" s="53" t="s">
        <v>56</v>
      </c>
      <c r="B31" s="53" t="s">
        <v>232</v>
      </c>
      <c r="C31" s="53">
        <v>2019</v>
      </c>
      <c r="D31" s="81" t="s">
        <v>233</v>
      </c>
      <c r="E31" s="53" t="s">
        <v>254</v>
      </c>
      <c r="F31" s="53" t="s">
        <v>250</v>
      </c>
      <c r="G31" s="53" t="s">
        <v>42</v>
      </c>
      <c r="H31" s="53" t="s">
        <v>160</v>
      </c>
      <c r="I31" s="53" t="s">
        <v>159</v>
      </c>
      <c r="J31" s="53" t="s">
        <v>38</v>
      </c>
      <c r="K31" s="53" t="s">
        <v>161</v>
      </c>
      <c r="L31" s="53">
        <v>3</v>
      </c>
      <c r="N31" s="53">
        <v>4</v>
      </c>
      <c r="O31" s="53">
        <v>0.65</v>
      </c>
      <c r="P31" s="53">
        <v>0.65</v>
      </c>
      <c r="Q31" s="16">
        <f t="shared" si="0"/>
        <v>0.65</v>
      </c>
      <c r="R31" s="53">
        <v>17.100000000000001</v>
      </c>
      <c r="S31" s="53">
        <v>107</v>
      </c>
      <c r="T31" s="16">
        <f t="shared" si="1"/>
        <v>33</v>
      </c>
      <c r="U31" s="53">
        <v>418</v>
      </c>
      <c r="V31" s="16">
        <f t="shared" si="2"/>
        <v>3448.5</v>
      </c>
      <c r="W31" s="53">
        <v>2</v>
      </c>
      <c r="X31" s="53" t="s">
        <v>39</v>
      </c>
      <c r="Y31" s="53" t="s">
        <v>55</v>
      </c>
      <c r="Z31" s="53" t="s">
        <v>78</v>
      </c>
      <c r="AA31" s="53" t="s">
        <v>47</v>
      </c>
      <c r="AB31" s="53" t="s">
        <v>158</v>
      </c>
    </row>
    <row r="32" spans="1:48" x14ac:dyDescent="0.15">
      <c r="A32" s="53" t="s">
        <v>56</v>
      </c>
      <c r="B32" s="53" t="s">
        <v>232</v>
      </c>
      <c r="C32" s="53">
        <v>2019</v>
      </c>
      <c r="D32" s="81" t="s">
        <v>233</v>
      </c>
      <c r="E32" s="53" t="s">
        <v>162</v>
      </c>
      <c r="F32" s="53" t="s">
        <v>247</v>
      </c>
      <c r="G32" s="53" t="s">
        <v>42</v>
      </c>
      <c r="H32" s="53" t="s">
        <v>164</v>
      </c>
      <c r="I32" s="53" t="s">
        <v>159</v>
      </c>
      <c r="J32" s="53" t="s">
        <v>38</v>
      </c>
      <c r="K32" s="53" t="s">
        <v>161</v>
      </c>
      <c r="L32" s="53">
        <v>1</v>
      </c>
      <c r="N32" s="53">
        <v>10</v>
      </c>
      <c r="O32" s="53">
        <v>0.65</v>
      </c>
      <c r="P32" s="53">
        <v>0.6</v>
      </c>
      <c r="Q32" s="16">
        <f t="shared" si="0"/>
        <v>0.625</v>
      </c>
      <c r="R32" s="53">
        <v>12.9</v>
      </c>
      <c r="S32" s="53">
        <v>79</v>
      </c>
      <c r="T32" s="16">
        <f t="shared" si="1"/>
        <v>39</v>
      </c>
      <c r="U32" s="53">
        <v>538</v>
      </c>
      <c r="V32" s="16">
        <f t="shared" si="2"/>
        <v>2098.1999999999998</v>
      </c>
      <c r="W32" s="53">
        <v>4</v>
      </c>
      <c r="X32" s="53" t="s">
        <v>46</v>
      </c>
      <c r="Y32" s="53" t="s">
        <v>55</v>
      </c>
      <c r="Z32" s="53" t="s">
        <v>88</v>
      </c>
      <c r="AA32" s="53" t="s">
        <v>78</v>
      </c>
      <c r="AB32" s="53" t="s">
        <v>158</v>
      </c>
    </row>
    <row r="33" spans="1:28" x14ac:dyDescent="0.15">
      <c r="A33" s="53" t="s">
        <v>56</v>
      </c>
      <c r="B33" s="53" t="s">
        <v>232</v>
      </c>
      <c r="C33" s="53">
        <v>2019</v>
      </c>
      <c r="D33" s="81" t="s">
        <v>233</v>
      </c>
      <c r="E33" s="53" t="s">
        <v>162</v>
      </c>
      <c r="F33" s="53" t="s">
        <v>247</v>
      </c>
      <c r="G33" s="53" t="s">
        <v>42</v>
      </c>
      <c r="H33" s="53" t="s">
        <v>164</v>
      </c>
      <c r="I33" s="53" t="s">
        <v>159</v>
      </c>
      <c r="J33" s="53" t="s">
        <v>38</v>
      </c>
      <c r="K33" s="53" t="s">
        <v>161</v>
      </c>
      <c r="L33" s="53">
        <v>2</v>
      </c>
      <c r="N33" s="53">
        <v>10</v>
      </c>
      <c r="O33" s="53">
        <v>0.7</v>
      </c>
      <c r="P33" s="53">
        <v>0.8</v>
      </c>
      <c r="Q33" s="16">
        <f t="shared" si="0"/>
        <v>0.75</v>
      </c>
      <c r="R33" s="53">
        <v>13.2</v>
      </c>
      <c r="S33" s="53">
        <v>77</v>
      </c>
      <c r="T33" s="16">
        <f t="shared" si="1"/>
        <v>39</v>
      </c>
      <c r="U33" s="53">
        <v>538</v>
      </c>
      <c r="V33" s="16">
        <f t="shared" si="2"/>
        <v>2098.1999999999998</v>
      </c>
      <c r="W33" s="53">
        <v>4</v>
      </c>
      <c r="X33" s="53" t="s">
        <v>46</v>
      </c>
      <c r="Y33" s="53" t="s">
        <v>55</v>
      </c>
      <c r="Z33" s="53" t="s">
        <v>88</v>
      </c>
      <c r="AA33" s="53" t="s">
        <v>78</v>
      </c>
      <c r="AB33" s="53" t="s">
        <v>158</v>
      </c>
    </row>
    <row r="34" spans="1:28" x14ac:dyDescent="0.15">
      <c r="A34" s="53" t="s">
        <v>56</v>
      </c>
      <c r="B34" s="53" t="s">
        <v>232</v>
      </c>
      <c r="C34" s="53">
        <v>2019</v>
      </c>
      <c r="D34" s="81" t="s">
        <v>233</v>
      </c>
      <c r="E34" s="53" t="s">
        <v>162</v>
      </c>
      <c r="F34" s="53" t="s">
        <v>247</v>
      </c>
      <c r="G34" s="53" t="s">
        <v>42</v>
      </c>
      <c r="H34" s="53" t="s">
        <v>164</v>
      </c>
      <c r="I34" s="53" t="s">
        <v>159</v>
      </c>
      <c r="J34" s="53" t="s">
        <v>38</v>
      </c>
      <c r="K34" s="53" t="s">
        <v>161</v>
      </c>
      <c r="L34" s="53">
        <v>3</v>
      </c>
      <c r="N34" s="53">
        <v>10</v>
      </c>
      <c r="O34" s="53">
        <v>0.6</v>
      </c>
      <c r="P34" s="53">
        <v>0.6</v>
      </c>
      <c r="Q34" s="16">
        <f t="shared" si="0"/>
        <v>0.6</v>
      </c>
      <c r="R34" s="53">
        <v>13.1</v>
      </c>
      <c r="S34" s="53">
        <v>81</v>
      </c>
      <c r="T34" s="16">
        <f t="shared" si="1"/>
        <v>39</v>
      </c>
      <c r="U34" s="53">
        <v>538</v>
      </c>
      <c r="V34" s="16">
        <f t="shared" si="2"/>
        <v>2098.1999999999998</v>
      </c>
      <c r="W34" s="53">
        <v>4</v>
      </c>
      <c r="X34" s="53" t="s">
        <v>46</v>
      </c>
      <c r="Y34" s="53" t="s">
        <v>55</v>
      </c>
      <c r="Z34" s="53" t="s">
        <v>88</v>
      </c>
      <c r="AA34" s="53" t="s">
        <v>78</v>
      </c>
      <c r="AB34" s="53" t="s">
        <v>158</v>
      </c>
    </row>
    <row r="35" spans="1:28" x14ac:dyDescent="0.15">
      <c r="A35" s="53" t="s">
        <v>56</v>
      </c>
      <c r="B35" s="53" t="s">
        <v>232</v>
      </c>
      <c r="C35" s="53">
        <v>2019</v>
      </c>
      <c r="D35" s="81" t="s">
        <v>233</v>
      </c>
      <c r="E35" s="53" t="s">
        <v>162</v>
      </c>
      <c r="F35" s="53" t="s">
        <v>247</v>
      </c>
      <c r="G35" s="53" t="s">
        <v>42</v>
      </c>
      <c r="H35" s="53" t="s">
        <v>160</v>
      </c>
      <c r="I35" s="53" t="s">
        <v>159</v>
      </c>
      <c r="J35" s="53" t="s">
        <v>38</v>
      </c>
      <c r="K35" s="53" t="s">
        <v>161</v>
      </c>
      <c r="L35" s="53">
        <v>1</v>
      </c>
      <c r="N35" s="53">
        <v>1</v>
      </c>
      <c r="O35" s="53">
        <v>0.7</v>
      </c>
      <c r="P35" s="53">
        <v>0.8</v>
      </c>
      <c r="Q35" s="16">
        <f t="shared" si="0"/>
        <v>0.75</v>
      </c>
      <c r="R35" s="53">
        <v>16.399999999999999</v>
      </c>
      <c r="S35" s="53">
        <v>114</v>
      </c>
      <c r="T35" s="16">
        <f t="shared" si="1"/>
        <v>30</v>
      </c>
      <c r="U35" s="53">
        <v>106</v>
      </c>
      <c r="V35" s="16">
        <f t="shared" si="2"/>
        <v>3180</v>
      </c>
      <c r="W35" s="53">
        <v>2</v>
      </c>
      <c r="X35" s="53" t="s">
        <v>46</v>
      </c>
      <c r="Y35" s="53" t="s">
        <v>55</v>
      </c>
      <c r="Z35" s="53" t="s">
        <v>88</v>
      </c>
      <c r="AA35" s="53" t="s">
        <v>78</v>
      </c>
      <c r="AB35" s="53" t="s">
        <v>158</v>
      </c>
    </row>
    <row r="36" spans="1:28" x14ac:dyDescent="0.15">
      <c r="A36" s="53" t="s">
        <v>56</v>
      </c>
      <c r="B36" s="53" t="s">
        <v>232</v>
      </c>
      <c r="C36" s="53">
        <v>2019</v>
      </c>
      <c r="D36" s="81" t="s">
        <v>233</v>
      </c>
      <c r="E36" s="53" t="s">
        <v>162</v>
      </c>
      <c r="F36" s="53" t="s">
        <v>247</v>
      </c>
      <c r="G36" s="53" t="s">
        <v>42</v>
      </c>
      <c r="H36" s="53" t="s">
        <v>160</v>
      </c>
      <c r="I36" s="53" t="s">
        <v>159</v>
      </c>
      <c r="J36" s="53" t="s">
        <v>38</v>
      </c>
      <c r="K36" s="53" t="s">
        <v>161</v>
      </c>
      <c r="L36" s="53">
        <v>2</v>
      </c>
      <c r="N36" s="53">
        <v>1</v>
      </c>
      <c r="O36" s="53">
        <v>0.8</v>
      </c>
      <c r="P36" s="53">
        <v>0.9</v>
      </c>
      <c r="Q36" s="16">
        <f t="shared" si="0"/>
        <v>0.85000000000000009</v>
      </c>
      <c r="R36" s="53">
        <v>13.8</v>
      </c>
      <c r="S36" s="53">
        <v>116</v>
      </c>
      <c r="T36" s="16">
        <f t="shared" si="1"/>
        <v>30</v>
      </c>
      <c r="U36" s="53">
        <v>106</v>
      </c>
      <c r="V36" s="16">
        <f t="shared" si="2"/>
        <v>3180</v>
      </c>
      <c r="W36" s="53">
        <v>2</v>
      </c>
      <c r="X36" s="53" t="s">
        <v>46</v>
      </c>
      <c r="Y36" s="53" t="s">
        <v>55</v>
      </c>
      <c r="Z36" s="53" t="s">
        <v>88</v>
      </c>
      <c r="AA36" s="53" t="s">
        <v>78</v>
      </c>
      <c r="AB36" s="53" t="s">
        <v>158</v>
      </c>
    </row>
    <row r="37" spans="1:28" x14ac:dyDescent="0.15">
      <c r="A37" s="53" t="s">
        <v>56</v>
      </c>
      <c r="B37" s="53" t="s">
        <v>232</v>
      </c>
      <c r="C37" s="53">
        <v>2019</v>
      </c>
      <c r="D37" s="81" t="s">
        <v>233</v>
      </c>
      <c r="E37" s="53" t="s">
        <v>162</v>
      </c>
      <c r="F37" s="53" t="s">
        <v>247</v>
      </c>
      <c r="G37" s="53" t="s">
        <v>42</v>
      </c>
      <c r="H37" s="53" t="s">
        <v>160</v>
      </c>
      <c r="I37" s="53" t="s">
        <v>159</v>
      </c>
      <c r="J37" s="53" t="s">
        <v>38</v>
      </c>
      <c r="K37" s="53" t="s">
        <v>161</v>
      </c>
      <c r="L37" s="53">
        <v>3</v>
      </c>
      <c r="N37" s="53">
        <v>1</v>
      </c>
      <c r="O37" s="53">
        <v>0.8</v>
      </c>
      <c r="P37" s="53">
        <v>0.75</v>
      </c>
      <c r="Q37" s="16">
        <f t="shared" si="0"/>
        <v>0.77500000000000002</v>
      </c>
      <c r="R37" s="53">
        <v>16.2</v>
      </c>
      <c r="S37" s="53">
        <v>119</v>
      </c>
      <c r="T37" s="16">
        <f t="shared" si="1"/>
        <v>30</v>
      </c>
      <c r="U37" s="53">
        <v>106</v>
      </c>
      <c r="V37" s="16">
        <f t="shared" si="2"/>
        <v>3180</v>
      </c>
      <c r="W37" s="53">
        <v>2</v>
      </c>
      <c r="X37" s="53" t="s">
        <v>46</v>
      </c>
      <c r="Y37" s="53" t="s">
        <v>55</v>
      </c>
      <c r="Z37" s="53" t="s">
        <v>88</v>
      </c>
      <c r="AA37" s="53" t="s">
        <v>78</v>
      </c>
      <c r="AB37" s="53" t="s">
        <v>158</v>
      </c>
    </row>
    <row r="38" spans="1:28" x14ac:dyDescent="0.15">
      <c r="A38" s="53" t="s">
        <v>56</v>
      </c>
      <c r="B38" s="53" t="s">
        <v>232</v>
      </c>
      <c r="C38" s="53">
        <v>2019</v>
      </c>
      <c r="D38" s="81" t="s">
        <v>233</v>
      </c>
      <c r="E38" s="53" t="s">
        <v>255</v>
      </c>
      <c r="F38" s="53" t="s">
        <v>247</v>
      </c>
      <c r="G38" s="53" t="s">
        <v>42</v>
      </c>
      <c r="H38" s="53" t="s">
        <v>164</v>
      </c>
      <c r="I38" s="53" t="s">
        <v>159</v>
      </c>
      <c r="J38" s="53" t="s">
        <v>38</v>
      </c>
      <c r="K38" s="53" t="s">
        <v>161</v>
      </c>
      <c r="L38" s="53">
        <v>1</v>
      </c>
      <c r="N38" s="53">
        <v>1</v>
      </c>
      <c r="O38" s="53">
        <v>1</v>
      </c>
      <c r="P38" s="53">
        <v>1.1000000000000001</v>
      </c>
      <c r="Q38" s="16">
        <f t="shared" si="0"/>
        <v>1.05</v>
      </c>
      <c r="R38" s="53">
        <v>15.8</v>
      </c>
      <c r="S38" s="53">
        <v>125</v>
      </c>
      <c r="T38" s="16">
        <f t="shared" si="1"/>
        <v>27</v>
      </c>
      <c r="U38" s="53">
        <v>138</v>
      </c>
      <c r="V38" s="16">
        <f t="shared" si="2"/>
        <v>3726</v>
      </c>
      <c r="W38" s="53">
        <v>1</v>
      </c>
      <c r="X38" s="53" t="s">
        <v>39</v>
      </c>
      <c r="Y38" s="53" t="s">
        <v>88</v>
      </c>
      <c r="Z38" s="53" t="s">
        <v>78</v>
      </c>
      <c r="AA38" s="53" t="s">
        <v>64</v>
      </c>
      <c r="AB38" s="53" t="s">
        <v>158</v>
      </c>
    </row>
    <row r="39" spans="1:28" x14ac:dyDescent="0.15">
      <c r="A39" s="53" t="s">
        <v>56</v>
      </c>
      <c r="B39" s="53" t="s">
        <v>232</v>
      </c>
      <c r="C39" s="53">
        <v>2019</v>
      </c>
      <c r="D39" s="81" t="s">
        <v>233</v>
      </c>
      <c r="E39" s="53" t="s">
        <v>255</v>
      </c>
      <c r="F39" s="53" t="s">
        <v>247</v>
      </c>
      <c r="G39" s="53" t="s">
        <v>42</v>
      </c>
      <c r="H39" s="53" t="s">
        <v>164</v>
      </c>
      <c r="I39" s="53" t="s">
        <v>159</v>
      </c>
      <c r="J39" s="53" t="s">
        <v>38</v>
      </c>
      <c r="K39" s="53" t="s">
        <v>161</v>
      </c>
      <c r="L39" s="53">
        <v>2</v>
      </c>
      <c r="N39" s="53">
        <v>1</v>
      </c>
      <c r="O39" s="53">
        <v>0.95</v>
      </c>
      <c r="P39" s="53">
        <v>0.8</v>
      </c>
      <c r="Q39" s="16">
        <f t="shared" si="0"/>
        <v>0.875</v>
      </c>
      <c r="R39" s="53">
        <v>16.2</v>
      </c>
      <c r="S39" s="53">
        <v>123</v>
      </c>
      <c r="T39" s="16">
        <f t="shared" si="1"/>
        <v>27</v>
      </c>
      <c r="U39" s="53">
        <v>138</v>
      </c>
      <c r="V39" s="16">
        <f t="shared" si="2"/>
        <v>3726</v>
      </c>
      <c r="W39" s="53">
        <v>1</v>
      </c>
      <c r="X39" s="53" t="s">
        <v>39</v>
      </c>
      <c r="Y39" s="53" t="s">
        <v>88</v>
      </c>
      <c r="Z39" s="53" t="s">
        <v>78</v>
      </c>
      <c r="AA39" s="53" t="s">
        <v>64</v>
      </c>
      <c r="AB39" s="53" t="s">
        <v>158</v>
      </c>
    </row>
    <row r="40" spans="1:28" x14ac:dyDescent="0.15">
      <c r="A40" s="53" t="s">
        <v>56</v>
      </c>
      <c r="B40" s="53" t="s">
        <v>232</v>
      </c>
      <c r="C40" s="53">
        <v>2019</v>
      </c>
      <c r="D40" s="81" t="s">
        <v>233</v>
      </c>
      <c r="E40" s="53" t="s">
        <v>255</v>
      </c>
      <c r="F40" s="53" t="s">
        <v>247</v>
      </c>
      <c r="G40" s="53" t="s">
        <v>42</v>
      </c>
      <c r="H40" s="53" t="s">
        <v>164</v>
      </c>
      <c r="I40" s="53" t="s">
        <v>159</v>
      </c>
      <c r="J40" s="53" t="s">
        <v>38</v>
      </c>
      <c r="K40" s="53" t="s">
        <v>161</v>
      </c>
      <c r="L40" s="53">
        <v>3</v>
      </c>
      <c r="N40" s="53">
        <v>1</v>
      </c>
      <c r="O40" s="53">
        <v>0.9</v>
      </c>
      <c r="P40" s="53">
        <v>1</v>
      </c>
      <c r="Q40" s="16">
        <f t="shared" si="0"/>
        <v>0.95</v>
      </c>
      <c r="R40" s="53">
        <v>12</v>
      </c>
      <c r="S40" s="53">
        <v>125</v>
      </c>
      <c r="T40" s="16">
        <f t="shared" si="1"/>
        <v>27</v>
      </c>
      <c r="U40" s="53">
        <v>138</v>
      </c>
      <c r="V40" s="16">
        <f t="shared" si="2"/>
        <v>3726</v>
      </c>
      <c r="W40" s="53">
        <v>1</v>
      </c>
      <c r="X40" s="53" t="s">
        <v>39</v>
      </c>
      <c r="Y40" s="53" t="s">
        <v>88</v>
      </c>
      <c r="Z40" s="53" t="s">
        <v>78</v>
      </c>
      <c r="AA40" s="53" t="s">
        <v>64</v>
      </c>
      <c r="AB40" s="53" t="s">
        <v>158</v>
      </c>
    </row>
    <row r="41" spans="1:28" x14ac:dyDescent="0.15">
      <c r="A41" s="53" t="s">
        <v>56</v>
      </c>
      <c r="B41" s="53" t="s">
        <v>232</v>
      </c>
      <c r="C41" s="53">
        <v>2019</v>
      </c>
      <c r="D41" s="81" t="s">
        <v>233</v>
      </c>
      <c r="E41" s="53" t="s">
        <v>255</v>
      </c>
      <c r="F41" s="53" t="s">
        <v>247</v>
      </c>
      <c r="G41" s="53" t="s">
        <v>42</v>
      </c>
      <c r="H41" s="53" t="s">
        <v>160</v>
      </c>
      <c r="I41" s="53" t="s">
        <v>159</v>
      </c>
      <c r="J41" s="53" t="s">
        <v>38</v>
      </c>
      <c r="K41" s="53" t="s">
        <v>161</v>
      </c>
      <c r="L41" s="53">
        <v>1</v>
      </c>
      <c r="N41" s="53">
        <v>1</v>
      </c>
      <c r="O41" s="53">
        <v>0.7</v>
      </c>
      <c r="P41" s="53">
        <v>0.75</v>
      </c>
      <c r="Q41" s="16">
        <f t="shared" si="0"/>
        <v>0.72499999999999998</v>
      </c>
      <c r="R41" s="53">
        <v>16.899999999999999</v>
      </c>
      <c r="S41" s="53">
        <v>127</v>
      </c>
      <c r="T41" s="16">
        <f t="shared" si="1"/>
        <v>27</v>
      </c>
      <c r="U41" s="53">
        <v>150</v>
      </c>
      <c r="V41" s="16">
        <f t="shared" si="2"/>
        <v>4050</v>
      </c>
      <c r="W41" s="53">
        <v>1</v>
      </c>
      <c r="X41" s="53" t="s">
        <v>39</v>
      </c>
      <c r="Y41" s="53" t="s">
        <v>88</v>
      </c>
      <c r="Z41" s="53" t="s">
        <v>78</v>
      </c>
      <c r="AA41" s="53" t="s">
        <v>64</v>
      </c>
      <c r="AB41" s="53" t="s">
        <v>158</v>
      </c>
    </row>
    <row r="42" spans="1:28" x14ac:dyDescent="0.15">
      <c r="A42" s="53" t="s">
        <v>56</v>
      </c>
      <c r="B42" s="53" t="s">
        <v>232</v>
      </c>
      <c r="C42" s="53">
        <v>2019</v>
      </c>
      <c r="D42" s="81" t="s">
        <v>233</v>
      </c>
      <c r="E42" s="53" t="s">
        <v>255</v>
      </c>
      <c r="F42" s="53" t="s">
        <v>247</v>
      </c>
      <c r="G42" s="53" t="s">
        <v>42</v>
      </c>
      <c r="H42" s="53" t="s">
        <v>160</v>
      </c>
      <c r="I42" s="53" t="s">
        <v>159</v>
      </c>
      <c r="J42" s="53" t="s">
        <v>38</v>
      </c>
      <c r="K42" s="53" t="s">
        <v>161</v>
      </c>
      <c r="L42" s="53">
        <v>2</v>
      </c>
      <c r="N42" s="53">
        <v>1</v>
      </c>
      <c r="O42" s="53">
        <v>0.75</v>
      </c>
      <c r="P42" s="53">
        <v>0.7</v>
      </c>
      <c r="Q42" s="16">
        <f t="shared" si="0"/>
        <v>0.72499999999999998</v>
      </c>
      <c r="R42" s="53">
        <v>17</v>
      </c>
      <c r="S42" s="53">
        <v>126</v>
      </c>
      <c r="T42" s="16">
        <f t="shared" si="1"/>
        <v>27</v>
      </c>
      <c r="U42" s="53">
        <v>150</v>
      </c>
      <c r="V42" s="16">
        <f t="shared" si="2"/>
        <v>4050</v>
      </c>
      <c r="W42" s="53">
        <v>1</v>
      </c>
      <c r="X42" s="53" t="s">
        <v>39</v>
      </c>
      <c r="Y42" s="53" t="s">
        <v>88</v>
      </c>
      <c r="Z42" s="53" t="s">
        <v>78</v>
      </c>
      <c r="AA42" s="53" t="s">
        <v>64</v>
      </c>
      <c r="AB42" s="53" t="s">
        <v>158</v>
      </c>
    </row>
    <row r="43" spans="1:28" x14ac:dyDescent="0.15">
      <c r="A43" s="53" t="s">
        <v>56</v>
      </c>
      <c r="B43" s="53" t="s">
        <v>232</v>
      </c>
      <c r="C43" s="53">
        <v>2019</v>
      </c>
      <c r="D43" s="81" t="s">
        <v>233</v>
      </c>
      <c r="E43" s="53" t="s">
        <v>255</v>
      </c>
      <c r="F43" s="53" t="s">
        <v>247</v>
      </c>
      <c r="G43" s="53" t="s">
        <v>42</v>
      </c>
      <c r="H43" s="53" t="s">
        <v>160</v>
      </c>
      <c r="I43" s="53" t="s">
        <v>159</v>
      </c>
      <c r="J43" s="53" t="s">
        <v>38</v>
      </c>
      <c r="K43" s="53" t="s">
        <v>161</v>
      </c>
      <c r="L43" s="53">
        <v>3</v>
      </c>
      <c r="N43" s="53">
        <v>1</v>
      </c>
      <c r="O43" s="53">
        <v>0.7</v>
      </c>
      <c r="P43" s="53">
        <v>0.75</v>
      </c>
      <c r="Q43" s="16">
        <f t="shared" si="0"/>
        <v>0.72499999999999998</v>
      </c>
      <c r="R43" s="53">
        <v>17.399999999999999</v>
      </c>
      <c r="S43" s="53">
        <v>126</v>
      </c>
      <c r="T43" s="16">
        <f t="shared" si="1"/>
        <v>27</v>
      </c>
      <c r="U43" s="53">
        <v>150</v>
      </c>
      <c r="V43" s="16">
        <f t="shared" si="2"/>
        <v>4050</v>
      </c>
      <c r="W43" s="53">
        <v>1</v>
      </c>
      <c r="X43" s="53" t="s">
        <v>39</v>
      </c>
      <c r="Y43" s="53" t="s">
        <v>88</v>
      </c>
      <c r="Z43" s="53" t="s">
        <v>78</v>
      </c>
      <c r="AA43" s="53" t="s">
        <v>64</v>
      </c>
      <c r="AB43" s="53" t="s">
        <v>158</v>
      </c>
    </row>
    <row r="44" spans="1:28" x14ac:dyDescent="0.15">
      <c r="A44" s="53" t="s">
        <v>56</v>
      </c>
      <c r="B44" s="53" t="s">
        <v>232</v>
      </c>
      <c r="C44" s="53">
        <v>2019</v>
      </c>
      <c r="D44" s="81" t="s">
        <v>233</v>
      </c>
      <c r="E44" s="53" t="s">
        <v>256</v>
      </c>
      <c r="F44" s="53" t="s">
        <v>237</v>
      </c>
      <c r="G44" s="53" t="s">
        <v>42</v>
      </c>
      <c r="H44" s="53" t="s">
        <v>164</v>
      </c>
      <c r="I44" s="53" t="s">
        <v>159</v>
      </c>
      <c r="J44" s="53" t="s">
        <v>38</v>
      </c>
      <c r="K44" s="53" t="s">
        <v>161</v>
      </c>
      <c r="L44" s="53">
        <v>1</v>
      </c>
      <c r="N44" s="53">
        <v>5</v>
      </c>
      <c r="O44" s="53">
        <v>0.75</v>
      </c>
      <c r="P44" s="53">
        <v>0.8</v>
      </c>
      <c r="Q44" s="16">
        <f t="shared" si="0"/>
        <v>0.77500000000000002</v>
      </c>
      <c r="R44" s="53">
        <v>17</v>
      </c>
      <c r="S44" s="53">
        <v>103</v>
      </c>
      <c r="T44" s="16">
        <f t="shared" si="1"/>
        <v>33</v>
      </c>
      <c r="U44" s="53">
        <v>429</v>
      </c>
      <c r="V44" s="16">
        <f t="shared" si="2"/>
        <v>2831.4</v>
      </c>
      <c r="W44" s="53">
        <v>1</v>
      </c>
      <c r="X44" s="53" t="s">
        <v>39</v>
      </c>
      <c r="Y44" s="53" t="s">
        <v>47</v>
      </c>
      <c r="Z44" s="53" t="s">
        <v>55</v>
      </c>
      <c r="AA44" s="53" t="s">
        <v>64</v>
      </c>
      <c r="AB44" s="53" t="s">
        <v>158</v>
      </c>
    </row>
    <row r="45" spans="1:28" x14ac:dyDescent="0.15">
      <c r="A45" s="53" t="s">
        <v>56</v>
      </c>
      <c r="B45" s="53" t="s">
        <v>232</v>
      </c>
      <c r="C45" s="53">
        <v>2019</v>
      </c>
      <c r="D45" s="81" t="s">
        <v>233</v>
      </c>
      <c r="E45" s="53" t="s">
        <v>256</v>
      </c>
      <c r="F45" s="53" t="s">
        <v>237</v>
      </c>
      <c r="G45" s="53" t="s">
        <v>42</v>
      </c>
      <c r="H45" s="53" t="s">
        <v>164</v>
      </c>
      <c r="I45" s="53" t="s">
        <v>159</v>
      </c>
      <c r="J45" s="53" t="s">
        <v>38</v>
      </c>
      <c r="K45" s="53" t="s">
        <v>161</v>
      </c>
      <c r="L45" s="53">
        <v>2</v>
      </c>
      <c r="N45" s="53">
        <v>5</v>
      </c>
      <c r="O45" s="53">
        <v>0.85</v>
      </c>
      <c r="P45" s="53">
        <v>0.8</v>
      </c>
      <c r="Q45" s="16">
        <f t="shared" si="0"/>
        <v>0.82499999999999996</v>
      </c>
      <c r="R45" s="53">
        <v>17.3</v>
      </c>
      <c r="S45" s="53">
        <v>99</v>
      </c>
      <c r="T45" s="16">
        <f t="shared" si="1"/>
        <v>33</v>
      </c>
      <c r="U45" s="53">
        <v>429</v>
      </c>
      <c r="V45" s="16">
        <f t="shared" si="2"/>
        <v>2831.4</v>
      </c>
      <c r="W45" s="53">
        <v>1</v>
      </c>
      <c r="X45" s="53" t="s">
        <v>39</v>
      </c>
      <c r="Y45" s="53" t="s">
        <v>47</v>
      </c>
      <c r="Z45" s="53" t="s">
        <v>55</v>
      </c>
      <c r="AA45" s="53" t="s">
        <v>64</v>
      </c>
      <c r="AB45" s="53" t="s">
        <v>158</v>
      </c>
    </row>
    <row r="46" spans="1:28" x14ac:dyDescent="0.15">
      <c r="A46" s="53" t="s">
        <v>56</v>
      </c>
      <c r="B46" s="53" t="s">
        <v>232</v>
      </c>
      <c r="C46" s="53">
        <v>2019</v>
      </c>
      <c r="D46" s="81" t="s">
        <v>233</v>
      </c>
      <c r="E46" s="53" t="s">
        <v>256</v>
      </c>
      <c r="F46" s="53" t="s">
        <v>237</v>
      </c>
      <c r="G46" s="53" t="s">
        <v>42</v>
      </c>
      <c r="H46" s="53" t="s">
        <v>164</v>
      </c>
      <c r="I46" s="53" t="s">
        <v>159</v>
      </c>
      <c r="J46" s="53" t="s">
        <v>38</v>
      </c>
      <c r="K46" s="53" t="s">
        <v>161</v>
      </c>
      <c r="L46" s="53">
        <v>3</v>
      </c>
      <c r="N46" s="53">
        <v>5</v>
      </c>
      <c r="O46" s="53">
        <v>0.85</v>
      </c>
      <c r="P46" s="53">
        <v>0.7</v>
      </c>
      <c r="Q46" s="16">
        <f t="shared" si="0"/>
        <v>0.77499999999999991</v>
      </c>
      <c r="R46" s="53">
        <v>14.5</v>
      </c>
      <c r="S46" s="53">
        <v>104</v>
      </c>
      <c r="T46" s="16">
        <f t="shared" si="1"/>
        <v>33</v>
      </c>
      <c r="U46" s="53">
        <v>429</v>
      </c>
      <c r="V46" s="16">
        <f t="shared" si="2"/>
        <v>2831.4</v>
      </c>
      <c r="W46" s="53">
        <v>1</v>
      </c>
      <c r="X46" s="53" t="s">
        <v>39</v>
      </c>
      <c r="Y46" s="53" t="s">
        <v>47</v>
      </c>
      <c r="Z46" s="53" t="s">
        <v>55</v>
      </c>
      <c r="AA46" s="53" t="s">
        <v>64</v>
      </c>
      <c r="AB46" s="53" t="s">
        <v>158</v>
      </c>
    </row>
    <row r="47" spans="1:28" x14ac:dyDescent="0.15">
      <c r="A47" s="53" t="s">
        <v>56</v>
      </c>
      <c r="B47" s="53" t="s">
        <v>232</v>
      </c>
      <c r="C47" s="53">
        <v>2019</v>
      </c>
      <c r="D47" s="81" t="s">
        <v>233</v>
      </c>
      <c r="E47" s="53" t="s">
        <v>256</v>
      </c>
      <c r="F47" s="53" t="s">
        <v>237</v>
      </c>
      <c r="G47" s="53" t="s">
        <v>42</v>
      </c>
      <c r="H47" s="53" t="s">
        <v>160</v>
      </c>
      <c r="I47" s="53" t="s">
        <v>159</v>
      </c>
      <c r="J47" s="53" t="s">
        <v>38</v>
      </c>
      <c r="K47" s="53" t="s">
        <v>161</v>
      </c>
      <c r="L47" s="53">
        <v>1</v>
      </c>
      <c r="N47" s="53">
        <v>4</v>
      </c>
      <c r="O47" s="53">
        <v>0.5</v>
      </c>
      <c r="P47" s="53">
        <v>0.5</v>
      </c>
      <c r="Q47" s="16">
        <f t="shared" si="0"/>
        <v>0.5</v>
      </c>
      <c r="R47" s="53">
        <v>16.600000000000001</v>
      </c>
      <c r="S47" s="53">
        <v>98</v>
      </c>
      <c r="T47" s="16">
        <f t="shared" si="1"/>
        <v>36</v>
      </c>
      <c r="U47" s="53">
        <v>429</v>
      </c>
      <c r="V47" s="16">
        <f t="shared" si="2"/>
        <v>3861</v>
      </c>
      <c r="W47" s="53">
        <v>1</v>
      </c>
      <c r="X47" s="53" t="s">
        <v>39</v>
      </c>
      <c r="Y47" s="53" t="s">
        <v>47</v>
      </c>
      <c r="Z47" s="53" t="s">
        <v>55</v>
      </c>
      <c r="AA47" s="53" t="s">
        <v>64</v>
      </c>
      <c r="AB47" s="53" t="s">
        <v>158</v>
      </c>
    </row>
    <row r="48" spans="1:28" x14ac:dyDescent="0.15">
      <c r="A48" s="53" t="s">
        <v>56</v>
      </c>
      <c r="B48" s="53" t="s">
        <v>232</v>
      </c>
      <c r="C48" s="53">
        <v>2019</v>
      </c>
      <c r="D48" s="81" t="s">
        <v>233</v>
      </c>
      <c r="E48" s="53" t="s">
        <v>256</v>
      </c>
      <c r="F48" s="53" t="s">
        <v>237</v>
      </c>
      <c r="G48" s="53" t="s">
        <v>42</v>
      </c>
      <c r="H48" s="53" t="s">
        <v>160</v>
      </c>
      <c r="I48" s="53" t="s">
        <v>159</v>
      </c>
      <c r="J48" s="53" t="s">
        <v>38</v>
      </c>
      <c r="K48" s="53" t="s">
        <v>161</v>
      </c>
      <c r="L48" s="53">
        <v>2</v>
      </c>
      <c r="N48" s="53">
        <v>4</v>
      </c>
      <c r="O48" s="53">
        <v>0.7</v>
      </c>
      <c r="P48" s="53">
        <v>0.7</v>
      </c>
      <c r="Q48" s="16">
        <f t="shared" si="0"/>
        <v>0.7</v>
      </c>
      <c r="R48" s="53">
        <v>17</v>
      </c>
      <c r="S48" s="53">
        <v>102</v>
      </c>
      <c r="T48" s="16">
        <f t="shared" si="1"/>
        <v>33</v>
      </c>
      <c r="U48" s="53">
        <v>429</v>
      </c>
      <c r="V48" s="16">
        <f t="shared" si="2"/>
        <v>3539.25</v>
      </c>
      <c r="W48" s="53">
        <v>1</v>
      </c>
      <c r="X48" s="53" t="s">
        <v>39</v>
      </c>
      <c r="Y48" s="53" t="s">
        <v>47</v>
      </c>
      <c r="Z48" s="53" t="s">
        <v>55</v>
      </c>
      <c r="AA48" s="53" t="s">
        <v>64</v>
      </c>
      <c r="AB48" s="53" t="s">
        <v>158</v>
      </c>
    </row>
    <row r="49" spans="1:28" x14ac:dyDescent="0.15">
      <c r="A49" s="53" t="s">
        <v>56</v>
      </c>
      <c r="B49" s="53" t="s">
        <v>232</v>
      </c>
      <c r="C49" s="53">
        <v>2019</v>
      </c>
      <c r="D49" s="81" t="s">
        <v>233</v>
      </c>
      <c r="E49" s="53" t="s">
        <v>256</v>
      </c>
      <c r="F49" s="53" t="s">
        <v>237</v>
      </c>
      <c r="G49" s="53" t="s">
        <v>42</v>
      </c>
      <c r="H49" s="53" t="s">
        <v>160</v>
      </c>
      <c r="I49" s="53" t="s">
        <v>159</v>
      </c>
      <c r="J49" s="53" t="s">
        <v>38</v>
      </c>
      <c r="K49" s="53" t="s">
        <v>161</v>
      </c>
      <c r="L49" s="53">
        <v>3</v>
      </c>
      <c r="N49" s="53">
        <v>4</v>
      </c>
      <c r="O49" s="53">
        <v>0.65</v>
      </c>
      <c r="P49" s="53">
        <v>0.6</v>
      </c>
      <c r="Q49" s="16">
        <f t="shared" si="0"/>
        <v>0.625</v>
      </c>
      <c r="R49" s="53">
        <v>16.5</v>
      </c>
      <c r="S49" s="53">
        <v>94</v>
      </c>
      <c r="T49" s="16">
        <f t="shared" si="1"/>
        <v>36</v>
      </c>
      <c r="U49" s="53">
        <v>429</v>
      </c>
      <c r="V49" s="16">
        <f t="shared" si="2"/>
        <v>3861</v>
      </c>
      <c r="W49" s="53">
        <v>1</v>
      </c>
      <c r="X49" s="53" t="s">
        <v>39</v>
      </c>
      <c r="Y49" s="53" t="s">
        <v>47</v>
      </c>
      <c r="Z49" s="53" t="s">
        <v>55</v>
      </c>
      <c r="AA49" s="53" t="s">
        <v>64</v>
      </c>
      <c r="AB49" s="53" t="s">
        <v>158</v>
      </c>
    </row>
    <row r="50" spans="1:28" x14ac:dyDescent="0.15">
      <c r="A50" s="53" t="s">
        <v>56</v>
      </c>
      <c r="B50" s="53" t="s">
        <v>232</v>
      </c>
      <c r="C50" s="53">
        <v>2019</v>
      </c>
      <c r="D50" s="81" t="s">
        <v>233</v>
      </c>
      <c r="E50" s="53" t="s">
        <v>248</v>
      </c>
      <c r="F50" s="53" t="s">
        <v>250</v>
      </c>
      <c r="G50" s="53" t="s">
        <v>42</v>
      </c>
      <c r="H50" s="53" t="s">
        <v>164</v>
      </c>
      <c r="I50" s="53" t="s">
        <v>159</v>
      </c>
      <c r="J50" s="53" t="s">
        <v>38</v>
      </c>
      <c r="K50" s="53" t="s">
        <v>161</v>
      </c>
      <c r="L50" s="53">
        <v>1</v>
      </c>
      <c r="N50" s="53">
        <v>1</v>
      </c>
      <c r="O50" s="53">
        <v>0.7</v>
      </c>
      <c r="P50" s="53">
        <v>0.6</v>
      </c>
      <c r="Q50" s="16">
        <f t="shared" si="0"/>
        <v>0.64999999999999991</v>
      </c>
      <c r="R50" s="53">
        <v>14.1</v>
      </c>
      <c r="S50" s="53">
        <v>133</v>
      </c>
      <c r="T50" s="16">
        <f t="shared" si="1"/>
        <v>25</v>
      </c>
      <c r="U50" s="53">
        <v>108</v>
      </c>
      <c r="V50" s="16">
        <f t="shared" si="2"/>
        <v>2700</v>
      </c>
      <c r="W50" s="53">
        <v>6</v>
      </c>
      <c r="X50" s="53" t="s">
        <v>46</v>
      </c>
      <c r="Y50" s="53" t="s">
        <v>55</v>
      </c>
      <c r="Z50" s="53" t="s">
        <v>86</v>
      </c>
      <c r="AA50" s="53" t="s">
        <v>97</v>
      </c>
      <c r="AB50" s="53" t="s">
        <v>158</v>
      </c>
    </row>
    <row r="51" spans="1:28" x14ac:dyDescent="0.15">
      <c r="A51" s="53" t="s">
        <v>56</v>
      </c>
      <c r="B51" s="53" t="s">
        <v>232</v>
      </c>
      <c r="C51" s="53">
        <v>2019</v>
      </c>
      <c r="D51" s="81" t="s">
        <v>233</v>
      </c>
      <c r="E51" s="53" t="s">
        <v>248</v>
      </c>
      <c r="F51" s="53" t="s">
        <v>250</v>
      </c>
      <c r="G51" s="53" t="s">
        <v>42</v>
      </c>
      <c r="H51" s="53" t="s">
        <v>164</v>
      </c>
      <c r="I51" s="53" t="s">
        <v>159</v>
      </c>
      <c r="J51" s="53" t="s">
        <v>38</v>
      </c>
      <c r="K51" s="53" t="s">
        <v>161</v>
      </c>
      <c r="L51" s="53">
        <v>2</v>
      </c>
      <c r="N51" s="53">
        <v>1</v>
      </c>
      <c r="O51" s="53">
        <v>0.6</v>
      </c>
      <c r="P51" s="53">
        <v>0.6</v>
      </c>
      <c r="Q51" s="16">
        <f t="shared" si="0"/>
        <v>0.6</v>
      </c>
      <c r="R51" s="53">
        <v>15.9</v>
      </c>
      <c r="S51" s="53">
        <v>127</v>
      </c>
      <c r="T51" s="16">
        <f t="shared" si="1"/>
        <v>27</v>
      </c>
      <c r="U51" s="53">
        <v>108</v>
      </c>
      <c r="V51" s="16">
        <f t="shared" si="2"/>
        <v>2916</v>
      </c>
      <c r="W51" s="53">
        <v>6</v>
      </c>
      <c r="X51" s="53" t="s">
        <v>46</v>
      </c>
      <c r="Y51" s="53" t="s">
        <v>55</v>
      </c>
      <c r="Z51" s="53" t="s">
        <v>86</v>
      </c>
      <c r="AA51" s="53" t="s">
        <v>97</v>
      </c>
      <c r="AB51" s="53" t="s">
        <v>158</v>
      </c>
    </row>
    <row r="52" spans="1:28" x14ac:dyDescent="0.15">
      <c r="A52" s="53" t="s">
        <v>56</v>
      </c>
      <c r="B52" s="53" t="s">
        <v>232</v>
      </c>
      <c r="C52" s="53">
        <v>2019</v>
      </c>
      <c r="D52" s="81" t="s">
        <v>233</v>
      </c>
      <c r="E52" s="53" t="s">
        <v>248</v>
      </c>
      <c r="F52" s="53" t="s">
        <v>250</v>
      </c>
      <c r="G52" s="53" t="s">
        <v>42</v>
      </c>
      <c r="H52" s="53" t="s">
        <v>164</v>
      </c>
      <c r="I52" s="53" t="s">
        <v>159</v>
      </c>
      <c r="J52" s="53" t="s">
        <v>38</v>
      </c>
      <c r="K52" s="53" t="s">
        <v>161</v>
      </c>
      <c r="L52" s="53">
        <v>3</v>
      </c>
      <c r="N52" s="53">
        <v>1</v>
      </c>
      <c r="O52" s="53">
        <v>0.55000000000000004</v>
      </c>
      <c r="P52" s="53">
        <v>0.55000000000000004</v>
      </c>
      <c r="Q52" s="16">
        <f t="shared" si="0"/>
        <v>0.55000000000000004</v>
      </c>
      <c r="R52" s="53">
        <v>13.9</v>
      </c>
      <c r="S52" s="53">
        <v>123</v>
      </c>
      <c r="T52" s="16">
        <f t="shared" si="1"/>
        <v>27</v>
      </c>
      <c r="U52" s="53">
        <v>108</v>
      </c>
      <c r="V52" s="16">
        <f t="shared" si="2"/>
        <v>2916</v>
      </c>
      <c r="W52" s="53">
        <v>6</v>
      </c>
      <c r="X52" s="53" t="s">
        <v>46</v>
      </c>
      <c r="Y52" s="53" t="s">
        <v>55</v>
      </c>
      <c r="Z52" s="53" t="s">
        <v>86</v>
      </c>
      <c r="AA52" s="53" t="s">
        <v>97</v>
      </c>
      <c r="AB52" s="53" t="s">
        <v>158</v>
      </c>
    </row>
    <row r="53" spans="1:28" x14ac:dyDescent="0.15">
      <c r="A53" s="53" t="s">
        <v>56</v>
      </c>
      <c r="B53" s="53" t="s">
        <v>232</v>
      </c>
      <c r="C53" s="53">
        <v>2019</v>
      </c>
      <c r="D53" s="81" t="s">
        <v>233</v>
      </c>
      <c r="E53" s="53" t="s">
        <v>248</v>
      </c>
      <c r="F53" s="53" t="s">
        <v>250</v>
      </c>
      <c r="G53" s="53" t="s">
        <v>42</v>
      </c>
      <c r="H53" s="53" t="s">
        <v>160</v>
      </c>
      <c r="I53" s="53" t="s">
        <v>159</v>
      </c>
      <c r="J53" s="53" t="s">
        <v>38</v>
      </c>
      <c r="K53" s="53" t="s">
        <v>161</v>
      </c>
      <c r="L53" s="53">
        <v>1</v>
      </c>
      <c r="N53" s="53">
        <v>1</v>
      </c>
      <c r="O53" s="53">
        <v>0.5</v>
      </c>
      <c r="P53" s="53">
        <v>0.5</v>
      </c>
      <c r="Q53" s="16">
        <f t="shared" si="0"/>
        <v>0.5</v>
      </c>
      <c r="R53" s="53">
        <v>15.7</v>
      </c>
      <c r="S53" s="53">
        <v>132</v>
      </c>
      <c r="T53" s="16">
        <f t="shared" si="1"/>
        <v>25</v>
      </c>
      <c r="U53" s="53">
        <v>108</v>
      </c>
      <c r="V53" s="16">
        <f t="shared" si="2"/>
        <v>2700</v>
      </c>
      <c r="W53" s="53">
        <v>10</v>
      </c>
      <c r="X53" s="53" t="s">
        <v>46</v>
      </c>
      <c r="Y53" s="53" t="s">
        <v>55</v>
      </c>
      <c r="Z53" s="53" t="s">
        <v>86</v>
      </c>
      <c r="AA53" s="53" t="s">
        <v>97</v>
      </c>
      <c r="AB53" s="53" t="s">
        <v>158</v>
      </c>
    </row>
    <row r="54" spans="1:28" x14ac:dyDescent="0.15">
      <c r="A54" s="53" t="s">
        <v>56</v>
      </c>
      <c r="B54" s="53" t="s">
        <v>232</v>
      </c>
      <c r="C54" s="53">
        <v>2019</v>
      </c>
      <c r="D54" s="81" t="s">
        <v>233</v>
      </c>
      <c r="E54" s="53" t="s">
        <v>248</v>
      </c>
      <c r="F54" s="53" t="s">
        <v>250</v>
      </c>
      <c r="G54" s="53" t="s">
        <v>42</v>
      </c>
      <c r="H54" s="53" t="s">
        <v>160</v>
      </c>
      <c r="I54" s="53" t="s">
        <v>159</v>
      </c>
      <c r="J54" s="53" t="s">
        <v>38</v>
      </c>
      <c r="K54" s="53" t="s">
        <v>161</v>
      </c>
      <c r="L54" s="53">
        <v>2</v>
      </c>
      <c r="N54" s="53">
        <v>1</v>
      </c>
      <c r="O54" s="53">
        <v>0.5</v>
      </c>
      <c r="P54" s="53">
        <v>0.5</v>
      </c>
      <c r="Q54" s="16">
        <f t="shared" si="0"/>
        <v>0.5</v>
      </c>
      <c r="R54" s="53">
        <v>15.6</v>
      </c>
      <c r="S54" s="53">
        <v>130</v>
      </c>
      <c r="T54" s="16">
        <f t="shared" si="1"/>
        <v>25</v>
      </c>
      <c r="U54" s="53">
        <v>108</v>
      </c>
      <c r="V54" s="16">
        <f t="shared" si="2"/>
        <v>2700</v>
      </c>
      <c r="W54" s="53">
        <v>10</v>
      </c>
      <c r="X54" s="53" t="s">
        <v>46</v>
      </c>
      <c r="Y54" s="53" t="s">
        <v>55</v>
      </c>
      <c r="Z54" s="53" t="s">
        <v>86</v>
      </c>
      <c r="AA54" s="53" t="s">
        <v>97</v>
      </c>
      <c r="AB54" s="53" t="s">
        <v>158</v>
      </c>
    </row>
    <row r="55" spans="1:28" x14ac:dyDescent="0.15">
      <c r="A55" s="53" t="s">
        <v>56</v>
      </c>
      <c r="B55" s="53" t="s">
        <v>232</v>
      </c>
      <c r="C55" s="53">
        <v>2019</v>
      </c>
      <c r="D55" s="81" t="s">
        <v>233</v>
      </c>
      <c r="E55" s="53" t="s">
        <v>248</v>
      </c>
      <c r="F55" s="53" t="s">
        <v>250</v>
      </c>
      <c r="G55" s="53" t="s">
        <v>42</v>
      </c>
      <c r="H55" s="53" t="s">
        <v>160</v>
      </c>
      <c r="I55" s="53" t="s">
        <v>159</v>
      </c>
      <c r="J55" s="53" t="s">
        <v>38</v>
      </c>
      <c r="K55" s="53" t="s">
        <v>161</v>
      </c>
      <c r="L55" s="53">
        <v>3</v>
      </c>
      <c r="N55" s="53">
        <v>1</v>
      </c>
      <c r="O55" s="53">
        <v>0.5</v>
      </c>
      <c r="P55" s="53">
        <v>0.5</v>
      </c>
      <c r="Q55" s="16">
        <f t="shared" si="0"/>
        <v>0.5</v>
      </c>
      <c r="R55" s="53">
        <v>17.2</v>
      </c>
      <c r="S55" s="53">
        <v>130</v>
      </c>
      <c r="T55" s="16">
        <f t="shared" si="1"/>
        <v>25</v>
      </c>
      <c r="U55" s="53">
        <v>108</v>
      </c>
      <c r="V55" s="16">
        <f t="shared" si="2"/>
        <v>2700</v>
      </c>
      <c r="W55" s="53">
        <v>10</v>
      </c>
      <c r="X55" s="53" t="s">
        <v>46</v>
      </c>
      <c r="Y55" s="53" t="s">
        <v>55</v>
      </c>
      <c r="Z55" s="53" t="s">
        <v>86</v>
      </c>
      <c r="AA55" s="53" t="s">
        <v>97</v>
      </c>
      <c r="AB55" s="53" t="s">
        <v>158</v>
      </c>
    </row>
    <row r="56" spans="1:28" x14ac:dyDescent="0.15">
      <c r="A56" s="53" t="s">
        <v>56</v>
      </c>
      <c r="B56" s="53" t="s">
        <v>232</v>
      </c>
      <c r="C56" s="53">
        <v>2019</v>
      </c>
      <c r="D56" s="81" t="s">
        <v>233</v>
      </c>
      <c r="E56" s="53" t="s">
        <v>257</v>
      </c>
      <c r="F56" s="53" t="s">
        <v>250</v>
      </c>
      <c r="G56" s="53" t="s">
        <v>42</v>
      </c>
      <c r="H56" s="53" t="s">
        <v>164</v>
      </c>
      <c r="I56" s="53" t="s">
        <v>159</v>
      </c>
      <c r="J56" s="53" t="s">
        <v>38</v>
      </c>
      <c r="K56" s="53" t="s">
        <v>161</v>
      </c>
      <c r="L56" s="53">
        <v>1</v>
      </c>
      <c r="N56" s="53">
        <v>5</v>
      </c>
      <c r="O56" s="53">
        <v>0.75</v>
      </c>
      <c r="P56" s="53">
        <v>0.6</v>
      </c>
      <c r="Q56" s="16">
        <f t="shared" si="0"/>
        <v>0.67500000000000004</v>
      </c>
      <c r="R56" s="53">
        <v>16.3</v>
      </c>
      <c r="S56" s="53">
        <v>105</v>
      </c>
      <c r="T56" s="16">
        <f t="shared" si="1"/>
        <v>33</v>
      </c>
      <c r="U56" s="53">
        <v>646</v>
      </c>
      <c r="V56" s="16">
        <f t="shared" si="2"/>
        <v>4263.5999999999995</v>
      </c>
      <c r="W56" s="53">
        <v>6</v>
      </c>
      <c r="X56" s="53" t="s">
        <v>46</v>
      </c>
      <c r="Y56" s="53" t="s">
        <v>88</v>
      </c>
      <c r="Z56" s="53" t="s">
        <v>97</v>
      </c>
      <c r="AA56" s="53" t="s">
        <v>64</v>
      </c>
      <c r="AB56" s="53" t="s">
        <v>158</v>
      </c>
    </row>
    <row r="57" spans="1:28" x14ac:dyDescent="0.15">
      <c r="A57" s="53" t="s">
        <v>56</v>
      </c>
      <c r="B57" s="53" t="s">
        <v>232</v>
      </c>
      <c r="C57" s="53">
        <v>2019</v>
      </c>
      <c r="D57" s="81" t="s">
        <v>233</v>
      </c>
      <c r="E57" s="53" t="s">
        <v>257</v>
      </c>
      <c r="F57" s="53" t="s">
        <v>250</v>
      </c>
      <c r="G57" s="53" t="s">
        <v>42</v>
      </c>
      <c r="H57" s="53" t="s">
        <v>164</v>
      </c>
      <c r="I57" s="53" t="s">
        <v>159</v>
      </c>
      <c r="J57" s="53" t="s">
        <v>38</v>
      </c>
      <c r="K57" s="53" t="s">
        <v>161</v>
      </c>
      <c r="L57" s="53">
        <v>2</v>
      </c>
      <c r="N57" s="53">
        <v>5</v>
      </c>
      <c r="O57" s="53">
        <v>0.75</v>
      </c>
      <c r="P57" s="53">
        <v>0.8</v>
      </c>
      <c r="Q57" s="16">
        <f t="shared" si="0"/>
        <v>0.77500000000000002</v>
      </c>
      <c r="R57" s="53">
        <v>15.3</v>
      </c>
      <c r="S57" s="53">
        <v>108</v>
      </c>
      <c r="T57" s="16">
        <f t="shared" si="1"/>
        <v>33</v>
      </c>
      <c r="U57" s="53">
        <v>646</v>
      </c>
      <c r="V57" s="16">
        <f t="shared" si="2"/>
        <v>4263.5999999999995</v>
      </c>
      <c r="W57" s="53">
        <v>6</v>
      </c>
      <c r="X57" s="53" t="s">
        <v>46</v>
      </c>
      <c r="Y57" s="53" t="s">
        <v>88</v>
      </c>
      <c r="Z57" s="53" t="s">
        <v>97</v>
      </c>
      <c r="AA57" s="53" t="s">
        <v>64</v>
      </c>
      <c r="AB57" s="53" t="s">
        <v>158</v>
      </c>
    </row>
    <row r="58" spans="1:28" x14ac:dyDescent="0.15">
      <c r="A58" s="53" t="s">
        <v>56</v>
      </c>
      <c r="B58" s="53" t="s">
        <v>232</v>
      </c>
      <c r="C58" s="53">
        <v>2019</v>
      </c>
      <c r="D58" s="81" t="s">
        <v>233</v>
      </c>
      <c r="E58" s="53" t="s">
        <v>257</v>
      </c>
      <c r="F58" s="53" t="s">
        <v>250</v>
      </c>
      <c r="G58" s="53" t="s">
        <v>42</v>
      </c>
      <c r="H58" s="53" t="s">
        <v>164</v>
      </c>
      <c r="I58" s="53" t="s">
        <v>159</v>
      </c>
      <c r="J58" s="53" t="s">
        <v>38</v>
      </c>
      <c r="K58" s="53" t="s">
        <v>161</v>
      </c>
      <c r="L58" s="53">
        <v>3</v>
      </c>
      <c r="N58" s="53">
        <v>5</v>
      </c>
      <c r="O58" s="53">
        <v>0.55000000000000004</v>
      </c>
      <c r="P58" s="53">
        <v>0.6</v>
      </c>
      <c r="Q58" s="16">
        <f t="shared" si="0"/>
        <v>0.57499999999999996</v>
      </c>
      <c r="R58" s="53">
        <v>16.600000000000001</v>
      </c>
      <c r="S58" s="53">
        <v>108</v>
      </c>
      <c r="T58" s="16">
        <f t="shared" si="1"/>
        <v>33</v>
      </c>
      <c r="U58" s="53">
        <v>646</v>
      </c>
      <c r="V58" s="16">
        <f t="shared" si="2"/>
        <v>4263.5999999999995</v>
      </c>
      <c r="W58" s="53">
        <v>6</v>
      </c>
      <c r="X58" s="53" t="s">
        <v>46</v>
      </c>
      <c r="Y58" s="53" t="s">
        <v>88</v>
      </c>
      <c r="Z58" s="53" t="s">
        <v>97</v>
      </c>
      <c r="AA58" s="53" t="s">
        <v>64</v>
      </c>
      <c r="AB58" s="53" t="s">
        <v>158</v>
      </c>
    </row>
    <row r="59" spans="1:28" x14ac:dyDescent="0.15">
      <c r="A59" s="53" t="s">
        <v>56</v>
      </c>
      <c r="B59" s="53" t="s">
        <v>232</v>
      </c>
      <c r="C59" s="53">
        <v>2019</v>
      </c>
      <c r="D59" s="81" t="s">
        <v>233</v>
      </c>
      <c r="E59" s="53" t="s">
        <v>257</v>
      </c>
      <c r="F59" s="53" t="s">
        <v>250</v>
      </c>
      <c r="G59" s="53" t="s">
        <v>42</v>
      </c>
      <c r="H59" s="53" t="s">
        <v>160</v>
      </c>
      <c r="I59" s="53" t="s">
        <v>159</v>
      </c>
      <c r="J59" s="53" t="s">
        <v>38</v>
      </c>
      <c r="K59" s="53" t="s">
        <v>161</v>
      </c>
      <c r="L59" s="53">
        <v>1</v>
      </c>
      <c r="N59" s="53">
        <v>5</v>
      </c>
      <c r="O59" s="53">
        <v>0.7</v>
      </c>
      <c r="P59" s="53">
        <v>0.7</v>
      </c>
      <c r="Q59" s="16">
        <f t="shared" si="0"/>
        <v>0.7</v>
      </c>
      <c r="R59" s="53">
        <v>15.8</v>
      </c>
      <c r="S59" s="53">
        <v>91</v>
      </c>
      <c r="T59" s="16">
        <f t="shared" si="1"/>
        <v>36</v>
      </c>
      <c r="U59" s="53">
        <v>430</v>
      </c>
      <c r="V59" s="16">
        <f t="shared" si="2"/>
        <v>3096</v>
      </c>
      <c r="W59" s="53">
        <v>6</v>
      </c>
      <c r="X59" s="53" t="s">
        <v>46</v>
      </c>
      <c r="Y59" s="53" t="s">
        <v>88</v>
      </c>
      <c r="Z59" s="53" t="s">
        <v>97</v>
      </c>
      <c r="AA59" s="53" t="s">
        <v>64</v>
      </c>
      <c r="AB59" s="53" t="s">
        <v>158</v>
      </c>
    </row>
    <row r="60" spans="1:28" x14ac:dyDescent="0.15">
      <c r="A60" s="53" t="s">
        <v>56</v>
      </c>
      <c r="B60" s="53" t="s">
        <v>232</v>
      </c>
      <c r="C60" s="53">
        <v>2019</v>
      </c>
      <c r="D60" s="81" t="s">
        <v>233</v>
      </c>
      <c r="E60" s="53" t="s">
        <v>257</v>
      </c>
      <c r="F60" s="53" t="s">
        <v>250</v>
      </c>
      <c r="G60" s="53" t="s">
        <v>42</v>
      </c>
      <c r="H60" s="53" t="s">
        <v>160</v>
      </c>
      <c r="I60" s="53" t="s">
        <v>159</v>
      </c>
      <c r="J60" s="53" t="s">
        <v>38</v>
      </c>
      <c r="K60" s="53" t="s">
        <v>161</v>
      </c>
      <c r="L60" s="53">
        <v>2</v>
      </c>
      <c r="N60" s="53">
        <v>5</v>
      </c>
      <c r="O60" s="53">
        <v>0.75</v>
      </c>
      <c r="P60" s="53">
        <v>0.75</v>
      </c>
      <c r="Q60" s="16">
        <f t="shared" si="0"/>
        <v>0.75</v>
      </c>
      <c r="R60" s="53">
        <v>13.8</v>
      </c>
      <c r="S60" s="53">
        <v>91</v>
      </c>
      <c r="T60" s="16">
        <f t="shared" si="1"/>
        <v>36</v>
      </c>
      <c r="U60" s="53">
        <v>430</v>
      </c>
      <c r="V60" s="16">
        <f t="shared" si="2"/>
        <v>3096</v>
      </c>
      <c r="W60" s="53">
        <v>6</v>
      </c>
      <c r="X60" s="53" t="s">
        <v>46</v>
      </c>
      <c r="Y60" s="53" t="s">
        <v>88</v>
      </c>
      <c r="Z60" s="53" t="s">
        <v>97</v>
      </c>
      <c r="AA60" s="53" t="s">
        <v>64</v>
      </c>
      <c r="AB60" s="53" t="s">
        <v>158</v>
      </c>
    </row>
    <row r="61" spans="1:28" x14ac:dyDescent="0.15">
      <c r="A61" s="53" t="s">
        <v>56</v>
      </c>
      <c r="B61" s="53" t="s">
        <v>232</v>
      </c>
      <c r="C61" s="53">
        <v>2019</v>
      </c>
      <c r="D61" s="81" t="s">
        <v>233</v>
      </c>
      <c r="E61" s="53" t="s">
        <v>257</v>
      </c>
      <c r="F61" s="53" t="s">
        <v>250</v>
      </c>
      <c r="G61" s="53" t="s">
        <v>42</v>
      </c>
      <c r="H61" s="53" t="s">
        <v>160</v>
      </c>
      <c r="I61" s="53" t="s">
        <v>159</v>
      </c>
      <c r="J61" s="53" t="s">
        <v>38</v>
      </c>
      <c r="K61" s="53" t="s">
        <v>161</v>
      </c>
      <c r="L61" s="53">
        <v>3</v>
      </c>
      <c r="N61" s="53">
        <v>5</v>
      </c>
      <c r="O61" s="53">
        <v>0.65</v>
      </c>
      <c r="P61" s="53">
        <v>0.6</v>
      </c>
      <c r="Q61" s="16">
        <f t="shared" si="0"/>
        <v>0.625</v>
      </c>
      <c r="R61" s="53">
        <v>13.4</v>
      </c>
      <c r="S61" s="53">
        <v>92</v>
      </c>
      <c r="T61" s="16">
        <f t="shared" si="1"/>
        <v>36</v>
      </c>
      <c r="U61" s="53">
        <v>430</v>
      </c>
      <c r="V61" s="16">
        <f t="shared" si="2"/>
        <v>3096</v>
      </c>
      <c r="W61" s="53">
        <v>6</v>
      </c>
      <c r="X61" s="53" t="s">
        <v>46</v>
      </c>
      <c r="Y61" s="53" t="s">
        <v>88</v>
      </c>
      <c r="Z61" s="53" t="s">
        <v>97</v>
      </c>
      <c r="AA61" s="53" t="s">
        <v>64</v>
      </c>
      <c r="AB61" s="53" t="s">
        <v>158</v>
      </c>
    </row>
    <row r="62" spans="1:28" x14ac:dyDescent="0.15">
      <c r="D62" s="81"/>
    </row>
    <row r="63" spans="1:28" x14ac:dyDescent="0.15">
      <c r="D63" s="81"/>
    </row>
    <row r="64" spans="1:28" x14ac:dyDescent="0.15">
      <c r="D64" s="81"/>
    </row>
    <row r="65" spans="4:4" x14ac:dyDescent="0.15">
      <c r="D65" s="81"/>
    </row>
    <row r="66" spans="4:4" x14ac:dyDescent="0.15">
      <c r="D66" s="81"/>
    </row>
    <row r="67" spans="4:4" x14ac:dyDescent="0.15">
      <c r="D67" s="81"/>
    </row>
    <row r="68" spans="4:4" x14ac:dyDescent="0.15">
      <c r="D68" s="81"/>
    </row>
    <row r="69" spans="4:4" x14ac:dyDescent="0.15">
      <c r="D69" s="81"/>
    </row>
    <row r="70" spans="4:4" x14ac:dyDescent="0.15">
      <c r="D70" s="81"/>
    </row>
    <row r="71" spans="4:4" x14ac:dyDescent="0.15">
      <c r="D71" s="81"/>
    </row>
    <row r="72" spans="4:4" x14ac:dyDescent="0.15">
      <c r="D72" s="81"/>
    </row>
    <row r="73" spans="4:4" x14ac:dyDescent="0.15">
      <c r="D73" s="81"/>
    </row>
    <row r="74" spans="4:4" x14ac:dyDescent="0.15">
      <c r="D74" s="81"/>
    </row>
    <row r="75" spans="4:4" x14ac:dyDescent="0.15">
      <c r="D75" s="81"/>
    </row>
    <row r="76" spans="4:4" x14ac:dyDescent="0.15">
      <c r="D76" s="81"/>
    </row>
    <row r="77" spans="4:4" x14ac:dyDescent="0.15">
      <c r="D77" s="81"/>
    </row>
    <row r="78" spans="4:4" x14ac:dyDescent="0.15">
      <c r="D78" s="81"/>
    </row>
    <row r="79" spans="4:4" x14ac:dyDescent="0.15">
      <c r="D79" s="81"/>
    </row>
    <row r="80" spans="4:4" x14ac:dyDescent="0.15">
      <c r="D80" s="81"/>
    </row>
    <row r="81" spans="4:4" x14ac:dyDescent="0.15">
      <c r="D81" s="81"/>
    </row>
    <row r="82" spans="4:4" x14ac:dyDescent="0.15">
      <c r="D82" s="81"/>
    </row>
  </sheetData>
  <autoFilter ref="A1:BA52" xr:uid="{00000000-0009-0000-0000-000002000000}"/>
  <phoneticPr fontId="3"/>
  <dataValidations count="18">
    <dataValidation type="list" allowBlank="1" showInputMessage="1" showErrorMessage="1" sqref="K2:K450" xr:uid="{2026AD36-1A8A-4CBE-85D7-EDE612E8CEE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3A1CDD7B-9F67-4D06-A362-94968615BC60}">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296BDC81-C07C-4530-B277-9368DB54EBF2}">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89C03149-5EEE-4B2E-B00F-835A1225E3C9}">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121B840A-E985-4266-AEAD-FC5C7C676CC9}">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D0CDF772-4AF3-4C22-A48E-E3DE0E2B821C}"/>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562A7BE7-FE2E-4F4C-AB20-ABF3C78B3A1B}">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3D9FD9DA-1520-4AEF-94AC-7449E0858418}">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E14A182A-264F-48FA-B116-C679EE580FD9}">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CF11D023-3C08-4CF4-894B-4FA718C81782}">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F94BBB1F-3CC3-4E68-A798-5CAD93CDE81D}">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D14CF1AE-190C-4591-B921-F6F6B064034A}">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C1470DC8-FDB7-4BB1-A6DF-0C3157185AAC}">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08EC23E4-F801-4462-A316-883C8D1DC90C}">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7ED54651-9CC1-447E-8C55-0588DA96ABD3}">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P2:P500 O62:O500" xr:uid="{89EB1C25-28E0-476D-A18C-D82DB0FAECD5}">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BBAA144F-7772-4E3A-9B6B-76AEFCA2189B}">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8DEC43AA-2E75-4A2F-9042-A17C0666B3AE}">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649E9-FECE-4D86-8FB2-9A39D1DA1049}">
  <dimension ref="A1:BA91"/>
  <sheetViews>
    <sheetView topLeftCell="A25" zoomScale="70" zoomScaleNormal="70" workbookViewId="0">
      <selection activeCell="AE49" sqref="AE49"/>
    </sheetView>
  </sheetViews>
  <sheetFormatPr defaultColWidth="9" defaultRowHeight="13.5" x14ac:dyDescent="0.15"/>
  <cols>
    <col min="1" max="3" width="9" style="93"/>
    <col min="4" max="4" width="10.5" style="93" customWidth="1"/>
    <col min="5" max="16" width="9" style="93"/>
    <col min="17" max="17" width="9" style="103"/>
    <col min="18" max="18" width="9" style="93"/>
    <col min="19" max="19" width="9.5" style="93" customWidth="1"/>
    <col min="20" max="20" width="9" style="103"/>
    <col min="21" max="21" width="9" style="93"/>
    <col min="22" max="22" width="9" style="103"/>
    <col min="23" max="23" width="10.5" style="93" customWidth="1"/>
    <col min="24" max="32" width="9" style="93"/>
    <col min="33" max="33" width="19.625" style="93" customWidth="1"/>
    <col min="34" max="34" width="9.375" style="93" customWidth="1"/>
    <col min="35" max="259" width="9" style="93"/>
    <col min="260" max="260" width="10.5" style="93" customWidth="1"/>
    <col min="261" max="274" width="9" style="93"/>
    <col min="275" max="275" width="9.5" style="93" customWidth="1"/>
    <col min="276" max="278" width="9" style="93"/>
    <col min="279" max="279" width="10.5" style="93" customWidth="1"/>
    <col min="280" max="515" width="9" style="93"/>
    <col min="516" max="516" width="10.5" style="93" customWidth="1"/>
    <col min="517" max="530" width="9" style="93"/>
    <col min="531" max="531" width="9.5" style="93" customWidth="1"/>
    <col min="532" max="534" width="9" style="93"/>
    <col min="535" max="535" width="10.5" style="93" customWidth="1"/>
    <col min="536" max="771" width="9" style="93"/>
    <col min="772" max="772" width="10.5" style="93" customWidth="1"/>
    <col min="773" max="786" width="9" style="93"/>
    <col min="787" max="787" width="9.5" style="93" customWidth="1"/>
    <col min="788" max="790" width="9" style="93"/>
    <col min="791" max="791" width="10.5" style="93" customWidth="1"/>
    <col min="792" max="1027" width="9" style="93"/>
    <col min="1028" max="1028" width="10.5" style="93" customWidth="1"/>
    <col min="1029" max="1042" width="9" style="93"/>
    <col min="1043" max="1043" width="9.5" style="93" customWidth="1"/>
    <col min="1044" max="1046" width="9" style="93"/>
    <col min="1047" max="1047" width="10.5" style="93" customWidth="1"/>
    <col min="1048" max="1283" width="9" style="93"/>
    <col min="1284" max="1284" width="10.5" style="93" customWidth="1"/>
    <col min="1285" max="1298" width="9" style="93"/>
    <col min="1299" max="1299" width="9.5" style="93" customWidth="1"/>
    <col min="1300" max="1302" width="9" style="93"/>
    <col min="1303" max="1303" width="10.5" style="93" customWidth="1"/>
    <col min="1304" max="1539" width="9" style="93"/>
    <col min="1540" max="1540" width="10.5" style="93" customWidth="1"/>
    <col min="1541" max="1554" width="9" style="93"/>
    <col min="1555" max="1555" width="9.5" style="93" customWidth="1"/>
    <col min="1556" max="1558" width="9" style="93"/>
    <col min="1559" max="1559" width="10.5" style="93" customWidth="1"/>
    <col min="1560" max="1795" width="9" style="93"/>
    <col min="1796" max="1796" width="10.5" style="93" customWidth="1"/>
    <col min="1797" max="1810" width="9" style="93"/>
    <col min="1811" max="1811" width="9.5" style="93" customWidth="1"/>
    <col min="1812" max="1814" width="9" style="93"/>
    <col min="1815" max="1815" width="10.5" style="93" customWidth="1"/>
    <col min="1816" max="2051" width="9" style="93"/>
    <col min="2052" max="2052" width="10.5" style="93" customWidth="1"/>
    <col min="2053" max="2066" width="9" style="93"/>
    <col min="2067" max="2067" width="9.5" style="93" customWidth="1"/>
    <col min="2068" max="2070" width="9" style="93"/>
    <col min="2071" max="2071" width="10.5" style="93" customWidth="1"/>
    <col min="2072" max="2307" width="9" style="93"/>
    <col min="2308" max="2308" width="10.5" style="93" customWidth="1"/>
    <col min="2309" max="2322" width="9" style="93"/>
    <col min="2323" max="2323" width="9.5" style="93" customWidth="1"/>
    <col min="2324" max="2326" width="9" style="93"/>
    <col min="2327" max="2327" width="10.5" style="93" customWidth="1"/>
    <col min="2328" max="2563" width="9" style="93"/>
    <col min="2564" max="2564" width="10.5" style="93" customWidth="1"/>
    <col min="2565" max="2578" width="9" style="93"/>
    <col min="2579" max="2579" width="9.5" style="93" customWidth="1"/>
    <col min="2580" max="2582" width="9" style="93"/>
    <col min="2583" max="2583" width="10.5" style="93" customWidth="1"/>
    <col min="2584" max="2819" width="9" style="93"/>
    <col min="2820" max="2820" width="10.5" style="93" customWidth="1"/>
    <col min="2821" max="2834" width="9" style="93"/>
    <col min="2835" max="2835" width="9.5" style="93" customWidth="1"/>
    <col min="2836" max="2838" width="9" style="93"/>
    <col min="2839" max="2839" width="10.5" style="93" customWidth="1"/>
    <col min="2840" max="3075" width="9" style="93"/>
    <col min="3076" max="3076" width="10.5" style="93" customWidth="1"/>
    <col min="3077" max="3090" width="9" style="93"/>
    <col min="3091" max="3091" width="9.5" style="93" customWidth="1"/>
    <col min="3092" max="3094" width="9" style="93"/>
    <col min="3095" max="3095" width="10.5" style="93" customWidth="1"/>
    <col min="3096" max="3331" width="9" style="93"/>
    <col min="3332" max="3332" width="10.5" style="93" customWidth="1"/>
    <col min="3333" max="3346" width="9" style="93"/>
    <col min="3347" max="3347" width="9.5" style="93" customWidth="1"/>
    <col min="3348" max="3350" width="9" style="93"/>
    <col min="3351" max="3351" width="10.5" style="93" customWidth="1"/>
    <col min="3352" max="3587" width="9" style="93"/>
    <col min="3588" max="3588" width="10.5" style="93" customWidth="1"/>
    <col min="3589" max="3602" width="9" style="93"/>
    <col min="3603" max="3603" width="9.5" style="93" customWidth="1"/>
    <col min="3604" max="3606" width="9" style="93"/>
    <col min="3607" max="3607" width="10.5" style="93" customWidth="1"/>
    <col min="3608" max="3843" width="9" style="93"/>
    <col min="3844" max="3844" width="10.5" style="93" customWidth="1"/>
    <col min="3845" max="3858" width="9" style="93"/>
    <col min="3859" max="3859" width="9.5" style="93" customWidth="1"/>
    <col min="3860" max="3862" width="9" style="93"/>
    <col min="3863" max="3863" width="10.5" style="93" customWidth="1"/>
    <col min="3864" max="4099" width="9" style="93"/>
    <col min="4100" max="4100" width="10.5" style="93" customWidth="1"/>
    <col min="4101" max="4114" width="9" style="93"/>
    <col min="4115" max="4115" width="9.5" style="93" customWidth="1"/>
    <col min="4116" max="4118" width="9" style="93"/>
    <col min="4119" max="4119" width="10.5" style="93" customWidth="1"/>
    <col min="4120" max="4355" width="9" style="93"/>
    <col min="4356" max="4356" width="10.5" style="93" customWidth="1"/>
    <col min="4357" max="4370" width="9" style="93"/>
    <col min="4371" max="4371" width="9.5" style="93" customWidth="1"/>
    <col min="4372" max="4374" width="9" style="93"/>
    <col min="4375" max="4375" width="10.5" style="93" customWidth="1"/>
    <col min="4376" max="4611" width="9" style="93"/>
    <col min="4612" max="4612" width="10.5" style="93" customWidth="1"/>
    <col min="4613" max="4626" width="9" style="93"/>
    <col min="4627" max="4627" width="9.5" style="93" customWidth="1"/>
    <col min="4628" max="4630" width="9" style="93"/>
    <col min="4631" max="4631" width="10.5" style="93" customWidth="1"/>
    <col min="4632" max="4867" width="9" style="93"/>
    <col min="4868" max="4868" width="10.5" style="93" customWidth="1"/>
    <col min="4869" max="4882" width="9" style="93"/>
    <col min="4883" max="4883" width="9.5" style="93" customWidth="1"/>
    <col min="4884" max="4886" width="9" style="93"/>
    <col min="4887" max="4887" width="10.5" style="93" customWidth="1"/>
    <col min="4888" max="5123" width="9" style="93"/>
    <col min="5124" max="5124" width="10.5" style="93" customWidth="1"/>
    <col min="5125" max="5138" width="9" style="93"/>
    <col min="5139" max="5139" width="9.5" style="93" customWidth="1"/>
    <col min="5140" max="5142" width="9" style="93"/>
    <col min="5143" max="5143" width="10.5" style="93" customWidth="1"/>
    <col min="5144" max="5379" width="9" style="93"/>
    <col min="5380" max="5380" width="10.5" style="93" customWidth="1"/>
    <col min="5381" max="5394" width="9" style="93"/>
    <col min="5395" max="5395" width="9.5" style="93" customWidth="1"/>
    <col min="5396" max="5398" width="9" style="93"/>
    <col min="5399" max="5399" width="10.5" style="93" customWidth="1"/>
    <col min="5400" max="5635" width="9" style="93"/>
    <col min="5636" max="5636" width="10.5" style="93" customWidth="1"/>
    <col min="5637" max="5650" width="9" style="93"/>
    <col min="5651" max="5651" width="9.5" style="93" customWidth="1"/>
    <col min="5652" max="5654" width="9" style="93"/>
    <col min="5655" max="5655" width="10.5" style="93" customWidth="1"/>
    <col min="5656" max="5891" width="9" style="93"/>
    <col min="5892" max="5892" width="10.5" style="93" customWidth="1"/>
    <col min="5893" max="5906" width="9" style="93"/>
    <col min="5907" max="5907" width="9.5" style="93" customWidth="1"/>
    <col min="5908" max="5910" width="9" style="93"/>
    <col min="5911" max="5911" width="10.5" style="93" customWidth="1"/>
    <col min="5912" max="6147" width="9" style="93"/>
    <col min="6148" max="6148" width="10.5" style="93" customWidth="1"/>
    <col min="6149" max="6162" width="9" style="93"/>
    <col min="6163" max="6163" width="9.5" style="93" customWidth="1"/>
    <col min="6164" max="6166" width="9" style="93"/>
    <col min="6167" max="6167" width="10.5" style="93" customWidth="1"/>
    <col min="6168" max="6403" width="9" style="93"/>
    <col min="6404" max="6404" width="10.5" style="93" customWidth="1"/>
    <col min="6405" max="6418" width="9" style="93"/>
    <col min="6419" max="6419" width="9.5" style="93" customWidth="1"/>
    <col min="6420" max="6422" width="9" style="93"/>
    <col min="6423" max="6423" width="10.5" style="93" customWidth="1"/>
    <col min="6424" max="6659" width="9" style="93"/>
    <col min="6660" max="6660" width="10.5" style="93" customWidth="1"/>
    <col min="6661" max="6674" width="9" style="93"/>
    <col min="6675" max="6675" width="9.5" style="93" customWidth="1"/>
    <col min="6676" max="6678" width="9" style="93"/>
    <col min="6679" max="6679" width="10.5" style="93" customWidth="1"/>
    <col min="6680" max="6915" width="9" style="93"/>
    <col min="6916" max="6916" width="10.5" style="93" customWidth="1"/>
    <col min="6917" max="6930" width="9" style="93"/>
    <col min="6931" max="6931" width="9.5" style="93" customWidth="1"/>
    <col min="6932" max="6934" width="9" style="93"/>
    <col min="6935" max="6935" width="10.5" style="93" customWidth="1"/>
    <col min="6936" max="7171" width="9" style="93"/>
    <col min="7172" max="7172" width="10.5" style="93" customWidth="1"/>
    <col min="7173" max="7186" width="9" style="93"/>
    <col min="7187" max="7187" width="9.5" style="93" customWidth="1"/>
    <col min="7188" max="7190" width="9" style="93"/>
    <col min="7191" max="7191" width="10.5" style="93" customWidth="1"/>
    <col min="7192" max="7427" width="9" style="93"/>
    <col min="7428" max="7428" width="10.5" style="93" customWidth="1"/>
    <col min="7429" max="7442" width="9" style="93"/>
    <col min="7443" max="7443" width="9.5" style="93" customWidth="1"/>
    <col min="7444" max="7446" width="9" style="93"/>
    <col min="7447" max="7447" width="10.5" style="93" customWidth="1"/>
    <col min="7448" max="7683" width="9" style="93"/>
    <col min="7684" max="7684" width="10.5" style="93" customWidth="1"/>
    <col min="7685" max="7698" width="9" style="93"/>
    <col min="7699" max="7699" width="9.5" style="93" customWidth="1"/>
    <col min="7700" max="7702" width="9" style="93"/>
    <col min="7703" max="7703" width="10.5" style="93" customWidth="1"/>
    <col min="7704" max="7939" width="9" style="93"/>
    <col min="7940" max="7940" width="10.5" style="93" customWidth="1"/>
    <col min="7941" max="7954" width="9" style="93"/>
    <col min="7955" max="7955" width="9.5" style="93" customWidth="1"/>
    <col min="7956" max="7958" width="9" style="93"/>
    <col min="7959" max="7959" width="10.5" style="93" customWidth="1"/>
    <col min="7960" max="8195" width="9" style="93"/>
    <col min="8196" max="8196" width="10.5" style="93" customWidth="1"/>
    <col min="8197" max="8210" width="9" style="93"/>
    <col min="8211" max="8211" width="9.5" style="93" customWidth="1"/>
    <col min="8212" max="8214" width="9" style="93"/>
    <col min="8215" max="8215" width="10.5" style="93" customWidth="1"/>
    <col min="8216" max="8451" width="9" style="93"/>
    <col min="8452" max="8452" width="10.5" style="93" customWidth="1"/>
    <col min="8453" max="8466" width="9" style="93"/>
    <col min="8467" max="8467" width="9.5" style="93" customWidth="1"/>
    <col min="8468" max="8470" width="9" style="93"/>
    <col min="8471" max="8471" width="10.5" style="93" customWidth="1"/>
    <col min="8472" max="8707" width="9" style="93"/>
    <col min="8708" max="8708" width="10.5" style="93" customWidth="1"/>
    <col min="8709" max="8722" width="9" style="93"/>
    <col min="8723" max="8723" width="9.5" style="93" customWidth="1"/>
    <col min="8724" max="8726" width="9" style="93"/>
    <col min="8727" max="8727" width="10.5" style="93" customWidth="1"/>
    <col min="8728" max="8963" width="9" style="93"/>
    <col min="8964" max="8964" width="10.5" style="93" customWidth="1"/>
    <col min="8965" max="8978" width="9" style="93"/>
    <col min="8979" max="8979" width="9.5" style="93" customWidth="1"/>
    <col min="8980" max="8982" width="9" style="93"/>
    <col min="8983" max="8983" width="10.5" style="93" customWidth="1"/>
    <col min="8984" max="9219" width="9" style="93"/>
    <col min="9220" max="9220" width="10.5" style="93" customWidth="1"/>
    <col min="9221" max="9234" width="9" style="93"/>
    <col min="9235" max="9235" width="9.5" style="93" customWidth="1"/>
    <col min="9236" max="9238" width="9" style="93"/>
    <col min="9239" max="9239" width="10.5" style="93" customWidth="1"/>
    <col min="9240" max="9475" width="9" style="93"/>
    <col min="9476" max="9476" width="10.5" style="93" customWidth="1"/>
    <col min="9477" max="9490" width="9" style="93"/>
    <col min="9491" max="9491" width="9.5" style="93" customWidth="1"/>
    <col min="9492" max="9494" width="9" style="93"/>
    <col min="9495" max="9495" width="10.5" style="93" customWidth="1"/>
    <col min="9496" max="9731" width="9" style="93"/>
    <col min="9732" max="9732" width="10.5" style="93" customWidth="1"/>
    <col min="9733" max="9746" width="9" style="93"/>
    <col min="9747" max="9747" width="9.5" style="93" customWidth="1"/>
    <col min="9748" max="9750" width="9" style="93"/>
    <col min="9751" max="9751" width="10.5" style="93" customWidth="1"/>
    <col min="9752" max="9987" width="9" style="93"/>
    <col min="9988" max="9988" width="10.5" style="93" customWidth="1"/>
    <col min="9989" max="10002" width="9" style="93"/>
    <col min="10003" max="10003" width="9.5" style="93" customWidth="1"/>
    <col min="10004" max="10006" width="9" style="93"/>
    <col min="10007" max="10007" width="10.5" style="93" customWidth="1"/>
    <col min="10008" max="10243" width="9" style="93"/>
    <col min="10244" max="10244" width="10.5" style="93" customWidth="1"/>
    <col min="10245" max="10258" width="9" style="93"/>
    <col min="10259" max="10259" width="9.5" style="93" customWidth="1"/>
    <col min="10260" max="10262" width="9" style="93"/>
    <col min="10263" max="10263" width="10.5" style="93" customWidth="1"/>
    <col min="10264" max="10499" width="9" style="93"/>
    <col min="10500" max="10500" width="10.5" style="93" customWidth="1"/>
    <col min="10501" max="10514" width="9" style="93"/>
    <col min="10515" max="10515" width="9.5" style="93" customWidth="1"/>
    <col min="10516" max="10518" width="9" style="93"/>
    <col min="10519" max="10519" width="10.5" style="93" customWidth="1"/>
    <col min="10520" max="10755" width="9" style="93"/>
    <col min="10756" max="10756" width="10.5" style="93" customWidth="1"/>
    <col min="10757" max="10770" width="9" style="93"/>
    <col min="10771" max="10771" width="9.5" style="93" customWidth="1"/>
    <col min="10772" max="10774" width="9" style="93"/>
    <col min="10775" max="10775" width="10.5" style="93" customWidth="1"/>
    <col min="10776" max="11011" width="9" style="93"/>
    <col min="11012" max="11012" width="10.5" style="93" customWidth="1"/>
    <col min="11013" max="11026" width="9" style="93"/>
    <col min="11027" max="11027" width="9.5" style="93" customWidth="1"/>
    <col min="11028" max="11030" width="9" style="93"/>
    <col min="11031" max="11031" width="10.5" style="93" customWidth="1"/>
    <col min="11032" max="11267" width="9" style="93"/>
    <col min="11268" max="11268" width="10.5" style="93" customWidth="1"/>
    <col min="11269" max="11282" width="9" style="93"/>
    <col min="11283" max="11283" width="9.5" style="93" customWidth="1"/>
    <col min="11284" max="11286" width="9" style="93"/>
    <col min="11287" max="11287" width="10.5" style="93" customWidth="1"/>
    <col min="11288" max="11523" width="9" style="93"/>
    <col min="11524" max="11524" width="10.5" style="93" customWidth="1"/>
    <col min="11525" max="11538" width="9" style="93"/>
    <col min="11539" max="11539" width="9.5" style="93" customWidth="1"/>
    <col min="11540" max="11542" width="9" style="93"/>
    <col min="11543" max="11543" width="10.5" style="93" customWidth="1"/>
    <col min="11544" max="11779" width="9" style="93"/>
    <col min="11780" max="11780" width="10.5" style="93" customWidth="1"/>
    <col min="11781" max="11794" width="9" style="93"/>
    <col min="11795" max="11795" width="9.5" style="93" customWidth="1"/>
    <col min="11796" max="11798" width="9" style="93"/>
    <col min="11799" max="11799" width="10.5" style="93" customWidth="1"/>
    <col min="11800" max="12035" width="9" style="93"/>
    <col min="12036" max="12036" width="10.5" style="93" customWidth="1"/>
    <col min="12037" max="12050" width="9" style="93"/>
    <col min="12051" max="12051" width="9.5" style="93" customWidth="1"/>
    <col min="12052" max="12054" width="9" style="93"/>
    <col min="12055" max="12055" width="10.5" style="93" customWidth="1"/>
    <col min="12056" max="12291" width="9" style="93"/>
    <col min="12292" max="12292" width="10.5" style="93" customWidth="1"/>
    <col min="12293" max="12306" width="9" style="93"/>
    <col min="12307" max="12307" width="9.5" style="93" customWidth="1"/>
    <col min="12308" max="12310" width="9" style="93"/>
    <col min="12311" max="12311" width="10.5" style="93" customWidth="1"/>
    <col min="12312" max="12547" width="9" style="93"/>
    <col min="12548" max="12548" width="10.5" style="93" customWidth="1"/>
    <col min="12549" max="12562" width="9" style="93"/>
    <col min="12563" max="12563" width="9.5" style="93" customWidth="1"/>
    <col min="12564" max="12566" width="9" style="93"/>
    <col min="12567" max="12567" width="10.5" style="93" customWidth="1"/>
    <col min="12568" max="12803" width="9" style="93"/>
    <col min="12804" max="12804" width="10.5" style="93" customWidth="1"/>
    <col min="12805" max="12818" width="9" style="93"/>
    <col min="12819" max="12819" width="9.5" style="93" customWidth="1"/>
    <col min="12820" max="12822" width="9" style="93"/>
    <col min="12823" max="12823" width="10.5" style="93" customWidth="1"/>
    <col min="12824" max="13059" width="9" style="93"/>
    <col min="13060" max="13060" width="10.5" style="93" customWidth="1"/>
    <col min="13061" max="13074" width="9" style="93"/>
    <col min="13075" max="13075" width="9.5" style="93" customWidth="1"/>
    <col min="13076" max="13078" width="9" style="93"/>
    <col min="13079" max="13079" width="10.5" style="93" customWidth="1"/>
    <col min="13080" max="13315" width="9" style="93"/>
    <col min="13316" max="13316" width="10.5" style="93" customWidth="1"/>
    <col min="13317" max="13330" width="9" style="93"/>
    <col min="13331" max="13331" width="9.5" style="93" customWidth="1"/>
    <col min="13332" max="13334" width="9" style="93"/>
    <col min="13335" max="13335" width="10.5" style="93" customWidth="1"/>
    <col min="13336" max="13571" width="9" style="93"/>
    <col min="13572" max="13572" width="10.5" style="93" customWidth="1"/>
    <col min="13573" max="13586" width="9" style="93"/>
    <col min="13587" max="13587" width="9.5" style="93" customWidth="1"/>
    <col min="13588" max="13590" width="9" style="93"/>
    <col min="13591" max="13591" width="10.5" style="93" customWidth="1"/>
    <col min="13592" max="13827" width="9" style="93"/>
    <col min="13828" max="13828" width="10.5" style="93" customWidth="1"/>
    <col min="13829" max="13842" width="9" style="93"/>
    <col min="13843" max="13843" width="9.5" style="93" customWidth="1"/>
    <col min="13844" max="13846" width="9" style="93"/>
    <col min="13847" max="13847" width="10.5" style="93" customWidth="1"/>
    <col min="13848" max="14083" width="9" style="93"/>
    <col min="14084" max="14084" width="10.5" style="93" customWidth="1"/>
    <col min="14085" max="14098" width="9" style="93"/>
    <col min="14099" max="14099" width="9.5" style="93" customWidth="1"/>
    <col min="14100" max="14102" width="9" style="93"/>
    <col min="14103" max="14103" width="10.5" style="93" customWidth="1"/>
    <col min="14104" max="14339" width="9" style="93"/>
    <col min="14340" max="14340" width="10.5" style="93" customWidth="1"/>
    <col min="14341" max="14354" width="9" style="93"/>
    <col min="14355" max="14355" width="9.5" style="93" customWidth="1"/>
    <col min="14356" max="14358" width="9" style="93"/>
    <col min="14359" max="14359" width="10.5" style="93" customWidth="1"/>
    <col min="14360" max="14595" width="9" style="93"/>
    <col min="14596" max="14596" width="10.5" style="93" customWidth="1"/>
    <col min="14597" max="14610" width="9" style="93"/>
    <col min="14611" max="14611" width="9.5" style="93" customWidth="1"/>
    <col min="14612" max="14614" width="9" style="93"/>
    <col min="14615" max="14615" width="10.5" style="93" customWidth="1"/>
    <col min="14616" max="14851" width="9" style="93"/>
    <col min="14852" max="14852" width="10.5" style="93" customWidth="1"/>
    <col min="14853" max="14866" width="9" style="93"/>
    <col min="14867" max="14867" width="9.5" style="93" customWidth="1"/>
    <col min="14868" max="14870" width="9" style="93"/>
    <col min="14871" max="14871" width="10.5" style="93" customWidth="1"/>
    <col min="14872" max="15107" width="9" style="93"/>
    <col min="15108" max="15108" width="10.5" style="93" customWidth="1"/>
    <col min="15109" max="15122" width="9" style="93"/>
    <col min="15123" max="15123" width="9.5" style="93" customWidth="1"/>
    <col min="15124" max="15126" width="9" style="93"/>
    <col min="15127" max="15127" width="10.5" style="93" customWidth="1"/>
    <col min="15128" max="15363" width="9" style="93"/>
    <col min="15364" max="15364" width="10.5" style="93" customWidth="1"/>
    <col min="15365" max="15378" width="9" style="93"/>
    <col min="15379" max="15379" width="9.5" style="93" customWidth="1"/>
    <col min="15380" max="15382" width="9" style="93"/>
    <col min="15383" max="15383" width="10.5" style="93" customWidth="1"/>
    <col min="15384" max="15619" width="9" style="93"/>
    <col min="15620" max="15620" width="10.5" style="93" customWidth="1"/>
    <col min="15621" max="15634" width="9" style="93"/>
    <col min="15635" max="15635" width="9.5" style="93" customWidth="1"/>
    <col min="15636" max="15638" width="9" style="93"/>
    <col min="15639" max="15639" width="10.5" style="93" customWidth="1"/>
    <col min="15640" max="15875" width="9" style="93"/>
    <col min="15876" max="15876" width="10.5" style="93" customWidth="1"/>
    <col min="15877" max="15890" width="9" style="93"/>
    <col min="15891" max="15891" width="9.5" style="93" customWidth="1"/>
    <col min="15892" max="15894" width="9" style="93"/>
    <col min="15895" max="15895" width="10.5" style="93" customWidth="1"/>
    <col min="15896" max="16131" width="9" style="93"/>
    <col min="16132" max="16132" width="10.5" style="93" customWidth="1"/>
    <col min="16133" max="16146" width="9" style="93"/>
    <col min="16147" max="16147" width="9.5" style="93" customWidth="1"/>
    <col min="16148" max="16150" width="9" style="93"/>
    <col min="16151" max="16151" width="10.5" style="93" customWidth="1"/>
    <col min="16152" max="16384" width="9" style="93"/>
  </cols>
  <sheetData>
    <row r="1" spans="1:53" ht="45" x14ac:dyDescent="0.15">
      <c r="A1" s="84" t="s">
        <v>0</v>
      </c>
      <c r="B1" s="85" t="s">
        <v>167</v>
      </c>
      <c r="C1" s="85" t="s">
        <v>168</v>
      </c>
      <c r="D1" s="86" t="s">
        <v>3</v>
      </c>
      <c r="E1" s="87" t="s">
        <v>4</v>
      </c>
      <c r="F1" s="87" t="s">
        <v>5</v>
      </c>
      <c r="G1" s="87" t="s">
        <v>6</v>
      </c>
      <c r="H1" s="87" t="s">
        <v>7</v>
      </c>
      <c r="I1" s="87" t="s">
        <v>8</v>
      </c>
      <c r="J1" s="87" t="s">
        <v>9</v>
      </c>
      <c r="K1" s="87" t="s">
        <v>10</v>
      </c>
      <c r="L1" s="86" t="s">
        <v>169</v>
      </c>
      <c r="M1" s="86" t="s">
        <v>170</v>
      </c>
      <c r="N1" s="86" t="s">
        <v>13</v>
      </c>
      <c r="O1" s="86" t="s">
        <v>171</v>
      </c>
      <c r="P1" s="86" t="s">
        <v>172</v>
      </c>
      <c r="Q1" s="88" t="s">
        <v>173</v>
      </c>
      <c r="R1" s="86" t="s">
        <v>174</v>
      </c>
      <c r="S1" s="86" t="s">
        <v>175</v>
      </c>
      <c r="T1" s="88" t="s">
        <v>19</v>
      </c>
      <c r="U1" s="89" t="s">
        <v>108</v>
      </c>
      <c r="V1" s="90" t="s">
        <v>20</v>
      </c>
      <c r="W1" s="86" t="s">
        <v>176</v>
      </c>
      <c r="X1" s="87" t="s">
        <v>22</v>
      </c>
      <c r="Y1" s="87" t="s">
        <v>23</v>
      </c>
      <c r="Z1" s="87" t="s">
        <v>24</v>
      </c>
      <c r="AA1" s="91" t="s">
        <v>25</v>
      </c>
      <c r="AB1" s="92" t="s">
        <v>177</v>
      </c>
      <c r="AE1" s="94" t="s">
        <v>0</v>
      </c>
      <c r="AF1" s="95"/>
      <c r="AG1" s="94" t="s">
        <v>4</v>
      </c>
      <c r="AH1" s="94" t="s">
        <v>5</v>
      </c>
      <c r="AI1" s="95"/>
      <c r="AJ1" s="94" t="s">
        <v>6</v>
      </c>
      <c r="AK1" s="95"/>
      <c r="AL1" s="96" t="s">
        <v>7</v>
      </c>
      <c r="AM1" s="95"/>
      <c r="AN1" s="96" t="s">
        <v>8</v>
      </c>
      <c r="AO1" s="95"/>
      <c r="AP1" s="96" t="s">
        <v>27</v>
      </c>
      <c r="AQ1" s="95"/>
      <c r="AR1" s="96" t="s">
        <v>10</v>
      </c>
      <c r="AS1" s="95"/>
      <c r="AT1" s="97" t="s">
        <v>178</v>
      </c>
      <c r="AU1" s="95"/>
      <c r="AV1" s="96" t="s">
        <v>29</v>
      </c>
      <c r="AX1" s="98" t="s">
        <v>259</v>
      </c>
      <c r="AY1" s="99" t="s">
        <v>180</v>
      </c>
      <c r="AZ1" s="99" t="s">
        <v>260</v>
      </c>
      <c r="BA1" s="100" t="s">
        <v>182</v>
      </c>
    </row>
    <row r="2" spans="1:53" x14ac:dyDescent="0.15">
      <c r="A2" s="93" t="s">
        <v>51</v>
      </c>
      <c r="B2" s="93" t="s">
        <v>157</v>
      </c>
      <c r="C2" s="93">
        <v>2019</v>
      </c>
      <c r="D2" s="101" t="s">
        <v>261</v>
      </c>
      <c r="E2" s="93" t="s">
        <v>262</v>
      </c>
      <c r="F2" s="93" t="s">
        <v>263</v>
      </c>
      <c r="G2" s="93" t="s">
        <v>42</v>
      </c>
      <c r="H2" s="93" t="s">
        <v>164</v>
      </c>
      <c r="I2" s="93" t="s">
        <v>159</v>
      </c>
      <c r="J2" s="93" t="s">
        <v>38</v>
      </c>
      <c r="K2" s="93" t="s">
        <v>161</v>
      </c>
      <c r="L2" s="93">
        <v>1</v>
      </c>
      <c r="N2" s="93">
        <v>1</v>
      </c>
      <c r="O2" s="93">
        <v>0.7</v>
      </c>
      <c r="P2" s="93">
        <v>0.65</v>
      </c>
      <c r="Q2" s="102">
        <f t="shared" ref="Q2:Q65" si="0">IF(OR(O2="",P2=""),"",AVERAGE(O2,P2))</f>
        <v>0.67500000000000004</v>
      </c>
      <c r="R2" s="93">
        <v>16.600000000000001</v>
      </c>
      <c r="S2" s="93">
        <v>128</v>
      </c>
      <c r="T2" s="103">
        <f t="shared" ref="T2:T65" si="1">IF(H2="","",IF(OR(H2="GREEN",H2="GK"),IF(S2&gt;=$AX$2,VLOOKUP(S2,$AX$2:$AY$12,2,1),""),IF(S2&gt;=$AZ$2,VLOOKUP(S2,$AZ$2:$BA$12,2,1),"")))</f>
        <v>27</v>
      </c>
      <c r="U2" s="93">
        <v>98</v>
      </c>
      <c r="V2" s="104">
        <f t="shared" ref="V2:V65" si="2">IF(OR(N2="",U2="",T2=""),"",U2/N2*T2)</f>
        <v>2646</v>
      </c>
      <c r="W2" s="93">
        <v>16</v>
      </c>
      <c r="X2" s="93" t="s">
        <v>46</v>
      </c>
      <c r="Y2" s="93" t="s">
        <v>88</v>
      </c>
      <c r="Z2" s="93" t="s">
        <v>55</v>
      </c>
      <c r="AA2" s="93" t="s">
        <v>97</v>
      </c>
      <c r="AB2" s="93" t="s">
        <v>158</v>
      </c>
      <c r="AE2" s="105" t="s">
        <v>35</v>
      </c>
      <c r="AG2" s="106" t="s">
        <v>210</v>
      </c>
      <c r="AH2" s="106" t="s">
        <v>264</v>
      </c>
      <c r="AJ2" s="106" t="s">
        <v>36</v>
      </c>
      <c r="AL2" s="106" t="s">
        <v>185</v>
      </c>
      <c r="AN2" s="106" t="s">
        <v>37</v>
      </c>
      <c r="AP2" s="106" t="s">
        <v>38</v>
      </c>
      <c r="AR2" s="106" t="s">
        <v>161</v>
      </c>
      <c r="AT2" s="106" t="s">
        <v>39</v>
      </c>
      <c r="AV2" s="106" t="s">
        <v>40</v>
      </c>
      <c r="AX2" s="107">
        <v>1</v>
      </c>
      <c r="AY2" s="108">
        <v>50</v>
      </c>
      <c r="AZ2" s="108">
        <v>1</v>
      </c>
      <c r="BA2" s="109">
        <v>50</v>
      </c>
    </row>
    <row r="3" spans="1:53" x14ac:dyDescent="0.15">
      <c r="A3" s="93" t="s">
        <v>51</v>
      </c>
      <c r="B3" s="93" t="s">
        <v>157</v>
      </c>
      <c r="C3" s="93">
        <v>2019</v>
      </c>
      <c r="D3" s="101" t="s">
        <v>261</v>
      </c>
      <c r="E3" s="93" t="s">
        <v>262</v>
      </c>
      <c r="F3" s="93" t="s">
        <v>263</v>
      </c>
      <c r="G3" s="93" t="s">
        <v>42</v>
      </c>
      <c r="H3" s="93" t="s">
        <v>164</v>
      </c>
      <c r="I3" s="93" t="s">
        <v>159</v>
      </c>
      <c r="J3" s="93" t="s">
        <v>38</v>
      </c>
      <c r="K3" s="93" t="s">
        <v>161</v>
      </c>
      <c r="L3" s="93">
        <v>2</v>
      </c>
      <c r="N3" s="93">
        <v>1</v>
      </c>
      <c r="O3" s="93">
        <v>0.8</v>
      </c>
      <c r="P3" s="93">
        <v>0.75</v>
      </c>
      <c r="Q3" s="102">
        <f t="shared" si="0"/>
        <v>0.77500000000000002</v>
      </c>
      <c r="R3" s="93">
        <v>15.5</v>
      </c>
      <c r="S3" s="93">
        <v>122</v>
      </c>
      <c r="T3" s="103">
        <f t="shared" si="1"/>
        <v>27</v>
      </c>
      <c r="U3" s="93">
        <v>98</v>
      </c>
      <c r="V3" s="104">
        <f t="shared" si="2"/>
        <v>2646</v>
      </c>
      <c r="W3" s="93">
        <v>16</v>
      </c>
      <c r="X3" s="93" t="s">
        <v>46</v>
      </c>
      <c r="Y3" s="93" t="s">
        <v>88</v>
      </c>
      <c r="Z3" s="93" t="s">
        <v>55</v>
      </c>
      <c r="AA3" s="93" t="s">
        <v>97</v>
      </c>
      <c r="AB3" s="93" t="s">
        <v>158</v>
      </c>
      <c r="AE3" s="110" t="s">
        <v>41</v>
      </c>
      <c r="AG3" s="106" t="s">
        <v>265</v>
      </c>
      <c r="AH3" s="106" t="s">
        <v>266</v>
      </c>
      <c r="AJ3" s="111" t="s">
        <v>42</v>
      </c>
      <c r="AL3" s="111" t="s">
        <v>187</v>
      </c>
      <c r="AN3" s="111" t="s">
        <v>43</v>
      </c>
      <c r="AP3" s="111" t="s">
        <v>44</v>
      </c>
      <c r="AR3" s="111" t="s">
        <v>45</v>
      </c>
      <c r="AT3" s="111" t="s">
        <v>46</v>
      </c>
      <c r="AV3" s="111" t="s">
        <v>47</v>
      </c>
      <c r="AX3" s="112">
        <v>72</v>
      </c>
      <c r="AY3" s="113">
        <v>46</v>
      </c>
      <c r="AZ3" s="113">
        <v>71</v>
      </c>
      <c r="BA3" s="114">
        <v>42</v>
      </c>
    </row>
    <row r="4" spans="1:53" x14ac:dyDescent="0.15">
      <c r="A4" s="93" t="s">
        <v>51</v>
      </c>
      <c r="B4" s="93" t="s">
        <v>157</v>
      </c>
      <c r="C4" s="93">
        <v>2019</v>
      </c>
      <c r="D4" s="101" t="s">
        <v>261</v>
      </c>
      <c r="E4" s="93" t="s">
        <v>262</v>
      </c>
      <c r="F4" s="93" t="s">
        <v>263</v>
      </c>
      <c r="G4" s="93" t="s">
        <v>42</v>
      </c>
      <c r="H4" s="93" t="s">
        <v>164</v>
      </c>
      <c r="I4" s="93" t="s">
        <v>159</v>
      </c>
      <c r="J4" s="93" t="s">
        <v>38</v>
      </c>
      <c r="K4" s="93" t="s">
        <v>161</v>
      </c>
      <c r="L4" s="93">
        <v>3</v>
      </c>
      <c r="N4" s="93">
        <v>1</v>
      </c>
      <c r="O4" s="93">
        <v>0.7</v>
      </c>
      <c r="P4" s="93">
        <v>0.75</v>
      </c>
      <c r="Q4" s="102">
        <f t="shared" si="0"/>
        <v>0.72499999999999998</v>
      </c>
      <c r="R4" s="93">
        <v>15.7</v>
      </c>
      <c r="S4" s="93">
        <v>120</v>
      </c>
      <c r="T4" s="103">
        <f t="shared" si="1"/>
        <v>30</v>
      </c>
      <c r="U4" s="93">
        <v>98</v>
      </c>
      <c r="V4" s="104">
        <f t="shared" si="2"/>
        <v>2940</v>
      </c>
      <c r="W4" s="93">
        <v>16</v>
      </c>
      <c r="X4" s="93" t="s">
        <v>46</v>
      </c>
      <c r="Y4" s="93" t="s">
        <v>88</v>
      </c>
      <c r="Z4" s="93" t="s">
        <v>55</v>
      </c>
      <c r="AA4" s="93" t="s">
        <v>97</v>
      </c>
      <c r="AB4" s="93" t="s">
        <v>158</v>
      </c>
      <c r="AE4" s="110" t="s">
        <v>34</v>
      </c>
      <c r="AG4" s="106" t="s">
        <v>267</v>
      </c>
      <c r="AH4" s="106" t="s">
        <v>268</v>
      </c>
      <c r="AJ4" s="115" t="s">
        <v>48</v>
      </c>
      <c r="AL4" s="115" t="s">
        <v>189</v>
      </c>
      <c r="AN4" s="116" t="s">
        <v>190</v>
      </c>
      <c r="AP4" s="111" t="s">
        <v>191</v>
      </c>
      <c r="AR4" s="111" t="s">
        <v>192</v>
      </c>
      <c r="AT4" s="116"/>
      <c r="AV4" s="111" t="s">
        <v>50</v>
      </c>
      <c r="AX4" s="112">
        <v>75</v>
      </c>
      <c r="AY4" s="113">
        <v>42</v>
      </c>
      <c r="AZ4" s="113">
        <v>76</v>
      </c>
      <c r="BA4" s="114">
        <v>39</v>
      </c>
    </row>
    <row r="5" spans="1:53" x14ac:dyDescent="0.15">
      <c r="A5" s="93" t="s">
        <v>51</v>
      </c>
      <c r="B5" s="93" t="s">
        <v>157</v>
      </c>
      <c r="C5" s="93">
        <v>2019</v>
      </c>
      <c r="D5" s="101" t="s">
        <v>261</v>
      </c>
      <c r="E5" s="93" t="s">
        <v>262</v>
      </c>
      <c r="F5" s="93" t="s">
        <v>263</v>
      </c>
      <c r="G5" s="93" t="s">
        <v>42</v>
      </c>
      <c r="H5" s="93" t="s">
        <v>160</v>
      </c>
      <c r="I5" s="93" t="s">
        <v>159</v>
      </c>
      <c r="J5" s="93" t="s">
        <v>38</v>
      </c>
      <c r="K5" s="93" t="s">
        <v>161</v>
      </c>
      <c r="L5" s="93">
        <v>1</v>
      </c>
      <c r="N5" s="93">
        <v>1</v>
      </c>
      <c r="O5" s="93">
        <v>0.65</v>
      </c>
      <c r="P5" s="93">
        <v>0.7</v>
      </c>
      <c r="Q5" s="102">
        <f t="shared" si="0"/>
        <v>0.67500000000000004</v>
      </c>
      <c r="R5" s="93">
        <v>18.100000000000001</v>
      </c>
      <c r="S5" s="93">
        <v>132</v>
      </c>
      <c r="T5" s="103">
        <f t="shared" si="1"/>
        <v>25</v>
      </c>
      <c r="U5" s="93">
        <v>138</v>
      </c>
      <c r="V5" s="104">
        <f t="shared" si="2"/>
        <v>3450</v>
      </c>
      <c r="W5" s="93">
        <v>16</v>
      </c>
      <c r="X5" s="93" t="s">
        <v>46</v>
      </c>
      <c r="Y5" s="93" t="s">
        <v>88</v>
      </c>
      <c r="Z5" s="93" t="s">
        <v>55</v>
      </c>
      <c r="AA5" s="93" t="s">
        <v>97</v>
      </c>
      <c r="AB5" s="93" t="s">
        <v>158</v>
      </c>
      <c r="AE5" s="110" t="s">
        <v>51</v>
      </c>
      <c r="AG5" s="106" t="s">
        <v>269</v>
      </c>
      <c r="AH5" s="106" t="s">
        <v>263</v>
      </c>
      <c r="AJ5" s="116"/>
      <c r="AL5" s="117" t="s">
        <v>164</v>
      </c>
      <c r="AN5" s="117" t="s">
        <v>159</v>
      </c>
      <c r="AP5" s="111" t="s">
        <v>195</v>
      </c>
      <c r="AR5" s="111" t="s">
        <v>54</v>
      </c>
      <c r="AV5" s="111" t="s">
        <v>55</v>
      </c>
      <c r="AX5" s="112">
        <v>84</v>
      </c>
      <c r="AY5" s="113">
        <v>39</v>
      </c>
      <c r="AZ5" s="113">
        <v>84</v>
      </c>
      <c r="BA5" s="114">
        <v>36</v>
      </c>
    </row>
    <row r="6" spans="1:53" x14ac:dyDescent="0.15">
      <c r="A6" s="93" t="s">
        <v>51</v>
      </c>
      <c r="B6" s="93" t="s">
        <v>157</v>
      </c>
      <c r="C6" s="93">
        <v>2019</v>
      </c>
      <c r="D6" s="101" t="s">
        <v>261</v>
      </c>
      <c r="E6" s="93" t="s">
        <v>262</v>
      </c>
      <c r="F6" s="93" t="s">
        <v>263</v>
      </c>
      <c r="G6" s="93" t="s">
        <v>42</v>
      </c>
      <c r="H6" s="93" t="s">
        <v>160</v>
      </c>
      <c r="I6" s="93" t="s">
        <v>159</v>
      </c>
      <c r="J6" s="93" t="s">
        <v>38</v>
      </c>
      <c r="K6" s="93" t="s">
        <v>161</v>
      </c>
      <c r="L6" s="93">
        <v>2</v>
      </c>
      <c r="N6" s="93">
        <v>1</v>
      </c>
      <c r="O6" s="93">
        <v>0.8</v>
      </c>
      <c r="P6" s="93">
        <v>0.8</v>
      </c>
      <c r="Q6" s="102">
        <f t="shared" si="0"/>
        <v>0.8</v>
      </c>
      <c r="R6" s="93">
        <v>17.600000000000001</v>
      </c>
      <c r="S6" s="93">
        <v>132</v>
      </c>
      <c r="T6" s="103">
        <f t="shared" si="1"/>
        <v>25</v>
      </c>
      <c r="U6" s="93">
        <v>138</v>
      </c>
      <c r="V6" s="104">
        <f t="shared" si="2"/>
        <v>3450</v>
      </c>
      <c r="W6" s="93">
        <v>16</v>
      </c>
      <c r="X6" s="93" t="s">
        <v>46</v>
      </c>
      <c r="Y6" s="93" t="s">
        <v>88</v>
      </c>
      <c r="Z6" s="93" t="s">
        <v>55</v>
      </c>
      <c r="AA6" s="93" t="s">
        <v>97</v>
      </c>
      <c r="AB6" s="93" t="s">
        <v>158</v>
      </c>
      <c r="AE6" s="110" t="s">
        <v>56</v>
      </c>
      <c r="AG6" s="106" t="s">
        <v>270</v>
      </c>
      <c r="AH6" s="106" t="s">
        <v>271</v>
      </c>
      <c r="AL6" s="117" t="s">
        <v>197</v>
      </c>
      <c r="AN6" s="117" t="s">
        <v>198</v>
      </c>
      <c r="AP6" s="111" t="s">
        <v>53</v>
      </c>
      <c r="AR6" s="111" t="s">
        <v>59</v>
      </c>
      <c r="AV6" s="111" t="s">
        <v>60</v>
      </c>
      <c r="AX6" s="112">
        <v>97</v>
      </c>
      <c r="AY6" s="113">
        <v>36</v>
      </c>
      <c r="AZ6" s="113">
        <v>99</v>
      </c>
      <c r="BA6" s="114">
        <v>33</v>
      </c>
    </row>
    <row r="7" spans="1:53" x14ac:dyDescent="0.15">
      <c r="A7" s="93" t="s">
        <v>51</v>
      </c>
      <c r="B7" s="93" t="s">
        <v>157</v>
      </c>
      <c r="C7" s="93">
        <v>2019</v>
      </c>
      <c r="D7" s="101" t="s">
        <v>261</v>
      </c>
      <c r="E7" s="93" t="s">
        <v>262</v>
      </c>
      <c r="F7" s="93" t="s">
        <v>263</v>
      </c>
      <c r="G7" s="93" t="s">
        <v>42</v>
      </c>
      <c r="H7" s="93" t="s">
        <v>160</v>
      </c>
      <c r="I7" s="93" t="s">
        <v>159</v>
      </c>
      <c r="J7" s="93" t="s">
        <v>38</v>
      </c>
      <c r="K7" s="93" t="s">
        <v>161</v>
      </c>
      <c r="L7" s="93">
        <v>3</v>
      </c>
      <c r="N7" s="93">
        <v>1</v>
      </c>
      <c r="O7" s="93">
        <v>0.75</v>
      </c>
      <c r="P7" s="93">
        <v>0.85</v>
      </c>
      <c r="Q7" s="102">
        <f t="shared" si="0"/>
        <v>0.8</v>
      </c>
      <c r="R7" s="93">
        <v>17.3</v>
      </c>
      <c r="S7" s="93">
        <v>130</v>
      </c>
      <c r="T7" s="103">
        <f t="shared" si="1"/>
        <v>25</v>
      </c>
      <c r="U7" s="93">
        <v>138</v>
      </c>
      <c r="V7" s="104">
        <f t="shared" si="2"/>
        <v>3450</v>
      </c>
      <c r="W7" s="93">
        <v>16</v>
      </c>
      <c r="X7" s="93" t="s">
        <v>46</v>
      </c>
      <c r="Y7" s="93" t="s">
        <v>88</v>
      </c>
      <c r="Z7" s="93" t="s">
        <v>55</v>
      </c>
      <c r="AA7" s="93" t="s">
        <v>97</v>
      </c>
      <c r="AB7" s="93" t="s">
        <v>158</v>
      </c>
      <c r="AE7" s="110" t="s">
        <v>61</v>
      </c>
      <c r="AG7" s="106" t="s">
        <v>272</v>
      </c>
      <c r="AH7" s="106" t="s">
        <v>264</v>
      </c>
      <c r="AL7" s="93" t="s">
        <v>193</v>
      </c>
      <c r="AP7" s="111" t="s">
        <v>58</v>
      </c>
      <c r="AR7" s="111" t="s">
        <v>200</v>
      </c>
      <c r="AV7" s="111" t="s">
        <v>64</v>
      </c>
      <c r="AX7" s="112">
        <v>109</v>
      </c>
      <c r="AY7" s="113">
        <v>33</v>
      </c>
      <c r="AZ7" s="113">
        <v>113</v>
      </c>
      <c r="BA7" s="114">
        <v>30</v>
      </c>
    </row>
    <row r="8" spans="1:53" x14ac:dyDescent="0.15">
      <c r="A8" s="93" t="s">
        <v>51</v>
      </c>
      <c r="B8" s="93" t="s">
        <v>157</v>
      </c>
      <c r="C8" s="93">
        <v>2019</v>
      </c>
      <c r="D8" s="101" t="s">
        <v>261</v>
      </c>
      <c r="E8" s="93" t="s">
        <v>265</v>
      </c>
      <c r="F8" s="93" t="s">
        <v>266</v>
      </c>
      <c r="G8" s="93" t="s">
        <v>36</v>
      </c>
      <c r="H8" s="93" t="s">
        <v>164</v>
      </c>
      <c r="I8" s="93" t="s">
        <v>159</v>
      </c>
      <c r="J8" s="93" t="s">
        <v>38</v>
      </c>
      <c r="K8" s="93" t="s">
        <v>161</v>
      </c>
      <c r="L8" s="93">
        <v>1</v>
      </c>
      <c r="N8" s="93">
        <v>1</v>
      </c>
      <c r="O8" s="93">
        <v>0.8</v>
      </c>
      <c r="P8" s="93">
        <v>0.7</v>
      </c>
      <c r="Q8" s="102">
        <f t="shared" si="0"/>
        <v>0.75</v>
      </c>
      <c r="R8" s="93">
        <v>17.600000000000001</v>
      </c>
      <c r="S8" s="93">
        <v>144</v>
      </c>
      <c r="T8" s="103">
        <f t="shared" si="1"/>
        <v>22</v>
      </c>
      <c r="U8" s="93">
        <v>138</v>
      </c>
      <c r="V8" s="104">
        <f t="shared" si="2"/>
        <v>3036</v>
      </c>
      <c r="W8" s="93">
        <v>9</v>
      </c>
      <c r="X8" s="93" t="s">
        <v>46</v>
      </c>
      <c r="Y8" s="93" t="s">
        <v>47</v>
      </c>
      <c r="Z8" s="93" t="s">
        <v>55</v>
      </c>
      <c r="AA8" s="93" t="s">
        <v>88</v>
      </c>
      <c r="AB8" s="93" t="s">
        <v>158</v>
      </c>
      <c r="AE8" s="110" t="s">
        <v>59</v>
      </c>
      <c r="AG8" s="106" t="s">
        <v>273</v>
      </c>
      <c r="AH8" s="106" t="s">
        <v>274</v>
      </c>
      <c r="AL8" s="93" t="s">
        <v>160</v>
      </c>
      <c r="AP8" s="111" t="s">
        <v>62</v>
      </c>
      <c r="AR8" s="111" t="s">
        <v>81</v>
      </c>
      <c r="AV8" s="111" t="s">
        <v>97</v>
      </c>
      <c r="AX8" s="112">
        <v>119</v>
      </c>
      <c r="AY8" s="113">
        <v>30</v>
      </c>
      <c r="AZ8" s="113">
        <v>121</v>
      </c>
      <c r="BA8" s="114">
        <v>27</v>
      </c>
    </row>
    <row r="9" spans="1:53" x14ac:dyDescent="0.15">
      <c r="A9" s="93" t="s">
        <v>51</v>
      </c>
      <c r="B9" s="93" t="s">
        <v>157</v>
      </c>
      <c r="C9" s="93">
        <v>2019</v>
      </c>
      <c r="D9" s="101" t="s">
        <v>261</v>
      </c>
      <c r="E9" s="93" t="s">
        <v>265</v>
      </c>
      <c r="F9" s="93" t="s">
        <v>266</v>
      </c>
      <c r="G9" s="93" t="s">
        <v>36</v>
      </c>
      <c r="H9" s="93" t="s">
        <v>164</v>
      </c>
      <c r="I9" s="93" t="s">
        <v>159</v>
      </c>
      <c r="J9" s="93" t="s">
        <v>38</v>
      </c>
      <c r="K9" s="93" t="s">
        <v>161</v>
      </c>
      <c r="L9" s="93">
        <v>2</v>
      </c>
      <c r="N9" s="93">
        <v>1</v>
      </c>
      <c r="O9" s="93">
        <v>0.75</v>
      </c>
      <c r="P9" s="93">
        <v>0.75</v>
      </c>
      <c r="Q9" s="102">
        <f t="shared" si="0"/>
        <v>0.75</v>
      </c>
      <c r="R9" s="93">
        <v>17.3</v>
      </c>
      <c r="S9" s="93">
        <v>140</v>
      </c>
      <c r="T9" s="103">
        <f t="shared" si="1"/>
        <v>22</v>
      </c>
      <c r="U9" s="93">
        <v>138</v>
      </c>
      <c r="V9" s="104">
        <f t="shared" si="2"/>
        <v>3036</v>
      </c>
      <c r="W9" s="93">
        <v>9</v>
      </c>
      <c r="X9" s="93" t="s">
        <v>46</v>
      </c>
      <c r="Y9" s="93" t="s">
        <v>47</v>
      </c>
      <c r="Z9" s="93" t="s">
        <v>55</v>
      </c>
      <c r="AA9" s="93" t="s">
        <v>88</v>
      </c>
      <c r="AB9" s="93" t="s">
        <v>158</v>
      </c>
      <c r="AE9" s="110" t="s">
        <v>203</v>
      </c>
      <c r="AG9" s="106" t="s">
        <v>275</v>
      </c>
      <c r="AH9" s="106" t="s">
        <v>263</v>
      </c>
      <c r="AL9" s="117"/>
      <c r="AP9" s="111" t="s">
        <v>95</v>
      </c>
      <c r="AR9" s="111" t="s">
        <v>206</v>
      </c>
      <c r="AV9" s="111" t="s">
        <v>102</v>
      </c>
      <c r="AX9" s="112">
        <v>128</v>
      </c>
      <c r="AY9" s="113">
        <v>27</v>
      </c>
      <c r="AZ9" s="113">
        <v>129</v>
      </c>
      <c r="BA9" s="114">
        <v>25</v>
      </c>
    </row>
    <row r="10" spans="1:53" x14ac:dyDescent="0.15">
      <c r="A10" s="93" t="s">
        <v>51</v>
      </c>
      <c r="B10" s="93" t="s">
        <v>157</v>
      </c>
      <c r="C10" s="93">
        <v>2019</v>
      </c>
      <c r="D10" s="101" t="s">
        <v>261</v>
      </c>
      <c r="E10" s="93" t="s">
        <v>265</v>
      </c>
      <c r="F10" s="93" t="s">
        <v>266</v>
      </c>
      <c r="G10" s="93" t="s">
        <v>36</v>
      </c>
      <c r="H10" s="93" t="s">
        <v>164</v>
      </c>
      <c r="I10" s="93" t="s">
        <v>159</v>
      </c>
      <c r="J10" s="93" t="s">
        <v>38</v>
      </c>
      <c r="K10" s="93" t="s">
        <v>161</v>
      </c>
      <c r="L10" s="93">
        <v>3</v>
      </c>
      <c r="N10" s="93">
        <v>1</v>
      </c>
      <c r="O10" s="93">
        <v>0.8</v>
      </c>
      <c r="P10" s="93">
        <v>0.85</v>
      </c>
      <c r="Q10" s="102">
        <f t="shared" si="0"/>
        <v>0.82499999999999996</v>
      </c>
      <c r="R10" s="93">
        <v>17.8</v>
      </c>
      <c r="S10" s="93">
        <v>150</v>
      </c>
      <c r="T10" s="103">
        <f t="shared" si="1"/>
        <v>22</v>
      </c>
      <c r="U10" s="93">
        <v>138</v>
      </c>
      <c r="V10" s="104">
        <f t="shared" si="2"/>
        <v>3036</v>
      </c>
      <c r="W10" s="93">
        <v>9</v>
      </c>
      <c r="X10" s="93" t="s">
        <v>46</v>
      </c>
      <c r="Y10" s="93" t="s">
        <v>47</v>
      </c>
      <c r="Z10" s="93" t="s">
        <v>55</v>
      </c>
      <c r="AA10" s="93" t="s">
        <v>88</v>
      </c>
      <c r="AB10" s="93" t="s">
        <v>158</v>
      </c>
      <c r="AE10" s="110" t="s">
        <v>207</v>
      </c>
      <c r="AG10" s="106" t="s">
        <v>262</v>
      </c>
      <c r="AH10" s="111" t="s">
        <v>263</v>
      </c>
      <c r="AP10" s="111" t="s">
        <v>100</v>
      </c>
      <c r="AR10" s="111" t="s">
        <v>209</v>
      </c>
      <c r="AV10" s="111" t="s">
        <v>106</v>
      </c>
      <c r="AX10" s="112">
        <v>138</v>
      </c>
      <c r="AY10" s="113">
        <v>25</v>
      </c>
      <c r="AZ10" s="113">
        <v>138</v>
      </c>
      <c r="BA10" s="114">
        <v>22</v>
      </c>
    </row>
    <row r="11" spans="1:53" x14ac:dyDescent="0.15">
      <c r="A11" s="93" t="s">
        <v>51</v>
      </c>
      <c r="B11" s="93" t="s">
        <v>157</v>
      </c>
      <c r="C11" s="93">
        <v>2019</v>
      </c>
      <c r="D11" s="101" t="s">
        <v>261</v>
      </c>
      <c r="E11" s="93" t="s">
        <v>265</v>
      </c>
      <c r="F11" s="93" t="s">
        <v>266</v>
      </c>
      <c r="G11" s="93" t="s">
        <v>36</v>
      </c>
      <c r="H11" s="93" t="s">
        <v>160</v>
      </c>
      <c r="I11" s="93" t="s">
        <v>159</v>
      </c>
      <c r="J11" s="93" t="s">
        <v>38</v>
      </c>
      <c r="K11" s="93" t="s">
        <v>161</v>
      </c>
      <c r="L11" s="93">
        <v>1</v>
      </c>
      <c r="N11" s="93">
        <v>1</v>
      </c>
      <c r="O11" s="93">
        <v>0.7</v>
      </c>
      <c r="P11" s="93">
        <v>0.8</v>
      </c>
      <c r="Q11" s="102">
        <f t="shared" si="0"/>
        <v>0.75</v>
      </c>
      <c r="R11" s="93">
        <v>17.5</v>
      </c>
      <c r="S11" s="93">
        <v>132</v>
      </c>
      <c r="T11" s="103">
        <f t="shared" si="1"/>
        <v>25</v>
      </c>
      <c r="U11" s="93">
        <v>138</v>
      </c>
      <c r="V11" s="104">
        <f t="shared" si="2"/>
        <v>3450</v>
      </c>
      <c r="W11" s="93">
        <v>9</v>
      </c>
      <c r="X11" s="93" t="s">
        <v>46</v>
      </c>
      <c r="Y11" s="93" t="s">
        <v>47</v>
      </c>
      <c r="Z11" s="93" t="s">
        <v>55</v>
      </c>
      <c r="AA11" s="93" t="s">
        <v>88</v>
      </c>
      <c r="AB11" s="93" t="s">
        <v>158</v>
      </c>
      <c r="AE11" s="110" t="s">
        <v>68</v>
      </c>
      <c r="AG11" s="106" t="s">
        <v>139</v>
      </c>
      <c r="AH11" s="111" t="s">
        <v>276</v>
      </c>
      <c r="AP11" s="111" t="s">
        <v>104</v>
      </c>
      <c r="AR11" s="111" t="s">
        <v>212</v>
      </c>
      <c r="AV11" s="111" t="s">
        <v>69</v>
      </c>
      <c r="AX11" s="112">
        <v>151</v>
      </c>
      <c r="AY11" s="113">
        <v>22</v>
      </c>
      <c r="AZ11" s="113">
        <v>152</v>
      </c>
      <c r="BA11" s="114">
        <v>18</v>
      </c>
    </row>
    <row r="12" spans="1:53" x14ac:dyDescent="0.15">
      <c r="A12" s="93" t="s">
        <v>51</v>
      </c>
      <c r="B12" s="93" t="s">
        <v>157</v>
      </c>
      <c r="C12" s="93">
        <v>2019</v>
      </c>
      <c r="D12" s="101" t="s">
        <v>261</v>
      </c>
      <c r="E12" s="93" t="s">
        <v>265</v>
      </c>
      <c r="F12" s="93" t="s">
        <v>266</v>
      </c>
      <c r="G12" s="93" t="s">
        <v>36</v>
      </c>
      <c r="H12" s="93" t="s">
        <v>160</v>
      </c>
      <c r="I12" s="93" t="s">
        <v>159</v>
      </c>
      <c r="J12" s="93" t="s">
        <v>38</v>
      </c>
      <c r="K12" s="93" t="s">
        <v>161</v>
      </c>
      <c r="L12" s="93">
        <v>2</v>
      </c>
      <c r="N12" s="93">
        <v>1</v>
      </c>
      <c r="O12" s="93">
        <v>0.75</v>
      </c>
      <c r="P12" s="93">
        <v>0.75</v>
      </c>
      <c r="Q12" s="102">
        <f t="shared" si="0"/>
        <v>0.75</v>
      </c>
      <c r="R12" s="93">
        <v>16.7</v>
      </c>
      <c r="S12" s="93">
        <v>124</v>
      </c>
      <c r="T12" s="103">
        <f t="shared" si="1"/>
        <v>27</v>
      </c>
      <c r="U12" s="93">
        <v>138</v>
      </c>
      <c r="V12" s="104">
        <f t="shared" si="2"/>
        <v>3726</v>
      </c>
      <c r="W12" s="93">
        <v>9</v>
      </c>
      <c r="X12" s="93" t="s">
        <v>46</v>
      </c>
      <c r="Y12" s="93" t="s">
        <v>47</v>
      </c>
      <c r="Z12" s="93" t="s">
        <v>55</v>
      </c>
      <c r="AA12" s="93" t="s">
        <v>88</v>
      </c>
      <c r="AB12" s="93" t="s">
        <v>158</v>
      </c>
      <c r="AE12" s="110" t="s">
        <v>213</v>
      </c>
      <c r="AG12" s="111"/>
      <c r="AH12" s="111"/>
      <c r="AP12" s="111" t="s">
        <v>67</v>
      </c>
      <c r="AR12" s="111" t="s">
        <v>214</v>
      </c>
      <c r="AV12" s="111" t="s">
        <v>72</v>
      </c>
      <c r="AX12" s="118">
        <v>180</v>
      </c>
      <c r="AY12" s="119">
        <v>18</v>
      </c>
      <c r="AZ12" s="119">
        <v>181</v>
      </c>
      <c r="BA12" s="120">
        <v>16</v>
      </c>
    </row>
    <row r="13" spans="1:53" x14ac:dyDescent="0.15">
      <c r="A13" s="93" t="s">
        <v>51</v>
      </c>
      <c r="B13" s="93" t="s">
        <v>157</v>
      </c>
      <c r="C13" s="93">
        <v>2019</v>
      </c>
      <c r="D13" s="101" t="s">
        <v>261</v>
      </c>
      <c r="E13" s="93" t="s">
        <v>265</v>
      </c>
      <c r="F13" s="93" t="s">
        <v>266</v>
      </c>
      <c r="G13" s="93" t="s">
        <v>36</v>
      </c>
      <c r="H13" s="93" t="s">
        <v>160</v>
      </c>
      <c r="I13" s="93" t="s">
        <v>159</v>
      </c>
      <c r="J13" s="93" t="s">
        <v>38</v>
      </c>
      <c r="K13" s="93" t="s">
        <v>161</v>
      </c>
      <c r="L13" s="93">
        <v>3</v>
      </c>
      <c r="N13" s="93">
        <v>1</v>
      </c>
      <c r="O13" s="93">
        <v>0.65</v>
      </c>
      <c r="P13" s="93">
        <v>0.6</v>
      </c>
      <c r="Q13" s="102">
        <f t="shared" si="0"/>
        <v>0.625</v>
      </c>
      <c r="R13" s="93">
        <v>18</v>
      </c>
      <c r="S13" s="93">
        <v>134</v>
      </c>
      <c r="T13" s="103">
        <f t="shared" si="1"/>
        <v>25</v>
      </c>
      <c r="U13" s="93">
        <v>138</v>
      </c>
      <c r="V13" s="104">
        <f t="shared" si="2"/>
        <v>3450</v>
      </c>
      <c r="W13" s="93">
        <v>9</v>
      </c>
      <c r="X13" s="93" t="s">
        <v>46</v>
      </c>
      <c r="Y13" s="93" t="s">
        <v>47</v>
      </c>
      <c r="Z13" s="93" t="s">
        <v>55</v>
      </c>
      <c r="AA13" s="93" t="s">
        <v>88</v>
      </c>
      <c r="AB13" s="93" t="s">
        <v>158</v>
      </c>
      <c r="AE13" s="110" t="s">
        <v>215</v>
      </c>
      <c r="AG13" s="111"/>
      <c r="AH13" s="111"/>
      <c r="AP13" s="111" t="s">
        <v>71</v>
      </c>
      <c r="AR13" s="111" t="s">
        <v>207</v>
      </c>
      <c r="AV13" s="111" t="s">
        <v>75</v>
      </c>
    </row>
    <row r="14" spans="1:53" x14ac:dyDescent="0.15">
      <c r="A14" s="93" t="s">
        <v>51</v>
      </c>
      <c r="B14" s="93" t="s">
        <v>157</v>
      </c>
      <c r="C14" s="93">
        <v>2019</v>
      </c>
      <c r="D14" s="101" t="s">
        <v>261</v>
      </c>
      <c r="E14" s="93" t="s">
        <v>139</v>
      </c>
      <c r="F14" s="93" t="s">
        <v>276</v>
      </c>
      <c r="G14" s="93" t="s">
        <v>42</v>
      </c>
      <c r="H14" s="93" t="s">
        <v>164</v>
      </c>
      <c r="I14" s="93" t="s">
        <v>159</v>
      </c>
      <c r="J14" s="93" t="s">
        <v>38</v>
      </c>
      <c r="K14" s="93" t="s">
        <v>161</v>
      </c>
      <c r="L14" s="93">
        <v>1</v>
      </c>
      <c r="N14" s="93">
        <v>1</v>
      </c>
      <c r="O14" s="93">
        <v>0.9</v>
      </c>
      <c r="P14" s="93">
        <v>0.95</v>
      </c>
      <c r="Q14" s="102">
        <f t="shared" si="0"/>
        <v>0.92500000000000004</v>
      </c>
      <c r="R14" s="93">
        <v>13.9</v>
      </c>
      <c r="S14" s="93">
        <v>87</v>
      </c>
      <c r="T14" s="103">
        <f t="shared" si="1"/>
        <v>36</v>
      </c>
      <c r="U14" s="93">
        <v>100</v>
      </c>
      <c r="V14" s="104">
        <f t="shared" si="2"/>
        <v>3600</v>
      </c>
      <c r="W14" s="93">
        <v>18</v>
      </c>
      <c r="X14" s="93" t="s">
        <v>46</v>
      </c>
      <c r="Y14" s="93" t="s">
        <v>69</v>
      </c>
      <c r="Z14" s="93" t="s">
        <v>55</v>
      </c>
      <c r="AA14" s="93" t="s">
        <v>97</v>
      </c>
      <c r="AB14" s="93" t="s">
        <v>158</v>
      </c>
      <c r="AE14" s="110" t="s">
        <v>96</v>
      </c>
      <c r="AG14" s="111"/>
      <c r="AH14" s="111"/>
      <c r="AP14" s="111" t="s">
        <v>74</v>
      </c>
      <c r="AR14" s="111" t="s">
        <v>216</v>
      </c>
      <c r="AV14" s="111" t="s">
        <v>78</v>
      </c>
    </row>
    <row r="15" spans="1:53" x14ac:dyDescent="0.15">
      <c r="A15" s="93" t="s">
        <v>51</v>
      </c>
      <c r="B15" s="93" t="s">
        <v>157</v>
      </c>
      <c r="C15" s="93">
        <v>2019</v>
      </c>
      <c r="D15" s="101" t="s">
        <v>261</v>
      </c>
      <c r="E15" s="93" t="s">
        <v>139</v>
      </c>
      <c r="F15" s="93" t="s">
        <v>276</v>
      </c>
      <c r="G15" s="93" t="s">
        <v>42</v>
      </c>
      <c r="H15" s="93" t="s">
        <v>164</v>
      </c>
      <c r="I15" s="93" t="s">
        <v>159</v>
      </c>
      <c r="J15" s="93" t="s">
        <v>38</v>
      </c>
      <c r="K15" s="93" t="s">
        <v>161</v>
      </c>
      <c r="L15" s="93">
        <v>2</v>
      </c>
      <c r="N15" s="93">
        <v>1</v>
      </c>
      <c r="O15" s="93">
        <v>0.85</v>
      </c>
      <c r="P15" s="93">
        <v>0.85</v>
      </c>
      <c r="Q15" s="102">
        <f t="shared" si="0"/>
        <v>0.85</v>
      </c>
      <c r="R15" s="93">
        <v>14.2</v>
      </c>
      <c r="S15" s="93">
        <v>90</v>
      </c>
      <c r="T15" s="103">
        <f t="shared" si="1"/>
        <v>36</v>
      </c>
      <c r="U15" s="93">
        <v>100</v>
      </c>
      <c r="V15" s="104">
        <f t="shared" si="2"/>
        <v>3600</v>
      </c>
      <c r="W15" s="93">
        <v>18</v>
      </c>
      <c r="X15" s="93" t="s">
        <v>46</v>
      </c>
      <c r="Y15" s="93" t="s">
        <v>69</v>
      </c>
      <c r="Z15" s="93" t="s">
        <v>55</v>
      </c>
      <c r="AA15" s="93" t="s">
        <v>97</v>
      </c>
      <c r="AB15" s="93" t="s">
        <v>158</v>
      </c>
      <c r="AE15" s="110" t="s">
        <v>217</v>
      </c>
      <c r="AG15" s="111"/>
      <c r="AH15" s="111"/>
      <c r="AP15" s="111" t="s">
        <v>77</v>
      </c>
      <c r="AR15" s="111" t="s">
        <v>80</v>
      </c>
      <c r="AV15" s="111" t="s">
        <v>107</v>
      </c>
    </row>
    <row r="16" spans="1:53" x14ac:dyDescent="0.15">
      <c r="A16" s="93" t="s">
        <v>51</v>
      </c>
      <c r="B16" s="93" t="s">
        <v>157</v>
      </c>
      <c r="C16" s="93">
        <v>2019</v>
      </c>
      <c r="D16" s="101" t="s">
        <v>261</v>
      </c>
      <c r="E16" s="93" t="s">
        <v>139</v>
      </c>
      <c r="F16" s="93" t="s">
        <v>276</v>
      </c>
      <c r="G16" s="93" t="s">
        <v>42</v>
      </c>
      <c r="H16" s="93" t="s">
        <v>164</v>
      </c>
      <c r="I16" s="93" t="s">
        <v>159</v>
      </c>
      <c r="J16" s="93" t="s">
        <v>38</v>
      </c>
      <c r="K16" s="93" t="s">
        <v>161</v>
      </c>
      <c r="L16" s="93">
        <v>3</v>
      </c>
      <c r="N16" s="93">
        <v>1</v>
      </c>
      <c r="O16" s="93">
        <v>0.95</v>
      </c>
      <c r="P16" s="93">
        <v>1</v>
      </c>
      <c r="Q16" s="102">
        <f t="shared" si="0"/>
        <v>0.97499999999999998</v>
      </c>
      <c r="R16" s="93">
        <v>13.3</v>
      </c>
      <c r="S16" s="93">
        <v>87</v>
      </c>
      <c r="T16" s="103">
        <f t="shared" si="1"/>
        <v>36</v>
      </c>
      <c r="U16" s="93">
        <v>100</v>
      </c>
      <c r="V16" s="104">
        <f t="shared" si="2"/>
        <v>3600</v>
      </c>
      <c r="W16" s="93">
        <v>18</v>
      </c>
      <c r="X16" s="93" t="s">
        <v>46</v>
      </c>
      <c r="Y16" s="93" t="s">
        <v>69</v>
      </c>
      <c r="Z16" s="93" t="s">
        <v>55</v>
      </c>
      <c r="AA16" s="93" t="s">
        <v>97</v>
      </c>
      <c r="AB16" s="93" t="s">
        <v>158</v>
      </c>
      <c r="AE16" s="110" t="s">
        <v>218</v>
      </c>
      <c r="AG16" s="116"/>
      <c r="AH16" s="116"/>
      <c r="AP16" s="111" t="s">
        <v>80</v>
      </c>
      <c r="AR16" s="111" t="s">
        <v>63</v>
      </c>
      <c r="AV16" s="111" t="s">
        <v>84</v>
      </c>
    </row>
    <row r="17" spans="1:48" x14ac:dyDescent="0.15">
      <c r="A17" s="93" t="s">
        <v>51</v>
      </c>
      <c r="B17" s="93" t="s">
        <v>157</v>
      </c>
      <c r="C17" s="93">
        <v>2019</v>
      </c>
      <c r="D17" s="101" t="s">
        <v>261</v>
      </c>
      <c r="E17" s="93" t="s">
        <v>139</v>
      </c>
      <c r="F17" s="93" t="s">
        <v>276</v>
      </c>
      <c r="G17" s="93" t="s">
        <v>42</v>
      </c>
      <c r="H17" s="93" t="s">
        <v>160</v>
      </c>
      <c r="I17" s="93" t="s">
        <v>159</v>
      </c>
      <c r="J17" s="93" t="s">
        <v>38</v>
      </c>
      <c r="K17" s="93" t="s">
        <v>161</v>
      </c>
      <c r="L17" s="93">
        <v>1</v>
      </c>
      <c r="N17" s="93">
        <v>4</v>
      </c>
      <c r="O17" s="93">
        <v>0.5</v>
      </c>
      <c r="P17" s="93">
        <v>0.65</v>
      </c>
      <c r="Q17" s="102">
        <f t="shared" si="0"/>
        <v>0.57499999999999996</v>
      </c>
      <c r="R17" s="93">
        <v>16.7</v>
      </c>
      <c r="S17" s="93">
        <v>108</v>
      </c>
      <c r="T17" s="103">
        <f t="shared" si="1"/>
        <v>33</v>
      </c>
      <c r="U17" s="93">
        <v>498</v>
      </c>
      <c r="V17" s="104">
        <f t="shared" si="2"/>
        <v>4108.5</v>
      </c>
      <c r="W17" s="93">
        <v>18</v>
      </c>
      <c r="X17" s="93" t="s">
        <v>46</v>
      </c>
      <c r="Y17" s="93" t="s">
        <v>69</v>
      </c>
      <c r="Z17" s="93" t="s">
        <v>55</v>
      </c>
      <c r="AA17" s="93" t="s">
        <v>97</v>
      </c>
      <c r="AB17" s="93" t="s">
        <v>158</v>
      </c>
      <c r="AE17" s="110" t="s">
        <v>219</v>
      </c>
      <c r="AP17" s="115" t="s">
        <v>220</v>
      </c>
      <c r="AR17" s="111" t="s">
        <v>96</v>
      </c>
      <c r="AV17" s="111" t="s">
        <v>86</v>
      </c>
    </row>
    <row r="18" spans="1:48" x14ac:dyDescent="0.15">
      <c r="A18" s="93" t="s">
        <v>51</v>
      </c>
      <c r="B18" s="93" t="s">
        <v>157</v>
      </c>
      <c r="C18" s="93">
        <v>2019</v>
      </c>
      <c r="D18" s="101" t="s">
        <v>261</v>
      </c>
      <c r="E18" s="93" t="s">
        <v>139</v>
      </c>
      <c r="F18" s="93" t="s">
        <v>276</v>
      </c>
      <c r="G18" s="93" t="s">
        <v>42</v>
      </c>
      <c r="H18" s="93" t="s">
        <v>160</v>
      </c>
      <c r="I18" s="93" t="s">
        <v>159</v>
      </c>
      <c r="J18" s="93" t="s">
        <v>38</v>
      </c>
      <c r="K18" s="93" t="s">
        <v>161</v>
      </c>
      <c r="L18" s="93">
        <v>2</v>
      </c>
      <c r="N18" s="93">
        <v>4</v>
      </c>
      <c r="O18" s="93">
        <v>0.6</v>
      </c>
      <c r="P18" s="93">
        <v>0.6</v>
      </c>
      <c r="Q18" s="102">
        <f t="shared" si="0"/>
        <v>0.6</v>
      </c>
      <c r="R18" s="93">
        <v>16.5</v>
      </c>
      <c r="S18" s="93">
        <v>112</v>
      </c>
      <c r="T18" s="103">
        <f t="shared" si="1"/>
        <v>33</v>
      </c>
      <c r="U18" s="93">
        <v>498</v>
      </c>
      <c r="V18" s="104">
        <f t="shared" si="2"/>
        <v>4108.5</v>
      </c>
      <c r="W18" s="93">
        <v>18</v>
      </c>
      <c r="X18" s="93" t="s">
        <v>46</v>
      </c>
      <c r="Y18" s="93" t="s">
        <v>69</v>
      </c>
      <c r="Z18" s="93" t="s">
        <v>55</v>
      </c>
      <c r="AA18" s="93" t="s">
        <v>97</v>
      </c>
      <c r="AB18" s="93" t="s">
        <v>158</v>
      </c>
      <c r="AE18" s="110" t="s">
        <v>212</v>
      </c>
      <c r="AP18" s="115" t="s">
        <v>221</v>
      </c>
      <c r="AR18" s="111" t="s">
        <v>101</v>
      </c>
      <c r="AV18" s="111" t="s">
        <v>88</v>
      </c>
    </row>
    <row r="19" spans="1:48" x14ac:dyDescent="0.15">
      <c r="A19" s="93" t="s">
        <v>51</v>
      </c>
      <c r="B19" s="93" t="s">
        <v>157</v>
      </c>
      <c r="C19" s="93">
        <v>2019</v>
      </c>
      <c r="D19" s="101" t="s">
        <v>261</v>
      </c>
      <c r="E19" s="93" t="s">
        <v>139</v>
      </c>
      <c r="F19" s="93" t="s">
        <v>276</v>
      </c>
      <c r="G19" s="93" t="s">
        <v>42</v>
      </c>
      <c r="H19" s="93" t="s">
        <v>160</v>
      </c>
      <c r="I19" s="93" t="s">
        <v>159</v>
      </c>
      <c r="J19" s="93" t="s">
        <v>38</v>
      </c>
      <c r="K19" s="93" t="s">
        <v>161</v>
      </c>
      <c r="L19" s="93">
        <v>3</v>
      </c>
      <c r="N19" s="93">
        <v>4</v>
      </c>
      <c r="O19" s="93">
        <v>0.7</v>
      </c>
      <c r="P19" s="93">
        <v>0.65</v>
      </c>
      <c r="Q19" s="102">
        <f t="shared" si="0"/>
        <v>0.67500000000000004</v>
      </c>
      <c r="R19" s="93">
        <v>17.2</v>
      </c>
      <c r="S19" s="93">
        <v>118</v>
      </c>
      <c r="T19" s="103">
        <f t="shared" si="1"/>
        <v>30</v>
      </c>
      <c r="U19" s="93">
        <v>498</v>
      </c>
      <c r="V19" s="104">
        <f t="shared" si="2"/>
        <v>3735</v>
      </c>
      <c r="W19" s="93">
        <v>18</v>
      </c>
      <c r="X19" s="93" t="s">
        <v>46</v>
      </c>
      <c r="Y19" s="93" t="s">
        <v>69</v>
      </c>
      <c r="Z19" s="93" t="s">
        <v>55</v>
      </c>
      <c r="AA19" s="93" t="s">
        <v>97</v>
      </c>
      <c r="AB19" s="93" t="s">
        <v>158</v>
      </c>
      <c r="AE19" s="121" t="s">
        <v>206</v>
      </c>
      <c r="AP19" s="115" t="s">
        <v>222</v>
      </c>
      <c r="AR19" s="111" t="s">
        <v>223</v>
      </c>
      <c r="AV19" s="111" t="s">
        <v>90</v>
      </c>
    </row>
    <row r="20" spans="1:48" x14ac:dyDescent="0.15">
      <c r="A20" s="93" t="s">
        <v>51</v>
      </c>
      <c r="B20" s="93" t="s">
        <v>157</v>
      </c>
      <c r="C20" s="93">
        <v>2019</v>
      </c>
      <c r="D20" s="101" t="s">
        <v>261</v>
      </c>
      <c r="E20" s="93" t="s">
        <v>270</v>
      </c>
      <c r="F20" s="93" t="s">
        <v>271</v>
      </c>
      <c r="G20" s="93" t="s">
        <v>36</v>
      </c>
      <c r="H20" s="93" t="s">
        <v>164</v>
      </c>
      <c r="I20" s="93" t="s">
        <v>159</v>
      </c>
      <c r="J20" s="93" t="s">
        <v>38</v>
      </c>
      <c r="K20" s="93" t="s">
        <v>161</v>
      </c>
      <c r="L20" s="93">
        <v>1</v>
      </c>
      <c r="N20" s="93">
        <v>1</v>
      </c>
      <c r="O20" s="93">
        <v>0.65</v>
      </c>
      <c r="P20" s="93">
        <v>0.65</v>
      </c>
      <c r="Q20" s="102">
        <f t="shared" si="0"/>
        <v>0.65</v>
      </c>
      <c r="R20" s="93">
        <v>16.3</v>
      </c>
      <c r="S20" s="93">
        <v>142</v>
      </c>
      <c r="T20" s="103">
        <f t="shared" si="1"/>
        <v>22</v>
      </c>
      <c r="U20" s="93">
        <v>98</v>
      </c>
      <c r="V20" s="104">
        <f t="shared" si="2"/>
        <v>2156</v>
      </c>
      <c r="W20" s="93">
        <v>10</v>
      </c>
      <c r="X20" s="93" t="s">
        <v>46</v>
      </c>
      <c r="Y20" s="93" t="s">
        <v>69</v>
      </c>
      <c r="Z20" s="93" t="s">
        <v>97</v>
      </c>
      <c r="AA20" s="93" t="s">
        <v>55</v>
      </c>
      <c r="AB20" s="93" t="s">
        <v>158</v>
      </c>
      <c r="AE20" s="121"/>
      <c r="AP20" s="115" t="s">
        <v>224</v>
      </c>
      <c r="AR20" s="111" t="s">
        <v>105</v>
      </c>
      <c r="AV20" s="115" t="s">
        <v>225</v>
      </c>
    </row>
    <row r="21" spans="1:48" x14ac:dyDescent="0.15">
      <c r="A21" s="93" t="s">
        <v>51</v>
      </c>
      <c r="B21" s="93" t="s">
        <v>157</v>
      </c>
      <c r="C21" s="93">
        <v>2019</v>
      </c>
      <c r="D21" s="101" t="s">
        <v>261</v>
      </c>
      <c r="E21" s="93" t="s">
        <v>270</v>
      </c>
      <c r="F21" s="93" t="s">
        <v>271</v>
      </c>
      <c r="G21" s="93" t="s">
        <v>36</v>
      </c>
      <c r="H21" s="93" t="s">
        <v>164</v>
      </c>
      <c r="I21" s="93" t="s">
        <v>159</v>
      </c>
      <c r="J21" s="93" t="s">
        <v>38</v>
      </c>
      <c r="K21" s="93" t="s">
        <v>161</v>
      </c>
      <c r="L21" s="93">
        <v>2</v>
      </c>
      <c r="N21" s="93">
        <v>1</v>
      </c>
      <c r="O21" s="93">
        <v>0.7</v>
      </c>
      <c r="P21" s="93">
        <v>0.55000000000000004</v>
      </c>
      <c r="Q21" s="102">
        <f t="shared" si="0"/>
        <v>0.625</v>
      </c>
      <c r="R21" s="93">
        <v>16.899999999999999</v>
      </c>
      <c r="S21" s="93">
        <v>146</v>
      </c>
      <c r="T21" s="103">
        <f t="shared" si="1"/>
        <v>22</v>
      </c>
      <c r="U21" s="93">
        <v>98</v>
      </c>
      <c r="V21" s="104">
        <f t="shared" si="2"/>
        <v>2156</v>
      </c>
      <c r="W21" s="93">
        <v>10</v>
      </c>
      <c r="X21" s="93" t="s">
        <v>46</v>
      </c>
      <c r="Y21" s="93" t="s">
        <v>69</v>
      </c>
      <c r="Z21" s="93" t="s">
        <v>97</v>
      </c>
      <c r="AA21" s="93" t="s">
        <v>55</v>
      </c>
      <c r="AB21" s="93" t="s">
        <v>158</v>
      </c>
      <c r="AE21" s="116"/>
      <c r="AP21" s="115" t="s">
        <v>226</v>
      </c>
      <c r="AR21" s="111" t="s">
        <v>68</v>
      </c>
      <c r="AV21" s="115" t="s">
        <v>227</v>
      </c>
    </row>
    <row r="22" spans="1:48" x14ac:dyDescent="0.15">
      <c r="A22" s="93" t="s">
        <v>51</v>
      </c>
      <c r="B22" s="93" t="s">
        <v>157</v>
      </c>
      <c r="C22" s="93">
        <v>2019</v>
      </c>
      <c r="D22" s="101" t="s">
        <v>261</v>
      </c>
      <c r="E22" s="93" t="s">
        <v>270</v>
      </c>
      <c r="F22" s="93" t="s">
        <v>271</v>
      </c>
      <c r="G22" s="93" t="s">
        <v>36</v>
      </c>
      <c r="H22" s="93" t="s">
        <v>164</v>
      </c>
      <c r="I22" s="93" t="s">
        <v>159</v>
      </c>
      <c r="J22" s="93" t="s">
        <v>38</v>
      </c>
      <c r="K22" s="93" t="s">
        <v>161</v>
      </c>
      <c r="L22" s="93">
        <v>3</v>
      </c>
      <c r="N22" s="93">
        <v>1</v>
      </c>
      <c r="O22" s="93">
        <v>0.7</v>
      </c>
      <c r="P22" s="93">
        <v>0.75</v>
      </c>
      <c r="Q22" s="102">
        <f t="shared" si="0"/>
        <v>0.72499999999999998</v>
      </c>
      <c r="R22" s="93">
        <v>16.600000000000001</v>
      </c>
      <c r="S22" s="93">
        <v>144</v>
      </c>
      <c r="T22" s="103">
        <f t="shared" si="1"/>
        <v>22</v>
      </c>
      <c r="U22" s="93">
        <v>98</v>
      </c>
      <c r="V22" s="104">
        <f t="shared" si="2"/>
        <v>2156</v>
      </c>
      <c r="W22" s="93">
        <v>10</v>
      </c>
      <c r="X22" s="93" t="s">
        <v>46</v>
      </c>
      <c r="Y22" s="93" t="s">
        <v>69</v>
      </c>
      <c r="Z22" s="93" t="s">
        <v>97</v>
      </c>
      <c r="AA22" s="93" t="s">
        <v>55</v>
      </c>
      <c r="AB22" s="93" t="s">
        <v>158</v>
      </c>
      <c r="AP22" s="115" t="s">
        <v>228</v>
      </c>
      <c r="AR22" s="111" t="s">
        <v>83</v>
      </c>
      <c r="AV22" s="115"/>
    </row>
    <row r="23" spans="1:48" x14ac:dyDescent="0.15">
      <c r="A23" s="93" t="s">
        <v>51</v>
      </c>
      <c r="B23" s="93" t="s">
        <v>157</v>
      </c>
      <c r="C23" s="93">
        <v>2019</v>
      </c>
      <c r="D23" s="101" t="s">
        <v>261</v>
      </c>
      <c r="E23" s="93" t="s">
        <v>270</v>
      </c>
      <c r="F23" s="93" t="s">
        <v>271</v>
      </c>
      <c r="G23" s="93" t="s">
        <v>36</v>
      </c>
      <c r="H23" s="93" t="s">
        <v>160</v>
      </c>
      <c r="I23" s="93" t="s">
        <v>159</v>
      </c>
      <c r="J23" s="93" t="s">
        <v>38</v>
      </c>
      <c r="K23" s="93" t="s">
        <v>161</v>
      </c>
      <c r="L23" s="93">
        <v>1</v>
      </c>
      <c r="N23" s="93">
        <v>1</v>
      </c>
      <c r="O23" s="93">
        <v>0.65</v>
      </c>
      <c r="P23" s="93">
        <v>0.6</v>
      </c>
      <c r="Q23" s="102">
        <f t="shared" si="0"/>
        <v>0.625</v>
      </c>
      <c r="R23" s="93">
        <v>17.399999999999999</v>
      </c>
      <c r="S23" s="93">
        <v>136</v>
      </c>
      <c r="T23" s="103">
        <f t="shared" si="1"/>
        <v>25</v>
      </c>
      <c r="U23" s="93">
        <v>128</v>
      </c>
      <c r="V23" s="104">
        <f t="shared" si="2"/>
        <v>3200</v>
      </c>
      <c r="W23" s="93">
        <v>10</v>
      </c>
      <c r="X23" s="93" t="s">
        <v>46</v>
      </c>
      <c r="Y23" s="93" t="s">
        <v>69</v>
      </c>
      <c r="Z23" s="93" t="s">
        <v>97</v>
      </c>
      <c r="AA23" s="93" t="s">
        <v>55</v>
      </c>
      <c r="AB23" s="93" t="s">
        <v>158</v>
      </c>
      <c r="AP23" s="115" t="s">
        <v>277</v>
      </c>
      <c r="AR23" s="111" t="s">
        <v>61</v>
      </c>
    </row>
    <row r="24" spans="1:48" x14ac:dyDescent="0.15">
      <c r="A24" s="93" t="s">
        <v>51</v>
      </c>
      <c r="B24" s="93" t="s">
        <v>157</v>
      </c>
      <c r="C24" s="93">
        <v>2019</v>
      </c>
      <c r="D24" s="101" t="s">
        <v>261</v>
      </c>
      <c r="E24" s="93" t="s">
        <v>270</v>
      </c>
      <c r="F24" s="93" t="s">
        <v>271</v>
      </c>
      <c r="G24" s="93" t="s">
        <v>36</v>
      </c>
      <c r="H24" s="93" t="s">
        <v>160</v>
      </c>
      <c r="I24" s="93" t="s">
        <v>159</v>
      </c>
      <c r="J24" s="93" t="s">
        <v>38</v>
      </c>
      <c r="K24" s="93" t="s">
        <v>161</v>
      </c>
      <c r="L24" s="93">
        <v>2</v>
      </c>
      <c r="N24" s="93">
        <v>1</v>
      </c>
      <c r="O24" s="93">
        <v>0.6</v>
      </c>
      <c r="P24" s="93">
        <v>0.6</v>
      </c>
      <c r="Q24" s="102">
        <f t="shared" si="0"/>
        <v>0.6</v>
      </c>
      <c r="R24" s="93">
        <v>18</v>
      </c>
      <c r="S24" s="93">
        <v>136</v>
      </c>
      <c r="T24" s="103">
        <f t="shared" si="1"/>
        <v>25</v>
      </c>
      <c r="U24" s="93">
        <v>128</v>
      </c>
      <c r="V24" s="104">
        <f t="shared" si="2"/>
        <v>3200</v>
      </c>
      <c r="W24" s="93">
        <v>10</v>
      </c>
      <c r="X24" s="93" t="s">
        <v>46</v>
      </c>
      <c r="Y24" s="93" t="s">
        <v>69</v>
      </c>
      <c r="Z24" s="93" t="s">
        <v>97</v>
      </c>
      <c r="AA24" s="93" t="s">
        <v>55</v>
      </c>
      <c r="AB24" s="93" t="s">
        <v>158</v>
      </c>
      <c r="AP24" s="115" t="s">
        <v>278</v>
      </c>
      <c r="AR24" s="111" t="s">
        <v>91</v>
      </c>
    </row>
    <row r="25" spans="1:48" x14ac:dyDescent="0.15">
      <c r="A25" s="93" t="s">
        <v>51</v>
      </c>
      <c r="B25" s="93" t="s">
        <v>157</v>
      </c>
      <c r="C25" s="93">
        <v>2019</v>
      </c>
      <c r="D25" s="101" t="s">
        <v>261</v>
      </c>
      <c r="E25" s="93" t="s">
        <v>270</v>
      </c>
      <c r="F25" s="93" t="s">
        <v>271</v>
      </c>
      <c r="G25" s="93" t="s">
        <v>36</v>
      </c>
      <c r="H25" s="93" t="s">
        <v>160</v>
      </c>
      <c r="I25" s="93" t="s">
        <v>159</v>
      </c>
      <c r="J25" s="93" t="s">
        <v>38</v>
      </c>
      <c r="K25" s="93" t="s">
        <v>161</v>
      </c>
      <c r="L25" s="93">
        <v>3</v>
      </c>
      <c r="N25" s="93">
        <v>1</v>
      </c>
      <c r="O25" s="93">
        <v>0.6</v>
      </c>
      <c r="P25" s="93">
        <v>0.7</v>
      </c>
      <c r="Q25" s="102">
        <f t="shared" si="0"/>
        <v>0.64999999999999991</v>
      </c>
      <c r="R25" s="93">
        <v>17.7</v>
      </c>
      <c r="S25" s="93">
        <v>136</v>
      </c>
      <c r="T25" s="103">
        <f t="shared" si="1"/>
        <v>25</v>
      </c>
      <c r="U25" s="93">
        <v>128</v>
      </c>
      <c r="V25" s="104">
        <f t="shared" si="2"/>
        <v>3200</v>
      </c>
      <c r="W25" s="93">
        <v>10</v>
      </c>
      <c r="X25" s="93" t="s">
        <v>46</v>
      </c>
      <c r="Y25" s="93" t="s">
        <v>69</v>
      </c>
      <c r="Z25" s="93" t="s">
        <v>97</v>
      </c>
      <c r="AA25" s="93" t="s">
        <v>55</v>
      </c>
      <c r="AB25" s="93" t="s">
        <v>158</v>
      </c>
      <c r="AP25" s="115" t="s">
        <v>279</v>
      </c>
      <c r="AR25" s="115" t="s">
        <v>51</v>
      </c>
    </row>
    <row r="26" spans="1:48" x14ac:dyDescent="0.15">
      <c r="A26" s="93" t="s">
        <v>51</v>
      </c>
      <c r="B26" s="93" t="s">
        <v>157</v>
      </c>
      <c r="C26" s="93">
        <v>2019</v>
      </c>
      <c r="D26" s="101" t="s">
        <v>261</v>
      </c>
      <c r="E26" s="93" t="s">
        <v>210</v>
      </c>
      <c r="F26" s="93" t="s">
        <v>264</v>
      </c>
      <c r="G26" s="93" t="s">
        <v>42</v>
      </c>
      <c r="H26" s="93" t="s">
        <v>164</v>
      </c>
      <c r="I26" s="93" t="s">
        <v>159</v>
      </c>
      <c r="J26" s="93" t="s">
        <v>38</v>
      </c>
      <c r="K26" s="93" t="s">
        <v>161</v>
      </c>
      <c r="L26" s="93">
        <v>1</v>
      </c>
      <c r="N26" s="93">
        <v>1</v>
      </c>
      <c r="O26" s="93">
        <v>0.85</v>
      </c>
      <c r="P26" s="93">
        <v>0.9</v>
      </c>
      <c r="Q26" s="102">
        <f t="shared" si="0"/>
        <v>0.875</v>
      </c>
      <c r="R26" s="93">
        <v>15.9</v>
      </c>
      <c r="S26" s="93">
        <v>114</v>
      </c>
      <c r="T26" s="103">
        <f t="shared" si="1"/>
        <v>30</v>
      </c>
      <c r="U26" s="93">
        <v>89</v>
      </c>
      <c r="V26" s="104">
        <f t="shared" si="2"/>
        <v>2670</v>
      </c>
      <c r="W26" s="93">
        <v>16</v>
      </c>
      <c r="X26" s="93" t="s">
        <v>46</v>
      </c>
      <c r="Y26" s="93" t="s">
        <v>55</v>
      </c>
      <c r="Z26" s="93" t="s">
        <v>97</v>
      </c>
      <c r="AA26" s="93" t="s">
        <v>69</v>
      </c>
      <c r="AB26" s="93" t="s">
        <v>158</v>
      </c>
      <c r="AP26" s="115" t="s">
        <v>229</v>
      </c>
      <c r="AR26" s="93" t="s">
        <v>230</v>
      </c>
    </row>
    <row r="27" spans="1:48" x14ac:dyDescent="0.15">
      <c r="A27" s="93" t="s">
        <v>51</v>
      </c>
      <c r="B27" s="93" t="s">
        <v>157</v>
      </c>
      <c r="C27" s="93">
        <v>2019</v>
      </c>
      <c r="D27" s="101" t="s">
        <v>261</v>
      </c>
      <c r="E27" s="93" t="s">
        <v>210</v>
      </c>
      <c r="F27" s="93" t="s">
        <v>264</v>
      </c>
      <c r="G27" s="93" t="s">
        <v>42</v>
      </c>
      <c r="H27" s="93" t="s">
        <v>164</v>
      </c>
      <c r="I27" s="93" t="s">
        <v>159</v>
      </c>
      <c r="J27" s="93" t="s">
        <v>38</v>
      </c>
      <c r="K27" s="93" t="s">
        <v>161</v>
      </c>
      <c r="L27" s="93">
        <v>2</v>
      </c>
      <c r="N27" s="93">
        <v>1</v>
      </c>
      <c r="O27" s="93">
        <v>0.9</v>
      </c>
      <c r="P27" s="93">
        <v>0.9</v>
      </c>
      <c r="Q27" s="102">
        <f t="shared" si="0"/>
        <v>0.9</v>
      </c>
      <c r="R27" s="93">
        <v>15.7</v>
      </c>
      <c r="S27" s="93">
        <v>110</v>
      </c>
      <c r="T27" s="103">
        <f t="shared" si="1"/>
        <v>33</v>
      </c>
      <c r="U27" s="93">
        <v>89</v>
      </c>
      <c r="V27" s="104">
        <f t="shared" si="2"/>
        <v>2937</v>
      </c>
      <c r="W27" s="93">
        <v>16</v>
      </c>
      <c r="X27" s="93" t="s">
        <v>46</v>
      </c>
      <c r="Y27" s="93" t="s">
        <v>55</v>
      </c>
      <c r="Z27" s="93" t="s">
        <v>97</v>
      </c>
      <c r="AA27" s="93" t="s">
        <v>69</v>
      </c>
      <c r="AB27" s="93" t="s">
        <v>158</v>
      </c>
      <c r="AP27" s="115" t="s">
        <v>231</v>
      </c>
    </row>
    <row r="28" spans="1:48" x14ac:dyDescent="0.15">
      <c r="A28" s="93" t="s">
        <v>51</v>
      </c>
      <c r="B28" s="93" t="s">
        <v>157</v>
      </c>
      <c r="C28" s="93">
        <v>2019</v>
      </c>
      <c r="D28" s="101" t="s">
        <v>261</v>
      </c>
      <c r="E28" s="93" t="s">
        <v>210</v>
      </c>
      <c r="F28" s="93" t="s">
        <v>264</v>
      </c>
      <c r="G28" s="93" t="s">
        <v>42</v>
      </c>
      <c r="H28" s="93" t="s">
        <v>164</v>
      </c>
      <c r="I28" s="93" t="s">
        <v>159</v>
      </c>
      <c r="J28" s="93" t="s">
        <v>38</v>
      </c>
      <c r="K28" s="93" t="s">
        <v>161</v>
      </c>
      <c r="L28" s="93">
        <v>3</v>
      </c>
      <c r="N28" s="93">
        <v>1</v>
      </c>
      <c r="O28" s="93">
        <v>0.8</v>
      </c>
      <c r="P28" s="93">
        <v>0.8</v>
      </c>
      <c r="Q28" s="102">
        <f t="shared" si="0"/>
        <v>0.8</v>
      </c>
      <c r="R28" s="93">
        <v>16.3</v>
      </c>
      <c r="S28" s="93">
        <v>116</v>
      </c>
      <c r="T28" s="103">
        <f t="shared" si="1"/>
        <v>30</v>
      </c>
      <c r="U28" s="93">
        <v>89</v>
      </c>
      <c r="V28" s="104">
        <f t="shared" si="2"/>
        <v>2670</v>
      </c>
      <c r="W28" s="93">
        <v>16</v>
      </c>
      <c r="X28" s="93" t="s">
        <v>46</v>
      </c>
      <c r="Y28" s="93" t="s">
        <v>55</v>
      </c>
      <c r="Z28" s="93" t="s">
        <v>97</v>
      </c>
      <c r="AA28" s="93" t="s">
        <v>69</v>
      </c>
      <c r="AB28" s="93" t="s">
        <v>158</v>
      </c>
    </row>
    <row r="29" spans="1:48" x14ac:dyDescent="0.15">
      <c r="A29" s="93" t="s">
        <v>51</v>
      </c>
      <c r="B29" s="93" t="s">
        <v>157</v>
      </c>
      <c r="C29" s="93">
        <v>2019</v>
      </c>
      <c r="D29" s="101" t="s">
        <v>261</v>
      </c>
      <c r="E29" s="93" t="s">
        <v>210</v>
      </c>
      <c r="F29" s="93" t="s">
        <v>264</v>
      </c>
      <c r="G29" s="93" t="s">
        <v>42</v>
      </c>
      <c r="H29" s="93" t="s">
        <v>160</v>
      </c>
      <c r="I29" s="93" t="s">
        <v>159</v>
      </c>
      <c r="J29" s="93" t="s">
        <v>38</v>
      </c>
      <c r="K29" s="93" t="s">
        <v>161</v>
      </c>
      <c r="L29" s="93">
        <v>1</v>
      </c>
      <c r="N29" s="93">
        <v>1</v>
      </c>
      <c r="O29" s="93">
        <v>0.75</v>
      </c>
      <c r="P29" s="93">
        <v>0.75</v>
      </c>
      <c r="Q29" s="102">
        <f t="shared" si="0"/>
        <v>0.75</v>
      </c>
      <c r="R29" s="93">
        <v>16.2</v>
      </c>
      <c r="S29" s="93">
        <v>130</v>
      </c>
      <c r="T29" s="103">
        <f t="shared" si="1"/>
        <v>25</v>
      </c>
      <c r="U29" s="93">
        <v>89</v>
      </c>
      <c r="V29" s="104">
        <f t="shared" si="2"/>
        <v>2225</v>
      </c>
      <c r="W29" s="93">
        <v>16</v>
      </c>
      <c r="X29" s="93" t="s">
        <v>46</v>
      </c>
      <c r="Y29" s="93" t="s">
        <v>55</v>
      </c>
      <c r="Z29" s="93" t="s">
        <v>97</v>
      </c>
      <c r="AA29" s="93" t="s">
        <v>69</v>
      </c>
      <c r="AB29" s="93" t="s">
        <v>158</v>
      </c>
    </row>
    <row r="30" spans="1:48" x14ac:dyDescent="0.15">
      <c r="A30" s="93" t="s">
        <v>51</v>
      </c>
      <c r="B30" s="93" t="s">
        <v>157</v>
      </c>
      <c r="C30" s="93">
        <v>2019</v>
      </c>
      <c r="D30" s="101" t="s">
        <v>261</v>
      </c>
      <c r="E30" s="93" t="s">
        <v>210</v>
      </c>
      <c r="F30" s="93" t="s">
        <v>264</v>
      </c>
      <c r="G30" s="93" t="s">
        <v>42</v>
      </c>
      <c r="H30" s="93" t="s">
        <v>160</v>
      </c>
      <c r="I30" s="93" t="s">
        <v>159</v>
      </c>
      <c r="J30" s="93" t="s">
        <v>38</v>
      </c>
      <c r="K30" s="93" t="s">
        <v>161</v>
      </c>
      <c r="L30" s="93">
        <v>2</v>
      </c>
      <c r="N30" s="93">
        <v>1</v>
      </c>
      <c r="O30" s="93">
        <v>0.7</v>
      </c>
      <c r="P30" s="93">
        <v>0.65</v>
      </c>
      <c r="Q30" s="102">
        <f t="shared" si="0"/>
        <v>0.67500000000000004</v>
      </c>
      <c r="R30" s="93">
        <v>16.8</v>
      </c>
      <c r="S30" s="93">
        <v>130</v>
      </c>
      <c r="T30" s="103">
        <f t="shared" si="1"/>
        <v>25</v>
      </c>
      <c r="U30" s="93">
        <v>89</v>
      </c>
      <c r="V30" s="104">
        <f t="shared" si="2"/>
        <v>2225</v>
      </c>
      <c r="W30" s="93">
        <v>16</v>
      </c>
      <c r="X30" s="93" t="s">
        <v>46</v>
      </c>
      <c r="Y30" s="93" t="s">
        <v>55</v>
      </c>
      <c r="Z30" s="93" t="s">
        <v>97</v>
      </c>
      <c r="AA30" s="93" t="s">
        <v>69</v>
      </c>
      <c r="AB30" s="93" t="s">
        <v>158</v>
      </c>
    </row>
    <row r="31" spans="1:48" x14ac:dyDescent="0.15">
      <c r="A31" s="93" t="s">
        <v>51</v>
      </c>
      <c r="B31" s="93" t="s">
        <v>157</v>
      </c>
      <c r="C31" s="93">
        <v>2019</v>
      </c>
      <c r="D31" s="101" t="s">
        <v>261</v>
      </c>
      <c r="E31" s="93" t="s">
        <v>210</v>
      </c>
      <c r="F31" s="93" t="s">
        <v>264</v>
      </c>
      <c r="G31" s="93" t="s">
        <v>42</v>
      </c>
      <c r="H31" s="93" t="s">
        <v>160</v>
      </c>
      <c r="I31" s="93" t="s">
        <v>159</v>
      </c>
      <c r="J31" s="93" t="s">
        <v>38</v>
      </c>
      <c r="K31" s="93" t="s">
        <v>161</v>
      </c>
      <c r="L31" s="93">
        <v>3</v>
      </c>
      <c r="N31" s="93">
        <v>1</v>
      </c>
      <c r="O31" s="93">
        <v>0.75</v>
      </c>
      <c r="P31" s="93">
        <v>0.7</v>
      </c>
      <c r="Q31" s="102">
        <f t="shared" si="0"/>
        <v>0.72499999999999998</v>
      </c>
      <c r="R31" s="93">
        <v>17.100000000000001</v>
      </c>
      <c r="S31" s="93">
        <v>136</v>
      </c>
      <c r="T31" s="103">
        <f t="shared" si="1"/>
        <v>25</v>
      </c>
      <c r="U31" s="93">
        <v>89</v>
      </c>
      <c r="V31" s="104">
        <f t="shared" si="2"/>
        <v>2225</v>
      </c>
      <c r="W31" s="93">
        <v>16</v>
      </c>
      <c r="X31" s="93" t="s">
        <v>46</v>
      </c>
      <c r="Y31" s="93" t="s">
        <v>55</v>
      </c>
      <c r="Z31" s="93" t="s">
        <v>97</v>
      </c>
      <c r="AA31" s="93" t="s">
        <v>69</v>
      </c>
      <c r="AB31" s="93" t="s">
        <v>158</v>
      </c>
    </row>
    <row r="32" spans="1:48" x14ac:dyDescent="0.15">
      <c r="A32" s="93" t="s">
        <v>51</v>
      </c>
      <c r="B32" s="93" t="s">
        <v>157</v>
      </c>
      <c r="C32" s="93">
        <v>2019</v>
      </c>
      <c r="D32" s="101" t="s">
        <v>261</v>
      </c>
      <c r="E32" s="93" t="s">
        <v>272</v>
      </c>
      <c r="F32" s="93" t="s">
        <v>264</v>
      </c>
      <c r="G32" s="93" t="s">
        <v>42</v>
      </c>
      <c r="H32" s="93" t="s">
        <v>164</v>
      </c>
      <c r="I32" s="93" t="s">
        <v>159</v>
      </c>
      <c r="J32" s="93" t="s">
        <v>38</v>
      </c>
      <c r="K32" s="93" t="s">
        <v>161</v>
      </c>
      <c r="L32" s="93">
        <v>1</v>
      </c>
      <c r="N32" s="93">
        <v>1</v>
      </c>
      <c r="O32" s="93">
        <v>0.9</v>
      </c>
      <c r="P32" s="93">
        <v>1</v>
      </c>
      <c r="Q32" s="102">
        <f t="shared" si="0"/>
        <v>0.95</v>
      </c>
      <c r="R32" s="93">
        <v>14.9</v>
      </c>
      <c r="S32" s="93">
        <v>95</v>
      </c>
      <c r="T32" s="103">
        <f t="shared" si="1"/>
        <v>36</v>
      </c>
      <c r="U32" s="93">
        <v>58</v>
      </c>
      <c r="V32" s="104">
        <f t="shared" si="2"/>
        <v>2088</v>
      </c>
      <c r="W32" s="93">
        <v>14</v>
      </c>
      <c r="X32" s="93" t="s">
        <v>46</v>
      </c>
      <c r="Y32" s="93" t="s">
        <v>88</v>
      </c>
      <c r="Z32" s="93" t="s">
        <v>78</v>
      </c>
      <c r="AA32" s="93" t="s">
        <v>97</v>
      </c>
      <c r="AB32" s="93" t="s">
        <v>158</v>
      </c>
    </row>
    <row r="33" spans="1:28" x14ac:dyDescent="0.15">
      <c r="A33" s="93" t="s">
        <v>51</v>
      </c>
      <c r="B33" s="93" t="s">
        <v>157</v>
      </c>
      <c r="C33" s="93">
        <v>2019</v>
      </c>
      <c r="D33" s="101" t="s">
        <v>261</v>
      </c>
      <c r="E33" s="93" t="s">
        <v>272</v>
      </c>
      <c r="F33" s="93" t="s">
        <v>264</v>
      </c>
      <c r="G33" s="93" t="s">
        <v>42</v>
      </c>
      <c r="H33" s="93" t="s">
        <v>164</v>
      </c>
      <c r="I33" s="93" t="s">
        <v>159</v>
      </c>
      <c r="J33" s="93" t="s">
        <v>38</v>
      </c>
      <c r="K33" s="93" t="s">
        <v>161</v>
      </c>
      <c r="L33" s="93">
        <v>2</v>
      </c>
      <c r="N33" s="93">
        <v>1</v>
      </c>
      <c r="O33" s="93">
        <v>0.95</v>
      </c>
      <c r="P33" s="93">
        <v>0.85</v>
      </c>
      <c r="Q33" s="102">
        <f t="shared" si="0"/>
        <v>0.89999999999999991</v>
      </c>
      <c r="R33" s="93">
        <v>15.1</v>
      </c>
      <c r="S33" s="93">
        <v>96</v>
      </c>
      <c r="T33" s="103">
        <f t="shared" si="1"/>
        <v>36</v>
      </c>
      <c r="U33" s="93">
        <v>58</v>
      </c>
      <c r="V33" s="104">
        <f t="shared" si="2"/>
        <v>2088</v>
      </c>
      <c r="W33" s="93">
        <v>14</v>
      </c>
      <c r="X33" s="93" t="s">
        <v>46</v>
      </c>
      <c r="Y33" s="93" t="s">
        <v>88</v>
      </c>
      <c r="Z33" s="93" t="s">
        <v>78</v>
      </c>
      <c r="AA33" s="93" t="s">
        <v>97</v>
      </c>
      <c r="AB33" s="93" t="s">
        <v>158</v>
      </c>
    </row>
    <row r="34" spans="1:28" x14ac:dyDescent="0.15">
      <c r="A34" s="93" t="s">
        <v>51</v>
      </c>
      <c r="B34" s="93" t="s">
        <v>157</v>
      </c>
      <c r="C34" s="93">
        <v>2019</v>
      </c>
      <c r="D34" s="101" t="s">
        <v>261</v>
      </c>
      <c r="E34" s="93" t="s">
        <v>272</v>
      </c>
      <c r="F34" s="93" t="s">
        <v>264</v>
      </c>
      <c r="G34" s="93" t="s">
        <v>42</v>
      </c>
      <c r="H34" s="93" t="s">
        <v>164</v>
      </c>
      <c r="I34" s="93" t="s">
        <v>159</v>
      </c>
      <c r="J34" s="93" t="s">
        <v>38</v>
      </c>
      <c r="K34" s="93" t="s">
        <v>161</v>
      </c>
      <c r="L34" s="93">
        <v>3</v>
      </c>
      <c r="N34" s="93">
        <v>1</v>
      </c>
      <c r="O34" s="93">
        <v>0.85</v>
      </c>
      <c r="P34" s="93">
        <v>0.9</v>
      </c>
      <c r="Q34" s="102">
        <f t="shared" si="0"/>
        <v>0.875</v>
      </c>
      <c r="R34" s="93">
        <v>15.4</v>
      </c>
      <c r="S34" s="93">
        <v>108</v>
      </c>
      <c r="T34" s="103">
        <f t="shared" si="1"/>
        <v>33</v>
      </c>
      <c r="U34" s="93">
        <v>58</v>
      </c>
      <c r="V34" s="104">
        <f t="shared" si="2"/>
        <v>1914</v>
      </c>
      <c r="W34" s="93">
        <v>14</v>
      </c>
      <c r="X34" s="93" t="s">
        <v>46</v>
      </c>
      <c r="Y34" s="93" t="s">
        <v>88</v>
      </c>
      <c r="Z34" s="93" t="s">
        <v>78</v>
      </c>
      <c r="AA34" s="93" t="s">
        <v>97</v>
      </c>
      <c r="AB34" s="93" t="s">
        <v>158</v>
      </c>
    </row>
    <row r="35" spans="1:28" x14ac:dyDescent="0.15">
      <c r="A35" s="93" t="s">
        <v>51</v>
      </c>
      <c r="B35" s="93" t="s">
        <v>157</v>
      </c>
      <c r="C35" s="93">
        <v>2019</v>
      </c>
      <c r="D35" s="101" t="s">
        <v>261</v>
      </c>
      <c r="E35" s="93" t="s">
        <v>272</v>
      </c>
      <c r="F35" s="93" t="s">
        <v>264</v>
      </c>
      <c r="G35" s="93" t="s">
        <v>42</v>
      </c>
      <c r="H35" s="93" t="s">
        <v>164</v>
      </c>
      <c r="I35" s="93" t="s">
        <v>198</v>
      </c>
      <c r="J35" s="93" t="s">
        <v>38</v>
      </c>
      <c r="K35" s="93" t="s">
        <v>161</v>
      </c>
      <c r="L35" s="93">
        <v>1</v>
      </c>
      <c r="N35" s="93">
        <v>4</v>
      </c>
      <c r="O35" s="93">
        <v>0.8</v>
      </c>
      <c r="P35" s="93">
        <v>0.8</v>
      </c>
      <c r="Q35" s="102">
        <f t="shared" si="0"/>
        <v>0.8</v>
      </c>
      <c r="R35" s="93">
        <v>16</v>
      </c>
      <c r="S35" s="93">
        <v>108</v>
      </c>
      <c r="T35" s="103">
        <f t="shared" si="1"/>
        <v>33</v>
      </c>
      <c r="U35" s="93">
        <v>398</v>
      </c>
      <c r="V35" s="104">
        <f t="shared" si="2"/>
        <v>3283.5</v>
      </c>
      <c r="W35" s="93">
        <v>14</v>
      </c>
      <c r="X35" s="93" t="s">
        <v>46</v>
      </c>
      <c r="Y35" s="93" t="s">
        <v>88</v>
      </c>
      <c r="Z35" s="93" t="s">
        <v>78</v>
      </c>
      <c r="AA35" s="93" t="s">
        <v>97</v>
      </c>
      <c r="AB35" s="93" t="s">
        <v>158</v>
      </c>
    </row>
    <row r="36" spans="1:28" x14ac:dyDescent="0.15">
      <c r="A36" s="93" t="s">
        <v>51</v>
      </c>
      <c r="B36" s="93" t="s">
        <v>157</v>
      </c>
      <c r="C36" s="93">
        <v>2019</v>
      </c>
      <c r="D36" s="101" t="s">
        <v>261</v>
      </c>
      <c r="E36" s="93" t="s">
        <v>272</v>
      </c>
      <c r="F36" s="93" t="s">
        <v>264</v>
      </c>
      <c r="G36" s="93" t="s">
        <v>42</v>
      </c>
      <c r="H36" s="93" t="s">
        <v>164</v>
      </c>
      <c r="I36" s="93" t="s">
        <v>198</v>
      </c>
      <c r="J36" s="93" t="s">
        <v>38</v>
      </c>
      <c r="K36" s="93" t="s">
        <v>161</v>
      </c>
      <c r="L36" s="93">
        <v>2</v>
      </c>
      <c r="N36" s="93">
        <v>4</v>
      </c>
      <c r="O36" s="93">
        <v>0.75</v>
      </c>
      <c r="P36" s="93">
        <v>0.7</v>
      </c>
      <c r="Q36" s="102">
        <f t="shared" si="0"/>
        <v>0.72499999999999998</v>
      </c>
      <c r="R36" s="93">
        <v>15.8</v>
      </c>
      <c r="S36" s="93">
        <v>93</v>
      </c>
      <c r="T36" s="103">
        <f t="shared" si="1"/>
        <v>36</v>
      </c>
      <c r="U36" s="93">
        <v>398</v>
      </c>
      <c r="V36" s="104">
        <f t="shared" si="2"/>
        <v>3582</v>
      </c>
      <c r="W36" s="93">
        <v>14</v>
      </c>
      <c r="X36" s="93" t="s">
        <v>46</v>
      </c>
      <c r="Y36" s="93" t="s">
        <v>88</v>
      </c>
      <c r="Z36" s="93" t="s">
        <v>78</v>
      </c>
      <c r="AA36" s="93" t="s">
        <v>97</v>
      </c>
      <c r="AB36" s="93" t="s">
        <v>158</v>
      </c>
    </row>
    <row r="37" spans="1:28" x14ac:dyDescent="0.15">
      <c r="A37" s="93" t="s">
        <v>51</v>
      </c>
      <c r="B37" s="93" t="s">
        <v>157</v>
      </c>
      <c r="C37" s="93">
        <v>2019</v>
      </c>
      <c r="D37" s="101" t="s">
        <v>261</v>
      </c>
      <c r="E37" s="93" t="s">
        <v>272</v>
      </c>
      <c r="F37" s="93" t="s">
        <v>264</v>
      </c>
      <c r="G37" s="93" t="s">
        <v>42</v>
      </c>
      <c r="H37" s="93" t="s">
        <v>164</v>
      </c>
      <c r="I37" s="93" t="s">
        <v>198</v>
      </c>
      <c r="J37" s="93" t="s">
        <v>38</v>
      </c>
      <c r="K37" s="93" t="s">
        <v>161</v>
      </c>
      <c r="L37" s="93">
        <v>3</v>
      </c>
      <c r="N37" s="93">
        <v>4</v>
      </c>
      <c r="O37" s="93">
        <v>0.65</v>
      </c>
      <c r="P37" s="93">
        <v>0.75</v>
      </c>
      <c r="Q37" s="102">
        <f t="shared" si="0"/>
        <v>0.7</v>
      </c>
      <c r="R37" s="93">
        <v>15.6</v>
      </c>
      <c r="S37" s="93">
        <v>93</v>
      </c>
      <c r="T37" s="103">
        <f t="shared" si="1"/>
        <v>36</v>
      </c>
      <c r="U37" s="93">
        <v>398</v>
      </c>
      <c r="V37" s="104">
        <f t="shared" si="2"/>
        <v>3582</v>
      </c>
      <c r="W37" s="93">
        <v>14</v>
      </c>
      <c r="X37" s="93" t="s">
        <v>46</v>
      </c>
      <c r="Y37" s="93" t="s">
        <v>88</v>
      </c>
      <c r="Z37" s="93" t="s">
        <v>78</v>
      </c>
      <c r="AA37" s="93" t="s">
        <v>97</v>
      </c>
      <c r="AB37" s="93" t="s">
        <v>158</v>
      </c>
    </row>
    <row r="38" spans="1:28" x14ac:dyDescent="0.15">
      <c r="A38" s="93" t="s">
        <v>51</v>
      </c>
      <c r="B38" s="93" t="s">
        <v>157</v>
      </c>
      <c r="C38" s="93">
        <v>2019</v>
      </c>
      <c r="D38" s="101" t="s">
        <v>261</v>
      </c>
      <c r="E38" s="93" t="s">
        <v>272</v>
      </c>
      <c r="F38" s="93" t="s">
        <v>264</v>
      </c>
      <c r="G38" s="93" t="s">
        <v>42</v>
      </c>
      <c r="H38" s="93" t="s">
        <v>193</v>
      </c>
      <c r="I38" s="93" t="s">
        <v>159</v>
      </c>
      <c r="J38" s="93" t="s">
        <v>38</v>
      </c>
      <c r="K38" s="93" t="s">
        <v>161</v>
      </c>
      <c r="L38" s="93">
        <v>1</v>
      </c>
      <c r="N38" s="93">
        <v>5</v>
      </c>
      <c r="O38" s="93">
        <v>0.5</v>
      </c>
      <c r="P38" s="93">
        <v>0.5</v>
      </c>
      <c r="Q38" s="102">
        <f t="shared" si="0"/>
        <v>0.5</v>
      </c>
      <c r="R38" s="93">
        <v>16.3</v>
      </c>
      <c r="S38" s="93">
        <v>89</v>
      </c>
      <c r="T38" s="103">
        <f t="shared" si="1"/>
        <v>36</v>
      </c>
      <c r="U38" s="93">
        <v>398</v>
      </c>
      <c r="V38" s="104">
        <f t="shared" si="2"/>
        <v>2865.6</v>
      </c>
      <c r="W38" s="93">
        <v>14</v>
      </c>
      <c r="X38" s="93" t="s">
        <v>46</v>
      </c>
      <c r="Y38" s="93" t="s">
        <v>88</v>
      </c>
      <c r="Z38" s="93" t="s">
        <v>78</v>
      </c>
      <c r="AA38" s="93" t="s">
        <v>97</v>
      </c>
      <c r="AB38" s="93" t="s">
        <v>158</v>
      </c>
    </row>
    <row r="39" spans="1:28" x14ac:dyDescent="0.15">
      <c r="A39" s="93" t="s">
        <v>51</v>
      </c>
      <c r="B39" s="93" t="s">
        <v>157</v>
      </c>
      <c r="C39" s="93">
        <v>2019</v>
      </c>
      <c r="D39" s="101" t="s">
        <v>261</v>
      </c>
      <c r="E39" s="93" t="s">
        <v>272</v>
      </c>
      <c r="F39" s="93" t="s">
        <v>264</v>
      </c>
      <c r="G39" s="93" t="s">
        <v>42</v>
      </c>
      <c r="H39" s="93" t="s">
        <v>193</v>
      </c>
      <c r="I39" s="93" t="s">
        <v>159</v>
      </c>
      <c r="J39" s="93" t="s">
        <v>38</v>
      </c>
      <c r="K39" s="93" t="s">
        <v>161</v>
      </c>
      <c r="L39" s="93">
        <v>2</v>
      </c>
      <c r="N39" s="93">
        <v>5</v>
      </c>
      <c r="O39" s="93">
        <v>0.5</v>
      </c>
      <c r="P39" s="93">
        <v>0.55000000000000004</v>
      </c>
      <c r="Q39" s="102">
        <f t="shared" si="0"/>
        <v>0.52500000000000002</v>
      </c>
      <c r="R39" s="93">
        <v>16.600000000000001</v>
      </c>
      <c r="S39" s="93">
        <v>92</v>
      </c>
      <c r="T39" s="103">
        <f t="shared" si="1"/>
        <v>36</v>
      </c>
      <c r="U39" s="93">
        <v>398</v>
      </c>
      <c r="V39" s="104">
        <f t="shared" si="2"/>
        <v>2865.6</v>
      </c>
      <c r="W39" s="93">
        <v>14</v>
      </c>
      <c r="X39" s="93" t="s">
        <v>46</v>
      </c>
      <c r="Y39" s="93" t="s">
        <v>88</v>
      </c>
      <c r="Z39" s="93" t="s">
        <v>78</v>
      </c>
      <c r="AA39" s="93" t="s">
        <v>97</v>
      </c>
      <c r="AB39" s="93" t="s">
        <v>158</v>
      </c>
    </row>
    <row r="40" spans="1:28" x14ac:dyDescent="0.15">
      <c r="A40" s="93" t="s">
        <v>51</v>
      </c>
      <c r="B40" s="93" t="s">
        <v>157</v>
      </c>
      <c r="C40" s="93">
        <v>2019</v>
      </c>
      <c r="D40" s="101" t="s">
        <v>261</v>
      </c>
      <c r="E40" s="93" t="s">
        <v>272</v>
      </c>
      <c r="F40" s="93" t="s">
        <v>264</v>
      </c>
      <c r="G40" s="93" t="s">
        <v>42</v>
      </c>
      <c r="H40" s="93" t="s">
        <v>193</v>
      </c>
      <c r="I40" s="93" t="s">
        <v>159</v>
      </c>
      <c r="J40" s="93" t="s">
        <v>38</v>
      </c>
      <c r="K40" s="93" t="s">
        <v>161</v>
      </c>
      <c r="L40" s="93">
        <v>3</v>
      </c>
      <c r="N40" s="93">
        <v>5</v>
      </c>
      <c r="O40" s="93">
        <v>0.25</v>
      </c>
      <c r="P40" s="93">
        <v>0.5</v>
      </c>
      <c r="Q40" s="102">
        <f t="shared" si="0"/>
        <v>0.375</v>
      </c>
      <c r="R40" s="93">
        <v>16.5</v>
      </c>
      <c r="S40" s="93">
        <v>79</v>
      </c>
      <c r="T40" s="103">
        <f t="shared" si="1"/>
        <v>39</v>
      </c>
      <c r="U40" s="93">
        <v>398</v>
      </c>
      <c r="V40" s="104">
        <f t="shared" si="2"/>
        <v>3104.3999999999996</v>
      </c>
      <c r="W40" s="93">
        <v>14</v>
      </c>
      <c r="X40" s="93" t="s">
        <v>46</v>
      </c>
      <c r="Y40" s="93" t="s">
        <v>88</v>
      </c>
      <c r="Z40" s="93" t="s">
        <v>78</v>
      </c>
      <c r="AA40" s="93" t="s">
        <v>97</v>
      </c>
      <c r="AB40" s="93" t="s">
        <v>158</v>
      </c>
    </row>
    <row r="41" spans="1:28" x14ac:dyDescent="0.15">
      <c r="A41" s="93" t="s">
        <v>51</v>
      </c>
      <c r="B41" s="93" t="s">
        <v>157</v>
      </c>
      <c r="C41" s="93">
        <v>2019</v>
      </c>
      <c r="D41" s="101" t="s">
        <v>261</v>
      </c>
      <c r="E41" s="93" t="s">
        <v>272</v>
      </c>
      <c r="F41" s="93" t="s">
        <v>264</v>
      </c>
      <c r="G41" s="93" t="s">
        <v>42</v>
      </c>
      <c r="H41" s="93" t="s">
        <v>160</v>
      </c>
      <c r="I41" s="93" t="s">
        <v>159</v>
      </c>
      <c r="J41" s="93" t="s">
        <v>38</v>
      </c>
      <c r="K41" s="93" t="s">
        <v>161</v>
      </c>
      <c r="L41" s="93">
        <v>1</v>
      </c>
      <c r="N41" s="93">
        <v>3</v>
      </c>
      <c r="O41" s="93">
        <v>0.25</v>
      </c>
      <c r="P41" s="93">
        <v>0.5</v>
      </c>
      <c r="Q41" s="102">
        <f t="shared" si="0"/>
        <v>0.375</v>
      </c>
      <c r="R41" s="93">
        <v>18.399999999999999</v>
      </c>
      <c r="S41" s="93">
        <v>126</v>
      </c>
      <c r="T41" s="103">
        <f t="shared" si="1"/>
        <v>27</v>
      </c>
      <c r="U41" s="93">
        <v>398</v>
      </c>
      <c r="V41" s="104">
        <f t="shared" si="2"/>
        <v>3581.9999999999995</v>
      </c>
      <c r="W41" s="93">
        <v>14</v>
      </c>
      <c r="X41" s="93" t="s">
        <v>46</v>
      </c>
      <c r="Y41" s="93" t="s">
        <v>88</v>
      </c>
      <c r="Z41" s="93" t="s">
        <v>78</v>
      </c>
      <c r="AA41" s="93" t="s">
        <v>97</v>
      </c>
      <c r="AB41" s="93" t="s">
        <v>158</v>
      </c>
    </row>
    <row r="42" spans="1:28" x14ac:dyDescent="0.15">
      <c r="A42" s="93" t="s">
        <v>51</v>
      </c>
      <c r="B42" s="93" t="s">
        <v>157</v>
      </c>
      <c r="C42" s="93">
        <v>2019</v>
      </c>
      <c r="D42" s="101" t="s">
        <v>261</v>
      </c>
      <c r="E42" s="93" t="s">
        <v>272</v>
      </c>
      <c r="F42" s="93" t="s">
        <v>264</v>
      </c>
      <c r="G42" s="93" t="s">
        <v>42</v>
      </c>
      <c r="H42" s="93" t="s">
        <v>160</v>
      </c>
      <c r="I42" s="93" t="s">
        <v>159</v>
      </c>
      <c r="J42" s="93" t="s">
        <v>38</v>
      </c>
      <c r="K42" s="93" t="s">
        <v>161</v>
      </c>
      <c r="L42" s="93">
        <v>2</v>
      </c>
      <c r="N42" s="93">
        <v>3</v>
      </c>
      <c r="O42" s="93">
        <v>0.6</v>
      </c>
      <c r="P42" s="93">
        <v>0.55000000000000004</v>
      </c>
      <c r="Q42" s="102">
        <f t="shared" si="0"/>
        <v>0.57499999999999996</v>
      </c>
      <c r="R42" s="93">
        <v>17.7</v>
      </c>
      <c r="S42" s="93">
        <v>122</v>
      </c>
      <c r="T42" s="103">
        <f t="shared" si="1"/>
        <v>27</v>
      </c>
      <c r="U42" s="93">
        <v>398</v>
      </c>
      <c r="V42" s="104">
        <f t="shared" si="2"/>
        <v>3581.9999999999995</v>
      </c>
      <c r="W42" s="93">
        <v>14</v>
      </c>
      <c r="X42" s="93" t="s">
        <v>46</v>
      </c>
      <c r="Y42" s="93" t="s">
        <v>88</v>
      </c>
      <c r="Z42" s="93" t="s">
        <v>78</v>
      </c>
      <c r="AA42" s="93" t="s">
        <v>97</v>
      </c>
      <c r="AB42" s="93" t="s">
        <v>158</v>
      </c>
    </row>
    <row r="43" spans="1:28" x14ac:dyDescent="0.15">
      <c r="A43" s="93" t="s">
        <v>51</v>
      </c>
      <c r="B43" s="93" t="s">
        <v>157</v>
      </c>
      <c r="C43" s="93">
        <v>2019</v>
      </c>
      <c r="D43" s="101" t="s">
        <v>261</v>
      </c>
      <c r="E43" s="93" t="s">
        <v>272</v>
      </c>
      <c r="F43" s="93" t="s">
        <v>264</v>
      </c>
      <c r="G43" s="93" t="s">
        <v>42</v>
      </c>
      <c r="H43" s="93" t="s">
        <v>160</v>
      </c>
      <c r="I43" s="93" t="s">
        <v>159</v>
      </c>
      <c r="J43" s="93" t="s">
        <v>38</v>
      </c>
      <c r="K43" s="93" t="s">
        <v>161</v>
      </c>
      <c r="L43" s="93">
        <v>3</v>
      </c>
      <c r="N43" s="93">
        <v>3</v>
      </c>
      <c r="O43" s="93">
        <v>0.65</v>
      </c>
      <c r="P43" s="93">
        <v>0.6</v>
      </c>
      <c r="Q43" s="102">
        <f t="shared" si="0"/>
        <v>0.625</v>
      </c>
      <c r="R43" s="93">
        <v>17.3</v>
      </c>
      <c r="S43" s="93">
        <v>118</v>
      </c>
      <c r="T43" s="103">
        <f t="shared" si="1"/>
        <v>30</v>
      </c>
      <c r="U43" s="93">
        <v>398</v>
      </c>
      <c r="V43" s="104">
        <f t="shared" si="2"/>
        <v>3979.9999999999995</v>
      </c>
      <c r="W43" s="93">
        <v>14</v>
      </c>
      <c r="X43" s="93" t="s">
        <v>46</v>
      </c>
      <c r="Y43" s="93" t="s">
        <v>88</v>
      </c>
      <c r="Z43" s="93" t="s">
        <v>78</v>
      </c>
      <c r="AA43" s="93" t="s">
        <v>97</v>
      </c>
      <c r="AB43" s="93" t="s">
        <v>158</v>
      </c>
    </row>
    <row r="44" spans="1:28" x14ac:dyDescent="0.15">
      <c r="A44" s="93" t="s">
        <v>51</v>
      </c>
      <c r="B44" s="93" t="s">
        <v>157</v>
      </c>
      <c r="C44" s="93">
        <v>2019</v>
      </c>
      <c r="D44" s="101" t="s">
        <v>261</v>
      </c>
      <c r="E44" s="93" t="s">
        <v>272</v>
      </c>
      <c r="F44" s="93" t="s">
        <v>264</v>
      </c>
      <c r="G44" s="93" t="s">
        <v>42</v>
      </c>
      <c r="H44" s="93" t="s">
        <v>160</v>
      </c>
      <c r="I44" s="93" t="s">
        <v>198</v>
      </c>
      <c r="J44" s="93" t="s">
        <v>38</v>
      </c>
      <c r="K44" s="93" t="s">
        <v>161</v>
      </c>
      <c r="L44" s="93">
        <v>1</v>
      </c>
      <c r="N44" s="93">
        <v>4</v>
      </c>
      <c r="O44" s="93">
        <v>0.25</v>
      </c>
      <c r="P44" s="93">
        <v>0.25</v>
      </c>
      <c r="Q44" s="102">
        <f t="shared" si="0"/>
        <v>0.25</v>
      </c>
      <c r="R44" s="93">
        <v>14.3</v>
      </c>
      <c r="S44" s="93">
        <v>97</v>
      </c>
      <c r="T44" s="103">
        <f t="shared" si="1"/>
        <v>36</v>
      </c>
      <c r="U44" s="93">
        <v>498</v>
      </c>
      <c r="V44" s="104">
        <f t="shared" si="2"/>
        <v>4482</v>
      </c>
      <c r="W44" s="93">
        <v>14</v>
      </c>
      <c r="X44" s="93" t="s">
        <v>46</v>
      </c>
      <c r="Y44" s="93" t="s">
        <v>88</v>
      </c>
      <c r="Z44" s="93" t="s">
        <v>78</v>
      </c>
      <c r="AA44" s="93" t="s">
        <v>97</v>
      </c>
      <c r="AB44" s="93" t="s">
        <v>158</v>
      </c>
    </row>
    <row r="45" spans="1:28" x14ac:dyDescent="0.15">
      <c r="A45" s="93" t="s">
        <v>51</v>
      </c>
      <c r="B45" s="93" t="s">
        <v>157</v>
      </c>
      <c r="C45" s="93">
        <v>2019</v>
      </c>
      <c r="D45" s="101" t="s">
        <v>261</v>
      </c>
      <c r="E45" s="93" t="s">
        <v>272</v>
      </c>
      <c r="F45" s="93" t="s">
        <v>264</v>
      </c>
      <c r="G45" s="93" t="s">
        <v>42</v>
      </c>
      <c r="H45" s="93" t="s">
        <v>160</v>
      </c>
      <c r="I45" s="93" t="s">
        <v>198</v>
      </c>
      <c r="J45" s="93" t="s">
        <v>38</v>
      </c>
      <c r="K45" s="93" t="s">
        <v>161</v>
      </c>
      <c r="L45" s="93">
        <v>2</v>
      </c>
      <c r="N45" s="93">
        <v>4</v>
      </c>
      <c r="O45" s="93">
        <v>0.25</v>
      </c>
      <c r="P45" s="93">
        <v>0.5</v>
      </c>
      <c r="Q45" s="102">
        <f t="shared" si="0"/>
        <v>0.375</v>
      </c>
      <c r="R45" s="93">
        <v>14.6</v>
      </c>
      <c r="S45" s="93">
        <v>97</v>
      </c>
      <c r="T45" s="103">
        <f t="shared" si="1"/>
        <v>36</v>
      </c>
      <c r="U45" s="93">
        <v>498</v>
      </c>
      <c r="V45" s="104">
        <f t="shared" si="2"/>
        <v>4482</v>
      </c>
      <c r="W45" s="93">
        <v>14</v>
      </c>
      <c r="X45" s="93" t="s">
        <v>46</v>
      </c>
      <c r="Y45" s="93" t="s">
        <v>88</v>
      </c>
      <c r="Z45" s="93" t="s">
        <v>78</v>
      </c>
      <c r="AA45" s="93" t="s">
        <v>97</v>
      </c>
      <c r="AB45" s="93" t="s">
        <v>158</v>
      </c>
    </row>
    <row r="46" spans="1:28" x14ac:dyDescent="0.15">
      <c r="A46" s="93" t="s">
        <v>51</v>
      </c>
      <c r="B46" s="93" t="s">
        <v>157</v>
      </c>
      <c r="C46" s="93">
        <v>2019</v>
      </c>
      <c r="D46" s="101" t="s">
        <v>261</v>
      </c>
      <c r="E46" s="93" t="s">
        <v>272</v>
      </c>
      <c r="F46" s="93" t="s">
        <v>264</v>
      </c>
      <c r="G46" s="93" t="s">
        <v>42</v>
      </c>
      <c r="H46" s="93" t="s">
        <v>160</v>
      </c>
      <c r="I46" s="93" t="s">
        <v>198</v>
      </c>
      <c r="J46" s="93" t="s">
        <v>38</v>
      </c>
      <c r="K46" s="93" t="s">
        <v>161</v>
      </c>
      <c r="L46" s="93">
        <v>3</v>
      </c>
      <c r="N46" s="93">
        <v>4</v>
      </c>
      <c r="O46" s="93">
        <v>0.5</v>
      </c>
      <c r="P46" s="93">
        <v>0.55000000000000004</v>
      </c>
      <c r="Q46" s="102">
        <f t="shared" si="0"/>
        <v>0.52500000000000002</v>
      </c>
      <c r="R46" s="93">
        <v>15.5</v>
      </c>
      <c r="S46" s="93">
        <v>106</v>
      </c>
      <c r="T46" s="103">
        <f t="shared" si="1"/>
        <v>33</v>
      </c>
      <c r="U46" s="93">
        <v>498</v>
      </c>
      <c r="V46" s="104">
        <f t="shared" si="2"/>
        <v>4108.5</v>
      </c>
      <c r="W46" s="93">
        <v>14</v>
      </c>
      <c r="X46" s="93" t="s">
        <v>46</v>
      </c>
      <c r="Y46" s="93" t="s">
        <v>88</v>
      </c>
      <c r="Z46" s="93" t="s">
        <v>78</v>
      </c>
      <c r="AA46" s="93" t="s">
        <v>97</v>
      </c>
      <c r="AB46" s="93" t="s">
        <v>158</v>
      </c>
    </row>
    <row r="47" spans="1:28" x14ac:dyDescent="0.15">
      <c r="A47" s="93" t="s">
        <v>51</v>
      </c>
      <c r="B47" s="93" t="s">
        <v>157</v>
      </c>
      <c r="C47" s="93">
        <v>2019</v>
      </c>
      <c r="D47" s="101" t="s">
        <v>261</v>
      </c>
      <c r="E47" s="93" t="s">
        <v>267</v>
      </c>
      <c r="F47" s="93" t="s">
        <v>268</v>
      </c>
      <c r="G47" s="93" t="s">
        <v>42</v>
      </c>
      <c r="H47" s="93" t="s">
        <v>164</v>
      </c>
      <c r="I47" s="93" t="s">
        <v>159</v>
      </c>
      <c r="J47" s="93" t="s">
        <v>38</v>
      </c>
      <c r="K47" s="93" t="s">
        <v>161</v>
      </c>
      <c r="L47" s="93">
        <v>1</v>
      </c>
      <c r="N47" s="93">
        <v>1</v>
      </c>
      <c r="O47" s="93">
        <v>0.75</v>
      </c>
      <c r="P47" s="93">
        <v>7</v>
      </c>
      <c r="Q47" s="102">
        <f t="shared" si="0"/>
        <v>3.875</v>
      </c>
      <c r="R47" s="93">
        <v>16.8</v>
      </c>
      <c r="S47" s="93">
        <v>134</v>
      </c>
      <c r="T47" s="103">
        <f t="shared" si="1"/>
        <v>25</v>
      </c>
      <c r="U47" s="93">
        <v>128</v>
      </c>
      <c r="V47" s="104">
        <f t="shared" si="2"/>
        <v>3200</v>
      </c>
      <c r="W47" s="93">
        <v>4</v>
      </c>
      <c r="X47" s="93" t="s">
        <v>46</v>
      </c>
      <c r="Y47" s="93" t="s">
        <v>69</v>
      </c>
      <c r="Z47" s="93" t="s">
        <v>86</v>
      </c>
      <c r="AA47" s="93" t="s">
        <v>88</v>
      </c>
      <c r="AB47" s="93" t="s">
        <v>158</v>
      </c>
    </row>
    <row r="48" spans="1:28" x14ac:dyDescent="0.15">
      <c r="A48" s="93" t="s">
        <v>51</v>
      </c>
      <c r="B48" s="93" t="s">
        <v>157</v>
      </c>
      <c r="C48" s="93">
        <v>2019</v>
      </c>
      <c r="D48" s="101" t="s">
        <v>261</v>
      </c>
      <c r="E48" s="93" t="s">
        <v>267</v>
      </c>
      <c r="F48" s="93" t="s">
        <v>268</v>
      </c>
      <c r="G48" s="93" t="s">
        <v>42</v>
      </c>
      <c r="H48" s="93" t="s">
        <v>164</v>
      </c>
      <c r="I48" s="93" t="s">
        <v>159</v>
      </c>
      <c r="J48" s="93" t="s">
        <v>38</v>
      </c>
      <c r="K48" s="93" t="s">
        <v>161</v>
      </c>
      <c r="L48" s="93">
        <v>2</v>
      </c>
      <c r="N48" s="93">
        <v>1</v>
      </c>
      <c r="O48" s="93">
        <v>0.65</v>
      </c>
      <c r="P48" s="93">
        <v>0.75</v>
      </c>
      <c r="Q48" s="102">
        <f t="shared" si="0"/>
        <v>0.7</v>
      </c>
      <c r="R48" s="93">
        <v>16.5</v>
      </c>
      <c r="S48" s="93">
        <v>134</v>
      </c>
      <c r="T48" s="103">
        <f t="shared" si="1"/>
        <v>25</v>
      </c>
      <c r="U48" s="93">
        <v>128</v>
      </c>
      <c r="V48" s="104">
        <f t="shared" si="2"/>
        <v>3200</v>
      </c>
      <c r="W48" s="93">
        <v>4</v>
      </c>
      <c r="X48" s="93" t="s">
        <v>46</v>
      </c>
      <c r="Y48" s="93" t="s">
        <v>69</v>
      </c>
      <c r="Z48" s="93" t="s">
        <v>86</v>
      </c>
      <c r="AA48" s="93" t="s">
        <v>88</v>
      </c>
      <c r="AB48" s="93" t="s">
        <v>158</v>
      </c>
    </row>
    <row r="49" spans="1:28" x14ac:dyDescent="0.15">
      <c r="A49" s="93" t="s">
        <v>51</v>
      </c>
      <c r="B49" s="93" t="s">
        <v>157</v>
      </c>
      <c r="C49" s="93">
        <v>2019</v>
      </c>
      <c r="D49" s="101" t="s">
        <v>261</v>
      </c>
      <c r="E49" s="93" t="s">
        <v>267</v>
      </c>
      <c r="F49" s="93" t="s">
        <v>268</v>
      </c>
      <c r="G49" s="93" t="s">
        <v>42</v>
      </c>
      <c r="H49" s="93" t="s">
        <v>164</v>
      </c>
      <c r="I49" s="93" t="s">
        <v>159</v>
      </c>
      <c r="J49" s="93" t="s">
        <v>38</v>
      </c>
      <c r="K49" s="93" t="s">
        <v>161</v>
      </c>
      <c r="L49" s="93">
        <v>3</v>
      </c>
      <c r="N49" s="93">
        <v>1</v>
      </c>
      <c r="O49" s="93">
        <v>0.7</v>
      </c>
      <c r="P49" s="93">
        <v>0.7</v>
      </c>
      <c r="Q49" s="102">
        <f t="shared" si="0"/>
        <v>0.7</v>
      </c>
      <c r="R49" s="93">
        <v>16.3</v>
      </c>
      <c r="S49" s="93">
        <v>128</v>
      </c>
      <c r="T49" s="103">
        <f t="shared" si="1"/>
        <v>27</v>
      </c>
      <c r="U49" s="93">
        <v>128</v>
      </c>
      <c r="V49" s="104">
        <f t="shared" si="2"/>
        <v>3456</v>
      </c>
      <c r="W49" s="93">
        <v>4</v>
      </c>
      <c r="X49" s="93" t="s">
        <v>46</v>
      </c>
      <c r="Y49" s="93" t="s">
        <v>69</v>
      </c>
      <c r="Z49" s="93" t="s">
        <v>86</v>
      </c>
      <c r="AA49" s="93" t="s">
        <v>88</v>
      </c>
      <c r="AB49" s="93" t="s">
        <v>158</v>
      </c>
    </row>
    <row r="50" spans="1:28" x14ac:dyDescent="0.15">
      <c r="A50" s="93" t="s">
        <v>51</v>
      </c>
      <c r="B50" s="93" t="s">
        <v>157</v>
      </c>
      <c r="C50" s="93">
        <v>2019</v>
      </c>
      <c r="D50" s="101" t="s">
        <v>261</v>
      </c>
      <c r="E50" s="93" t="s">
        <v>267</v>
      </c>
      <c r="F50" s="93" t="s">
        <v>268</v>
      </c>
      <c r="G50" s="93" t="s">
        <v>42</v>
      </c>
      <c r="H50" s="93" t="s">
        <v>160</v>
      </c>
      <c r="I50" s="93" t="s">
        <v>159</v>
      </c>
      <c r="J50" s="93" t="s">
        <v>38</v>
      </c>
      <c r="K50" s="93" t="s">
        <v>161</v>
      </c>
      <c r="L50" s="93">
        <v>1</v>
      </c>
      <c r="N50" s="93">
        <v>1</v>
      </c>
      <c r="O50" s="93">
        <v>0.6</v>
      </c>
      <c r="P50" s="93">
        <v>0.6</v>
      </c>
      <c r="Q50" s="102">
        <f t="shared" si="0"/>
        <v>0.6</v>
      </c>
      <c r="R50" s="93">
        <v>18.600000000000001</v>
      </c>
      <c r="S50" s="93">
        <v>130</v>
      </c>
      <c r="T50" s="103">
        <f t="shared" si="1"/>
        <v>25</v>
      </c>
      <c r="U50" s="93">
        <v>128</v>
      </c>
      <c r="V50" s="104">
        <f t="shared" si="2"/>
        <v>3200</v>
      </c>
      <c r="W50" s="93">
        <v>4</v>
      </c>
      <c r="X50" s="93" t="s">
        <v>39</v>
      </c>
      <c r="Y50" s="93" t="s">
        <v>69</v>
      </c>
      <c r="Z50" s="93" t="s">
        <v>86</v>
      </c>
      <c r="AA50" s="93" t="s">
        <v>88</v>
      </c>
      <c r="AB50" s="93" t="s">
        <v>158</v>
      </c>
    </row>
    <row r="51" spans="1:28" x14ac:dyDescent="0.15">
      <c r="A51" s="93" t="s">
        <v>51</v>
      </c>
      <c r="B51" s="93" t="s">
        <v>157</v>
      </c>
      <c r="C51" s="93">
        <v>2019</v>
      </c>
      <c r="D51" s="101" t="s">
        <v>261</v>
      </c>
      <c r="E51" s="93" t="s">
        <v>267</v>
      </c>
      <c r="F51" s="93" t="s">
        <v>268</v>
      </c>
      <c r="G51" s="93" t="s">
        <v>42</v>
      </c>
      <c r="H51" s="93" t="s">
        <v>160</v>
      </c>
      <c r="I51" s="93" t="s">
        <v>159</v>
      </c>
      <c r="J51" s="93" t="s">
        <v>38</v>
      </c>
      <c r="K51" s="93" t="s">
        <v>161</v>
      </c>
      <c r="L51" s="93">
        <v>2</v>
      </c>
      <c r="N51" s="93">
        <v>1</v>
      </c>
      <c r="O51" s="93">
        <v>0.65</v>
      </c>
      <c r="P51" s="93">
        <v>0.65</v>
      </c>
      <c r="Q51" s="102">
        <f t="shared" si="0"/>
        <v>0.65</v>
      </c>
      <c r="R51" s="93">
        <v>18.3</v>
      </c>
      <c r="S51" s="93">
        <v>132</v>
      </c>
      <c r="T51" s="103">
        <f t="shared" si="1"/>
        <v>25</v>
      </c>
      <c r="U51" s="93">
        <v>128</v>
      </c>
      <c r="V51" s="104">
        <f t="shared" si="2"/>
        <v>3200</v>
      </c>
      <c r="W51" s="93">
        <v>4</v>
      </c>
      <c r="X51" s="93" t="s">
        <v>39</v>
      </c>
      <c r="Y51" s="93" t="s">
        <v>69</v>
      </c>
      <c r="Z51" s="93" t="s">
        <v>86</v>
      </c>
      <c r="AA51" s="93" t="s">
        <v>88</v>
      </c>
      <c r="AB51" s="93" t="s">
        <v>158</v>
      </c>
    </row>
    <row r="52" spans="1:28" x14ac:dyDescent="0.15">
      <c r="A52" s="93" t="s">
        <v>51</v>
      </c>
      <c r="B52" s="93" t="s">
        <v>157</v>
      </c>
      <c r="C52" s="93">
        <v>2019</v>
      </c>
      <c r="D52" s="101" t="s">
        <v>261</v>
      </c>
      <c r="E52" s="93" t="s">
        <v>267</v>
      </c>
      <c r="F52" s="93" t="s">
        <v>268</v>
      </c>
      <c r="G52" s="93" t="s">
        <v>42</v>
      </c>
      <c r="H52" s="93" t="s">
        <v>160</v>
      </c>
      <c r="I52" s="93" t="s">
        <v>159</v>
      </c>
      <c r="J52" s="93" t="s">
        <v>38</v>
      </c>
      <c r="K52" s="93" t="s">
        <v>161</v>
      </c>
      <c r="L52" s="93">
        <v>3</v>
      </c>
      <c r="N52" s="93">
        <v>1</v>
      </c>
      <c r="O52" s="93">
        <v>0.7</v>
      </c>
      <c r="P52" s="93">
        <v>0.65</v>
      </c>
      <c r="Q52" s="102">
        <f t="shared" si="0"/>
        <v>0.67500000000000004</v>
      </c>
      <c r="R52" s="93">
        <v>17.8</v>
      </c>
      <c r="S52" s="93">
        <v>132</v>
      </c>
      <c r="T52" s="103">
        <f t="shared" si="1"/>
        <v>25</v>
      </c>
      <c r="U52" s="93">
        <v>128</v>
      </c>
      <c r="V52" s="104">
        <f t="shared" si="2"/>
        <v>3200</v>
      </c>
      <c r="W52" s="93">
        <v>4</v>
      </c>
      <c r="X52" s="93" t="s">
        <v>39</v>
      </c>
      <c r="Y52" s="93" t="s">
        <v>69</v>
      </c>
      <c r="Z52" s="93" t="s">
        <v>86</v>
      </c>
      <c r="AA52" s="93" t="s">
        <v>88</v>
      </c>
      <c r="AB52" s="93" t="s">
        <v>158</v>
      </c>
    </row>
    <row r="53" spans="1:28" x14ac:dyDescent="0.15">
      <c r="A53" s="93" t="s">
        <v>51</v>
      </c>
      <c r="B53" s="93" t="s">
        <v>157</v>
      </c>
      <c r="C53" s="93">
        <v>2019</v>
      </c>
      <c r="D53" s="101" t="s">
        <v>261</v>
      </c>
      <c r="E53" s="93" t="s">
        <v>269</v>
      </c>
      <c r="F53" s="93" t="s">
        <v>263</v>
      </c>
      <c r="G53" s="93" t="s">
        <v>36</v>
      </c>
      <c r="H53" s="93" t="s">
        <v>164</v>
      </c>
      <c r="I53" s="93" t="s">
        <v>159</v>
      </c>
      <c r="J53" s="93" t="s">
        <v>38</v>
      </c>
      <c r="K53" s="93" t="s">
        <v>161</v>
      </c>
      <c r="L53" s="93">
        <v>1</v>
      </c>
      <c r="N53" s="93">
        <v>1</v>
      </c>
      <c r="O53" s="93">
        <v>0.9</v>
      </c>
      <c r="P53" s="93">
        <v>0.95</v>
      </c>
      <c r="Q53" s="102">
        <f t="shared" si="0"/>
        <v>0.92500000000000004</v>
      </c>
      <c r="R53" s="93">
        <v>17.7</v>
      </c>
      <c r="S53" s="93">
        <v>83</v>
      </c>
      <c r="T53" s="103">
        <f t="shared" si="1"/>
        <v>39</v>
      </c>
      <c r="U53" s="93">
        <v>100</v>
      </c>
      <c r="V53" s="104">
        <f t="shared" si="2"/>
        <v>3900</v>
      </c>
      <c r="W53" s="93">
        <v>3</v>
      </c>
      <c r="X53" s="93" t="s">
        <v>39</v>
      </c>
      <c r="Y53" s="93" t="s">
        <v>97</v>
      </c>
      <c r="Z53" s="93" t="s">
        <v>69</v>
      </c>
      <c r="AA53" s="93" t="s">
        <v>90</v>
      </c>
      <c r="AB53" s="93" t="s">
        <v>158</v>
      </c>
    </row>
    <row r="54" spans="1:28" x14ac:dyDescent="0.15">
      <c r="A54" s="93" t="s">
        <v>51</v>
      </c>
      <c r="B54" s="93" t="s">
        <v>157</v>
      </c>
      <c r="C54" s="93">
        <v>2019</v>
      </c>
      <c r="D54" s="101" t="s">
        <v>261</v>
      </c>
      <c r="E54" s="93" t="s">
        <v>269</v>
      </c>
      <c r="F54" s="93" t="s">
        <v>263</v>
      </c>
      <c r="G54" s="93" t="s">
        <v>36</v>
      </c>
      <c r="H54" s="93" t="s">
        <v>164</v>
      </c>
      <c r="I54" s="93" t="s">
        <v>159</v>
      </c>
      <c r="J54" s="93" t="s">
        <v>38</v>
      </c>
      <c r="K54" s="93" t="s">
        <v>161</v>
      </c>
      <c r="L54" s="93">
        <v>2</v>
      </c>
      <c r="N54" s="93">
        <v>1</v>
      </c>
      <c r="O54" s="93">
        <v>0.95</v>
      </c>
      <c r="P54" s="93">
        <v>0.85</v>
      </c>
      <c r="Q54" s="102">
        <f t="shared" si="0"/>
        <v>0.89999999999999991</v>
      </c>
      <c r="R54" s="93">
        <v>16.899999999999999</v>
      </c>
      <c r="S54" s="93">
        <v>84</v>
      </c>
      <c r="T54" s="103">
        <f t="shared" si="1"/>
        <v>36</v>
      </c>
      <c r="U54" s="93">
        <v>100</v>
      </c>
      <c r="V54" s="104">
        <f t="shared" si="2"/>
        <v>3600</v>
      </c>
      <c r="W54" s="93">
        <v>3</v>
      </c>
      <c r="X54" s="93" t="s">
        <v>39</v>
      </c>
      <c r="Y54" s="93" t="s">
        <v>97</v>
      </c>
      <c r="Z54" s="93" t="s">
        <v>69</v>
      </c>
      <c r="AA54" s="93" t="s">
        <v>90</v>
      </c>
      <c r="AB54" s="93" t="s">
        <v>158</v>
      </c>
    </row>
    <row r="55" spans="1:28" x14ac:dyDescent="0.15">
      <c r="A55" s="93" t="s">
        <v>51</v>
      </c>
      <c r="B55" s="93" t="s">
        <v>157</v>
      </c>
      <c r="C55" s="93">
        <v>2019</v>
      </c>
      <c r="D55" s="101" t="s">
        <v>261</v>
      </c>
      <c r="E55" s="93" t="s">
        <v>269</v>
      </c>
      <c r="F55" s="93" t="s">
        <v>263</v>
      </c>
      <c r="G55" s="93" t="s">
        <v>36</v>
      </c>
      <c r="H55" s="93" t="s">
        <v>164</v>
      </c>
      <c r="I55" s="93" t="s">
        <v>159</v>
      </c>
      <c r="J55" s="93" t="s">
        <v>38</v>
      </c>
      <c r="K55" s="93" t="s">
        <v>161</v>
      </c>
      <c r="L55" s="93">
        <v>3</v>
      </c>
      <c r="N55" s="93">
        <v>1</v>
      </c>
      <c r="O55" s="93">
        <v>0.75</v>
      </c>
      <c r="P55" s="93">
        <v>0.8</v>
      </c>
      <c r="Q55" s="102">
        <f t="shared" si="0"/>
        <v>0.77500000000000002</v>
      </c>
      <c r="R55" s="93">
        <v>17.5</v>
      </c>
      <c r="S55" s="93">
        <v>85</v>
      </c>
      <c r="T55" s="103">
        <f t="shared" si="1"/>
        <v>36</v>
      </c>
      <c r="U55" s="93">
        <v>100</v>
      </c>
      <c r="V55" s="104">
        <f t="shared" si="2"/>
        <v>3600</v>
      </c>
      <c r="W55" s="93">
        <v>3</v>
      </c>
      <c r="X55" s="93" t="s">
        <v>39</v>
      </c>
      <c r="Y55" s="93" t="s">
        <v>97</v>
      </c>
      <c r="Z55" s="93" t="s">
        <v>69</v>
      </c>
      <c r="AA55" s="93" t="s">
        <v>90</v>
      </c>
      <c r="AB55" s="93" t="s">
        <v>158</v>
      </c>
    </row>
    <row r="56" spans="1:28" x14ac:dyDescent="0.15">
      <c r="A56" s="93" t="s">
        <v>51</v>
      </c>
      <c r="B56" s="93" t="s">
        <v>157</v>
      </c>
      <c r="C56" s="93">
        <v>2019</v>
      </c>
      <c r="D56" s="101" t="s">
        <v>261</v>
      </c>
      <c r="E56" s="93" t="s">
        <v>269</v>
      </c>
      <c r="F56" s="93" t="s">
        <v>263</v>
      </c>
      <c r="G56" s="93" t="s">
        <v>36</v>
      </c>
      <c r="H56" s="93" t="s">
        <v>160</v>
      </c>
      <c r="I56" s="93" t="s">
        <v>159</v>
      </c>
      <c r="J56" s="93" t="s">
        <v>38</v>
      </c>
      <c r="K56" s="93" t="s">
        <v>161</v>
      </c>
      <c r="L56" s="93">
        <v>1</v>
      </c>
      <c r="N56" s="93">
        <v>3</v>
      </c>
      <c r="O56" s="93">
        <v>0.75</v>
      </c>
      <c r="P56" s="93">
        <v>0.8</v>
      </c>
      <c r="Q56" s="102">
        <f t="shared" si="0"/>
        <v>0.77500000000000002</v>
      </c>
      <c r="R56" s="93">
        <v>16.5</v>
      </c>
      <c r="S56" s="93">
        <v>112</v>
      </c>
      <c r="T56" s="103">
        <f t="shared" si="1"/>
        <v>33</v>
      </c>
      <c r="U56" s="93">
        <v>380</v>
      </c>
      <c r="V56" s="104">
        <f t="shared" si="2"/>
        <v>4180</v>
      </c>
      <c r="W56" s="93">
        <v>3</v>
      </c>
      <c r="X56" s="93" t="s">
        <v>46</v>
      </c>
      <c r="Y56" s="93" t="s">
        <v>97</v>
      </c>
      <c r="Z56" s="93" t="s">
        <v>69</v>
      </c>
      <c r="AA56" s="93" t="s">
        <v>90</v>
      </c>
      <c r="AB56" s="93" t="s">
        <v>158</v>
      </c>
    </row>
    <row r="57" spans="1:28" x14ac:dyDescent="0.15">
      <c r="A57" s="93" t="s">
        <v>51</v>
      </c>
      <c r="B57" s="93" t="s">
        <v>157</v>
      </c>
      <c r="C57" s="93">
        <v>2019</v>
      </c>
      <c r="D57" s="101" t="s">
        <v>261</v>
      </c>
      <c r="E57" s="93" t="s">
        <v>269</v>
      </c>
      <c r="F57" s="93" t="s">
        <v>263</v>
      </c>
      <c r="G57" s="93" t="s">
        <v>36</v>
      </c>
      <c r="H57" s="93" t="s">
        <v>160</v>
      </c>
      <c r="I57" s="93" t="s">
        <v>159</v>
      </c>
      <c r="J57" s="93" t="s">
        <v>38</v>
      </c>
      <c r="K57" s="93" t="s">
        <v>161</v>
      </c>
      <c r="L57" s="93">
        <v>2</v>
      </c>
      <c r="N57" s="93">
        <v>3</v>
      </c>
      <c r="O57" s="93">
        <v>0.85</v>
      </c>
      <c r="P57" s="93">
        <v>0.7</v>
      </c>
      <c r="Q57" s="102">
        <f t="shared" si="0"/>
        <v>0.77499999999999991</v>
      </c>
      <c r="R57" s="93">
        <v>16.7</v>
      </c>
      <c r="S57" s="93">
        <v>114</v>
      </c>
      <c r="T57" s="103">
        <f t="shared" si="1"/>
        <v>30</v>
      </c>
      <c r="U57" s="93">
        <v>380</v>
      </c>
      <c r="V57" s="104">
        <f t="shared" si="2"/>
        <v>3800</v>
      </c>
      <c r="W57" s="93">
        <v>3</v>
      </c>
      <c r="X57" s="93" t="s">
        <v>46</v>
      </c>
      <c r="Y57" s="93" t="s">
        <v>97</v>
      </c>
      <c r="Z57" s="93" t="s">
        <v>69</v>
      </c>
      <c r="AA57" s="93" t="s">
        <v>90</v>
      </c>
      <c r="AB57" s="93" t="s">
        <v>158</v>
      </c>
    </row>
    <row r="58" spans="1:28" x14ac:dyDescent="0.15">
      <c r="A58" s="93" t="s">
        <v>51</v>
      </c>
      <c r="B58" s="93" t="s">
        <v>157</v>
      </c>
      <c r="C58" s="93">
        <v>2019</v>
      </c>
      <c r="D58" s="101" t="s">
        <v>261</v>
      </c>
      <c r="E58" s="93" t="s">
        <v>269</v>
      </c>
      <c r="F58" s="93" t="s">
        <v>263</v>
      </c>
      <c r="G58" s="93" t="s">
        <v>36</v>
      </c>
      <c r="H58" s="93" t="s">
        <v>160</v>
      </c>
      <c r="I58" s="93" t="s">
        <v>159</v>
      </c>
      <c r="J58" s="93" t="s">
        <v>38</v>
      </c>
      <c r="K58" s="93" t="s">
        <v>161</v>
      </c>
      <c r="L58" s="93">
        <v>3</v>
      </c>
      <c r="N58" s="93">
        <v>3</v>
      </c>
      <c r="O58" s="93">
        <v>0.7</v>
      </c>
      <c r="P58" s="93">
        <v>0.7</v>
      </c>
      <c r="Q58" s="102">
        <f t="shared" si="0"/>
        <v>0.7</v>
      </c>
      <c r="R58" s="93">
        <v>16.8</v>
      </c>
      <c r="S58" s="93">
        <v>112</v>
      </c>
      <c r="T58" s="103">
        <f t="shared" si="1"/>
        <v>33</v>
      </c>
      <c r="U58" s="93">
        <v>380</v>
      </c>
      <c r="V58" s="104">
        <f t="shared" si="2"/>
        <v>4180</v>
      </c>
      <c r="W58" s="93">
        <v>3</v>
      </c>
      <c r="X58" s="93" t="s">
        <v>46</v>
      </c>
      <c r="Y58" s="93" t="s">
        <v>97</v>
      </c>
      <c r="Z58" s="93" t="s">
        <v>69</v>
      </c>
      <c r="AA58" s="93" t="s">
        <v>90</v>
      </c>
      <c r="AB58" s="93" t="s">
        <v>158</v>
      </c>
    </row>
    <row r="59" spans="1:28" x14ac:dyDescent="0.15">
      <c r="A59" s="93" t="s">
        <v>51</v>
      </c>
      <c r="B59" s="93" t="s">
        <v>157</v>
      </c>
      <c r="C59" s="93">
        <v>2019</v>
      </c>
      <c r="D59" s="101" t="s">
        <v>261</v>
      </c>
      <c r="E59" s="93" t="s">
        <v>273</v>
      </c>
      <c r="F59" s="93" t="s">
        <v>274</v>
      </c>
      <c r="G59" s="93" t="s">
        <v>36</v>
      </c>
      <c r="H59" s="93" t="s">
        <v>164</v>
      </c>
      <c r="I59" s="93" t="s">
        <v>159</v>
      </c>
      <c r="J59" s="93" t="s">
        <v>38</v>
      </c>
      <c r="K59" s="93" t="s">
        <v>161</v>
      </c>
      <c r="L59" s="93">
        <v>1</v>
      </c>
      <c r="N59" s="93">
        <v>1</v>
      </c>
      <c r="O59" s="93">
        <v>0.8</v>
      </c>
      <c r="P59" s="93">
        <v>0.8</v>
      </c>
      <c r="Q59" s="102">
        <f t="shared" si="0"/>
        <v>0.8</v>
      </c>
      <c r="R59" s="93">
        <v>17.5</v>
      </c>
      <c r="S59" s="93">
        <v>144</v>
      </c>
      <c r="T59" s="103">
        <f t="shared" si="1"/>
        <v>22</v>
      </c>
      <c r="U59" s="93">
        <v>98</v>
      </c>
      <c r="V59" s="104">
        <f t="shared" si="2"/>
        <v>2156</v>
      </c>
      <c r="W59" s="93">
        <v>12</v>
      </c>
      <c r="X59" s="93" t="s">
        <v>46</v>
      </c>
      <c r="Y59" s="93" t="s">
        <v>97</v>
      </c>
      <c r="Z59" s="93" t="s">
        <v>55</v>
      </c>
      <c r="AA59" s="93" t="s">
        <v>69</v>
      </c>
      <c r="AB59" s="93" t="s">
        <v>158</v>
      </c>
    </row>
    <row r="60" spans="1:28" x14ac:dyDescent="0.15">
      <c r="A60" s="93" t="s">
        <v>51</v>
      </c>
      <c r="B60" s="93" t="s">
        <v>157</v>
      </c>
      <c r="C60" s="93">
        <v>2019</v>
      </c>
      <c r="D60" s="101" t="s">
        <v>261</v>
      </c>
      <c r="E60" s="93" t="s">
        <v>273</v>
      </c>
      <c r="F60" s="93" t="s">
        <v>274</v>
      </c>
      <c r="G60" s="93" t="s">
        <v>36</v>
      </c>
      <c r="H60" s="93" t="s">
        <v>164</v>
      </c>
      <c r="I60" s="93" t="s">
        <v>159</v>
      </c>
      <c r="J60" s="93" t="s">
        <v>38</v>
      </c>
      <c r="K60" s="93" t="s">
        <v>161</v>
      </c>
      <c r="L60" s="93">
        <v>2</v>
      </c>
      <c r="N60" s="93">
        <v>1</v>
      </c>
      <c r="O60" s="93">
        <v>0.9</v>
      </c>
      <c r="P60" s="93">
        <v>0.85</v>
      </c>
      <c r="Q60" s="102">
        <f t="shared" si="0"/>
        <v>0.875</v>
      </c>
      <c r="R60" s="93">
        <v>18</v>
      </c>
      <c r="S60" s="93">
        <v>136</v>
      </c>
      <c r="T60" s="103">
        <f t="shared" si="1"/>
        <v>25</v>
      </c>
      <c r="U60" s="93">
        <v>98</v>
      </c>
      <c r="V60" s="104">
        <f t="shared" si="2"/>
        <v>2450</v>
      </c>
      <c r="W60" s="93">
        <v>12</v>
      </c>
      <c r="X60" s="93" t="s">
        <v>46</v>
      </c>
      <c r="Y60" s="93" t="s">
        <v>97</v>
      </c>
      <c r="Z60" s="93" t="s">
        <v>55</v>
      </c>
      <c r="AA60" s="93" t="s">
        <v>69</v>
      </c>
      <c r="AB60" s="93" t="s">
        <v>158</v>
      </c>
    </row>
    <row r="61" spans="1:28" x14ac:dyDescent="0.15">
      <c r="A61" s="93" t="s">
        <v>51</v>
      </c>
      <c r="B61" s="93" t="s">
        <v>157</v>
      </c>
      <c r="C61" s="93">
        <v>2019</v>
      </c>
      <c r="D61" s="101" t="s">
        <v>261</v>
      </c>
      <c r="E61" s="93" t="s">
        <v>273</v>
      </c>
      <c r="F61" s="93" t="s">
        <v>274</v>
      </c>
      <c r="G61" s="93" t="s">
        <v>36</v>
      </c>
      <c r="H61" s="93" t="s">
        <v>164</v>
      </c>
      <c r="I61" s="93" t="s">
        <v>159</v>
      </c>
      <c r="J61" s="93" t="s">
        <v>38</v>
      </c>
      <c r="K61" s="93" t="s">
        <v>161</v>
      </c>
      <c r="L61" s="93">
        <v>3</v>
      </c>
      <c r="N61" s="93">
        <v>1</v>
      </c>
      <c r="O61" s="93">
        <v>0.85</v>
      </c>
      <c r="P61" s="93">
        <v>0.75</v>
      </c>
      <c r="Q61" s="102">
        <f t="shared" si="0"/>
        <v>0.8</v>
      </c>
      <c r="R61" s="93">
        <v>17.8</v>
      </c>
      <c r="S61" s="93">
        <v>146</v>
      </c>
      <c r="T61" s="103">
        <f t="shared" si="1"/>
        <v>22</v>
      </c>
      <c r="U61" s="93">
        <v>98</v>
      </c>
      <c r="V61" s="104">
        <f t="shared" si="2"/>
        <v>2156</v>
      </c>
      <c r="W61" s="93">
        <v>12</v>
      </c>
      <c r="X61" s="93" t="s">
        <v>46</v>
      </c>
      <c r="Y61" s="93" t="s">
        <v>97</v>
      </c>
      <c r="Z61" s="93" t="s">
        <v>55</v>
      </c>
      <c r="AA61" s="93" t="s">
        <v>69</v>
      </c>
      <c r="AB61" s="93" t="s">
        <v>158</v>
      </c>
    </row>
    <row r="62" spans="1:28" x14ac:dyDescent="0.15">
      <c r="A62" s="93" t="s">
        <v>51</v>
      </c>
      <c r="B62" s="93" t="s">
        <v>157</v>
      </c>
      <c r="C62" s="93">
        <v>2019</v>
      </c>
      <c r="D62" s="101" t="s">
        <v>261</v>
      </c>
      <c r="E62" s="93" t="s">
        <v>273</v>
      </c>
      <c r="F62" s="93" t="s">
        <v>274</v>
      </c>
      <c r="G62" s="93" t="s">
        <v>36</v>
      </c>
      <c r="H62" s="93" t="s">
        <v>160</v>
      </c>
      <c r="I62" s="93" t="s">
        <v>159</v>
      </c>
      <c r="J62" s="93" t="s">
        <v>38</v>
      </c>
      <c r="K62" s="93" t="s">
        <v>161</v>
      </c>
      <c r="L62" s="93">
        <v>1</v>
      </c>
      <c r="N62" s="93">
        <v>1</v>
      </c>
      <c r="O62" s="93">
        <v>0.7</v>
      </c>
      <c r="P62" s="93">
        <v>0.7</v>
      </c>
      <c r="Q62" s="102">
        <f t="shared" si="0"/>
        <v>0.7</v>
      </c>
      <c r="R62" s="93">
        <v>16.2</v>
      </c>
      <c r="S62" s="93">
        <v>130</v>
      </c>
      <c r="T62" s="103">
        <f t="shared" si="1"/>
        <v>25</v>
      </c>
      <c r="U62" s="93">
        <v>98</v>
      </c>
      <c r="V62" s="104">
        <f t="shared" si="2"/>
        <v>2450</v>
      </c>
      <c r="W62" s="93">
        <v>12</v>
      </c>
      <c r="X62" s="93" t="s">
        <v>46</v>
      </c>
      <c r="Y62" s="93" t="s">
        <v>97</v>
      </c>
      <c r="Z62" s="93" t="s">
        <v>55</v>
      </c>
      <c r="AA62" s="93" t="s">
        <v>69</v>
      </c>
      <c r="AB62" s="93" t="s">
        <v>158</v>
      </c>
    </row>
    <row r="63" spans="1:28" x14ac:dyDescent="0.15">
      <c r="A63" s="93" t="s">
        <v>51</v>
      </c>
      <c r="B63" s="93" t="s">
        <v>157</v>
      </c>
      <c r="C63" s="93">
        <v>2019</v>
      </c>
      <c r="D63" s="101" t="s">
        <v>261</v>
      </c>
      <c r="E63" s="93" t="s">
        <v>273</v>
      </c>
      <c r="F63" s="93" t="s">
        <v>274</v>
      </c>
      <c r="G63" s="93" t="s">
        <v>36</v>
      </c>
      <c r="H63" s="93" t="s">
        <v>160</v>
      </c>
      <c r="I63" s="93" t="s">
        <v>159</v>
      </c>
      <c r="J63" s="93" t="s">
        <v>38</v>
      </c>
      <c r="K63" s="93" t="s">
        <v>161</v>
      </c>
      <c r="L63" s="93">
        <v>2</v>
      </c>
      <c r="N63" s="93">
        <v>1</v>
      </c>
      <c r="O63" s="93">
        <v>0.65</v>
      </c>
      <c r="P63" s="93">
        <v>0.65</v>
      </c>
      <c r="Q63" s="102">
        <f t="shared" si="0"/>
        <v>0.65</v>
      </c>
      <c r="R63" s="93">
        <v>15.4</v>
      </c>
      <c r="S63" s="93">
        <v>128</v>
      </c>
      <c r="T63" s="103">
        <f t="shared" si="1"/>
        <v>27</v>
      </c>
      <c r="U63" s="93">
        <v>98</v>
      </c>
      <c r="V63" s="104">
        <f t="shared" si="2"/>
        <v>2646</v>
      </c>
      <c r="W63" s="93">
        <v>12</v>
      </c>
      <c r="X63" s="93" t="s">
        <v>46</v>
      </c>
      <c r="Y63" s="93" t="s">
        <v>97</v>
      </c>
      <c r="Z63" s="93" t="s">
        <v>55</v>
      </c>
      <c r="AA63" s="93" t="s">
        <v>69</v>
      </c>
      <c r="AB63" s="93" t="s">
        <v>158</v>
      </c>
    </row>
    <row r="64" spans="1:28" x14ac:dyDescent="0.15">
      <c r="A64" s="93" t="s">
        <v>51</v>
      </c>
      <c r="B64" s="93" t="s">
        <v>157</v>
      </c>
      <c r="C64" s="93">
        <v>2019</v>
      </c>
      <c r="D64" s="101" t="s">
        <v>261</v>
      </c>
      <c r="E64" s="93" t="s">
        <v>273</v>
      </c>
      <c r="F64" s="93" t="s">
        <v>274</v>
      </c>
      <c r="G64" s="93" t="s">
        <v>36</v>
      </c>
      <c r="H64" s="93" t="s">
        <v>160</v>
      </c>
      <c r="I64" s="93" t="s">
        <v>159</v>
      </c>
      <c r="J64" s="93" t="s">
        <v>38</v>
      </c>
      <c r="K64" s="93" t="s">
        <v>161</v>
      </c>
      <c r="L64" s="93">
        <v>3</v>
      </c>
      <c r="N64" s="93">
        <v>1</v>
      </c>
      <c r="O64" s="93">
        <v>0.7</v>
      </c>
      <c r="P64" s="93">
        <v>0.65</v>
      </c>
      <c r="Q64" s="102">
        <f t="shared" si="0"/>
        <v>0.67500000000000004</v>
      </c>
      <c r="R64" s="93">
        <v>16.3</v>
      </c>
      <c r="S64" s="93">
        <v>132</v>
      </c>
      <c r="T64" s="103">
        <f t="shared" si="1"/>
        <v>25</v>
      </c>
      <c r="U64" s="93">
        <v>98</v>
      </c>
      <c r="V64" s="104">
        <f t="shared" si="2"/>
        <v>2450</v>
      </c>
      <c r="W64" s="93">
        <v>12</v>
      </c>
      <c r="X64" s="93" t="s">
        <v>46</v>
      </c>
      <c r="Y64" s="93" t="s">
        <v>97</v>
      </c>
      <c r="Z64" s="93" t="s">
        <v>55</v>
      </c>
      <c r="AA64" s="93" t="s">
        <v>69</v>
      </c>
      <c r="AB64" s="93" t="s">
        <v>158</v>
      </c>
    </row>
    <row r="65" spans="1:28" x14ac:dyDescent="0.15">
      <c r="A65" s="93" t="s">
        <v>51</v>
      </c>
      <c r="B65" s="93" t="s">
        <v>157</v>
      </c>
      <c r="C65" s="93">
        <v>2019</v>
      </c>
      <c r="D65" s="101" t="s">
        <v>261</v>
      </c>
      <c r="E65" s="93" t="s">
        <v>275</v>
      </c>
      <c r="F65" s="93" t="s">
        <v>263</v>
      </c>
      <c r="G65" s="93" t="s">
        <v>42</v>
      </c>
      <c r="H65" s="93" t="s">
        <v>164</v>
      </c>
      <c r="I65" s="93" t="s">
        <v>159</v>
      </c>
      <c r="J65" s="93" t="s">
        <v>38</v>
      </c>
      <c r="K65" s="93" t="s">
        <v>161</v>
      </c>
      <c r="L65" s="93">
        <v>1</v>
      </c>
      <c r="N65" s="93">
        <v>1</v>
      </c>
      <c r="O65" s="93">
        <v>0.75</v>
      </c>
      <c r="P65" s="93">
        <v>0.8</v>
      </c>
      <c r="Q65" s="103">
        <f t="shared" si="0"/>
        <v>0.77500000000000002</v>
      </c>
      <c r="R65" s="93">
        <v>15.8</v>
      </c>
      <c r="S65" s="93">
        <v>120</v>
      </c>
      <c r="T65" s="103">
        <f t="shared" si="1"/>
        <v>30</v>
      </c>
      <c r="U65" s="93">
        <v>78</v>
      </c>
      <c r="V65" s="103">
        <f t="shared" si="2"/>
        <v>2340</v>
      </c>
      <c r="W65" s="93">
        <v>6</v>
      </c>
      <c r="X65" s="93" t="s">
        <v>46</v>
      </c>
      <c r="Y65" s="93" t="s">
        <v>88</v>
      </c>
      <c r="Z65" s="93" t="s">
        <v>69</v>
      </c>
      <c r="AA65" s="93" t="s">
        <v>97</v>
      </c>
      <c r="AB65" s="93" t="s">
        <v>158</v>
      </c>
    </row>
    <row r="66" spans="1:28" x14ac:dyDescent="0.15">
      <c r="A66" s="93" t="s">
        <v>51</v>
      </c>
      <c r="B66" s="93" t="s">
        <v>157</v>
      </c>
      <c r="C66" s="93">
        <v>2019</v>
      </c>
      <c r="D66" s="101" t="s">
        <v>261</v>
      </c>
      <c r="E66" s="93" t="s">
        <v>275</v>
      </c>
      <c r="F66" s="93" t="s">
        <v>263</v>
      </c>
      <c r="G66" s="93" t="s">
        <v>42</v>
      </c>
      <c r="H66" s="93" t="s">
        <v>164</v>
      </c>
      <c r="I66" s="93" t="s">
        <v>159</v>
      </c>
      <c r="J66" s="93" t="s">
        <v>38</v>
      </c>
      <c r="K66" s="93" t="s">
        <v>161</v>
      </c>
      <c r="L66" s="93">
        <v>2</v>
      </c>
      <c r="N66" s="93">
        <v>1</v>
      </c>
      <c r="O66" s="93">
        <v>0.8</v>
      </c>
      <c r="P66" s="93">
        <v>0.8</v>
      </c>
      <c r="Q66" s="103">
        <f t="shared" ref="Q66:Q85" si="3">IF(OR(O66="",P66=""),"",AVERAGE(O66,P66))</f>
        <v>0.8</v>
      </c>
      <c r="R66" s="93">
        <v>15.4</v>
      </c>
      <c r="S66" s="93">
        <v>114</v>
      </c>
      <c r="T66" s="103">
        <f t="shared" ref="T66:T85" si="4">IF(H66="","",IF(OR(H66="GREEN",H66="GK"),IF(S66&gt;=$AX$2,VLOOKUP(S66,$AX$2:$AY$12,2,1),""),IF(S66&gt;=$AZ$2,VLOOKUP(S66,$AZ$2:$BA$12,2,1),"")))</f>
        <v>30</v>
      </c>
      <c r="U66" s="93">
        <v>78</v>
      </c>
      <c r="V66" s="103">
        <f t="shared" ref="V66:V85" si="5">IF(OR(N66="",U66="",T66=""),"",U66/N66*T66)</f>
        <v>2340</v>
      </c>
      <c r="W66" s="93">
        <v>6</v>
      </c>
      <c r="X66" s="93" t="s">
        <v>46</v>
      </c>
      <c r="Y66" s="93" t="s">
        <v>88</v>
      </c>
      <c r="Z66" s="93" t="s">
        <v>69</v>
      </c>
      <c r="AA66" s="93" t="s">
        <v>97</v>
      </c>
      <c r="AB66" s="93" t="s">
        <v>158</v>
      </c>
    </row>
    <row r="67" spans="1:28" x14ac:dyDescent="0.15">
      <c r="A67" s="93" t="s">
        <v>51</v>
      </c>
      <c r="B67" s="93" t="s">
        <v>157</v>
      </c>
      <c r="C67" s="93">
        <v>2019</v>
      </c>
      <c r="D67" s="101" t="s">
        <v>261</v>
      </c>
      <c r="E67" s="93" t="s">
        <v>275</v>
      </c>
      <c r="F67" s="93" t="s">
        <v>263</v>
      </c>
      <c r="G67" s="93" t="s">
        <v>42</v>
      </c>
      <c r="H67" s="93" t="s">
        <v>164</v>
      </c>
      <c r="I67" s="93" t="s">
        <v>159</v>
      </c>
      <c r="J67" s="93" t="s">
        <v>38</v>
      </c>
      <c r="K67" s="93" t="s">
        <v>161</v>
      </c>
      <c r="L67" s="93">
        <v>3</v>
      </c>
      <c r="N67" s="93">
        <v>1</v>
      </c>
      <c r="O67" s="93">
        <v>0.85</v>
      </c>
      <c r="P67" s="93">
        <v>0.75</v>
      </c>
      <c r="Q67" s="103">
        <f t="shared" si="3"/>
        <v>0.8</v>
      </c>
      <c r="R67" s="93">
        <v>15.1</v>
      </c>
      <c r="S67" s="93">
        <v>108</v>
      </c>
      <c r="T67" s="103">
        <f t="shared" si="4"/>
        <v>33</v>
      </c>
      <c r="U67" s="93">
        <v>78</v>
      </c>
      <c r="V67" s="103">
        <f t="shared" si="5"/>
        <v>2574</v>
      </c>
      <c r="W67" s="93">
        <v>6</v>
      </c>
      <c r="X67" s="93" t="s">
        <v>46</v>
      </c>
      <c r="Y67" s="93" t="s">
        <v>88</v>
      </c>
      <c r="Z67" s="93" t="s">
        <v>69</v>
      </c>
      <c r="AA67" s="93" t="s">
        <v>97</v>
      </c>
      <c r="AB67" s="93" t="s">
        <v>158</v>
      </c>
    </row>
    <row r="68" spans="1:28" x14ac:dyDescent="0.15">
      <c r="A68" s="93" t="s">
        <v>51</v>
      </c>
      <c r="B68" s="93" t="s">
        <v>157</v>
      </c>
      <c r="C68" s="93">
        <v>2019</v>
      </c>
      <c r="D68" s="101" t="s">
        <v>261</v>
      </c>
      <c r="E68" s="93" t="s">
        <v>275</v>
      </c>
      <c r="F68" s="93" t="s">
        <v>263</v>
      </c>
      <c r="G68" s="93" t="s">
        <v>42</v>
      </c>
      <c r="H68" s="93" t="s">
        <v>160</v>
      </c>
      <c r="I68" s="93" t="s">
        <v>159</v>
      </c>
      <c r="J68" s="93" t="s">
        <v>38</v>
      </c>
      <c r="K68" s="93" t="s">
        <v>161</v>
      </c>
      <c r="L68" s="93">
        <v>1</v>
      </c>
      <c r="N68" s="93">
        <v>1</v>
      </c>
      <c r="O68" s="93">
        <v>0.75</v>
      </c>
      <c r="P68" s="93">
        <v>0.6</v>
      </c>
      <c r="Q68" s="103">
        <f t="shared" si="3"/>
        <v>0.67500000000000004</v>
      </c>
      <c r="R68" s="93">
        <v>16.399999999999999</v>
      </c>
      <c r="S68" s="93">
        <v>128</v>
      </c>
      <c r="T68" s="103">
        <f t="shared" si="4"/>
        <v>27</v>
      </c>
      <c r="U68" s="93">
        <v>128</v>
      </c>
      <c r="V68" s="103">
        <f t="shared" si="5"/>
        <v>3456</v>
      </c>
      <c r="W68" s="93">
        <v>6</v>
      </c>
      <c r="X68" s="93" t="s">
        <v>46</v>
      </c>
      <c r="Y68" s="93" t="s">
        <v>88</v>
      </c>
      <c r="Z68" s="93" t="s">
        <v>69</v>
      </c>
      <c r="AA68" s="93" t="s">
        <v>97</v>
      </c>
      <c r="AB68" s="93" t="s">
        <v>158</v>
      </c>
    </row>
    <row r="69" spans="1:28" x14ac:dyDescent="0.15">
      <c r="A69" s="93" t="s">
        <v>51</v>
      </c>
      <c r="B69" s="93" t="s">
        <v>157</v>
      </c>
      <c r="C69" s="93">
        <v>2019</v>
      </c>
      <c r="D69" s="101" t="s">
        <v>261</v>
      </c>
      <c r="E69" s="93" t="s">
        <v>275</v>
      </c>
      <c r="F69" s="93" t="s">
        <v>263</v>
      </c>
      <c r="G69" s="93" t="s">
        <v>42</v>
      </c>
      <c r="H69" s="93" t="s">
        <v>160</v>
      </c>
      <c r="I69" s="93" t="s">
        <v>159</v>
      </c>
      <c r="J69" s="93" t="s">
        <v>38</v>
      </c>
      <c r="K69" s="93" t="s">
        <v>161</v>
      </c>
      <c r="L69" s="93">
        <v>2</v>
      </c>
      <c r="N69" s="93">
        <v>1</v>
      </c>
      <c r="O69" s="93">
        <v>0.7</v>
      </c>
      <c r="P69" s="93">
        <v>0.8</v>
      </c>
      <c r="Q69" s="103">
        <f t="shared" si="3"/>
        <v>0.75</v>
      </c>
      <c r="R69" s="93">
        <v>17.100000000000001</v>
      </c>
      <c r="S69" s="93">
        <v>148</v>
      </c>
      <c r="T69" s="103">
        <f t="shared" si="4"/>
        <v>22</v>
      </c>
      <c r="U69" s="93">
        <v>128</v>
      </c>
      <c r="V69" s="103">
        <f t="shared" si="5"/>
        <v>2816</v>
      </c>
      <c r="W69" s="93">
        <v>6</v>
      </c>
      <c r="X69" s="93" t="s">
        <v>46</v>
      </c>
      <c r="Y69" s="93" t="s">
        <v>88</v>
      </c>
      <c r="Z69" s="93" t="s">
        <v>69</v>
      </c>
      <c r="AA69" s="93" t="s">
        <v>97</v>
      </c>
      <c r="AB69" s="93" t="s">
        <v>158</v>
      </c>
    </row>
    <row r="70" spans="1:28" x14ac:dyDescent="0.15">
      <c r="A70" s="93" t="s">
        <v>51</v>
      </c>
      <c r="B70" s="93" t="s">
        <v>157</v>
      </c>
      <c r="C70" s="93">
        <v>2019</v>
      </c>
      <c r="D70" s="101" t="s">
        <v>261</v>
      </c>
      <c r="E70" s="93" t="s">
        <v>275</v>
      </c>
      <c r="F70" s="93" t="s">
        <v>263</v>
      </c>
      <c r="G70" s="93" t="s">
        <v>42</v>
      </c>
      <c r="H70" s="93" t="s">
        <v>160</v>
      </c>
      <c r="I70" s="93" t="s">
        <v>159</v>
      </c>
      <c r="J70" s="93" t="s">
        <v>38</v>
      </c>
      <c r="K70" s="93" t="s">
        <v>161</v>
      </c>
      <c r="L70" s="93">
        <v>3</v>
      </c>
      <c r="N70" s="93">
        <v>1</v>
      </c>
      <c r="O70" s="93">
        <v>0.75</v>
      </c>
      <c r="P70" s="93">
        <v>0.7</v>
      </c>
      <c r="Q70" s="103">
        <f t="shared" si="3"/>
        <v>0.72499999999999998</v>
      </c>
      <c r="R70" s="93">
        <v>16.7</v>
      </c>
      <c r="S70" s="93">
        <v>136</v>
      </c>
      <c r="T70" s="103">
        <f t="shared" si="4"/>
        <v>25</v>
      </c>
      <c r="U70" s="93">
        <v>128</v>
      </c>
      <c r="V70" s="103">
        <f t="shared" si="5"/>
        <v>3200</v>
      </c>
      <c r="W70" s="93">
        <v>6</v>
      </c>
      <c r="X70" s="93" t="s">
        <v>46</v>
      </c>
      <c r="Y70" s="93" t="s">
        <v>88</v>
      </c>
      <c r="Z70" s="93" t="s">
        <v>69</v>
      </c>
      <c r="AA70" s="93" t="s">
        <v>97</v>
      </c>
      <c r="AB70" s="93" t="s">
        <v>158</v>
      </c>
    </row>
    <row r="71" spans="1:28" x14ac:dyDescent="0.15">
      <c r="D71" s="101"/>
      <c r="Q71" s="103" t="str">
        <f t="shared" si="3"/>
        <v/>
      </c>
      <c r="T71" s="103" t="str">
        <f t="shared" si="4"/>
        <v/>
      </c>
      <c r="V71" s="103" t="str">
        <f t="shared" si="5"/>
        <v/>
      </c>
    </row>
    <row r="72" spans="1:28" x14ac:dyDescent="0.15">
      <c r="D72" s="101"/>
      <c r="Q72" s="103" t="str">
        <f t="shared" si="3"/>
        <v/>
      </c>
      <c r="T72" s="103" t="str">
        <f t="shared" si="4"/>
        <v/>
      </c>
      <c r="V72" s="103" t="str">
        <f t="shared" si="5"/>
        <v/>
      </c>
    </row>
    <row r="73" spans="1:28" x14ac:dyDescent="0.15">
      <c r="D73" s="101"/>
      <c r="Q73" s="103" t="str">
        <f t="shared" si="3"/>
        <v/>
      </c>
      <c r="T73" s="103" t="str">
        <f t="shared" si="4"/>
        <v/>
      </c>
      <c r="V73" s="103" t="str">
        <f t="shared" si="5"/>
        <v/>
      </c>
    </row>
    <row r="74" spans="1:28" x14ac:dyDescent="0.15">
      <c r="D74" s="101"/>
      <c r="Q74" s="103" t="str">
        <f t="shared" si="3"/>
        <v/>
      </c>
      <c r="T74" s="103" t="str">
        <f t="shared" si="4"/>
        <v/>
      </c>
      <c r="V74" s="103" t="str">
        <f t="shared" si="5"/>
        <v/>
      </c>
    </row>
    <row r="75" spans="1:28" x14ac:dyDescent="0.15">
      <c r="D75" s="101"/>
      <c r="Q75" s="103" t="str">
        <f t="shared" si="3"/>
        <v/>
      </c>
      <c r="T75" s="103" t="str">
        <f t="shared" si="4"/>
        <v/>
      </c>
      <c r="V75" s="103" t="str">
        <f t="shared" si="5"/>
        <v/>
      </c>
    </row>
    <row r="76" spans="1:28" x14ac:dyDescent="0.15">
      <c r="D76" s="101"/>
      <c r="Q76" s="103" t="str">
        <f t="shared" si="3"/>
        <v/>
      </c>
      <c r="T76" s="103" t="str">
        <f t="shared" si="4"/>
        <v/>
      </c>
      <c r="V76" s="103" t="str">
        <f t="shared" si="5"/>
        <v/>
      </c>
    </row>
    <row r="77" spans="1:28" x14ac:dyDescent="0.15">
      <c r="D77" s="101"/>
      <c r="Q77" s="103" t="str">
        <f t="shared" si="3"/>
        <v/>
      </c>
      <c r="T77" s="103" t="str">
        <f t="shared" si="4"/>
        <v/>
      </c>
      <c r="V77" s="103" t="str">
        <f t="shared" si="5"/>
        <v/>
      </c>
    </row>
    <row r="78" spans="1:28" x14ac:dyDescent="0.15">
      <c r="D78" s="101"/>
      <c r="Q78" s="103" t="str">
        <f t="shared" si="3"/>
        <v/>
      </c>
      <c r="T78" s="103" t="str">
        <f t="shared" si="4"/>
        <v/>
      </c>
      <c r="V78" s="103" t="str">
        <f t="shared" si="5"/>
        <v/>
      </c>
    </row>
    <row r="79" spans="1:28" x14ac:dyDescent="0.15">
      <c r="D79" s="101"/>
      <c r="Q79" s="103" t="str">
        <f t="shared" si="3"/>
        <v/>
      </c>
      <c r="T79" s="103" t="str">
        <f t="shared" si="4"/>
        <v/>
      </c>
      <c r="V79" s="103" t="str">
        <f t="shared" si="5"/>
        <v/>
      </c>
    </row>
    <row r="80" spans="1:28" x14ac:dyDescent="0.15">
      <c r="D80" s="122"/>
      <c r="Q80" s="103" t="str">
        <f t="shared" si="3"/>
        <v/>
      </c>
      <c r="T80" s="103" t="str">
        <f t="shared" si="4"/>
        <v/>
      </c>
      <c r="V80" s="103" t="str">
        <f t="shared" si="5"/>
        <v/>
      </c>
    </row>
    <row r="81" spans="4:22" x14ac:dyDescent="0.15">
      <c r="D81" s="122"/>
      <c r="Q81" s="103" t="str">
        <f t="shared" si="3"/>
        <v/>
      </c>
      <c r="T81" s="103" t="str">
        <f t="shared" si="4"/>
        <v/>
      </c>
      <c r="V81" s="103" t="str">
        <f t="shared" si="5"/>
        <v/>
      </c>
    </row>
    <row r="82" spans="4:22" x14ac:dyDescent="0.15">
      <c r="D82" s="122"/>
      <c r="Q82" s="103" t="str">
        <f t="shared" si="3"/>
        <v/>
      </c>
      <c r="T82" s="103" t="str">
        <f t="shared" si="4"/>
        <v/>
      </c>
      <c r="V82" s="103" t="str">
        <f t="shared" si="5"/>
        <v/>
      </c>
    </row>
    <row r="83" spans="4:22" x14ac:dyDescent="0.15">
      <c r="D83" s="122"/>
      <c r="Q83" s="103" t="str">
        <f t="shared" si="3"/>
        <v/>
      </c>
      <c r="T83" s="103" t="str">
        <f t="shared" si="4"/>
        <v/>
      </c>
      <c r="V83" s="103" t="str">
        <f t="shared" si="5"/>
        <v/>
      </c>
    </row>
    <row r="84" spans="4:22" x14ac:dyDescent="0.15">
      <c r="D84" s="122"/>
      <c r="Q84" s="103" t="str">
        <f t="shared" si="3"/>
        <v/>
      </c>
      <c r="T84" s="103" t="str">
        <f t="shared" si="4"/>
        <v/>
      </c>
      <c r="V84" s="103" t="str">
        <f t="shared" si="5"/>
        <v/>
      </c>
    </row>
    <row r="85" spans="4:22" x14ac:dyDescent="0.15">
      <c r="D85" s="122"/>
      <c r="Q85" s="103" t="str">
        <f t="shared" si="3"/>
        <v/>
      </c>
      <c r="T85" s="103" t="str">
        <f t="shared" si="4"/>
        <v/>
      </c>
      <c r="V85" s="103" t="str">
        <f t="shared" si="5"/>
        <v/>
      </c>
    </row>
    <row r="86" spans="4:22" x14ac:dyDescent="0.15">
      <c r="D86" s="122"/>
    </row>
    <row r="87" spans="4:22" x14ac:dyDescent="0.15">
      <c r="D87" s="122"/>
    </row>
    <row r="88" spans="4:22" x14ac:dyDescent="0.15">
      <c r="D88" s="122"/>
    </row>
    <row r="89" spans="4:22" x14ac:dyDescent="0.15">
      <c r="D89" s="122"/>
    </row>
    <row r="90" spans="4:22" x14ac:dyDescent="0.15">
      <c r="D90" s="122"/>
    </row>
    <row r="91" spans="4:22" x14ac:dyDescent="0.15">
      <c r="D91" s="122"/>
    </row>
  </sheetData>
  <autoFilter ref="A1:BA85" xr:uid="{00000000-0009-0000-0000-000000000000}"/>
  <phoneticPr fontId="3"/>
  <dataValidations count="15">
    <dataValidation type="decimal" allowBlank="1" showInputMessage="1" showErrorMessage="1" error="硬度を正しく入力して下さい。" sqref="O2:P500" xr:uid="{A5A18218-BAC4-4446-9518-09E35C7FBB38}">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05C3E3A0-0532-40E1-9698-B5D7A3505B9A}">
      <formula1>$AV$2:$AV$20</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4EE48D5C-9BE6-4125-8F6E-C526F77A288D}">
      <formula1>$AT$2:$AT$3</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D0342743-0823-4D9C-905D-CDFA02C0F470}">
      <formula1>$AL$4:$AL$12</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60A6C932-655C-4299-9F4E-A614E21E4ABA}">
      <formula1>$AN$5:$AN$6</formula1>
    </dataValidation>
    <dataValidation type="list" allowBlank="1" showInputMessage="1" showErrorMessage="1" sqref="Y2:AA500" xr:uid="{BFB44673-DC3C-400B-A8CD-9AD4799B1889}">
      <formula1>$AV$2:$AV$21</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868610E2-33CE-45AB-A7AD-42F1F1ABD00D}">
      <formula1>$AP$2:$AP$27</formula1>
    </dataValidation>
    <dataValidation type="list" allowBlank="1" showInputMessage="1" showErrorMessage="1" sqref="H2:H500" xr:uid="{C8C4E4EC-13D3-4FA5-8A47-B640EA99CA2A}">
      <formula1>$AL$2:$AL$8</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525AA1F0-FC3B-4F38-8DA0-7ED7CC06CAA9}">
      <formula1>$AH$2:$AH$11</formula1>
    </dataValidation>
    <dataValidation type="list" allowBlank="1" showInputMessage="1" showErrorMessage="1" sqref="K2:K89" xr:uid="{FA9DEA76-2978-45A2-9317-9F956FCC35AA}">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E883A157-1A69-4446-8D8E-396022C68A26}">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D2844F4E-6C5A-4CF4-84E4-BBEFEA1C0035}"/>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FB0EA358-C6D0-484A-B7FC-5CA96433F962}">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DB6A7982-29BF-4C4E-900A-350C80990832}">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A204FFA9-C979-41FD-B38F-A47C9F6D1E8B}">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98FB7-2C16-4265-9130-970862EE6321}">
  <sheetPr>
    <pageSetUpPr fitToPage="1"/>
  </sheetPr>
  <dimension ref="A1:BA120"/>
  <sheetViews>
    <sheetView topLeftCell="A28" zoomScale="80" zoomScaleNormal="80" workbookViewId="0">
      <selection activeCell="L85" sqref="L85"/>
    </sheetView>
  </sheetViews>
  <sheetFormatPr defaultRowHeight="13.5" x14ac:dyDescent="0.15"/>
  <cols>
    <col min="1" max="3" width="9" style="53" customWidth="1"/>
    <col min="4" max="4" width="10.37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375" style="53" bestFit="1" customWidth="1"/>
    <col min="20" max="20" width="9" style="16" customWidth="1"/>
    <col min="21" max="21" width="9" style="53"/>
    <col min="22" max="22" width="9" style="16" customWidth="1"/>
    <col min="23" max="28" width="9" style="53"/>
    <col min="29" max="29" width="26.375" style="53" customWidth="1"/>
    <col min="30" max="32" width="9" style="53"/>
    <col min="33" max="33" width="15.75" style="53" bestFit="1" customWidth="1"/>
    <col min="34" max="34" width="15" style="53" bestFit="1" customWidth="1"/>
    <col min="35" max="256" width="9" style="53"/>
    <col min="257" max="259" width="9" style="53" customWidth="1"/>
    <col min="260" max="260" width="10.375" style="53" customWidth="1"/>
    <col min="261" max="261" width="11.25" style="53" bestFit="1" customWidth="1"/>
    <col min="262" max="263" width="9" style="53"/>
    <col min="264" max="273" width="9" style="53" customWidth="1"/>
    <col min="274" max="274" width="9" style="53"/>
    <col min="275" max="275" width="9.375" style="53" bestFit="1" customWidth="1"/>
    <col min="276" max="276" width="9" style="53" customWidth="1"/>
    <col min="277" max="277" width="9" style="53"/>
    <col min="278" max="278" width="9" style="53" customWidth="1"/>
    <col min="279" max="284" width="9" style="53"/>
    <col min="285" max="285" width="26.375" style="53" customWidth="1"/>
    <col min="286" max="288" width="9" style="53"/>
    <col min="289" max="289" width="14.75" style="53" bestFit="1" customWidth="1"/>
    <col min="290" max="512" width="9" style="53"/>
    <col min="513" max="515" width="9" style="53" customWidth="1"/>
    <col min="516" max="516" width="10.375" style="53" customWidth="1"/>
    <col min="517" max="517" width="11.25" style="53" bestFit="1" customWidth="1"/>
    <col min="518" max="519" width="9" style="53"/>
    <col min="520" max="529" width="9" style="53" customWidth="1"/>
    <col min="530" max="530" width="9" style="53"/>
    <col min="531" max="531" width="9.375" style="53" bestFit="1" customWidth="1"/>
    <col min="532" max="532" width="9" style="53" customWidth="1"/>
    <col min="533" max="533" width="9" style="53"/>
    <col min="534" max="534" width="9" style="53" customWidth="1"/>
    <col min="535" max="540" width="9" style="53"/>
    <col min="541" max="541" width="26.375" style="53" customWidth="1"/>
    <col min="542" max="544" width="9" style="53"/>
    <col min="545" max="545" width="14.75" style="53" bestFit="1" customWidth="1"/>
    <col min="546" max="768" width="9" style="53"/>
    <col min="769" max="771" width="9" style="53" customWidth="1"/>
    <col min="772" max="772" width="10.375" style="53" customWidth="1"/>
    <col min="773" max="773" width="11.25" style="53" bestFit="1" customWidth="1"/>
    <col min="774" max="775" width="9" style="53"/>
    <col min="776" max="785" width="9" style="53" customWidth="1"/>
    <col min="786" max="786" width="9" style="53"/>
    <col min="787" max="787" width="9.375" style="53" bestFit="1" customWidth="1"/>
    <col min="788" max="788" width="9" style="53" customWidth="1"/>
    <col min="789" max="789" width="9" style="53"/>
    <col min="790" max="790" width="9" style="53" customWidth="1"/>
    <col min="791" max="796" width="9" style="53"/>
    <col min="797" max="797" width="26.375" style="53" customWidth="1"/>
    <col min="798" max="800" width="9" style="53"/>
    <col min="801" max="801" width="14.75" style="53" bestFit="1" customWidth="1"/>
    <col min="802" max="1024" width="9" style="53"/>
    <col min="1025" max="1027" width="9" style="53" customWidth="1"/>
    <col min="1028" max="1028" width="10.375" style="53" customWidth="1"/>
    <col min="1029" max="1029" width="11.25" style="53" bestFit="1" customWidth="1"/>
    <col min="1030" max="1031" width="9" style="53"/>
    <col min="1032" max="1041" width="9" style="53" customWidth="1"/>
    <col min="1042" max="1042" width="9" style="53"/>
    <col min="1043" max="1043" width="9.375" style="53" bestFit="1" customWidth="1"/>
    <col min="1044" max="1044" width="9" style="53" customWidth="1"/>
    <col min="1045" max="1045" width="9" style="53"/>
    <col min="1046" max="1046" width="9" style="53" customWidth="1"/>
    <col min="1047" max="1052" width="9" style="53"/>
    <col min="1053" max="1053" width="26.375" style="53" customWidth="1"/>
    <col min="1054" max="1056" width="9" style="53"/>
    <col min="1057" max="1057" width="14.75" style="53" bestFit="1" customWidth="1"/>
    <col min="1058" max="1280" width="9" style="53"/>
    <col min="1281" max="1283" width="9" style="53" customWidth="1"/>
    <col min="1284" max="1284" width="10.375" style="53" customWidth="1"/>
    <col min="1285" max="1285" width="11.25" style="53" bestFit="1" customWidth="1"/>
    <col min="1286" max="1287" width="9" style="53"/>
    <col min="1288" max="1297" width="9" style="53" customWidth="1"/>
    <col min="1298" max="1298" width="9" style="53"/>
    <col min="1299" max="1299" width="9.375" style="53" bestFit="1" customWidth="1"/>
    <col min="1300" max="1300" width="9" style="53" customWidth="1"/>
    <col min="1301" max="1301" width="9" style="53"/>
    <col min="1302" max="1302" width="9" style="53" customWidth="1"/>
    <col min="1303" max="1308" width="9" style="53"/>
    <col min="1309" max="1309" width="26.375" style="53" customWidth="1"/>
    <col min="1310" max="1312" width="9" style="53"/>
    <col min="1313" max="1313" width="14.75" style="53" bestFit="1" customWidth="1"/>
    <col min="1314" max="1536" width="9" style="53"/>
    <col min="1537" max="1539" width="9" style="53" customWidth="1"/>
    <col min="1540" max="1540" width="10.375" style="53" customWidth="1"/>
    <col min="1541" max="1541" width="11.25" style="53" bestFit="1" customWidth="1"/>
    <col min="1542" max="1543" width="9" style="53"/>
    <col min="1544" max="1553" width="9" style="53" customWidth="1"/>
    <col min="1554" max="1554" width="9" style="53"/>
    <col min="1555" max="1555" width="9.375" style="53" bestFit="1" customWidth="1"/>
    <col min="1556" max="1556" width="9" style="53" customWidth="1"/>
    <col min="1557" max="1557" width="9" style="53"/>
    <col min="1558" max="1558" width="9" style="53" customWidth="1"/>
    <col min="1559" max="1564" width="9" style="53"/>
    <col min="1565" max="1565" width="26.375" style="53" customWidth="1"/>
    <col min="1566" max="1568" width="9" style="53"/>
    <col min="1569" max="1569" width="14.75" style="53" bestFit="1" customWidth="1"/>
    <col min="1570" max="1792" width="9" style="53"/>
    <col min="1793" max="1795" width="9" style="53" customWidth="1"/>
    <col min="1796" max="1796" width="10.375" style="53" customWidth="1"/>
    <col min="1797" max="1797" width="11.25" style="53" bestFit="1" customWidth="1"/>
    <col min="1798" max="1799" width="9" style="53"/>
    <col min="1800" max="1809" width="9" style="53" customWidth="1"/>
    <col min="1810" max="1810" width="9" style="53"/>
    <col min="1811" max="1811" width="9.375" style="53" bestFit="1" customWidth="1"/>
    <col min="1812" max="1812" width="9" style="53" customWidth="1"/>
    <col min="1813" max="1813" width="9" style="53"/>
    <col min="1814" max="1814" width="9" style="53" customWidth="1"/>
    <col min="1815" max="1820" width="9" style="53"/>
    <col min="1821" max="1821" width="26.375" style="53" customWidth="1"/>
    <col min="1822" max="1824" width="9" style="53"/>
    <col min="1825" max="1825" width="14.75" style="53" bestFit="1" customWidth="1"/>
    <col min="1826" max="2048" width="9" style="53"/>
    <col min="2049" max="2051" width="9" style="53" customWidth="1"/>
    <col min="2052" max="2052" width="10.375" style="53" customWidth="1"/>
    <col min="2053" max="2053" width="11.25" style="53" bestFit="1" customWidth="1"/>
    <col min="2054" max="2055" width="9" style="53"/>
    <col min="2056" max="2065" width="9" style="53" customWidth="1"/>
    <col min="2066" max="2066" width="9" style="53"/>
    <col min="2067" max="2067" width="9.375" style="53" bestFit="1" customWidth="1"/>
    <col min="2068" max="2068" width="9" style="53" customWidth="1"/>
    <col min="2069" max="2069" width="9" style="53"/>
    <col min="2070" max="2070" width="9" style="53" customWidth="1"/>
    <col min="2071" max="2076" width="9" style="53"/>
    <col min="2077" max="2077" width="26.375" style="53" customWidth="1"/>
    <col min="2078" max="2080" width="9" style="53"/>
    <col min="2081" max="2081" width="14.75" style="53" bestFit="1" customWidth="1"/>
    <col min="2082" max="2304" width="9" style="53"/>
    <col min="2305" max="2307" width="9" style="53" customWidth="1"/>
    <col min="2308" max="2308" width="10.375" style="53" customWidth="1"/>
    <col min="2309" max="2309" width="11.25" style="53" bestFit="1" customWidth="1"/>
    <col min="2310" max="2311" width="9" style="53"/>
    <col min="2312" max="2321" width="9" style="53" customWidth="1"/>
    <col min="2322" max="2322" width="9" style="53"/>
    <col min="2323" max="2323" width="9.375" style="53" bestFit="1" customWidth="1"/>
    <col min="2324" max="2324" width="9" style="53" customWidth="1"/>
    <col min="2325" max="2325" width="9" style="53"/>
    <col min="2326" max="2326" width="9" style="53" customWidth="1"/>
    <col min="2327" max="2332" width="9" style="53"/>
    <col min="2333" max="2333" width="26.375" style="53" customWidth="1"/>
    <col min="2334" max="2336" width="9" style="53"/>
    <col min="2337" max="2337" width="14.75" style="53" bestFit="1" customWidth="1"/>
    <col min="2338" max="2560" width="9" style="53"/>
    <col min="2561" max="2563" width="9" style="53" customWidth="1"/>
    <col min="2564" max="2564" width="10.375" style="53" customWidth="1"/>
    <col min="2565" max="2565" width="11.25" style="53" bestFit="1" customWidth="1"/>
    <col min="2566" max="2567" width="9" style="53"/>
    <col min="2568" max="2577" width="9" style="53" customWidth="1"/>
    <col min="2578" max="2578" width="9" style="53"/>
    <col min="2579" max="2579" width="9.375" style="53" bestFit="1" customWidth="1"/>
    <col min="2580" max="2580" width="9" style="53" customWidth="1"/>
    <col min="2581" max="2581" width="9" style="53"/>
    <col min="2582" max="2582" width="9" style="53" customWidth="1"/>
    <col min="2583" max="2588" width="9" style="53"/>
    <col min="2589" max="2589" width="26.375" style="53" customWidth="1"/>
    <col min="2590" max="2592" width="9" style="53"/>
    <col min="2593" max="2593" width="14.75" style="53" bestFit="1" customWidth="1"/>
    <col min="2594" max="2816" width="9" style="53"/>
    <col min="2817" max="2819" width="9" style="53" customWidth="1"/>
    <col min="2820" max="2820" width="10.375" style="53" customWidth="1"/>
    <col min="2821" max="2821" width="11.25" style="53" bestFit="1" customWidth="1"/>
    <col min="2822" max="2823" width="9" style="53"/>
    <col min="2824" max="2833" width="9" style="53" customWidth="1"/>
    <col min="2834" max="2834" width="9" style="53"/>
    <col min="2835" max="2835" width="9.375" style="53" bestFit="1" customWidth="1"/>
    <col min="2836" max="2836" width="9" style="53" customWidth="1"/>
    <col min="2837" max="2837" width="9" style="53"/>
    <col min="2838" max="2838" width="9" style="53" customWidth="1"/>
    <col min="2839" max="2844" width="9" style="53"/>
    <col min="2845" max="2845" width="26.375" style="53" customWidth="1"/>
    <col min="2846" max="2848" width="9" style="53"/>
    <col min="2849" max="2849" width="14.75" style="53" bestFit="1" customWidth="1"/>
    <col min="2850" max="3072" width="9" style="53"/>
    <col min="3073" max="3075" width="9" style="53" customWidth="1"/>
    <col min="3076" max="3076" width="10.375" style="53" customWidth="1"/>
    <col min="3077" max="3077" width="11.25" style="53" bestFit="1" customWidth="1"/>
    <col min="3078" max="3079" width="9" style="53"/>
    <col min="3080" max="3089" width="9" style="53" customWidth="1"/>
    <col min="3090" max="3090" width="9" style="53"/>
    <col min="3091" max="3091" width="9.375" style="53" bestFit="1" customWidth="1"/>
    <col min="3092" max="3092" width="9" style="53" customWidth="1"/>
    <col min="3093" max="3093" width="9" style="53"/>
    <col min="3094" max="3094" width="9" style="53" customWidth="1"/>
    <col min="3095" max="3100" width="9" style="53"/>
    <col min="3101" max="3101" width="26.375" style="53" customWidth="1"/>
    <col min="3102" max="3104" width="9" style="53"/>
    <col min="3105" max="3105" width="14.75" style="53" bestFit="1" customWidth="1"/>
    <col min="3106" max="3328" width="9" style="53"/>
    <col min="3329" max="3331" width="9" style="53" customWidth="1"/>
    <col min="3332" max="3332" width="10.375" style="53" customWidth="1"/>
    <col min="3333" max="3333" width="11.25" style="53" bestFit="1" customWidth="1"/>
    <col min="3334" max="3335" width="9" style="53"/>
    <col min="3336" max="3345" width="9" style="53" customWidth="1"/>
    <col min="3346" max="3346" width="9" style="53"/>
    <col min="3347" max="3347" width="9.375" style="53" bestFit="1" customWidth="1"/>
    <col min="3348" max="3348" width="9" style="53" customWidth="1"/>
    <col min="3349" max="3349" width="9" style="53"/>
    <col min="3350" max="3350" width="9" style="53" customWidth="1"/>
    <col min="3351" max="3356" width="9" style="53"/>
    <col min="3357" max="3357" width="26.375" style="53" customWidth="1"/>
    <col min="3358" max="3360" width="9" style="53"/>
    <col min="3361" max="3361" width="14.75" style="53" bestFit="1" customWidth="1"/>
    <col min="3362" max="3584" width="9" style="53"/>
    <col min="3585" max="3587" width="9" style="53" customWidth="1"/>
    <col min="3588" max="3588" width="10.375" style="53" customWidth="1"/>
    <col min="3589" max="3589" width="11.25" style="53" bestFit="1" customWidth="1"/>
    <col min="3590" max="3591" width="9" style="53"/>
    <col min="3592" max="3601" width="9" style="53" customWidth="1"/>
    <col min="3602" max="3602" width="9" style="53"/>
    <col min="3603" max="3603" width="9.375" style="53" bestFit="1" customWidth="1"/>
    <col min="3604" max="3604" width="9" style="53" customWidth="1"/>
    <col min="3605" max="3605" width="9" style="53"/>
    <col min="3606" max="3606" width="9" style="53" customWidth="1"/>
    <col min="3607" max="3612" width="9" style="53"/>
    <col min="3613" max="3613" width="26.375" style="53" customWidth="1"/>
    <col min="3614" max="3616" width="9" style="53"/>
    <col min="3617" max="3617" width="14.75" style="53" bestFit="1" customWidth="1"/>
    <col min="3618" max="3840" width="9" style="53"/>
    <col min="3841" max="3843" width="9" style="53" customWidth="1"/>
    <col min="3844" max="3844" width="10.375" style="53" customWidth="1"/>
    <col min="3845" max="3845" width="11.25" style="53" bestFit="1" customWidth="1"/>
    <col min="3846" max="3847" width="9" style="53"/>
    <col min="3848" max="3857" width="9" style="53" customWidth="1"/>
    <col min="3858" max="3858" width="9" style="53"/>
    <col min="3859" max="3859" width="9.375" style="53" bestFit="1" customWidth="1"/>
    <col min="3860" max="3860" width="9" style="53" customWidth="1"/>
    <col min="3861" max="3861" width="9" style="53"/>
    <col min="3862" max="3862" width="9" style="53" customWidth="1"/>
    <col min="3863" max="3868" width="9" style="53"/>
    <col min="3869" max="3869" width="26.375" style="53" customWidth="1"/>
    <col min="3870" max="3872" width="9" style="53"/>
    <col min="3873" max="3873" width="14.75" style="53" bestFit="1" customWidth="1"/>
    <col min="3874" max="4096" width="9" style="53"/>
    <col min="4097" max="4099" width="9" style="53" customWidth="1"/>
    <col min="4100" max="4100" width="10.375" style="53" customWidth="1"/>
    <col min="4101" max="4101" width="11.25" style="53" bestFit="1" customWidth="1"/>
    <col min="4102" max="4103" width="9" style="53"/>
    <col min="4104" max="4113" width="9" style="53" customWidth="1"/>
    <col min="4114" max="4114" width="9" style="53"/>
    <col min="4115" max="4115" width="9.375" style="53" bestFit="1" customWidth="1"/>
    <col min="4116" max="4116" width="9" style="53" customWidth="1"/>
    <col min="4117" max="4117" width="9" style="53"/>
    <col min="4118" max="4118" width="9" style="53" customWidth="1"/>
    <col min="4119" max="4124" width="9" style="53"/>
    <col min="4125" max="4125" width="26.375" style="53" customWidth="1"/>
    <col min="4126" max="4128" width="9" style="53"/>
    <col min="4129" max="4129" width="14.75" style="53" bestFit="1" customWidth="1"/>
    <col min="4130" max="4352" width="9" style="53"/>
    <col min="4353" max="4355" width="9" style="53" customWidth="1"/>
    <col min="4356" max="4356" width="10.375" style="53" customWidth="1"/>
    <col min="4357" max="4357" width="11.25" style="53" bestFit="1" customWidth="1"/>
    <col min="4358" max="4359" width="9" style="53"/>
    <col min="4360" max="4369" width="9" style="53" customWidth="1"/>
    <col min="4370" max="4370" width="9" style="53"/>
    <col min="4371" max="4371" width="9.375" style="53" bestFit="1" customWidth="1"/>
    <col min="4372" max="4372" width="9" style="53" customWidth="1"/>
    <col min="4373" max="4373" width="9" style="53"/>
    <col min="4374" max="4374" width="9" style="53" customWidth="1"/>
    <col min="4375" max="4380" width="9" style="53"/>
    <col min="4381" max="4381" width="26.375" style="53" customWidth="1"/>
    <col min="4382" max="4384" width="9" style="53"/>
    <col min="4385" max="4385" width="14.75" style="53" bestFit="1" customWidth="1"/>
    <col min="4386" max="4608" width="9" style="53"/>
    <col min="4609" max="4611" width="9" style="53" customWidth="1"/>
    <col min="4612" max="4612" width="10.375" style="53" customWidth="1"/>
    <col min="4613" max="4613" width="11.25" style="53" bestFit="1" customWidth="1"/>
    <col min="4614" max="4615" width="9" style="53"/>
    <col min="4616" max="4625" width="9" style="53" customWidth="1"/>
    <col min="4626" max="4626" width="9" style="53"/>
    <col min="4627" max="4627" width="9.375" style="53" bestFit="1" customWidth="1"/>
    <col min="4628" max="4628" width="9" style="53" customWidth="1"/>
    <col min="4629" max="4629" width="9" style="53"/>
    <col min="4630" max="4630" width="9" style="53" customWidth="1"/>
    <col min="4631" max="4636" width="9" style="53"/>
    <col min="4637" max="4637" width="26.375" style="53" customWidth="1"/>
    <col min="4638" max="4640" width="9" style="53"/>
    <col min="4641" max="4641" width="14.75" style="53" bestFit="1" customWidth="1"/>
    <col min="4642" max="4864" width="9" style="53"/>
    <col min="4865" max="4867" width="9" style="53" customWidth="1"/>
    <col min="4868" max="4868" width="10.375" style="53" customWidth="1"/>
    <col min="4869" max="4869" width="11.25" style="53" bestFit="1" customWidth="1"/>
    <col min="4870" max="4871" width="9" style="53"/>
    <col min="4872" max="4881" width="9" style="53" customWidth="1"/>
    <col min="4882" max="4882" width="9" style="53"/>
    <col min="4883" max="4883" width="9.375" style="53" bestFit="1" customWidth="1"/>
    <col min="4884" max="4884" width="9" style="53" customWidth="1"/>
    <col min="4885" max="4885" width="9" style="53"/>
    <col min="4886" max="4886" width="9" style="53" customWidth="1"/>
    <col min="4887" max="4892" width="9" style="53"/>
    <col min="4893" max="4893" width="26.375" style="53" customWidth="1"/>
    <col min="4894" max="4896" width="9" style="53"/>
    <col min="4897" max="4897" width="14.75" style="53" bestFit="1" customWidth="1"/>
    <col min="4898" max="5120" width="9" style="53"/>
    <col min="5121" max="5123" width="9" style="53" customWidth="1"/>
    <col min="5124" max="5124" width="10.375" style="53" customWidth="1"/>
    <col min="5125" max="5125" width="11.25" style="53" bestFit="1" customWidth="1"/>
    <col min="5126" max="5127" width="9" style="53"/>
    <col min="5128" max="5137" width="9" style="53" customWidth="1"/>
    <col min="5138" max="5138" width="9" style="53"/>
    <col min="5139" max="5139" width="9.375" style="53" bestFit="1" customWidth="1"/>
    <col min="5140" max="5140" width="9" style="53" customWidth="1"/>
    <col min="5141" max="5141" width="9" style="53"/>
    <col min="5142" max="5142" width="9" style="53" customWidth="1"/>
    <col min="5143" max="5148" width="9" style="53"/>
    <col min="5149" max="5149" width="26.375" style="53" customWidth="1"/>
    <col min="5150" max="5152" width="9" style="53"/>
    <col min="5153" max="5153" width="14.75" style="53" bestFit="1" customWidth="1"/>
    <col min="5154" max="5376" width="9" style="53"/>
    <col min="5377" max="5379" width="9" style="53" customWidth="1"/>
    <col min="5380" max="5380" width="10.375" style="53" customWidth="1"/>
    <col min="5381" max="5381" width="11.25" style="53" bestFit="1" customWidth="1"/>
    <col min="5382" max="5383" width="9" style="53"/>
    <col min="5384" max="5393" width="9" style="53" customWidth="1"/>
    <col min="5394" max="5394" width="9" style="53"/>
    <col min="5395" max="5395" width="9.375" style="53" bestFit="1" customWidth="1"/>
    <col min="5396" max="5396" width="9" style="53" customWidth="1"/>
    <col min="5397" max="5397" width="9" style="53"/>
    <col min="5398" max="5398" width="9" style="53" customWidth="1"/>
    <col min="5399" max="5404" width="9" style="53"/>
    <col min="5405" max="5405" width="26.375" style="53" customWidth="1"/>
    <col min="5406" max="5408" width="9" style="53"/>
    <col min="5409" max="5409" width="14.75" style="53" bestFit="1" customWidth="1"/>
    <col min="5410" max="5632" width="9" style="53"/>
    <col min="5633" max="5635" width="9" style="53" customWidth="1"/>
    <col min="5636" max="5636" width="10.375" style="53" customWidth="1"/>
    <col min="5637" max="5637" width="11.25" style="53" bestFit="1" customWidth="1"/>
    <col min="5638" max="5639" width="9" style="53"/>
    <col min="5640" max="5649" width="9" style="53" customWidth="1"/>
    <col min="5650" max="5650" width="9" style="53"/>
    <col min="5651" max="5651" width="9.375" style="53" bestFit="1" customWidth="1"/>
    <col min="5652" max="5652" width="9" style="53" customWidth="1"/>
    <col min="5653" max="5653" width="9" style="53"/>
    <col min="5654" max="5654" width="9" style="53" customWidth="1"/>
    <col min="5655" max="5660" width="9" style="53"/>
    <col min="5661" max="5661" width="26.375" style="53" customWidth="1"/>
    <col min="5662" max="5664" width="9" style="53"/>
    <col min="5665" max="5665" width="14.75" style="53" bestFit="1" customWidth="1"/>
    <col min="5666" max="5888" width="9" style="53"/>
    <col min="5889" max="5891" width="9" style="53" customWidth="1"/>
    <col min="5892" max="5892" width="10.375" style="53" customWidth="1"/>
    <col min="5893" max="5893" width="11.25" style="53" bestFit="1" customWidth="1"/>
    <col min="5894" max="5895" width="9" style="53"/>
    <col min="5896" max="5905" width="9" style="53" customWidth="1"/>
    <col min="5906" max="5906" width="9" style="53"/>
    <col min="5907" max="5907" width="9.375" style="53" bestFit="1" customWidth="1"/>
    <col min="5908" max="5908" width="9" style="53" customWidth="1"/>
    <col min="5909" max="5909" width="9" style="53"/>
    <col min="5910" max="5910" width="9" style="53" customWidth="1"/>
    <col min="5911" max="5916" width="9" style="53"/>
    <col min="5917" max="5917" width="26.375" style="53" customWidth="1"/>
    <col min="5918" max="5920" width="9" style="53"/>
    <col min="5921" max="5921" width="14.75" style="53" bestFit="1" customWidth="1"/>
    <col min="5922" max="6144" width="9" style="53"/>
    <col min="6145" max="6147" width="9" style="53" customWidth="1"/>
    <col min="6148" max="6148" width="10.375" style="53" customWidth="1"/>
    <col min="6149" max="6149" width="11.25" style="53" bestFit="1" customWidth="1"/>
    <col min="6150" max="6151" width="9" style="53"/>
    <col min="6152" max="6161" width="9" style="53" customWidth="1"/>
    <col min="6162" max="6162" width="9" style="53"/>
    <col min="6163" max="6163" width="9.375" style="53" bestFit="1" customWidth="1"/>
    <col min="6164" max="6164" width="9" style="53" customWidth="1"/>
    <col min="6165" max="6165" width="9" style="53"/>
    <col min="6166" max="6166" width="9" style="53" customWidth="1"/>
    <col min="6167" max="6172" width="9" style="53"/>
    <col min="6173" max="6173" width="26.375" style="53" customWidth="1"/>
    <col min="6174" max="6176" width="9" style="53"/>
    <col min="6177" max="6177" width="14.75" style="53" bestFit="1" customWidth="1"/>
    <col min="6178" max="6400" width="9" style="53"/>
    <col min="6401" max="6403" width="9" style="53" customWidth="1"/>
    <col min="6404" max="6404" width="10.375" style="53" customWidth="1"/>
    <col min="6405" max="6405" width="11.25" style="53" bestFit="1" customWidth="1"/>
    <col min="6406" max="6407" width="9" style="53"/>
    <col min="6408" max="6417" width="9" style="53" customWidth="1"/>
    <col min="6418" max="6418" width="9" style="53"/>
    <col min="6419" max="6419" width="9.375" style="53" bestFit="1" customWidth="1"/>
    <col min="6420" max="6420" width="9" style="53" customWidth="1"/>
    <col min="6421" max="6421" width="9" style="53"/>
    <col min="6422" max="6422" width="9" style="53" customWidth="1"/>
    <col min="6423" max="6428" width="9" style="53"/>
    <col min="6429" max="6429" width="26.375" style="53" customWidth="1"/>
    <col min="6430" max="6432" width="9" style="53"/>
    <col min="6433" max="6433" width="14.75" style="53" bestFit="1" customWidth="1"/>
    <col min="6434" max="6656" width="9" style="53"/>
    <col min="6657" max="6659" width="9" style="53" customWidth="1"/>
    <col min="6660" max="6660" width="10.375" style="53" customWidth="1"/>
    <col min="6661" max="6661" width="11.25" style="53" bestFit="1" customWidth="1"/>
    <col min="6662" max="6663" width="9" style="53"/>
    <col min="6664" max="6673" width="9" style="53" customWidth="1"/>
    <col min="6674" max="6674" width="9" style="53"/>
    <col min="6675" max="6675" width="9.375" style="53" bestFit="1" customWidth="1"/>
    <col min="6676" max="6676" width="9" style="53" customWidth="1"/>
    <col min="6677" max="6677" width="9" style="53"/>
    <col min="6678" max="6678" width="9" style="53" customWidth="1"/>
    <col min="6679" max="6684" width="9" style="53"/>
    <col min="6685" max="6685" width="26.375" style="53" customWidth="1"/>
    <col min="6686" max="6688" width="9" style="53"/>
    <col min="6689" max="6689" width="14.75" style="53" bestFit="1" customWidth="1"/>
    <col min="6690" max="6912" width="9" style="53"/>
    <col min="6913" max="6915" width="9" style="53" customWidth="1"/>
    <col min="6916" max="6916" width="10.375" style="53" customWidth="1"/>
    <col min="6917" max="6917" width="11.25" style="53" bestFit="1" customWidth="1"/>
    <col min="6918" max="6919" width="9" style="53"/>
    <col min="6920" max="6929" width="9" style="53" customWidth="1"/>
    <col min="6930" max="6930" width="9" style="53"/>
    <col min="6931" max="6931" width="9.375" style="53" bestFit="1" customWidth="1"/>
    <col min="6932" max="6932" width="9" style="53" customWidth="1"/>
    <col min="6933" max="6933" width="9" style="53"/>
    <col min="6934" max="6934" width="9" style="53" customWidth="1"/>
    <col min="6935" max="6940" width="9" style="53"/>
    <col min="6941" max="6941" width="26.375" style="53" customWidth="1"/>
    <col min="6942" max="6944" width="9" style="53"/>
    <col min="6945" max="6945" width="14.75" style="53" bestFit="1" customWidth="1"/>
    <col min="6946" max="7168" width="9" style="53"/>
    <col min="7169" max="7171" width="9" style="53" customWidth="1"/>
    <col min="7172" max="7172" width="10.375" style="53" customWidth="1"/>
    <col min="7173" max="7173" width="11.25" style="53" bestFit="1" customWidth="1"/>
    <col min="7174" max="7175" width="9" style="53"/>
    <col min="7176" max="7185" width="9" style="53" customWidth="1"/>
    <col min="7186" max="7186" width="9" style="53"/>
    <col min="7187" max="7187" width="9.375" style="53" bestFit="1" customWidth="1"/>
    <col min="7188" max="7188" width="9" style="53" customWidth="1"/>
    <col min="7189" max="7189" width="9" style="53"/>
    <col min="7190" max="7190" width="9" style="53" customWidth="1"/>
    <col min="7191" max="7196" width="9" style="53"/>
    <col min="7197" max="7197" width="26.375" style="53" customWidth="1"/>
    <col min="7198" max="7200" width="9" style="53"/>
    <col min="7201" max="7201" width="14.75" style="53" bestFit="1" customWidth="1"/>
    <col min="7202" max="7424" width="9" style="53"/>
    <col min="7425" max="7427" width="9" style="53" customWidth="1"/>
    <col min="7428" max="7428" width="10.375" style="53" customWidth="1"/>
    <col min="7429" max="7429" width="11.25" style="53" bestFit="1" customWidth="1"/>
    <col min="7430" max="7431" width="9" style="53"/>
    <col min="7432" max="7441" width="9" style="53" customWidth="1"/>
    <col min="7442" max="7442" width="9" style="53"/>
    <col min="7443" max="7443" width="9.375" style="53" bestFit="1" customWidth="1"/>
    <col min="7444" max="7444" width="9" style="53" customWidth="1"/>
    <col min="7445" max="7445" width="9" style="53"/>
    <col min="7446" max="7446" width="9" style="53" customWidth="1"/>
    <col min="7447" max="7452" width="9" style="53"/>
    <col min="7453" max="7453" width="26.375" style="53" customWidth="1"/>
    <col min="7454" max="7456" width="9" style="53"/>
    <col min="7457" max="7457" width="14.75" style="53" bestFit="1" customWidth="1"/>
    <col min="7458" max="7680" width="9" style="53"/>
    <col min="7681" max="7683" width="9" style="53" customWidth="1"/>
    <col min="7684" max="7684" width="10.375" style="53" customWidth="1"/>
    <col min="7685" max="7685" width="11.25" style="53" bestFit="1" customWidth="1"/>
    <col min="7686" max="7687" width="9" style="53"/>
    <col min="7688" max="7697" width="9" style="53" customWidth="1"/>
    <col min="7698" max="7698" width="9" style="53"/>
    <col min="7699" max="7699" width="9.375" style="53" bestFit="1" customWidth="1"/>
    <col min="7700" max="7700" width="9" style="53" customWidth="1"/>
    <col min="7701" max="7701" width="9" style="53"/>
    <col min="7702" max="7702" width="9" style="53" customWidth="1"/>
    <col min="7703" max="7708" width="9" style="53"/>
    <col min="7709" max="7709" width="26.375" style="53" customWidth="1"/>
    <col min="7710" max="7712" width="9" style="53"/>
    <col min="7713" max="7713" width="14.75" style="53" bestFit="1" customWidth="1"/>
    <col min="7714" max="7936" width="9" style="53"/>
    <col min="7937" max="7939" width="9" style="53" customWidth="1"/>
    <col min="7940" max="7940" width="10.375" style="53" customWidth="1"/>
    <col min="7941" max="7941" width="11.25" style="53" bestFit="1" customWidth="1"/>
    <col min="7942" max="7943" width="9" style="53"/>
    <col min="7944" max="7953" width="9" style="53" customWidth="1"/>
    <col min="7954" max="7954" width="9" style="53"/>
    <col min="7955" max="7955" width="9.375" style="53" bestFit="1" customWidth="1"/>
    <col min="7956" max="7956" width="9" style="53" customWidth="1"/>
    <col min="7957" max="7957" width="9" style="53"/>
    <col min="7958" max="7958" width="9" style="53" customWidth="1"/>
    <col min="7959" max="7964" width="9" style="53"/>
    <col min="7965" max="7965" width="26.375" style="53" customWidth="1"/>
    <col min="7966" max="7968" width="9" style="53"/>
    <col min="7969" max="7969" width="14.75" style="53" bestFit="1" customWidth="1"/>
    <col min="7970" max="8192" width="9" style="53"/>
    <col min="8193" max="8195" width="9" style="53" customWidth="1"/>
    <col min="8196" max="8196" width="10.375" style="53" customWidth="1"/>
    <col min="8197" max="8197" width="11.25" style="53" bestFit="1" customWidth="1"/>
    <col min="8198" max="8199" width="9" style="53"/>
    <col min="8200" max="8209" width="9" style="53" customWidth="1"/>
    <col min="8210" max="8210" width="9" style="53"/>
    <col min="8211" max="8211" width="9.375" style="53" bestFit="1" customWidth="1"/>
    <col min="8212" max="8212" width="9" style="53" customWidth="1"/>
    <col min="8213" max="8213" width="9" style="53"/>
    <col min="8214" max="8214" width="9" style="53" customWidth="1"/>
    <col min="8215" max="8220" width="9" style="53"/>
    <col min="8221" max="8221" width="26.375" style="53" customWidth="1"/>
    <col min="8222" max="8224" width="9" style="53"/>
    <col min="8225" max="8225" width="14.75" style="53" bestFit="1" customWidth="1"/>
    <col min="8226" max="8448" width="9" style="53"/>
    <col min="8449" max="8451" width="9" style="53" customWidth="1"/>
    <col min="8452" max="8452" width="10.375" style="53" customWidth="1"/>
    <col min="8453" max="8453" width="11.25" style="53" bestFit="1" customWidth="1"/>
    <col min="8454" max="8455" width="9" style="53"/>
    <col min="8456" max="8465" width="9" style="53" customWidth="1"/>
    <col min="8466" max="8466" width="9" style="53"/>
    <col min="8467" max="8467" width="9.375" style="53" bestFit="1" customWidth="1"/>
    <col min="8468" max="8468" width="9" style="53" customWidth="1"/>
    <col min="8469" max="8469" width="9" style="53"/>
    <col min="8470" max="8470" width="9" style="53" customWidth="1"/>
    <col min="8471" max="8476" width="9" style="53"/>
    <col min="8477" max="8477" width="26.375" style="53" customWidth="1"/>
    <col min="8478" max="8480" width="9" style="53"/>
    <col min="8481" max="8481" width="14.75" style="53" bestFit="1" customWidth="1"/>
    <col min="8482" max="8704" width="9" style="53"/>
    <col min="8705" max="8707" width="9" style="53" customWidth="1"/>
    <col min="8708" max="8708" width="10.375" style="53" customWidth="1"/>
    <col min="8709" max="8709" width="11.25" style="53" bestFit="1" customWidth="1"/>
    <col min="8710" max="8711" width="9" style="53"/>
    <col min="8712" max="8721" width="9" style="53" customWidth="1"/>
    <col min="8722" max="8722" width="9" style="53"/>
    <col min="8723" max="8723" width="9.375" style="53" bestFit="1" customWidth="1"/>
    <col min="8724" max="8724" width="9" style="53" customWidth="1"/>
    <col min="8725" max="8725" width="9" style="53"/>
    <col min="8726" max="8726" width="9" style="53" customWidth="1"/>
    <col min="8727" max="8732" width="9" style="53"/>
    <col min="8733" max="8733" width="26.375" style="53" customWidth="1"/>
    <col min="8734" max="8736" width="9" style="53"/>
    <col min="8737" max="8737" width="14.75" style="53" bestFit="1" customWidth="1"/>
    <col min="8738" max="8960" width="9" style="53"/>
    <col min="8961" max="8963" width="9" style="53" customWidth="1"/>
    <col min="8964" max="8964" width="10.375" style="53" customWidth="1"/>
    <col min="8965" max="8965" width="11.25" style="53" bestFit="1" customWidth="1"/>
    <col min="8966" max="8967" width="9" style="53"/>
    <col min="8968" max="8977" width="9" style="53" customWidth="1"/>
    <col min="8978" max="8978" width="9" style="53"/>
    <col min="8979" max="8979" width="9.375" style="53" bestFit="1" customWidth="1"/>
    <col min="8980" max="8980" width="9" style="53" customWidth="1"/>
    <col min="8981" max="8981" width="9" style="53"/>
    <col min="8982" max="8982" width="9" style="53" customWidth="1"/>
    <col min="8983" max="8988" width="9" style="53"/>
    <col min="8989" max="8989" width="26.375" style="53" customWidth="1"/>
    <col min="8990" max="8992" width="9" style="53"/>
    <col min="8993" max="8993" width="14.75" style="53" bestFit="1" customWidth="1"/>
    <col min="8994" max="9216" width="9" style="53"/>
    <col min="9217" max="9219" width="9" style="53" customWidth="1"/>
    <col min="9220" max="9220" width="10.375" style="53" customWidth="1"/>
    <col min="9221" max="9221" width="11.25" style="53" bestFit="1" customWidth="1"/>
    <col min="9222" max="9223" width="9" style="53"/>
    <col min="9224" max="9233" width="9" style="53" customWidth="1"/>
    <col min="9234" max="9234" width="9" style="53"/>
    <col min="9235" max="9235" width="9.375" style="53" bestFit="1" customWidth="1"/>
    <col min="9236" max="9236" width="9" style="53" customWidth="1"/>
    <col min="9237" max="9237" width="9" style="53"/>
    <col min="9238" max="9238" width="9" style="53" customWidth="1"/>
    <col min="9239" max="9244" width="9" style="53"/>
    <col min="9245" max="9245" width="26.375" style="53" customWidth="1"/>
    <col min="9246" max="9248" width="9" style="53"/>
    <col min="9249" max="9249" width="14.75" style="53" bestFit="1" customWidth="1"/>
    <col min="9250" max="9472" width="9" style="53"/>
    <col min="9473" max="9475" width="9" style="53" customWidth="1"/>
    <col min="9476" max="9476" width="10.375" style="53" customWidth="1"/>
    <col min="9477" max="9477" width="11.25" style="53" bestFit="1" customWidth="1"/>
    <col min="9478" max="9479" width="9" style="53"/>
    <col min="9480" max="9489" width="9" style="53" customWidth="1"/>
    <col min="9490" max="9490" width="9" style="53"/>
    <col min="9491" max="9491" width="9.375" style="53" bestFit="1" customWidth="1"/>
    <col min="9492" max="9492" width="9" style="53" customWidth="1"/>
    <col min="9493" max="9493" width="9" style="53"/>
    <col min="9494" max="9494" width="9" style="53" customWidth="1"/>
    <col min="9495" max="9500" width="9" style="53"/>
    <col min="9501" max="9501" width="26.375" style="53" customWidth="1"/>
    <col min="9502" max="9504" width="9" style="53"/>
    <col min="9505" max="9505" width="14.75" style="53" bestFit="1" customWidth="1"/>
    <col min="9506" max="9728" width="9" style="53"/>
    <col min="9729" max="9731" width="9" style="53" customWidth="1"/>
    <col min="9732" max="9732" width="10.375" style="53" customWidth="1"/>
    <col min="9733" max="9733" width="11.25" style="53" bestFit="1" customWidth="1"/>
    <col min="9734" max="9735" width="9" style="53"/>
    <col min="9736" max="9745" width="9" style="53" customWidth="1"/>
    <col min="9746" max="9746" width="9" style="53"/>
    <col min="9747" max="9747" width="9.375" style="53" bestFit="1" customWidth="1"/>
    <col min="9748" max="9748" width="9" style="53" customWidth="1"/>
    <col min="9749" max="9749" width="9" style="53"/>
    <col min="9750" max="9750" width="9" style="53" customWidth="1"/>
    <col min="9751" max="9756" width="9" style="53"/>
    <col min="9757" max="9757" width="26.375" style="53" customWidth="1"/>
    <col min="9758" max="9760" width="9" style="53"/>
    <col min="9761" max="9761" width="14.75" style="53" bestFit="1" customWidth="1"/>
    <col min="9762" max="9984" width="9" style="53"/>
    <col min="9985" max="9987" width="9" style="53" customWidth="1"/>
    <col min="9988" max="9988" width="10.375" style="53" customWidth="1"/>
    <col min="9989" max="9989" width="11.25" style="53" bestFit="1" customWidth="1"/>
    <col min="9990" max="9991" width="9" style="53"/>
    <col min="9992" max="10001" width="9" style="53" customWidth="1"/>
    <col min="10002" max="10002" width="9" style="53"/>
    <col min="10003" max="10003" width="9.375" style="53" bestFit="1" customWidth="1"/>
    <col min="10004" max="10004" width="9" style="53" customWidth="1"/>
    <col min="10005" max="10005" width="9" style="53"/>
    <col min="10006" max="10006" width="9" style="53" customWidth="1"/>
    <col min="10007" max="10012" width="9" style="53"/>
    <col min="10013" max="10013" width="26.375" style="53" customWidth="1"/>
    <col min="10014" max="10016" width="9" style="53"/>
    <col min="10017" max="10017" width="14.75" style="53" bestFit="1" customWidth="1"/>
    <col min="10018" max="10240" width="9" style="53"/>
    <col min="10241" max="10243" width="9" style="53" customWidth="1"/>
    <col min="10244" max="10244" width="10.375" style="53" customWidth="1"/>
    <col min="10245" max="10245" width="11.25" style="53" bestFit="1" customWidth="1"/>
    <col min="10246" max="10247" width="9" style="53"/>
    <col min="10248" max="10257" width="9" style="53" customWidth="1"/>
    <col min="10258" max="10258" width="9" style="53"/>
    <col min="10259" max="10259" width="9.375" style="53" bestFit="1" customWidth="1"/>
    <col min="10260" max="10260" width="9" style="53" customWidth="1"/>
    <col min="10261" max="10261" width="9" style="53"/>
    <col min="10262" max="10262" width="9" style="53" customWidth="1"/>
    <col min="10263" max="10268" width="9" style="53"/>
    <col min="10269" max="10269" width="26.375" style="53" customWidth="1"/>
    <col min="10270" max="10272" width="9" style="53"/>
    <col min="10273" max="10273" width="14.75" style="53" bestFit="1" customWidth="1"/>
    <col min="10274" max="10496" width="9" style="53"/>
    <col min="10497" max="10499" width="9" style="53" customWidth="1"/>
    <col min="10500" max="10500" width="10.375" style="53" customWidth="1"/>
    <col min="10501" max="10501" width="11.25" style="53" bestFit="1" customWidth="1"/>
    <col min="10502" max="10503" width="9" style="53"/>
    <col min="10504" max="10513" width="9" style="53" customWidth="1"/>
    <col min="10514" max="10514" width="9" style="53"/>
    <col min="10515" max="10515" width="9.375" style="53" bestFit="1" customWidth="1"/>
    <col min="10516" max="10516" width="9" style="53" customWidth="1"/>
    <col min="10517" max="10517" width="9" style="53"/>
    <col min="10518" max="10518" width="9" style="53" customWidth="1"/>
    <col min="10519" max="10524" width="9" style="53"/>
    <col min="10525" max="10525" width="26.375" style="53" customWidth="1"/>
    <col min="10526" max="10528" width="9" style="53"/>
    <col min="10529" max="10529" width="14.75" style="53" bestFit="1" customWidth="1"/>
    <col min="10530" max="10752" width="9" style="53"/>
    <col min="10753" max="10755" width="9" style="53" customWidth="1"/>
    <col min="10756" max="10756" width="10.375" style="53" customWidth="1"/>
    <col min="10757" max="10757" width="11.25" style="53" bestFit="1" customWidth="1"/>
    <col min="10758" max="10759" width="9" style="53"/>
    <col min="10760" max="10769" width="9" style="53" customWidth="1"/>
    <col min="10770" max="10770" width="9" style="53"/>
    <col min="10771" max="10771" width="9.375" style="53" bestFit="1" customWidth="1"/>
    <col min="10772" max="10772" width="9" style="53" customWidth="1"/>
    <col min="10773" max="10773" width="9" style="53"/>
    <col min="10774" max="10774" width="9" style="53" customWidth="1"/>
    <col min="10775" max="10780" width="9" style="53"/>
    <col min="10781" max="10781" width="26.375" style="53" customWidth="1"/>
    <col min="10782" max="10784" width="9" style="53"/>
    <col min="10785" max="10785" width="14.75" style="53" bestFit="1" customWidth="1"/>
    <col min="10786" max="11008" width="9" style="53"/>
    <col min="11009" max="11011" width="9" style="53" customWidth="1"/>
    <col min="11012" max="11012" width="10.375" style="53" customWidth="1"/>
    <col min="11013" max="11013" width="11.25" style="53" bestFit="1" customWidth="1"/>
    <col min="11014" max="11015" width="9" style="53"/>
    <col min="11016" max="11025" width="9" style="53" customWidth="1"/>
    <col min="11026" max="11026" width="9" style="53"/>
    <col min="11027" max="11027" width="9.375" style="53" bestFit="1" customWidth="1"/>
    <col min="11028" max="11028" width="9" style="53" customWidth="1"/>
    <col min="11029" max="11029" width="9" style="53"/>
    <col min="11030" max="11030" width="9" style="53" customWidth="1"/>
    <col min="11031" max="11036" width="9" style="53"/>
    <col min="11037" max="11037" width="26.375" style="53" customWidth="1"/>
    <col min="11038" max="11040" width="9" style="53"/>
    <col min="11041" max="11041" width="14.75" style="53" bestFit="1" customWidth="1"/>
    <col min="11042" max="11264" width="9" style="53"/>
    <col min="11265" max="11267" width="9" style="53" customWidth="1"/>
    <col min="11268" max="11268" width="10.375" style="53" customWidth="1"/>
    <col min="11269" max="11269" width="11.25" style="53" bestFit="1" customWidth="1"/>
    <col min="11270" max="11271" width="9" style="53"/>
    <col min="11272" max="11281" width="9" style="53" customWidth="1"/>
    <col min="11282" max="11282" width="9" style="53"/>
    <col min="11283" max="11283" width="9.375" style="53" bestFit="1" customWidth="1"/>
    <col min="11284" max="11284" width="9" style="53" customWidth="1"/>
    <col min="11285" max="11285" width="9" style="53"/>
    <col min="11286" max="11286" width="9" style="53" customWidth="1"/>
    <col min="11287" max="11292" width="9" style="53"/>
    <col min="11293" max="11293" width="26.375" style="53" customWidth="1"/>
    <col min="11294" max="11296" width="9" style="53"/>
    <col min="11297" max="11297" width="14.75" style="53" bestFit="1" customWidth="1"/>
    <col min="11298" max="11520" width="9" style="53"/>
    <col min="11521" max="11523" width="9" style="53" customWidth="1"/>
    <col min="11524" max="11524" width="10.375" style="53" customWidth="1"/>
    <col min="11525" max="11525" width="11.25" style="53" bestFit="1" customWidth="1"/>
    <col min="11526" max="11527" width="9" style="53"/>
    <col min="11528" max="11537" width="9" style="53" customWidth="1"/>
    <col min="11538" max="11538" width="9" style="53"/>
    <col min="11539" max="11539" width="9.375" style="53" bestFit="1" customWidth="1"/>
    <col min="11540" max="11540" width="9" style="53" customWidth="1"/>
    <col min="11541" max="11541" width="9" style="53"/>
    <col min="11542" max="11542" width="9" style="53" customWidth="1"/>
    <col min="11543" max="11548" width="9" style="53"/>
    <col min="11549" max="11549" width="26.375" style="53" customWidth="1"/>
    <col min="11550" max="11552" width="9" style="53"/>
    <col min="11553" max="11553" width="14.75" style="53" bestFit="1" customWidth="1"/>
    <col min="11554" max="11776" width="9" style="53"/>
    <col min="11777" max="11779" width="9" style="53" customWidth="1"/>
    <col min="11780" max="11780" width="10.375" style="53" customWidth="1"/>
    <col min="11781" max="11781" width="11.25" style="53" bestFit="1" customWidth="1"/>
    <col min="11782" max="11783" width="9" style="53"/>
    <col min="11784" max="11793" width="9" style="53" customWidth="1"/>
    <col min="11794" max="11794" width="9" style="53"/>
    <col min="11795" max="11795" width="9.375" style="53" bestFit="1" customWidth="1"/>
    <col min="11796" max="11796" width="9" style="53" customWidth="1"/>
    <col min="11797" max="11797" width="9" style="53"/>
    <col min="11798" max="11798" width="9" style="53" customWidth="1"/>
    <col min="11799" max="11804" width="9" style="53"/>
    <col min="11805" max="11805" width="26.375" style="53" customWidth="1"/>
    <col min="11806" max="11808" width="9" style="53"/>
    <col min="11809" max="11809" width="14.75" style="53" bestFit="1" customWidth="1"/>
    <col min="11810" max="12032" width="9" style="53"/>
    <col min="12033" max="12035" width="9" style="53" customWidth="1"/>
    <col min="12036" max="12036" width="10.375" style="53" customWidth="1"/>
    <col min="12037" max="12037" width="11.25" style="53" bestFit="1" customWidth="1"/>
    <col min="12038" max="12039" width="9" style="53"/>
    <col min="12040" max="12049" width="9" style="53" customWidth="1"/>
    <col min="12050" max="12050" width="9" style="53"/>
    <col min="12051" max="12051" width="9.375" style="53" bestFit="1" customWidth="1"/>
    <col min="12052" max="12052" width="9" style="53" customWidth="1"/>
    <col min="12053" max="12053" width="9" style="53"/>
    <col min="12054" max="12054" width="9" style="53" customWidth="1"/>
    <col min="12055" max="12060" width="9" style="53"/>
    <col min="12061" max="12061" width="26.375" style="53" customWidth="1"/>
    <col min="12062" max="12064" width="9" style="53"/>
    <col min="12065" max="12065" width="14.75" style="53" bestFit="1" customWidth="1"/>
    <col min="12066" max="12288" width="9" style="53"/>
    <col min="12289" max="12291" width="9" style="53" customWidth="1"/>
    <col min="12292" max="12292" width="10.375" style="53" customWidth="1"/>
    <col min="12293" max="12293" width="11.25" style="53" bestFit="1" customWidth="1"/>
    <col min="12294" max="12295" width="9" style="53"/>
    <col min="12296" max="12305" width="9" style="53" customWidth="1"/>
    <col min="12306" max="12306" width="9" style="53"/>
    <col min="12307" max="12307" width="9.375" style="53" bestFit="1" customWidth="1"/>
    <col min="12308" max="12308" width="9" style="53" customWidth="1"/>
    <col min="12309" max="12309" width="9" style="53"/>
    <col min="12310" max="12310" width="9" style="53" customWidth="1"/>
    <col min="12311" max="12316" width="9" style="53"/>
    <col min="12317" max="12317" width="26.375" style="53" customWidth="1"/>
    <col min="12318" max="12320" width="9" style="53"/>
    <col min="12321" max="12321" width="14.75" style="53" bestFit="1" customWidth="1"/>
    <col min="12322" max="12544" width="9" style="53"/>
    <col min="12545" max="12547" width="9" style="53" customWidth="1"/>
    <col min="12548" max="12548" width="10.375" style="53" customWidth="1"/>
    <col min="12549" max="12549" width="11.25" style="53" bestFit="1" customWidth="1"/>
    <col min="12550" max="12551" width="9" style="53"/>
    <col min="12552" max="12561" width="9" style="53" customWidth="1"/>
    <col min="12562" max="12562" width="9" style="53"/>
    <col min="12563" max="12563" width="9.375" style="53" bestFit="1" customWidth="1"/>
    <col min="12564" max="12564" width="9" style="53" customWidth="1"/>
    <col min="12565" max="12565" width="9" style="53"/>
    <col min="12566" max="12566" width="9" style="53" customWidth="1"/>
    <col min="12567" max="12572" width="9" style="53"/>
    <col min="12573" max="12573" width="26.375" style="53" customWidth="1"/>
    <col min="12574" max="12576" width="9" style="53"/>
    <col min="12577" max="12577" width="14.75" style="53" bestFit="1" customWidth="1"/>
    <col min="12578" max="12800" width="9" style="53"/>
    <col min="12801" max="12803" width="9" style="53" customWidth="1"/>
    <col min="12804" max="12804" width="10.375" style="53" customWidth="1"/>
    <col min="12805" max="12805" width="11.25" style="53" bestFit="1" customWidth="1"/>
    <col min="12806" max="12807" width="9" style="53"/>
    <col min="12808" max="12817" width="9" style="53" customWidth="1"/>
    <col min="12818" max="12818" width="9" style="53"/>
    <col min="12819" max="12819" width="9.375" style="53" bestFit="1" customWidth="1"/>
    <col min="12820" max="12820" width="9" style="53" customWidth="1"/>
    <col min="12821" max="12821" width="9" style="53"/>
    <col min="12822" max="12822" width="9" style="53" customWidth="1"/>
    <col min="12823" max="12828" width="9" style="53"/>
    <col min="12829" max="12829" width="26.375" style="53" customWidth="1"/>
    <col min="12830" max="12832" width="9" style="53"/>
    <col min="12833" max="12833" width="14.75" style="53" bestFit="1" customWidth="1"/>
    <col min="12834" max="13056" width="9" style="53"/>
    <col min="13057" max="13059" width="9" style="53" customWidth="1"/>
    <col min="13060" max="13060" width="10.375" style="53" customWidth="1"/>
    <col min="13061" max="13061" width="11.25" style="53" bestFit="1" customWidth="1"/>
    <col min="13062" max="13063" width="9" style="53"/>
    <col min="13064" max="13073" width="9" style="53" customWidth="1"/>
    <col min="13074" max="13074" width="9" style="53"/>
    <col min="13075" max="13075" width="9.375" style="53" bestFit="1" customWidth="1"/>
    <col min="13076" max="13076" width="9" style="53" customWidth="1"/>
    <col min="13077" max="13077" width="9" style="53"/>
    <col min="13078" max="13078" width="9" style="53" customWidth="1"/>
    <col min="13079" max="13084" width="9" style="53"/>
    <col min="13085" max="13085" width="26.375" style="53" customWidth="1"/>
    <col min="13086" max="13088" width="9" style="53"/>
    <col min="13089" max="13089" width="14.75" style="53" bestFit="1" customWidth="1"/>
    <col min="13090" max="13312" width="9" style="53"/>
    <col min="13313" max="13315" width="9" style="53" customWidth="1"/>
    <col min="13316" max="13316" width="10.375" style="53" customWidth="1"/>
    <col min="13317" max="13317" width="11.25" style="53" bestFit="1" customWidth="1"/>
    <col min="13318" max="13319" width="9" style="53"/>
    <col min="13320" max="13329" width="9" style="53" customWidth="1"/>
    <col min="13330" max="13330" width="9" style="53"/>
    <col min="13331" max="13331" width="9.375" style="53" bestFit="1" customWidth="1"/>
    <col min="13332" max="13332" width="9" style="53" customWidth="1"/>
    <col min="13333" max="13333" width="9" style="53"/>
    <col min="13334" max="13334" width="9" style="53" customWidth="1"/>
    <col min="13335" max="13340" width="9" style="53"/>
    <col min="13341" max="13341" width="26.375" style="53" customWidth="1"/>
    <col min="13342" max="13344" width="9" style="53"/>
    <col min="13345" max="13345" width="14.75" style="53" bestFit="1" customWidth="1"/>
    <col min="13346" max="13568" width="9" style="53"/>
    <col min="13569" max="13571" width="9" style="53" customWidth="1"/>
    <col min="13572" max="13572" width="10.375" style="53" customWidth="1"/>
    <col min="13573" max="13573" width="11.25" style="53" bestFit="1" customWidth="1"/>
    <col min="13574" max="13575" width="9" style="53"/>
    <col min="13576" max="13585" width="9" style="53" customWidth="1"/>
    <col min="13586" max="13586" width="9" style="53"/>
    <col min="13587" max="13587" width="9.375" style="53" bestFit="1" customWidth="1"/>
    <col min="13588" max="13588" width="9" style="53" customWidth="1"/>
    <col min="13589" max="13589" width="9" style="53"/>
    <col min="13590" max="13590" width="9" style="53" customWidth="1"/>
    <col min="13591" max="13596" width="9" style="53"/>
    <col min="13597" max="13597" width="26.375" style="53" customWidth="1"/>
    <col min="13598" max="13600" width="9" style="53"/>
    <col min="13601" max="13601" width="14.75" style="53" bestFit="1" customWidth="1"/>
    <col min="13602" max="13824" width="9" style="53"/>
    <col min="13825" max="13827" width="9" style="53" customWidth="1"/>
    <col min="13828" max="13828" width="10.375" style="53" customWidth="1"/>
    <col min="13829" max="13829" width="11.25" style="53" bestFit="1" customWidth="1"/>
    <col min="13830" max="13831" width="9" style="53"/>
    <col min="13832" max="13841" width="9" style="53" customWidth="1"/>
    <col min="13842" max="13842" width="9" style="53"/>
    <col min="13843" max="13843" width="9.375" style="53" bestFit="1" customWidth="1"/>
    <col min="13844" max="13844" width="9" style="53" customWidth="1"/>
    <col min="13845" max="13845" width="9" style="53"/>
    <col min="13846" max="13846" width="9" style="53" customWidth="1"/>
    <col min="13847" max="13852" width="9" style="53"/>
    <col min="13853" max="13853" width="26.375" style="53" customWidth="1"/>
    <col min="13854" max="13856" width="9" style="53"/>
    <col min="13857" max="13857" width="14.75" style="53" bestFit="1" customWidth="1"/>
    <col min="13858" max="14080" width="9" style="53"/>
    <col min="14081" max="14083" width="9" style="53" customWidth="1"/>
    <col min="14084" max="14084" width="10.375" style="53" customWidth="1"/>
    <col min="14085" max="14085" width="11.25" style="53" bestFit="1" customWidth="1"/>
    <col min="14086" max="14087" width="9" style="53"/>
    <col min="14088" max="14097" width="9" style="53" customWidth="1"/>
    <col min="14098" max="14098" width="9" style="53"/>
    <col min="14099" max="14099" width="9.375" style="53" bestFit="1" customWidth="1"/>
    <col min="14100" max="14100" width="9" style="53" customWidth="1"/>
    <col min="14101" max="14101" width="9" style="53"/>
    <col min="14102" max="14102" width="9" style="53" customWidth="1"/>
    <col min="14103" max="14108" width="9" style="53"/>
    <col min="14109" max="14109" width="26.375" style="53" customWidth="1"/>
    <col min="14110" max="14112" width="9" style="53"/>
    <col min="14113" max="14113" width="14.75" style="53" bestFit="1" customWidth="1"/>
    <col min="14114" max="14336" width="9" style="53"/>
    <col min="14337" max="14339" width="9" style="53" customWidth="1"/>
    <col min="14340" max="14340" width="10.375" style="53" customWidth="1"/>
    <col min="14341" max="14341" width="11.25" style="53" bestFit="1" customWidth="1"/>
    <col min="14342" max="14343" width="9" style="53"/>
    <col min="14344" max="14353" width="9" style="53" customWidth="1"/>
    <col min="14354" max="14354" width="9" style="53"/>
    <col min="14355" max="14355" width="9.375" style="53" bestFit="1" customWidth="1"/>
    <col min="14356" max="14356" width="9" style="53" customWidth="1"/>
    <col min="14357" max="14357" width="9" style="53"/>
    <col min="14358" max="14358" width="9" style="53" customWidth="1"/>
    <col min="14359" max="14364" width="9" style="53"/>
    <col min="14365" max="14365" width="26.375" style="53" customWidth="1"/>
    <col min="14366" max="14368" width="9" style="53"/>
    <col min="14369" max="14369" width="14.75" style="53" bestFit="1" customWidth="1"/>
    <col min="14370" max="14592" width="9" style="53"/>
    <col min="14593" max="14595" width="9" style="53" customWidth="1"/>
    <col min="14596" max="14596" width="10.375" style="53" customWidth="1"/>
    <col min="14597" max="14597" width="11.25" style="53" bestFit="1" customWidth="1"/>
    <col min="14598" max="14599" width="9" style="53"/>
    <col min="14600" max="14609" width="9" style="53" customWidth="1"/>
    <col min="14610" max="14610" width="9" style="53"/>
    <col min="14611" max="14611" width="9.375" style="53" bestFit="1" customWidth="1"/>
    <col min="14612" max="14612" width="9" style="53" customWidth="1"/>
    <col min="14613" max="14613" width="9" style="53"/>
    <col min="14614" max="14614" width="9" style="53" customWidth="1"/>
    <col min="14615" max="14620" width="9" style="53"/>
    <col min="14621" max="14621" width="26.375" style="53" customWidth="1"/>
    <col min="14622" max="14624" width="9" style="53"/>
    <col min="14625" max="14625" width="14.75" style="53" bestFit="1" customWidth="1"/>
    <col min="14626" max="14848" width="9" style="53"/>
    <col min="14849" max="14851" width="9" style="53" customWidth="1"/>
    <col min="14852" max="14852" width="10.375" style="53" customWidth="1"/>
    <col min="14853" max="14853" width="11.25" style="53" bestFit="1" customWidth="1"/>
    <col min="14854" max="14855" width="9" style="53"/>
    <col min="14856" max="14865" width="9" style="53" customWidth="1"/>
    <col min="14866" max="14866" width="9" style="53"/>
    <col min="14867" max="14867" width="9.375" style="53" bestFit="1" customWidth="1"/>
    <col min="14868" max="14868" width="9" style="53" customWidth="1"/>
    <col min="14869" max="14869" width="9" style="53"/>
    <col min="14870" max="14870" width="9" style="53" customWidth="1"/>
    <col min="14871" max="14876" width="9" style="53"/>
    <col min="14877" max="14877" width="26.375" style="53" customWidth="1"/>
    <col min="14878" max="14880" width="9" style="53"/>
    <col min="14881" max="14881" width="14.75" style="53" bestFit="1" customWidth="1"/>
    <col min="14882" max="15104" width="9" style="53"/>
    <col min="15105" max="15107" width="9" style="53" customWidth="1"/>
    <col min="15108" max="15108" width="10.375" style="53" customWidth="1"/>
    <col min="15109" max="15109" width="11.25" style="53" bestFit="1" customWidth="1"/>
    <col min="15110" max="15111" width="9" style="53"/>
    <col min="15112" max="15121" width="9" style="53" customWidth="1"/>
    <col min="15122" max="15122" width="9" style="53"/>
    <col min="15123" max="15123" width="9.375" style="53" bestFit="1" customWidth="1"/>
    <col min="15124" max="15124" width="9" style="53" customWidth="1"/>
    <col min="15125" max="15125" width="9" style="53"/>
    <col min="15126" max="15126" width="9" style="53" customWidth="1"/>
    <col min="15127" max="15132" width="9" style="53"/>
    <col min="15133" max="15133" width="26.375" style="53" customWidth="1"/>
    <col min="15134" max="15136" width="9" style="53"/>
    <col min="15137" max="15137" width="14.75" style="53" bestFit="1" customWidth="1"/>
    <col min="15138" max="15360" width="9" style="53"/>
    <col min="15361" max="15363" width="9" style="53" customWidth="1"/>
    <col min="15364" max="15364" width="10.375" style="53" customWidth="1"/>
    <col min="15365" max="15365" width="11.25" style="53" bestFit="1" customWidth="1"/>
    <col min="15366" max="15367" width="9" style="53"/>
    <col min="15368" max="15377" width="9" style="53" customWidth="1"/>
    <col min="15378" max="15378" width="9" style="53"/>
    <col min="15379" max="15379" width="9.375" style="53" bestFit="1" customWidth="1"/>
    <col min="15380" max="15380" width="9" style="53" customWidth="1"/>
    <col min="15381" max="15381" width="9" style="53"/>
    <col min="15382" max="15382" width="9" style="53" customWidth="1"/>
    <col min="15383" max="15388" width="9" style="53"/>
    <col min="15389" max="15389" width="26.375" style="53" customWidth="1"/>
    <col min="15390" max="15392" width="9" style="53"/>
    <col min="15393" max="15393" width="14.75" style="53" bestFit="1" customWidth="1"/>
    <col min="15394" max="15616" width="9" style="53"/>
    <col min="15617" max="15619" width="9" style="53" customWidth="1"/>
    <col min="15620" max="15620" width="10.375" style="53" customWidth="1"/>
    <col min="15621" max="15621" width="11.25" style="53" bestFit="1" customWidth="1"/>
    <col min="15622" max="15623" width="9" style="53"/>
    <col min="15624" max="15633" width="9" style="53" customWidth="1"/>
    <col min="15634" max="15634" width="9" style="53"/>
    <col min="15635" max="15635" width="9.375" style="53" bestFit="1" customWidth="1"/>
    <col min="15636" max="15636" width="9" style="53" customWidth="1"/>
    <col min="15637" max="15637" width="9" style="53"/>
    <col min="15638" max="15638" width="9" style="53" customWidth="1"/>
    <col min="15639" max="15644" width="9" style="53"/>
    <col min="15645" max="15645" width="26.375" style="53" customWidth="1"/>
    <col min="15646" max="15648" width="9" style="53"/>
    <col min="15649" max="15649" width="14.75" style="53" bestFit="1" customWidth="1"/>
    <col min="15650" max="15872" width="9" style="53"/>
    <col min="15873" max="15875" width="9" style="53" customWidth="1"/>
    <col min="15876" max="15876" width="10.375" style="53" customWidth="1"/>
    <col min="15877" max="15877" width="11.25" style="53" bestFit="1" customWidth="1"/>
    <col min="15878" max="15879" width="9" style="53"/>
    <col min="15880" max="15889" width="9" style="53" customWidth="1"/>
    <col min="15890" max="15890" width="9" style="53"/>
    <col min="15891" max="15891" width="9.375" style="53" bestFit="1" customWidth="1"/>
    <col min="15892" max="15892" width="9" style="53" customWidth="1"/>
    <col min="15893" max="15893" width="9" style="53"/>
    <col min="15894" max="15894" width="9" style="53" customWidth="1"/>
    <col min="15895" max="15900" width="9" style="53"/>
    <col min="15901" max="15901" width="26.375" style="53" customWidth="1"/>
    <col min="15902" max="15904" width="9" style="53"/>
    <col min="15905" max="15905" width="14.75" style="53" bestFit="1" customWidth="1"/>
    <col min="15906" max="16128" width="9" style="53"/>
    <col min="16129" max="16131" width="9" style="53" customWidth="1"/>
    <col min="16132" max="16132" width="10.375" style="53" customWidth="1"/>
    <col min="16133" max="16133" width="11.25" style="53" bestFit="1" customWidth="1"/>
    <col min="16134" max="16135" width="9" style="53"/>
    <col min="16136" max="16145" width="9" style="53" customWidth="1"/>
    <col min="16146" max="16146" width="9" style="53"/>
    <col min="16147" max="16147" width="9.375" style="53" bestFit="1" customWidth="1"/>
    <col min="16148" max="16148" width="9" style="53" customWidth="1"/>
    <col min="16149" max="16149" width="9" style="53"/>
    <col min="16150" max="16150" width="9" style="53" customWidth="1"/>
    <col min="16151" max="16156" width="9" style="53"/>
    <col min="16157" max="16157" width="26.375" style="53" customWidth="1"/>
    <col min="16158" max="16160" width="9" style="53"/>
    <col min="16161" max="16161" width="14.75" style="53" bestFit="1" customWidth="1"/>
    <col min="16162" max="16384" width="9" style="53"/>
  </cols>
  <sheetData>
    <row r="1" spans="1:53" ht="44.25" customHeight="1" x14ac:dyDescent="0.15">
      <c r="A1" s="123" t="s">
        <v>280</v>
      </c>
      <c r="B1" s="55" t="s">
        <v>1</v>
      </c>
      <c r="C1" s="55" t="s">
        <v>2</v>
      </c>
      <c r="D1" s="56" t="s">
        <v>3</v>
      </c>
      <c r="E1" s="56" t="s">
        <v>281</v>
      </c>
      <c r="F1" s="56" t="s">
        <v>5</v>
      </c>
      <c r="G1" s="56" t="s">
        <v>6</v>
      </c>
      <c r="H1" s="56" t="s">
        <v>282</v>
      </c>
      <c r="I1" s="56" t="s">
        <v>8</v>
      </c>
      <c r="J1" s="56" t="s">
        <v>9</v>
      </c>
      <c r="K1" s="56" t="s">
        <v>10</v>
      </c>
      <c r="L1" s="56" t="s">
        <v>11</v>
      </c>
      <c r="M1" s="56" t="s">
        <v>12</v>
      </c>
      <c r="N1" s="56" t="s">
        <v>13</v>
      </c>
      <c r="O1" s="56" t="s">
        <v>14</v>
      </c>
      <c r="P1" s="56" t="s">
        <v>15</v>
      </c>
      <c r="Q1" s="3" t="s">
        <v>16</v>
      </c>
      <c r="R1" s="56" t="s">
        <v>17</v>
      </c>
      <c r="S1" s="56" t="s">
        <v>18</v>
      </c>
      <c r="T1" s="3" t="s">
        <v>19</v>
      </c>
      <c r="U1" s="58" t="s">
        <v>108</v>
      </c>
      <c r="V1" s="5" t="s">
        <v>20</v>
      </c>
      <c r="W1" s="56" t="s">
        <v>21</v>
      </c>
      <c r="X1" s="56" t="s">
        <v>22</v>
      </c>
      <c r="Y1" s="56" t="s">
        <v>23</v>
      </c>
      <c r="Z1" s="56" t="s">
        <v>24</v>
      </c>
      <c r="AA1" s="124" t="s">
        <v>25</v>
      </c>
      <c r="AB1" s="125" t="s">
        <v>26</v>
      </c>
      <c r="AC1" s="126"/>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27" customFormat="1" x14ac:dyDescent="0.15">
      <c r="A2" s="127" t="s">
        <v>61</v>
      </c>
      <c r="B2" s="127" t="s">
        <v>232</v>
      </c>
      <c r="C2" s="127">
        <v>2019</v>
      </c>
      <c r="D2" s="128" t="s">
        <v>283</v>
      </c>
      <c r="E2" s="127" t="s">
        <v>284</v>
      </c>
      <c r="F2" s="127" t="s">
        <v>285</v>
      </c>
      <c r="G2" s="127" t="s">
        <v>42</v>
      </c>
      <c r="H2" s="53" t="s">
        <v>164</v>
      </c>
      <c r="I2" s="53" t="s">
        <v>159</v>
      </c>
      <c r="J2" s="127" t="s">
        <v>38</v>
      </c>
      <c r="K2" s="53" t="s">
        <v>161</v>
      </c>
      <c r="L2" s="53">
        <v>1</v>
      </c>
      <c r="M2" s="53"/>
      <c r="N2" s="53">
        <v>4</v>
      </c>
      <c r="O2" s="53">
        <v>0.6</v>
      </c>
      <c r="P2" s="53">
        <v>0.7</v>
      </c>
      <c r="Q2" s="75">
        <f t="shared" ref="Q2:Q65" si="0">IF(OR(O2="",P2=""),"",AVERAGE(O2,P2))</f>
        <v>0.64999999999999991</v>
      </c>
      <c r="R2" s="53">
        <v>17</v>
      </c>
      <c r="S2" s="53">
        <v>11</v>
      </c>
      <c r="T2" s="16">
        <f t="shared" ref="T2:T65" si="1">IF(H2="","",IF(OR(H2="GREEN",H2="GK"),IF(S2&gt;=$AX$2,VLOOKUP(S2,$AX$2:$AY$15,2,1),""),IF(S2&gt;=$AZ$2,VLOOKUP(S2,$AZ$2:$BA$15,2,1),"")))</f>
        <v>50</v>
      </c>
      <c r="U2" s="53">
        <v>350</v>
      </c>
      <c r="V2" s="129">
        <f t="shared" ref="V2:V65" si="2">IF(OR(N2="",U2="",T2=""),"",U2/N2*T2)</f>
        <v>4375</v>
      </c>
      <c r="W2" s="53">
        <v>4</v>
      </c>
      <c r="X2" s="127" t="s">
        <v>39</v>
      </c>
      <c r="Y2" s="53" t="s">
        <v>97</v>
      </c>
      <c r="Z2" s="53" t="s">
        <v>86</v>
      </c>
      <c r="AA2" s="53" t="s">
        <v>47</v>
      </c>
      <c r="AB2" s="127" t="s">
        <v>258</v>
      </c>
      <c r="AC2" s="34"/>
      <c r="AE2" s="64" t="s">
        <v>35</v>
      </c>
      <c r="AG2" s="49" t="s">
        <v>284</v>
      </c>
      <c r="AH2" s="49" t="s">
        <v>285</v>
      </c>
      <c r="AJ2" s="130" t="s">
        <v>36</v>
      </c>
      <c r="AL2" s="67" t="s">
        <v>127</v>
      </c>
      <c r="AN2" s="130" t="s">
        <v>37</v>
      </c>
      <c r="AP2" s="67" t="s">
        <v>38</v>
      </c>
      <c r="AR2" s="67" t="s">
        <v>120</v>
      </c>
      <c r="AT2" s="130" t="s">
        <v>39</v>
      </c>
      <c r="AV2" s="67" t="s">
        <v>40</v>
      </c>
      <c r="AX2" s="131">
        <v>1</v>
      </c>
      <c r="AY2" s="132">
        <v>50</v>
      </c>
      <c r="AZ2" s="132">
        <v>1</v>
      </c>
      <c r="BA2" s="133">
        <v>50</v>
      </c>
    </row>
    <row r="3" spans="1:53" x14ac:dyDescent="0.15">
      <c r="A3" s="127" t="s">
        <v>61</v>
      </c>
      <c r="B3" s="127" t="s">
        <v>232</v>
      </c>
      <c r="C3" s="127">
        <v>2019</v>
      </c>
      <c r="D3" s="128" t="s">
        <v>183</v>
      </c>
      <c r="E3" s="127" t="s">
        <v>284</v>
      </c>
      <c r="F3" s="127" t="s">
        <v>285</v>
      </c>
      <c r="G3" s="127" t="s">
        <v>42</v>
      </c>
      <c r="H3" s="53" t="s">
        <v>164</v>
      </c>
      <c r="I3" s="53" t="s">
        <v>159</v>
      </c>
      <c r="J3" s="127" t="s">
        <v>38</v>
      </c>
      <c r="K3" s="53" t="s">
        <v>161</v>
      </c>
      <c r="L3" s="53">
        <v>2</v>
      </c>
      <c r="N3" s="53">
        <v>4</v>
      </c>
      <c r="O3" s="53">
        <v>0.75</v>
      </c>
      <c r="P3" s="53">
        <v>0.7</v>
      </c>
      <c r="Q3" s="75">
        <f t="shared" si="0"/>
        <v>0.72499999999999998</v>
      </c>
      <c r="R3" s="53">
        <v>12</v>
      </c>
      <c r="S3" s="53">
        <v>106</v>
      </c>
      <c r="T3" s="16">
        <f t="shared" si="1"/>
        <v>33</v>
      </c>
      <c r="U3" s="53">
        <v>350</v>
      </c>
      <c r="V3" s="129">
        <f t="shared" si="2"/>
        <v>2887.5</v>
      </c>
      <c r="W3" s="53">
        <v>4</v>
      </c>
      <c r="X3" s="127" t="s">
        <v>39</v>
      </c>
      <c r="Y3" s="53" t="s">
        <v>97</v>
      </c>
      <c r="Z3" s="53" t="s">
        <v>86</v>
      </c>
      <c r="AA3" s="53" t="s">
        <v>47</v>
      </c>
      <c r="AB3" s="127" t="s">
        <v>258</v>
      </c>
      <c r="AC3" s="34"/>
      <c r="AE3" s="22" t="s">
        <v>41</v>
      </c>
      <c r="AG3" s="49" t="s">
        <v>286</v>
      </c>
      <c r="AH3" s="49" t="s">
        <v>287</v>
      </c>
      <c r="AJ3" s="23" t="s">
        <v>42</v>
      </c>
      <c r="AL3" s="23" t="s">
        <v>128</v>
      </c>
      <c r="AN3" s="23" t="s">
        <v>43</v>
      </c>
      <c r="AP3" s="23" t="s">
        <v>44</v>
      </c>
      <c r="AR3" s="23" t="s">
        <v>45</v>
      </c>
      <c r="AT3" s="23" t="s">
        <v>46</v>
      </c>
      <c r="AV3" s="23" t="s">
        <v>47</v>
      </c>
      <c r="AX3" s="24">
        <v>72</v>
      </c>
      <c r="AY3" s="25">
        <v>46</v>
      </c>
      <c r="AZ3" s="25">
        <v>71</v>
      </c>
      <c r="BA3" s="26">
        <v>42</v>
      </c>
    </row>
    <row r="4" spans="1:53" x14ac:dyDescent="0.15">
      <c r="A4" s="127" t="s">
        <v>61</v>
      </c>
      <c r="B4" s="127" t="s">
        <v>232</v>
      </c>
      <c r="C4" s="127">
        <v>2019</v>
      </c>
      <c r="D4" s="128" t="s">
        <v>183</v>
      </c>
      <c r="E4" s="127" t="s">
        <v>284</v>
      </c>
      <c r="F4" s="127" t="s">
        <v>285</v>
      </c>
      <c r="G4" s="127" t="s">
        <v>42</v>
      </c>
      <c r="H4" s="53" t="s">
        <v>164</v>
      </c>
      <c r="I4" s="53" t="s">
        <v>159</v>
      </c>
      <c r="J4" s="127" t="s">
        <v>38</v>
      </c>
      <c r="K4" s="53" t="s">
        <v>161</v>
      </c>
      <c r="L4" s="53">
        <v>3</v>
      </c>
      <c r="N4" s="53">
        <v>4</v>
      </c>
      <c r="O4" s="53">
        <v>0.5</v>
      </c>
      <c r="P4" s="53">
        <v>0.5</v>
      </c>
      <c r="Q4" s="75">
        <f t="shared" si="0"/>
        <v>0.5</v>
      </c>
      <c r="R4" s="53">
        <v>13.2</v>
      </c>
      <c r="S4" s="53">
        <v>101</v>
      </c>
      <c r="T4" s="16">
        <f t="shared" si="1"/>
        <v>33</v>
      </c>
      <c r="U4" s="53">
        <v>350</v>
      </c>
      <c r="V4" s="129">
        <f t="shared" si="2"/>
        <v>2887.5</v>
      </c>
      <c r="W4" s="53">
        <v>4</v>
      </c>
      <c r="X4" s="127" t="s">
        <v>39</v>
      </c>
      <c r="Y4" s="53" t="s">
        <v>97</v>
      </c>
      <c r="Z4" s="53" t="s">
        <v>86</v>
      </c>
      <c r="AA4" s="53" t="s">
        <v>47</v>
      </c>
      <c r="AB4" s="127" t="s">
        <v>258</v>
      </c>
      <c r="AC4" s="34"/>
      <c r="AE4" s="22" t="s">
        <v>34</v>
      </c>
      <c r="AG4" s="49" t="s">
        <v>288</v>
      </c>
      <c r="AH4" s="49" t="s">
        <v>289</v>
      </c>
      <c r="AJ4" s="27" t="s">
        <v>48</v>
      </c>
      <c r="AL4" s="27" t="s">
        <v>129</v>
      </c>
      <c r="AN4" s="28" t="s">
        <v>49</v>
      </c>
      <c r="AP4" s="23" t="s">
        <v>93</v>
      </c>
      <c r="AR4" s="23" t="s">
        <v>121</v>
      </c>
      <c r="AT4" s="28"/>
      <c r="AV4" s="23" t="s">
        <v>50</v>
      </c>
      <c r="AX4" s="24">
        <v>75</v>
      </c>
      <c r="AY4" s="25">
        <v>42</v>
      </c>
      <c r="AZ4" s="25">
        <v>76</v>
      </c>
      <c r="BA4" s="26">
        <v>39</v>
      </c>
    </row>
    <row r="5" spans="1:53" x14ac:dyDescent="0.15">
      <c r="A5" s="127" t="s">
        <v>61</v>
      </c>
      <c r="B5" s="127" t="s">
        <v>232</v>
      </c>
      <c r="C5" s="127">
        <v>2019</v>
      </c>
      <c r="D5" s="128" t="s">
        <v>183</v>
      </c>
      <c r="E5" s="127" t="s">
        <v>284</v>
      </c>
      <c r="F5" s="127" t="s">
        <v>285</v>
      </c>
      <c r="G5" s="127" t="s">
        <v>42</v>
      </c>
      <c r="H5" s="53" t="s">
        <v>160</v>
      </c>
      <c r="I5" s="53" t="s">
        <v>159</v>
      </c>
      <c r="J5" s="127" t="s">
        <v>38</v>
      </c>
      <c r="K5" s="53" t="s">
        <v>161</v>
      </c>
      <c r="L5" s="53">
        <v>1</v>
      </c>
      <c r="N5" s="53">
        <v>1</v>
      </c>
      <c r="O5" s="53">
        <v>0.6</v>
      </c>
      <c r="P5" s="53">
        <v>0.65</v>
      </c>
      <c r="Q5" s="75">
        <f t="shared" si="0"/>
        <v>0.625</v>
      </c>
      <c r="R5" s="53">
        <v>188</v>
      </c>
      <c r="S5" s="53">
        <v>127</v>
      </c>
      <c r="T5" s="16">
        <f t="shared" si="1"/>
        <v>27</v>
      </c>
      <c r="U5" s="53">
        <v>138</v>
      </c>
      <c r="V5" s="129">
        <f t="shared" si="2"/>
        <v>3726</v>
      </c>
      <c r="W5" s="53">
        <v>4</v>
      </c>
      <c r="X5" s="127" t="s">
        <v>39</v>
      </c>
      <c r="Y5" s="53" t="s">
        <v>97</v>
      </c>
      <c r="Z5" s="53" t="s">
        <v>86</v>
      </c>
      <c r="AA5" s="53" t="s">
        <v>47</v>
      </c>
      <c r="AB5" s="127" t="s">
        <v>258</v>
      </c>
      <c r="AC5" s="34"/>
      <c r="AE5" s="22" t="s">
        <v>51</v>
      </c>
      <c r="AG5" s="49" t="s">
        <v>290</v>
      </c>
      <c r="AH5" s="49" t="s">
        <v>291</v>
      </c>
      <c r="AJ5" s="27"/>
      <c r="AL5" s="73" t="s">
        <v>66</v>
      </c>
      <c r="AN5" s="73" t="s">
        <v>52</v>
      </c>
      <c r="AP5" s="23" t="s">
        <v>119</v>
      </c>
      <c r="AR5" s="23" t="s">
        <v>54</v>
      </c>
      <c r="AV5" s="23" t="s">
        <v>55</v>
      </c>
      <c r="AX5" s="24">
        <v>84</v>
      </c>
      <c r="AY5" s="25">
        <v>39</v>
      </c>
      <c r="AZ5" s="25">
        <v>84</v>
      </c>
      <c r="BA5" s="26">
        <v>36</v>
      </c>
    </row>
    <row r="6" spans="1:53" x14ac:dyDescent="0.15">
      <c r="A6" s="127" t="s">
        <v>61</v>
      </c>
      <c r="B6" s="127" t="s">
        <v>232</v>
      </c>
      <c r="C6" s="127">
        <v>2019</v>
      </c>
      <c r="D6" s="128" t="s">
        <v>183</v>
      </c>
      <c r="E6" s="127" t="s">
        <v>284</v>
      </c>
      <c r="F6" s="127" t="s">
        <v>285</v>
      </c>
      <c r="G6" s="127" t="s">
        <v>42</v>
      </c>
      <c r="H6" s="53" t="s">
        <v>160</v>
      </c>
      <c r="I6" s="53" t="s">
        <v>159</v>
      </c>
      <c r="J6" s="127" t="s">
        <v>38</v>
      </c>
      <c r="K6" s="53" t="s">
        <v>161</v>
      </c>
      <c r="L6" s="53">
        <v>2</v>
      </c>
      <c r="N6" s="53">
        <v>1</v>
      </c>
      <c r="O6" s="53">
        <v>0.65</v>
      </c>
      <c r="P6" s="53">
        <v>0.7</v>
      </c>
      <c r="Q6" s="75">
        <f t="shared" si="0"/>
        <v>0.67500000000000004</v>
      </c>
      <c r="R6" s="53">
        <v>17.88</v>
      </c>
      <c r="S6" s="53">
        <v>128</v>
      </c>
      <c r="T6" s="16">
        <f t="shared" si="1"/>
        <v>27</v>
      </c>
      <c r="U6" s="53">
        <v>138</v>
      </c>
      <c r="V6" s="129">
        <f t="shared" si="2"/>
        <v>3726</v>
      </c>
      <c r="W6" s="53">
        <v>4</v>
      </c>
      <c r="X6" s="127" t="s">
        <v>39</v>
      </c>
      <c r="Y6" s="53" t="s">
        <v>97</v>
      </c>
      <c r="Z6" s="53" t="s">
        <v>86</v>
      </c>
      <c r="AA6" s="53" t="s">
        <v>47</v>
      </c>
      <c r="AB6" s="127" t="s">
        <v>258</v>
      </c>
      <c r="AC6" s="34"/>
      <c r="AE6" s="22" t="s">
        <v>56</v>
      </c>
      <c r="AG6" s="49" t="s">
        <v>292</v>
      </c>
      <c r="AH6" s="49" t="s">
        <v>293</v>
      </c>
      <c r="AJ6" s="27"/>
      <c r="AL6" s="73" t="s">
        <v>99</v>
      </c>
      <c r="AN6" s="73" t="s">
        <v>57</v>
      </c>
      <c r="AP6" s="23" t="s">
        <v>53</v>
      </c>
      <c r="AR6" s="23" t="s">
        <v>59</v>
      </c>
      <c r="AV6" s="23" t="s">
        <v>60</v>
      </c>
      <c r="AX6" s="24">
        <v>97</v>
      </c>
      <c r="AY6" s="25">
        <v>36</v>
      </c>
      <c r="AZ6" s="25">
        <v>99</v>
      </c>
      <c r="BA6" s="26">
        <v>33</v>
      </c>
    </row>
    <row r="7" spans="1:53" x14ac:dyDescent="0.15">
      <c r="A7" s="127" t="s">
        <v>61</v>
      </c>
      <c r="B7" s="127" t="s">
        <v>232</v>
      </c>
      <c r="C7" s="127">
        <v>2019</v>
      </c>
      <c r="D7" s="128" t="s">
        <v>183</v>
      </c>
      <c r="E7" s="127" t="s">
        <v>284</v>
      </c>
      <c r="F7" s="127" t="s">
        <v>285</v>
      </c>
      <c r="G7" s="127" t="s">
        <v>42</v>
      </c>
      <c r="H7" s="53" t="s">
        <v>160</v>
      </c>
      <c r="I7" s="53" t="s">
        <v>159</v>
      </c>
      <c r="J7" s="127" t="s">
        <v>38</v>
      </c>
      <c r="K7" s="53" t="s">
        <v>161</v>
      </c>
      <c r="L7" s="53">
        <v>3</v>
      </c>
      <c r="N7" s="53">
        <v>1</v>
      </c>
      <c r="O7" s="53">
        <v>0.75</v>
      </c>
      <c r="P7" s="53">
        <v>0.75</v>
      </c>
      <c r="Q7" s="75">
        <f t="shared" si="0"/>
        <v>0.75</v>
      </c>
      <c r="R7" s="53">
        <v>18.399999999999999</v>
      </c>
      <c r="S7" s="53">
        <v>130</v>
      </c>
      <c r="T7" s="16">
        <f t="shared" si="1"/>
        <v>25</v>
      </c>
      <c r="U7" s="53">
        <v>138</v>
      </c>
      <c r="V7" s="129">
        <f t="shared" si="2"/>
        <v>3450</v>
      </c>
      <c r="W7" s="53">
        <v>4</v>
      </c>
      <c r="X7" s="127" t="s">
        <v>39</v>
      </c>
      <c r="Y7" s="53" t="s">
        <v>97</v>
      </c>
      <c r="Z7" s="53" t="s">
        <v>86</v>
      </c>
      <c r="AA7" s="53" t="s">
        <v>47</v>
      </c>
      <c r="AB7" s="127" t="s">
        <v>258</v>
      </c>
      <c r="AC7" s="34"/>
      <c r="AE7" s="22" t="s">
        <v>61</v>
      </c>
      <c r="AG7" s="49" t="s">
        <v>294</v>
      </c>
      <c r="AH7" s="49" t="s">
        <v>295</v>
      </c>
      <c r="AJ7" s="27"/>
      <c r="AL7" s="34" t="s">
        <v>109</v>
      </c>
      <c r="AN7" s="73"/>
      <c r="AP7" s="23" t="s">
        <v>58</v>
      </c>
      <c r="AR7" s="23" t="s">
        <v>122</v>
      </c>
      <c r="AV7" s="23" t="s">
        <v>64</v>
      </c>
      <c r="AX7" s="24">
        <v>109</v>
      </c>
      <c r="AY7" s="25">
        <v>33</v>
      </c>
      <c r="AZ7" s="25">
        <v>113</v>
      </c>
      <c r="BA7" s="26">
        <v>30</v>
      </c>
    </row>
    <row r="8" spans="1:53" x14ac:dyDescent="0.15">
      <c r="A8" s="127" t="s">
        <v>61</v>
      </c>
      <c r="B8" s="127" t="s">
        <v>232</v>
      </c>
      <c r="C8" s="127">
        <v>2019</v>
      </c>
      <c r="D8" s="128" t="s">
        <v>183</v>
      </c>
      <c r="E8" s="127" t="s">
        <v>286</v>
      </c>
      <c r="F8" s="127" t="s">
        <v>287</v>
      </c>
      <c r="G8" s="127" t="s">
        <v>42</v>
      </c>
      <c r="H8" s="53" t="s">
        <v>164</v>
      </c>
      <c r="I8" s="53" t="s">
        <v>159</v>
      </c>
      <c r="J8" s="127" t="s">
        <v>38</v>
      </c>
      <c r="K8" s="53" t="s">
        <v>161</v>
      </c>
      <c r="L8" s="53">
        <v>1</v>
      </c>
      <c r="N8" s="53">
        <v>4</v>
      </c>
      <c r="O8" s="53">
        <v>0.75</v>
      </c>
      <c r="P8" s="53">
        <v>0.7</v>
      </c>
      <c r="Q8" s="75">
        <f t="shared" si="0"/>
        <v>0.72499999999999998</v>
      </c>
      <c r="R8" s="53">
        <v>17</v>
      </c>
      <c r="S8" s="53">
        <v>104</v>
      </c>
      <c r="T8" s="16">
        <f t="shared" si="1"/>
        <v>33</v>
      </c>
      <c r="U8" s="53">
        <v>398</v>
      </c>
      <c r="V8" s="129">
        <f t="shared" si="2"/>
        <v>3283.5</v>
      </c>
      <c r="W8" s="53">
        <v>8</v>
      </c>
      <c r="X8" s="127" t="s">
        <v>46</v>
      </c>
      <c r="Y8" s="53" t="s">
        <v>97</v>
      </c>
      <c r="Z8" s="53" t="s">
        <v>88</v>
      </c>
      <c r="AA8" s="53" t="s">
        <v>78</v>
      </c>
      <c r="AB8" s="127" t="s">
        <v>258</v>
      </c>
      <c r="AC8" s="34"/>
      <c r="AE8" s="22" t="s">
        <v>59</v>
      </c>
      <c r="AG8" s="49" t="s">
        <v>296</v>
      </c>
      <c r="AH8" s="49" t="s">
        <v>297</v>
      </c>
      <c r="AJ8" s="28"/>
      <c r="AL8" s="34" t="s">
        <v>134</v>
      </c>
      <c r="AN8" s="73"/>
      <c r="AP8" s="23" t="s">
        <v>62</v>
      </c>
      <c r="AR8" s="23" t="s">
        <v>81</v>
      </c>
      <c r="AV8" s="23" t="s">
        <v>97</v>
      </c>
      <c r="AX8" s="24">
        <v>119</v>
      </c>
      <c r="AY8" s="25">
        <v>30</v>
      </c>
      <c r="AZ8" s="25">
        <v>121</v>
      </c>
      <c r="BA8" s="26">
        <v>27</v>
      </c>
    </row>
    <row r="9" spans="1:53" x14ac:dyDescent="0.15">
      <c r="A9" s="127" t="s">
        <v>61</v>
      </c>
      <c r="B9" s="127" t="s">
        <v>232</v>
      </c>
      <c r="C9" s="127">
        <v>2019</v>
      </c>
      <c r="D9" s="128" t="s">
        <v>183</v>
      </c>
      <c r="E9" s="127" t="s">
        <v>286</v>
      </c>
      <c r="F9" s="127" t="s">
        <v>287</v>
      </c>
      <c r="G9" s="127" t="s">
        <v>42</v>
      </c>
      <c r="H9" s="53" t="s">
        <v>164</v>
      </c>
      <c r="I9" s="53" t="s">
        <v>159</v>
      </c>
      <c r="J9" s="127" t="s">
        <v>38</v>
      </c>
      <c r="K9" s="53" t="s">
        <v>161</v>
      </c>
      <c r="L9" s="53">
        <v>2</v>
      </c>
      <c r="N9" s="53">
        <v>4</v>
      </c>
      <c r="O9" s="53">
        <v>0.85</v>
      </c>
      <c r="P9" s="53">
        <v>0.8</v>
      </c>
      <c r="Q9" s="75">
        <f t="shared" si="0"/>
        <v>0.82499999999999996</v>
      </c>
      <c r="R9" s="34">
        <v>17.2</v>
      </c>
      <c r="S9" s="53">
        <v>102</v>
      </c>
      <c r="T9" s="16">
        <f t="shared" si="1"/>
        <v>33</v>
      </c>
      <c r="U9" s="53">
        <v>398</v>
      </c>
      <c r="V9" s="129">
        <f t="shared" si="2"/>
        <v>3283.5</v>
      </c>
      <c r="W9" s="53">
        <v>8</v>
      </c>
      <c r="X9" s="127" t="s">
        <v>46</v>
      </c>
      <c r="Y9" s="53" t="s">
        <v>97</v>
      </c>
      <c r="Z9" s="53" t="s">
        <v>88</v>
      </c>
      <c r="AA9" s="53" t="s">
        <v>78</v>
      </c>
      <c r="AB9" s="127" t="s">
        <v>258</v>
      </c>
      <c r="AC9" s="34"/>
      <c r="AE9" s="22" t="s">
        <v>98</v>
      </c>
      <c r="AG9" s="49" t="s">
        <v>133</v>
      </c>
      <c r="AH9" s="49" t="s">
        <v>298</v>
      </c>
      <c r="AL9" s="73"/>
      <c r="AN9" s="73"/>
      <c r="AP9" s="23" t="s">
        <v>95</v>
      </c>
      <c r="AR9" s="23" t="s">
        <v>89</v>
      </c>
      <c r="AV9" s="23" t="s">
        <v>102</v>
      </c>
      <c r="AX9" s="24">
        <v>128</v>
      </c>
      <c r="AY9" s="25">
        <v>27</v>
      </c>
      <c r="AZ9" s="25">
        <v>129</v>
      </c>
      <c r="BA9" s="26">
        <v>25</v>
      </c>
    </row>
    <row r="10" spans="1:53" x14ac:dyDescent="0.15">
      <c r="A10" s="127" t="s">
        <v>61</v>
      </c>
      <c r="B10" s="127" t="s">
        <v>232</v>
      </c>
      <c r="C10" s="127">
        <v>2019</v>
      </c>
      <c r="D10" s="128" t="s">
        <v>183</v>
      </c>
      <c r="E10" s="127" t="s">
        <v>286</v>
      </c>
      <c r="F10" s="127" t="s">
        <v>287</v>
      </c>
      <c r="G10" s="127" t="s">
        <v>42</v>
      </c>
      <c r="H10" s="53" t="s">
        <v>164</v>
      </c>
      <c r="I10" s="53" t="s">
        <v>159</v>
      </c>
      <c r="J10" s="127" t="s">
        <v>38</v>
      </c>
      <c r="K10" s="53" t="s">
        <v>161</v>
      </c>
      <c r="L10" s="53">
        <v>3</v>
      </c>
      <c r="N10" s="53">
        <v>4</v>
      </c>
      <c r="O10" s="53">
        <v>0.8</v>
      </c>
      <c r="P10" s="53">
        <v>0.9</v>
      </c>
      <c r="Q10" s="75">
        <f t="shared" si="0"/>
        <v>0.85000000000000009</v>
      </c>
      <c r="R10" s="53">
        <v>14.4</v>
      </c>
      <c r="S10" s="53">
        <v>99</v>
      </c>
      <c r="T10" s="16">
        <f t="shared" si="1"/>
        <v>33</v>
      </c>
      <c r="U10" s="53">
        <v>398</v>
      </c>
      <c r="V10" s="129">
        <f t="shared" si="2"/>
        <v>3283.5</v>
      </c>
      <c r="W10" s="53">
        <v>8</v>
      </c>
      <c r="X10" s="127" t="s">
        <v>46</v>
      </c>
      <c r="Y10" s="53" t="s">
        <v>97</v>
      </c>
      <c r="Z10" s="53" t="s">
        <v>88</v>
      </c>
      <c r="AA10" s="53" t="s">
        <v>78</v>
      </c>
      <c r="AB10" s="127" t="s">
        <v>258</v>
      </c>
      <c r="AC10" s="34"/>
      <c r="AE10" s="22" t="s">
        <v>103</v>
      </c>
      <c r="AG10" s="49" t="s">
        <v>299</v>
      </c>
      <c r="AH10" s="49" t="s">
        <v>300</v>
      </c>
      <c r="AL10" s="27"/>
      <c r="AP10" s="23" t="s">
        <v>100</v>
      </c>
      <c r="AR10" s="23" t="s">
        <v>123</v>
      </c>
      <c r="AV10" s="23" t="s">
        <v>106</v>
      </c>
      <c r="AX10" s="24">
        <v>138</v>
      </c>
      <c r="AY10" s="25">
        <v>25</v>
      </c>
      <c r="AZ10" s="25">
        <v>138</v>
      </c>
      <c r="BA10" s="26">
        <v>22</v>
      </c>
    </row>
    <row r="11" spans="1:53" x14ac:dyDescent="0.15">
      <c r="A11" s="127" t="s">
        <v>61</v>
      </c>
      <c r="B11" s="127" t="s">
        <v>232</v>
      </c>
      <c r="C11" s="127">
        <v>2019</v>
      </c>
      <c r="D11" s="128" t="s">
        <v>183</v>
      </c>
      <c r="E11" s="127" t="s">
        <v>286</v>
      </c>
      <c r="F11" s="127" t="s">
        <v>287</v>
      </c>
      <c r="G11" s="127" t="s">
        <v>42</v>
      </c>
      <c r="H11" s="53" t="s">
        <v>160</v>
      </c>
      <c r="I11" s="53" t="s">
        <v>159</v>
      </c>
      <c r="J11" s="127" t="s">
        <v>38</v>
      </c>
      <c r="K11" s="53" t="s">
        <v>161</v>
      </c>
      <c r="L11" s="53">
        <v>1</v>
      </c>
      <c r="N11" s="53">
        <v>1</v>
      </c>
      <c r="O11" s="53">
        <v>0.6</v>
      </c>
      <c r="P11" s="53">
        <v>0.7</v>
      </c>
      <c r="Q11" s="75">
        <f t="shared" si="0"/>
        <v>0.64999999999999991</v>
      </c>
      <c r="R11" s="53">
        <v>17.8</v>
      </c>
      <c r="S11" s="53">
        <v>136</v>
      </c>
      <c r="T11" s="16">
        <f t="shared" si="1"/>
        <v>25</v>
      </c>
      <c r="U11" s="53">
        <v>158</v>
      </c>
      <c r="V11" s="129">
        <f t="shared" si="2"/>
        <v>3950</v>
      </c>
      <c r="W11" s="53">
        <v>8</v>
      </c>
      <c r="X11" s="127" t="s">
        <v>46</v>
      </c>
      <c r="Y11" s="53" t="s">
        <v>97</v>
      </c>
      <c r="Z11" s="53" t="s">
        <v>88</v>
      </c>
      <c r="AA11" s="53" t="s">
        <v>78</v>
      </c>
      <c r="AB11" s="127" t="s">
        <v>258</v>
      </c>
      <c r="AC11" s="34"/>
      <c r="AE11" s="22" t="s">
        <v>65</v>
      </c>
      <c r="AG11" s="49" t="s">
        <v>301</v>
      </c>
      <c r="AH11" s="49" t="s">
        <v>300</v>
      </c>
      <c r="AL11" s="134"/>
      <c r="AP11" s="23" t="s">
        <v>104</v>
      </c>
      <c r="AR11" s="23" t="s">
        <v>87</v>
      </c>
      <c r="AV11" s="135" t="s">
        <v>302</v>
      </c>
      <c r="AX11" s="24">
        <v>151</v>
      </c>
      <c r="AY11" s="25">
        <v>22</v>
      </c>
      <c r="AZ11" s="25">
        <v>152</v>
      </c>
      <c r="BA11" s="26">
        <v>18</v>
      </c>
    </row>
    <row r="12" spans="1:53" x14ac:dyDescent="0.15">
      <c r="A12" s="127" t="s">
        <v>61</v>
      </c>
      <c r="B12" s="127" t="s">
        <v>232</v>
      </c>
      <c r="C12" s="127">
        <v>2019</v>
      </c>
      <c r="D12" s="128" t="s">
        <v>183</v>
      </c>
      <c r="E12" s="127" t="s">
        <v>286</v>
      </c>
      <c r="F12" s="127" t="s">
        <v>287</v>
      </c>
      <c r="G12" s="127" t="s">
        <v>42</v>
      </c>
      <c r="H12" s="53" t="s">
        <v>160</v>
      </c>
      <c r="I12" s="53" t="s">
        <v>159</v>
      </c>
      <c r="J12" s="127" t="s">
        <v>38</v>
      </c>
      <c r="K12" s="53" t="s">
        <v>161</v>
      </c>
      <c r="L12" s="53">
        <v>2</v>
      </c>
      <c r="N12" s="53">
        <v>1</v>
      </c>
      <c r="O12" s="53">
        <v>0.65</v>
      </c>
      <c r="P12" s="53">
        <v>0.7</v>
      </c>
      <c r="Q12" s="75">
        <f t="shared" si="0"/>
        <v>0.67500000000000004</v>
      </c>
      <c r="R12" s="34">
        <v>17.7</v>
      </c>
      <c r="S12" s="53">
        <v>144</v>
      </c>
      <c r="T12" s="16">
        <f t="shared" si="1"/>
        <v>22</v>
      </c>
      <c r="U12" s="53">
        <v>158</v>
      </c>
      <c r="V12" s="129">
        <f t="shared" si="2"/>
        <v>3476</v>
      </c>
      <c r="W12" s="53">
        <v>8</v>
      </c>
      <c r="X12" s="127" t="s">
        <v>46</v>
      </c>
      <c r="Y12" s="53" t="s">
        <v>97</v>
      </c>
      <c r="Z12" s="53" t="s">
        <v>88</v>
      </c>
      <c r="AA12" s="53" t="s">
        <v>78</v>
      </c>
      <c r="AB12" s="127" t="s">
        <v>258</v>
      </c>
      <c r="AC12" s="34"/>
      <c r="AE12" s="22" t="s">
        <v>70</v>
      </c>
      <c r="AG12" s="23"/>
      <c r="AH12" s="22"/>
      <c r="AL12" s="134"/>
      <c r="AP12" s="23" t="s">
        <v>67</v>
      </c>
      <c r="AR12" s="23" t="s">
        <v>124</v>
      </c>
      <c r="AV12" s="135" t="s">
        <v>303</v>
      </c>
      <c r="AX12" s="24">
        <v>180</v>
      </c>
      <c r="AY12" s="25">
        <v>18</v>
      </c>
      <c r="AZ12" s="25">
        <v>181</v>
      </c>
      <c r="BA12" s="26">
        <v>16</v>
      </c>
    </row>
    <row r="13" spans="1:53" x14ac:dyDescent="0.15">
      <c r="A13" s="127" t="s">
        <v>61</v>
      </c>
      <c r="B13" s="127" t="s">
        <v>232</v>
      </c>
      <c r="C13" s="127">
        <v>2019</v>
      </c>
      <c r="D13" s="128" t="s">
        <v>183</v>
      </c>
      <c r="E13" s="127" t="s">
        <v>286</v>
      </c>
      <c r="F13" s="127" t="s">
        <v>287</v>
      </c>
      <c r="G13" s="127" t="s">
        <v>42</v>
      </c>
      <c r="H13" s="53" t="s">
        <v>160</v>
      </c>
      <c r="I13" s="53" t="s">
        <v>159</v>
      </c>
      <c r="J13" s="127" t="s">
        <v>38</v>
      </c>
      <c r="K13" s="53" t="s">
        <v>161</v>
      </c>
      <c r="L13" s="53">
        <v>3</v>
      </c>
      <c r="N13" s="53">
        <v>1</v>
      </c>
      <c r="O13" s="53">
        <v>0.6</v>
      </c>
      <c r="P13" s="53">
        <v>0.6</v>
      </c>
      <c r="Q13" s="75">
        <f t="shared" si="0"/>
        <v>0.6</v>
      </c>
      <c r="R13" s="53">
        <v>17.399999999999999</v>
      </c>
      <c r="S13" s="53">
        <v>136</v>
      </c>
      <c r="T13" s="16">
        <f t="shared" si="1"/>
        <v>25</v>
      </c>
      <c r="U13" s="53">
        <v>158</v>
      </c>
      <c r="V13" s="129">
        <f t="shared" si="2"/>
        <v>3950</v>
      </c>
      <c r="W13" s="53">
        <v>8</v>
      </c>
      <c r="X13" s="127" t="s">
        <v>46</v>
      </c>
      <c r="Y13" s="53" t="s">
        <v>97</v>
      </c>
      <c r="Z13" s="53" t="s">
        <v>88</v>
      </c>
      <c r="AA13" s="53" t="s">
        <v>78</v>
      </c>
      <c r="AB13" s="127" t="s">
        <v>258</v>
      </c>
      <c r="AC13" s="34"/>
      <c r="AE13" s="22" t="s">
        <v>73</v>
      </c>
      <c r="AG13" s="23"/>
      <c r="AH13" s="22"/>
      <c r="AL13" s="136"/>
      <c r="AP13" s="23" t="s">
        <v>71</v>
      </c>
      <c r="AR13" s="23" t="s">
        <v>103</v>
      </c>
      <c r="AV13" s="135" t="s">
        <v>304</v>
      </c>
      <c r="AX13" s="24"/>
      <c r="AY13" s="25"/>
      <c r="AZ13" s="25"/>
      <c r="BA13" s="26"/>
    </row>
    <row r="14" spans="1:53" x14ac:dyDescent="0.15">
      <c r="A14" s="127" t="s">
        <v>61</v>
      </c>
      <c r="B14" s="127" t="s">
        <v>232</v>
      </c>
      <c r="C14" s="127">
        <v>2019</v>
      </c>
      <c r="D14" s="128" t="s">
        <v>183</v>
      </c>
      <c r="E14" s="127" t="s">
        <v>288</v>
      </c>
      <c r="F14" s="127" t="s">
        <v>289</v>
      </c>
      <c r="G14" s="127" t="s">
        <v>42</v>
      </c>
      <c r="H14" s="53" t="s">
        <v>164</v>
      </c>
      <c r="I14" s="53" t="s">
        <v>159</v>
      </c>
      <c r="J14" s="127" t="s">
        <v>38</v>
      </c>
      <c r="K14" s="53" t="s">
        <v>161</v>
      </c>
      <c r="L14" s="53">
        <v>1</v>
      </c>
      <c r="N14" s="53">
        <v>4</v>
      </c>
      <c r="O14" s="53">
        <v>0.5</v>
      </c>
      <c r="P14" s="53">
        <v>0.5</v>
      </c>
      <c r="Q14" s="75">
        <f t="shared" si="0"/>
        <v>0.5</v>
      </c>
      <c r="R14" s="53">
        <v>17.3</v>
      </c>
      <c r="S14" s="53">
        <v>86</v>
      </c>
      <c r="T14" s="16">
        <f t="shared" si="1"/>
        <v>36</v>
      </c>
      <c r="U14" s="53">
        <v>298</v>
      </c>
      <c r="V14" s="129">
        <f t="shared" si="2"/>
        <v>2682</v>
      </c>
      <c r="W14" s="53">
        <v>12</v>
      </c>
      <c r="X14" s="127" t="s">
        <v>46</v>
      </c>
      <c r="Y14" s="53" t="s">
        <v>69</v>
      </c>
      <c r="Z14" s="53" t="s">
        <v>97</v>
      </c>
      <c r="AA14" s="53" t="s">
        <v>55</v>
      </c>
      <c r="AB14" s="127" t="s">
        <v>258</v>
      </c>
      <c r="AC14" s="34"/>
      <c r="AE14" s="22" t="s">
        <v>76</v>
      </c>
      <c r="AG14" s="23"/>
      <c r="AH14" s="22"/>
      <c r="AL14" s="34"/>
      <c r="AP14" s="23" t="s">
        <v>74</v>
      </c>
      <c r="AR14" s="23" t="s">
        <v>125</v>
      </c>
      <c r="AV14" s="135" t="s">
        <v>305</v>
      </c>
      <c r="AX14" s="24"/>
      <c r="AY14" s="25"/>
      <c r="AZ14" s="25"/>
      <c r="BA14" s="26"/>
    </row>
    <row r="15" spans="1:53" x14ac:dyDescent="0.15">
      <c r="A15" s="127" t="s">
        <v>61</v>
      </c>
      <c r="B15" s="127" t="s">
        <v>232</v>
      </c>
      <c r="C15" s="127">
        <v>2019</v>
      </c>
      <c r="D15" s="128" t="s">
        <v>183</v>
      </c>
      <c r="E15" s="127" t="s">
        <v>288</v>
      </c>
      <c r="F15" s="127" t="s">
        <v>289</v>
      </c>
      <c r="G15" s="127" t="s">
        <v>42</v>
      </c>
      <c r="H15" s="53" t="s">
        <v>164</v>
      </c>
      <c r="I15" s="53" t="s">
        <v>159</v>
      </c>
      <c r="J15" s="127" t="s">
        <v>38</v>
      </c>
      <c r="K15" s="53" t="s">
        <v>161</v>
      </c>
      <c r="L15" s="53">
        <v>2</v>
      </c>
      <c r="N15" s="53">
        <v>4</v>
      </c>
      <c r="O15" s="53">
        <v>0.5</v>
      </c>
      <c r="P15" s="53">
        <v>0.5</v>
      </c>
      <c r="Q15" s="75">
        <f t="shared" si="0"/>
        <v>0.5</v>
      </c>
      <c r="R15" s="34">
        <v>17.3</v>
      </c>
      <c r="S15" s="53">
        <v>88</v>
      </c>
      <c r="T15" s="16">
        <f t="shared" si="1"/>
        <v>36</v>
      </c>
      <c r="U15" s="53">
        <v>298</v>
      </c>
      <c r="V15" s="129">
        <f t="shared" si="2"/>
        <v>2682</v>
      </c>
      <c r="W15" s="53">
        <v>12</v>
      </c>
      <c r="X15" s="127" t="s">
        <v>46</v>
      </c>
      <c r="Y15" s="53" t="s">
        <v>69</v>
      </c>
      <c r="Z15" s="53" t="s">
        <v>97</v>
      </c>
      <c r="AA15" s="53" t="s">
        <v>55</v>
      </c>
      <c r="AB15" s="127" t="s">
        <v>258</v>
      </c>
      <c r="AC15" s="34"/>
      <c r="AE15" s="22" t="s">
        <v>79</v>
      </c>
      <c r="AG15" s="23"/>
      <c r="AH15" s="23"/>
      <c r="AL15" s="34"/>
      <c r="AP15" s="23" t="s">
        <v>77</v>
      </c>
      <c r="AR15" s="23" t="s">
        <v>94</v>
      </c>
      <c r="AV15" s="135" t="s">
        <v>306</v>
      </c>
      <c r="AX15" s="31"/>
      <c r="AY15" s="32"/>
      <c r="AZ15" s="32"/>
      <c r="BA15" s="33"/>
    </row>
    <row r="16" spans="1:53" x14ac:dyDescent="0.15">
      <c r="A16" s="127" t="s">
        <v>61</v>
      </c>
      <c r="B16" s="127" t="s">
        <v>232</v>
      </c>
      <c r="C16" s="127">
        <v>2019</v>
      </c>
      <c r="D16" s="128" t="s">
        <v>183</v>
      </c>
      <c r="E16" s="127" t="s">
        <v>288</v>
      </c>
      <c r="F16" s="127" t="s">
        <v>289</v>
      </c>
      <c r="G16" s="127" t="s">
        <v>42</v>
      </c>
      <c r="H16" s="53" t="s">
        <v>164</v>
      </c>
      <c r="I16" s="53" t="s">
        <v>159</v>
      </c>
      <c r="J16" s="127" t="s">
        <v>38</v>
      </c>
      <c r="K16" s="53" t="s">
        <v>161</v>
      </c>
      <c r="L16" s="53">
        <v>3</v>
      </c>
      <c r="N16" s="53">
        <v>4</v>
      </c>
      <c r="O16" s="53">
        <v>0.5</v>
      </c>
      <c r="P16" s="53">
        <v>0.5</v>
      </c>
      <c r="Q16" s="75">
        <f t="shared" si="0"/>
        <v>0.5</v>
      </c>
      <c r="R16" s="53">
        <v>13.1</v>
      </c>
      <c r="S16" s="53">
        <v>90</v>
      </c>
      <c r="T16" s="16">
        <f t="shared" si="1"/>
        <v>36</v>
      </c>
      <c r="U16" s="53">
        <v>298</v>
      </c>
      <c r="V16" s="129">
        <f t="shared" si="2"/>
        <v>2682</v>
      </c>
      <c r="W16" s="53">
        <v>12</v>
      </c>
      <c r="X16" s="127" t="s">
        <v>46</v>
      </c>
      <c r="Y16" s="53" t="s">
        <v>69</v>
      </c>
      <c r="Z16" s="53" t="s">
        <v>97</v>
      </c>
      <c r="AA16" s="53" t="s">
        <v>55</v>
      </c>
      <c r="AB16" s="127" t="s">
        <v>258</v>
      </c>
      <c r="AC16" s="34"/>
      <c r="AE16" s="22" t="s">
        <v>82</v>
      </c>
      <c r="AG16" s="23"/>
      <c r="AH16" s="23"/>
      <c r="AP16" s="23" t="s">
        <v>80</v>
      </c>
      <c r="AR16" s="23" t="s">
        <v>63</v>
      </c>
      <c r="AV16" s="135" t="s">
        <v>307</v>
      </c>
    </row>
    <row r="17" spans="1:48" x14ac:dyDescent="0.15">
      <c r="A17" s="127" t="s">
        <v>61</v>
      </c>
      <c r="B17" s="127" t="s">
        <v>232</v>
      </c>
      <c r="C17" s="127">
        <v>2019</v>
      </c>
      <c r="D17" s="128" t="s">
        <v>183</v>
      </c>
      <c r="E17" s="127" t="s">
        <v>288</v>
      </c>
      <c r="F17" s="127" t="s">
        <v>289</v>
      </c>
      <c r="G17" s="127" t="s">
        <v>42</v>
      </c>
      <c r="H17" s="53" t="s">
        <v>160</v>
      </c>
      <c r="I17" s="53" t="s">
        <v>159</v>
      </c>
      <c r="J17" s="127" t="s">
        <v>38</v>
      </c>
      <c r="K17" s="53" t="s">
        <v>161</v>
      </c>
      <c r="L17" s="53">
        <v>1</v>
      </c>
      <c r="N17" s="53">
        <v>4</v>
      </c>
      <c r="O17" s="53">
        <v>0.5</v>
      </c>
      <c r="P17" s="53">
        <v>0.5</v>
      </c>
      <c r="Q17" s="75">
        <f t="shared" si="0"/>
        <v>0.5</v>
      </c>
      <c r="R17" s="53">
        <v>18.2</v>
      </c>
      <c r="S17" s="53">
        <v>97</v>
      </c>
      <c r="T17" s="16">
        <f t="shared" si="1"/>
        <v>36</v>
      </c>
      <c r="U17" s="53">
        <v>398</v>
      </c>
      <c r="V17" s="129">
        <f t="shared" si="2"/>
        <v>3582</v>
      </c>
      <c r="W17" s="53">
        <v>12</v>
      </c>
      <c r="X17" s="127" t="s">
        <v>46</v>
      </c>
      <c r="Y17" s="53" t="s">
        <v>69</v>
      </c>
      <c r="Z17" s="53" t="s">
        <v>97</v>
      </c>
      <c r="AA17" s="53" t="s">
        <v>55</v>
      </c>
      <c r="AB17" s="127" t="s">
        <v>258</v>
      </c>
      <c r="AC17" s="34"/>
      <c r="AE17" s="22" t="s">
        <v>85</v>
      </c>
      <c r="AP17" s="27" t="s">
        <v>110</v>
      </c>
      <c r="AR17" s="23" t="s">
        <v>96</v>
      </c>
      <c r="AV17" s="135" t="s">
        <v>253</v>
      </c>
    </row>
    <row r="18" spans="1:48" x14ac:dyDescent="0.15">
      <c r="A18" s="127" t="s">
        <v>61</v>
      </c>
      <c r="B18" s="127" t="s">
        <v>232</v>
      </c>
      <c r="C18" s="127">
        <v>2019</v>
      </c>
      <c r="D18" s="128" t="s">
        <v>183</v>
      </c>
      <c r="E18" s="127" t="s">
        <v>288</v>
      </c>
      <c r="F18" s="127" t="s">
        <v>289</v>
      </c>
      <c r="G18" s="127" t="s">
        <v>42</v>
      </c>
      <c r="H18" s="53" t="s">
        <v>160</v>
      </c>
      <c r="I18" s="53" t="s">
        <v>159</v>
      </c>
      <c r="J18" s="127" t="s">
        <v>38</v>
      </c>
      <c r="K18" s="53" t="s">
        <v>161</v>
      </c>
      <c r="L18" s="53">
        <v>2</v>
      </c>
      <c r="N18" s="53">
        <v>4</v>
      </c>
      <c r="O18" s="53">
        <v>0.5</v>
      </c>
      <c r="P18" s="53">
        <v>0.5</v>
      </c>
      <c r="Q18" s="75">
        <f t="shared" si="0"/>
        <v>0.5</v>
      </c>
      <c r="R18" s="34">
        <v>14.4</v>
      </c>
      <c r="S18" s="53">
        <v>99</v>
      </c>
      <c r="T18" s="16">
        <f t="shared" si="1"/>
        <v>33</v>
      </c>
      <c r="U18" s="53">
        <v>398</v>
      </c>
      <c r="V18" s="129">
        <f t="shared" si="2"/>
        <v>3283.5</v>
      </c>
      <c r="W18" s="53">
        <v>12</v>
      </c>
      <c r="X18" s="127" t="s">
        <v>46</v>
      </c>
      <c r="Y18" s="53" t="s">
        <v>69</v>
      </c>
      <c r="Z18" s="53" t="s">
        <v>97</v>
      </c>
      <c r="AA18" s="53" t="s">
        <v>55</v>
      </c>
      <c r="AB18" s="127" t="s">
        <v>258</v>
      </c>
      <c r="AC18" s="34"/>
      <c r="AE18" s="22" t="s">
        <v>87</v>
      </c>
      <c r="AP18" s="27" t="s">
        <v>111</v>
      </c>
      <c r="AR18" s="23" t="s">
        <v>101</v>
      </c>
      <c r="AV18" s="135" t="s">
        <v>135</v>
      </c>
    </row>
    <row r="19" spans="1:48" x14ac:dyDescent="0.15">
      <c r="A19" s="127" t="s">
        <v>61</v>
      </c>
      <c r="B19" s="127" t="s">
        <v>232</v>
      </c>
      <c r="C19" s="127">
        <v>2019</v>
      </c>
      <c r="D19" s="128" t="s">
        <v>183</v>
      </c>
      <c r="E19" s="127" t="s">
        <v>288</v>
      </c>
      <c r="F19" s="127" t="s">
        <v>289</v>
      </c>
      <c r="G19" s="127" t="s">
        <v>42</v>
      </c>
      <c r="H19" s="53" t="s">
        <v>160</v>
      </c>
      <c r="I19" s="53" t="s">
        <v>159</v>
      </c>
      <c r="J19" s="127" t="s">
        <v>38</v>
      </c>
      <c r="K19" s="53" t="s">
        <v>161</v>
      </c>
      <c r="L19" s="53">
        <v>3</v>
      </c>
      <c r="N19" s="53">
        <v>4</v>
      </c>
      <c r="O19" s="34">
        <v>0.5</v>
      </c>
      <c r="P19" s="53">
        <v>0.5</v>
      </c>
      <c r="Q19" s="75">
        <f t="shared" si="0"/>
        <v>0.5</v>
      </c>
      <c r="R19" s="53">
        <v>18.100000000000001</v>
      </c>
      <c r="S19" s="53">
        <v>94</v>
      </c>
      <c r="T19" s="16">
        <f t="shared" si="1"/>
        <v>36</v>
      </c>
      <c r="U19" s="53">
        <v>398</v>
      </c>
      <c r="V19" s="129">
        <f t="shared" si="2"/>
        <v>3582</v>
      </c>
      <c r="W19" s="53">
        <v>12</v>
      </c>
      <c r="X19" s="127" t="s">
        <v>46</v>
      </c>
      <c r="Y19" s="53" t="s">
        <v>308</v>
      </c>
      <c r="Z19" s="53" t="s">
        <v>97</v>
      </c>
      <c r="AA19" s="53" t="s">
        <v>55</v>
      </c>
      <c r="AB19" s="127" t="s">
        <v>258</v>
      </c>
      <c r="AC19" s="34"/>
      <c r="AE19" s="35" t="s">
        <v>89</v>
      </c>
      <c r="AP19" s="27" t="s">
        <v>112</v>
      </c>
      <c r="AR19" s="23" t="s">
        <v>126</v>
      </c>
      <c r="AV19" s="135" t="s">
        <v>309</v>
      </c>
    </row>
    <row r="20" spans="1:48" x14ac:dyDescent="0.15">
      <c r="A20" s="127" t="s">
        <v>61</v>
      </c>
      <c r="B20" s="127" t="s">
        <v>232</v>
      </c>
      <c r="C20" s="127">
        <v>2019</v>
      </c>
      <c r="D20" s="128" t="s">
        <v>183</v>
      </c>
      <c r="E20" s="127" t="s">
        <v>290</v>
      </c>
      <c r="F20" s="127" t="s">
        <v>291</v>
      </c>
      <c r="G20" s="127" t="s">
        <v>42</v>
      </c>
      <c r="H20" s="53" t="s">
        <v>164</v>
      </c>
      <c r="I20" s="53" t="s">
        <v>159</v>
      </c>
      <c r="J20" s="127" t="s">
        <v>38</v>
      </c>
      <c r="K20" s="53" t="s">
        <v>161</v>
      </c>
      <c r="L20" s="53">
        <v>1</v>
      </c>
      <c r="N20" s="53">
        <v>5</v>
      </c>
      <c r="O20" s="53">
        <v>0.65</v>
      </c>
      <c r="P20" s="53">
        <v>0.65</v>
      </c>
      <c r="Q20" s="75">
        <f t="shared" si="0"/>
        <v>0.65</v>
      </c>
      <c r="R20" s="53">
        <v>18.7</v>
      </c>
      <c r="S20" s="53">
        <v>83</v>
      </c>
      <c r="T20" s="16">
        <f t="shared" si="1"/>
        <v>39</v>
      </c>
      <c r="U20" s="53">
        <v>398</v>
      </c>
      <c r="V20" s="129">
        <f t="shared" si="2"/>
        <v>3104.3999999999996</v>
      </c>
      <c r="W20" s="53">
        <v>12</v>
      </c>
      <c r="X20" s="127" t="s">
        <v>46</v>
      </c>
      <c r="Y20" s="53" t="s">
        <v>97</v>
      </c>
      <c r="Z20" s="53" t="s">
        <v>86</v>
      </c>
      <c r="AA20" s="53" t="s">
        <v>308</v>
      </c>
      <c r="AB20" s="127" t="s">
        <v>258</v>
      </c>
      <c r="AC20" s="34"/>
      <c r="AE20" s="22"/>
      <c r="AP20" s="27" t="s">
        <v>113</v>
      </c>
      <c r="AR20" s="23" t="s">
        <v>105</v>
      </c>
      <c r="AV20" s="135" t="s">
        <v>310</v>
      </c>
    </row>
    <row r="21" spans="1:48" x14ac:dyDescent="0.15">
      <c r="A21" s="127" t="s">
        <v>61</v>
      </c>
      <c r="B21" s="127" t="s">
        <v>232</v>
      </c>
      <c r="C21" s="127">
        <v>2019</v>
      </c>
      <c r="D21" s="128" t="s">
        <v>183</v>
      </c>
      <c r="E21" s="127" t="s">
        <v>290</v>
      </c>
      <c r="F21" s="127" t="s">
        <v>291</v>
      </c>
      <c r="G21" s="127" t="s">
        <v>42</v>
      </c>
      <c r="H21" s="53" t="s">
        <v>164</v>
      </c>
      <c r="I21" s="53" t="s">
        <v>159</v>
      </c>
      <c r="J21" s="127" t="s">
        <v>38</v>
      </c>
      <c r="K21" s="53" t="s">
        <v>161</v>
      </c>
      <c r="L21" s="53">
        <v>2</v>
      </c>
      <c r="N21" s="53">
        <v>5</v>
      </c>
      <c r="O21" s="53">
        <v>0.6</v>
      </c>
      <c r="P21" s="53">
        <v>0.65</v>
      </c>
      <c r="Q21" s="75">
        <f t="shared" si="0"/>
        <v>0.625</v>
      </c>
      <c r="R21" s="53">
        <v>17.600000000000001</v>
      </c>
      <c r="S21" s="53">
        <v>82</v>
      </c>
      <c r="T21" s="16">
        <f t="shared" si="1"/>
        <v>39</v>
      </c>
      <c r="U21" s="53">
        <v>398</v>
      </c>
      <c r="V21" s="129">
        <f t="shared" si="2"/>
        <v>3104.3999999999996</v>
      </c>
      <c r="W21" s="53">
        <v>12</v>
      </c>
      <c r="X21" s="127" t="s">
        <v>46</v>
      </c>
      <c r="Y21" s="53" t="s">
        <v>97</v>
      </c>
      <c r="Z21" s="53" t="s">
        <v>86</v>
      </c>
      <c r="AA21" s="53" t="s">
        <v>308</v>
      </c>
      <c r="AB21" s="127" t="s">
        <v>258</v>
      </c>
      <c r="AC21" s="34"/>
      <c r="AE21" s="22"/>
      <c r="AP21" s="27" t="s">
        <v>114</v>
      </c>
      <c r="AR21" s="23" t="s">
        <v>68</v>
      </c>
      <c r="AV21" s="135" t="s">
        <v>311</v>
      </c>
    </row>
    <row r="22" spans="1:48" x14ac:dyDescent="0.15">
      <c r="A22" s="127" t="s">
        <v>61</v>
      </c>
      <c r="B22" s="127" t="s">
        <v>232</v>
      </c>
      <c r="C22" s="127">
        <v>2019</v>
      </c>
      <c r="D22" s="128" t="s">
        <v>183</v>
      </c>
      <c r="E22" s="127" t="s">
        <v>290</v>
      </c>
      <c r="F22" s="127" t="s">
        <v>291</v>
      </c>
      <c r="G22" s="127" t="s">
        <v>42</v>
      </c>
      <c r="H22" s="53" t="s">
        <v>164</v>
      </c>
      <c r="I22" s="53" t="s">
        <v>159</v>
      </c>
      <c r="J22" s="127" t="s">
        <v>38</v>
      </c>
      <c r="K22" s="53" t="s">
        <v>161</v>
      </c>
      <c r="L22" s="53">
        <v>3</v>
      </c>
      <c r="N22" s="53">
        <v>5</v>
      </c>
      <c r="O22" s="53">
        <v>0.65</v>
      </c>
      <c r="P22" s="53">
        <v>0.65</v>
      </c>
      <c r="Q22" s="75">
        <f t="shared" si="0"/>
        <v>0.65</v>
      </c>
      <c r="R22" s="53">
        <v>17.7</v>
      </c>
      <c r="S22" s="53">
        <v>80</v>
      </c>
      <c r="T22" s="16">
        <f t="shared" si="1"/>
        <v>39</v>
      </c>
      <c r="U22" s="53">
        <v>398</v>
      </c>
      <c r="V22" s="129">
        <f t="shared" si="2"/>
        <v>3104.3999999999996</v>
      </c>
      <c r="W22" s="53">
        <v>12</v>
      </c>
      <c r="X22" s="127" t="s">
        <v>46</v>
      </c>
      <c r="Y22" s="53" t="s">
        <v>97</v>
      </c>
      <c r="Z22" s="53" t="s">
        <v>86</v>
      </c>
      <c r="AA22" s="53" t="s">
        <v>308</v>
      </c>
      <c r="AB22" s="127" t="s">
        <v>258</v>
      </c>
      <c r="AC22" s="34"/>
      <c r="AE22" s="35"/>
      <c r="AP22" s="27" t="s">
        <v>115</v>
      </c>
      <c r="AR22" s="23" t="s">
        <v>83</v>
      </c>
      <c r="AV22" s="23"/>
    </row>
    <row r="23" spans="1:48" x14ac:dyDescent="0.15">
      <c r="A23" s="127" t="s">
        <v>61</v>
      </c>
      <c r="B23" s="127" t="s">
        <v>232</v>
      </c>
      <c r="C23" s="127">
        <v>2019</v>
      </c>
      <c r="D23" s="128" t="s">
        <v>183</v>
      </c>
      <c r="E23" s="127" t="s">
        <v>290</v>
      </c>
      <c r="F23" s="127" t="s">
        <v>291</v>
      </c>
      <c r="G23" s="127" t="s">
        <v>42</v>
      </c>
      <c r="H23" s="53" t="s">
        <v>160</v>
      </c>
      <c r="I23" s="53" t="s">
        <v>159</v>
      </c>
      <c r="J23" s="127" t="s">
        <v>38</v>
      </c>
      <c r="K23" s="53" t="s">
        <v>161</v>
      </c>
      <c r="L23" s="53">
        <v>1</v>
      </c>
      <c r="N23" s="53">
        <v>4</v>
      </c>
      <c r="O23" s="53">
        <v>0.55000000000000004</v>
      </c>
      <c r="P23" s="53">
        <v>0.65</v>
      </c>
      <c r="Q23" s="75">
        <f t="shared" si="0"/>
        <v>0.60000000000000009</v>
      </c>
      <c r="R23" s="53">
        <v>18.100000000000001</v>
      </c>
      <c r="S23" s="53">
        <v>95</v>
      </c>
      <c r="T23" s="16">
        <f t="shared" si="1"/>
        <v>36</v>
      </c>
      <c r="U23" s="53">
        <v>398</v>
      </c>
      <c r="V23" s="129">
        <f t="shared" si="2"/>
        <v>3582</v>
      </c>
      <c r="W23" s="53">
        <v>12</v>
      </c>
      <c r="X23" s="127" t="s">
        <v>46</v>
      </c>
      <c r="Y23" s="53" t="s">
        <v>97</v>
      </c>
      <c r="Z23" s="53" t="s">
        <v>86</v>
      </c>
      <c r="AA23" s="53" t="s">
        <v>308</v>
      </c>
      <c r="AB23" s="127" t="s">
        <v>258</v>
      </c>
      <c r="AC23" s="34"/>
      <c r="AE23" s="22"/>
      <c r="AP23" s="27" t="s">
        <v>137</v>
      </c>
      <c r="AR23" s="23" t="s">
        <v>61</v>
      </c>
    </row>
    <row r="24" spans="1:48" x14ac:dyDescent="0.15">
      <c r="A24" s="127" t="s">
        <v>61</v>
      </c>
      <c r="B24" s="127" t="s">
        <v>232</v>
      </c>
      <c r="C24" s="127">
        <v>2019</v>
      </c>
      <c r="D24" s="128" t="s">
        <v>183</v>
      </c>
      <c r="E24" s="127" t="s">
        <v>290</v>
      </c>
      <c r="F24" s="127" t="s">
        <v>291</v>
      </c>
      <c r="G24" s="127" t="s">
        <v>42</v>
      </c>
      <c r="H24" s="53" t="s">
        <v>160</v>
      </c>
      <c r="I24" s="53" t="s">
        <v>159</v>
      </c>
      <c r="J24" s="127" t="s">
        <v>38</v>
      </c>
      <c r="K24" s="53" t="s">
        <v>161</v>
      </c>
      <c r="L24" s="53">
        <v>2</v>
      </c>
      <c r="N24" s="53">
        <v>4</v>
      </c>
      <c r="O24" s="53">
        <v>0.75</v>
      </c>
      <c r="P24" s="53">
        <v>0.65</v>
      </c>
      <c r="Q24" s="75">
        <f t="shared" si="0"/>
        <v>0.7</v>
      </c>
      <c r="R24" s="53">
        <v>19</v>
      </c>
      <c r="S24" s="53">
        <v>95</v>
      </c>
      <c r="T24" s="16">
        <f t="shared" si="1"/>
        <v>36</v>
      </c>
      <c r="U24" s="53">
        <v>398</v>
      </c>
      <c r="V24" s="129">
        <f t="shared" si="2"/>
        <v>3582</v>
      </c>
      <c r="W24" s="53">
        <v>12</v>
      </c>
      <c r="X24" s="127" t="s">
        <v>46</v>
      </c>
      <c r="Y24" s="53" t="s">
        <v>97</v>
      </c>
      <c r="Z24" s="53" t="s">
        <v>86</v>
      </c>
      <c r="AA24" s="53" t="s">
        <v>308</v>
      </c>
      <c r="AB24" s="127" t="s">
        <v>258</v>
      </c>
      <c r="AC24" s="34"/>
      <c r="AE24" s="22"/>
      <c r="AP24" s="27" t="s">
        <v>138</v>
      </c>
      <c r="AR24" s="23" t="s">
        <v>91</v>
      </c>
    </row>
    <row r="25" spans="1:48" x14ac:dyDescent="0.15">
      <c r="A25" s="127" t="s">
        <v>61</v>
      </c>
      <c r="B25" s="127" t="s">
        <v>232</v>
      </c>
      <c r="C25" s="127">
        <v>2019</v>
      </c>
      <c r="D25" s="128" t="s">
        <v>183</v>
      </c>
      <c r="E25" s="127" t="s">
        <v>290</v>
      </c>
      <c r="F25" s="127" t="s">
        <v>291</v>
      </c>
      <c r="G25" s="127" t="s">
        <v>42</v>
      </c>
      <c r="H25" s="53" t="s">
        <v>160</v>
      </c>
      <c r="I25" s="53" t="s">
        <v>159</v>
      </c>
      <c r="J25" s="127" t="s">
        <v>38</v>
      </c>
      <c r="K25" s="53" t="s">
        <v>161</v>
      </c>
      <c r="L25" s="53">
        <v>3</v>
      </c>
      <c r="N25" s="53">
        <v>4</v>
      </c>
      <c r="O25" s="34">
        <v>0.5</v>
      </c>
      <c r="P25" s="53">
        <v>0.6</v>
      </c>
      <c r="Q25" s="75">
        <f t="shared" si="0"/>
        <v>0.55000000000000004</v>
      </c>
      <c r="R25" s="53">
        <v>18.100000000000001</v>
      </c>
      <c r="S25" s="53">
        <v>103</v>
      </c>
      <c r="T25" s="16">
        <f t="shared" si="1"/>
        <v>33</v>
      </c>
      <c r="U25" s="53">
        <v>398</v>
      </c>
      <c r="V25" s="129">
        <f t="shared" si="2"/>
        <v>3283.5</v>
      </c>
      <c r="W25" s="53">
        <v>12</v>
      </c>
      <c r="X25" s="127" t="s">
        <v>46</v>
      </c>
      <c r="Y25" s="53" t="s">
        <v>97</v>
      </c>
      <c r="Z25" s="53" t="s">
        <v>86</v>
      </c>
      <c r="AA25" s="53" t="s">
        <v>308</v>
      </c>
      <c r="AB25" s="127" t="s">
        <v>258</v>
      </c>
      <c r="AC25" s="34"/>
      <c r="AE25" s="35"/>
      <c r="AP25" s="27" t="s">
        <v>116</v>
      </c>
      <c r="AR25" s="27" t="s">
        <v>92</v>
      </c>
    </row>
    <row r="26" spans="1:48" x14ac:dyDescent="0.15">
      <c r="A26" s="127" t="s">
        <v>61</v>
      </c>
      <c r="B26" s="127" t="s">
        <v>232</v>
      </c>
      <c r="C26" s="127">
        <v>2019</v>
      </c>
      <c r="D26" s="128" t="s">
        <v>183</v>
      </c>
      <c r="E26" s="127" t="s">
        <v>292</v>
      </c>
      <c r="F26" s="127" t="s">
        <v>293</v>
      </c>
      <c r="G26" s="127" t="s">
        <v>42</v>
      </c>
      <c r="H26" s="53" t="s">
        <v>164</v>
      </c>
      <c r="I26" s="53" t="s">
        <v>198</v>
      </c>
      <c r="J26" s="127" t="s">
        <v>38</v>
      </c>
      <c r="K26" s="53" t="s">
        <v>161</v>
      </c>
      <c r="L26" s="53">
        <v>1</v>
      </c>
      <c r="N26" s="53">
        <v>1</v>
      </c>
      <c r="O26" s="34">
        <v>0.65</v>
      </c>
      <c r="P26" s="53">
        <v>0.55000000000000004</v>
      </c>
      <c r="Q26" s="75">
        <f t="shared" si="0"/>
        <v>0.60000000000000009</v>
      </c>
      <c r="R26" s="53">
        <v>16.899999999999999</v>
      </c>
      <c r="S26" s="53">
        <v>129</v>
      </c>
      <c r="T26" s="16">
        <f t="shared" si="1"/>
        <v>25</v>
      </c>
      <c r="U26" s="53">
        <v>100</v>
      </c>
      <c r="V26" s="129">
        <f t="shared" si="2"/>
        <v>2500</v>
      </c>
      <c r="W26" s="53">
        <v>10</v>
      </c>
      <c r="X26" s="127" t="s">
        <v>46</v>
      </c>
      <c r="Y26" s="53" t="s">
        <v>69</v>
      </c>
      <c r="Z26" s="53" t="s">
        <v>97</v>
      </c>
      <c r="AA26" s="53" t="s">
        <v>88</v>
      </c>
      <c r="AB26" s="127" t="s">
        <v>258</v>
      </c>
      <c r="AC26" s="34"/>
      <c r="AD26" s="34"/>
      <c r="AE26" s="35"/>
      <c r="AP26" s="27" t="s">
        <v>117</v>
      </c>
      <c r="AR26" s="23" t="s">
        <v>153</v>
      </c>
    </row>
    <row r="27" spans="1:48" x14ac:dyDescent="0.15">
      <c r="A27" s="127" t="s">
        <v>61</v>
      </c>
      <c r="B27" s="127" t="s">
        <v>232</v>
      </c>
      <c r="C27" s="127">
        <v>2019</v>
      </c>
      <c r="D27" s="128" t="s">
        <v>183</v>
      </c>
      <c r="E27" s="127" t="s">
        <v>292</v>
      </c>
      <c r="F27" s="127" t="s">
        <v>293</v>
      </c>
      <c r="G27" s="127" t="s">
        <v>42</v>
      </c>
      <c r="H27" s="53" t="s">
        <v>164</v>
      </c>
      <c r="I27" s="53" t="s">
        <v>198</v>
      </c>
      <c r="J27" s="127" t="s">
        <v>38</v>
      </c>
      <c r="K27" s="53" t="s">
        <v>161</v>
      </c>
      <c r="L27" s="53">
        <v>2</v>
      </c>
      <c r="N27" s="53">
        <v>1</v>
      </c>
      <c r="O27" s="34">
        <v>0.75</v>
      </c>
      <c r="P27" s="53">
        <v>0.85</v>
      </c>
      <c r="Q27" s="75">
        <f t="shared" si="0"/>
        <v>0.8</v>
      </c>
      <c r="R27" s="53">
        <v>17.399999999999999</v>
      </c>
      <c r="S27" s="53">
        <v>125</v>
      </c>
      <c r="T27" s="16">
        <f t="shared" si="1"/>
        <v>27</v>
      </c>
      <c r="U27" s="53">
        <v>100</v>
      </c>
      <c r="V27" s="129">
        <f t="shared" si="2"/>
        <v>2700</v>
      </c>
      <c r="W27" s="53">
        <v>10</v>
      </c>
      <c r="X27" s="127" t="s">
        <v>46</v>
      </c>
      <c r="Y27" s="53" t="s">
        <v>69</v>
      </c>
      <c r="Z27" s="53" t="s">
        <v>97</v>
      </c>
      <c r="AA27" s="53" t="s">
        <v>88</v>
      </c>
      <c r="AB27" s="127" t="s">
        <v>258</v>
      </c>
      <c r="AC27" s="34"/>
      <c r="AD27" s="34"/>
      <c r="AE27" s="28"/>
      <c r="AP27" s="27" t="s">
        <v>118</v>
      </c>
      <c r="AR27" s="23"/>
    </row>
    <row r="28" spans="1:48" x14ac:dyDescent="0.15">
      <c r="A28" s="127" t="s">
        <v>61</v>
      </c>
      <c r="B28" s="127" t="s">
        <v>232</v>
      </c>
      <c r="C28" s="127">
        <v>2019</v>
      </c>
      <c r="D28" s="128" t="s">
        <v>183</v>
      </c>
      <c r="E28" s="127" t="s">
        <v>292</v>
      </c>
      <c r="F28" s="127" t="s">
        <v>293</v>
      </c>
      <c r="G28" s="127" t="s">
        <v>42</v>
      </c>
      <c r="H28" s="53" t="s">
        <v>164</v>
      </c>
      <c r="I28" s="53" t="s">
        <v>198</v>
      </c>
      <c r="J28" s="127" t="s">
        <v>38</v>
      </c>
      <c r="K28" s="53" t="s">
        <v>161</v>
      </c>
      <c r="L28" s="53">
        <v>3</v>
      </c>
      <c r="N28" s="53">
        <v>1</v>
      </c>
      <c r="O28" s="34">
        <v>0.5</v>
      </c>
      <c r="P28" s="53">
        <v>0.75</v>
      </c>
      <c r="Q28" s="75">
        <f t="shared" si="0"/>
        <v>0.625</v>
      </c>
      <c r="R28" s="53">
        <v>17</v>
      </c>
      <c r="S28" s="53">
        <v>129</v>
      </c>
      <c r="T28" s="16">
        <f t="shared" si="1"/>
        <v>25</v>
      </c>
      <c r="U28" s="53">
        <v>100</v>
      </c>
      <c r="V28" s="129">
        <f t="shared" si="2"/>
        <v>2500</v>
      </c>
      <c r="W28" s="53">
        <v>10</v>
      </c>
      <c r="X28" s="127" t="s">
        <v>46</v>
      </c>
      <c r="Y28" s="53" t="s">
        <v>69</v>
      </c>
      <c r="Z28" s="53" t="s">
        <v>97</v>
      </c>
      <c r="AA28" s="53" t="s">
        <v>88</v>
      </c>
      <c r="AB28" s="127" t="s">
        <v>258</v>
      </c>
      <c r="AC28" s="34"/>
      <c r="AD28" s="34"/>
      <c r="AP28" s="27"/>
      <c r="AR28" s="23"/>
    </row>
    <row r="29" spans="1:48" s="53" customFormat="1" x14ac:dyDescent="0.15">
      <c r="A29" s="127" t="s">
        <v>61</v>
      </c>
      <c r="B29" s="127" t="s">
        <v>232</v>
      </c>
      <c r="C29" s="127">
        <v>2019</v>
      </c>
      <c r="D29" s="128" t="s">
        <v>183</v>
      </c>
      <c r="E29" s="127" t="s">
        <v>292</v>
      </c>
      <c r="F29" s="127" t="s">
        <v>293</v>
      </c>
      <c r="G29" s="127" t="s">
        <v>42</v>
      </c>
      <c r="H29" s="53" t="s">
        <v>193</v>
      </c>
      <c r="I29" s="53" t="s">
        <v>159</v>
      </c>
      <c r="J29" s="127" t="s">
        <v>38</v>
      </c>
      <c r="K29" s="53" t="s">
        <v>161</v>
      </c>
      <c r="L29" s="53">
        <v>1</v>
      </c>
      <c r="N29" s="53">
        <v>4</v>
      </c>
      <c r="O29" s="34">
        <v>0.65</v>
      </c>
      <c r="P29" s="53">
        <v>0.5</v>
      </c>
      <c r="Q29" s="75">
        <f t="shared" si="0"/>
        <v>0.57499999999999996</v>
      </c>
      <c r="R29" s="53">
        <v>13.1</v>
      </c>
      <c r="S29" s="53">
        <v>95</v>
      </c>
      <c r="T29" s="16">
        <f t="shared" si="1"/>
        <v>36</v>
      </c>
      <c r="U29" s="53">
        <v>398</v>
      </c>
      <c r="V29" s="129">
        <f t="shared" si="2"/>
        <v>3582</v>
      </c>
      <c r="W29" s="53">
        <v>10</v>
      </c>
      <c r="X29" s="127" t="s">
        <v>46</v>
      </c>
      <c r="Y29" s="53" t="s">
        <v>69</v>
      </c>
      <c r="Z29" s="53" t="s">
        <v>97</v>
      </c>
      <c r="AA29" s="53" t="s">
        <v>88</v>
      </c>
      <c r="AB29" s="127" t="s">
        <v>258</v>
      </c>
      <c r="AC29" s="34"/>
      <c r="AD29" s="34"/>
      <c r="AE29" s="35"/>
      <c r="AP29" s="27" t="s">
        <v>117</v>
      </c>
      <c r="AR29" s="23" t="s">
        <v>153</v>
      </c>
    </row>
    <row r="30" spans="1:48" s="53" customFormat="1" x14ac:dyDescent="0.15">
      <c r="A30" s="127" t="s">
        <v>61</v>
      </c>
      <c r="B30" s="127" t="s">
        <v>232</v>
      </c>
      <c r="C30" s="127">
        <v>2019</v>
      </c>
      <c r="D30" s="128" t="s">
        <v>183</v>
      </c>
      <c r="E30" s="127" t="s">
        <v>292</v>
      </c>
      <c r="F30" s="127" t="s">
        <v>293</v>
      </c>
      <c r="G30" s="127" t="s">
        <v>42</v>
      </c>
      <c r="H30" s="53" t="s">
        <v>193</v>
      </c>
      <c r="I30" s="53" t="s">
        <v>159</v>
      </c>
      <c r="J30" s="127" t="s">
        <v>38</v>
      </c>
      <c r="K30" s="53" t="s">
        <v>161</v>
      </c>
      <c r="L30" s="53">
        <v>2</v>
      </c>
      <c r="N30" s="53">
        <v>4</v>
      </c>
      <c r="O30" s="34">
        <v>0.75</v>
      </c>
      <c r="P30" s="53">
        <v>0.5</v>
      </c>
      <c r="Q30" s="75">
        <f t="shared" si="0"/>
        <v>0.625</v>
      </c>
      <c r="R30" s="53">
        <v>18.3</v>
      </c>
      <c r="S30" s="53">
        <v>94</v>
      </c>
      <c r="T30" s="16">
        <f t="shared" si="1"/>
        <v>36</v>
      </c>
      <c r="U30" s="53">
        <v>398</v>
      </c>
      <c r="V30" s="129">
        <f t="shared" si="2"/>
        <v>3582</v>
      </c>
      <c r="W30" s="53">
        <v>10</v>
      </c>
      <c r="X30" s="127" t="s">
        <v>46</v>
      </c>
      <c r="Y30" s="53" t="s">
        <v>69</v>
      </c>
      <c r="Z30" s="53" t="s">
        <v>97</v>
      </c>
      <c r="AA30" s="53" t="s">
        <v>88</v>
      </c>
      <c r="AB30" s="127" t="s">
        <v>258</v>
      </c>
      <c r="AC30" s="34"/>
      <c r="AD30" s="34"/>
      <c r="AE30" s="28"/>
      <c r="AP30" s="27" t="s">
        <v>118</v>
      </c>
      <c r="AR30" s="23"/>
    </row>
    <row r="31" spans="1:48" s="53" customFormat="1" x14ac:dyDescent="0.15">
      <c r="A31" s="127" t="s">
        <v>61</v>
      </c>
      <c r="B31" s="127" t="s">
        <v>232</v>
      </c>
      <c r="C31" s="127">
        <v>2019</v>
      </c>
      <c r="D31" s="128" t="s">
        <v>183</v>
      </c>
      <c r="E31" s="127" t="s">
        <v>292</v>
      </c>
      <c r="F31" s="127" t="s">
        <v>293</v>
      </c>
      <c r="G31" s="127" t="s">
        <v>42</v>
      </c>
      <c r="H31" s="53" t="s">
        <v>193</v>
      </c>
      <c r="I31" s="53" t="s">
        <v>159</v>
      </c>
      <c r="J31" s="127" t="s">
        <v>38</v>
      </c>
      <c r="K31" s="53" t="s">
        <v>161</v>
      </c>
      <c r="L31" s="53">
        <v>3</v>
      </c>
      <c r="N31" s="53">
        <v>4</v>
      </c>
      <c r="O31" s="34">
        <v>0.85</v>
      </c>
      <c r="P31" s="53">
        <v>0.5</v>
      </c>
      <c r="Q31" s="75">
        <f t="shared" si="0"/>
        <v>0.67500000000000004</v>
      </c>
      <c r="R31" s="53">
        <v>17</v>
      </c>
      <c r="S31" s="53">
        <v>101</v>
      </c>
      <c r="T31" s="16">
        <f t="shared" si="1"/>
        <v>33</v>
      </c>
      <c r="U31" s="53">
        <v>398</v>
      </c>
      <c r="V31" s="129">
        <f t="shared" si="2"/>
        <v>3283.5</v>
      </c>
      <c r="W31" s="53">
        <v>10</v>
      </c>
      <c r="X31" s="127" t="s">
        <v>46</v>
      </c>
      <c r="Y31" s="53" t="s">
        <v>69</v>
      </c>
      <c r="Z31" s="53" t="s">
        <v>97</v>
      </c>
      <c r="AA31" s="53" t="s">
        <v>88</v>
      </c>
      <c r="AB31" s="127" t="s">
        <v>258</v>
      </c>
      <c r="AC31" s="34"/>
      <c r="AD31" s="34"/>
      <c r="AP31" s="27"/>
      <c r="AR31" s="23"/>
    </row>
    <row r="32" spans="1:48" s="53" customFormat="1" x14ac:dyDescent="0.15">
      <c r="A32" s="127" t="s">
        <v>61</v>
      </c>
      <c r="B32" s="127" t="s">
        <v>232</v>
      </c>
      <c r="C32" s="127">
        <v>2019</v>
      </c>
      <c r="D32" s="128" t="s">
        <v>183</v>
      </c>
      <c r="E32" s="127" t="s">
        <v>292</v>
      </c>
      <c r="F32" s="127" t="s">
        <v>293</v>
      </c>
      <c r="G32" s="127" t="s">
        <v>42</v>
      </c>
      <c r="H32" s="53" t="s">
        <v>160</v>
      </c>
      <c r="I32" s="53" t="s">
        <v>159</v>
      </c>
      <c r="J32" s="127" t="s">
        <v>38</v>
      </c>
      <c r="K32" s="53" t="s">
        <v>161</v>
      </c>
      <c r="L32" s="53">
        <v>1</v>
      </c>
      <c r="N32" s="53">
        <v>1</v>
      </c>
      <c r="O32" s="34">
        <v>0.5</v>
      </c>
      <c r="P32" s="53">
        <v>0.75</v>
      </c>
      <c r="Q32" s="75">
        <f t="shared" si="0"/>
        <v>0.625</v>
      </c>
      <c r="R32" s="53">
        <v>18.600000000000001</v>
      </c>
      <c r="S32" s="53">
        <v>127</v>
      </c>
      <c r="T32" s="16">
        <f t="shared" si="1"/>
        <v>27</v>
      </c>
      <c r="U32" s="53">
        <v>128</v>
      </c>
      <c r="V32" s="129">
        <f t="shared" si="2"/>
        <v>3456</v>
      </c>
      <c r="W32" s="53">
        <v>10</v>
      </c>
      <c r="X32" s="127" t="s">
        <v>46</v>
      </c>
      <c r="Y32" s="53" t="s">
        <v>69</v>
      </c>
      <c r="Z32" s="53" t="s">
        <v>97</v>
      </c>
      <c r="AA32" s="53" t="s">
        <v>88</v>
      </c>
      <c r="AB32" s="127" t="s">
        <v>258</v>
      </c>
      <c r="AC32" s="34"/>
    </row>
    <row r="33" spans="1:29" s="53" customFormat="1" x14ac:dyDescent="0.15">
      <c r="A33" s="127" t="s">
        <v>61</v>
      </c>
      <c r="B33" s="127" t="s">
        <v>232</v>
      </c>
      <c r="C33" s="127">
        <v>2019</v>
      </c>
      <c r="D33" s="128" t="s">
        <v>183</v>
      </c>
      <c r="E33" s="127" t="s">
        <v>292</v>
      </c>
      <c r="F33" s="127" t="s">
        <v>293</v>
      </c>
      <c r="G33" s="127" t="s">
        <v>42</v>
      </c>
      <c r="H33" s="53" t="s">
        <v>160</v>
      </c>
      <c r="I33" s="53" t="s">
        <v>159</v>
      </c>
      <c r="J33" s="127" t="s">
        <v>38</v>
      </c>
      <c r="K33" s="53" t="s">
        <v>161</v>
      </c>
      <c r="L33" s="53">
        <v>2</v>
      </c>
      <c r="N33" s="53">
        <v>1</v>
      </c>
      <c r="O33" s="34">
        <v>0.5</v>
      </c>
      <c r="P33" s="53">
        <v>0.85</v>
      </c>
      <c r="Q33" s="75">
        <f t="shared" si="0"/>
        <v>0.67500000000000004</v>
      </c>
      <c r="R33" s="53">
        <v>17.5</v>
      </c>
      <c r="S33" s="53">
        <v>127</v>
      </c>
      <c r="T33" s="16">
        <f t="shared" si="1"/>
        <v>27</v>
      </c>
      <c r="U33" s="53">
        <v>128</v>
      </c>
      <c r="V33" s="129">
        <f t="shared" si="2"/>
        <v>3456</v>
      </c>
      <c r="W33" s="53">
        <v>10</v>
      </c>
      <c r="X33" s="127" t="s">
        <v>46</v>
      </c>
      <c r="Y33" s="53" t="s">
        <v>69</v>
      </c>
      <c r="Z33" s="53" t="s">
        <v>97</v>
      </c>
      <c r="AA33" s="53" t="s">
        <v>88</v>
      </c>
      <c r="AB33" s="127" t="s">
        <v>258</v>
      </c>
      <c r="AC33" s="34"/>
    </row>
    <row r="34" spans="1:29" s="53" customFormat="1" x14ac:dyDescent="0.15">
      <c r="A34" s="127" t="s">
        <v>61</v>
      </c>
      <c r="B34" s="127" t="s">
        <v>232</v>
      </c>
      <c r="C34" s="127">
        <v>2019</v>
      </c>
      <c r="D34" s="128" t="s">
        <v>183</v>
      </c>
      <c r="E34" s="127" t="s">
        <v>292</v>
      </c>
      <c r="F34" s="127" t="s">
        <v>293</v>
      </c>
      <c r="G34" s="127" t="s">
        <v>42</v>
      </c>
      <c r="H34" s="53" t="s">
        <v>160</v>
      </c>
      <c r="I34" s="53" t="s">
        <v>159</v>
      </c>
      <c r="J34" s="127" t="s">
        <v>38</v>
      </c>
      <c r="K34" s="53" t="s">
        <v>161</v>
      </c>
      <c r="L34" s="53">
        <v>3</v>
      </c>
      <c r="N34" s="53">
        <v>1</v>
      </c>
      <c r="O34" s="34">
        <v>0.5</v>
      </c>
      <c r="P34" s="53">
        <v>0.75</v>
      </c>
      <c r="Q34" s="75">
        <f t="shared" si="0"/>
        <v>0.625</v>
      </c>
      <c r="R34" s="53">
        <v>18.3</v>
      </c>
      <c r="S34" s="53">
        <v>126</v>
      </c>
      <c r="T34" s="16">
        <f t="shared" si="1"/>
        <v>27</v>
      </c>
      <c r="U34" s="53">
        <v>128</v>
      </c>
      <c r="V34" s="129">
        <f t="shared" si="2"/>
        <v>3456</v>
      </c>
      <c r="W34" s="53">
        <v>10</v>
      </c>
      <c r="X34" s="127" t="s">
        <v>46</v>
      </c>
      <c r="Y34" s="53" t="s">
        <v>69</v>
      </c>
      <c r="Z34" s="53" t="s">
        <v>97</v>
      </c>
      <c r="AA34" s="53" t="s">
        <v>88</v>
      </c>
      <c r="AB34" s="127" t="s">
        <v>258</v>
      </c>
      <c r="AC34" s="34"/>
    </row>
    <row r="35" spans="1:29" s="53" customFormat="1" x14ac:dyDescent="0.15">
      <c r="A35" s="127" t="s">
        <v>61</v>
      </c>
      <c r="B35" s="127" t="s">
        <v>232</v>
      </c>
      <c r="C35" s="127">
        <v>2019</v>
      </c>
      <c r="D35" s="128" t="s">
        <v>183</v>
      </c>
      <c r="E35" s="127" t="s">
        <v>292</v>
      </c>
      <c r="F35" s="127" t="s">
        <v>293</v>
      </c>
      <c r="G35" s="127" t="s">
        <v>42</v>
      </c>
      <c r="H35" s="53" t="s">
        <v>160</v>
      </c>
      <c r="I35" s="53" t="s">
        <v>198</v>
      </c>
      <c r="J35" s="127" t="s">
        <v>38</v>
      </c>
      <c r="K35" s="53" t="s">
        <v>161</v>
      </c>
      <c r="L35" s="53">
        <v>1</v>
      </c>
      <c r="N35" s="53">
        <v>1</v>
      </c>
      <c r="O35" s="34">
        <v>0.75</v>
      </c>
      <c r="P35" s="53">
        <v>0.7</v>
      </c>
      <c r="Q35" s="75">
        <f t="shared" si="0"/>
        <v>0.72499999999999998</v>
      </c>
      <c r="R35" s="53">
        <v>18</v>
      </c>
      <c r="S35" s="53">
        <v>120</v>
      </c>
      <c r="T35" s="16">
        <f t="shared" si="1"/>
        <v>30</v>
      </c>
      <c r="U35" s="53">
        <v>128</v>
      </c>
      <c r="V35" s="129">
        <f t="shared" si="2"/>
        <v>3840</v>
      </c>
      <c r="W35" s="53">
        <v>10</v>
      </c>
      <c r="X35" s="127" t="s">
        <v>46</v>
      </c>
      <c r="Y35" s="53" t="s">
        <v>69</v>
      </c>
      <c r="Z35" s="53" t="s">
        <v>97</v>
      </c>
      <c r="AA35" s="53" t="s">
        <v>88</v>
      </c>
      <c r="AB35" s="127" t="s">
        <v>258</v>
      </c>
      <c r="AC35" s="34"/>
    </row>
    <row r="36" spans="1:29" s="53" customFormat="1" x14ac:dyDescent="0.15">
      <c r="A36" s="127" t="s">
        <v>61</v>
      </c>
      <c r="B36" s="127" t="s">
        <v>232</v>
      </c>
      <c r="C36" s="127">
        <v>2019</v>
      </c>
      <c r="D36" s="128" t="s">
        <v>183</v>
      </c>
      <c r="E36" s="127" t="s">
        <v>292</v>
      </c>
      <c r="F36" s="127" t="s">
        <v>293</v>
      </c>
      <c r="G36" s="127" t="s">
        <v>42</v>
      </c>
      <c r="H36" s="53" t="s">
        <v>160</v>
      </c>
      <c r="I36" s="53" t="s">
        <v>198</v>
      </c>
      <c r="J36" s="127" t="s">
        <v>38</v>
      </c>
      <c r="K36" s="53" t="s">
        <v>161</v>
      </c>
      <c r="L36" s="53">
        <v>2</v>
      </c>
      <c r="N36" s="53">
        <v>1</v>
      </c>
      <c r="O36" s="34">
        <v>0.8</v>
      </c>
      <c r="P36" s="53">
        <v>0.75</v>
      </c>
      <c r="Q36" s="75">
        <f t="shared" si="0"/>
        <v>0.77500000000000002</v>
      </c>
      <c r="R36" s="53">
        <v>18.5</v>
      </c>
      <c r="S36" s="53">
        <v>121</v>
      </c>
      <c r="T36" s="16">
        <f t="shared" si="1"/>
        <v>27</v>
      </c>
      <c r="U36" s="53">
        <v>128</v>
      </c>
      <c r="V36" s="129">
        <f t="shared" si="2"/>
        <v>3456</v>
      </c>
      <c r="W36" s="53">
        <v>10</v>
      </c>
      <c r="X36" s="127" t="s">
        <v>46</v>
      </c>
      <c r="Y36" s="53" t="s">
        <v>69</v>
      </c>
      <c r="Z36" s="53" t="s">
        <v>97</v>
      </c>
      <c r="AA36" s="53" t="s">
        <v>88</v>
      </c>
      <c r="AB36" s="127" t="s">
        <v>258</v>
      </c>
      <c r="AC36" s="34"/>
    </row>
    <row r="37" spans="1:29" s="53" customFormat="1" x14ac:dyDescent="0.15">
      <c r="A37" s="127" t="s">
        <v>61</v>
      </c>
      <c r="B37" s="127" t="s">
        <v>232</v>
      </c>
      <c r="C37" s="127">
        <v>2019</v>
      </c>
      <c r="D37" s="128" t="s">
        <v>183</v>
      </c>
      <c r="E37" s="127" t="s">
        <v>292</v>
      </c>
      <c r="F37" s="127" t="s">
        <v>293</v>
      </c>
      <c r="G37" s="127" t="s">
        <v>42</v>
      </c>
      <c r="H37" s="53" t="s">
        <v>160</v>
      </c>
      <c r="I37" s="53" t="s">
        <v>198</v>
      </c>
      <c r="J37" s="127" t="s">
        <v>38</v>
      </c>
      <c r="K37" s="53" t="s">
        <v>161</v>
      </c>
      <c r="L37" s="53">
        <v>3</v>
      </c>
      <c r="N37" s="53">
        <v>1</v>
      </c>
      <c r="O37" s="34">
        <v>0.75</v>
      </c>
      <c r="P37" s="53">
        <v>0.7</v>
      </c>
      <c r="Q37" s="75">
        <f t="shared" si="0"/>
        <v>0.72499999999999998</v>
      </c>
      <c r="R37" s="53">
        <v>17.5</v>
      </c>
      <c r="S37" s="53">
        <v>120</v>
      </c>
      <c r="T37" s="16">
        <f t="shared" si="1"/>
        <v>30</v>
      </c>
      <c r="U37" s="53">
        <v>128</v>
      </c>
      <c r="V37" s="129">
        <f t="shared" si="2"/>
        <v>3840</v>
      </c>
      <c r="W37" s="53">
        <v>10</v>
      </c>
      <c r="X37" s="127" t="s">
        <v>46</v>
      </c>
      <c r="Y37" s="53" t="s">
        <v>69</v>
      </c>
      <c r="Z37" s="53" t="s">
        <v>97</v>
      </c>
      <c r="AA37" s="53" t="s">
        <v>88</v>
      </c>
      <c r="AB37" s="127" t="s">
        <v>258</v>
      </c>
      <c r="AC37" s="34"/>
    </row>
    <row r="38" spans="1:29" x14ac:dyDescent="0.15">
      <c r="A38" s="127" t="s">
        <v>61</v>
      </c>
      <c r="B38" s="127" t="s">
        <v>232</v>
      </c>
      <c r="C38" s="127">
        <v>2019</v>
      </c>
      <c r="D38" s="128" t="s">
        <v>183</v>
      </c>
      <c r="E38" s="127" t="s">
        <v>294</v>
      </c>
      <c r="F38" s="127" t="s">
        <v>295</v>
      </c>
      <c r="G38" s="127" t="s">
        <v>42</v>
      </c>
      <c r="H38" s="53" t="s">
        <v>164</v>
      </c>
      <c r="I38" s="53" t="s">
        <v>159</v>
      </c>
      <c r="J38" s="127" t="s">
        <v>38</v>
      </c>
      <c r="K38" s="53" t="s">
        <v>161</v>
      </c>
      <c r="L38" s="53">
        <v>1</v>
      </c>
      <c r="N38" s="53">
        <v>1</v>
      </c>
      <c r="O38" s="34">
        <v>0.5</v>
      </c>
      <c r="P38" s="53">
        <v>0.5</v>
      </c>
      <c r="Q38" s="75">
        <f t="shared" si="0"/>
        <v>0.5</v>
      </c>
      <c r="R38" s="53">
        <v>17.600000000000001</v>
      </c>
      <c r="S38" s="53">
        <v>102</v>
      </c>
      <c r="T38" s="16">
        <f t="shared" si="1"/>
        <v>33</v>
      </c>
      <c r="U38" s="53">
        <v>98</v>
      </c>
      <c r="V38" s="129">
        <f t="shared" si="2"/>
        <v>3234</v>
      </c>
      <c r="W38" s="53">
        <v>12</v>
      </c>
      <c r="X38" s="127" t="s">
        <v>46</v>
      </c>
      <c r="Y38" s="53" t="s">
        <v>69</v>
      </c>
      <c r="Z38" s="53" t="s">
        <v>55</v>
      </c>
      <c r="AA38" s="53" t="s">
        <v>90</v>
      </c>
      <c r="AB38" s="127" t="s">
        <v>258</v>
      </c>
      <c r="AC38" s="34"/>
    </row>
    <row r="39" spans="1:29" x14ac:dyDescent="0.15">
      <c r="A39" s="127" t="s">
        <v>61</v>
      </c>
      <c r="B39" s="127" t="s">
        <v>232</v>
      </c>
      <c r="C39" s="127">
        <v>2019</v>
      </c>
      <c r="D39" s="128" t="s">
        <v>183</v>
      </c>
      <c r="E39" s="127" t="s">
        <v>294</v>
      </c>
      <c r="F39" s="127" t="s">
        <v>295</v>
      </c>
      <c r="G39" s="127" t="s">
        <v>42</v>
      </c>
      <c r="H39" s="53" t="s">
        <v>164</v>
      </c>
      <c r="I39" s="53" t="s">
        <v>159</v>
      </c>
      <c r="J39" s="127" t="s">
        <v>38</v>
      </c>
      <c r="K39" s="53" t="s">
        <v>161</v>
      </c>
      <c r="L39" s="53">
        <v>2</v>
      </c>
      <c r="N39" s="53">
        <v>1</v>
      </c>
      <c r="O39" s="34">
        <v>0.75</v>
      </c>
      <c r="P39" s="53">
        <v>0.75</v>
      </c>
      <c r="Q39" s="75">
        <f t="shared" si="0"/>
        <v>0.75</v>
      </c>
      <c r="R39" s="53">
        <v>15.6</v>
      </c>
      <c r="S39" s="53">
        <v>102</v>
      </c>
      <c r="T39" s="16">
        <f t="shared" si="1"/>
        <v>33</v>
      </c>
      <c r="U39" s="53">
        <v>98</v>
      </c>
      <c r="V39" s="129">
        <f t="shared" si="2"/>
        <v>3234</v>
      </c>
      <c r="W39" s="53">
        <v>12</v>
      </c>
      <c r="X39" s="127" t="s">
        <v>46</v>
      </c>
      <c r="Y39" s="53" t="s">
        <v>69</v>
      </c>
      <c r="Z39" s="53" t="s">
        <v>55</v>
      </c>
      <c r="AA39" s="53" t="s">
        <v>90</v>
      </c>
      <c r="AB39" s="127" t="s">
        <v>258</v>
      </c>
      <c r="AC39" s="34"/>
    </row>
    <row r="40" spans="1:29" x14ac:dyDescent="0.15">
      <c r="A40" s="127" t="s">
        <v>61</v>
      </c>
      <c r="B40" s="127" t="s">
        <v>232</v>
      </c>
      <c r="C40" s="127">
        <v>2019</v>
      </c>
      <c r="D40" s="128" t="s">
        <v>183</v>
      </c>
      <c r="E40" s="127" t="s">
        <v>294</v>
      </c>
      <c r="F40" s="127" t="s">
        <v>295</v>
      </c>
      <c r="G40" s="127" t="s">
        <v>42</v>
      </c>
      <c r="H40" s="53" t="s">
        <v>164</v>
      </c>
      <c r="I40" s="53" t="s">
        <v>159</v>
      </c>
      <c r="J40" s="127" t="s">
        <v>38</v>
      </c>
      <c r="K40" s="53" t="s">
        <v>161</v>
      </c>
      <c r="L40" s="53">
        <v>3</v>
      </c>
      <c r="N40" s="53">
        <v>1</v>
      </c>
      <c r="O40" s="34">
        <v>0.55000000000000004</v>
      </c>
      <c r="P40" s="53">
        <v>0.75</v>
      </c>
      <c r="Q40" s="75">
        <f t="shared" si="0"/>
        <v>0.65</v>
      </c>
      <c r="R40" s="53">
        <v>13.7</v>
      </c>
      <c r="S40" s="53">
        <v>106</v>
      </c>
      <c r="T40" s="16">
        <f t="shared" si="1"/>
        <v>33</v>
      </c>
      <c r="U40" s="53">
        <v>98</v>
      </c>
      <c r="V40" s="129">
        <f t="shared" si="2"/>
        <v>3234</v>
      </c>
      <c r="W40" s="53">
        <v>12</v>
      </c>
      <c r="X40" s="127" t="s">
        <v>46</v>
      </c>
      <c r="Y40" s="53" t="s">
        <v>69</v>
      </c>
      <c r="Z40" s="53" t="s">
        <v>55</v>
      </c>
      <c r="AA40" s="53" t="s">
        <v>90</v>
      </c>
      <c r="AB40" s="127" t="s">
        <v>258</v>
      </c>
      <c r="AC40" s="34"/>
    </row>
    <row r="41" spans="1:29" s="53" customFormat="1" x14ac:dyDescent="0.15">
      <c r="A41" s="127" t="s">
        <v>61</v>
      </c>
      <c r="B41" s="127" t="s">
        <v>232</v>
      </c>
      <c r="C41" s="127">
        <v>2019</v>
      </c>
      <c r="D41" s="128" t="s">
        <v>183</v>
      </c>
      <c r="E41" s="127" t="s">
        <v>294</v>
      </c>
      <c r="F41" s="127" t="s">
        <v>295</v>
      </c>
      <c r="G41" s="127" t="s">
        <v>42</v>
      </c>
      <c r="H41" s="53" t="s">
        <v>160</v>
      </c>
      <c r="I41" s="53" t="s">
        <v>159</v>
      </c>
      <c r="J41" s="127" t="s">
        <v>38</v>
      </c>
      <c r="K41" s="53" t="s">
        <v>161</v>
      </c>
      <c r="L41" s="53">
        <v>1</v>
      </c>
      <c r="N41" s="53">
        <v>1</v>
      </c>
      <c r="O41" s="34">
        <v>0.5</v>
      </c>
      <c r="P41" s="53">
        <v>0.6</v>
      </c>
      <c r="Q41" s="75">
        <f t="shared" si="0"/>
        <v>0.55000000000000004</v>
      </c>
      <c r="R41" s="53">
        <v>18.5</v>
      </c>
      <c r="S41" s="53">
        <v>144</v>
      </c>
      <c r="T41" s="16">
        <f t="shared" si="1"/>
        <v>22</v>
      </c>
      <c r="U41" s="53">
        <v>128</v>
      </c>
      <c r="V41" s="129">
        <f t="shared" si="2"/>
        <v>2816</v>
      </c>
      <c r="W41" s="53">
        <v>12</v>
      </c>
      <c r="X41" s="127" t="s">
        <v>46</v>
      </c>
      <c r="Y41" s="53" t="s">
        <v>69</v>
      </c>
      <c r="Z41" s="53" t="s">
        <v>55</v>
      </c>
      <c r="AA41" s="53" t="s">
        <v>90</v>
      </c>
      <c r="AB41" s="127" t="s">
        <v>258</v>
      </c>
      <c r="AC41" s="34"/>
    </row>
    <row r="42" spans="1:29" s="53" customFormat="1" x14ac:dyDescent="0.15">
      <c r="A42" s="127" t="s">
        <v>61</v>
      </c>
      <c r="B42" s="127" t="s">
        <v>232</v>
      </c>
      <c r="C42" s="127">
        <v>2019</v>
      </c>
      <c r="D42" s="128" t="s">
        <v>183</v>
      </c>
      <c r="E42" s="127" t="s">
        <v>294</v>
      </c>
      <c r="F42" s="127" t="s">
        <v>295</v>
      </c>
      <c r="G42" s="127" t="s">
        <v>42</v>
      </c>
      <c r="H42" s="53" t="s">
        <v>160</v>
      </c>
      <c r="I42" s="53" t="s">
        <v>159</v>
      </c>
      <c r="J42" s="127" t="s">
        <v>38</v>
      </c>
      <c r="K42" s="53" t="s">
        <v>161</v>
      </c>
      <c r="L42" s="53">
        <v>2</v>
      </c>
      <c r="N42" s="53">
        <v>1</v>
      </c>
      <c r="O42" s="34">
        <v>0.5</v>
      </c>
      <c r="P42" s="53">
        <v>0.5</v>
      </c>
      <c r="Q42" s="75">
        <f t="shared" si="0"/>
        <v>0.5</v>
      </c>
      <c r="R42" s="53">
        <v>17.899999999999999</v>
      </c>
      <c r="S42" s="53">
        <v>145</v>
      </c>
      <c r="T42" s="16">
        <f t="shared" si="1"/>
        <v>22</v>
      </c>
      <c r="U42" s="53">
        <v>128</v>
      </c>
      <c r="V42" s="129">
        <f t="shared" si="2"/>
        <v>2816</v>
      </c>
      <c r="W42" s="53">
        <v>12</v>
      </c>
      <c r="X42" s="127" t="s">
        <v>46</v>
      </c>
      <c r="Y42" s="53" t="s">
        <v>69</v>
      </c>
      <c r="Z42" s="53" t="s">
        <v>55</v>
      </c>
      <c r="AA42" s="53" t="s">
        <v>90</v>
      </c>
      <c r="AB42" s="127" t="s">
        <v>258</v>
      </c>
      <c r="AC42" s="34"/>
    </row>
    <row r="43" spans="1:29" s="53" customFormat="1" x14ac:dyDescent="0.15">
      <c r="A43" s="127" t="s">
        <v>61</v>
      </c>
      <c r="B43" s="127" t="s">
        <v>232</v>
      </c>
      <c r="C43" s="127">
        <v>2019</v>
      </c>
      <c r="D43" s="128" t="s">
        <v>183</v>
      </c>
      <c r="E43" s="127" t="s">
        <v>294</v>
      </c>
      <c r="F43" s="127" t="s">
        <v>295</v>
      </c>
      <c r="G43" s="127" t="s">
        <v>42</v>
      </c>
      <c r="H43" s="53" t="s">
        <v>160</v>
      </c>
      <c r="I43" s="53" t="s">
        <v>159</v>
      </c>
      <c r="J43" s="127" t="s">
        <v>38</v>
      </c>
      <c r="K43" s="53" t="s">
        <v>161</v>
      </c>
      <c r="L43" s="53">
        <v>3</v>
      </c>
      <c r="N43" s="53">
        <v>1</v>
      </c>
      <c r="O43" s="53">
        <v>0.55000000000000004</v>
      </c>
      <c r="P43" s="53">
        <v>0.5</v>
      </c>
      <c r="Q43" s="75">
        <f t="shared" si="0"/>
        <v>0.52500000000000002</v>
      </c>
      <c r="R43" s="53">
        <v>18.3</v>
      </c>
      <c r="S43" s="53">
        <v>141</v>
      </c>
      <c r="T43" s="16">
        <f t="shared" si="1"/>
        <v>22</v>
      </c>
      <c r="U43" s="53">
        <v>128</v>
      </c>
      <c r="V43" s="129">
        <f t="shared" si="2"/>
        <v>2816</v>
      </c>
      <c r="W43" s="53">
        <v>12</v>
      </c>
      <c r="X43" s="127" t="s">
        <v>46</v>
      </c>
      <c r="Y43" s="53" t="s">
        <v>69</v>
      </c>
      <c r="Z43" s="53" t="s">
        <v>55</v>
      </c>
      <c r="AA43" s="53" t="s">
        <v>90</v>
      </c>
      <c r="AB43" s="127" t="s">
        <v>258</v>
      </c>
      <c r="AC43" s="34"/>
    </row>
    <row r="44" spans="1:29" s="53" customFormat="1" x14ac:dyDescent="0.15">
      <c r="A44" s="127" t="s">
        <v>61</v>
      </c>
      <c r="B44" s="127" t="s">
        <v>232</v>
      </c>
      <c r="C44" s="127">
        <v>2019</v>
      </c>
      <c r="D44" s="128" t="s">
        <v>183</v>
      </c>
      <c r="E44" s="127" t="s">
        <v>296</v>
      </c>
      <c r="F44" s="127" t="s">
        <v>297</v>
      </c>
      <c r="G44" s="127" t="s">
        <v>42</v>
      </c>
      <c r="H44" s="53" t="s">
        <v>164</v>
      </c>
      <c r="I44" s="53" t="s">
        <v>159</v>
      </c>
      <c r="J44" s="127" t="s">
        <v>38</v>
      </c>
      <c r="K44" s="53" t="s">
        <v>161</v>
      </c>
      <c r="L44" s="53">
        <v>1</v>
      </c>
      <c r="N44" s="53">
        <v>1</v>
      </c>
      <c r="O44" s="34">
        <v>0.6</v>
      </c>
      <c r="P44" s="53">
        <v>0.7</v>
      </c>
      <c r="Q44" s="75">
        <f t="shared" si="0"/>
        <v>0.64999999999999991</v>
      </c>
      <c r="R44" s="53">
        <v>17.600000000000001</v>
      </c>
      <c r="S44" s="53">
        <v>110</v>
      </c>
      <c r="T44" s="16">
        <f t="shared" si="1"/>
        <v>33</v>
      </c>
      <c r="U44" s="53">
        <v>116</v>
      </c>
      <c r="V44" s="129">
        <f t="shared" si="2"/>
        <v>3828</v>
      </c>
      <c r="W44" s="53">
        <v>8</v>
      </c>
      <c r="X44" s="127" t="s">
        <v>46</v>
      </c>
      <c r="Y44" s="53" t="s">
        <v>97</v>
      </c>
      <c r="Z44" s="53" t="s">
        <v>88</v>
      </c>
      <c r="AA44" s="53" t="s">
        <v>47</v>
      </c>
      <c r="AB44" s="127" t="s">
        <v>258</v>
      </c>
    </row>
    <row r="45" spans="1:29" s="53" customFormat="1" x14ac:dyDescent="0.15">
      <c r="A45" s="127" t="s">
        <v>61</v>
      </c>
      <c r="B45" s="127" t="s">
        <v>232</v>
      </c>
      <c r="C45" s="127">
        <v>2020</v>
      </c>
      <c r="D45" s="128" t="s">
        <v>183</v>
      </c>
      <c r="E45" s="127" t="s">
        <v>296</v>
      </c>
      <c r="F45" s="127" t="s">
        <v>297</v>
      </c>
      <c r="G45" s="127" t="s">
        <v>42</v>
      </c>
      <c r="H45" s="53" t="s">
        <v>164</v>
      </c>
      <c r="I45" s="53" t="s">
        <v>159</v>
      </c>
      <c r="J45" s="127" t="s">
        <v>38</v>
      </c>
      <c r="K45" s="53" t="s">
        <v>161</v>
      </c>
      <c r="L45" s="53">
        <v>2</v>
      </c>
      <c r="N45" s="53">
        <v>1</v>
      </c>
      <c r="O45" s="34">
        <v>0.5</v>
      </c>
      <c r="P45" s="53">
        <v>0.85</v>
      </c>
      <c r="Q45" s="75">
        <f t="shared" si="0"/>
        <v>0.67500000000000004</v>
      </c>
      <c r="R45" s="53">
        <v>17.3</v>
      </c>
      <c r="S45" s="53">
        <v>111</v>
      </c>
      <c r="T45" s="16">
        <f t="shared" si="1"/>
        <v>33</v>
      </c>
      <c r="U45" s="53">
        <v>116</v>
      </c>
      <c r="V45" s="129">
        <f t="shared" si="2"/>
        <v>3828</v>
      </c>
      <c r="W45" s="53">
        <v>8</v>
      </c>
      <c r="X45" s="127" t="s">
        <v>46</v>
      </c>
      <c r="Y45" s="53" t="s">
        <v>97</v>
      </c>
      <c r="Z45" s="53" t="s">
        <v>88</v>
      </c>
      <c r="AA45" s="53" t="s">
        <v>47</v>
      </c>
      <c r="AB45" s="127" t="s">
        <v>258</v>
      </c>
    </row>
    <row r="46" spans="1:29" s="53" customFormat="1" x14ac:dyDescent="0.15">
      <c r="A46" s="127" t="s">
        <v>61</v>
      </c>
      <c r="B46" s="127" t="s">
        <v>232</v>
      </c>
      <c r="C46" s="127">
        <v>2021</v>
      </c>
      <c r="D46" s="128" t="s">
        <v>183</v>
      </c>
      <c r="E46" s="127" t="s">
        <v>296</v>
      </c>
      <c r="F46" s="127" t="s">
        <v>297</v>
      </c>
      <c r="G46" s="127" t="s">
        <v>42</v>
      </c>
      <c r="H46" s="53" t="s">
        <v>164</v>
      </c>
      <c r="I46" s="53" t="s">
        <v>159</v>
      </c>
      <c r="J46" s="127" t="s">
        <v>38</v>
      </c>
      <c r="K46" s="53" t="s">
        <v>161</v>
      </c>
      <c r="L46" s="53">
        <v>3</v>
      </c>
      <c r="N46" s="53">
        <v>1</v>
      </c>
      <c r="O46" s="34">
        <v>0.65</v>
      </c>
      <c r="P46" s="53">
        <v>0.6</v>
      </c>
      <c r="Q46" s="75">
        <f t="shared" si="0"/>
        <v>0.625</v>
      </c>
      <c r="R46" s="53">
        <v>17.100000000000001</v>
      </c>
      <c r="S46" s="53">
        <v>107</v>
      </c>
      <c r="T46" s="16">
        <f t="shared" si="1"/>
        <v>33</v>
      </c>
      <c r="U46" s="53">
        <v>116</v>
      </c>
      <c r="V46" s="129">
        <f t="shared" si="2"/>
        <v>3828</v>
      </c>
      <c r="W46" s="53">
        <v>8</v>
      </c>
      <c r="X46" s="127" t="s">
        <v>46</v>
      </c>
      <c r="Y46" s="53" t="s">
        <v>97</v>
      </c>
      <c r="Z46" s="53" t="s">
        <v>88</v>
      </c>
      <c r="AA46" s="53" t="s">
        <v>47</v>
      </c>
      <c r="AB46" s="127" t="s">
        <v>258</v>
      </c>
    </row>
    <row r="47" spans="1:29" s="53" customFormat="1" x14ac:dyDescent="0.15">
      <c r="A47" s="127" t="s">
        <v>61</v>
      </c>
      <c r="B47" s="127" t="s">
        <v>232</v>
      </c>
      <c r="C47" s="127">
        <v>2019</v>
      </c>
      <c r="D47" s="128" t="s">
        <v>183</v>
      </c>
      <c r="E47" s="127" t="s">
        <v>296</v>
      </c>
      <c r="F47" s="127" t="s">
        <v>297</v>
      </c>
      <c r="G47" s="127" t="s">
        <v>42</v>
      </c>
      <c r="H47" s="53" t="s">
        <v>193</v>
      </c>
      <c r="I47" s="53" t="s">
        <v>159</v>
      </c>
      <c r="J47" s="127" t="s">
        <v>38</v>
      </c>
      <c r="K47" s="53" t="s">
        <v>161</v>
      </c>
      <c r="L47" s="53">
        <v>1</v>
      </c>
      <c r="N47" s="53">
        <v>4</v>
      </c>
      <c r="O47" s="34">
        <v>0.5</v>
      </c>
      <c r="P47" s="53">
        <v>0.5</v>
      </c>
      <c r="Q47" s="75">
        <f t="shared" si="0"/>
        <v>0.5</v>
      </c>
      <c r="R47" s="53">
        <v>18.600000000000001</v>
      </c>
      <c r="S47" s="53">
        <v>77</v>
      </c>
      <c r="T47" s="16">
        <f t="shared" si="1"/>
        <v>39</v>
      </c>
      <c r="U47" s="53">
        <v>321</v>
      </c>
      <c r="V47" s="129">
        <f t="shared" si="2"/>
        <v>3129.75</v>
      </c>
      <c r="W47" s="53">
        <v>8</v>
      </c>
      <c r="X47" s="127" t="s">
        <v>46</v>
      </c>
      <c r="Y47" s="53" t="s">
        <v>97</v>
      </c>
      <c r="Z47" s="53" t="s">
        <v>88</v>
      </c>
      <c r="AA47" s="53" t="s">
        <v>47</v>
      </c>
      <c r="AB47" s="127" t="s">
        <v>258</v>
      </c>
    </row>
    <row r="48" spans="1:29" s="53" customFormat="1" x14ac:dyDescent="0.15">
      <c r="A48" s="127" t="s">
        <v>61</v>
      </c>
      <c r="B48" s="127" t="s">
        <v>232</v>
      </c>
      <c r="C48" s="127">
        <v>2020</v>
      </c>
      <c r="D48" s="128" t="s">
        <v>183</v>
      </c>
      <c r="E48" s="127" t="s">
        <v>296</v>
      </c>
      <c r="F48" s="127" t="s">
        <v>297</v>
      </c>
      <c r="G48" s="127" t="s">
        <v>42</v>
      </c>
      <c r="H48" s="53" t="s">
        <v>193</v>
      </c>
      <c r="I48" s="53" t="s">
        <v>159</v>
      </c>
      <c r="J48" s="127" t="s">
        <v>38</v>
      </c>
      <c r="K48" s="53" t="s">
        <v>161</v>
      </c>
      <c r="L48" s="53">
        <v>2</v>
      </c>
      <c r="N48" s="53">
        <v>4</v>
      </c>
      <c r="O48" s="34">
        <v>0.5</v>
      </c>
      <c r="P48" s="53">
        <v>0.5</v>
      </c>
      <c r="Q48" s="75">
        <f t="shared" si="0"/>
        <v>0.5</v>
      </c>
      <c r="R48" s="53">
        <v>17.7</v>
      </c>
      <c r="S48" s="53">
        <v>76</v>
      </c>
      <c r="T48" s="16">
        <f t="shared" si="1"/>
        <v>39</v>
      </c>
      <c r="U48" s="53">
        <v>321</v>
      </c>
      <c r="V48" s="129">
        <f t="shared" si="2"/>
        <v>3129.75</v>
      </c>
      <c r="W48" s="53">
        <v>8</v>
      </c>
      <c r="X48" s="127" t="s">
        <v>46</v>
      </c>
      <c r="Y48" s="53" t="s">
        <v>97</v>
      </c>
      <c r="Z48" s="53" t="s">
        <v>88</v>
      </c>
      <c r="AA48" s="53" t="s">
        <v>47</v>
      </c>
      <c r="AB48" s="127" t="s">
        <v>258</v>
      </c>
    </row>
    <row r="49" spans="1:29" s="53" customFormat="1" x14ac:dyDescent="0.15">
      <c r="A49" s="127" t="s">
        <v>61</v>
      </c>
      <c r="B49" s="127" t="s">
        <v>232</v>
      </c>
      <c r="C49" s="127">
        <v>2021</v>
      </c>
      <c r="D49" s="128" t="s">
        <v>183</v>
      </c>
      <c r="E49" s="127" t="s">
        <v>296</v>
      </c>
      <c r="F49" s="127" t="s">
        <v>297</v>
      </c>
      <c r="G49" s="127" t="s">
        <v>42</v>
      </c>
      <c r="H49" s="53" t="s">
        <v>193</v>
      </c>
      <c r="I49" s="53" t="s">
        <v>159</v>
      </c>
      <c r="J49" s="127" t="s">
        <v>38</v>
      </c>
      <c r="K49" s="53" t="s">
        <v>161</v>
      </c>
      <c r="L49" s="53">
        <v>3</v>
      </c>
      <c r="N49" s="53">
        <v>4</v>
      </c>
      <c r="O49" s="34">
        <v>0.5</v>
      </c>
      <c r="P49" s="53">
        <v>0.5</v>
      </c>
      <c r="Q49" s="75">
        <f t="shared" si="0"/>
        <v>0.5</v>
      </c>
      <c r="R49" s="53">
        <v>18.8</v>
      </c>
      <c r="S49" s="53">
        <v>77</v>
      </c>
      <c r="T49" s="16">
        <f t="shared" si="1"/>
        <v>39</v>
      </c>
      <c r="U49" s="53">
        <v>321</v>
      </c>
      <c r="V49" s="129">
        <f t="shared" si="2"/>
        <v>3129.75</v>
      </c>
      <c r="W49" s="53">
        <v>8</v>
      </c>
      <c r="X49" s="127" t="s">
        <v>46</v>
      </c>
      <c r="Y49" s="53" t="s">
        <v>97</v>
      </c>
      <c r="Z49" s="53" t="s">
        <v>88</v>
      </c>
      <c r="AA49" s="53" t="s">
        <v>47</v>
      </c>
      <c r="AB49" s="127" t="s">
        <v>258</v>
      </c>
    </row>
    <row r="50" spans="1:29" x14ac:dyDescent="0.15">
      <c r="A50" s="127" t="s">
        <v>61</v>
      </c>
      <c r="B50" s="127" t="s">
        <v>232</v>
      </c>
      <c r="C50" s="127">
        <v>2022</v>
      </c>
      <c r="D50" s="128" t="s">
        <v>183</v>
      </c>
      <c r="E50" s="127" t="s">
        <v>296</v>
      </c>
      <c r="F50" s="127" t="s">
        <v>297</v>
      </c>
      <c r="G50" s="127" t="s">
        <v>42</v>
      </c>
      <c r="H50" s="53" t="s">
        <v>160</v>
      </c>
      <c r="I50" s="53" t="s">
        <v>159</v>
      </c>
      <c r="J50" s="127" t="s">
        <v>38</v>
      </c>
      <c r="K50" s="53" t="s">
        <v>161</v>
      </c>
      <c r="L50" s="53">
        <v>1</v>
      </c>
      <c r="N50" s="53">
        <v>1</v>
      </c>
      <c r="O50" s="34">
        <v>0.75</v>
      </c>
      <c r="P50" s="53">
        <v>0.75</v>
      </c>
      <c r="Q50" s="75">
        <f t="shared" si="0"/>
        <v>0.75</v>
      </c>
      <c r="R50" s="53">
        <v>17.100000000000001</v>
      </c>
      <c r="S50" s="53">
        <v>134</v>
      </c>
      <c r="T50" s="16">
        <f t="shared" si="1"/>
        <v>25</v>
      </c>
      <c r="U50" s="53">
        <v>138</v>
      </c>
      <c r="V50" s="129">
        <f t="shared" si="2"/>
        <v>3450</v>
      </c>
      <c r="W50" s="53">
        <v>8</v>
      </c>
      <c r="X50" s="127" t="s">
        <v>46</v>
      </c>
      <c r="Y50" s="53" t="s">
        <v>97</v>
      </c>
      <c r="Z50" s="53" t="s">
        <v>88</v>
      </c>
      <c r="AA50" s="53" t="s">
        <v>47</v>
      </c>
      <c r="AB50" s="127" t="s">
        <v>258</v>
      </c>
      <c r="AC50" s="34"/>
    </row>
    <row r="51" spans="1:29" x14ac:dyDescent="0.15">
      <c r="A51" s="127" t="s">
        <v>61</v>
      </c>
      <c r="B51" s="127" t="s">
        <v>232</v>
      </c>
      <c r="C51" s="127">
        <v>2023</v>
      </c>
      <c r="D51" s="128" t="s">
        <v>183</v>
      </c>
      <c r="E51" s="127" t="s">
        <v>296</v>
      </c>
      <c r="F51" s="127" t="s">
        <v>297</v>
      </c>
      <c r="G51" s="127" t="s">
        <v>42</v>
      </c>
      <c r="H51" s="53" t="s">
        <v>160</v>
      </c>
      <c r="I51" s="53" t="s">
        <v>159</v>
      </c>
      <c r="J51" s="127" t="s">
        <v>38</v>
      </c>
      <c r="K51" s="53" t="s">
        <v>161</v>
      </c>
      <c r="L51" s="53">
        <v>2</v>
      </c>
      <c r="N51" s="53">
        <v>1</v>
      </c>
      <c r="O51" s="34">
        <v>0.75</v>
      </c>
      <c r="P51" s="53">
        <v>0.7</v>
      </c>
      <c r="Q51" s="75">
        <f t="shared" si="0"/>
        <v>0.72499999999999998</v>
      </c>
      <c r="R51" s="53">
        <v>17.899999999999999</v>
      </c>
      <c r="S51" s="53">
        <v>140</v>
      </c>
      <c r="T51" s="16">
        <f t="shared" si="1"/>
        <v>22</v>
      </c>
      <c r="U51" s="53">
        <v>138</v>
      </c>
      <c r="V51" s="129">
        <f t="shared" si="2"/>
        <v>3036</v>
      </c>
      <c r="W51" s="53">
        <v>8</v>
      </c>
      <c r="X51" s="127" t="s">
        <v>46</v>
      </c>
      <c r="Y51" s="53" t="s">
        <v>97</v>
      </c>
      <c r="Z51" s="53" t="s">
        <v>88</v>
      </c>
      <c r="AA51" s="53" t="s">
        <v>47</v>
      </c>
      <c r="AB51" s="127" t="s">
        <v>258</v>
      </c>
      <c r="AC51" s="34"/>
    </row>
    <row r="52" spans="1:29" x14ac:dyDescent="0.15">
      <c r="A52" s="127" t="s">
        <v>61</v>
      </c>
      <c r="B52" s="127" t="s">
        <v>232</v>
      </c>
      <c r="C52" s="127">
        <v>2024</v>
      </c>
      <c r="D52" s="128" t="s">
        <v>183</v>
      </c>
      <c r="E52" s="127" t="s">
        <v>296</v>
      </c>
      <c r="F52" s="127" t="s">
        <v>297</v>
      </c>
      <c r="G52" s="127" t="s">
        <v>42</v>
      </c>
      <c r="H52" s="53" t="s">
        <v>160</v>
      </c>
      <c r="I52" s="53" t="s">
        <v>159</v>
      </c>
      <c r="J52" s="127" t="s">
        <v>38</v>
      </c>
      <c r="K52" s="53" t="s">
        <v>161</v>
      </c>
      <c r="L52" s="53">
        <v>3</v>
      </c>
      <c r="N52" s="53">
        <v>1</v>
      </c>
      <c r="O52" s="34">
        <v>0.6</v>
      </c>
      <c r="P52" s="53">
        <v>0.7</v>
      </c>
      <c r="Q52" s="75">
        <f t="shared" si="0"/>
        <v>0.64999999999999991</v>
      </c>
      <c r="R52" s="34">
        <v>17.399999999999999</v>
      </c>
      <c r="S52" s="53">
        <v>140</v>
      </c>
      <c r="T52" s="16">
        <f t="shared" si="1"/>
        <v>22</v>
      </c>
      <c r="U52" s="53">
        <v>138</v>
      </c>
      <c r="V52" s="129">
        <f t="shared" si="2"/>
        <v>3036</v>
      </c>
      <c r="W52" s="53">
        <v>8</v>
      </c>
      <c r="X52" s="127" t="s">
        <v>46</v>
      </c>
      <c r="Y52" s="53" t="s">
        <v>97</v>
      </c>
      <c r="Z52" s="53" t="s">
        <v>88</v>
      </c>
      <c r="AA52" s="53" t="s">
        <v>47</v>
      </c>
      <c r="AB52" s="127" t="s">
        <v>258</v>
      </c>
      <c r="AC52" s="34"/>
    </row>
    <row r="53" spans="1:29" s="53" customFormat="1" x14ac:dyDescent="0.15">
      <c r="A53" s="127" t="s">
        <v>61</v>
      </c>
      <c r="B53" s="127" t="s">
        <v>232</v>
      </c>
      <c r="C53" s="127">
        <v>2019</v>
      </c>
      <c r="D53" s="128" t="s">
        <v>183</v>
      </c>
      <c r="E53" s="127" t="s">
        <v>133</v>
      </c>
      <c r="F53" s="127" t="s">
        <v>298</v>
      </c>
      <c r="G53" s="127" t="s">
        <v>42</v>
      </c>
      <c r="H53" s="53" t="s">
        <v>164</v>
      </c>
      <c r="I53" s="53" t="s">
        <v>159</v>
      </c>
      <c r="J53" s="127" t="s">
        <v>38</v>
      </c>
      <c r="K53" s="53" t="s">
        <v>161</v>
      </c>
      <c r="L53" s="53">
        <v>1</v>
      </c>
      <c r="N53" s="53">
        <v>1</v>
      </c>
      <c r="O53" s="53">
        <v>0.9</v>
      </c>
      <c r="P53" s="53">
        <v>0.8</v>
      </c>
      <c r="Q53" s="75">
        <f t="shared" si="0"/>
        <v>0.85000000000000009</v>
      </c>
      <c r="R53" s="53">
        <v>18.5</v>
      </c>
      <c r="S53" s="53">
        <v>110</v>
      </c>
      <c r="T53" s="16">
        <f t="shared" si="1"/>
        <v>33</v>
      </c>
      <c r="U53" s="53">
        <v>78</v>
      </c>
      <c r="V53" s="129">
        <f t="shared" si="2"/>
        <v>2574</v>
      </c>
      <c r="W53" s="53">
        <v>46</v>
      </c>
      <c r="X53" s="127" t="s">
        <v>46</v>
      </c>
      <c r="Y53" s="53" t="s">
        <v>312</v>
      </c>
      <c r="Z53" s="53" t="s">
        <v>97</v>
      </c>
      <c r="AA53" s="53" t="s">
        <v>69</v>
      </c>
      <c r="AB53" s="127" t="s">
        <v>258</v>
      </c>
      <c r="AC53" s="34"/>
    </row>
    <row r="54" spans="1:29" s="53" customFormat="1" x14ac:dyDescent="0.15">
      <c r="A54" s="127" t="s">
        <v>61</v>
      </c>
      <c r="B54" s="127" t="s">
        <v>232</v>
      </c>
      <c r="C54" s="127">
        <v>2019</v>
      </c>
      <c r="D54" s="128" t="s">
        <v>183</v>
      </c>
      <c r="E54" s="127" t="s">
        <v>133</v>
      </c>
      <c r="F54" s="127" t="s">
        <v>298</v>
      </c>
      <c r="G54" s="127" t="s">
        <v>42</v>
      </c>
      <c r="H54" s="53" t="s">
        <v>164</v>
      </c>
      <c r="I54" s="53" t="s">
        <v>159</v>
      </c>
      <c r="J54" s="127" t="s">
        <v>38</v>
      </c>
      <c r="K54" s="53" t="s">
        <v>161</v>
      </c>
      <c r="L54" s="53">
        <v>2</v>
      </c>
      <c r="N54" s="53">
        <v>1</v>
      </c>
      <c r="O54" s="53">
        <v>1</v>
      </c>
      <c r="P54" s="53">
        <v>1</v>
      </c>
      <c r="Q54" s="75">
        <f t="shared" si="0"/>
        <v>1</v>
      </c>
      <c r="R54" s="53">
        <v>17.100000000000001</v>
      </c>
      <c r="S54" s="53">
        <v>108</v>
      </c>
      <c r="T54" s="16">
        <f t="shared" si="1"/>
        <v>33</v>
      </c>
      <c r="U54" s="53">
        <v>78</v>
      </c>
      <c r="V54" s="129">
        <f t="shared" si="2"/>
        <v>2574</v>
      </c>
      <c r="W54" s="53">
        <v>46</v>
      </c>
      <c r="X54" s="127" t="s">
        <v>46</v>
      </c>
      <c r="Y54" s="53" t="s">
        <v>312</v>
      </c>
      <c r="Z54" s="53" t="s">
        <v>97</v>
      </c>
      <c r="AA54" s="53" t="s">
        <v>69</v>
      </c>
      <c r="AB54" s="127" t="s">
        <v>258</v>
      </c>
      <c r="AC54" s="34"/>
    </row>
    <row r="55" spans="1:29" s="53" customFormat="1" x14ac:dyDescent="0.15">
      <c r="A55" s="127" t="s">
        <v>61</v>
      </c>
      <c r="B55" s="127" t="s">
        <v>232</v>
      </c>
      <c r="C55" s="127">
        <v>2019</v>
      </c>
      <c r="D55" s="128" t="s">
        <v>183</v>
      </c>
      <c r="E55" s="127" t="s">
        <v>133</v>
      </c>
      <c r="F55" s="127" t="s">
        <v>298</v>
      </c>
      <c r="G55" s="127" t="s">
        <v>42</v>
      </c>
      <c r="H55" s="53" t="s">
        <v>164</v>
      </c>
      <c r="I55" s="53" t="s">
        <v>159</v>
      </c>
      <c r="J55" s="127" t="s">
        <v>38</v>
      </c>
      <c r="K55" s="53" t="s">
        <v>161</v>
      </c>
      <c r="L55" s="53">
        <v>3</v>
      </c>
      <c r="N55" s="53">
        <v>1</v>
      </c>
      <c r="O55" s="53">
        <v>0.85</v>
      </c>
      <c r="P55" s="53">
        <v>0.85</v>
      </c>
      <c r="Q55" s="75">
        <f t="shared" si="0"/>
        <v>0.85</v>
      </c>
      <c r="R55" s="53">
        <v>17.7</v>
      </c>
      <c r="S55" s="53">
        <v>110</v>
      </c>
      <c r="T55" s="16">
        <f t="shared" si="1"/>
        <v>33</v>
      </c>
      <c r="U55" s="53">
        <v>78</v>
      </c>
      <c r="V55" s="129">
        <f t="shared" si="2"/>
        <v>2574</v>
      </c>
      <c r="W55" s="53">
        <v>46</v>
      </c>
      <c r="X55" s="127" t="s">
        <v>46</v>
      </c>
      <c r="Y55" s="53" t="s">
        <v>312</v>
      </c>
      <c r="Z55" s="53" t="s">
        <v>97</v>
      </c>
      <c r="AA55" s="53" t="s">
        <v>69</v>
      </c>
      <c r="AB55" s="127" t="s">
        <v>258</v>
      </c>
      <c r="AC55" s="34"/>
    </row>
    <row r="56" spans="1:29" x14ac:dyDescent="0.15">
      <c r="A56" s="127" t="s">
        <v>61</v>
      </c>
      <c r="B56" s="127" t="s">
        <v>232</v>
      </c>
      <c r="C56" s="127">
        <v>2019</v>
      </c>
      <c r="D56" s="128" t="s">
        <v>183</v>
      </c>
      <c r="E56" s="127" t="s">
        <v>133</v>
      </c>
      <c r="F56" s="127" t="s">
        <v>298</v>
      </c>
      <c r="G56" s="127" t="s">
        <v>42</v>
      </c>
      <c r="H56" s="53" t="s">
        <v>160</v>
      </c>
      <c r="I56" s="53" t="s">
        <v>159</v>
      </c>
      <c r="J56" s="127" t="s">
        <v>38</v>
      </c>
      <c r="K56" s="53" t="s">
        <v>161</v>
      </c>
      <c r="L56" s="53">
        <v>1</v>
      </c>
      <c r="N56" s="53">
        <v>1</v>
      </c>
      <c r="O56" s="53">
        <v>0.5</v>
      </c>
      <c r="P56" s="53">
        <v>0.5</v>
      </c>
      <c r="Q56" s="75">
        <f t="shared" si="0"/>
        <v>0.5</v>
      </c>
      <c r="R56" s="53">
        <v>17.100000000000001</v>
      </c>
      <c r="S56" s="53">
        <v>94</v>
      </c>
      <c r="T56" s="16">
        <f t="shared" si="1"/>
        <v>36</v>
      </c>
      <c r="U56" s="53">
        <v>78</v>
      </c>
      <c r="V56" s="129">
        <f t="shared" si="2"/>
        <v>2808</v>
      </c>
      <c r="W56" s="53">
        <v>46</v>
      </c>
      <c r="X56" s="127" t="s">
        <v>46</v>
      </c>
      <c r="Y56" s="53" t="s">
        <v>312</v>
      </c>
      <c r="Z56" s="53" t="s">
        <v>97</v>
      </c>
      <c r="AA56" s="53" t="s">
        <v>69</v>
      </c>
      <c r="AB56" s="127" t="s">
        <v>258</v>
      </c>
      <c r="AC56" s="34"/>
    </row>
    <row r="57" spans="1:29" x14ac:dyDescent="0.15">
      <c r="A57" s="127" t="s">
        <v>61</v>
      </c>
      <c r="B57" s="127" t="s">
        <v>232</v>
      </c>
      <c r="C57" s="127">
        <v>2019</v>
      </c>
      <c r="D57" s="128" t="s">
        <v>183</v>
      </c>
      <c r="E57" s="127" t="s">
        <v>133</v>
      </c>
      <c r="F57" s="127" t="s">
        <v>298</v>
      </c>
      <c r="G57" s="127" t="s">
        <v>42</v>
      </c>
      <c r="H57" s="53" t="s">
        <v>160</v>
      </c>
      <c r="I57" s="53" t="s">
        <v>159</v>
      </c>
      <c r="J57" s="127" t="s">
        <v>38</v>
      </c>
      <c r="K57" s="53" t="s">
        <v>161</v>
      </c>
      <c r="L57" s="53">
        <v>2</v>
      </c>
      <c r="N57" s="53">
        <v>1</v>
      </c>
      <c r="O57" s="53">
        <v>0.75</v>
      </c>
      <c r="P57" s="53">
        <v>0.5</v>
      </c>
      <c r="Q57" s="75">
        <f t="shared" si="0"/>
        <v>0.625</v>
      </c>
      <c r="R57" s="53">
        <v>17</v>
      </c>
      <c r="S57" s="53">
        <v>96</v>
      </c>
      <c r="T57" s="16">
        <f t="shared" si="1"/>
        <v>36</v>
      </c>
      <c r="U57" s="53">
        <v>78</v>
      </c>
      <c r="V57" s="129">
        <f t="shared" si="2"/>
        <v>2808</v>
      </c>
      <c r="W57" s="53">
        <v>46</v>
      </c>
      <c r="X57" s="127" t="s">
        <v>46</v>
      </c>
      <c r="Y57" s="53" t="s">
        <v>312</v>
      </c>
      <c r="Z57" s="53" t="s">
        <v>97</v>
      </c>
      <c r="AA57" s="53" t="s">
        <v>69</v>
      </c>
      <c r="AB57" s="127" t="s">
        <v>258</v>
      </c>
      <c r="AC57" s="34"/>
    </row>
    <row r="58" spans="1:29" x14ac:dyDescent="0.15">
      <c r="A58" s="127" t="s">
        <v>61</v>
      </c>
      <c r="B58" s="127" t="s">
        <v>232</v>
      </c>
      <c r="C58" s="127">
        <v>2019</v>
      </c>
      <c r="D58" s="128" t="s">
        <v>183</v>
      </c>
      <c r="E58" s="127" t="s">
        <v>133</v>
      </c>
      <c r="F58" s="127" t="s">
        <v>298</v>
      </c>
      <c r="G58" s="127" t="s">
        <v>42</v>
      </c>
      <c r="H58" s="53" t="s">
        <v>160</v>
      </c>
      <c r="I58" s="53" t="s">
        <v>159</v>
      </c>
      <c r="J58" s="127" t="s">
        <v>38</v>
      </c>
      <c r="K58" s="53" t="s">
        <v>161</v>
      </c>
      <c r="L58" s="53">
        <v>3</v>
      </c>
      <c r="N58" s="53">
        <v>1</v>
      </c>
      <c r="O58" s="53">
        <v>0.65</v>
      </c>
      <c r="P58" s="53">
        <v>0.8</v>
      </c>
      <c r="Q58" s="75">
        <f t="shared" si="0"/>
        <v>0.72500000000000009</v>
      </c>
      <c r="R58" s="53">
        <v>17.399999999999999</v>
      </c>
      <c r="S58" s="53">
        <v>101</v>
      </c>
      <c r="T58" s="16">
        <f t="shared" si="1"/>
        <v>33</v>
      </c>
      <c r="U58" s="53">
        <v>78</v>
      </c>
      <c r="V58" s="129">
        <f t="shared" si="2"/>
        <v>2574</v>
      </c>
      <c r="W58" s="53">
        <v>46</v>
      </c>
      <c r="X58" s="127" t="s">
        <v>46</v>
      </c>
      <c r="Y58" s="53" t="s">
        <v>312</v>
      </c>
      <c r="Z58" s="53" t="s">
        <v>97</v>
      </c>
      <c r="AA58" s="53" t="s">
        <v>69</v>
      </c>
      <c r="AB58" s="127" t="s">
        <v>258</v>
      </c>
      <c r="AC58" s="34"/>
    </row>
    <row r="59" spans="1:29" x14ac:dyDescent="0.15">
      <c r="A59" s="127" t="s">
        <v>61</v>
      </c>
      <c r="B59" s="127" t="s">
        <v>232</v>
      </c>
      <c r="C59" s="127">
        <v>2019</v>
      </c>
      <c r="D59" s="128" t="s">
        <v>183</v>
      </c>
      <c r="E59" s="127" t="s">
        <v>299</v>
      </c>
      <c r="F59" s="127" t="s">
        <v>300</v>
      </c>
      <c r="G59" s="127" t="s">
        <v>42</v>
      </c>
      <c r="H59" s="53" t="s">
        <v>164</v>
      </c>
      <c r="I59" s="53" t="s">
        <v>159</v>
      </c>
      <c r="J59" s="127" t="s">
        <v>38</v>
      </c>
      <c r="K59" s="53" t="s">
        <v>161</v>
      </c>
      <c r="L59" s="53">
        <v>1</v>
      </c>
      <c r="N59" s="53">
        <v>4</v>
      </c>
      <c r="O59" s="53">
        <v>0.7</v>
      </c>
      <c r="P59" s="53">
        <v>0.9</v>
      </c>
      <c r="Q59" s="75">
        <f t="shared" si="0"/>
        <v>0.8</v>
      </c>
      <c r="R59" s="53">
        <v>17.100000000000001</v>
      </c>
      <c r="S59" s="53">
        <v>104</v>
      </c>
      <c r="T59" s="16">
        <f t="shared" si="1"/>
        <v>33</v>
      </c>
      <c r="U59" s="53">
        <v>278</v>
      </c>
      <c r="V59" s="129">
        <f t="shared" si="2"/>
        <v>2293.5</v>
      </c>
      <c r="W59" s="53">
        <v>12</v>
      </c>
      <c r="X59" s="127" t="s">
        <v>46</v>
      </c>
      <c r="Y59" s="53" t="s">
        <v>97</v>
      </c>
      <c r="Z59" s="53" t="s">
        <v>69</v>
      </c>
      <c r="AA59" s="53" t="s">
        <v>55</v>
      </c>
      <c r="AB59" s="127" t="s">
        <v>258</v>
      </c>
    </row>
    <row r="60" spans="1:29" x14ac:dyDescent="0.15">
      <c r="A60" s="127" t="s">
        <v>61</v>
      </c>
      <c r="B60" s="127" t="s">
        <v>232</v>
      </c>
      <c r="C60" s="127">
        <v>2019</v>
      </c>
      <c r="D60" s="128" t="s">
        <v>183</v>
      </c>
      <c r="E60" s="127" t="s">
        <v>299</v>
      </c>
      <c r="F60" s="127" t="s">
        <v>300</v>
      </c>
      <c r="G60" s="127" t="s">
        <v>42</v>
      </c>
      <c r="H60" s="53" t="s">
        <v>164</v>
      </c>
      <c r="I60" s="53" t="s">
        <v>159</v>
      </c>
      <c r="J60" s="127" t="s">
        <v>38</v>
      </c>
      <c r="K60" s="53" t="s">
        <v>161</v>
      </c>
      <c r="L60" s="53">
        <v>2</v>
      </c>
      <c r="N60" s="53">
        <v>4</v>
      </c>
      <c r="O60" s="53">
        <v>0.7</v>
      </c>
      <c r="P60" s="53">
        <v>0.75</v>
      </c>
      <c r="Q60" s="75">
        <f t="shared" si="0"/>
        <v>0.72499999999999998</v>
      </c>
      <c r="R60" s="53">
        <v>17.600000000000001</v>
      </c>
      <c r="S60" s="53">
        <v>97</v>
      </c>
      <c r="T60" s="16">
        <f t="shared" si="1"/>
        <v>36</v>
      </c>
      <c r="U60" s="53">
        <v>278</v>
      </c>
      <c r="V60" s="129">
        <f t="shared" si="2"/>
        <v>2502</v>
      </c>
      <c r="W60" s="53">
        <v>12</v>
      </c>
      <c r="X60" s="127" t="s">
        <v>46</v>
      </c>
      <c r="Y60" s="53" t="s">
        <v>97</v>
      </c>
      <c r="Z60" s="53" t="s">
        <v>69</v>
      </c>
      <c r="AA60" s="53" t="s">
        <v>55</v>
      </c>
      <c r="AB60" s="127" t="s">
        <v>258</v>
      </c>
    </row>
    <row r="61" spans="1:29" x14ac:dyDescent="0.15">
      <c r="A61" s="127" t="s">
        <v>61</v>
      </c>
      <c r="B61" s="127" t="s">
        <v>232</v>
      </c>
      <c r="C61" s="127">
        <v>2019</v>
      </c>
      <c r="D61" s="128" t="s">
        <v>183</v>
      </c>
      <c r="E61" s="127" t="s">
        <v>299</v>
      </c>
      <c r="F61" s="127" t="s">
        <v>300</v>
      </c>
      <c r="G61" s="127" t="s">
        <v>42</v>
      </c>
      <c r="H61" s="53" t="s">
        <v>164</v>
      </c>
      <c r="I61" s="53" t="s">
        <v>159</v>
      </c>
      <c r="J61" s="127" t="s">
        <v>38</v>
      </c>
      <c r="K61" s="53" t="s">
        <v>161</v>
      </c>
      <c r="L61" s="53">
        <v>3</v>
      </c>
      <c r="N61" s="53">
        <v>4</v>
      </c>
      <c r="O61" s="53">
        <v>0.65</v>
      </c>
      <c r="P61" s="53">
        <v>0.7</v>
      </c>
      <c r="Q61" s="75">
        <f t="shared" si="0"/>
        <v>0.67500000000000004</v>
      </c>
      <c r="R61" s="53">
        <v>17.399999999999999</v>
      </c>
      <c r="S61" s="53">
        <v>97</v>
      </c>
      <c r="T61" s="16">
        <f t="shared" si="1"/>
        <v>36</v>
      </c>
      <c r="U61" s="53">
        <v>278</v>
      </c>
      <c r="V61" s="129">
        <f t="shared" si="2"/>
        <v>2502</v>
      </c>
      <c r="W61" s="53">
        <v>12</v>
      </c>
      <c r="X61" s="127" t="s">
        <v>46</v>
      </c>
      <c r="Y61" s="53" t="s">
        <v>97</v>
      </c>
      <c r="Z61" s="53" t="s">
        <v>69</v>
      </c>
      <c r="AA61" s="53" t="s">
        <v>55</v>
      </c>
      <c r="AB61" s="127" t="s">
        <v>258</v>
      </c>
    </row>
    <row r="62" spans="1:29" x14ac:dyDescent="0.15">
      <c r="A62" s="127" t="s">
        <v>61</v>
      </c>
      <c r="B62" s="127" t="s">
        <v>232</v>
      </c>
      <c r="C62" s="127">
        <v>2019</v>
      </c>
      <c r="D62" s="128" t="s">
        <v>183</v>
      </c>
      <c r="E62" s="127" t="s">
        <v>299</v>
      </c>
      <c r="F62" s="127" t="s">
        <v>300</v>
      </c>
      <c r="G62" s="127" t="s">
        <v>42</v>
      </c>
      <c r="H62" s="53" t="s">
        <v>160</v>
      </c>
      <c r="I62" s="53" t="s">
        <v>159</v>
      </c>
      <c r="J62" s="127" t="s">
        <v>38</v>
      </c>
      <c r="K62" s="53" t="s">
        <v>161</v>
      </c>
      <c r="L62" s="53">
        <v>1</v>
      </c>
      <c r="N62" s="53">
        <v>1</v>
      </c>
      <c r="O62" s="53">
        <v>0.65</v>
      </c>
      <c r="P62" s="53">
        <v>0.5</v>
      </c>
      <c r="Q62" s="75">
        <f t="shared" si="0"/>
        <v>0.57499999999999996</v>
      </c>
      <c r="R62" s="53">
        <v>17.899999999999999</v>
      </c>
      <c r="S62" s="53">
        <v>139</v>
      </c>
      <c r="T62" s="16">
        <f t="shared" si="1"/>
        <v>22</v>
      </c>
      <c r="U62" s="53">
        <v>138</v>
      </c>
      <c r="V62" s="129">
        <f t="shared" si="2"/>
        <v>3036</v>
      </c>
      <c r="W62" s="53">
        <v>12</v>
      </c>
      <c r="X62" s="127" t="s">
        <v>46</v>
      </c>
      <c r="Y62" s="53" t="s">
        <v>97</v>
      </c>
      <c r="Z62" s="53" t="s">
        <v>69</v>
      </c>
      <c r="AA62" s="53" t="s">
        <v>55</v>
      </c>
      <c r="AB62" s="127" t="s">
        <v>258</v>
      </c>
      <c r="AC62" s="34"/>
    </row>
    <row r="63" spans="1:29" x14ac:dyDescent="0.15">
      <c r="A63" s="127" t="s">
        <v>61</v>
      </c>
      <c r="B63" s="127" t="s">
        <v>232</v>
      </c>
      <c r="C63" s="127">
        <v>2019</v>
      </c>
      <c r="D63" s="128" t="s">
        <v>183</v>
      </c>
      <c r="E63" s="127" t="s">
        <v>299</v>
      </c>
      <c r="F63" s="127" t="s">
        <v>300</v>
      </c>
      <c r="G63" s="127" t="s">
        <v>42</v>
      </c>
      <c r="H63" s="53" t="s">
        <v>160</v>
      </c>
      <c r="I63" s="53" t="s">
        <v>159</v>
      </c>
      <c r="J63" s="127" t="s">
        <v>38</v>
      </c>
      <c r="K63" s="53" t="s">
        <v>161</v>
      </c>
      <c r="L63" s="53">
        <v>2</v>
      </c>
      <c r="N63" s="53">
        <v>1</v>
      </c>
      <c r="O63" s="53">
        <v>0.6</v>
      </c>
      <c r="P63" s="53">
        <v>0.5</v>
      </c>
      <c r="Q63" s="75">
        <f t="shared" si="0"/>
        <v>0.55000000000000004</v>
      </c>
      <c r="R63" s="53">
        <v>18.600000000000001</v>
      </c>
      <c r="S63" s="53">
        <v>141</v>
      </c>
      <c r="T63" s="16">
        <f t="shared" si="1"/>
        <v>22</v>
      </c>
      <c r="U63" s="53">
        <v>138</v>
      </c>
      <c r="V63" s="129">
        <f t="shared" si="2"/>
        <v>3036</v>
      </c>
      <c r="W63" s="53">
        <v>12</v>
      </c>
      <c r="X63" s="127" t="s">
        <v>46</v>
      </c>
      <c r="Y63" s="53" t="s">
        <v>97</v>
      </c>
      <c r="Z63" s="53" t="s">
        <v>69</v>
      </c>
      <c r="AA63" s="53" t="s">
        <v>55</v>
      </c>
      <c r="AB63" s="127" t="s">
        <v>258</v>
      </c>
      <c r="AC63" s="34"/>
    </row>
    <row r="64" spans="1:29" x14ac:dyDescent="0.15">
      <c r="A64" s="127" t="s">
        <v>61</v>
      </c>
      <c r="B64" s="127" t="s">
        <v>232</v>
      </c>
      <c r="C64" s="127">
        <v>2019</v>
      </c>
      <c r="D64" s="128" t="s">
        <v>183</v>
      </c>
      <c r="E64" s="127" t="s">
        <v>299</v>
      </c>
      <c r="F64" s="127" t="s">
        <v>300</v>
      </c>
      <c r="G64" s="127" t="s">
        <v>42</v>
      </c>
      <c r="H64" s="53" t="s">
        <v>160</v>
      </c>
      <c r="I64" s="53" t="s">
        <v>159</v>
      </c>
      <c r="J64" s="127" t="s">
        <v>38</v>
      </c>
      <c r="K64" s="53" t="s">
        <v>161</v>
      </c>
      <c r="L64" s="53">
        <v>3</v>
      </c>
      <c r="N64" s="53">
        <v>1</v>
      </c>
      <c r="O64" s="53">
        <v>0.5</v>
      </c>
      <c r="P64" s="53">
        <v>0.65</v>
      </c>
      <c r="Q64" s="75">
        <f t="shared" si="0"/>
        <v>0.57499999999999996</v>
      </c>
      <c r="R64" s="53">
        <v>17.600000000000001</v>
      </c>
      <c r="S64" s="53">
        <v>136</v>
      </c>
      <c r="T64" s="16">
        <f t="shared" si="1"/>
        <v>25</v>
      </c>
      <c r="U64" s="53">
        <v>138</v>
      </c>
      <c r="V64" s="129">
        <f t="shared" si="2"/>
        <v>3450</v>
      </c>
      <c r="W64" s="53">
        <v>12</v>
      </c>
      <c r="X64" s="127" t="s">
        <v>46</v>
      </c>
      <c r="Y64" s="53" t="s">
        <v>97</v>
      </c>
      <c r="Z64" s="53" t="s">
        <v>69</v>
      </c>
      <c r="AA64" s="53" t="s">
        <v>55</v>
      </c>
      <c r="AB64" s="127" t="s">
        <v>258</v>
      </c>
      <c r="AC64" s="34"/>
    </row>
    <row r="65" spans="1:29" x14ac:dyDescent="0.15">
      <c r="A65" s="127" t="s">
        <v>61</v>
      </c>
      <c r="B65" s="127" t="s">
        <v>232</v>
      </c>
      <c r="C65" s="127">
        <v>2019</v>
      </c>
      <c r="D65" s="128" t="s">
        <v>183</v>
      </c>
      <c r="E65" s="127" t="s">
        <v>301</v>
      </c>
      <c r="F65" s="127" t="s">
        <v>300</v>
      </c>
      <c r="G65" s="127" t="s">
        <v>42</v>
      </c>
      <c r="H65" s="53" t="s">
        <v>164</v>
      </c>
      <c r="I65" s="53" t="s">
        <v>159</v>
      </c>
      <c r="J65" s="127" t="s">
        <v>38</v>
      </c>
      <c r="K65" s="53" t="s">
        <v>161</v>
      </c>
      <c r="L65" s="53">
        <v>1</v>
      </c>
      <c r="N65" s="53">
        <v>5</v>
      </c>
      <c r="O65" s="53">
        <v>0.65</v>
      </c>
      <c r="P65" s="53">
        <v>0.5</v>
      </c>
      <c r="Q65" s="75">
        <f t="shared" si="0"/>
        <v>0.57499999999999996</v>
      </c>
      <c r="R65" s="53">
        <v>17.100000000000001</v>
      </c>
      <c r="S65" s="53">
        <v>80</v>
      </c>
      <c r="T65" s="16">
        <f t="shared" si="1"/>
        <v>39</v>
      </c>
      <c r="U65" s="53">
        <v>321</v>
      </c>
      <c r="V65" s="129">
        <f t="shared" si="2"/>
        <v>2503.8000000000002</v>
      </c>
      <c r="W65" s="53">
        <v>16</v>
      </c>
      <c r="X65" s="127" t="s">
        <v>46</v>
      </c>
      <c r="Y65" s="53" t="s">
        <v>97</v>
      </c>
      <c r="Z65" s="53" t="s">
        <v>78</v>
      </c>
      <c r="AA65" s="53" t="s">
        <v>55</v>
      </c>
      <c r="AB65" s="127" t="s">
        <v>258</v>
      </c>
      <c r="AC65" s="34"/>
    </row>
    <row r="66" spans="1:29" x14ac:dyDescent="0.15">
      <c r="A66" s="127" t="s">
        <v>61</v>
      </c>
      <c r="B66" s="127" t="s">
        <v>232</v>
      </c>
      <c r="C66" s="127">
        <v>2019</v>
      </c>
      <c r="D66" s="128" t="s">
        <v>183</v>
      </c>
      <c r="E66" s="127" t="s">
        <v>301</v>
      </c>
      <c r="F66" s="127" t="s">
        <v>300</v>
      </c>
      <c r="G66" s="127" t="s">
        <v>42</v>
      </c>
      <c r="H66" s="53" t="s">
        <v>164</v>
      </c>
      <c r="I66" s="53" t="s">
        <v>159</v>
      </c>
      <c r="J66" s="127" t="s">
        <v>38</v>
      </c>
      <c r="K66" s="53" t="s">
        <v>161</v>
      </c>
      <c r="L66" s="53">
        <v>2</v>
      </c>
      <c r="N66" s="53">
        <v>5</v>
      </c>
      <c r="O66" s="53">
        <v>0.85</v>
      </c>
      <c r="P66" s="53">
        <v>0.5</v>
      </c>
      <c r="Q66" s="75">
        <f t="shared" ref="Q66:Q101" si="3">IF(OR(O66="",P66=""),"",AVERAGE(O66,P66))</f>
        <v>0.67500000000000004</v>
      </c>
      <c r="R66" s="53">
        <v>17.600000000000001</v>
      </c>
      <c r="S66" s="53">
        <v>75</v>
      </c>
      <c r="T66" s="16">
        <f t="shared" ref="T66:T100" si="4">IF(H66="","",IF(OR(H66="GREEN",H66="GK"),IF(S66&gt;=$AX$2,VLOOKUP(S66,$AX$2:$AY$15,2,1),""),IF(S66&gt;=$AZ$2,VLOOKUP(S66,$AZ$2:$BA$15,2,1),"")))</f>
        <v>42</v>
      </c>
      <c r="U66" s="53">
        <v>321</v>
      </c>
      <c r="V66" s="129">
        <f t="shared" ref="V66:V101" si="5">IF(OR(N66="",U66="",T66=""),"",U66/N66*T66)</f>
        <v>2696.4</v>
      </c>
      <c r="W66" s="53">
        <v>16</v>
      </c>
      <c r="X66" s="127" t="s">
        <v>46</v>
      </c>
      <c r="Y66" s="53" t="s">
        <v>97</v>
      </c>
      <c r="Z66" s="53" t="s">
        <v>78</v>
      </c>
      <c r="AA66" s="53" t="s">
        <v>55</v>
      </c>
      <c r="AB66" s="127" t="s">
        <v>258</v>
      </c>
      <c r="AC66" s="34"/>
    </row>
    <row r="67" spans="1:29" x14ac:dyDescent="0.15">
      <c r="A67" s="127" t="s">
        <v>61</v>
      </c>
      <c r="B67" s="127" t="s">
        <v>232</v>
      </c>
      <c r="C67" s="127">
        <v>2019</v>
      </c>
      <c r="D67" s="128" t="s">
        <v>183</v>
      </c>
      <c r="E67" s="127" t="s">
        <v>301</v>
      </c>
      <c r="F67" s="127" t="s">
        <v>300</v>
      </c>
      <c r="G67" s="127" t="s">
        <v>42</v>
      </c>
      <c r="H67" s="53" t="s">
        <v>164</v>
      </c>
      <c r="I67" s="53" t="s">
        <v>159</v>
      </c>
      <c r="J67" s="127" t="s">
        <v>38</v>
      </c>
      <c r="K67" s="53" t="s">
        <v>161</v>
      </c>
      <c r="L67" s="53">
        <v>3</v>
      </c>
      <c r="N67" s="53">
        <v>5</v>
      </c>
      <c r="O67" s="53">
        <v>0.7</v>
      </c>
      <c r="P67" s="53">
        <v>0.65</v>
      </c>
      <c r="Q67" s="75">
        <f t="shared" si="3"/>
        <v>0.67500000000000004</v>
      </c>
      <c r="R67" s="53">
        <v>18.3</v>
      </c>
      <c r="S67" s="53">
        <v>80</v>
      </c>
      <c r="T67" s="16">
        <f t="shared" si="4"/>
        <v>39</v>
      </c>
      <c r="U67" s="53">
        <v>321</v>
      </c>
      <c r="V67" s="129">
        <f t="shared" si="5"/>
        <v>2503.8000000000002</v>
      </c>
      <c r="W67" s="53">
        <v>16</v>
      </c>
      <c r="X67" s="127" t="s">
        <v>46</v>
      </c>
      <c r="Y67" s="53" t="s">
        <v>97</v>
      </c>
      <c r="Z67" s="53" t="s">
        <v>78</v>
      </c>
      <c r="AA67" s="53" t="s">
        <v>55</v>
      </c>
      <c r="AB67" s="127" t="s">
        <v>258</v>
      </c>
      <c r="AC67" s="34"/>
    </row>
    <row r="68" spans="1:29" x14ac:dyDescent="0.15">
      <c r="A68" s="127" t="s">
        <v>61</v>
      </c>
      <c r="B68" s="127" t="s">
        <v>232</v>
      </c>
      <c r="C68" s="127">
        <v>2019</v>
      </c>
      <c r="D68" s="128" t="s">
        <v>183</v>
      </c>
      <c r="E68" s="127" t="s">
        <v>301</v>
      </c>
      <c r="F68" s="127" t="s">
        <v>300</v>
      </c>
      <c r="G68" s="127" t="s">
        <v>42</v>
      </c>
      <c r="H68" s="53" t="s">
        <v>193</v>
      </c>
      <c r="I68" s="53" t="s">
        <v>159</v>
      </c>
      <c r="J68" s="127" t="s">
        <v>38</v>
      </c>
      <c r="K68" s="53" t="s">
        <v>161</v>
      </c>
      <c r="L68" s="53">
        <v>1</v>
      </c>
      <c r="N68" s="53">
        <v>4</v>
      </c>
      <c r="O68" s="53">
        <v>0.5</v>
      </c>
      <c r="P68" s="53">
        <v>0.5</v>
      </c>
      <c r="Q68" s="75">
        <f t="shared" si="3"/>
        <v>0.5</v>
      </c>
      <c r="R68" s="53">
        <v>17</v>
      </c>
      <c r="S68" s="53">
        <v>72</v>
      </c>
      <c r="T68" s="16">
        <f t="shared" si="4"/>
        <v>42</v>
      </c>
      <c r="U68" s="53">
        <v>321</v>
      </c>
      <c r="V68" s="129">
        <f t="shared" si="5"/>
        <v>3370.5</v>
      </c>
      <c r="W68" s="53">
        <v>16</v>
      </c>
      <c r="X68" s="127" t="s">
        <v>46</v>
      </c>
      <c r="Y68" s="53" t="s">
        <v>97</v>
      </c>
      <c r="Z68" s="53" t="s">
        <v>78</v>
      </c>
      <c r="AA68" s="53" t="s">
        <v>55</v>
      </c>
      <c r="AB68" s="127" t="s">
        <v>258</v>
      </c>
      <c r="AC68" s="34"/>
    </row>
    <row r="69" spans="1:29" x14ac:dyDescent="0.15">
      <c r="A69" s="127" t="s">
        <v>61</v>
      </c>
      <c r="B69" s="127" t="s">
        <v>232</v>
      </c>
      <c r="C69" s="127">
        <v>2019</v>
      </c>
      <c r="D69" s="128" t="s">
        <v>183</v>
      </c>
      <c r="E69" s="127" t="s">
        <v>301</v>
      </c>
      <c r="F69" s="127" t="s">
        <v>300</v>
      </c>
      <c r="G69" s="127" t="s">
        <v>42</v>
      </c>
      <c r="H69" s="53" t="s">
        <v>193</v>
      </c>
      <c r="I69" s="53" t="s">
        <v>159</v>
      </c>
      <c r="J69" s="127" t="s">
        <v>38</v>
      </c>
      <c r="K69" s="53" t="s">
        <v>161</v>
      </c>
      <c r="L69" s="53">
        <v>2</v>
      </c>
      <c r="N69" s="53">
        <v>4</v>
      </c>
      <c r="O69" s="53">
        <v>0.5</v>
      </c>
      <c r="P69" s="53">
        <v>0.5</v>
      </c>
      <c r="Q69" s="75">
        <f t="shared" si="3"/>
        <v>0.5</v>
      </c>
      <c r="R69" s="53">
        <v>17.399999999999999</v>
      </c>
      <c r="S69" s="53">
        <v>74</v>
      </c>
      <c r="T69" s="16">
        <f t="shared" si="4"/>
        <v>42</v>
      </c>
      <c r="U69" s="53">
        <v>321</v>
      </c>
      <c r="V69" s="129">
        <f t="shared" si="5"/>
        <v>3370.5</v>
      </c>
      <c r="W69" s="53">
        <v>16</v>
      </c>
      <c r="X69" s="127" t="s">
        <v>46</v>
      </c>
      <c r="Y69" s="53" t="s">
        <v>97</v>
      </c>
      <c r="Z69" s="53" t="s">
        <v>78</v>
      </c>
      <c r="AA69" s="53" t="s">
        <v>55</v>
      </c>
      <c r="AB69" s="127" t="s">
        <v>258</v>
      </c>
      <c r="AC69" s="34"/>
    </row>
    <row r="70" spans="1:29" x14ac:dyDescent="0.15">
      <c r="A70" s="127" t="s">
        <v>61</v>
      </c>
      <c r="B70" s="127" t="s">
        <v>232</v>
      </c>
      <c r="C70" s="127">
        <v>2019</v>
      </c>
      <c r="D70" s="128" t="s">
        <v>183</v>
      </c>
      <c r="E70" s="127" t="s">
        <v>301</v>
      </c>
      <c r="F70" s="127" t="s">
        <v>300</v>
      </c>
      <c r="G70" s="127" t="s">
        <v>42</v>
      </c>
      <c r="H70" s="53" t="s">
        <v>193</v>
      </c>
      <c r="I70" s="53" t="s">
        <v>159</v>
      </c>
      <c r="J70" s="127" t="s">
        <v>38</v>
      </c>
      <c r="K70" s="53" t="s">
        <v>161</v>
      </c>
      <c r="L70" s="53">
        <v>3</v>
      </c>
      <c r="N70" s="53">
        <v>4</v>
      </c>
      <c r="O70" s="53">
        <v>0.5</v>
      </c>
      <c r="P70" s="53">
        <v>0.5</v>
      </c>
      <c r="Q70" s="75">
        <f t="shared" si="3"/>
        <v>0.5</v>
      </c>
      <c r="R70" s="53">
        <v>18.2</v>
      </c>
      <c r="S70" s="53">
        <v>73</v>
      </c>
      <c r="T70" s="16">
        <f t="shared" si="4"/>
        <v>42</v>
      </c>
      <c r="U70" s="53">
        <v>321</v>
      </c>
      <c r="V70" s="129">
        <f t="shared" si="5"/>
        <v>3370.5</v>
      </c>
      <c r="W70" s="53">
        <v>16</v>
      </c>
      <c r="X70" s="127" t="s">
        <v>46</v>
      </c>
      <c r="Y70" s="53" t="s">
        <v>97</v>
      </c>
      <c r="Z70" s="53" t="s">
        <v>78</v>
      </c>
      <c r="AA70" s="53" t="s">
        <v>55</v>
      </c>
      <c r="AB70" s="127" t="s">
        <v>258</v>
      </c>
      <c r="AC70" s="34"/>
    </row>
    <row r="71" spans="1:29" x14ac:dyDescent="0.15">
      <c r="A71" s="127" t="s">
        <v>61</v>
      </c>
      <c r="B71" s="127" t="s">
        <v>232</v>
      </c>
      <c r="C71" s="127">
        <v>2019</v>
      </c>
      <c r="D71" s="128" t="s">
        <v>183</v>
      </c>
      <c r="E71" s="127" t="s">
        <v>301</v>
      </c>
      <c r="F71" s="127" t="s">
        <v>300</v>
      </c>
      <c r="G71" s="127" t="s">
        <v>42</v>
      </c>
      <c r="H71" s="53" t="s">
        <v>160</v>
      </c>
      <c r="I71" s="53" t="s">
        <v>159</v>
      </c>
      <c r="J71" s="127" t="s">
        <v>38</v>
      </c>
      <c r="K71" s="53" t="s">
        <v>161</v>
      </c>
      <c r="L71" s="53">
        <v>1</v>
      </c>
      <c r="N71" s="53">
        <v>1</v>
      </c>
      <c r="O71" s="53">
        <v>0.85</v>
      </c>
      <c r="P71" s="53">
        <v>0.9</v>
      </c>
      <c r="Q71" s="75">
        <f t="shared" si="3"/>
        <v>0.875</v>
      </c>
      <c r="R71" s="53">
        <v>17.2</v>
      </c>
      <c r="S71" s="53">
        <v>139</v>
      </c>
      <c r="T71" s="16">
        <f t="shared" si="4"/>
        <v>22</v>
      </c>
      <c r="U71" s="53">
        <v>414</v>
      </c>
      <c r="V71" s="129">
        <f t="shared" si="5"/>
        <v>9108</v>
      </c>
      <c r="W71" s="53">
        <v>16</v>
      </c>
      <c r="X71" s="127" t="s">
        <v>46</v>
      </c>
      <c r="Y71" s="53" t="s">
        <v>97</v>
      </c>
      <c r="Z71" s="53" t="s">
        <v>78</v>
      </c>
      <c r="AA71" s="53" t="s">
        <v>55</v>
      </c>
      <c r="AB71" s="127" t="s">
        <v>258</v>
      </c>
    </row>
    <row r="72" spans="1:29" x14ac:dyDescent="0.15">
      <c r="A72" s="127" t="s">
        <v>61</v>
      </c>
      <c r="B72" s="127" t="s">
        <v>232</v>
      </c>
      <c r="C72" s="127">
        <v>2019</v>
      </c>
      <c r="D72" s="128" t="s">
        <v>183</v>
      </c>
      <c r="E72" s="127" t="s">
        <v>301</v>
      </c>
      <c r="F72" s="127" t="s">
        <v>300</v>
      </c>
      <c r="G72" s="127" t="s">
        <v>42</v>
      </c>
      <c r="H72" s="53" t="s">
        <v>160</v>
      </c>
      <c r="I72" s="53" t="s">
        <v>159</v>
      </c>
      <c r="J72" s="127" t="s">
        <v>38</v>
      </c>
      <c r="K72" s="53" t="s">
        <v>161</v>
      </c>
      <c r="L72" s="53">
        <v>2</v>
      </c>
      <c r="N72" s="53">
        <v>1</v>
      </c>
      <c r="O72" s="53">
        <v>1.25</v>
      </c>
      <c r="P72" s="53">
        <v>0.85</v>
      </c>
      <c r="Q72" s="75">
        <f t="shared" si="3"/>
        <v>1.05</v>
      </c>
      <c r="R72" s="53">
        <v>17.600000000000001</v>
      </c>
      <c r="S72" s="53">
        <v>147</v>
      </c>
      <c r="T72" s="16">
        <f t="shared" si="4"/>
        <v>22</v>
      </c>
      <c r="U72" s="53">
        <v>414</v>
      </c>
      <c r="V72" s="129">
        <f t="shared" si="5"/>
        <v>9108</v>
      </c>
      <c r="W72" s="53">
        <v>16</v>
      </c>
      <c r="X72" s="127" t="s">
        <v>46</v>
      </c>
      <c r="Y72" s="53" t="s">
        <v>97</v>
      </c>
      <c r="Z72" s="53" t="s">
        <v>78</v>
      </c>
      <c r="AA72" s="53" t="s">
        <v>55</v>
      </c>
      <c r="AB72" s="127" t="s">
        <v>258</v>
      </c>
    </row>
    <row r="73" spans="1:29" x14ac:dyDescent="0.15">
      <c r="A73" s="127" t="s">
        <v>61</v>
      </c>
      <c r="B73" s="127" t="s">
        <v>232</v>
      </c>
      <c r="C73" s="127">
        <v>2019</v>
      </c>
      <c r="D73" s="128" t="s">
        <v>183</v>
      </c>
      <c r="E73" s="127" t="s">
        <v>301</v>
      </c>
      <c r="F73" s="127" t="s">
        <v>300</v>
      </c>
      <c r="G73" s="127" t="s">
        <v>42</v>
      </c>
      <c r="H73" s="53" t="s">
        <v>160</v>
      </c>
      <c r="I73" s="53" t="s">
        <v>159</v>
      </c>
      <c r="J73" s="127" t="s">
        <v>38</v>
      </c>
      <c r="K73" s="53" t="s">
        <v>161</v>
      </c>
      <c r="L73" s="53">
        <v>3</v>
      </c>
      <c r="N73" s="53">
        <v>1</v>
      </c>
      <c r="O73" s="53">
        <v>1.1000000000000001</v>
      </c>
      <c r="P73" s="53">
        <v>0.75</v>
      </c>
      <c r="Q73" s="75">
        <f t="shared" si="3"/>
        <v>0.92500000000000004</v>
      </c>
      <c r="R73" s="53">
        <v>17.3</v>
      </c>
      <c r="S73" s="53">
        <v>139</v>
      </c>
      <c r="T73" s="16">
        <f t="shared" si="4"/>
        <v>22</v>
      </c>
      <c r="U73" s="53">
        <v>414</v>
      </c>
      <c r="V73" s="129">
        <f t="shared" si="5"/>
        <v>9108</v>
      </c>
      <c r="W73" s="53">
        <v>16</v>
      </c>
      <c r="X73" s="127" t="s">
        <v>46</v>
      </c>
      <c r="Y73" s="53" t="s">
        <v>97</v>
      </c>
      <c r="Z73" s="53" t="s">
        <v>78</v>
      </c>
      <c r="AA73" s="53" t="s">
        <v>55</v>
      </c>
      <c r="AB73" s="127" t="s">
        <v>258</v>
      </c>
    </row>
    <row r="74" spans="1:29" x14ac:dyDescent="0.15">
      <c r="A74" s="127"/>
      <c r="B74" s="127"/>
      <c r="C74" s="127"/>
      <c r="D74" s="128"/>
      <c r="E74" s="127"/>
      <c r="F74" s="127"/>
      <c r="G74" s="127"/>
      <c r="J74" s="127"/>
      <c r="Q74" s="75" t="str">
        <f t="shared" si="3"/>
        <v/>
      </c>
      <c r="T74" s="16" t="str">
        <f t="shared" si="4"/>
        <v/>
      </c>
      <c r="V74" s="129" t="str">
        <f t="shared" si="5"/>
        <v/>
      </c>
      <c r="X74" s="127"/>
      <c r="AB74" s="127"/>
      <c r="AC74" s="34"/>
    </row>
    <row r="75" spans="1:29" x14ac:dyDescent="0.15">
      <c r="A75" s="127"/>
      <c r="B75" s="127"/>
      <c r="C75" s="127"/>
      <c r="D75" s="128"/>
      <c r="E75" s="127"/>
      <c r="F75" s="127"/>
      <c r="G75" s="127"/>
      <c r="J75" s="127"/>
      <c r="Q75" s="75" t="str">
        <f t="shared" si="3"/>
        <v/>
      </c>
      <c r="R75" s="34"/>
      <c r="T75" s="16" t="str">
        <f t="shared" si="4"/>
        <v/>
      </c>
      <c r="V75" s="129" t="str">
        <f t="shared" si="5"/>
        <v/>
      </c>
      <c r="X75" s="127"/>
      <c r="AB75" s="127"/>
      <c r="AC75" s="34"/>
    </row>
    <row r="76" spans="1:29" x14ac:dyDescent="0.15">
      <c r="A76" s="127"/>
      <c r="B76" s="127"/>
      <c r="C76" s="127"/>
      <c r="D76" s="128"/>
      <c r="F76" s="127"/>
      <c r="G76" s="127"/>
      <c r="J76" s="127"/>
      <c r="Q76" s="75" t="str">
        <f t="shared" si="3"/>
        <v/>
      </c>
      <c r="R76" s="34"/>
      <c r="T76" s="16" t="str">
        <f t="shared" si="4"/>
        <v/>
      </c>
      <c r="V76" s="129" t="str">
        <f t="shared" si="5"/>
        <v/>
      </c>
      <c r="X76" s="127"/>
      <c r="AB76" s="127"/>
      <c r="AC76" s="34"/>
    </row>
    <row r="77" spans="1:29" x14ac:dyDescent="0.15">
      <c r="A77" s="127"/>
      <c r="B77" s="127"/>
      <c r="C77" s="127"/>
      <c r="D77" s="128"/>
      <c r="F77" s="127"/>
      <c r="G77" s="127"/>
      <c r="J77" s="127"/>
      <c r="Q77" s="75" t="str">
        <f t="shared" si="3"/>
        <v/>
      </c>
      <c r="T77" s="16" t="str">
        <f t="shared" si="4"/>
        <v/>
      </c>
      <c r="V77" s="129" t="str">
        <f t="shared" si="5"/>
        <v/>
      </c>
      <c r="X77" s="127"/>
      <c r="AB77" s="127"/>
      <c r="AC77" s="34"/>
    </row>
    <row r="78" spans="1:29" x14ac:dyDescent="0.15">
      <c r="A78" s="127"/>
      <c r="B78" s="127"/>
      <c r="C78" s="127"/>
      <c r="D78" s="128"/>
      <c r="F78" s="127"/>
      <c r="G78" s="127"/>
      <c r="J78" s="127"/>
      <c r="Q78" s="75" t="str">
        <f t="shared" si="3"/>
        <v/>
      </c>
      <c r="T78" s="16" t="str">
        <f t="shared" si="4"/>
        <v/>
      </c>
      <c r="V78" s="129" t="str">
        <f t="shared" si="5"/>
        <v/>
      </c>
      <c r="X78" s="127"/>
      <c r="AB78" s="127"/>
      <c r="AC78" s="34"/>
    </row>
    <row r="79" spans="1:29" x14ac:dyDescent="0.15">
      <c r="A79" s="127"/>
      <c r="B79" s="127"/>
      <c r="C79" s="127"/>
      <c r="D79" s="128"/>
      <c r="G79" s="127"/>
      <c r="J79" s="127"/>
      <c r="Q79" s="75" t="str">
        <f t="shared" si="3"/>
        <v/>
      </c>
      <c r="T79" s="16" t="str">
        <f t="shared" si="4"/>
        <v/>
      </c>
      <c r="V79" s="129" t="str">
        <f t="shared" si="5"/>
        <v/>
      </c>
      <c r="X79" s="127"/>
      <c r="AB79" s="127"/>
      <c r="AC79" s="34"/>
    </row>
    <row r="80" spans="1:29" x14ac:dyDescent="0.15">
      <c r="A80" s="127"/>
      <c r="B80" s="127"/>
      <c r="C80" s="127"/>
      <c r="D80" s="128"/>
      <c r="G80" s="127"/>
      <c r="J80" s="127"/>
      <c r="Q80" s="75"/>
      <c r="V80" s="129"/>
      <c r="X80" s="127"/>
      <c r="AB80" s="127"/>
    </row>
    <row r="81" spans="1:28" x14ac:dyDescent="0.15">
      <c r="A81" s="127"/>
      <c r="B81" s="127"/>
      <c r="C81" s="127"/>
      <c r="D81" s="128"/>
      <c r="G81" s="127"/>
      <c r="J81" s="127"/>
      <c r="Q81" s="75"/>
      <c r="V81" s="129"/>
      <c r="X81" s="127"/>
      <c r="AB81" s="127"/>
    </row>
    <row r="82" spans="1:28" x14ac:dyDescent="0.15">
      <c r="A82" s="127"/>
      <c r="B82" s="127"/>
      <c r="C82" s="127"/>
      <c r="D82" s="128"/>
      <c r="G82" s="127"/>
      <c r="J82" s="127"/>
      <c r="Q82" s="75"/>
      <c r="V82" s="129"/>
      <c r="X82" s="127"/>
      <c r="AB82" s="127"/>
    </row>
    <row r="83" spans="1:28" x14ac:dyDescent="0.15">
      <c r="A83" s="127"/>
      <c r="B83" s="127"/>
      <c r="C83" s="127"/>
      <c r="D83" s="128"/>
      <c r="G83" s="127"/>
      <c r="J83" s="127"/>
      <c r="Q83" s="75" t="str">
        <f t="shared" ref="Q83:Q85" si="6">IF(OR(O83="",P83=""),"",AVERAGE(O83,P83))</f>
        <v/>
      </c>
      <c r="T83" s="16" t="str">
        <f>IF(H83="","",IF(OR(H83="GREEN",H83="GK"),IF(S83&gt;=$AX$2,VLOOKUP(S83,$AX$2:$AY$15,2,1),""),IF(S83&gt;=$AZ$2,VLOOKUP(S83,$AZ$2:$BA$15,2,1),"")))</f>
        <v/>
      </c>
      <c r="V83" s="129" t="str">
        <f t="shared" ref="V83:V85" si="7">IF(OR(N83="",U83="",T83=""),"",U83/N83*T83)</f>
        <v/>
      </c>
      <c r="X83" s="127"/>
      <c r="AB83" s="127"/>
    </row>
    <row r="84" spans="1:28" x14ac:dyDescent="0.15">
      <c r="A84" s="127"/>
      <c r="B84" s="127"/>
      <c r="C84" s="127"/>
      <c r="D84" s="128"/>
      <c r="G84" s="127"/>
      <c r="J84" s="127"/>
      <c r="Q84" s="75" t="str">
        <f t="shared" si="6"/>
        <v/>
      </c>
      <c r="T84" s="16" t="str">
        <f>IF(H84="","",IF(OR(H84="GREEN",H84="GK"),IF(S84&gt;=$AX$2,VLOOKUP(S84,$AX$2:$AY$15,2,1),""),IF(S84&gt;=$AZ$2,VLOOKUP(S84,$AZ$2:$BA$15,2,1),"")))</f>
        <v/>
      </c>
      <c r="V84" s="129" t="str">
        <f t="shared" si="7"/>
        <v/>
      </c>
      <c r="X84" s="127"/>
      <c r="AB84" s="127"/>
    </row>
    <row r="85" spans="1:28" x14ac:dyDescent="0.15">
      <c r="A85" s="127"/>
      <c r="B85" s="127"/>
      <c r="C85" s="127"/>
      <c r="D85" s="128"/>
      <c r="G85" s="127"/>
      <c r="J85" s="127"/>
      <c r="Q85" s="75" t="str">
        <f t="shared" si="6"/>
        <v/>
      </c>
      <c r="T85" s="16" t="str">
        <f>IF(H85="","",IF(OR(H85="GREEN",H85="GK"),IF(S85&gt;=$AX$2,VLOOKUP(S85,$AX$2:$AY$15,2,1),""),IF(S85&gt;=$AZ$2,VLOOKUP(S85,$AZ$2:$BA$15,2,1),"")))</f>
        <v/>
      </c>
      <c r="V85" s="129" t="str">
        <f t="shared" si="7"/>
        <v/>
      </c>
      <c r="X85" s="127"/>
      <c r="AB85" s="127"/>
    </row>
    <row r="86" spans="1:28" x14ac:dyDescent="0.15">
      <c r="A86" s="127"/>
      <c r="B86" s="127"/>
      <c r="C86" s="127"/>
      <c r="D86" s="128"/>
      <c r="G86" s="127"/>
      <c r="J86" s="127"/>
      <c r="Q86" s="75"/>
      <c r="V86" s="129"/>
      <c r="X86" s="127"/>
      <c r="AB86" s="127"/>
    </row>
    <row r="87" spans="1:28" x14ac:dyDescent="0.15">
      <c r="A87" s="127"/>
      <c r="B87" s="127"/>
      <c r="C87" s="127"/>
      <c r="D87" s="128"/>
      <c r="G87" s="127"/>
      <c r="J87" s="127"/>
      <c r="Q87" s="75"/>
      <c r="V87" s="129"/>
      <c r="X87" s="127"/>
      <c r="AB87" s="127"/>
    </row>
    <row r="88" spans="1:28" x14ac:dyDescent="0.15">
      <c r="A88" s="127"/>
      <c r="B88" s="127"/>
      <c r="C88" s="127"/>
      <c r="D88" s="128"/>
      <c r="G88" s="127"/>
      <c r="J88" s="127"/>
      <c r="Q88" s="75"/>
      <c r="V88" s="129"/>
      <c r="X88" s="127"/>
      <c r="AB88" s="127"/>
    </row>
    <row r="89" spans="1:28" x14ac:dyDescent="0.15">
      <c r="A89" s="127"/>
      <c r="B89" s="127"/>
      <c r="C89" s="127"/>
      <c r="D89" s="128"/>
      <c r="G89" s="127"/>
      <c r="J89" s="127"/>
      <c r="Q89" s="75"/>
      <c r="V89" s="129"/>
      <c r="X89" s="127"/>
      <c r="AB89" s="127"/>
    </row>
    <row r="90" spans="1:28" x14ac:dyDescent="0.15">
      <c r="A90" s="127"/>
      <c r="B90" s="127"/>
      <c r="C90" s="127"/>
      <c r="D90" s="128"/>
      <c r="G90" s="127"/>
      <c r="J90" s="127"/>
      <c r="Q90" s="75"/>
      <c r="V90" s="129"/>
      <c r="X90" s="127"/>
      <c r="AB90" s="127"/>
    </row>
    <row r="91" spans="1:28" x14ac:dyDescent="0.15">
      <c r="A91" s="127"/>
      <c r="B91" s="127"/>
      <c r="C91" s="127"/>
      <c r="D91" s="128"/>
      <c r="G91" s="127"/>
      <c r="J91" s="127"/>
      <c r="Q91" s="75"/>
      <c r="V91" s="129"/>
      <c r="X91" s="127"/>
      <c r="AB91" s="127"/>
    </row>
    <row r="92" spans="1:28" x14ac:dyDescent="0.15">
      <c r="A92" s="127"/>
      <c r="B92" s="127"/>
      <c r="C92" s="127"/>
      <c r="D92" s="128"/>
      <c r="G92" s="127"/>
      <c r="J92" s="127"/>
      <c r="Q92" s="75"/>
      <c r="V92" s="129"/>
      <c r="X92" s="127"/>
      <c r="AB92" s="127"/>
    </row>
    <row r="93" spans="1:28" x14ac:dyDescent="0.15">
      <c r="A93" s="127"/>
      <c r="B93" s="127"/>
      <c r="C93" s="127"/>
      <c r="D93" s="128"/>
      <c r="G93" s="127"/>
      <c r="J93" s="127"/>
      <c r="Q93" s="75"/>
      <c r="V93" s="129"/>
      <c r="X93" s="127"/>
      <c r="AB93" s="127"/>
    </row>
    <row r="94" spans="1:28" x14ac:dyDescent="0.15">
      <c r="A94" s="127"/>
      <c r="B94" s="127"/>
      <c r="C94" s="127"/>
      <c r="D94" s="128"/>
      <c r="G94" s="127"/>
      <c r="J94" s="127"/>
      <c r="Q94" s="75"/>
      <c r="V94" s="129"/>
      <c r="X94" s="127"/>
      <c r="AB94" s="127"/>
    </row>
    <row r="95" spans="1:28" x14ac:dyDescent="0.15">
      <c r="A95" s="127"/>
      <c r="B95" s="127"/>
      <c r="C95" s="127"/>
      <c r="D95" s="128"/>
      <c r="G95" s="127"/>
      <c r="J95" s="127"/>
      <c r="Q95" s="75"/>
      <c r="V95" s="129"/>
      <c r="X95" s="127"/>
      <c r="AB95" s="127"/>
    </row>
    <row r="96" spans="1:28" x14ac:dyDescent="0.15">
      <c r="A96" s="127"/>
      <c r="B96" s="127"/>
      <c r="C96" s="127"/>
      <c r="D96" s="128"/>
      <c r="G96" s="127"/>
      <c r="J96" s="127"/>
      <c r="Q96" s="75"/>
      <c r="V96" s="129"/>
      <c r="X96" s="127"/>
      <c r="AB96" s="127"/>
    </row>
    <row r="97" spans="1:28" x14ac:dyDescent="0.15">
      <c r="A97" s="127"/>
      <c r="B97" s="127"/>
      <c r="C97" s="127"/>
      <c r="D97" s="128"/>
      <c r="G97" s="127"/>
      <c r="J97" s="127"/>
      <c r="Q97" s="75"/>
      <c r="V97" s="129"/>
      <c r="X97" s="127"/>
      <c r="AB97" s="127"/>
    </row>
    <row r="98" spans="1:28" x14ac:dyDescent="0.15">
      <c r="A98" s="127"/>
      <c r="B98" s="127"/>
      <c r="C98" s="127"/>
      <c r="D98" s="128"/>
      <c r="G98" s="127"/>
      <c r="J98" s="127"/>
      <c r="Q98" s="75"/>
      <c r="V98" s="129"/>
      <c r="X98" s="127"/>
      <c r="AB98" s="127"/>
    </row>
    <row r="99" spans="1:28" x14ac:dyDescent="0.15">
      <c r="A99" s="127"/>
      <c r="B99" s="127"/>
      <c r="C99" s="127"/>
      <c r="D99" s="128"/>
      <c r="G99" s="127"/>
      <c r="J99" s="127"/>
      <c r="Q99" s="75"/>
      <c r="V99" s="129"/>
      <c r="X99" s="127"/>
      <c r="AB99" s="127"/>
    </row>
    <row r="100" spans="1:28" x14ac:dyDescent="0.15">
      <c r="A100" s="127"/>
      <c r="B100" s="127"/>
      <c r="C100" s="127"/>
      <c r="D100" s="128"/>
      <c r="G100" s="127"/>
      <c r="J100" s="127"/>
      <c r="Q100" s="75"/>
      <c r="V100" s="129"/>
      <c r="X100" s="127"/>
      <c r="AB100" s="127"/>
    </row>
    <row r="101" spans="1:28" x14ac:dyDescent="0.15">
      <c r="D101" s="128"/>
    </row>
    <row r="102" spans="1:28" x14ac:dyDescent="0.15">
      <c r="A102" s="127"/>
      <c r="B102" s="127"/>
      <c r="C102" s="127"/>
      <c r="D102" s="128"/>
      <c r="G102" s="127"/>
      <c r="J102" s="127"/>
      <c r="Q102" s="75"/>
      <c r="V102" s="129"/>
      <c r="X102" s="127"/>
      <c r="AB102" s="127"/>
    </row>
    <row r="103" spans="1:28" x14ac:dyDescent="0.15">
      <c r="A103" s="127"/>
      <c r="B103" s="127"/>
      <c r="C103" s="127"/>
      <c r="G103" s="127"/>
      <c r="J103" s="127"/>
      <c r="Q103" s="75"/>
      <c r="V103" s="129"/>
      <c r="X103" s="127"/>
      <c r="AB103" s="127"/>
    </row>
    <row r="104" spans="1:28" x14ac:dyDescent="0.15">
      <c r="A104" s="127"/>
      <c r="B104" s="127"/>
      <c r="C104" s="127"/>
      <c r="D104" s="128"/>
      <c r="G104" s="127"/>
      <c r="J104" s="127"/>
      <c r="Q104" s="75"/>
      <c r="V104" s="129"/>
      <c r="X104" s="127"/>
      <c r="AB104" s="127"/>
    </row>
    <row r="105" spans="1:28" x14ac:dyDescent="0.15">
      <c r="A105" s="127"/>
      <c r="B105" s="127"/>
      <c r="C105" s="127"/>
      <c r="D105" s="128"/>
      <c r="G105" s="127"/>
      <c r="J105" s="127"/>
      <c r="Q105" s="75"/>
      <c r="V105" s="129"/>
      <c r="X105" s="127"/>
      <c r="AB105" s="127"/>
    </row>
    <row r="106" spans="1:28" x14ac:dyDescent="0.15">
      <c r="A106" s="127"/>
      <c r="B106" s="127"/>
      <c r="C106" s="127"/>
      <c r="D106" s="128"/>
      <c r="G106" s="127"/>
      <c r="J106" s="127"/>
      <c r="Q106" s="75"/>
      <c r="V106" s="129"/>
      <c r="X106" s="127"/>
      <c r="AB106" s="127"/>
    </row>
    <row r="107" spans="1:28" x14ac:dyDescent="0.15">
      <c r="A107" s="127"/>
      <c r="B107" s="127"/>
      <c r="C107" s="127"/>
      <c r="D107" s="128"/>
      <c r="G107" s="127"/>
      <c r="J107" s="127"/>
      <c r="Q107" s="75"/>
      <c r="V107" s="129"/>
      <c r="X107" s="127"/>
      <c r="AB107" s="127"/>
    </row>
    <row r="108" spans="1:28" x14ac:dyDescent="0.15">
      <c r="A108" s="127"/>
      <c r="B108" s="127"/>
      <c r="C108" s="127"/>
      <c r="D108" s="128"/>
      <c r="G108" s="127"/>
      <c r="J108" s="127"/>
      <c r="Q108" s="75"/>
      <c r="V108" s="129"/>
      <c r="X108" s="127"/>
      <c r="AB108" s="127"/>
    </row>
    <row r="109" spans="1:28" x14ac:dyDescent="0.15">
      <c r="A109" s="127"/>
      <c r="B109" s="127"/>
      <c r="C109" s="127"/>
      <c r="D109" s="128"/>
      <c r="G109" s="127"/>
      <c r="J109" s="127"/>
      <c r="Q109" s="75"/>
      <c r="V109" s="129"/>
      <c r="X109" s="127"/>
      <c r="AB109" s="127"/>
    </row>
    <row r="110" spans="1:28" x14ac:dyDescent="0.15">
      <c r="A110" s="127"/>
      <c r="B110" s="127"/>
      <c r="C110" s="127"/>
      <c r="D110" s="128"/>
      <c r="G110" s="127"/>
      <c r="J110" s="127"/>
      <c r="Q110" s="75"/>
      <c r="V110" s="129"/>
      <c r="X110" s="127"/>
      <c r="AB110" s="127"/>
    </row>
    <row r="111" spans="1:28" x14ac:dyDescent="0.15">
      <c r="A111" s="127"/>
      <c r="B111" s="127"/>
      <c r="C111" s="127"/>
      <c r="D111" s="128"/>
      <c r="G111" s="127"/>
      <c r="J111" s="127"/>
      <c r="Q111" s="75"/>
      <c r="V111" s="129"/>
      <c r="X111" s="127"/>
      <c r="AB111" s="127"/>
    </row>
    <row r="112" spans="1:28" x14ac:dyDescent="0.15">
      <c r="A112" s="127"/>
      <c r="B112" s="127"/>
      <c r="C112" s="127"/>
      <c r="D112" s="128"/>
      <c r="G112" s="127"/>
      <c r="J112" s="127"/>
      <c r="Q112" s="75"/>
      <c r="V112" s="129"/>
      <c r="X112" s="127"/>
      <c r="AB112" s="127"/>
    </row>
    <row r="113" spans="1:28" x14ac:dyDescent="0.15">
      <c r="A113" s="127"/>
      <c r="B113" s="127"/>
      <c r="C113" s="127"/>
      <c r="D113" s="128"/>
      <c r="G113" s="127"/>
      <c r="J113" s="127"/>
      <c r="Q113" s="75"/>
      <c r="V113" s="129"/>
      <c r="X113" s="127"/>
      <c r="AB113" s="127"/>
    </row>
    <row r="114" spans="1:28" x14ac:dyDescent="0.15">
      <c r="A114" s="127"/>
      <c r="B114" s="127"/>
      <c r="C114" s="127"/>
      <c r="D114" s="128"/>
      <c r="G114" s="127"/>
      <c r="J114" s="127"/>
      <c r="Q114" s="75"/>
      <c r="V114" s="129"/>
      <c r="X114" s="127"/>
      <c r="AB114" s="127"/>
    </row>
    <row r="115" spans="1:28" x14ac:dyDescent="0.15">
      <c r="A115" s="127"/>
      <c r="B115" s="127"/>
      <c r="C115" s="127"/>
      <c r="D115" s="128"/>
      <c r="G115" s="127"/>
      <c r="J115" s="127"/>
      <c r="Q115" s="75"/>
      <c r="V115" s="129"/>
      <c r="X115" s="127"/>
      <c r="AB115" s="127"/>
    </row>
    <row r="116" spans="1:28" x14ac:dyDescent="0.15">
      <c r="A116" s="127"/>
      <c r="B116" s="127"/>
      <c r="C116" s="127"/>
      <c r="D116" s="128"/>
      <c r="G116" s="127"/>
      <c r="J116" s="127"/>
      <c r="Q116" s="75"/>
      <c r="V116" s="129"/>
      <c r="X116" s="127"/>
      <c r="AB116" s="127"/>
    </row>
    <row r="117" spans="1:28" x14ac:dyDescent="0.15">
      <c r="A117" s="127"/>
      <c r="B117" s="127"/>
      <c r="C117" s="127"/>
      <c r="D117" s="128"/>
      <c r="G117" s="127"/>
      <c r="J117" s="127"/>
      <c r="Q117" s="75"/>
      <c r="V117" s="129"/>
      <c r="X117" s="127"/>
      <c r="AB117" s="127"/>
    </row>
    <row r="118" spans="1:28" x14ac:dyDescent="0.15">
      <c r="A118" s="127"/>
      <c r="B118" s="127"/>
      <c r="C118" s="127"/>
      <c r="D118" s="128"/>
      <c r="G118" s="127"/>
      <c r="J118" s="127"/>
      <c r="Q118" s="75"/>
      <c r="V118" s="129"/>
      <c r="X118" s="127"/>
      <c r="AB118" s="127"/>
    </row>
    <row r="119" spans="1:28" x14ac:dyDescent="0.15">
      <c r="D119" s="128"/>
    </row>
    <row r="120" spans="1:28" x14ac:dyDescent="0.15">
      <c r="D120" s="128"/>
    </row>
  </sheetData>
  <autoFilter ref="A1:BA1" xr:uid="{00000000-0009-0000-0000-000004000000}"/>
  <phoneticPr fontId="3"/>
  <dataValidations count="21">
    <dataValidation type="list" allowBlank="1" showInputMessage="1" showErrorMessage="1" sqref="K2:K126" xr:uid="{6E077040-4633-41C7-9ABA-E8598E56BAFF}">
      <formula1>$AR$2:$AR$26</formula1>
    </dataValidation>
    <dataValidation type="list" allowBlank="1" showInputMessage="1" showErrorMessage="1" sqref="I64412:I64417 WVQ981895:WVQ981900 WLU981895:WLU981900 WBY981895:WBY981900 VSC981895:VSC981900 VIG981895:VIG981900 UYK981895:UYK981900 UOO981895:UOO981900 UES981895:UES981900 TUW981895:TUW981900 TLA981895:TLA981900 TBE981895:TBE981900 SRI981895:SRI981900 SHM981895:SHM981900 RXQ981895:RXQ981900 RNU981895:RNU981900 RDY981895:RDY981900 QUC981895:QUC981900 QKG981895:QKG981900 QAK981895:QAK981900 PQO981895:PQO981900 PGS981895:PGS981900 OWW981895:OWW981900 ONA981895:ONA981900 ODE981895:ODE981900 NTI981895:NTI981900 NJM981895:NJM981900 MZQ981895:MZQ981900 MPU981895:MPU981900 MFY981895:MFY981900 LWC981895:LWC981900 LMG981895:LMG981900 LCK981895:LCK981900 KSO981895:KSO981900 KIS981895:KIS981900 JYW981895:JYW981900 JPA981895:JPA981900 JFE981895:JFE981900 IVI981895:IVI981900 ILM981895:ILM981900 IBQ981895:IBQ981900 HRU981895:HRU981900 HHY981895:HHY981900 GYC981895:GYC981900 GOG981895:GOG981900 GEK981895:GEK981900 FUO981895:FUO981900 FKS981895:FKS981900 FAW981895:FAW981900 ERA981895:ERA981900 EHE981895:EHE981900 DXI981895:DXI981900 DNM981895:DNM981900 DDQ981895:DDQ981900 CTU981895:CTU981900 CJY981895:CJY981900 CAC981895:CAC981900 BQG981895:BQG981900 BGK981895:BGK981900 AWO981895:AWO981900 AMS981895:AMS981900 ACW981895:ACW981900 TA981895:TA981900 JE981895:JE981900 I981916:I981921 WVQ916359:WVQ916364 WLU916359:WLU916364 WBY916359:WBY916364 VSC916359:VSC916364 VIG916359:VIG916364 UYK916359:UYK916364 UOO916359:UOO916364 UES916359:UES916364 TUW916359:TUW916364 TLA916359:TLA916364 TBE916359:TBE916364 SRI916359:SRI916364 SHM916359:SHM916364 RXQ916359:RXQ916364 RNU916359:RNU916364 RDY916359:RDY916364 QUC916359:QUC916364 QKG916359:QKG916364 QAK916359:QAK916364 PQO916359:PQO916364 PGS916359:PGS916364 OWW916359:OWW916364 ONA916359:ONA916364 ODE916359:ODE916364 NTI916359:NTI916364 NJM916359:NJM916364 MZQ916359:MZQ916364 MPU916359:MPU916364 MFY916359:MFY916364 LWC916359:LWC916364 LMG916359:LMG916364 LCK916359:LCK916364 KSO916359:KSO916364 KIS916359:KIS916364 JYW916359:JYW916364 JPA916359:JPA916364 JFE916359:JFE916364 IVI916359:IVI916364 ILM916359:ILM916364 IBQ916359:IBQ916364 HRU916359:HRU916364 HHY916359:HHY916364 GYC916359:GYC916364 GOG916359:GOG916364 GEK916359:GEK916364 FUO916359:FUO916364 FKS916359:FKS916364 FAW916359:FAW916364 ERA916359:ERA916364 EHE916359:EHE916364 DXI916359:DXI916364 DNM916359:DNM916364 DDQ916359:DDQ916364 CTU916359:CTU916364 CJY916359:CJY916364 CAC916359:CAC916364 BQG916359:BQG916364 BGK916359:BGK916364 AWO916359:AWO916364 AMS916359:AMS916364 ACW916359:ACW916364 TA916359:TA916364 JE916359:JE916364 I916380:I916385 WVQ850823:WVQ850828 WLU850823:WLU850828 WBY850823:WBY850828 VSC850823:VSC850828 VIG850823:VIG850828 UYK850823:UYK850828 UOO850823:UOO850828 UES850823:UES850828 TUW850823:TUW850828 TLA850823:TLA850828 TBE850823:TBE850828 SRI850823:SRI850828 SHM850823:SHM850828 RXQ850823:RXQ850828 RNU850823:RNU850828 RDY850823:RDY850828 QUC850823:QUC850828 QKG850823:QKG850828 QAK850823:QAK850828 PQO850823:PQO850828 PGS850823:PGS850828 OWW850823:OWW850828 ONA850823:ONA850828 ODE850823:ODE850828 NTI850823:NTI850828 NJM850823:NJM850828 MZQ850823:MZQ850828 MPU850823:MPU850828 MFY850823:MFY850828 LWC850823:LWC850828 LMG850823:LMG850828 LCK850823:LCK850828 KSO850823:KSO850828 KIS850823:KIS850828 JYW850823:JYW850828 JPA850823:JPA850828 JFE850823:JFE850828 IVI850823:IVI850828 ILM850823:ILM850828 IBQ850823:IBQ850828 HRU850823:HRU850828 HHY850823:HHY850828 GYC850823:GYC850828 GOG850823:GOG850828 GEK850823:GEK850828 FUO850823:FUO850828 FKS850823:FKS850828 FAW850823:FAW850828 ERA850823:ERA850828 EHE850823:EHE850828 DXI850823:DXI850828 DNM850823:DNM850828 DDQ850823:DDQ850828 CTU850823:CTU850828 CJY850823:CJY850828 CAC850823:CAC850828 BQG850823:BQG850828 BGK850823:BGK850828 AWO850823:AWO850828 AMS850823:AMS850828 ACW850823:ACW850828 TA850823:TA850828 JE850823:JE850828 I850844:I850849 WVQ785287:WVQ785292 WLU785287:WLU785292 WBY785287:WBY785292 VSC785287:VSC785292 VIG785287:VIG785292 UYK785287:UYK785292 UOO785287:UOO785292 UES785287:UES785292 TUW785287:TUW785292 TLA785287:TLA785292 TBE785287:TBE785292 SRI785287:SRI785292 SHM785287:SHM785292 RXQ785287:RXQ785292 RNU785287:RNU785292 RDY785287:RDY785292 QUC785287:QUC785292 QKG785287:QKG785292 QAK785287:QAK785292 PQO785287:PQO785292 PGS785287:PGS785292 OWW785287:OWW785292 ONA785287:ONA785292 ODE785287:ODE785292 NTI785287:NTI785292 NJM785287:NJM785292 MZQ785287:MZQ785292 MPU785287:MPU785292 MFY785287:MFY785292 LWC785287:LWC785292 LMG785287:LMG785292 LCK785287:LCK785292 KSO785287:KSO785292 KIS785287:KIS785292 JYW785287:JYW785292 JPA785287:JPA785292 JFE785287:JFE785292 IVI785287:IVI785292 ILM785287:ILM785292 IBQ785287:IBQ785292 HRU785287:HRU785292 HHY785287:HHY785292 GYC785287:GYC785292 GOG785287:GOG785292 GEK785287:GEK785292 FUO785287:FUO785292 FKS785287:FKS785292 FAW785287:FAW785292 ERA785287:ERA785292 EHE785287:EHE785292 DXI785287:DXI785292 DNM785287:DNM785292 DDQ785287:DDQ785292 CTU785287:CTU785292 CJY785287:CJY785292 CAC785287:CAC785292 BQG785287:BQG785292 BGK785287:BGK785292 AWO785287:AWO785292 AMS785287:AMS785292 ACW785287:ACW785292 TA785287:TA785292 JE785287:JE785292 I785308:I785313 WVQ719751:WVQ719756 WLU719751:WLU719756 WBY719751:WBY719756 VSC719751:VSC719756 VIG719751:VIG719756 UYK719751:UYK719756 UOO719751:UOO719756 UES719751:UES719756 TUW719751:TUW719756 TLA719751:TLA719756 TBE719751:TBE719756 SRI719751:SRI719756 SHM719751:SHM719756 RXQ719751:RXQ719756 RNU719751:RNU719756 RDY719751:RDY719756 QUC719751:QUC719756 QKG719751:QKG719756 QAK719751:QAK719756 PQO719751:PQO719756 PGS719751:PGS719756 OWW719751:OWW719756 ONA719751:ONA719756 ODE719751:ODE719756 NTI719751:NTI719756 NJM719751:NJM719756 MZQ719751:MZQ719756 MPU719751:MPU719756 MFY719751:MFY719756 LWC719751:LWC719756 LMG719751:LMG719756 LCK719751:LCK719756 KSO719751:KSO719756 KIS719751:KIS719756 JYW719751:JYW719756 JPA719751:JPA719756 JFE719751:JFE719756 IVI719751:IVI719756 ILM719751:ILM719756 IBQ719751:IBQ719756 HRU719751:HRU719756 HHY719751:HHY719756 GYC719751:GYC719756 GOG719751:GOG719756 GEK719751:GEK719756 FUO719751:FUO719756 FKS719751:FKS719756 FAW719751:FAW719756 ERA719751:ERA719756 EHE719751:EHE719756 DXI719751:DXI719756 DNM719751:DNM719756 DDQ719751:DDQ719756 CTU719751:CTU719756 CJY719751:CJY719756 CAC719751:CAC719756 BQG719751:BQG719756 BGK719751:BGK719756 AWO719751:AWO719756 AMS719751:AMS719756 ACW719751:ACW719756 TA719751:TA719756 JE719751:JE719756 I719772:I719777 WVQ654215:WVQ654220 WLU654215:WLU654220 WBY654215:WBY654220 VSC654215:VSC654220 VIG654215:VIG654220 UYK654215:UYK654220 UOO654215:UOO654220 UES654215:UES654220 TUW654215:TUW654220 TLA654215:TLA654220 TBE654215:TBE654220 SRI654215:SRI654220 SHM654215:SHM654220 RXQ654215:RXQ654220 RNU654215:RNU654220 RDY654215:RDY654220 QUC654215:QUC654220 QKG654215:QKG654220 QAK654215:QAK654220 PQO654215:PQO654220 PGS654215:PGS654220 OWW654215:OWW654220 ONA654215:ONA654220 ODE654215:ODE654220 NTI654215:NTI654220 NJM654215:NJM654220 MZQ654215:MZQ654220 MPU654215:MPU654220 MFY654215:MFY654220 LWC654215:LWC654220 LMG654215:LMG654220 LCK654215:LCK654220 KSO654215:KSO654220 KIS654215:KIS654220 JYW654215:JYW654220 JPA654215:JPA654220 JFE654215:JFE654220 IVI654215:IVI654220 ILM654215:ILM654220 IBQ654215:IBQ654220 HRU654215:HRU654220 HHY654215:HHY654220 GYC654215:GYC654220 GOG654215:GOG654220 GEK654215:GEK654220 FUO654215:FUO654220 FKS654215:FKS654220 FAW654215:FAW654220 ERA654215:ERA654220 EHE654215:EHE654220 DXI654215:DXI654220 DNM654215:DNM654220 DDQ654215:DDQ654220 CTU654215:CTU654220 CJY654215:CJY654220 CAC654215:CAC654220 BQG654215:BQG654220 BGK654215:BGK654220 AWO654215:AWO654220 AMS654215:AMS654220 ACW654215:ACW654220 TA654215:TA654220 JE654215:JE654220 I654236:I654241 WVQ588679:WVQ588684 WLU588679:WLU588684 WBY588679:WBY588684 VSC588679:VSC588684 VIG588679:VIG588684 UYK588679:UYK588684 UOO588679:UOO588684 UES588679:UES588684 TUW588679:TUW588684 TLA588679:TLA588684 TBE588679:TBE588684 SRI588679:SRI588684 SHM588679:SHM588684 RXQ588679:RXQ588684 RNU588679:RNU588684 RDY588679:RDY588684 QUC588679:QUC588684 QKG588679:QKG588684 QAK588679:QAK588684 PQO588679:PQO588684 PGS588679:PGS588684 OWW588679:OWW588684 ONA588679:ONA588684 ODE588679:ODE588684 NTI588679:NTI588684 NJM588679:NJM588684 MZQ588679:MZQ588684 MPU588679:MPU588684 MFY588679:MFY588684 LWC588679:LWC588684 LMG588679:LMG588684 LCK588679:LCK588684 KSO588679:KSO588684 KIS588679:KIS588684 JYW588679:JYW588684 JPA588679:JPA588684 JFE588679:JFE588684 IVI588679:IVI588684 ILM588679:ILM588684 IBQ588679:IBQ588684 HRU588679:HRU588684 HHY588679:HHY588684 GYC588679:GYC588684 GOG588679:GOG588684 GEK588679:GEK588684 FUO588679:FUO588684 FKS588679:FKS588684 FAW588679:FAW588684 ERA588679:ERA588684 EHE588679:EHE588684 DXI588679:DXI588684 DNM588679:DNM588684 DDQ588679:DDQ588684 CTU588679:CTU588684 CJY588679:CJY588684 CAC588679:CAC588684 BQG588679:BQG588684 BGK588679:BGK588684 AWO588679:AWO588684 AMS588679:AMS588684 ACW588679:ACW588684 TA588679:TA588684 JE588679:JE588684 I588700:I588705 WVQ523143:WVQ523148 WLU523143:WLU523148 WBY523143:WBY523148 VSC523143:VSC523148 VIG523143:VIG523148 UYK523143:UYK523148 UOO523143:UOO523148 UES523143:UES523148 TUW523143:TUW523148 TLA523143:TLA523148 TBE523143:TBE523148 SRI523143:SRI523148 SHM523143:SHM523148 RXQ523143:RXQ523148 RNU523143:RNU523148 RDY523143:RDY523148 QUC523143:QUC523148 QKG523143:QKG523148 QAK523143:QAK523148 PQO523143:PQO523148 PGS523143:PGS523148 OWW523143:OWW523148 ONA523143:ONA523148 ODE523143:ODE523148 NTI523143:NTI523148 NJM523143:NJM523148 MZQ523143:MZQ523148 MPU523143:MPU523148 MFY523143:MFY523148 LWC523143:LWC523148 LMG523143:LMG523148 LCK523143:LCK523148 KSO523143:KSO523148 KIS523143:KIS523148 JYW523143:JYW523148 JPA523143:JPA523148 JFE523143:JFE523148 IVI523143:IVI523148 ILM523143:ILM523148 IBQ523143:IBQ523148 HRU523143:HRU523148 HHY523143:HHY523148 GYC523143:GYC523148 GOG523143:GOG523148 GEK523143:GEK523148 FUO523143:FUO523148 FKS523143:FKS523148 FAW523143:FAW523148 ERA523143:ERA523148 EHE523143:EHE523148 DXI523143:DXI523148 DNM523143:DNM523148 DDQ523143:DDQ523148 CTU523143:CTU523148 CJY523143:CJY523148 CAC523143:CAC523148 BQG523143:BQG523148 BGK523143:BGK523148 AWO523143:AWO523148 AMS523143:AMS523148 ACW523143:ACW523148 TA523143:TA523148 JE523143:JE523148 I523164:I523169 WVQ457607:WVQ457612 WLU457607:WLU457612 WBY457607:WBY457612 VSC457607:VSC457612 VIG457607:VIG457612 UYK457607:UYK457612 UOO457607:UOO457612 UES457607:UES457612 TUW457607:TUW457612 TLA457607:TLA457612 TBE457607:TBE457612 SRI457607:SRI457612 SHM457607:SHM457612 RXQ457607:RXQ457612 RNU457607:RNU457612 RDY457607:RDY457612 QUC457607:QUC457612 QKG457607:QKG457612 QAK457607:QAK457612 PQO457607:PQO457612 PGS457607:PGS457612 OWW457607:OWW457612 ONA457607:ONA457612 ODE457607:ODE457612 NTI457607:NTI457612 NJM457607:NJM457612 MZQ457607:MZQ457612 MPU457607:MPU457612 MFY457607:MFY457612 LWC457607:LWC457612 LMG457607:LMG457612 LCK457607:LCK457612 KSO457607:KSO457612 KIS457607:KIS457612 JYW457607:JYW457612 JPA457607:JPA457612 JFE457607:JFE457612 IVI457607:IVI457612 ILM457607:ILM457612 IBQ457607:IBQ457612 HRU457607:HRU457612 HHY457607:HHY457612 GYC457607:GYC457612 GOG457607:GOG457612 GEK457607:GEK457612 FUO457607:FUO457612 FKS457607:FKS457612 FAW457607:FAW457612 ERA457607:ERA457612 EHE457607:EHE457612 DXI457607:DXI457612 DNM457607:DNM457612 DDQ457607:DDQ457612 CTU457607:CTU457612 CJY457607:CJY457612 CAC457607:CAC457612 BQG457607:BQG457612 BGK457607:BGK457612 AWO457607:AWO457612 AMS457607:AMS457612 ACW457607:ACW457612 TA457607:TA457612 JE457607:JE457612 I457628:I457633 WVQ392071:WVQ392076 WLU392071:WLU392076 WBY392071:WBY392076 VSC392071:VSC392076 VIG392071:VIG392076 UYK392071:UYK392076 UOO392071:UOO392076 UES392071:UES392076 TUW392071:TUW392076 TLA392071:TLA392076 TBE392071:TBE392076 SRI392071:SRI392076 SHM392071:SHM392076 RXQ392071:RXQ392076 RNU392071:RNU392076 RDY392071:RDY392076 QUC392071:QUC392076 QKG392071:QKG392076 QAK392071:QAK392076 PQO392071:PQO392076 PGS392071:PGS392076 OWW392071:OWW392076 ONA392071:ONA392076 ODE392071:ODE392076 NTI392071:NTI392076 NJM392071:NJM392076 MZQ392071:MZQ392076 MPU392071:MPU392076 MFY392071:MFY392076 LWC392071:LWC392076 LMG392071:LMG392076 LCK392071:LCK392076 KSO392071:KSO392076 KIS392071:KIS392076 JYW392071:JYW392076 JPA392071:JPA392076 JFE392071:JFE392076 IVI392071:IVI392076 ILM392071:ILM392076 IBQ392071:IBQ392076 HRU392071:HRU392076 HHY392071:HHY392076 GYC392071:GYC392076 GOG392071:GOG392076 GEK392071:GEK392076 FUO392071:FUO392076 FKS392071:FKS392076 FAW392071:FAW392076 ERA392071:ERA392076 EHE392071:EHE392076 DXI392071:DXI392076 DNM392071:DNM392076 DDQ392071:DDQ392076 CTU392071:CTU392076 CJY392071:CJY392076 CAC392071:CAC392076 BQG392071:BQG392076 BGK392071:BGK392076 AWO392071:AWO392076 AMS392071:AMS392076 ACW392071:ACW392076 TA392071:TA392076 JE392071:JE392076 I392092:I392097 WVQ326535:WVQ326540 WLU326535:WLU326540 WBY326535:WBY326540 VSC326535:VSC326540 VIG326535:VIG326540 UYK326535:UYK326540 UOO326535:UOO326540 UES326535:UES326540 TUW326535:TUW326540 TLA326535:TLA326540 TBE326535:TBE326540 SRI326535:SRI326540 SHM326535:SHM326540 RXQ326535:RXQ326540 RNU326535:RNU326540 RDY326535:RDY326540 QUC326535:QUC326540 QKG326535:QKG326540 QAK326535:QAK326540 PQO326535:PQO326540 PGS326535:PGS326540 OWW326535:OWW326540 ONA326535:ONA326540 ODE326535:ODE326540 NTI326535:NTI326540 NJM326535:NJM326540 MZQ326535:MZQ326540 MPU326535:MPU326540 MFY326535:MFY326540 LWC326535:LWC326540 LMG326535:LMG326540 LCK326535:LCK326540 KSO326535:KSO326540 KIS326535:KIS326540 JYW326535:JYW326540 JPA326535:JPA326540 JFE326535:JFE326540 IVI326535:IVI326540 ILM326535:ILM326540 IBQ326535:IBQ326540 HRU326535:HRU326540 HHY326535:HHY326540 GYC326535:GYC326540 GOG326535:GOG326540 GEK326535:GEK326540 FUO326535:FUO326540 FKS326535:FKS326540 FAW326535:FAW326540 ERA326535:ERA326540 EHE326535:EHE326540 DXI326535:DXI326540 DNM326535:DNM326540 DDQ326535:DDQ326540 CTU326535:CTU326540 CJY326535:CJY326540 CAC326535:CAC326540 BQG326535:BQG326540 BGK326535:BGK326540 AWO326535:AWO326540 AMS326535:AMS326540 ACW326535:ACW326540 TA326535:TA326540 JE326535:JE326540 I326556:I326561 WVQ260999:WVQ261004 WLU260999:WLU261004 WBY260999:WBY261004 VSC260999:VSC261004 VIG260999:VIG261004 UYK260999:UYK261004 UOO260999:UOO261004 UES260999:UES261004 TUW260999:TUW261004 TLA260999:TLA261004 TBE260999:TBE261004 SRI260999:SRI261004 SHM260999:SHM261004 RXQ260999:RXQ261004 RNU260999:RNU261004 RDY260999:RDY261004 QUC260999:QUC261004 QKG260999:QKG261004 QAK260999:QAK261004 PQO260999:PQO261004 PGS260999:PGS261004 OWW260999:OWW261004 ONA260999:ONA261004 ODE260999:ODE261004 NTI260999:NTI261004 NJM260999:NJM261004 MZQ260999:MZQ261004 MPU260999:MPU261004 MFY260999:MFY261004 LWC260999:LWC261004 LMG260999:LMG261004 LCK260999:LCK261004 KSO260999:KSO261004 KIS260999:KIS261004 JYW260999:JYW261004 JPA260999:JPA261004 JFE260999:JFE261004 IVI260999:IVI261004 ILM260999:ILM261004 IBQ260999:IBQ261004 HRU260999:HRU261004 HHY260999:HHY261004 GYC260999:GYC261004 GOG260999:GOG261004 GEK260999:GEK261004 FUO260999:FUO261004 FKS260999:FKS261004 FAW260999:FAW261004 ERA260999:ERA261004 EHE260999:EHE261004 DXI260999:DXI261004 DNM260999:DNM261004 DDQ260999:DDQ261004 CTU260999:CTU261004 CJY260999:CJY261004 CAC260999:CAC261004 BQG260999:BQG261004 BGK260999:BGK261004 AWO260999:AWO261004 AMS260999:AMS261004 ACW260999:ACW261004 TA260999:TA261004 JE260999:JE261004 I261020:I261025 WVQ195463:WVQ195468 WLU195463:WLU195468 WBY195463:WBY195468 VSC195463:VSC195468 VIG195463:VIG195468 UYK195463:UYK195468 UOO195463:UOO195468 UES195463:UES195468 TUW195463:TUW195468 TLA195463:TLA195468 TBE195463:TBE195468 SRI195463:SRI195468 SHM195463:SHM195468 RXQ195463:RXQ195468 RNU195463:RNU195468 RDY195463:RDY195468 QUC195463:QUC195468 QKG195463:QKG195468 QAK195463:QAK195468 PQO195463:PQO195468 PGS195463:PGS195468 OWW195463:OWW195468 ONA195463:ONA195468 ODE195463:ODE195468 NTI195463:NTI195468 NJM195463:NJM195468 MZQ195463:MZQ195468 MPU195463:MPU195468 MFY195463:MFY195468 LWC195463:LWC195468 LMG195463:LMG195468 LCK195463:LCK195468 KSO195463:KSO195468 KIS195463:KIS195468 JYW195463:JYW195468 JPA195463:JPA195468 JFE195463:JFE195468 IVI195463:IVI195468 ILM195463:ILM195468 IBQ195463:IBQ195468 HRU195463:HRU195468 HHY195463:HHY195468 GYC195463:GYC195468 GOG195463:GOG195468 GEK195463:GEK195468 FUO195463:FUO195468 FKS195463:FKS195468 FAW195463:FAW195468 ERA195463:ERA195468 EHE195463:EHE195468 DXI195463:DXI195468 DNM195463:DNM195468 DDQ195463:DDQ195468 CTU195463:CTU195468 CJY195463:CJY195468 CAC195463:CAC195468 BQG195463:BQG195468 BGK195463:BGK195468 AWO195463:AWO195468 AMS195463:AMS195468 ACW195463:ACW195468 TA195463:TA195468 JE195463:JE195468 I195484:I195489 WVQ129927:WVQ129932 WLU129927:WLU129932 WBY129927:WBY129932 VSC129927:VSC129932 VIG129927:VIG129932 UYK129927:UYK129932 UOO129927:UOO129932 UES129927:UES129932 TUW129927:TUW129932 TLA129927:TLA129932 TBE129927:TBE129932 SRI129927:SRI129932 SHM129927:SHM129932 RXQ129927:RXQ129932 RNU129927:RNU129932 RDY129927:RDY129932 QUC129927:QUC129932 QKG129927:QKG129932 QAK129927:QAK129932 PQO129927:PQO129932 PGS129927:PGS129932 OWW129927:OWW129932 ONA129927:ONA129932 ODE129927:ODE129932 NTI129927:NTI129932 NJM129927:NJM129932 MZQ129927:MZQ129932 MPU129927:MPU129932 MFY129927:MFY129932 LWC129927:LWC129932 LMG129927:LMG129932 LCK129927:LCK129932 KSO129927:KSO129932 KIS129927:KIS129932 JYW129927:JYW129932 JPA129927:JPA129932 JFE129927:JFE129932 IVI129927:IVI129932 ILM129927:ILM129932 IBQ129927:IBQ129932 HRU129927:HRU129932 HHY129927:HHY129932 GYC129927:GYC129932 GOG129927:GOG129932 GEK129927:GEK129932 FUO129927:FUO129932 FKS129927:FKS129932 FAW129927:FAW129932 ERA129927:ERA129932 EHE129927:EHE129932 DXI129927:DXI129932 DNM129927:DNM129932 DDQ129927:DDQ129932 CTU129927:CTU129932 CJY129927:CJY129932 CAC129927:CAC129932 BQG129927:BQG129932 BGK129927:BGK129932 AWO129927:AWO129932 AMS129927:AMS129932 ACW129927:ACW129932 TA129927:TA129932 JE129927:JE129932 I129948:I129953 WVQ64391:WVQ64396 WLU64391:WLU64396 WBY64391:WBY64396 VSC64391:VSC64396 VIG64391:VIG64396 UYK64391:UYK64396 UOO64391:UOO64396 UES64391:UES64396 TUW64391:TUW64396 TLA64391:TLA64396 TBE64391:TBE64396 SRI64391:SRI64396 SHM64391:SHM64396 RXQ64391:RXQ64396 RNU64391:RNU64396 RDY64391:RDY64396 QUC64391:QUC64396 QKG64391:QKG64396 QAK64391:QAK64396 PQO64391:PQO64396 PGS64391:PGS64396 OWW64391:OWW64396 ONA64391:ONA64396 ODE64391:ODE64396 NTI64391:NTI64396 NJM64391:NJM64396 MZQ64391:MZQ64396 MPU64391:MPU64396 MFY64391:MFY64396 LWC64391:LWC64396 LMG64391:LMG64396 LCK64391:LCK64396 KSO64391:KSO64396 KIS64391:KIS64396 JYW64391:JYW64396 JPA64391:JPA64396 JFE64391:JFE64396 IVI64391:IVI64396 ILM64391:ILM64396 IBQ64391:IBQ64396 HRU64391:HRU64396 HHY64391:HHY64396 GYC64391:GYC64396 GOG64391:GOG64396 GEK64391:GEK64396 FUO64391:FUO64396 FKS64391:FKS64396 FAW64391:FAW64396 ERA64391:ERA64396 EHE64391:EHE64396 DXI64391:DXI64396 DNM64391:DNM64396 DDQ64391:DDQ64396 CTU64391:CTU64396 CJY64391:CJY64396 CAC64391:CAC64396 BQG64391:BQG64396 BGK64391:BGK64396 AWO64391:AWO64396 AMS64391:AMS64396 ACW64391:ACW64396 TA64391:TA64396 JE64391:JE64396" xr:uid="{36D4CDC2-7D8E-4585-B054-5AF21C464065}">
      <formula1>$AN$8:$AN$9</formula1>
    </dataValidation>
    <dataValidation type="list" allowBlank="1" showInputMessage="1" showErrorMessage="1" sqref="WVS981811:WVS981900 WLW981811:WLW981900 WCA981811:WCA981900 VSE981811:VSE981900 VII981811:VII981900 UYM981811:UYM981900 UOQ981811:UOQ981900 UEU981811:UEU981900 TUY981811:TUY981900 TLC981811:TLC981900 TBG981811:TBG981900 SRK981811:SRK981900 SHO981811:SHO981900 RXS981811:RXS981900 RNW981811:RNW981900 REA981811:REA981900 QUE981811:QUE981900 QKI981811:QKI981900 QAM981811:QAM981900 PQQ981811:PQQ981900 PGU981811:PGU981900 OWY981811:OWY981900 ONC981811:ONC981900 ODG981811:ODG981900 NTK981811:NTK981900 NJO981811:NJO981900 MZS981811:MZS981900 MPW981811:MPW981900 MGA981811:MGA981900 LWE981811:LWE981900 LMI981811:LMI981900 LCM981811:LCM981900 KSQ981811:KSQ981900 KIU981811:KIU981900 JYY981811:JYY981900 JPC981811:JPC981900 JFG981811:JFG981900 IVK981811:IVK981900 ILO981811:ILO981900 IBS981811:IBS981900 HRW981811:HRW981900 HIA981811:HIA981900 GYE981811:GYE981900 GOI981811:GOI981900 GEM981811:GEM981900 FUQ981811:FUQ981900 FKU981811:FKU981900 FAY981811:FAY981900 ERC981811:ERC981900 EHG981811:EHG981900 DXK981811:DXK981900 DNO981811:DNO981900 DDS981811:DDS981900 CTW981811:CTW981900 CKA981811:CKA981900 CAE981811:CAE981900 BQI981811:BQI981900 BGM981811:BGM981900 AWQ981811:AWQ981900 AMU981811:AMU981900 ACY981811:ACY981900 TC981811:TC981900 JG981811:JG981900 K981820:K981909 WVS916275:WVS916364 WLW916275:WLW916364 WCA916275:WCA916364 VSE916275:VSE916364 VII916275:VII916364 UYM916275:UYM916364 UOQ916275:UOQ916364 UEU916275:UEU916364 TUY916275:TUY916364 TLC916275:TLC916364 TBG916275:TBG916364 SRK916275:SRK916364 SHO916275:SHO916364 RXS916275:RXS916364 RNW916275:RNW916364 REA916275:REA916364 QUE916275:QUE916364 QKI916275:QKI916364 QAM916275:QAM916364 PQQ916275:PQQ916364 PGU916275:PGU916364 OWY916275:OWY916364 ONC916275:ONC916364 ODG916275:ODG916364 NTK916275:NTK916364 NJO916275:NJO916364 MZS916275:MZS916364 MPW916275:MPW916364 MGA916275:MGA916364 LWE916275:LWE916364 LMI916275:LMI916364 LCM916275:LCM916364 KSQ916275:KSQ916364 KIU916275:KIU916364 JYY916275:JYY916364 JPC916275:JPC916364 JFG916275:JFG916364 IVK916275:IVK916364 ILO916275:ILO916364 IBS916275:IBS916364 HRW916275:HRW916364 HIA916275:HIA916364 GYE916275:GYE916364 GOI916275:GOI916364 GEM916275:GEM916364 FUQ916275:FUQ916364 FKU916275:FKU916364 FAY916275:FAY916364 ERC916275:ERC916364 EHG916275:EHG916364 DXK916275:DXK916364 DNO916275:DNO916364 DDS916275:DDS916364 CTW916275:CTW916364 CKA916275:CKA916364 CAE916275:CAE916364 BQI916275:BQI916364 BGM916275:BGM916364 AWQ916275:AWQ916364 AMU916275:AMU916364 ACY916275:ACY916364 TC916275:TC916364 JG916275:JG916364 K916284:K916373 WVS850739:WVS850828 WLW850739:WLW850828 WCA850739:WCA850828 VSE850739:VSE850828 VII850739:VII850828 UYM850739:UYM850828 UOQ850739:UOQ850828 UEU850739:UEU850828 TUY850739:TUY850828 TLC850739:TLC850828 TBG850739:TBG850828 SRK850739:SRK850828 SHO850739:SHO850828 RXS850739:RXS850828 RNW850739:RNW850828 REA850739:REA850828 QUE850739:QUE850828 QKI850739:QKI850828 QAM850739:QAM850828 PQQ850739:PQQ850828 PGU850739:PGU850828 OWY850739:OWY850828 ONC850739:ONC850828 ODG850739:ODG850828 NTK850739:NTK850828 NJO850739:NJO850828 MZS850739:MZS850828 MPW850739:MPW850828 MGA850739:MGA850828 LWE850739:LWE850828 LMI850739:LMI850828 LCM850739:LCM850828 KSQ850739:KSQ850828 KIU850739:KIU850828 JYY850739:JYY850828 JPC850739:JPC850828 JFG850739:JFG850828 IVK850739:IVK850828 ILO850739:ILO850828 IBS850739:IBS850828 HRW850739:HRW850828 HIA850739:HIA850828 GYE850739:GYE850828 GOI850739:GOI850828 GEM850739:GEM850828 FUQ850739:FUQ850828 FKU850739:FKU850828 FAY850739:FAY850828 ERC850739:ERC850828 EHG850739:EHG850828 DXK850739:DXK850828 DNO850739:DNO850828 DDS850739:DDS850828 CTW850739:CTW850828 CKA850739:CKA850828 CAE850739:CAE850828 BQI850739:BQI850828 BGM850739:BGM850828 AWQ850739:AWQ850828 AMU850739:AMU850828 ACY850739:ACY850828 TC850739:TC850828 JG850739:JG850828 K850748:K850837 WVS785203:WVS785292 WLW785203:WLW785292 WCA785203:WCA785292 VSE785203:VSE785292 VII785203:VII785292 UYM785203:UYM785292 UOQ785203:UOQ785292 UEU785203:UEU785292 TUY785203:TUY785292 TLC785203:TLC785292 TBG785203:TBG785292 SRK785203:SRK785292 SHO785203:SHO785292 RXS785203:RXS785292 RNW785203:RNW785292 REA785203:REA785292 QUE785203:QUE785292 QKI785203:QKI785292 QAM785203:QAM785292 PQQ785203:PQQ785292 PGU785203:PGU785292 OWY785203:OWY785292 ONC785203:ONC785292 ODG785203:ODG785292 NTK785203:NTK785292 NJO785203:NJO785292 MZS785203:MZS785292 MPW785203:MPW785292 MGA785203:MGA785292 LWE785203:LWE785292 LMI785203:LMI785292 LCM785203:LCM785292 KSQ785203:KSQ785292 KIU785203:KIU785292 JYY785203:JYY785292 JPC785203:JPC785292 JFG785203:JFG785292 IVK785203:IVK785292 ILO785203:ILO785292 IBS785203:IBS785292 HRW785203:HRW785292 HIA785203:HIA785292 GYE785203:GYE785292 GOI785203:GOI785292 GEM785203:GEM785292 FUQ785203:FUQ785292 FKU785203:FKU785292 FAY785203:FAY785292 ERC785203:ERC785292 EHG785203:EHG785292 DXK785203:DXK785292 DNO785203:DNO785292 DDS785203:DDS785292 CTW785203:CTW785292 CKA785203:CKA785292 CAE785203:CAE785292 BQI785203:BQI785292 BGM785203:BGM785292 AWQ785203:AWQ785292 AMU785203:AMU785292 ACY785203:ACY785292 TC785203:TC785292 JG785203:JG785292 K785212:K785301 WVS719667:WVS719756 WLW719667:WLW719756 WCA719667:WCA719756 VSE719667:VSE719756 VII719667:VII719756 UYM719667:UYM719756 UOQ719667:UOQ719756 UEU719667:UEU719756 TUY719667:TUY719756 TLC719667:TLC719756 TBG719667:TBG719756 SRK719667:SRK719756 SHO719667:SHO719756 RXS719667:RXS719756 RNW719667:RNW719756 REA719667:REA719756 QUE719667:QUE719756 QKI719667:QKI719756 QAM719667:QAM719756 PQQ719667:PQQ719756 PGU719667:PGU719756 OWY719667:OWY719756 ONC719667:ONC719756 ODG719667:ODG719756 NTK719667:NTK719756 NJO719667:NJO719756 MZS719667:MZS719756 MPW719667:MPW719756 MGA719667:MGA719756 LWE719667:LWE719756 LMI719667:LMI719756 LCM719667:LCM719756 KSQ719667:KSQ719756 KIU719667:KIU719756 JYY719667:JYY719756 JPC719667:JPC719756 JFG719667:JFG719756 IVK719667:IVK719756 ILO719667:ILO719756 IBS719667:IBS719756 HRW719667:HRW719756 HIA719667:HIA719756 GYE719667:GYE719756 GOI719667:GOI719756 GEM719667:GEM719756 FUQ719667:FUQ719756 FKU719667:FKU719756 FAY719667:FAY719756 ERC719667:ERC719756 EHG719667:EHG719756 DXK719667:DXK719756 DNO719667:DNO719756 DDS719667:DDS719756 CTW719667:CTW719756 CKA719667:CKA719756 CAE719667:CAE719756 BQI719667:BQI719756 BGM719667:BGM719756 AWQ719667:AWQ719756 AMU719667:AMU719756 ACY719667:ACY719756 TC719667:TC719756 JG719667:JG719756 K719676:K719765 WVS654131:WVS654220 WLW654131:WLW654220 WCA654131:WCA654220 VSE654131:VSE654220 VII654131:VII654220 UYM654131:UYM654220 UOQ654131:UOQ654220 UEU654131:UEU654220 TUY654131:TUY654220 TLC654131:TLC654220 TBG654131:TBG654220 SRK654131:SRK654220 SHO654131:SHO654220 RXS654131:RXS654220 RNW654131:RNW654220 REA654131:REA654220 QUE654131:QUE654220 QKI654131:QKI654220 QAM654131:QAM654220 PQQ654131:PQQ654220 PGU654131:PGU654220 OWY654131:OWY654220 ONC654131:ONC654220 ODG654131:ODG654220 NTK654131:NTK654220 NJO654131:NJO654220 MZS654131:MZS654220 MPW654131:MPW654220 MGA654131:MGA654220 LWE654131:LWE654220 LMI654131:LMI654220 LCM654131:LCM654220 KSQ654131:KSQ654220 KIU654131:KIU654220 JYY654131:JYY654220 JPC654131:JPC654220 JFG654131:JFG654220 IVK654131:IVK654220 ILO654131:ILO654220 IBS654131:IBS654220 HRW654131:HRW654220 HIA654131:HIA654220 GYE654131:GYE654220 GOI654131:GOI654220 GEM654131:GEM654220 FUQ654131:FUQ654220 FKU654131:FKU654220 FAY654131:FAY654220 ERC654131:ERC654220 EHG654131:EHG654220 DXK654131:DXK654220 DNO654131:DNO654220 DDS654131:DDS654220 CTW654131:CTW654220 CKA654131:CKA654220 CAE654131:CAE654220 BQI654131:BQI654220 BGM654131:BGM654220 AWQ654131:AWQ654220 AMU654131:AMU654220 ACY654131:ACY654220 TC654131:TC654220 JG654131:JG654220 K654140:K654229 WVS588595:WVS588684 WLW588595:WLW588684 WCA588595:WCA588684 VSE588595:VSE588684 VII588595:VII588684 UYM588595:UYM588684 UOQ588595:UOQ588684 UEU588595:UEU588684 TUY588595:TUY588684 TLC588595:TLC588684 TBG588595:TBG588684 SRK588595:SRK588684 SHO588595:SHO588684 RXS588595:RXS588684 RNW588595:RNW588684 REA588595:REA588684 QUE588595:QUE588684 QKI588595:QKI588684 QAM588595:QAM588684 PQQ588595:PQQ588684 PGU588595:PGU588684 OWY588595:OWY588684 ONC588595:ONC588684 ODG588595:ODG588684 NTK588595:NTK588684 NJO588595:NJO588684 MZS588595:MZS588684 MPW588595:MPW588684 MGA588595:MGA588684 LWE588595:LWE588684 LMI588595:LMI588684 LCM588595:LCM588684 KSQ588595:KSQ588684 KIU588595:KIU588684 JYY588595:JYY588684 JPC588595:JPC588684 JFG588595:JFG588684 IVK588595:IVK588684 ILO588595:ILO588684 IBS588595:IBS588684 HRW588595:HRW588684 HIA588595:HIA588684 GYE588595:GYE588684 GOI588595:GOI588684 GEM588595:GEM588684 FUQ588595:FUQ588684 FKU588595:FKU588684 FAY588595:FAY588684 ERC588595:ERC588684 EHG588595:EHG588684 DXK588595:DXK588684 DNO588595:DNO588684 DDS588595:DDS588684 CTW588595:CTW588684 CKA588595:CKA588684 CAE588595:CAE588684 BQI588595:BQI588684 BGM588595:BGM588684 AWQ588595:AWQ588684 AMU588595:AMU588684 ACY588595:ACY588684 TC588595:TC588684 JG588595:JG588684 K588604:K588693 WVS523059:WVS523148 WLW523059:WLW523148 WCA523059:WCA523148 VSE523059:VSE523148 VII523059:VII523148 UYM523059:UYM523148 UOQ523059:UOQ523148 UEU523059:UEU523148 TUY523059:TUY523148 TLC523059:TLC523148 TBG523059:TBG523148 SRK523059:SRK523148 SHO523059:SHO523148 RXS523059:RXS523148 RNW523059:RNW523148 REA523059:REA523148 QUE523059:QUE523148 QKI523059:QKI523148 QAM523059:QAM523148 PQQ523059:PQQ523148 PGU523059:PGU523148 OWY523059:OWY523148 ONC523059:ONC523148 ODG523059:ODG523148 NTK523059:NTK523148 NJO523059:NJO523148 MZS523059:MZS523148 MPW523059:MPW523148 MGA523059:MGA523148 LWE523059:LWE523148 LMI523059:LMI523148 LCM523059:LCM523148 KSQ523059:KSQ523148 KIU523059:KIU523148 JYY523059:JYY523148 JPC523059:JPC523148 JFG523059:JFG523148 IVK523059:IVK523148 ILO523059:ILO523148 IBS523059:IBS523148 HRW523059:HRW523148 HIA523059:HIA523148 GYE523059:GYE523148 GOI523059:GOI523148 GEM523059:GEM523148 FUQ523059:FUQ523148 FKU523059:FKU523148 FAY523059:FAY523148 ERC523059:ERC523148 EHG523059:EHG523148 DXK523059:DXK523148 DNO523059:DNO523148 DDS523059:DDS523148 CTW523059:CTW523148 CKA523059:CKA523148 CAE523059:CAE523148 BQI523059:BQI523148 BGM523059:BGM523148 AWQ523059:AWQ523148 AMU523059:AMU523148 ACY523059:ACY523148 TC523059:TC523148 JG523059:JG523148 K523068:K523157 WVS457523:WVS457612 WLW457523:WLW457612 WCA457523:WCA457612 VSE457523:VSE457612 VII457523:VII457612 UYM457523:UYM457612 UOQ457523:UOQ457612 UEU457523:UEU457612 TUY457523:TUY457612 TLC457523:TLC457612 TBG457523:TBG457612 SRK457523:SRK457612 SHO457523:SHO457612 RXS457523:RXS457612 RNW457523:RNW457612 REA457523:REA457612 QUE457523:QUE457612 QKI457523:QKI457612 QAM457523:QAM457612 PQQ457523:PQQ457612 PGU457523:PGU457612 OWY457523:OWY457612 ONC457523:ONC457612 ODG457523:ODG457612 NTK457523:NTK457612 NJO457523:NJO457612 MZS457523:MZS457612 MPW457523:MPW457612 MGA457523:MGA457612 LWE457523:LWE457612 LMI457523:LMI457612 LCM457523:LCM457612 KSQ457523:KSQ457612 KIU457523:KIU457612 JYY457523:JYY457612 JPC457523:JPC457612 JFG457523:JFG457612 IVK457523:IVK457612 ILO457523:ILO457612 IBS457523:IBS457612 HRW457523:HRW457612 HIA457523:HIA457612 GYE457523:GYE457612 GOI457523:GOI457612 GEM457523:GEM457612 FUQ457523:FUQ457612 FKU457523:FKU457612 FAY457523:FAY457612 ERC457523:ERC457612 EHG457523:EHG457612 DXK457523:DXK457612 DNO457523:DNO457612 DDS457523:DDS457612 CTW457523:CTW457612 CKA457523:CKA457612 CAE457523:CAE457612 BQI457523:BQI457612 BGM457523:BGM457612 AWQ457523:AWQ457612 AMU457523:AMU457612 ACY457523:ACY457612 TC457523:TC457612 JG457523:JG457612 K457532:K457621 WVS391987:WVS392076 WLW391987:WLW392076 WCA391987:WCA392076 VSE391987:VSE392076 VII391987:VII392076 UYM391987:UYM392076 UOQ391987:UOQ392076 UEU391987:UEU392076 TUY391987:TUY392076 TLC391987:TLC392076 TBG391987:TBG392076 SRK391987:SRK392076 SHO391987:SHO392076 RXS391987:RXS392076 RNW391987:RNW392076 REA391987:REA392076 QUE391987:QUE392076 QKI391987:QKI392076 QAM391987:QAM392076 PQQ391987:PQQ392076 PGU391987:PGU392076 OWY391987:OWY392076 ONC391987:ONC392076 ODG391987:ODG392076 NTK391987:NTK392076 NJO391987:NJO392076 MZS391987:MZS392076 MPW391987:MPW392076 MGA391987:MGA392076 LWE391987:LWE392076 LMI391987:LMI392076 LCM391987:LCM392076 KSQ391987:KSQ392076 KIU391987:KIU392076 JYY391987:JYY392076 JPC391987:JPC392076 JFG391987:JFG392076 IVK391987:IVK392076 ILO391987:ILO392076 IBS391987:IBS392076 HRW391987:HRW392076 HIA391987:HIA392076 GYE391987:GYE392076 GOI391987:GOI392076 GEM391987:GEM392076 FUQ391987:FUQ392076 FKU391987:FKU392076 FAY391987:FAY392076 ERC391987:ERC392076 EHG391987:EHG392076 DXK391987:DXK392076 DNO391987:DNO392076 DDS391987:DDS392076 CTW391987:CTW392076 CKA391987:CKA392076 CAE391987:CAE392076 BQI391987:BQI392076 BGM391987:BGM392076 AWQ391987:AWQ392076 AMU391987:AMU392076 ACY391987:ACY392076 TC391987:TC392076 JG391987:JG392076 K391996:K392085 WVS326451:WVS326540 WLW326451:WLW326540 WCA326451:WCA326540 VSE326451:VSE326540 VII326451:VII326540 UYM326451:UYM326540 UOQ326451:UOQ326540 UEU326451:UEU326540 TUY326451:TUY326540 TLC326451:TLC326540 TBG326451:TBG326540 SRK326451:SRK326540 SHO326451:SHO326540 RXS326451:RXS326540 RNW326451:RNW326540 REA326451:REA326540 QUE326451:QUE326540 QKI326451:QKI326540 QAM326451:QAM326540 PQQ326451:PQQ326540 PGU326451:PGU326540 OWY326451:OWY326540 ONC326451:ONC326540 ODG326451:ODG326540 NTK326451:NTK326540 NJO326451:NJO326540 MZS326451:MZS326540 MPW326451:MPW326540 MGA326451:MGA326540 LWE326451:LWE326540 LMI326451:LMI326540 LCM326451:LCM326540 KSQ326451:KSQ326540 KIU326451:KIU326540 JYY326451:JYY326540 JPC326451:JPC326540 JFG326451:JFG326540 IVK326451:IVK326540 ILO326451:ILO326540 IBS326451:IBS326540 HRW326451:HRW326540 HIA326451:HIA326540 GYE326451:GYE326540 GOI326451:GOI326540 GEM326451:GEM326540 FUQ326451:FUQ326540 FKU326451:FKU326540 FAY326451:FAY326540 ERC326451:ERC326540 EHG326451:EHG326540 DXK326451:DXK326540 DNO326451:DNO326540 DDS326451:DDS326540 CTW326451:CTW326540 CKA326451:CKA326540 CAE326451:CAE326540 BQI326451:BQI326540 BGM326451:BGM326540 AWQ326451:AWQ326540 AMU326451:AMU326540 ACY326451:ACY326540 TC326451:TC326540 JG326451:JG326540 K326460:K326549 WVS260915:WVS261004 WLW260915:WLW261004 WCA260915:WCA261004 VSE260915:VSE261004 VII260915:VII261004 UYM260915:UYM261004 UOQ260915:UOQ261004 UEU260915:UEU261004 TUY260915:TUY261004 TLC260915:TLC261004 TBG260915:TBG261004 SRK260915:SRK261004 SHO260915:SHO261004 RXS260915:RXS261004 RNW260915:RNW261004 REA260915:REA261004 QUE260915:QUE261004 QKI260915:QKI261004 QAM260915:QAM261004 PQQ260915:PQQ261004 PGU260915:PGU261004 OWY260915:OWY261004 ONC260915:ONC261004 ODG260915:ODG261004 NTK260915:NTK261004 NJO260915:NJO261004 MZS260915:MZS261004 MPW260915:MPW261004 MGA260915:MGA261004 LWE260915:LWE261004 LMI260915:LMI261004 LCM260915:LCM261004 KSQ260915:KSQ261004 KIU260915:KIU261004 JYY260915:JYY261004 JPC260915:JPC261004 JFG260915:JFG261004 IVK260915:IVK261004 ILO260915:ILO261004 IBS260915:IBS261004 HRW260915:HRW261004 HIA260915:HIA261004 GYE260915:GYE261004 GOI260915:GOI261004 GEM260915:GEM261004 FUQ260915:FUQ261004 FKU260915:FKU261004 FAY260915:FAY261004 ERC260915:ERC261004 EHG260915:EHG261004 DXK260915:DXK261004 DNO260915:DNO261004 DDS260915:DDS261004 CTW260915:CTW261004 CKA260915:CKA261004 CAE260915:CAE261004 BQI260915:BQI261004 BGM260915:BGM261004 AWQ260915:AWQ261004 AMU260915:AMU261004 ACY260915:ACY261004 TC260915:TC261004 JG260915:JG261004 K260924:K261013 WVS195379:WVS195468 WLW195379:WLW195468 WCA195379:WCA195468 VSE195379:VSE195468 VII195379:VII195468 UYM195379:UYM195468 UOQ195379:UOQ195468 UEU195379:UEU195468 TUY195379:TUY195468 TLC195379:TLC195468 TBG195379:TBG195468 SRK195379:SRK195468 SHO195379:SHO195468 RXS195379:RXS195468 RNW195379:RNW195468 REA195379:REA195468 QUE195379:QUE195468 QKI195379:QKI195468 QAM195379:QAM195468 PQQ195379:PQQ195468 PGU195379:PGU195468 OWY195379:OWY195468 ONC195379:ONC195468 ODG195379:ODG195468 NTK195379:NTK195468 NJO195379:NJO195468 MZS195379:MZS195468 MPW195379:MPW195468 MGA195379:MGA195468 LWE195379:LWE195468 LMI195379:LMI195468 LCM195379:LCM195468 KSQ195379:KSQ195468 KIU195379:KIU195468 JYY195379:JYY195468 JPC195379:JPC195468 JFG195379:JFG195468 IVK195379:IVK195468 ILO195379:ILO195468 IBS195379:IBS195468 HRW195379:HRW195468 HIA195379:HIA195468 GYE195379:GYE195468 GOI195379:GOI195468 GEM195379:GEM195468 FUQ195379:FUQ195468 FKU195379:FKU195468 FAY195379:FAY195468 ERC195379:ERC195468 EHG195379:EHG195468 DXK195379:DXK195468 DNO195379:DNO195468 DDS195379:DDS195468 CTW195379:CTW195468 CKA195379:CKA195468 CAE195379:CAE195468 BQI195379:BQI195468 BGM195379:BGM195468 AWQ195379:AWQ195468 AMU195379:AMU195468 ACY195379:ACY195468 TC195379:TC195468 JG195379:JG195468 K195388:K195477 WVS129843:WVS129932 WLW129843:WLW129932 WCA129843:WCA129932 VSE129843:VSE129932 VII129843:VII129932 UYM129843:UYM129932 UOQ129843:UOQ129932 UEU129843:UEU129932 TUY129843:TUY129932 TLC129843:TLC129932 TBG129843:TBG129932 SRK129843:SRK129932 SHO129843:SHO129932 RXS129843:RXS129932 RNW129843:RNW129932 REA129843:REA129932 QUE129843:QUE129932 QKI129843:QKI129932 QAM129843:QAM129932 PQQ129843:PQQ129932 PGU129843:PGU129932 OWY129843:OWY129932 ONC129843:ONC129932 ODG129843:ODG129932 NTK129843:NTK129932 NJO129843:NJO129932 MZS129843:MZS129932 MPW129843:MPW129932 MGA129843:MGA129932 LWE129843:LWE129932 LMI129843:LMI129932 LCM129843:LCM129932 KSQ129843:KSQ129932 KIU129843:KIU129932 JYY129843:JYY129932 JPC129843:JPC129932 JFG129843:JFG129932 IVK129843:IVK129932 ILO129843:ILO129932 IBS129843:IBS129932 HRW129843:HRW129932 HIA129843:HIA129932 GYE129843:GYE129932 GOI129843:GOI129932 GEM129843:GEM129932 FUQ129843:FUQ129932 FKU129843:FKU129932 FAY129843:FAY129932 ERC129843:ERC129932 EHG129843:EHG129932 DXK129843:DXK129932 DNO129843:DNO129932 DDS129843:DDS129932 CTW129843:CTW129932 CKA129843:CKA129932 CAE129843:CAE129932 BQI129843:BQI129932 BGM129843:BGM129932 AWQ129843:AWQ129932 AMU129843:AMU129932 ACY129843:ACY129932 TC129843:TC129932 JG129843:JG129932 K129852:K129941 WVS64307:WVS64396 WLW64307:WLW64396 WCA64307:WCA64396 VSE64307:VSE64396 VII64307:VII64396 UYM64307:UYM64396 UOQ64307:UOQ64396 UEU64307:UEU64396 TUY64307:TUY64396 TLC64307:TLC64396 TBG64307:TBG64396 SRK64307:SRK64396 SHO64307:SHO64396 RXS64307:RXS64396 RNW64307:RNW64396 REA64307:REA64396 QUE64307:QUE64396 QKI64307:QKI64396 QAM64307:QAM64396 PQQ64307:PQQ64396 PGU64307:PGU64396 OWY64307:OWY64396 ONC64307:ONC64396 ODG64307:ODG64396 NTK64307:NTK64396 NJO64307:NJO64396 MZS64307:MZS64396 MPW64307:MPW64396 MGA64307:MGA64396 LWE64307:LWE64396 LMI64307:LMI64396 LCM64307:LCM64396 KSQ64307:KSQ64396 KIU64307:KIU64396 JYY64307:JYY64396 JPC64307:JPC64396 JFG64307:JFG64396 IVK64307:IVK64396 ILO64307:ILO64396 IBS64307:IBS64396 HRW64307:HRW64396 HIA64307:HIA64396 GYE64307:GYE64396 GOI64307:GOI64396 GEM64307:GEM64396 FUQ64307:FUQ64396 FKU64307:FKU64396 FAY64307:FAY64396 ERC64307:ERC64396 EHG64307:EHG64396 DXK64307:DXK64396 DNO64307:DNO64396 DDS64307:DDS64396 CTW64307:CTW64396 CKA64307:CKA64396 CAE64307:CAE64396 BQI64307:BQI64396 BGM64307:BGM64396 AWQ64307:AWQ64396 AMU64307:AMU64396 ACY64307:ACY64396 TC64307:TC64396 JG64307:JG64396 K64316:K64405 JG2:JG79 TC2:TC79 ACY2:ACY79 AMU2:AMU79 AWQ2:AWQ79 BGM2:BGM79 BQI2:BQI79 CAE2:CAE79 CKA2:CKA79 CTW2:CTW79 DDS2:DDS79 DNO2:DNO79 DXK2:DXK79 EHG2:EHG79 ERC2:ERC79 FAY2:FAY79 FKU2:FKU79 FUQ2:FUQ79 GEM2:GEM79 GOI2:GOI79 GYE2:GYE79 HIA2:HIA79 HRW2:HRW79 IBS2:IBS79 ILO2:ILO79 IVK2:IVK79 JFG2:JFG79 JPC2:JPC79 JYY2:JYY79 KIU2:KIU79 KSQ2:KSQ79 LCM2:LCM79 LMI2:LMI79 LWE2:LWE79 MGA2:MGA79 MPW2:MPW79 MZS2:MZS79 NJO2:NJO79 NTK2:NTK79 ODG2:ODG79 ONC2:ONC79 OWY2:OWY79 PGU2:PGU79 PQQ2:PQQ79 QAM2:QAM79 QKI2:QKI79 QUE2:QUE79 REA2:REA79 RNW2:RNW79 RXS2:RXS79 SHO2:SHO79 SRK2:SRK79 TBG2:TBG79 TLC2:TLC79 TUY2:TUY79 UEU2:UEU79 UOQ2:UOQ79 UYM2:UYM79 VII2:VII79 VSE2:VSE79 WCA2:WCA79 WLW2:WLW79 WVS2:WVS79" xr:uid="{0E57E291-BC1A-41D2-8FB3-CA814DF389E7}">
      <formula1>$AR$2:$AR$24</formula1>
    </dataValidation>
    <dataValidation type="list" allowBlank="1" showInputMessage="1" showErrorMessage="1" sqref="WVR981811:WVR981900 WLV981811:WLV981900 WBZ981811:WBZ981900 VSD981811:VSD981900 VIH981811:VIH981900 UYL981811:UYL981900 UOP981811:UOP981900 UET981811:UET981900 TUX981811:TUX981900 TLB981811:TLB981900 TBF981811:TBF981900 SRJ981811:SRJ981900 SHN981811:SHN981900 RXR981811:RXR981900 RNV981811:RNV981900 RDZ981811:RDZ981900 QUD981811:QUD981900 QKH981811:QKH981900 QAL981811:QAL981900 PQP981811:PQP981900 PGT981811:PGT981900 OWX981811:OWX981900 ONB981811:ONB981900 ODF981811:ODF981900 NTJ981811:NTJ981900 NJN981811:NJN981900 MZR981811:MZR981900 MPV981811:MPV981900 MFZ981811:MFZ981900 LWD981811:LWD981900 LMH981811:LMH981900 LCL981811:LCL981900 KSP981811:KSP981900 KIT981811:KIT981900 JYX981811:JYX981900 JPB981811:JPB981900 JFF981811:JFF981900 IVJ981811:IVJ981900 ILN981811:ILN981900 IBR981811:IBR981900 HRV981811:HRV981900 HHZ981811:HHZ981900 GYD981811:GYD981900 GOH981811:GOH981900 GEL981811:GEL981900 FUP981811:FUP981900 FKT981811:FKT981900 FAX981811:FAX981900 ERB981811:ERB981900 EHF981811:EHF981900 DXJ981811:DXJ981900 DNN981811:DNN981900 DDR981811:DDR981900 CTV981811:CTV981900 CJZ981811:CJZ981900 CAD981811:CAD981900 BQH981811:BQH981900 BGL981811:BGL981900 AWP981811:AWP981900 AMT981811:AMT981900 ACX981811:ACX981900 TB981811:TB981900 JF981811:JF981900 J981820:J981909 WVR916275:WVR916364 WLV916275:WLV916364 WBZ916275:WBZ916364 VSD916275:VSD916364 VIH916275:VIH916364 UYL916275:UYL916364 UOP916275:UOP916364 UET916275:UET916364 TUX916275:TUX916364 TLB916275:TLB916364 TBF916275:TBF916364 SRJ916275:SRJ916364 SHN916275:SHN916364 RXR916275:RXR916364 RNV916275:RNV916364 RDZ916275:RDZ916364 QUD916275:QUD916364 QKH916275:QKH916364 QAL916275:QAL916364 PQP916275:PQP916364 PGT916275:PGT916364 OWX916275:OWX916364 ONB916275:ONB916364 ODF916275:ODF916364 NTJ916275:NTJ916364 NJN916275:NJN916364 MZR916275:MZR916364 MPV916275:MPV916364 MFZ916275:MFZ916364 LWD916275:LWD916364 LMH916275:LMH916364 LCL916275:LCL916364 KSP916275:KSP916364 KIT916275:KIT916364 JYX916275:JYX916364 JPB916275:JPB916364 JFF916275:JFF916364 IVJ916275:IVJ916364 ILN916275:ILN916364 IBR916275:IBR916364 HRV916275:HRV916364 HHZ916275:HHZ916364 GYD916275:GYD916364 GOH916275:GOH916364 GEL916275:GEL916364 FUP916275:FUP916364 FKT916275:FKT916364 FAX916275:FAX916364 ERB916275:ERB916364 EHF916275:EHF916364 DXJ916275:DXJ916364 DNN916275:DNN916364 DDR916275:DDR916364 CTV916275:CTV916364 CJZ916275:CJZ916364 CAD916275:CAD916364 BQH916275:BQH916364 BGL916275:BGL916364 AWP916275:AWP916364 AMT916275:AMT916364 ACX916275:ACX916364 TB916275:TB916364 JF916275:JF916364 J916284:J916373 WVR850739:WVR850828 WLV850739:WLV850828 WBZ850739:WBZ850828 VSD850739:VSD850828 VIH850739:VIH850828 UYL850739:UYL850828 UOP850739:UOP850828 UET850739:UET850828 TUX850739:TUX850828 TLB850739:TLB850828 TBF850739:TBF850828 SRJ850739:SRJ850828 SHN850739:SHN850828 RXR850739:RXR850828 RNV850739:RNV850828 RDZ850739:RDZ850828 QUD850739:QUD850828 QKH850739:QKH850828 QAL850739:QAL850828 PQP850739:PQP850828 PGT850739:PGT850828 OWX850739:OWX850828 ONB850739:ONB850828 ODF850739:ODF850828 NTJ850739:NTJ850828 NJN850739:NJN850828 MZR850739:MZR850828 MPV850739:MPV850828 MFZ850739:MFZ850828 LWD850739:LWD850828 LMH850739:LMH850828 LCL850739:LCL850828 KSP850739:KSP850828 KIT850739:KIT850828 JYX850739:JYX850828 JPB850739:JPB850828 JFF850739:JFF850828 IVJ850739:IVJ850828 ILN850739:ILN850828 IBR850739:IBR850828 HRV850739:HRV850828 HHZ850739:HHZ850828 GYD850739:GYD850828 GOH850739:GOH850828 GEL850739:GEL850828 FUP850739:FUP850828 FKT850739:FKT850828 FAX850739:FAX850828 ERB850739:ERB850828 EHF850739:EHF850828 DXJ850739:DXJ850828 DNN850739:DNN850828 DDR850739:DDR850828 CTV850739:CTV850828 CJZ850739:CJZ850828 CAD850739:CAD850828 BQH850739:BQH850828 BGL850739:BGL850828 AWP850739:AWP850828 AMT850739:AMT850828 ACX850739:ACX850828 TB850739:TB850828 JF850739:JF850828 J850748:J850837 WVR785203:WVR785292 WLV785203:WLV785292 WBZ785203:WBZ785292 VSD785203:VSD785292 VIH785203:VIH785292 UYL785203:UYL785292 UOP785203:UOP785292 UET785203:UET785292 TUX785203:TUX785292 TLB785203:TLB785292 TBF785203:TBF785292 SRJ785203:SRJ785292 SHN785203:SHN785292 RXR785203:RXR785292 RNV785203:RNV785292 RDZ785203:RDZ785292 QUD785203:QUD785292 QKH785203:QKH785292 QAL785203:QAL785292 PQP785203:PQP785292 PGT785203:PGT785292 OWX785203:OWX785292 ONB785203:ONB785292 ODF785203:ODF785292 NTJ785203:NTJ785292 NJN785203:NJN785292 MZR785203:MZR785292 MPV785203:MPV785292 MFZ785203:MFZ785292 LWD785203:LWD785292 LMH785203:LMH785292 LCL785203:LCL785292 KSP785203:KSP785292 KIT785203:KIT785292 JYX785203:JYX785292 JPB785203:JPB785292 JFF785203:JFF785292 IVJ785203:IVJ785292 ILN785203:ILN785292 IBR785203:IBR785292 HRV785203:HRV785292 HHZ785203:HHZ785292 GYD785203:GYD785292 GOH785203:GOH785292 GEL785203:GEL785292 FUP785203:FUP785292 FKT785203:FKT785292 FAX785203:FAX785292 ERB785203:ERB785292 EHF785203:EHF785292 DXJ785203:DXJ785292 DNN785203:DNN785292 DDR785203:DDR785292 CTV785203:CTV785292 CJZ785203:CJZ785292 CAD785203:CAD785292 BQH785203:BQH785292 BGL785203:BGL785292 AWP785203:AWP785292 AMT785203:AMT785292 ACX785203:ACX785292 TB785203:TB785292 JF785203:JF785292 J785212:J785301 WVR719667:WVR719756 WLV719667:WLV719756 WBZ719667:WBZ719756 VSD719667:VSD719756 VIH719667:VIH719756 UYL719667:UYL719756 UOP719667:UOP719756 UET719667:UET719756 TUX719667:TUX719756 TLB719667:TLB719756 TBF719667:TBF719756 SRJ719667:SRJ719756 SHN719667:SHN719756 RXR719667:RXR719756 RNV719667:RNV719756 RDZ719667:RDZ719756 QUD719667:QUD719756 QKH719667:QKH719756 QAL719667:QAL719756 PQP719667:PQP719756 PGT719667:PGT719756 OWX719667:OWX719756 ONB719667:ONB719756 ODF719667:ODF719756 NTJ719667:NTJ719756 NJN719667:NJN719756 MZR719667:MZR719756 MPV719667:MPV719756 MFZ719667:MFZ719756 LWD719667:LWD719756 LMH719667:LMH719756 LCL719667:LCL719756 KSP719667:KSP719756 KIT719667:KIT719756 JYX719667:JYX719756 JPB719667:JPB719756 JFF719667:JFF719756 IVJ719667:IVJ719756 ILN719667:ILN719756 IBR719667:IBR719756 HRV719667:HRV719756 HHZ719667:HHZ719756 GYD719667:GYD719756 GOH719667:GOH719756 GEL719667:GEL719756 FUP719667:FUP719756 FKT719667:FKT719756 FAX719667:FAX719756 ERB719667:ERB719756 EHF719667:EHF719756 DXJ719667:DXJ719756 DNN719667:DNN719756 DDR719667:DDR719756 CTV719667:CTV719756 CJZ719667:CJZ719756 CAD719667:CAD719756 BQH719667:BQH719756 BGL719667:BGL719756 AWP719667:AWP719756 AMT719667:AMT719756 ACX719667:ACX719756 TB719667:TB719756 JF719667:JF719756 J719676:J719765 WVR654131:WVR654220 WLV654131:WLV654220 WBZ654131:WBZ654220 VSD654131:VSD654220 VIH654131:VIH654220 UYL654131:UYL654220 UOP654131:UOP654220 UET654131:UET654220 TUX654131:TUX654220 TLB654131:TLB654220 TBF654131:TBF654220 SRJ654131:SRJ654220 SHN654131:SHN654220 RXR654131:RXR654220 RNV654131:RNV654220 RDZ654131:RDZ654220 QUD654131:QUD654220 QKH654131:QKH654220 QAL654131:QAL654220 PQP654131:PQP654220 PGT654131:PGT654220 OWX654131:OWX654220 ONB654131:ONB654220 ODF654131:ODF654220 NTJ654131:NTJ654220 NJN654131:NJN654220 MZR654131:MZR654220 MPV654131:MPV654220 MFZ654131:MFZ654220 LWD654131:LWD654220 LMH654131:LMH654220 LCL654131:LCL654220 KSP654131:KSP654220 KIT654131:KIT654220 JYX654131:JYX654220 JPB654131:JPB654220 JFF654131:JFF654220 IVJ654131:IVJ654220 ILN654131:ILN654220 IBR654131:IBR654220 HRV654131:HRV654220 HHZ654131:HHZ654220 GYD654131:GYD654220 GOH654131:GOH654220 GEL654131:GEL654220 FUP654131:FUP654220 FKT654131:FKT654220 FAX654131:FAX654220 ERB654131:ERB654220 EHF654131:EHF654220 DXJ654131:DXJ654220 DNN654131:DNN654220 DDR654131:DDR654220 CTV654131:CTV654220 CJZ654131:CJZ654220 CAD654131:CAD654220 BQH654131:BQH654220 BGL654131:BGL654220 AWP654131:AWP654220 AMT654131:AMT654220 ACX654131:ACX654220 TB654131:TB654220 JF654131:JF654220 J654140:J654229 WVR588595:WVR588684 WLV588595:WLV588684 WBZ588595:WBZ588684 VSD588595:VSD588684 VIH588595:VIH588684 UYL588595:UYL588684 UOP588595:UOP588684 UET588595:UET588684 TUX588595:TUX588684 TLB588595:TLB588684 TBF588595:TBF588684 SRJ588595:SRJ588684 SHN588595:SHN588684 RXR588595:RXR588684 RNV588595:RNV588684 RDZ588595:RDZ588684 QUD588595:QUD588684 QKH588595:QKH588684 QAL588595:QAL588684 PQP588595:PQP588684 PGT588595:PGT588684 OWX588595:OWX588684 ONB588595:ONB588684 ODF588595:ODF588684 NTJ588595:NTJ588684 NJN588595:NJN588684 MZR588595:MZR588684 MPV588595:MPV588684 MFZ588595:MFZ588684 LWD588595:LWD588684 LMH588595:LMH588684 LCL588595:LCL588684 KSP588595:KSP588684 KIT588595:KIT588684 JYX588595:JYX588684 JPB588595:JPB588684 JFF588595:JFF588684 IVJ588595:IVJ588684 ILN588595:ILN588684 IBR588595:IBR588684 HRV588595:HRV588684 HHZ588595:HHZ588684 GYD588595:GYD588684 GOH588595:GOH588684 GEL588595:GEL588684 FUP588595:FUP588684 FKT588595:FKT588684 FAX588595:FAX588684 ERB588595:ERB588684 EHF588595:EHF588684 DXJ588595:DXJ588684 DNN588595:DNN588684 DDR588595:DDR588684 CTV588595:CTV588684 CJZ588595:CJZ588684 CAD588595:CAD588684 BQH588595:BQH588684 BGL588595:BGL588684 AWP588595:AWP588684 AMT588595:AMT588684 ACX588595:ACX588684 TB588595:TB588684 JF588595:JF588684 J588604:J588693 WVR523059:WVR523148 WLV523059:WLV523148 WBZ523059:WBZ523148 VSD523059:VSD523148 VIH523059:VIH523148 UYL523059:UYL523148 UOP523059:UOP523148 UET523059:UET523148 TUX523059:TUX523148 TLB523059:TLB523148 TBF523059:TBF523148 SRJ523059:SRJ523148 SHN523059:SHN523148 RXR523059:RXR523148 RNV523059:RNV523148 RDZ523059:RDZ523148 QUD523059:QUD523148 QKH523059:QKH523148 QAL523059:QAL523148 PQP523059:PQP523148 PGT523059:PGT523148 OWX523059:OWX523148 ONB523059:ONB523148 ODF523059:ODF523148 NTJ523059:NTJ523148 NJN523059:NJN523148 MZR523059:MZR523148 MPV523059:MPV523148 MFZ523059:MFZ523148 LWD523059:LWD523148 LMH523059:LMH523148 LCL523059:LCL523148 KSP523059:KSP523148 KIT523059:KIT523148 JYX523059:JYX523148 JPB523059:JPB523148 JFF523059:JFF523148 IVJ523059:IVJ523148 ILN523059:ILN523148 IBR523059:IBR523148 HRV523059:HRV523148 HHZ523059:HHZ523148 GYD523059:GYD523148 GOH523059:GOH523148 GEL523059:GEL523148 FUP523059:FUP523148 FKT523059:FKT523148 FAX523059:FAX523148 ERB523059:ERB523148 EHF523059:EHF523148 DXJ523059:DXJ523148 DNN523059:DNN523148 DDR523059:DDR523148 CTV523059:CTV523148 CJZ523059:CJZ523148 CAD523059:CAD523148 BQH523059:BQH523148 BGL523059:BGL523148 AWP523059:AWP523148 AMT523059:AMT523148 ACX523059:ACX523148 TB523059:TB523148 JF523059:JF523148 J523068:J523157 WVR457523:WVR457612 WLV457523:WLV457612 WBZ457523:WBZ457612 VSD457523:VSD457612 VIH457523:VIH457612 UYL457523:UYL457612 UOP457523:UOP457612 UET457523:UET457612 TUX457523:TUX457612 TLB457523:TLB457612 TBF457523:TBF457612 SRJ457523:SRJ457612 SHN457523:SHN457612 RXR457523:RXR457612 RNV457523:RNV457612 RDZ457523:RDZ457612 QUD457523:QUD457612 QKH457523:QKH457612 QAL457523:QAL457612 PQP457523:PQP457612 PGT457523:PGT457612 OWX457523:OWX457612 ONB457523:ONB457612 ODF457523:ODF457612 NTJ457523:NTJ457612 NJN457523:NJN457612 MZR457523:MZR457612 MPV457523:MPV457612 MFZ457523:MFZ457612 LWD457523:LWD457612 LMH457523:LMH457612 LCL457523:LCL457612 KSP457523:KSP457612 KIT457523:KIT457612 JYX457523:JYX457612 JPB457523:JPB457612 JFF457523:JFF457612 IVJ457523:IVJ457612 ILN457523:ILN457612 IBR457523:IBR457612 HRV457523:HRV457612 HHZ457523:HHZ457612 GYD457523:GYD457612 GOH457523:GOH457612 GEL457523:GEL457612 FUP457523:FUP457612 FKT457523:FKT457612 FAX457523:FAX457612 ERB457523:ERB457612 EHF457523:EHF457612 DXJ457523:DXJ457612 DNN457523:DNN457612 DDR457523:DDR457612 CTV457523:CTV457612 CJZ457523:CJZ457612 CAD457523:CAD457612 BQH457523:BQH457612 BGL457523:BGL457612 AWP457523:AWP457612 AMT457523:AMT457612 ACX457523:ACX457612 TB457523:TB457612 JF457523:JF457612 J457532:J457621 WVR391987:WVR392076 WLV391987:WLV392076 WBZ391987:WBZ392076 VSD391987:VSD392076 VIH391987:VIH392076 UYL391987:UYL392076 UOP391987:UOP392076 UET391987:UET392076 TUX391987:TUX392076 TLB391987:TLB392076 TBF391987:TBF392076 SRJ391987:SRJ392076 SHN391987:SHN392076 RXR391987:RXR392076 RNV391987:RNV392076 RDZ391987:RDZ392076 QUD391987:QUD392076 QKH391987:QKH392076 QAL391987:QAL392076 PQP391987:PQP392076 PGT391987:PGT392076 OWX391987:OWX392076 ONB391987:ONB392076 ODF391987:ODF392076 NTJ391987:NTJ392076 NJN391987:NJN392076 MZR391987:MZR392076 MPV391987:MPV392076 MFZ391987:MFZ392076 LWD391987:LWD392076 LMH391987:LMH392076 LCL391987:LCL392076 KSP391987:KSP392076 KIT391987:KIT392076 JYX391987:JYX392076 JPB391987:JPB392076 JFF391987:JFF392076 IVJ391987:IVJ392076 ILN391987:ILN392076 IBR391987:IBR392076 HRV391987:HRV392076 HHZ391987:HHZ392076 GYD391987:GYD392076 GOH391987:GOH392076 GEL391987:GEL392076 FUP391987:FUP392076 FKT391987:FKT392076 FAX391987:FAX392076 ERB391987:ERB392076 EHF391987:EHF392076 DXJ391987:DXJ392076 DNN391987:DNN392076 DDR391987:DDR392076 CTV391987:CTV392076 CJZ391987:CJZ392076 CAD391987:CAD392076 BQH391987:BQH392076 BGL391987:BGL392076 AWP391987:AWP392076 AMT391987:AMT392076 ACX391987:ACX392076 TB391987:TB392076 JF391987:JF392076 J391996:J392085 WVR326451:WVR326540 WLV326451:WLV326540 WBZ326451:WBZ326540 VSD326451:VSD326540 VIH326451:VIH326540 UYL326451:UYL326540 UOP326451:UOP326540 UET326451:UET326540 TUX326451:TUX326540 TLB326451:TLB326540 TBF326451:TBF326540 SRJ326451:SRJ326540 SHN326451:SHN326540 RXR326451:RXR326540 RNV326451:RNV326540 RDZ326451:RDZ326540 QUD326451:QUD326540 QKH326451:QKH326540 QAL326451:QAL326540 PQP326451:PQP326540 PGT326451:PGT326540 OWX326451:OWX326540 ONB326451:ONB326540 ODF326451:ODF326540 NTJ326451:NTJ326540 NJN326451:NJN326540 MZR326451:MZR326540 MPV326451:MPV326540 MFZ326451:MFZ326540 LWD326451:LWD326540 LMH326451:LMH326540 LCL326451:LCL326540 KSP326451:KSP326540 KIT326451:KIT326540 JYX326451:JYX326540 JPB326451:JPB326540 JFF326451:JFF326540 IVJ326451:IVJ326540 ILN326451:ILN326540 IBR326451:IBR326540 HRV326451:HRV326540 HHZ326451:HHZ326540 GYD326451:GYD326540 GOH326451:GOH326540 GEL326451:GEL326540 FUP326451:FUP326540 FKT326451:FKT326540 FAX326451:FAX326540 ERB326451:ERB326540 EHF326451:EHF326540 DXJ326451:DXJ326540 DNN326451:DNN326540 DDR326451:DDR326540 CTV326451:CTV326540 CJZ326451:CJZ326540 CAD326451:CAD326540 BQH326451:BQH326540 BGL326451:BGL326540 AWP326451:AWP326540 AMT326451:AMT326540 ACX326451:ACX326540 TB326451:TB326540 JF326451:JF326540 J326460:J326549 WVR260915:WVR261004 WLV260915:WLV261004 WBZ260915:WBZ261004 VSD260915:VSD261004 VIH260915:VIH261004 UYL260915:UYL261004 UOP260915:UOP261004 UET260915:UET261004 TUX260915:TUX261004 TLB260915:TLB261004 TBF260915:TBF261004 SRJ260915:SRJ261004 SHN260915:SHN261004 RXR260915:RXR261004 RNV260915:RNV261004 RDZ260915:RDZ261004 QUD260915:QUD261004 QKH260915:QKH261004 QAL260915:QAL261004 PQP260915:PQP261004 PGT260915:PGT261004 OWX260915:OWX261004 ONB260915:ONB261004 ODF260915:ODF261004 NTJ260915:NTJ261004 NJN260915:NJN261004 MZR260915:MZR261004 MPV260915:MPV261004 MFZ260915:MFZ261004 LWD260915:LWD261004 LMH260915:LMH261004 LCL260915:LCL261004 KSP260915:KSP261004 KIT260915:KIT261004 JYX260915:JYX261004 JPB260915:JPB261004 JFF260915:JFF261004 IVJ260915:IVJ261004 ILN260915:ILN261004 IBR260915:IBR261004 HRV260915:HRV261004 HHZ260915:HHZ261004 GYD260915:GYD261004 GOH260915:GOH261004 GEL260915:GEL261004 FUP260915:FUP261004 FKT260915:FKT261004 FAX260915:FAX261004 ERB260915:ERB261004 EHF260915:EHF261004 DXJ260915:DXJ261004 DNN260915:DNN261004 DDR260915:DDR261004 CTV260915:CTV261004 CJZ260915:CJZ261004 CAD260915:CAD261004 BQH260915:BQH261004 BGL260915:BGL261004 AWP260915:AWP261004 AMT260915:AMT261004 ACX260915:ACX261004 TB260915:TB261004 JF260915:JF261004 J260924:J261013 WVR195379:WVR195468 WLV195379:WLV195468 WBZ195379:WBZ195468 VSD195379:VSD195468 VIH195379:VIH195468 UYL195379:UYL195468 UOP195379:UOP195468 UET195379:UET195468 TUX195379:TUX195468 TLB195379:TLB195468 TBF195379:TBF195468 SRJ195379:SRJ195468 SHN195379:SHN195468 RXR195379:RXR195468 RNV195379:RNV195468 RDZ195379:RDZ195468 QUD195379:QUD195468 QKH195379:QKH195468 QAL195379:QAL195468 PQP195379:PQP195468 PGT195379:PGT195468 OWX195379:OWX195468 ONB195379:ONB195468 ODF195379:ODF195468 NTJ195379:NTJ195468 NJN195379:NJN195468 MZR195379:MZR195468 MPV195379:MPV195468 MFZ195379:MFZ195468 LWD195379:LWD195468 LMH195379:LMH195468 LCL195379:LCL195468 KSP195379:KSP195468 KIT195379:KIT195468 JYX195379:JYX195468 JPB195379:JPB195468 JFF195379:JFF195468 IVJ195379:IVJ195468 ILN195379:ILN195468 IBR195379:IBR195468 HRV195379:HRV195468 HHZ195379:HHZ195468 GYD195379:GYD195468 GOH195379:GOH195468 GEL195379:GEL195468 FUP195379:FUP195468 FKT195379:FKT195468 FAX195379:FAX195468 ERB195379:ERB195468 EHF195379:EHF195468 DXJ195379:DXJ195468 DNN195379:DNN195468 DDR195379:DDR195468 CTV195379:CTV195468 CJZ195379:CJZ195468 CAD195379:CAD195468 BQH195379:BQH195468 BGL195379:BGL195468 AWP195379:AWP195468 AMT195379:AMT195468 ACX195379:ACX195468 TB195379:TB195468 JF195379:JF195468 J195388:J195477 WVR129843:WVR129932 WLV129843:WLV129932 WBZ129843:WBZ129932 VSD129843:VSD129932 VIH129843:VIH129932 UYL129843:UYL129932 UOP129843:UOP129932 UET129843:UET129932 TUX129843:TUX129932 TLB129843:TLB129932 TBF129843:TBF129932 SRJ129843:SRJ129932 SHN129843:SHN129932 RXR129843:RXR129932 RNV129843:RNV129932 RDZ129843:RDZ129932 QUD129843:QUD129932 QKH129843:QKH129932 QAL129843:QAL129932 PQP129843:PQP129932 PGT129843:PGT129932 OWX129843:OWX129932 ONB129843:ONB129932 ODF129843:ODF129932 NTJ129843:NTJ129932 NJN129843:NJN129932 MZR129843:MZR129932 MPV129843:MPV129932 MFZ129843:MFZ129932 LWD129843:LWD129932 LMH129843:LMH129932 LCL129843:LCL129932 KSP129843:KSP129932 KIT129843:KIT129932 JYX129843:JYX129932 JPB129843:JPB129932 JFF129843:JFF129932 IVJ129843:IVJ129932 ILN129843:ILN129932 IBR129843:IBR129932 HRV129843:HRV129932 HHZ129843:HHZ129932 GYD129843:GYD129932 GOH129843:GOH129932 GEL129843:GEL129932 FUP129843:FUP129932 FKT129843:FKT129932 FAX129843:FAX129932 ERB129843:ERB129932 EHF129843:EHF129932 DXJ129843:DXJ129932 DNN129843:DNN129932 DDR129843:DDR129932 CTV129843:CTV129932 CJZ129843:CJZ129932 CAD129843:CAD129932 BQH129843:BQH129932 BGL129843:BGL129932 AWP129843:AWP129932 AMT129843:AMT129932 ACX129843:ACX129932 TB129843:TB129932 JF129843:JF129932 J129852:J129941 WVR64307:WVR64396 WLV64307:WLV64396 WBZ64307:WBZ64396 VSD64307:VSD64396 VIH64307:VIH64396 UYL64307:UYL64396 UOP64307:UOP64396 UET64307:UET64396 TUX64307:TUX64396 TLB64307:TLB64396 TBF64307:TBF64396 SRJ64307:SRJ64396 SHN64307:SHN64396 RXR64307:RXR64396 RNV64307:RNV64396 RDZ64307:RDZ64396 QUD64307:QUD64396 QKH64307:QKH64396 QAL64307:QAL64396 PQP64307:PQP64396 PGT64307:PGT64396 OWX64307:OWX64396 ONB64307:ONB64396 ODF64307:ODF64396 NTJ64307:NTJ64396 NJN64307:NJN64396 MZR64307:MZR64396 MPV64307:MPV64396 MFZ64307:MFZ64396 LWD64307:LWD64396 LMH64307:LMH64396 LCL64307:LCL64396 KSP64307:KSP64396 KIT64307:KIT64396 JYX64307:JYX64396 JPB64307:JPB64396 JFF64307:JFF64396 IVJ64307:IVJ64396 ILN64307:ILN64396 IBR64307:IBR64396 HRV64307:HRV64396 HHZ64307:HHZ64396 GYD64307:GYD64396 GOH64307:GOH64396 GEL64307:GEL64396 FUP64307:FUP64396 FKT64307:FKT64396 FAX64307:FAX64396 ERB64307:ERB64396 EHF64307:EHF64396 DXJ64307:DXJ64396 DNN64307:DNN64396 DDR64307:DDR64396 CTV64307:CTV64396 CJZ64307:CJZ64396 CAD64307:CAD64396 BQH64307:BQH64396 BGL64307:BGL64396 AWP64307:AWP64396 AMT64307:AMT64396 ACX64307:ACX64396 TB64307:TB64396 JF64307:JF64396 J64316:J64405 WVR2:WVR79 WLV2:WLV79 WBZ2:WBZ79 VSD2:VSD79 VIH2:VIH79 UYL2:UYL79 UOP2:UOP79 UET2:UET79 TUX2:TUX79 TLB2:TLB79 TBF2:TBF79 SRJ2:SRJ79 SHN2:SHN79 RXR2:RXR79 RNV2:RNV79 RDZ2:RDZ79 QUD2:QUD79 QKH2:QKH79 QAL2:QAL79 PQP2:PQP79 PGT2:PGT79 OWX2:OWX79 ONB2:ONB79 ODF2:ODF79 NTJ2:NTJ79 NJN2:NJN79 MZR2:MZR79 MPV2:MPV79 MFZ2:MFZ79 LWD2:LWD79 LMH2:LMH79 LCL2:LCL79 KSP2:KSP79 KIT2:KIT79 JYX2:JYX79 JPB2:JPB79 JFF2:JFF79 IVJ2:IVJ79 ILN2:ILN79 IBR2:IBR79 HRV2:HRV79 HHZ2:HHZ79 GYD2:GYD79 GOH2:GOH79 GEL2:GEL79 FUP2:FUP79 FKT2:FKT79 FAX2:FAX79 ERB2:ERB79 EHF2:EHF79 DXJ2:DXJ79 DNN2:DNN79 DDR2:DDR79 CTV2:CTV79 CJZ2:CJZ79 CAD2:CAD79 BQH2:BQH79 BGL2:BGL79 AWP2:AWP79 AMT2:AMT79 ACX2:ACX79 TB2:TB79 JF2:JF79" xr:uid="{7B0C8A61-9E6E-4A03-A0ED-CA70DBB05059}">
      <formula1>$AP$2:$AP$15</formula1>
    </dataValidation>
    <dataValidation type="list" allowBlank="1" showInputMessage="1" showErrorMessage="1" sqref="WVN981811:WVN981900 WLR981811:WLR981900 WBV981811:WBV981900 VRZ981811:VRZ981900 VID981811:VID981900 UYH981811:UYH981900 UOL981811:UOL981900 UEP981811:UEP981900 TUT981811:TUT981900 TKX981811:TKX981900 TBB981811:TBB981900 SRF981811:SRF981900 SHJ981811:SHJ981900 RXN981811:RXN981900 RNR981811:RNR981900 RDV981811:RDV981900 QTZ981811:QTZ981900 QKD981811:QKD981900 QAH981811:QAH981900 PQL981811:PQL981900 PGP981811:PGP981900 OWT981811:OWT981900 OMX981811:OMX981900 ODB981811:ODB981900 NTF981811:NTF981900 NJJ981811:NJJ981900 MZN981811:MZN981900 MPR981811:MPR981900 MFV981811:MFV981900 LVZ981811:LVZ981900 LMD981811:LMD981900 LCH981811:LCH981900 KSL981811:KSL981900 KIP981811:KIP981900 JYT981811:JYT981900 JOX981811:JOX981900 JFB981811:JFB981900 IVF981811:IVF981900 ILJ981811:ILJ981900 IBN981811:IBN981900 HRR981811:HRR981900 HHV981811:HHV981900 GXZ981811:GXZ981900 GOD981811:GOD981900 GEH981811:GEH981900 FUL981811:FUL981900 FKP981811:FKP981900 FAT981811:FAT981900 EQX981811:EQX981900 EHB981811:EHB981900 DXF981811:DXF981900 DNJ981811:DNJ981900 DDN981811:DDN981900 CTR981811:CTR981900 CJV981811:CJV981900 BZZ981811:BZZ981900 BQD981811:BQD981900 BGH981811:BGH981900 AWL981811:AWL981900 AMP981811:AMP981900 ACT981811:ACT981900 SX981811:SX981900 JB981811:JB981900 F981822:F981911 WVN916275:WVN916364 WLR916275:WLR916364 WBV916275:WBV916364 VRZ916275:VRZ916364 VID916275:VID916364 UYH916275:UYH916364 UOL916275:UOL916364 UEP916275:UEP916364 TUT916275:TUT916364 TKX916275:TKX916364 TBB916275:TBB916364 SRF916275:SRF916364 SHJ916275:SHJ916364 RXN916275:RXN916364 RNR916275:RNR916364 RDV916275:RDV916364 QTZ916275:QTZ916364 QKD916275:QKD916364 QAH916275:QAH916364 PQL916275:PQL916364 PGP916275:PGP916364 OWT916275:OWT916364 OMX916275:OMX916364 ODB916275:ODB916364 NTF916275:NTF916364 NJJ916275:NJJ916364 MZN916275:MZN916364 MPR916275:MPR916364 MFV916275:MFV916364 LVZ916275:LVZ916364 LMD916275:LMD916364 LCH916275:LCH916364 KSL916275:KSL916364 KIP916275:KIP916364 JYT916275:JYT916364 JOX916275:JOX916364 JFB916275:JFB916364 IVF916275:IVF916364 ILJ916275:ILJ916364 IBN916275:IBN916364 HRR916275:HRR916364 HHV916275:HHV916364 GXZ916275:GXZ916364 GOD916275:GOD916364 GEH916275:GEH916364 FUL916275:FUL916364 FKP916275:FKP916364 FAT916275:FAT916364 EQX916275:EQX916364 EHB916275:EHB916364 DXF916275:DXF916364 DNJ916275:DNJ916364 DDN916275:DDN916364 CTR916275:CTR916364 CJV916275:CJV916364 BZZ916275:BZZ916364 BQD916275:BQD916364 BGH916275:BGH916364 AWL916275:AWL916364 AMP916275:AMP916364 ACT916275:ACT916364 SX916275:SX916364 JB916275:JB916364 F916286:F916375 WVN850739:WVN850828 WLR850739:WLR850828 WBV850739:WBV850828 VRZ850739:VRZ850828 VID850739:VID850828 UYH850739:UYH850828 UOL850739:UOL850828 UEP850739:UEP850828 TUT850739:TUT850828 TKX850739:TKX850828 TBB850739:TBB850828 SRF850739:SRF850828 SHJ850739:SHJ850828 RXN850739:RXN850828 RNR850739:RNR850828 RDV850739:RDV850828 QTZ850739:QTZ850828 QKD850739:QKD850828 QAH850739:QAH850828 PQL850739:PQL850828 PGP850739:PGP850828 OWT850739:OWT850828 OMX850739:OMX850828 ODB850739:ODB850828 NTF850739:NTF850828 NJJ850739:NJJ850828 MZN850739:MZN850828 MPR850739:MPR850828 MFV850739:MFV850828 LVZ850739:LVZ850828 LMD850739:LMD850828 LCH850739:LCH850828 KSL850739:KSL850828 KIP850739:KIP850828 JYT850739:JYT850828 JOX850739:JOX850828 JFB850739:JFB850828 IVF850739:IVF850828 ILJ850739:ILJ850828 IBN850739:IBN850828 HRR850739:HRR850828 HHV850739:HHV850828 GXZ850739:GXZ850828 GOD850739:GOD850828 GEH850739:GEH850828 FUL850739:FUL850828 FKP850739:FKP850828 FAT850739:FAT850828 EQX850739:EQX850828 EHB850739:EHB850828 DXF850739:DXF850828 DNJ850739:DNJ850828 DDN850739:DDN850828 CTR850739:CTR850828 CJV850739:CJV850828 BZZ850739:BZZ850828 BQD850739:BQD850828 BGH850739:BGH850828 AWL850739:AWL850828 AMP850739:AMP850828 ACT850739:ACT850828 SX850739:SX850828 JB850739:JB850828 F850750:F850839 WVN785203:WVN785292 WLR785203:WLR785292 WBV785203:WBV785292 VRZ785203:VRZ785292 VID785203:VID785292 UYH785203:UYH785292 UOL785203:UOL785292 UEP785203:UEP785292 TUT785203:TUT785292 TKX785203:TKX785292 TBB785203:TBB785292 SRF785203:SRF785292 SHJ785203:SHJ785292 RXN785203:RXN785292 RNR785203:RNR785292 RDV785203:RDV785292 QTZ785203:QTZ785292 QKD785203:QKD785292 QAH785203:QAH785292 PQL785203:PQL785292 PGP785203:PGP785292 OWT785203:OWT785292 OMX785203:OMX785292 ODB785203:ODB785292 NTF785203:NTF785292 NJJ785203:NJJ785292 MZN785203:MZN785292 MPR785203:MPR785292 MFV785203:MFV785292 LVZ785203:LVZ785292 LMD785203:LMD785292 LCH785203:LCH785292 KSL785203:KSL785292 KIP785203:KIP785292 JYT785203:JYT785292 JOX785203:JOX785292 JFB785203:JFB785292 IVF785203:IVF785292 ILJ785203:ILJ785292 IBN785203:IBN785292 HRR785203:HRR785292 HHV785203:HHV785292 GXZ785203:GXZ785292 GOD785203:GOD785292 GEH785203:GEH785292 FUL785203:FUL785292 FKP785203:FKP785292 FAT785203:FAT785292 EQX785203:EQX785292 EHB785203:EHB785292 DXF785203:DXF785292 DNJ785203:DNJ785292 DDN785203:DDN785292 CTR785203:CTR785292 CJV785203:CJV785292 BZZ785203:BZZ785292 BQD785203:BQD785292 BGH785203:BGH785292 AWL785203:AWL785292 AMP785203:AMP785292 ACT785203:ACT785292 SX785203:SX785292 JB785203:JB785292 F785214:F785303 WVN719667:WVN719756 WLR719667:WLR719756 WBV719667:WBV719756 VRZ719667:VRZ719756 VID719667:VID719756 UYH719667:UYH719756 UOL719667:UOL719756 UEP719667:UEP719756 TUT719667:TUT719756 TKX719667:TKX719756 TBB719667:TBB719756 SRF719667:SRF719756 SHJ719667:SHJ719756 RXN719667:RXN719756 RNR719667:RNR719756 RDV719667:RDV719756 QTZ719667:QTZ719756 QKD719667:QKD719756 QAH719667:QAH719756 PQL719667:PQL719756 PGP719667:PGP719756 OWT719667:OWT719756 OMX719667:OMX719756 ODB719667:ODB719756 NTF719667:NTF719756 NJJ719667:NJJ719756 MZN719667:MZN719756 MPR719667:MPR719756 MFV719667:MFV719756 LVZ719667:LVZ719756 LMD719667:LMD719756 LCH719667:LCH719756 KSL719667:KSL719756 KIP719667:KIP719756 JYT719667:JYT719756 JOX719667:JOX719756 JFB719667:JFB719756 IVF719667:IVF719756 ILJ719667:ILJ719756 IBN719667:IBN719756 HRR719667:HRR719756 HHV719667:HHV719756 GXZ719667:GXZ719756 GOD719667:GOD719756 GEH719667:GEH719756 FUL719667:FUL719756 FKP719667:FKP719756 FAT719667:FAT719756 EQX719667:EQX719756 EHB719667:EHB719756 DXF719667:DXF719756 DNJ719667:DNJ719756 DDN719667:DDN719756 CTR719667:CTR719756 CJV719667:CJV719756 BZZ719667:BZZ719756 BQD719667:BQD719756 BGH719667:BGH719756 AWL719667:AWL719756 AMP719667:AMP719756 ACT719667:ACT719756 SX719667:SX719756 JB719667:JB719756 F719678:F719767 WVN654131:WVN654220 WLR654131:WLR654220 WBV654131:WBV654220 VRZ654131:VRZ654220 VID654131:VID654220 UYH654131:UYH654220 UOL654131:UOL654220 UEP654131:UEP654220 TUT654131:TUT654220 TKX654131:TKX654220 TBB654131:TBB654220 SRF654131:SRF654220 SHJ654131:SHJ654220 RXN654131:RXN654220 RNR654131:RNR654220 RDV654131:RDV654220 QTZ654131:QTZ654220 QKD654131:QKD654220 QAH654131:QAH654220 PQL654131:PQL654220 PGP654131:PGP654220 OWT654131:OWT654220 OMX654131:OMX654220 ODB654131:ODB654220 NTF654131:NTF654220 NJJ654131:NJJ654220 MZN654131:MZN654220 MPR654131:MPR654220 MFV654131:MFV654220 LVZ654131:LVZ654220 LMD654131:LMD654220 LCH654131:LCH654220 KSL654131:KSL654220 KIP654131:KIP654220 JYT654131:JYT654220 JOX654131:JOX654220 JFB654131:JFB654220 IVF654131:IVF654220 ILJ654131:ILJ654220 IBN654131:IBN654220 HRR654131:HRR654220 HHV654131:HHV654220 GXZ654131:GXZ654220 GOD654131:GOD654220 GEH654131:GEH654220 FUL654131:FUL654220 FKP654131:FKP654220 FAT654131:FAT654220 EQX654131:EQX654220 EHB654131:EHB654220 DXF654131:DXF654220 DNJ654131:DNJ654220 DDN654131:DDN654220 CTR654131:CTR654220 CJV654131:CJV654220 BZZ654131:BZZ654220 BQD654131:BQD654220 BGH654131:BGH654220 AWL654131:AWL654220 AMP654131:AMP654220 ACT654131:ACT654220 SX654131:SX654220 JB654131:JB654220 F654142:F654231 WVN588595:WVN588684 WLR588595:WLR588684 WBV588595:WBV588684 VRZ588595:VRZ588684 VID588595:VID588684 UYH588595:UYH588684 UOL588595:UOL588684 UEP588595:UEP588684 TUT588595:TUT588684 TKX588595:TKX588684 TBB588595:TBB588684 SRF588595:SRF588684 SHJ588595:SHJ588684 RXN588595:RXN588684 RNR588595:RNR588684 RDV588595:RDV588684 QTZ588595:QTZ588684 QKD588595:QKD588684 QAH588595:QAH588684 PQL588595:PQL588684 PGP588595:PGP588684 OWT588595:OWT588684 OMX588595:OMX588684 ODB588595:ODB588684 NTF588595:NTF588684 NJJ588595:NJJ588684 MZN588595:MZN588684 MPR588595:MPR588684 MFV588595:MFV588684 LVZ588595:LVZ588684 LMD588595:LMD588684 LCH588595:LCH588684 KSL588595:KSL588684 KIP588595:KIP588684 JYT588595:JYT588684 JOX588595:JOX588684 JFB588595:JFB588684 IVF588595:IVF588684 ILJ588595:ILJ588684 IBN588595:IBN588684 HRR588595:HRR588684 HHV588595:HHV588684 GXZ588595:GXZ588684 GOD588595:GOD588684 GEH588595:GEH588684 FUL588595:FUL588684 FKP588595:FKP588684 FAT588595:FAT588684 EQX588595:EQX588684 EHB588595:EHB588684 DXF588595:DXF588684 DNJ588595:DNJ588684 DDN588595:DDN588684 CTR588595:CTR588684 CJV588595:CJV588684 BZZ588595:BZZ588684 BQD588595:BQD588684 BGH588595:BGH588684 AWL588595:AWL588684 AMP588595:AMP588684 ACT588595:ACT588684 SX588595:SX588684 JB588595:JB588684 F588606:F588695 WVN523059:WVN523148 WLR523059:WLR523148 WBV523059:WBV523148 VRZ523059:VRZ523148 VID523059:VID523148 UYH523059:UYH523148 UOL523059:UOL523148 UEP523059:UEP523148 TUT523059:TUT523148 TKX523059:TKX523148 TBB523059:TBB523148 SRF523059:SRF523148 SHJ523059:SHJ523148 RXN523059:RXN523148 RNR523059:RNR523148 RDV523059:RDV523148 QTZ523059:QTZ523148 QKD523059:QKD523148 QAH523059:QAH523148 PQL523059:PQL523148 PGP523059:PGP523148 OWT523059:OWT523148 OMX523059:OMX523148 ODB523059:ODB523148 NTF523059:NTF523148 NJJ523059:NJJ523148 MZN523059:MZN523148 MPR523059:MPR523148 MFV523059:MFV523148 LVZ523059:LVZ523148 LMD523059:LMD523148 LCH523059:LCH523148 KSL523059:KSL523148 KIP523059:KIP523148 JYT523059:JYT523148 JOX523059:JOX523148 JFB523059:JFB523148 IVF523059:IVF523148 ILJ523059:ILJ523148 IBN523059:IBN523148 HRR523059:HRR523148 HHV523059:HHV523148 GXZ523059:GXZ523148 GOD523059:GOD523148 GEH523059:GEH523148 FUL523059:FUL523148 FKP523059:FKP523148 FAT523059:FAT523148 EQX523059:EQX523148 EHB523059:EHB523148 DXF523059:DXF523148 DNJ523059:DNJ523148 DDN523059:DDN523148 CTR523059:CTR523148 CJV523059:CJV523148 BZZ523059:BZZ523148 BQD523059:BQD523148 BGH523059:BGH523148 AWL523059:AWL523148 AMP523059:AMP523148 ACT523059:ACT523148 SX523059:SX523148 JB523059:JB523148 F523070:F523159 WVN457523:WVN457612 WLR457523:WLR457612 WBV457523:WBV457612 VRZ457523:VRZ457612 VID457523:VID457612 UYH457523:UYH457612 UOL457523:UOL457612 UEP457523:UEP457612 TUT457523:TUT457612 TKX457523:TKX457612 TBB457523:TBB457612 SRF457523:SRF457612 SHJ457523:SHJ457612 RXN457523:RXN457612 RNR457523:RNR457612 RDV457523:RDV457612 QTZ457523:QTZ457612 QKD457523:QKD457612 QAH457523:QAH457612 PQL457523:PQL457612 PGP457523:PGP457612 OWT457523:OWT457612 OMX457523:OMX457612 ODB457523:ODB457612 NTF457523:NTF457612 NJJ457523:NJJ457612 MZN457523:MZN457612 MPR457523:MPR457612 MFV457523:MFV457612 LVZ457523:LVZ457612 LMD457523:LMD457612 LCH457523:LCH457612 KSL457523:KSL457612 KIP457523:KIP457612 JYT457523:JYT457612 JOX457523:JOX457612 JFB457523:JFB457612 IVF457523:IVF457612 ILJ457523:ILJ457612 IBN457523:IBN457612 HRR457523:HRR457612 HHV457523:HHV457612 GXZ457523:GXZ457612 GOD457523:GOD457612 GEH457523:GEH457612 FUL457523:FUL457612 FKP457523:FKP457612 FAT457523:FAT457612 EQX457523:EQX457612 EHB457523:EHB457612 DXF457523:DXF457612 DNJ457523:DNJ457612 DDN457523:DDN457612 CTR457523:CTR457612 CJV457523:CJV457612 BZZ457523:BZZ457612 BQD457523:BQD457612 BGH457523:BGH457612 AWL457523:AWL457612 AMP457523:AMP457612 ACT457523:ACT457612 SX457523:SX457612 JB457523:JB457612 F457534:F457623 WVN391987:WVN392076 WLR391987:WLR392076 WBV391987:WBV392076 VRZ391987:VRZ392076 VID391987:VID392076 UYH391987:UYH392076 UOL391987:UOL392076 UEP391987:UEP392076 TUT391987:TUT392076 TKX391987:TKX392076 TBB391987:TBB392076 SRF391987:SRF392076 SHJ391987:SHJ392076 RXN391987:RXN392076 RNR391987:RNR392076 RDV391987:RDV392076 QTZ391987:QTZ392076 QKD391987:QKD392076 QAH391987:QAH392076 PQL391987:PQL392076 PGP391987:PGP392076 OWT391987:OWT392076 OMX391987:OMX392076 ODB391987:ODB392076 NTF391987:NTF392076 NJJ391987:NJJ392076 MZN391987:MZN392076 MPR391987:MPR392076 MFV391987:MFV392076 LVZ391987:LVZ392076 LMD391987:LMD392076 LCH391987:LCH392076 KSL391987:KSL392076 KIP391987:KIP392076 JYT391987:JYT392076 JOX391987:JOX392076 JFB391987:JFB392076 IVF391987:IVF392076 ILJ391987:ILJ392076 IBN391987:IBN392076 HRR391987:HRR392076 HHV391987:HHV392076 GXZ391987:GXZ392076 GOD391987:GOD392076 GEH391987:GEH392076 FUL391987:FUL392076 FKP391987:FKP392076 FAT391987:FAT392076 EQX391987:EQX392076 EHB391987:EHB392076 DXF391987:DXF392076 DNJ391987:DNJ392076 DDN391987:DDN392076 CTR391987:CTR392076 CJV391987:CJV392076 BZZ391987:BZZ392076 BQD391987:BQD392076 BGH391987:BGH392076 AWL391987:AWL392076 AMP391987:AMP392076 ACT391987:ACT392076 SX391987:SX392076 JB391987:JB392076 F391998:F392087 WVN326451:WVN326540 WLR326451:WLR326540 WBV326451:WBV326540 VRZ326451:VRZ326540 VID326451:VID326540 UYH326451:UYH326540 UOL326451:UOL326540 UEP326451:UEP326540 TUT326451:TUT326540 TKX326451:TKX326540 TBB326451:TBB326540 SRF326451:SRF326540 SHJ326451:SHJ326540 RXN326451:RXN326540 RNR326451:RNR326540 RDV326451:RDV326540 QTZ326451:QTZ326540 QKD326451:QKD326540 QAH326451:QAH326540 PQL326451:PQL326540 PGP326451:PGP326540 OWT326451:OWT326540 OMX326451:OMX326540 ODB326451:ODB326540 NTF326451:NTF326540 NJJ326451:NJJ326540 MZN326451:MZN326540 MPR326451:MPR326540 MFV326451:MFV326540 LVZ326451:LVZ326540 LMD326451:LMD326540 LCH326451:LCH326540 KSL326451:KSL326540 KIP326451:KIP326540 JYT326451:JYT326540 JOX326451:JOX326540 JFB326451:JFB326540 IVF326451:IVF326540 ILJ326451:ILJ326540 IBN326451:IBN326540 HRR326451:HRR326540 HHV326451:HHV326540 GXZ326451:GXZ326540 GOD326451:GOD326540 GEH326451:GEH326540 FUL326451:FUL326540 FKP326451:FKP326540 FAT326451:FAT326540 EQX326451:EQX326540 EHB326451:EHB326540 DXF326451:DXF326540 DNJ326451:DNJ326540 DDN326451:DDN326540 CTR326451:CTR326540 CJV326451:CJV326540 BZZ326451:BZZ326540 BQD326451:BQD326540 BGH326451:BGH326540 AWL326451:AWL326540 AMP326451:AMP326540 ACT326451:ACT326540 SX326451:SX326540 JB326451:JB326540 F326462:F326551 WVN260915:WVN261004 WLR260915:WLR261004 WBV260915:WBV261004 VRZ260915:VRZ261004 VID260915:VID261004 UYH260915:UYH261004 UOL260915:UOL261004 UEP260915:UEP261004 TUT260915:TUT261004 TKX260915:TKX261004 TBB260915:TBB261004 SRF260915:SRF261004 SHJ260915:SHJ261004 RXN260915:RXN261004 RNR260915:RNR261004 RDV260915:RDV261004 QTZ260915:QTZ261004 QKD260915:QKD261004 QAH260915:QAH261004 PQL260915:PQL261004 PGP260915:PGP261004 OWT260915:OWT261004 OMX260915:OMX261004 ODB260915:ODB261004 NTF260915:NTF261004 NJJ260915:NJJ261004 MZN260915:MZN261004 MPR260915:MPR261004 MFV260915:MFV261004 LVZ260915:LVZ261004 LMD260915:LMD261004 LCH260915:LCH261004 KSL260915:KSL261004 KIP260915:KIP261004 JYT260915:JYT261004 JOX260915:JOX261004 JFB260915:JFB261004 IVF260915:IVF261004 ILJ260915:ILJ261004 IBN260915:IBN261004 HRR260915:HRR261004 HHV260915:HHV261004 GXZ260915:GXZ261004 GOD260915:GOD261004 GEH260915:GEH261004 FUL260915:FUL261004 FKP260915:FKP261004 FAT260915:FAT261004 EQX260915:EQX261004 EHB260915:EHB261004 DXF260915:DXF261004 DNJ260915:DNJ261004 DDN260915:DDN261004 CTR260915:CTR261004 CJV260915:CJV261004 BZZ260915:BZZ261004 BQD260915:BQD261004 BGH260915:BGH261004 AWL260915:AWL261004 AMP260915:AMP261004 ACT260915:ACT261004 SX260915:SX261004 JB260915:JB261004 F260926:F261015 WVN195379:WVN195468 WLR195379:WLR195468 WBV195379:WBV195468 VRZ195379:VRZ195468 VID195379:VID195468 UYH195379:UYH195468 UOL195379:UOL195468 UEP195379:UEP195468 TUT195379:TUT195468 TKX195379:TKX195468 TBB195379:TBB195468 SRF195379:SRF195468 SHJ195379:SHJ195468 RXN195379:RXN195468 RNR195379:RNR195468 RDV195379:RDV195468 QTZ195379:QTZ195468 QKD195379:QKD195468 QAH195379:QAH195468 PQL195379:PQL195468 PGP195379:PGP195468 OWT195379:OWT195468 OMX195379:OMX195468 ODB195379:ODB195468 NTF195379:NTF195468 NJJ195379:NJJ195468 MZN195379:MZN195468 MPR195379:MPR195468 MFV195379:MFV195468 LVZ195379:LVZ195468 LMD195379:LMD195468 LCH195379:LCH195468 KSL195379:KSL195468 KIP195379:KIP195468 JYT195379:JYT195468 JOX195379:JOX195468 JFB195379:JFB195468 IVF195379:IVF195468 ILJ195379:ILJ195468 IBN195379:IBN195468 HRR195379:HRR195468 HHV195379:HHV195468 GXZ195379:GXZ195468 GOD195379:GOD195468 GEH195379:GEH195468 FUL195379:FUL195468 FKP195379:FKP195468 FAT195379:FAT195468 EQX195379:EQX195468 EHB195379:EHB195468 DXF195379:DXF195468 DNJ195379:DNJ195468 DDN195379:DDN195468 CTR195379:CTR195468 CJV195379:CJV195468 BZZ195379:BZZ195468 BQD195379:BQD195468 BGH195379:BGH195468 AWL195379:AWL195468 AMP195379:AMP195468 ACT195379:ACT195468 SX195379:SX195468 JB195379:JB195468 F195390:F195479 WVN129843:WVN129932 WLR129843:WLR129932 WBV129843:WBV129932 VRZ129843:VRZ129932 VID129843:VID129932 UYH129843:UYH129932 UOL129843:UOL129932 UEP129843:UEP129932 TUT129843:TUT129932 TKX129843:TKX129932 TBB129843:TBB129932 SRF129843:SRF129932 SHJ129843:SHJ129932 RXN129843:RXN129932 RNR129843:RNR129932 RDV129843:RDV129932 QTZ129843:QTZ129932 QKD129843:QKD129932 QAH129843:QAH129932 PQL129843:PQL129932 PGP129843:PGP129932 OWT129843:OWT129932 OMX129843:OMX129932 ODB129843:ODB129932 NTF129843:NTF129932 NJJ129843:NJJ129932 MZN129843:MZN129932 MPR129843:MPR129932 MFV129843:MFV129932 LVZ129843:LVZ129932 LMD129843:LMD129932 LCH129843:LCH129932 KSL129843:KSL129932 KIP129843:KIP129932 JYT129843:JYT129932 JOX129843:JOX129932 JFB129843:JFB129932 IVF129843:IVF129932 ILJ129843:ILJ129932 IBN129843:IBN129932 HRR129843:HRR129932 HHV129843:HHV129932 GXZ129843:GXZ129932 GOD129843:GOD129932 GEH129843:GEH129932 FUL129843:FUL129932 FKP129843:FKP129932 FAT129843:FAT129932 EQX129843:EQX129932 EHB129843:EHB129932 DXF129843:DXF129932 DNJ129843:DNJ129932 DDN129843:DDN129932 CTR129843:CTR129932 CJV129843:CJV129932 BZZ129843:BZZ129932 BQD129843:BQD129932 BGH129843:BGH129932 AWL129843:AWL129932 AMP129843:AMP129932 ACT129843:ACT129932 SX129843:SX129932 JB129843:JB129932 F129854:F129943 WVN64307:WVN64396 WLR64307:WLR64396 WBV64307:WBV64396 VRZ64307:VRZ64396 VID64307:VID64396 UYH64307:UYH64396 UOL64307:UOL64396 UEP64307:UEP64396 TUT64307:TUT64396 TKX64307:TKX64396 TBB64307:TBB64396 SRF64307:SRF64396 SHJ64307:SHJ64396 RXN64307:RXN64396 RNR64307:RNR64396 RDV64307:RDV64396 QTZ64307:QTZ64396 QKD64307:QKD64396 QAH64307:QAH64396 PQL64307:PQL64396 PGP64307:PGP64396 OWT64307:OWT64396 OMX64307:OMX64396 ODB64307:ODB64396 NTF64307:NTF64396 NJJ64307:NJJ64396 MZN64307:MZN64396 MPR64307:MPR64396 MFV64307:MFV64396 LVZ64307:LVZ64396 LMD64307:LMD64396 LCH64307:LCH64396 KSL64307:KSL64396 KIP64307:KIP64396 JYT64307:JYT64396 JOX64307:JOX64396 JFB64307:JFB64396 IVF64307:IVF64396 ILJ64307:ILJ64396 IBN64307:IBN64396 HRR64307:HRR64396 HHV64307:HHV64396 GXZ64307:GXZ64396 GOD64307:GOD64396 GEH64307:GEH64396 FUL64307:FUL64396 FKP64307:FKP64396 FAT64307:FAT64396 EQX64307:EQX64396 EHB64307:EHB64396 DXF64307:DXF64396 DNJ64307:DNJ64396 DDN64307:DDN64396 CTR64307:CTR64396 CJV64307:CJV64396 BZZ64307:BZZ64396 BQD64307:BQD64396 BGH64307:BGH64396 AWL64307:AWL64396 AMP64307:AMP64396 ACT64307:ACT64396 SX64307:SX64396 JB64307:JB64396 F64318:F64407 JB2:JB79 SX2:SX79 ACT2:ACT79 AMP2:AMP79 AWL2:AWL79 BGH2:BGH79 BQD2:BQD79 BZZ2:BZZ79 CJV2:CJV79 CTR2:CTR79 DDN2:DDN79 DNJ2:DNJ79 DXF2:DXF79 EHB2:EHB79 EQX2:EQX79 FAT2:FAT79 FKP2:FKP79 FUL2:FUL79 GEH2:GEH79 GOD2:GOD79 GXZ2:GXZ79 HHV2:HHV79 HRR2:HRR79 IBN2:IBN79 ILJ2:ILJ79 IVF2:IVF79 JFB2:JFB79 JOX2:JOX79 JYT2:JYT79 KIP2:KIP79 KSL2:KSL79 LCH2:LCH79 LMD2:LMD79 LVZ2:LVZ79 MFV2:MFV79 MPR2:MPR79 MZN2:MZN79 NJJ2:NJJ79 NTF2:NTF79 ODB2:ODB79 OMX2:OMX79 OWT2:OWT79 PGP2:PGP79 PQL2:PQL79 QAH2:QAH79 QKD2:QKD79 QTZ2:QTZ79 RDV2:RDV79 RNR2:RNR79 RXN2:RXN79 SHJ2:SHJ79 SRF2:SRF79 TBB2:TBB79 TKX2:TKX79 TUT2:TUT79 UEP2:UEP79 UOL2:UOL79 UYH2:UYH79 VID2:VID79 VRZ2:VRZ79 WBV2:WBV79 WLR2:WLR79 WVN2:WVN79" xr:uid="{A302F89C-40F0-4BE5-A072-0BA0BB92DF3A}">
      <formula1>$AH$2:$AH$13</formula1>
    </dataValidation>
    <dataValidation type="list" allowBlank="1" showInputMessage="1" showErrorMessage="1" sqref="WVM981811:WVM981900 WLQ981811:WLQ981900 WBU981811:WBU981900 VRY981811:VRY981900 VIC981811:VIC981900 UYG981811:UYG981900 UOK981811:UOK981900 UEO981811:UEO981900 TUS981811:TUS981900 TKW981811:TKW981900 TBA981811:TBA981900 SRE981811:SRE981900 SHI981811:SHI981900 RXM981811:RXM981900 RNQ981811:RNQ981900 RDU981811:RDU981900 QTY981811:QTY981900 QKC981811:QKC981900 QAG981811:QAG981900 PQK981811:PQK981900 PGO981811:PGO981900 OWS981811:OWS981900 OMW981811:OMW981900 ODA981811:ODA981900 NTE981811:NTE981900 NJI981811:NJI981900 MZM981811:MZM981900 MPQ981811:MPQ981900 MFU981811:MFU981900 LVY981811:LVY981900 LMC981811:LMC981900 LCG981811:LCG981900 KSK981811:KSK981900 KIO981811:KIO981900 JYS981811:JYS981900 JOW981811:JOW981900 JFA981811:JFA981900 IVE981811:IVE981900 ILI981811:ILI981900 IBM981811:IBM981900 HRQ981811:HRQ981900 HHU981811:HHU981900 GXY981811:GXY981900 GOC981811:GOC981900 GEG981811:GEG981900 FUK981811:FUK981900 FKO981811:FKO981900 FAS981811:FAS981900 EQW981811:EQW981900 EHA981811:EHA981900 DXE981811:DXE981900 DNI981811:DNI981900 DDM981811:DDM981900 CTQ981811:CTQ981900 CJU981811:CJU981900 BZY981811:BZY981900 BQC981811:BQC981900 BGG981811:BGG981900 AWK981811:AWK981900 AMO981811:AMO981900 ACS981811:ACS981900 SW981811:SW981900 JA981811:JA981900 E981822:E981911 WVM916275:WVM916364 WLQ916275:WLQ916364 WBU916275:WBU916364 VRY916275:VRY916364 VIC916275:VIC916364 UYG916275:UYG916364 UOK916275:UOK916364 UEO916275:UEO916364 TUS916275:TUS916364 TKW916275:TKW916364 TBA916275:TBA916364 SRE916275:SRE916364 SHI916275:SHI916364 RXM916275:RXM916364 RNQ916275:RNQ916364 RDU916275:RDU916364 QTY916275:QTY916364 QKC916275:QKC916364 QAG916275:QAG916364 PQK916275:PQK916364 PGO916275:PGO916364 OWS916275:OWS916364 OMW916275:OMW916364 ODA916275:ODA916364 NTE916275:NTE916364 NJI916275:NJI916364 MZM916275:MZM916364 MPQ916275:MPQ916364 MFU916275:MFU916364 LVY916275:LVY916364 LMC916275:LMC916364 LCG916275:LCG916364 KSK916275:KSK916364 KIO916275:KIO916364 JYS916275:JYS916364 JOW916275:JOW916364 JFA916275:JFA916364 IVE916275:IVE916364 ILI916275:ILI916364 IBM916275:IBM916364 HRQ916275:HRQ916364 HHU916275:HHU916364 GXY916275:GXY916364 GOC916275:GOC916364 GEG916275:GEG916364 FUK916275:FUK916364 FKO916275:FKO916364 FAS916275:FAS916364 EQW916275:EQW916364 EHA916275:EHA916364 DXE916275:DXE916364 DNI916275:DNI916364 DDM916275:DDM916364 CTQ916275:CTQ916364 CJU916275:CJU916364 BZY916275:BZY916364 BQC916275:BQC916364 BGG916275:BGG916364 AWK916275:AWK916364 AMO916275:AMO916364 ACS916275:ACS916364 SW916275:SW916364 JA916275:JA916364 E916286:E916375 WVM850739:WVM850828 WLQ850739:WLQ850828 WBU850739:WBU850828 VRY850739:VRY850828 VIC850739:VIC850828 UYG850739:UYG850828 UOK850739:UOK850828 UEO850739:UEO850828 TUS850739:TUS850828 TKW850739:TKW850828 TBA850739:TBA850828 SRE850739:SRE850828 SHI850739:SHI850828 RXM850739:RXM850828 RNQ850739:RNQ850828 RDU850739:RDU850828 QTY850739:QTY850828 QKC850739:QKC850828 QAG850739:QAG850828 PQK850739:PQK850828 PGO850739:PGO850828 OWS850739:OWS850828 OMW850739:OMW850828 ODA850739:ODA850828 NTE850739:NTE850828 NJI850739:NJI850828 MZM850739:MZM850828 MPQ850739:MPQ850828 MFU850739:MFU850828 LVY850739:LVY850828 LMC850739:LMC850828 LCG850739:LCG850828 KSK850739:KSK850828 KIO850739:KIO850828 JYS850739:JYS850828 JOW850739:JOW850828 JFA850739:JFA850828 IVE850739:IVE850828 ILI850739:ILI850828 IBM850739:IBM850828 HRQ850739:HRQ850828 HHU850739:HHU850828 GXY850739:GXY850828 GOC850739:GOC850828 GEG850739:GEG850828 FUK850739:FUK850828 FKO850739:FKO850828 FAS850739:FAS850828 EQW850739:EQW850828 EHA850739:EHA850828 DXE850739:DXE850828 DNI850739:DNI850828 DDM850739:DDM850828 CTQ850739:CTQ850828 CJU850739:CJU850828 BZY850739:BZY850828 BQC850739:BQC850828 BGG850739:BGG850828 AWK850739:AWK850828 AMO850739:AMO850828 ACS850739:ACS850828 SW850739:SW850828 JA850739:JA850828 E850750:E850839 WVM785203:WVM785292 WLQ785203:WLQ785292 WBU785203:WBU785292 VRY785203:VRY785292 VIC785203:VIC785292 UYG785203:UYG785292 UOK785203:UOK785292 UEO785203:UEO785292 TUS785203:TUS785292 TKW785203:TKW785292 TBA785203:TBA785292 SRE785203:SRE785292 SHI785203:SHI785292 RXM785203:RXM785292 RNQ785203:RNQ785292 RDU785203:RDU785292 QTY785203:QTY785292 QKC785203:QKC785292 QAG785203:QAG785292 PQK785203:PQK785292 PGO785203:PGO785292 OWS785203:OWS785292 OMW785203:OMW785292 ODA785203:ODA785292 NTE785203:NTE785292 NJI785203:NJI785292 MZM785203:MZM785292 MPQ785203:MPQ785292 MFU785203:MFU785292 LVY785203:LVY785292 LMC785203:LMC785292 LCG785203:LCG785292 KSK785203:KSK785292 KIO785203:KIO785292 JYS785203:JYS785292 JOW785203:JOW785292 JFA785203:JFA785292 IVE785203:IVE785292 ILI785203:ILI785292 IBM785203:IBM785292 HRQ785203:HRQ785292 HHU785203:HHU785292 GXY785203:GXY785292 GOC785203:GOC785292 GEG785203:GEG785292 FUK785203:FUK785292 FKO785203:FKO785292 FAS785203:FAS785292 EQW785203:EQW785292 EHA785203:EHA785292 DXE785203:DXE785292 DNI785203:DNI785292 DDM785203:DDM785292 CTQ785203:CTQ785292 CJU785203:CJU785292 BZY785203:BZY785292 BQC785203:BQC785292 BGG785203:BGG785292 AWK785203:AWK785292 AMO785203:AMO785292 ACS785203:ACS785292 SW785203:SW785292 JA785203:JA785292 E785214:E785303 WVM719667:WVM719756 WLQ719667:WLQ719756 WBU719667:WBU719756 VRY719667:VRY719756 VIC719667:VIC719756 UYG719667:UYG719756 UOK719667:UOK719756 UEO719667:UEO719756 TUS719667:TUS719756 TKW719667:TKW719756 TBA719667:TBA719756 SRE719667:SRE719756 SHI719667:SHI719756 RXM719667:RXM719756 RNQ719667:RNQ719756 RDU719667:RDU719756 QTY719667:QTY719756 QKC719667:QKC719756 QAG719667:QAG719756 PQK719667:PQK719756 PGO719667:PGO719756 OWS719667:OWS719756 OMW719667:OMW719756 ODA719667:ODA719756 NTE719667:NTE719756 NJI719667:NJI719756 MZM719667:MZM719756 MPQ719667:MPQ719756 MFU719667:MFU719756 LVY719667:LVY719756 LMC719667:LMC719756 LCG719667:LCG719756 KSK719667:KSK719756 KIO719667:KIO719756 JYS719667:JYS719756 JOW719667:JOW719756 JFA719667:JFA719756 IVE719667:IVE719756 ILI719667:ILI719756 IBM719667:IBM719756 HRQ719667:HRQ719756 HHU719667:HHU719756 GXY719667:GXY719756 GOC719667:GOC719756 GEG719667:GEG719756 FUK719667:FUK719756 FKO719667:FKO719756 FAS719667:FAS719756 EQW719667:EQW719756 EHA719667:EHA719756 DXE719667:DXE719756 DNI719667:DNI719756 DDM719667:DDM719756 CTQ719667:CTQ719756 CJU719667:CJU719756 BZY719667:BZY719756 BQC719667:BQC719756 BGG719667:BGG719756 AWK719667:AWK719756 AMO719667:AMO719756 ACS719667:ACS719756 SW719667:SW719756 JA719667:JA719756 E719678:E719767 WVM654131:WVM654220 WLQ654131:WLQ654220 WBU654131:WBU654220 VRY654131:VRY654220 VIC654131:VIC654220 UYG654131:UYG654220 UOK654131:UOK654220 UEO654131:UEO654220 TUS654131:TUS654220 TKW654131:TKW654220 TBA654131:TBA654220 SRE654131:SRE654220 SHI654131:SHI654220 RXM654131:RXM654220 RNQ654131:RNQ654220 RDU654131:RDU654220 QTY654131:QTY654220 QKC654131:QKC654220 QAG654131:QAG654220 PQK654131:PQK654220 PGO654131:PGO654220 OWS654131:OWS654220 OMW654131:OMW654220 ODA654131:ODA654220 NTE654131:NTE654220 NJI654131:NJI654220 MZM654131:MZM654220 MPQ654131:MPQ654220 MFU654131:MFU654220 LVY654131:LVY654220 LMC654131:LMC654220 LCG654131:LCG654220 KSK654131:KSK654220 KIO654131:KIO654220 JYS654131:JYS654220 JOW654131:JOW654220 JFA654131:JFA654220 IVE654131:IVE654220 ILI654131:ILI654220 IBM654131:IBM654220 HRQ654131:HRQ654220 HHU654131:HHU654220 GXY654131:GXY654220 GOC654131:GOC654220 GEG654131:GEG654220 FUK654131:FUK654220 FKO654131:FKO654220 FAS654131:FAS654220 EQW654131:EQW654220 EHA654131:EHA654220 DXE654131:DXE654220 DNI654131:DNI654220 DDM654131:DDM654220 CTQ654131:CTQ654220 CJU654131:CJU654220 BZY654131:BZY654220 BQC654131:BQC654220 BGG654131:BGG654220 AWK654131:AWK654220 AMO654131:AMO654220 ACS654131:ACS654220 SW654131:SW654220 JA654131:JA654220 E654142:E654231 WVM588595:WVM588684 WLQ588595:WLQ588684 WBU588595:WBU588684 VRY588595:VRY588684 VIC588595:VIC588684 UYG588595:UYG588684 UOK588595:UOK588684 UEO588595:UEO588684 TUS588595:TUS588684 TKW588595:TKW588684 TBA588595:TBA588684 SRE588595:SRE588684 SHI588595:SHI588684 RXM588595:RXM588684 RNQ588595:RNQ588684 RDU588595:RDU588684 QTY588595:QTY588684 QKC588595:QKC588684 QAG588595:QAG588684 PQK588595:PQK588684 PGO588595:PGO588684 OWS588595:OWS588684 OMW588595:OMW588684 ODA588595:ODA588684 NTE588595:NTE588684 NJI588595:NJI588684 MZM588595:MZM588684 MPQ588595:MPQ588684 MFU588595:MFU588684 LVY588595:LVY588684 LMC588595:LMC588684 LCG588595:LCG588684 KSK588595:KSK588684 KIO588595:KIO588684 JYS588595:JYS588684 JOW588595:JOW588684 JFA588595:JFA588684 IVE588595:IVE588684 ILI588595:ILI588684 IBM588595:IBM588684 HRQ588595:HRQ588684 HHU588595:HHU588684 GXY588595:GXY588684 GOC588595:GOC588684 GEG588595:GEG588684 FUK588595:FUK588684 FKO588595:FKO588684 FAS588595:FAS588684 EQW588595:EQW588684 EHA588595:EHA588684 DXE588595:DXE588684 DNI588595:DNI588684 DDM588595:DDM588684 CTQ588595:CTQ588684 CJU588595:CJU588684 BZY588595:BZY588684 BQC588595:BQC588684 BGG588595:BGG588684 AWK588595:AWK588684 AMO588595:AMO588684 ACS588595:ACS588684 SW588595:SW588684 JA588595:JA588684 E588606:E588695 WVM523059:WVM523148 WLQ523059:WLQ523148 WBU523059:WBU523148 VRY523059:VRY523148 VIC523059:VIC523148 UYG523059:UYG523148 UOK523059:UOK523148 UEO523059:UEO523148 TUS523059:TUS523148 TKW523059:TKW523148 TBA523059:TBA523148 SRE523059:SRE523148 SHI523059:SHI523148 RXM523059:RXM523148 RNQ523059:RNQ523148 RDU523059:RDU523148 QTY523059:QTY523148 QKC523059:QKC523148 QAG523059:QAG523148 PQK523059:PQK523148 PGO523059:PGO523148 OWS523059:OWS523148 OMW523059:OMW523148 ODA523059:ODA523148 NTE523059:NTE523148 NJI523059:NJI523148 MZM523059:MZM523148 MPQ523059:MPQ523148 MFU523059:MFU523148 LVY523059:LVY523148 LMC523059:LMC523148 LCG523059:LCG523148 KSK523059:KSK523148 KIO523059:KIO523148 JYS523059:JYS523148 JOW523059:JOW523148 JFA523059:JFA523148 IVE523059:IVE523148 ILI523059:ILI523148 IBM523059:IBM523148 HRQ523059:HRQ523148 HHU523059:HHU523148 GXY523059:GXY523148 GOC523059:GOC523148 GEG523059:GEG523148 FUK523059:FUK523148 FKO523059:FKO523148 FAS523059:FAS523148 EQW523059:EQW523148 EHA523059:EHA523148 DXE523059:DXE523148 DNI523059:DNI523148 DDM523059:DDM523148 CTQ523059:CTQ523148 CJU523059:CJU523148 BZY523059:BZY523148 BQC523059:BQC523148 BGG523059:BGG523148 AWK523059:AWK523148 AMO523059:AMO523148 ACS523059:ACS523148 SW523059:SW523148 JA523059:JA523148 E523070:E523159 WVM457523:WVM457612 WLQ457523:WLQ457612 WBU457523:WBU457612 VRY457523:VRY457612 VIC457523:VIC457612 UYG457523:UYG457612 UOK457523:UOK457612 UEO457523:UEO457612 TUS457523:TUS457612 TKW457523:TKW457612 TBA457523:TBA457612 SRE457523:SRE457612 SHI457523:SHI457612 RXM457523:RXM457612 RNQ457523:RNQ457612 RDU457523:RDU457612 QTY457523:QTY457612 QKC457523:QKC457612 QAG457523:QAG457612 PQK457523:PQK457612 PGO457523:PGO457612 OWS457523:OWS457612 OMW457523:OMW457612 ODA457523:ODA457612 NTE457523:NTE457612 NJI457523:NJI457612 MZM457523:MZM457612 MPQ457523:MPQ457612 MFU457523:MFU457612 LVY457523:LVY457612 LMC457523:LMC457612 LCG457523:LCG457612 KSK457523:KSK457612 KIO457523:KIO457612 JYS457523:JYS457612 JOW457523:JOW457612 JFA457523:JFA457612 IVE457523:IVE457612 ILI457523:ILI457612 IBM457523:IBM457612 HRQ457523:HRQ457612 HHU457523:HHU457612 GXY457523:GXY457612 GOC457523:GOC457612 GEG457523:GEG457612 FUK457523:FUK457612 FKO457523:FKO457612 FAS457523:FAS457612 EQW457523:EQW457612 EHA457523:EHA457612 DXE457523:DXE457612 DNI457523:DNI457612 DDM457523:DDM457612 CTQ457523:CTQ457612 CJU457523:CJU457612 BZY457523:BZY457612 BQC457523:BQC457612 BGG457523:BGG457612 AWK457523:AWK457612 AMO457523:AMO457612 ACS457523:ACS457612 SW457523:SW457612 JA457523:JA457612 E457534:E457623 WVM391987:WVM392076 WLQ391987:WLQ392076 WBU391987:WBU392076 VRY391987:VRY392076 VIC391987:VIC392076 UYG391987:UYG392076 UOK391987:UOK392076 UEO391987:UEO392076 TUS391987:TUS392076 TKW391987:TKW392076 TBA391987:TBA392076 SRE391987:SRE392076 SHI391987:SHI392076 RXM391987:RXM392076 RNQ391987:RNQ392076 RDU391987:RDU392076 QTY391987:QTY392076 QKC391987:QKC392076 QAG391987:QAG392076 PQK391987:PQK392076 PGO391987:PGO392076 OWS391987:OWS392076 OMW391987:OMW392076 ODA391987:ODA392076 NTE391987:NTE392076 NJI391987:NJI392076 MZM391987:MZM392076 MPQ391987:MPQ392076 MFU391987:MFU392076 LVY391987:LVY392076 LMC391987:LMC392076 LCG391987:LCG392076 KSK391987:KSK392076 KIO391987:KIO392076 JYS391987:JYS392076 JOW391987:JOW392076 JFA391987:JFA392076 IVE391987:IVE392076 ILI391987:ILI392076 IBM391987:IBM392076 HRQ391987:HRQ392076 HHU391987:HHU392076 GXY391987:GXY392076 GOC391987:GOC392076 GEG391987:GEG392076 FUK391987:FUK392076 FKO391987:FKO392076 FAS391987:FAS392076 EQW391987:EQW392076 EHA391987:EHA392076 DXE391987:DXE392076 DNI391987:DNI392076 DDM391987:DDM392076 CTQ391987:CTQ392076 CJU391987:CJU392076 BZY391987:BZY392076 BQC391987:BQC392076 BGG391987:BGG392076 AWK391987:AWK392076 AMO391987:AMO392076 ACS391987:ACS392076 SW391987:SW392076 JA391987:JA392076 E391998:E392087 WVM326451:WVM326540 WLQ326451:WLQ326540 WBU326451:WBU326540 VRY326451:VRY326540 VIC326451:VIC326540 UYG326451:UYG326540 UOK326451:UOK326540 UEO326451:UEO326540 TUS326451:TUS326540 TKW326451:TKW326540 TBA326451:TBA326540 SRE326451:SRE326540 SHI326451:SHI326540 RXM326451:RXM326540 RNQ326451:RNQ326540 RDU326451:RDU326540 QTY326451:QTY326540 QKC326451:QKC326540 QAG326451:QAG326540 PQK326451:PQK326540 PGO326451:PGO326540 OWS326451:OWS326540 OMW326451:OMW326540 ODA326451:ODA326540 NTE326451:NTE326540 NJI326451:NJI326540 MZM326451:MZM326540 MPQ326451:MPQ326540 MFU326451:MFU326540 LVY326451:LVY326540 LMC326451:LMC326540 LCG326451:LCG326540 KSK326451:KSK326540 KIO326451:KIO326540 JYS326451:JYS326540 JOW326451:JOW326540 JFA326451:JFA326540 IVE326451:IVE326540 ILI326451:ILI326540 IBM326451:IBM326540 HRQ326451:HRQ326540 HHU326451:HHU326540 GXY326451:GXY326540 GOC326451:GOC326540 GEG326451:GEG326540 FUK326451:FUK326540 FKO326451:FKO326540 FAS326451:FAS326540 EQW326451:EQW326540 EHA326451:EHA326540 DXE326451:DXE326540 DNI326451:DNI326540 DDM326451:DDM326540 CTQ326451:CTQ326540 CJU326451:CJU326540 BZY326451:BZY326540 BQC326451:BQC326540 BGG326451:BGG326540 AWK326451:AWK326540 AMO326451:AMO326540 ACS326451:ACS326540 SW326451:SW326540 JA326451:JA326540 E326462:E326551 WVM260915:WVM261004 WLQ260915:WLQ261004 WBU260915:WBU261004 VRY260915:VRY261004 VIC260915:VIC261004 UYG260915:UYG261004 UOK260915:UOK261004 UEO260915:UEO261004 TUS260915:TUS261004 TKW260915:TKW261004 TBA260915:TBA261004 SRE260915:SRE261004 SHI260915:SHI261004 RXM260915:RXM261004 RNQ260915:RNQ261004 RDU260915:RDU261004 QTY260915:QTY261004 QKC260915:QKC261004 QAG260915:QAG261004 PQK260915:PQK261004 PGO260915:PGO261004 OWS260915:OWS261004 OMW260915:OMW261004 ODA260915:ODA261004 NTE260915:NTE261004 NJI260915:NJI261004 MZM260915:MZM261004 MPQ260915:MPQ261004 MFU260915:MFU261004 LVY260915:LVY261004 LMC260915:LMC261004 LCG260915:LCG261004 KSK260915:KSK261004 KIO260915:KIO261004 JYS260915:JYS261004 JOW260915:JOW261004 JFA260915:JFA261004 IVE260915:IVE261004 ILI260915:ILI261004 IBM260915:IBM261004 HRQ260915:HRQ261004 HHU260915:HHU261004 GXY260915:GXY261004 GOC260915:GOC261004 GEG260915:GEG261004 FUK260915:FUK261004 FKO260915:FKO261004 FAS260915:FAS261004 EQW260915:EQW261004 EHA260915:EHA261004 DXE260915:DXE261004 DNI260915:DNI261004 DDM260915:DDM261004 CTQ260915:CTQ261004 CJU260915:CJU261004 BZY260915:BZY261004 BQC260915:BQC261004 BGG260915:BGG261004 AWK260915:AWK261004 AMO260915:AMO261004 ACS260915:ACS261004 SW260915:SW261004 JA260915:JA261004 E260926:E261015 WVM195379:WVM195468 WLQ195379:WLQ195468 WBU195379:WBU195468 VRY195379:VRY195468 VIC195379:VIC195468 UYG195379:UYG195468 UOK195379:UOK195468 UEO195379:UEO195468 TUS195379:TUS195468 TKW195379:TKW195468 TBA195379:TBA195468 SRE195379:SRE195468 SHI195379:SHI195468 RXM195379:RXM195468 RNQ195379:RNQ195468 RDU195379:RDU195468 QTY195379:QTY195468 QKC195379:QKC195468 QAG195379:QAG195468 PQK195379:PQK195468 PGO195379:PGO195468 OWS195379:OWS195468 OMW195379:OMW195468 ODA195379:ODA195468 NTE195379:NTE195468 NJI195379:NJI195468 MZM195379:MZM195468 MPQ195379:MPQ195468 MFU195379:MFU195468 LVY195379:LVY195468 LMC195379:LMC195468 LCG195379:LCG195468 KSK195379:KSK195468 KIO195379:KIO195468 JYS195379:JYS195468 JOW195379:JOW195468 JFA195379:JFA195468 IVE195379:IVE195468 ILI195379:ILI195468 IBM195379:IBM195468 HRQ195379:HRQ195468 HHU195379:HHU195468 GXY195379:GXY195468 GOC195379:GOC195468 GEG195379:GEG195468 FUK195379:FUK195468 FKO195379:FKO195468 FAS195379:FAS195468 EQW195379:EQW195468 EHA195379:EHA195468 DXE195379:DXE195468 DNI195379:DNI195468 DDM195379:DDM195468 CTQ195379:CTQ195468 CJU195379:CJU195468 BZY195379:BZY195468 BQC195379:BQC195468 BGG195379:BGG195468 AWK195379:AWK195468 AMO195379:AMO195468 ACS195379:ACS195468 SW195379:SW195468 JA195379:JA195468 E195390:E195479 WVM129843:WVM129932 WLQ129843:WLQ129932 WBU129843:WBU129932 VRY129843:VRY129932 VIC129843:VIC129932 UYG129843:UYG129932 UOK129843:UOK129932 UEO129843:UEO129932 TUS129843:TUS129932 TKW129843:TKW129932 TBA129843:TBA129932 SRE129843:SRE129932 SHI129843:SHI129932 RXM129843:RXM129932 RNQ129843:RNQ129932 RDU129843:RDU129932 QTY129843:QTY129932 QKC129843:QKC129932 QAG129843:QAG129932 PQK129843:PQK129932 PGO129843:PGO129932 OWS129843:OWS129932 OMW129843:OMW129932 ODA129843:ODA129932 NTE129843:NTE129932 NJI129843:NJI129932 MZM129843:MZM129932 MPQ129843:MPQ129932 MFU129843:MFU129932 LVY129843:LVY129932 LMC129843:LMC129932 LCG129843:LCG129932 KSK129843:KSK129932 KIO129843:KIO129932 JYS129843:JYS129932 JOW129843:JOW129932 JFA129843:JFA129932 IVE129843:IVE129932 ILI129843:ILI129932 IBM129843:IBM129932 HRQ129843:HRQ129932 HHU129843:HHU129932 GXY129843:GXY129932 GOC129843:GOC129932 GEG129843:GEG129932 FUK129843:FUK129932 FKO129843:FKO129932 FAS129843:FAS129932 EQW129843:EQW129932 EHA129843:EHA129932 DXE129843:DXE129932 DNI129843:DNI129932 DDM129843:DDM129932 CTQ129843:CTQ129932 CJU129843:CJU129932 BZY129843:BZY129932 BQC129843:BQC129932 BGG129843:BGG129932 AWK129843:AWK129932 AMO129843:AMO129932 ACS129843:ACS129932 SW129843:SW129932 JA129843:JA129932 E129854:E129943 WVM64307:WVM64396 WLQ64307:WLQ64396 WBU64307:WBU64396 VRY64307:VRY64396 VIC64307:VIC64396 UYG64307:UYG64396 UOK64307:UOK64396 UEO64307:UEO64396 TUS64307:TUS64396 TKW64307:TKW64396 TBA64307:TBA64396 SRE64307:SRE64396 SHI64307:SHI64396 RXM64307:RXM64396 RNQ64307:RNQ64396 RDU64307:RDU64396 QTY64307:QTY64396 QKC64307:QKC64396 QAG64307:QAG64396 PQK64307:PQK64396 PGO64307:PGO64396 OWS64307:OWS64396 OMW64307:OMW64396 ODA64307:ODA64396 NTE64307:NTE64396 NJI64307:NJI64396 MZM64307:MZM64396 MPQ64307:MPQ64396 MFU64307:MFU64396 LVY64307:LVY64396 LMC64307:LMC64396 LCG64307:LCG64396 KSK64307:KSK64396 KIO64307:KIO64396 JYS64307:JYS64396 JOW64307:JOW64396 JFA64307:JFA64396 IVE64307:IVE64396 ILI64307:ILI64396 IBM64307:IBM64396 HRQ64307:HRQ64396 HHU64307:HHU64396 GXY64307:GXY64396 GOC64307:GOC64396 GEG64307:GEG64396 FUK64307:FUK64396 FKO64307:FKO64396 FAS64307:FAS64396 EQW64307:EQW64396 EHA64307:EHA64396 DXE64307:DXE64396 DNI64307:DNI64396 DDM64307:DDM64396 CTQ64307:CTQ64396 CJU64307:CJU64396 BZY64307:BZY64396 BQC64307:BQC64396 BGG64307:BGG64396 AWK64307:AWK64396 AMO64307:AMO64396 ACS64307:ACS64396 SW64307:SW64396 JA64307:JA64396 E64318:E64407 JA2:JA79 SW2:SW79 ACS2:ACS79 AMO2:AMO79 AWK2:AWK79 BGG2:BGG79 BQC2:BQC79 BZY2:BZY79 CJU2:CJU79 CTQ2:CTQ79 DDM2:DDM79 DNI2:DNI79 DXE2:DXE79 EHA2:EHA79 EQW2:EQW79 FAS2:FAS79 FKO2:FKO79 FUK2:FUK79 GEG2:GEG79 GOC2:GOC79 GXY2:GXY79 HHU2:HHU79 HRQ2:HRQ79 IBM2:IBM79 ILI2:ILI79 IVE2:IVE79 JFA2:JFA79 JOW2:JOW79 JYS2:JYS79 KIO2:KIO79 KSK2:KSK79 LCG2:LCG79 LMC2:LMC79 LVY2:LVY79 MFU2:MFU79 MPQ2:MPQ79 MZM2:MZM79 NJI2:NJI79 NTE2:NTE79 ODA2:ODA79 OMW2:OMW79 OWS2:OWS79 PGO2:PGO79 PQK2:PQK79 QAG2:QAG79 QKC2:QKC79 QTY2:QTY79 RDU2:RDU79 RNQ2:RNQ79 RXM2:RXM79 SHI2:SHI79 SRE2:SRE79 TBA2:TBA79 TKW2:TKW79 TUS2:TUS79 UEO2:UEO79 UOK2:UOK79 UYG2:UYG79 VIC2:VIC79 VRY2:VRY79 WBU2:WBU79 WLQ2:WLQ79 WVM2:WVM79" xr:uid="{E3B990B2-919A-47A2-BFE5-64E20408959A}">
      <formula1>$AG$2:$AG$13</formula1>
    </dataValidation>
    <dataValidation type="list" allowBlank="1" showInputMessage="1" showErrorMessage="1" sqref="WWF981811:WWF981894 WMJ981811:WMJ981894 WCN981811:WCN981894 VSR981811:VSR981894 VIV981811:VIV981894 UYZ981811:UYZ981894 UPD981811:UPD981894 UFH981811:UFH981894 TVL981811:TVL981894 TLP981811:TLP981894 TBT981811:TBT981894 SRX981811:SRX981894 SIB981811:SIB981894 RYF981811:RYF981894 ROJ981811:ROJ981894 REN981811:REN981894 QUR981811:QUR981894 QKV981811:QKV981894 QAZ981811:QAZ981894 PRD981811:PRD981894 PHH981811:PHH981894 OXL981811:OXL981894 ONP981811:ONP981894 ODT981811:ODT981894 NTX981811:NTX981894 NKB981811:NKB981894 NAF981811:NAF981894 MQJ981811:MQJ981894 MGN981811:MGN981894 LWR981811:LWR981894 LMV981811:LMV981894 LCZ981811:LCZ981894 KTD981811:KTD981894 KJH981811:KJH981894 JZL981811:JZL981894 JPP981811:JPP981894 JFT981811:JFT981894 IVX981811:IVX981894 IMB981811:IMB981894 ICF981811:ICF981894 HSJ981811:HSJ981894 HIN981811:HIN981894 GYR981811:GYR981894 GOV981811:GOV981894 GEZ981811:GEZ981894 FVD981811:FVD981894 FLH981811:FLH981894 FBL981811:FBL981894 ERP981811:ERP981894 EHT981811:EHT981894 DXX981811:DXX981894 DOB981811:DOB981894 DEF981811:DEF981894 CUJ981811:CUJ981894 CKN981811:CKN981894 CAR981811:CAR981894 BQV981811:BQV981894 BGZ981811:BGZ981894 AXD981811:AXD981894 ANH981811:ANH981894 ADL981811:ADL981894 TP981811:TP981894 JT981811:JT981894 X981811:X981894 WWF916275:WWF916358 WMJ916275:WMJ916358 WCN916275:WCN916358 VSR916275:VSR916358 VIV916275:VIV916358 UYZ916275:UYZ916358 UPD916275:UPD916358 UFH916275:UFH916358 TVL916275:TVL916358 TLP916275:TLP916358 TBT916275:TBT916358 SRX916275:SRX916358 SIB916275:SIB916358 RYF916275:RYF916358 ROJ916275:ROJ916358 REN916275:REN916358 QUR916275:QUR916358 QKV916275:QKV916358 QAZ916275:QAZ916358 PRD916275:PRD916358 PHH916275:PHH916358 OXL916275:OXL916358 ONP916275:ONP916358 ODT916275:ODT916358 NTX916275:NTX916358 NKB916275:NKB916358 NAF916275:NAF916358 MQJ916275:MQJ916358 MGN916275:MGN916358 LWR916275:LWR916358 LMV916275:LMV916358 LCZ916275:LCZ916358 KTD916275:KTD916358 KJH916275:KJH916358 JZL916275:JZL916358 JPP916275:JPP916358 JFT916275:JFT916358 IVX916275:IVX916358 IMB916275:IMB916358 ICF916275:ICF916358 HSJ916275:HSJ916358 HIN916275:HIN916358 GYR916275:GYR916358 GOV916275:GOV916358 GEZ916275:GEZ916358 FVD916275:FVD916358 FLH916275:FLH916358 FBL916275:FBL916358 ERP916275:ERP916358 EHT916275:EHT916358 DXX916275:DXX916358 DOB916275:DOB916358 DEF916275:DEF916358 CUJ916275:CUJ916358 CKN916275:CKN916358 CAR916275:CAR916358 BQV916275:BQV916358 BGZ916275:BGZ916358 AXD916275:AXD916358 ANH916275:ANH916358 ADL916275:ADL916358 TP916275:TP916358 JT916275:JT916358 X916275:X916358 WWF850739:WWF850822 WMJ850739:WMJ850822 WCN850739:WCN850822 VSR850739:VSR850822 VIV850739:VIV850822 UYZ850739:UYZ850822 UPD850739:UPD850822 UFH850739:UFH850822 TVL850739:TVL850822 TLP850739:TLP850822 TBT850739:TBT850822 SRX850739:SRX850822 SIB850739:SIB850822 RYF850739:RYF850822 ROJ850739:ROJ850822 REN850739:REN850822 QUR850739:QUR850822 QKV850739:QKV850822 QAZ850739:QAZ850822 PRD850739:PRD850822 PHH850739:PHH850822 OXL850739:OXL850822 ONP850739:ONP850822 ODT850739:ODT850822 NTX850739:NTX850822 NKB850739:NKB850822 NAF850739:NAF850822 MQJ850739:MQJ850822 MGN850739:MGN850822 LWR850739:LWR850822 LMV850739:LMV850822 LCZ850739:LCZ850822 KTD850739:KTD850822 KJH850739:KJH850822 JZL850739:JZL850822 JPP850739:JPP850822 JFT850739:JFT850822 IVX850739:IVX850822 IMB850739:IMB850822 ICF850739:ICF850822 HSJ850739:HSJ850822 HIN850739:HIN850822 GYR850739:GYR850822 GOV850739:GOV850822 GEZ850739:GEZ850822 FVD850739:FVD850822 FLH850739:FLH850822 FBL850739:FBL850822 ERP850739:ERP850822 EHT850739:EHT850822 DXX850739:DXX850822 DOB850739:DOB850822 DEF850739:DEF850822 CUJ850739:CUJ850822 CKN850739:CKN850822 CAR850739:CAR850822 BQV850739:BQV850822 BGZ850739:BGZ850822 AXD850739:AXD850822 ANH850739:ANH850822 ADL850739:ADL850822 TP850739:TP850822 JT850739:JT850822 X850739:X850822 WWF785203:WWF785286 WMJ785203:WMJ785286 WCN785203:WCN785286 VSR785203:VSR785286 VIV785203:VIV785286 UYZ785203:UYZ785286 UPD785203:UPD785286 UFH785203:UFH785286 TVL785203:TVL785286 TLP785203:TLP785286 TBT785203:TBT785286 SRX785203:SRX785286 SIB785203:SIB785286 RYF785203:RYF785286 ROJ785203:ROJ785286 REN785203:REN785286 QUR785203:QUR785286 QKV785203:QKV785286 QAZ785203:QAZ785286 PRD785203:PRD785286 PHH785203:PHH785286 OXL785203:OXL785286 ONP785203:ONP785286 ODT785203:ODT785286 NTX785203:NTX785286 NKB785203:NKB785286 NAF785203:NAF785286 MQJ785203:MQJ785286 MGN785203:MGN785286 LWR785203:LWR785286 LMV785203:LMV785286 LCZ785203:LCZ785286 KTD785203:KTD785286 KJH785203:KJH785286 JZL785203:JZL785286 JPP785203:JPP785286 JFT785203:JFT785286 IVX785203:IVX785286 IMB785203:IMB785286 ICF785203:ICF785286 HSJ785203:HSJ785286 HIN785203:HIN785286 GYR785203:GYR785286 GOV785203:GOV785286 GEZ785203:GEZ785286 FVD785203:FVD785286 FLH785203:FLH785286 FBL785203:FBL785286 ERP785203:ERP785286 EHT785203:EHT785286 DXX785203:DXX785286 DOB785203:DOB785286 DEF785203:DEF785286 CUJ785203:CUJ785286 CKN785203:CKN785286 CAR785203:CAR785286 BQV785203:BQV785286 BGZ785203:BGZ785286 AXD785203:AXD785286 ANH785203:ANH785286 ADL785203:ADL785286 TP785203:TP785286 JT785203:JT785286 X785203:X785286 WWF719667:WWF719750 WMJ719667:WMJ719750 WCN719667:WCN719750 VSR719667:VSR719750 VIV719667:VIV719750 UYZ719667:UYZ719750 UPD719667:UPD719750 UFH719667:UFH719750 TVL719667:TVL719750 TLP719667:TLP719750 TBT719667:TBT719750 SRX719667:SRX719750 SIB719667:SIB719750 RYF719667:RYF719750 ROJ719667:ROJ719750 REN719667:REN719750 QUR719667:QUR719750 QKV719667:QKV719750 QAZ719667:QAZ719750 PRD719667:PRD719750 PHH719667:PHH719750 OXL719667:OXL719750 ONP719667:ONP719750 ODT719667:ODT719750 NTX719667:NTX719750 NKB719667:NKB719750 NAF719667:NAF719750 MQJ719667:MQJ719750 MGN719667:MGN719750 LWR719667:LWR719750 LMV719667:LMV719750 LCZ719667:LCZ719750 KTD719667:KTD719750 KJH719667:KJH719750 JZL719667:JZL719750 JPP719667:JPP719750 JFT719667:JFT719750 IVX719667:IVX719750 IMB719667:IMB719750 ICF719667:ICF719750 HSJ719667:HSJ719750 HIN719667:HIN719750 GYR719667:GYR719750 GOV719667:GOV719750 GEZ719667:GEZ719750 FVD719667:FVD719750 FLH719667:FLH719750 FBL719667:FBL719750 ERP719667:ERP719750 EHT719667:EHT719750 DXX719667:DXX719750 DOB719667:DOB719750 DEF719667:DEF719750 CUJ719667:CUJ719750 CKN719667:CKN719750 CAR719667:CAR719750 BQV719667:BQV719750 BGZ719667:BGZ719750 AXD719667:AXD719750 ANH719667:ANH719750 ADL719667:ADL719750 TP719667:TP719750 JT719667:JT719750 X719667:X719750 WWF654131:WWF654214 WMJ654131:WMJ654214 WCN654131:WCN654214 VSR654131:VSR654214 VIV654131:VIV654214 UYZ654131:UYZ654214 UPD654131:UPD654214 UFH654131:UFH654214 TVL654131:TVL654214 TLP654131:TLP654214 TBT654131:TBT654214 SRX654131:SRX654214 SIB654131:SIB654214 RYF654131:RYF654214 ROJ654131:ROJ654214 REN654131:REN654214 QUR654131:QUR654214 QKV654131:QKV654214 QAZ654131:QAZ654214 PRD654131:PRD654214 PHH654131:PHH654214 OXL654131:OXL654214 ONP654131:ONP654214 ODT654131:ODT654214 NTX654131:NTX654214 NKB654131:NKB654214 NAF654131:NAF654214 MQJ654131:MQJ654214 MGN654131:MGN654214 LWR654131:LWR654214 LMV654131:LMV654214 LCZ654131:LCZ654214 KTD654131:KTD654214 KJH654131:KJH654214 JZL654131:JZL654214 JPP654131:JPP654214 JFT654131:JFT654214 IVX654131:IVX654214 IMB654131:IMB654214 ICF654131:ICF654214 HSJ654131:HSJ654214 HIN654131:HIN654214 GYR654131:GYR654214 GOV654131:GOV654214 GEZ654131:GEZ654214 FVD654131:FVD654214 FLH654131:FLH654214 FBL654131:FBL654214 ERP654131:ERP654214 EHT654131:EHT654214 DXX654131:DXX654214 DOB654131:DOB654214 DEF654131:DEF654214 CUJ654131:CUJ654214 CKN654131:CKN654214 CAR654131:CAR654214 BQV654131:BQV654214 BGZ654131:BGZ654214 AXD654131:AXD654214 ANH654131:ANH654214 ADL654131:ADL654214 TP654131:TP654214 JT654131:JT654214 X654131:X654214 WWF588595:WWF588678 WMJ588595:WMJ588678 WCN588595:WCN588678 VSR588595:VSR588678 VIV588595:VIV588678 UYZ588595:UYZ588678 UPD588595:UPD588678 UFH588595:UFH588678 TVL588595:TVL588678 TLP588595:TLP588678 TBT588595:TBT588678 SRX588595:SRX588678 SIB588595:SIB588678 RYF588595:RYF588678 ROJ588595:ROJ588678 REN588595:REN588678 QUR588595:QUR588678 QKV588595:QKV588678 QAZ588595:QAZ588678 PRD588595:PRD588678 PHH588595:PHH588678 OXL588595:OXL588678 ONP588595:ONP588678 ODT588595:ODT588678 NTX588595:NTX588678 NKB588595:NKB588678 NAF588595:NAF588678 MQJ588595:MQJ588678 MGN588595:MGN588678 LWR588595:LWR588678 LMV588595:LMV588678 LCZ588595:LCZ588678 KTD588595:KTD588678 KJH588595:KJH588678 JZL588595:JZL588678 JPP588595:JPP588678 JFT588595:JFT588678 IVX588595:IVX588678 IMB588595:IMB588678 ICF588595:ICF588678 HSJ588595:HSJ588678 HIN588595:HIN588678 GYR588595:GYR588678 GOV588595:GOV588678 GEZ588595:GEZ588678 FVD588595:FVD588678 FLH588595:FLH588678 FBL588595:FBL588678 ERP588595:ERP588678 EHT588595:EHT588678 DXX588595:DXX588678 DOB588595:DOB588678 DEF588595:DEF588678 CUJ588595:CUJ588678 CKN588595:CKN588678 CAR588595:CAR588678 BQV588595:BQV588678 BGZ588595:BGZ588678 AXD588595:AXD588678 ANH588595:ANH588678 ADL588595:ADL588678 TP588595:TP588678 JT588595:JT588678 X588595:X588678 WWF523059:WWF523142 WMJ523059:WMJ523142 WCN523059:WCN523142 VSR523059:VSR523142 VIV523059:VIV523142 UYZ523059:UYZ523142 UPD523059:UPD523142 UFH523059:UFH523142 TVL523059:TVL523142 TLP523059:TLP523142 TBT523059:TBT523142 SRX523059:SRX523142 SIB523059:SIB523142 RYF523059:RYF523142 ROJ523059:ROJ523142 REN523059:REN523142 QUR523059:QUR523142 QKV523059:QKV523142 QAZ523059:QAZ523142 PRD523059:PRD523142 PHH523059:PHH523142 OXL523059:OXL523142 ONP523059:ONP523142 ODT523059:ODT523142 NTX523059:NTX523142 NKB523059:NKB523142 NAF523059:NAF523142 MQJ523059:MQJ523142 MGN523059:MGN523142 LWR523059:LWR523142 LMV523059:LMV523142 LCZ523059:LCZ523142 KTD523059:KTD523142 KJH523059:KJH523142 JZL523059:JZL523142 JPP523059:JPP523142 JFT523059:JFT523142 IVX523059:IVX523142 IMB523059:IMB523142 ICF523059:ICF523142 HSJ523059:HSJ523142 HIN523059:HIN523142 GYR523059:GYR523142 GOV523059:GOV523142 GEZ523059:GEZ523142 FVD523059:FVD523142 FLH523059:FLH523142 FBL523059:FBL523142 ERP523059:ERP523142 EHT523059:EHT523142 DXX523059:DXX523142 DOB523059:DOB523142 DEF523059:DEF523142 CUJ523059:CUJ523142 CKN523059:CKN523142 CAR523059:CAR523142 BQV523059:BQV523142 BGZ523059:BGZ523142 AXD523059:AXD523142 ANH523059:ANH523142 ADL523059:ADL523142 TP523059:TP523142 JT523059:JT523142 X523059:X523142 WWF457523:WWF457606 WMJ457523:WMJ457606 WCN457523:WCN457606 VSR457523:VSR457606 VIV457523:VIV457606 UYZ457523:UYZ457606 UPD457523:UPD457606 UFH457523:UFH457606 TVL457523:TVL457606 TLP457523:TLP457606 TBT457523:TBT457606 SRX457523:SRX457606 SIB457523:SIB457606 RYF457523:RYF457606 ROJ457523:ROJ457606 REN457523:REN457606 QUR457523:QUR457606 QKV457523:QKV457606 QAZ457523:QAZ457606 PRD457523:PRD457606 PHH457523:PHH457606 OXL457523:OXL457606 ONP457523:ONP457606 ODT457523:ODT457606 NTX457523:NTX457606 NKB457523:NKB457606 NAF457523:NAF457606 MQJ457523:MQJ457606 MGN457523:MGN457606 LWR457523:LWR457606 LMV457523:LMV457606 LCZ457523:LCZ457606 KTD457523:KTD457606 KJH457523:KJH457606 JZL457523:JZL457606 JPP457523:JPP457606 JFT457523:JFT457606 IVX457523:IVX457606 IMB457523:IMB457606 ICF457523:ICF457606 HSJ457523:HSJ457606 HIN457523:HIN457606 GYR457523:GYR457606 GOV457523:GOV457606 GEZ457523:GEZ457606 FVD457523:FVD457606 FLH457523:FLH457606 FBL457523:FBL457606 ERP457523:ERP457606 EHT457523:EHT457606 DXX457523:DXX457606 DOB457523:DOB457606 DEF457523:DEF457606 CUJ457523:CUJ457606 CKN457523:CKN457606 CAR457523:CAR457606 BQV457523:BQV457606 BGZ457523:BGZ457606 AXD457523:AXD457606 ANH457523:ANH457606 ADL457523:ADL457606 TP457523:TP457606 JT457523:JT457606 X457523:X457606 WWF391987:WWF392070 WMJ391987:WMJ392070 WCN391987:WCN392070 VSR391987:VSR392070 VIV391987:VIV392070 UYZ391987:UYZ392070 UPD391987:UPD392070 UFH391987:UFH392070 TVL391987:TVL392070 TLP391987:TLP392070 TBT391987:TBT392070 SRX391987:SRX392070 SIB391987:SIB392070 RYF391987:RYF392070 ROJ391987:ROJ392070 REN391987:REN392070 QUR391987:QUR392070 QKV391987:QKV392070 QAZ391987:QAZ392070 PRD391987:PRD392070 PHH391987:PHH392070 OXL391987:OXL392070 ONP391987:ONP392070 ODT391987:ODT392070 NTX391987:NTX392070 NKB391987:NKB392070 NAF391987:NAF392070 MQJ391987:MQJ392070 MGN391987:MGN392070 LWR391987:LWR392070 LMV391987:LMV392070 LCZ391987:LCZ392070 KTD391987:KTD392070 KJH391987:KJH392070 JZL391987:JZL392070 JPP391987:JPP392070 JFT391987:JFT392070 IVX391987:IVX392070 IMB391987:IMB392070 ICF391987:ICF392070 HSJ391987:HSJ392070 HIN391987:HIN392070 GYR391987:GYR392070 GOV391987:GOV392070 GEZ391987:GEZ392070 FVD391987:FVD392070 FLH391987:FLH392070 FBL391987:FBL392070 ERP391987:ERP392070 EHT391987:EHT392070 DXX391987:DXX392070 DOB391987:DOB392070 DEF391987:DEF392070 CUJ391987:CUJ392070 CKN391987:CKN392070 CAR391987:CAR392070 BQV391987:BQV392070 BGZ391987:BGZ392070 AXD391987:AXD392070 ANH391987:ANH392070 ADL391987:ADL392070 TP391987:TP392070 JT391987:JT392070 X391987:X392070 WWF326451:WWF326534 WMJ326451:WMJ326534 WCN326451:WCN326534 VSR326451:VSR326534 VIV326451:VIV326534 UYZ326451:UYZ326534 UPD326451:UPD326534 UFH326451:UFH326534 TVL326451:TVL326534 TLP326451:TLP326534 TBT326451:TBT326534 SRX326451:SRX326534 SIB326451:SIB326534 RYF326451:RYF326534 ROJ326451:ROJ326534 REN326451:REN326534 QUR326451:QUR326534 QKV326451:QKV326534 QAZ326451:QAZ326534 PRD326451:PRD326534 PHH326451:PHH326534 OXL326451:OXL326534 ONP326451:ONP326534 ODT326451:ODT326534 NTX326451:NTX326534 NKB326451:NKB326534 NAF326451:NAF326534 MQJ326451:MQJ326534 MGN326451:MGN326534 LWR326451:LWR326534 LMV326451:LMV326534 LCZ326451:LCZ326534 KTD326451:KTD326534 KJH326451:KJH326534 JZL326451:JZL326534 JPP326451:JPP326534 JFT326451:JFT326534 IVX326451:IVX326534 IMB326451:IMB326534 ICF326451:ICF326534 HSJ326451:HSJ326534 HIN326451:HIN326534 GYR326451:GYR326534 GOV326451:GOV326534 GEZ326451:GEZ326534 FVD326451:FVD326534 FLH326451:FLH326534 FBL326451:FBL326534 ERP326451:ERP326534 EHT326451:EHT326534 DXX326451:DXX326534 DOB326451:DOB326534 DEF326451:DEF326534 CUJ326451:CUJ326534 CKN326451:CKN326534 CAR326451:CAR326534 BQV326451:BQV326534 BGZ326451:BGZ326534 AXD326451:AXD326534 ANH326451:ANH326534 ADL326451:ADL326534 TP326451:TP326534 JT326451:JT326534 X326451:X326534 WWF260915:WWF260998 WMJ260915:WMJ260998 WCN260915:WCN260998 VSR260915:VSR260998 VIV260915:VIV260998 UYZ260915:UYZ260998 UPD260915:UPD260998 UFH260915:UFH260998 TVL260915:TVL260998 TLP260915:TLP260998 TBT260915:TBT260998 SRX260915:SRX260998 SIB260915:SIB260998 RYF260915:RYF260998 ROJ260915:ROJ260998 REN260915:REN260998 QUR260915:QUR260998 QKV260915:QKV260998 QAZ260915:QAZ260998 PRD260915:PRD260998 PHH260915:PHH260998 OXL260915:OXL260998 ONP260915:ONP260998 ODT260915:ODT260998 NTX260915:NTX260998 NKB260915:NKB260998 NAF260915:NAF260998 MQJ260915:MQJ260998 MGN260915:MGN260998 LWR260915:LWR260998 LMV260915:LMV260998 LCZ260915:LCZ260998 KTD260915:KTD260998 KJH260915:KJH260998 JZL260915:JZL260998 JPP260915:JPP260998 JFT260915:JFT260998 IVX260915:IVX260998 IMB260915:IMB260998 ICF260915:ICF260998 HSJ260915:HSJ260998 HIN260915:HIN260998 GYR260915:GYR260998 GOV260915:GOV260998 GEZ260915:GEZ260998 FVD260915:FVD260998 FLH260915:FLH260998 FBL260915:FBL260998 ERP260915:ERP260998 EHT260915:EHT260998 DXX260915:DXX260998 DOB260915:DOB260998 DEF260915:DEF260998 CUJ260915:CUJ260998 CKN260915:CKN260998 CAR260915:CAR260998 BQV260915:BQV260998 BGZ260915:BGZ260998 AXD260915:AXD260998 ANH260915:ANH260998 ADL260915:ADL260998 TP260915:TP260998 JT260915:JT260998 X260915:X260998 WWF195379:WWF195462 WMJ195379:WMJ195462 WCN195379:WCN195462 VSR195379:VSR195462 VIV195379:VIV195462 UYZ195379:UYZ195462 UPD195379:UPD195462 UFH195379:UFH195462 TVL195379:TVL195462 TLP195379:TLP195462 TBT195379:TBT195462 SRX195379:SRX195462 SIB195379:SIB195462 RYF195379:RYF195462 ROJ195379:ROJ195462 REN195379:REN195462 QUR195379:QUR195462 QKV195379:QKV195462 QAZ195379:QAZ195462 PRD195379:PRD195462 PHH195379:PHH195462 OXL195379:OXL195462 ONP195379:ONP195462 ODT195379:ODT195462 NTX195379:NTX195462 NKB195379:NKB195462 NAF195379:NAF195462 MQJ195379:MQJ195462 MGN195379:MGN195462 LWR195379:LWR195462 LMV195379:LMV195462 LCZ195379:LCZ195462 KTD195379:KTD195462 KJH195379:KJH195462 JZL195379:JZL195462 JPP195379:JPP195462 JFT195379:JFT195462 IVX195379:IVX195462 IMB195379:IMB195462 ICF195379:ICF195462 HSJ195379:HSJ195462 HIN195379:HIN195462 GYR195379:GYR195462 GOV195379:GOV195462 GEZ195379:GEZ195462 FVD195379:FVD195462 FLH195379:FLH195462 FBL195379:FBL195462 ERP195379:ERP195462 EHT195379:EHT195462 DXX195379:DXX195462 DOB195379:DOB195462 DEF195379:DEF195462 CUJ195379:CUJ195462 CKN195379:CKN195462 CAR195379:CAR195462 BQV195379:BQV195462 BGZ195379:BGZ195462 AXD195379:AXD195462 ANH195379:ANH195462 ADL195379:ADL195462 TP195379:TP195462 JT195379:JT195462 X195379:X195462 WWF129843:WWF129926 WMJ129843:WMJ129926 WCN129843:WCN129926 VSR129843:VSR129926 VIV129843:VIV129926 UYZ129843:UYZ129926 UPD129843:UPD129926 UFH129843:UFH129926 TVL129843:TVL129926 TLP129843:TLP129926 TBT129843:TBT129926 SRX129843:SRX129926 SIB129843:SIB129926 RYF129843:RYF129926 ROJ129843:ROJ129926 REN129843:REN129926 QUR129843:QUR129926 QKV129843:QKV129926 QAZ129843:QAZ129926 PRD129843:PRD129926 PHH129843:PHH129926 OXL129843:OXL129926 ONP129843:ONP129926 ODT129843:ODT129926 NTX129843:NTX129926 NKB129843:NKB129926 NAF129843:NAF129926 MQJ129843:MQJ129926 MGN129843:MGN129926 LWR129843:LWR129926 LMV129843:LMV129926 LCZ129843:LCZ129926 KTD129843:KTD129926 KJH129843:KJH129926 JZL129843:JZL129926 JPP129843:JPP129926 JFT129843:JFT129926 IVX129843:IVX129926 IMB129843:IMB129926 ICF129843:ICF129926 HSJ129843:HSJ129926 HIN129843:HIN129926 GYR129843:GYR129926 GOV129843:GOV129926 GEZ129843:GEZ129926 FVD129843:FVD129926 FLH129843:FLH129926 FBL129843:FBL129926 ERP129843:ERP129926 EHT129843:EHT129926 DXX129843:DXX129926 DOB129843:DOB129926 DEF129843:DEF129926 CUJ129843:CUJ129926 CKN129843:CKN129926 CAR129843:CAR129926 BQV129843:BQV129926 BGZ129843:BGZ129926 AXD129843:AXD129926 ANH129843:ANH129926 ADL129843:ADL129926 TP129843:TP129926 JT129843:JT129926 X129843:X129926 WWF64307:WWF64390 WMJ64307:WMJ64390 WCN64307:WCN64390 VSR64307:VSR64390 VIV64307:VIV64390 UYZ64307:UYZ64390 UPD64307:UPD64390 UFH64307:UFH64390 TVL64307:TVL64390 TLP64307:TLP64390 TBT64307:TBT64390 SRX64307:SRX64390 SIB64307:SIB64390 RYF64307:RYF64390 ROJ64307:ROJ64390 REN64307:REN64390 QUR64307:QUR64390 QKV64307:QKV64390 QAZ64307:QAZ64390 PRD64307:PRD64390 PHH64307:PHH64390 OXL64307:OXL64390 ONP64307:ONP64390 ODT64307:ODT64390 NTX64307:NTX64390 NKB64307:NKB64390 NAF64307:NAF64390 MQJ64307:MQJ64390 MGN64307:MGN64390 LWR64307:LWR64390 LMV64307:LMV64390 LCZ64307:LCZ64390 KTD64307:KTD64390 KJH64307:KJH64390 JZL64307:JZL64390 JPP64307:JPP64390 JFT64307:JFT64390 IVX64307:IVX64390 IMB64307:IMB64390 ICF64307:ICF64390 HSJ64307:HSJ64390 HIN64307:HIN64390 GYR64307:GYR64390 GOV64307:GOV64390 GEZ64307:GEZ64390 FVD64307:FVD64390 FLH64307:FLH64390 FBL64307:FBL64390 ERP64307:ERP64390 EHT64307:EHT64390 DXX64307:DXX64390 DOB64307:DOB64390 DEF64307:DEF64390 CUJ64307:CUJ64390 CKN64307:CKN64390 CAR64307:CAR64390 BQV64307:BQV64390 BGZ64307:BGZ64390 AXD64307:AXD64390 ANH64307:ANH64390 ADL64307:ADL64390 TP64307:TP64390 JT64307:JT64390 X64307:X64390 X102:X506 X2:X100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JT2:JT79" xr:uid="{F80746F4-B0E3-4259-B61E-470F73DF6C64}">
      <formula1>$AT$2:$AT$3</formula1>
    </dataValidation>
    <dataValidation operator="equal" allowBlank="1" showInputMessage="1" showErrorMessage="1" sqref="WVJ981811:WVJ981900 WLN981811:WLN981900 WBR981811:WBR981900 VRV981811:VRV981900 VHZ981811:VHZ981900 UYD981811:UYD981900 UOH981811:UOH981900 UEL981811:UEL981900 TUP981811:TUP981900 TKT981811:TKT981900 TAX981811:TAX981900 SRB981811:SRB981900 SHF981811:SHF981900 RXJ981811:RXJ981900 RNN981811:RNN981900 RDR981811:RDR981900 QTV981811:QTV981900 QJZ981811:QJZ981900 QAD981811:QAD981900 PQH981811:PQH981900 PGL981811:PGL981900 OWP981811:OWP981900 OMT981811:OMT981900 OCX981811:OCX981900 NTB981811:NTB981900 NJF981811:NJF981900 MZJ981811:MZJ981900 MPN981811:MPN981900 MFR981811:MFR981900 LVV981811:LVV981900 LLZ981811:LLZ981900 LCD981811:LCD981900 KSH981811:KSH981900 KIL981811:KIL981900 JYP981811:JYP981900 JOT981811:JOT981900 JEX981811:JEX981900 IVB981811:IVB981900 ILF981811:ILF981900 IBJ981811:IBJ981900 HRN981811:HRN981900 HHR981811:HHR981900 GXV981811:GXV981900 GNZ981811:GNZ981900 GED981811:GED981900 FUH981811:FUH981900 FKL981811:FKL981900 FAP981811:FAP981900 EQT981811:EQT981900 EGX981811:EGX981900 DXB981811:DXB981900 DNF981811:DNF981900 DDJ981811:DDJ981900 CTN981811:CTN981900 CJR981811:CJR981900 BZV981811:BZV981900 BPZ981811:BPZ981900 BGD981811:BGD981900 AWH981811:AWH981900 AML981811:AML981900 ACP981811:ACP981900 ST981811:ST981900 IX981811:IX981900 B981817:B981906 WVJ916275:WVJ916364 WLN916275:WLN916364 WBR916275:WBR916364 VRV916275:VRV916364 VHZ916275:VHZ916364 UYD916275:UYD916364 UOH916275:UOH916364 UEL916275:UEL916364 TUP916275:TUP916364 TKT916275:TKT916364 TAX916275:TAX916364 SRB916275:SRB916364 SHF916275:SHF916364 RXJ916275:RXJ916364 RNN916275:RNN916364 RDR916275:RDR916364 QTV916275:QTV916364 QJZ916275:QJZ916364 QAD916275:QAD916364 PQH916275:PQH916364 PGL916275:PGL916364 OWP916275:OWP916364 OMT916275:OMT916364 OCX916275:OCX916364 NTB916275:NTB916364 NJF916275:NJF916364 MZJ916275:MZJ916364 MPN916275:MPN916364 MFR916275:MFR916364 LVV916275:LVV916364 LLZ916275:LLZ916364 LCD916275:LCD916364 KSH916275:KSH916364 KIL916275:KIL916364 JYP916275:JYP916364 JOT916275:JOT916364 JEX916275:JEX916364 IVB916275:IVB916364 ILF916275:ILF916364 IBJ916275:IBJ916364 HRN916275:HRN916364 HHR916275:HHR916364 GXV916275:GXV916364 GNZ916275:GNZ916364 GED916275:GED916364 FUH916275:FUH916364 FKL916275:FKL916364 FAP916275:FAP916364 EQT916275:EQT916364 EGX916275:EGX916364 DXB916275:DXB916364 DNF916275:DNF916364 DDJ916275:DDJ916364 CTN916275:CTN916364 CJR916275:CJR916364 BZV916275:BZV916364 BPZ916275:BPZ916364 BGD916275:BGD916364 AWH916275:AWH916364 AML916275:AML916364 ACP916275:ACP916364 ST916275:ST916364 IX916275:IX916364 B916281:B916370 WVJ850739:WVJ850828 WLN850739:WLN850828 WBR850739:WBR850828 VRV850739:VRV850828 VHZ850739:VHZ850828 UYD850739:UYD850828 UOH850739:UOH850828 UEL850739:UEL850828 TUP850739:TUP850828 TKT850739:TKT850828 TAX850739:TAX850828 SRB850739:SRB850828 SHF850739:SHF850828 RXJ850739:RXJ850828 RNN850739:RNN850828 RDR850739:RDR850828 QTV850739:QTV850828 QJZ850739:QJZ850828 QAD850739:QAD850828 PQH850739:PQH850828 PGL850739:PGL850828 OWP850739:OWP850828 OMT850739:OMT850828 OCX850739:OCX850828 NTB850739:NTB850828 NJF850739:NJF850828 MZJ850739:MZJ850828 MPN850739:MPN850828 MFR850739:MFR850828 LVV850739:LVV850828 LLZ850739:LLZ850828 LCD850739:LCD850828 KSH850739:KSH850828 KIL850739:KIL850828 JYP850739:JYP850828 JOT850739:JOT850828 JEX850739:JEX850828 IVB850739:IVB850828 ILF850739:ILF850828 IBJ850739:IBJ850828 HRN850739:HRN850828 HHR850739:HHR850828 GXV850739:GXV850828 GNZ850739:GNZ850828 GED850739:GED850828 FUH850739:FUH850828 FKL850739:FKL850828 FAP850739:FAP850828 EQT850739:EQT850828 EGX850739:EGX850828 DXB850739:DXB850828 DNF850739:DNF850828 DDJ850739:DDJ850828 CTN850739:CTN850828 CJR850739:CJR850828 BZV850739:BZV850828 BPZ850739:BPZ850828 BGD850739:BGD850828 AWH850739:AWH850828 AML850739:AML850828 ACP850739:ACP850828 ST850739:ST850828 IX850739:IX850828 B850745:B850834 WVJ785203:WVJ785292 WLN785203:WLN785292 WBR785203:WBR785292 VRV785203:VRV785292 VHZ785203:VHZ785292 UYD785203:UYD785292 UOH785203:UOH785292 UEL785203:UEL785292 TUP785203:TUP785292 TKT785203:TKT785292 TAX785203:TAX785292 SRB785203:SRB785292 SHF785203:SHF785292 RXJ785203:RXJ785292 RNN785203:RNN785292 RDR785203:RDR785292 QTV785203:QTV785292 QJZ785203:QJZ785292 QAD785203:QAD785292 PQH785203:PQH785292 PGL785203:PGL785292 OWP785203:OWP785292 OMT785203:OMT785292 OCX785203:OCX785292 NTB785203:NTB785292 NJF785203:NJF785292 MZJ785203:MZJ785292 MPN785203:MPN785292 MFR785203:MFR785292 LVV785203:LVV785292 LLZ785203:LLZ785292 LCD785203:LCD785292 KSH785203:KSH785292 KIL785203:KIL785292 JYP785203:JYP785292 JOT785203:JOT785292 JEX785203:JEX785292 IVB785203:IVB785292 ILF785203:ILF785292 IBJ785203:IBJ785292 HRN785203:HRN785292 HHR785203:HHR785292 GXV785203:GXV785292 GNZ785203:GNZ785292 GED785203:GED785292 FUH785203:FUH785292 FKL785203:FKL785292 FAP785203:FAP785292 EQT785203:EQT785292 EGX785203:EGX785292 DXB785203:DXB785292 DNF785203:DNF785292 DDJ785203:DDJ785292 CTN785203:CTN785292 CJR785203:CJR785292 BZV785203:BZV785292 BPZ785203:BPZ785292 BGD785203:BGD785292 AWH785203:AWH785292 AML785203:AML785292 ACP785203:ACP785292 ST785203:ST785292 IX785203:IX785292 B785209:B785298 WVJ719667:WVJ719756 WLN719667:WLN719756 WBR719667:WBR719756 VRV719667:VRV719756 VHZ719667:VHZ719756 UYD719667:UYD719756 UOH719667:UOH719756 UEL719667:UEL719756 TUP719667:TUP719756 TKT719667:TKT719756 TAX719667:TAX719756 SRB719667:SRB719756 SHF719667:SHF719756 RXJ719667:RXJ719756 RNN719667:RNN719756 RDR719667:RDR719756 QTV719667:QTV719756 QJZ719667:QJZ719756 QAD719667:QAD719756 PQH719667:PQH719756 PGL719667:PGL719756 OWP719667:OWP719756 OMT719667:OMT719756 OCX719667:OCX719756 NTB719667:NTB719756 NJF719667:NJF719756 MZJ719667:MZJ719756 MPN719667:MPN719756 MFR719667:MFR719756 LVV719667:LVV719756 LLZ719667:LLZ719756 LCD719667:LCD719756 KSH719667:KSH719756 KIL719667:KIL719756 JYP719667:JYP719756 JOT719667:JOT719756 JEX719667:JEX719756 IVB719667:IVB719756 ILF719667:ILF719756 IBJ719667:IBJ719756 HRN719667:HRN719756 HHR719667:HHR719756 GXV719667:GXV719756 GNZ719667:GNZ719756 GED719667:GED719756 FUH719667:FUH719756 FKL719667:FKL719756 FAP719667:FAP719756 EQT719667:EQT719756 EGX719667:EGX719756 DXB719667:DXB719756 DNF719667:DNF719756 DDJ719667:DDJ719756 CTN719667:CTN719756 CJR719667:CJR719756 BZV719667:BZV719756 BPZ719667:BPZ719756 BGD719667:BGD719756 AWH719667:AWH719756 AML719667:AML719756 ACP719667:ACP719756 ST719667:ST719756 IX719667:IX719756 B719673:B719762 WVJ654131:WVJ654220 WLN654131:WLN654220 WBR654131:WBR654220 VRV654131:VRV654220 VHZ654131:VHZ654220 UYD654131:UYD654220 UOH654131:UOH654220 UEL654131:UEL654220 TUP654131:TUP654220 TKT654131:TKT654220 TAX654131:TAX654220 SRB654131:SRB654220 SHF654131:SHF654220 RXJ654131:RXJ654220 RNN654131:RNN654220 RDR654131:RDR654220 QTV654131:QTV654220 QJZ654131:QJZ654220 QAD654131:QAD654220 PQH654131:PQH654220 PGL654131:PGL654220 OWP654131:OWP654220 OMT654131:OMT654220 OCX654131:OCX654220 NTB654131:NTB654220 NJF654131:NJF654220 MZJ654131:MZJ654220 MPN654131:MPN654220 MFR654131:MFR654220 LVV654131:LVV654220 LLZ654131:LLZ654220 LCD654131:LCD654220 KSH654131:KSH654220 KIL654131:KIL654220 JYP654131:JYP654220 JOT654131:JOT654220 JEX654131:JEX654220 IVB654131:IVB654220 ILF654131:ILF654220 IBJ654131:IBJ654220 HRN654131:HRN654220 HHR654131:HHR654220 GXV654131:GXV654220 GNZ654131:GNZ654220 GED654131:GED654220 FUH654131:FUH654220 FKL654131:FKL654220 FAP654131:FAP654220 EQT654131:EQT654220 EGX654131:EGX654220 DXB654131:DXB654220 DNF654131:DNF654220 DDJ654131:DDJ654220 CTN654131:CTN654220 CJR654131:CJR654220 BZV654131:BZV654220 BPZ654131:BPZ654220 BGD654131:BGD654220 AWH654131:AWH654220 AML654131:AML654220 ACP654131:ACP654220 ST654131:ST654220 IX654131:IX654220 B654137:B654226 WVJ588595:WVJ588684 WLN588595:WLN588684 WBR588595:WBR588684 VRV588595:VRV588684 VHZ588595:VHZ588684 UYD588595:UYD588684 UOH588595:UOH588684 UEL588595:UEL588684 TUP588595:TUP588684 TKT588595:TKT588684 TAX588595:TAX588684 SRB588595:SRB588684 SHF588595:SHF588684 RXJ588595:RXJ588684 RNN588595:RNN588684 RDR588595:RDR588684 QTV588595:QTV588684 QJZ588595:QJZ588684 QAD588595:QAD588684 PQH588595:PQH588684 PGL588595:PGL588684 OWP588595:OWP588684 OMT588595:OMT588684 OCX588595:OCX588684 NTB588595:NTB588684 NJF588595:NJF588684 MZJ588595:MZJ588684 MPN588595:MPN588684 MFR588595:MFR588684 LVV588595:LVV588684 LLZ588595:LLZ588684 LCD588595:LCD588684 KSH588595:KSH588684 KIL588595:KIL588684 JYP588595:JYP588684 JOT588595:JOT588684 JEX588595:JEX588684 IVB588595:IVB588684 ILF588595:ILF588684 IBJ588595:IBJ588684 HRN588595:HRN588684 HHR588595:HHR588684 GXV588595:GXV588684 GNZ588595:GNZ588684 GED588595:GED588684 FUH588595:FUH588684 FKL588595:FKL588684 FAP588595:FAP588684 EQT588595:EQT588684 EGX588595:EGX588684 DXB588595:DXB588684 DNF588595:DNF588684 DDJ588595:DDJ588684 CTN588595:CTN588684 CJR588595:CJR588684 BZV588595:BZV588684 BPZ588595:BPZ588684 BGD588595:BGD588684 AWH588595:AWH588684 AML588595:AML588684 ACP588595:ACP588684 ST588595:ST588684 IX588595:IX588684 B588601:B588690 WVJ523059:WVJ523148 WLN523059:WLN523148 WBR523059:WBR523148 VRV523059:VRV523148 VHZ523059:VHZ523148 UYD523059:UYD523148 UOH523059:UOH523148 UEL523059:UEL523148 TUP523059:TUP523148 TKT523059:TKT523148 TAX523059:TAX523148 SRB523059:SRB523148 SHF523059:SHF523148 RXJ523059:RXJ523148 RNN523059:RNN523148 RDR523059:RDR523148 QTV523059:QTV523148 QJZ523059:QJZ523148 QAD523059:QAD523148 PQH523059:PQH523148 PGL523059:PGL523148 OWP523059:OWP523148 OMT523059:OMT523148 OCX523059:OCX523148 NTB523059:NTB523148 NJF523059:NJF523148 MZJ523059:MZJ523148 MPN523059:MPN523148 MFR523059:MFR523148 LVV523059:LVV523148 LLZ523059:LLZ523148 LCD523059:LCD523148 KSH523059:KSH523148 KIL523059:KIL523148 JYP523059:JYP523148 JOT523059:JOT523148 JEX523059:JEX523148 IVB523059:IVB523148 ILF523059:ILF523148 IBJ523059:IBJ523148 HRN523059:HRN523148 HHR523059:HHR523148 GXV523059:GXV523148 GNZ523059:GNZ523148 GED523059:GED523148 FUH523059:FUH523148 FKL523059:FKL523148 FAP523059:FAP523148 EQT523059:EQT523148 EGX523059:EGX523148 DXB523059:DXB523148 DNF523059:DNF523148 DDJ523059:DDJ523148 CTN523059:CTN523148 CJR523059:CJR523148 BZV523059:BZV523148 BPZ523059:BPZ523148 BGD523059:BGD523148 AWH523059:AWH523148 AML523059:AML523148 ACP523059:ACP523148 ST523059:ST523148 IX523059:IX523148 B523065:B523154 WVJ457523:WVJ457612 WLN457523:WLN457612 WBR457523:WBR457612 VRV457523:VRV457612 VHZ457523:VHZ457612 UYD457523:UYD457612 UOH457523:UOH457612 UEL457523:UEL457612 TUP457523:TUP457612 TKT457523:TKT457612 TAX457523:TAX457612 SRB457523:SRB457612 SHF457523:SHF457612 RXJ457523:RXJ457612 RNN457523:RNN457612 RDR457523:RDR457612 QTV457523:QTV457612 QJZ457523:QJZ457612 QAD457523:QAD457612 PQH457523:PQH457612 PGL457523:PGL457612 OWP457523:OWP457612 OMT457523:OMT457612 OCX457523:OCX457612 NTB457523:NTB457612 NJF457523:NJF457612 MZJ457523:MZJ457612 MPN457523:MPN457612 MFR457523:MFR457612 LVV457523:LVV457612 LLZ457523:LLZ457612 LCD457523:LCD457612 KSH457523:KSH457612 KIL457523:KIL457612 JYP457523:JYP457612 JOT457523:JOT457612 JEX457523:JEX457612 IVB457523:IVB457612 ILF457523:ILF457612 IBJ457523:IBJ457612 HRN457523:HRN457612 HHR457523:HHR457612 GXV457523:GXV457612 GNZ457523:GNZ457612 GED457523:GED457612 FUH457523:FUH457612 FKL457523:FKL457612 FAP457523:FAP457612 EQT457523:EQT457612 EGX457523:EGX457612 DXB457523:DXB457612 DNF457523:DNF457612 DDJ457523:DDJ457612 CTN457523:CTN457612 CJR457523:CJR457612 BZV457523:BZV457612 BPZ457523:BPZ457612 BGD457523:BGD457612 AWH457523:AWH457612 AML457523:AML457612 ACP457523:ACP457612 ST457523:ST457612 IX457523:IX457612 B457529:B457618 WVJ391987:WVJ392076 WLN391987:WLN392076 WBR391987:WBR392076 VRV391987:VRV392076 VHZ391987:VHZ392076 UYD391987:UYD392076 UOH391987:UOH392076 UEL391987:UEL392076 TUP391987:TUP392076 TKT391987:TKT392076 TAX391987:TAX392076 SRB391987:SRB392076 SHF391987:SHF392076 RXJ391987:RXJ392076 RNN391987:RNN392076 RDR391987:RDR392076 QTV391987:QTV392076 QJZ391987:QJZ392076 QAD391987:QAD392076 PQH391987:PQH392076 PGL391987:PGL392076 OWP391987:OWP392076 OMT391987:OMT392076 OCX391987:OCX392076 NTB391987:NTB392076 NJF391987:NJF392076 MZJ391987:MZJ392076 MPN391987:MPN392076 MFR391987:MFR392076 LVV391987:LVV392076 LLZ391987:LLZ392076 LCD391987:LCD392076 KSH391987:KSH392076 KIL391987:KIL392076 JYP391987:JYP392076 JOT391987:JOT392076 JEX391987:JEX392076 IVB391987:IVB392076 ILF391987:ILF392076 IBJ391987:IBJ392076 HRN391987:HRN392076 HHR391987:HHR392076 GXV391987:GXV392076 GNZ391987:GNZ392076 GED391987:GED392076 FUH391987:FUH392076 FKL391987:FKL392076 FAP391987:FAP392076 EQT391987:EQT392076 EGX391987:EGX392076 DXB391987:DXB392076 DNF391987:DNF392076 DDJ391987:DDJ392076 CTN391987:CTN392076 CJR391987:CJR392076 BZV391987:BZV392076 BPZ391987:BPZ392076 BGD391987:BGD392076 AWH391987:AWH392076 AML391987:AML392076 ACP391987:ACP392076 ST391987:ST392076 IX391987:IX392076 B391993:B392082 WVJ326451:WVJ326540 WLN326451:WLN326540 WBR326451:WBR326540 VRV326451:VRV326540 VHZ326451:VHZ326540 UYD326451:UYD326540 UOH326451:UOH326540 UEL326451:UEL326540 TUP326451:TUP326540 TKT326451:TKT326540 TAX326451:TAX326540 SRB326451:SRB326540 SHF326451:SHF326540 RXJ326451:RXJ326540 RNN326451:RNN326540 RDR326451:RDR326540 QTV326451:QTV326540 QJZ326451:QJZ326540 QAD326451:QAD326540 PQH326451:PQH326540 PGL326451:PGL326540 OWP326451:OWP326540 OMT326451:OMT326540 OCX326451:OCX326540 NTB326451:NTB326540 NJF326451:NJF326540 MZJ326451:MZJ326540 MPN326451:MPN326540 MFR326451:MFR326540 LVV326451:LVV326540 LLZ326451:LLZ326540 LCD326451:LCD326540 KSH326451:KSH326540 KIL326451:KIL326540 JYP326451:JYP326540 JOT326451:JOT326540 JEX326451:JEX326540 IVB326451:IVB326540 ILF326451:ILF326540 IBJ326451:IBJ326540 HRN326451:HRN326540 HHR326451:HHR326540 GXV326451:GXV326540 GNZ326451:GNZ326540 GED326451:GED326540 FUH326451:FUH326540 FKL326451:FKL326540 FAP326451:FAP326540 EQT326451:EQT326540 EGX326451:EGX326540 DXB326451:DXB326540 DNF326451:DNF326540 DDJ326451:DDJ326540 CTN326451:CTN326540 CJR326451:CJR326540 BZV326451:BZV326540 BPZ326451:BPZ326540 BGD326451:BGD326540 AWH326451:AWH326540 AML326451:AML326540 ACP326451:ACP326540 ST326451:ST326540 IX326451:IX326540 B326457:B326546 WVJ260915:WVJ261004 WLN260915:WLN261004 WBR260915:WBR261004 VRV260915:VRV261004 VHZ260915:VHZ261004 UYD260915:UYD261004 UOH260915:UOH261004 UEL260915:UEL261004 TUP260915:TUP261004 TKT260915:TKT261004 TAX260915:TAX261004 SRB260915:SRB261004 SHF260915:SHF261004 RXJ260915:RXJ261004 RNN260915:RNN261004 RDR260915:RDR261004 QTV260915:QTV261004 QJZ260915:QJZ261004 QAD260915:QAD261004 PQH260915:PQH261004 PGL260915:PGL261004 OWP260915:OWP261004 OMT260915:OMT261004 OCX260915:OCX261004 NTB260915:NTB261004 NJF260915:NJF261004 MZJ260915:MZJ261004 MPN260915:MPN261004 MFR260915:MFR261004 LVV260915:LVV261004 LLZ260915:LLZ261004 LCD260915:LCD261004 KSH260915:KSH261004 KIL260915:KIL261004 JYP260915:JYP261004 JOT260915:JOT261004 JEX260915:JEX261004 IVB260915:IVB261004 ILF260915:ILF261004 IBJ260915:IBJ261004 HRN260915:HRN261004 HHR260915:HHR261004 GXV260915:GXV261004 GNZ260915:GNZ261004 GED260915:GED261004 FUH260915:FUH261004 FKL260915:FKL261004 FAP260915:FAP261004 EQT260915:EQT261004 EGX260915:EGX261004 DXB260915:DXB261004 DNF260915:DNF261004 DDJ260915:DDJ261004 CTN260915:CTN261004 CJR260915:CJR261004 BZV260915:BZV261004 BPZ260915:BPZ261004 BGD260915:BGD261004 AWH260915:AWH261004 AML260915:AML261004 ACP260915:ACP261004 ST260915:ST261004 IX260915:IX261004 B260921:B261010 WVJ195379:WVJ195468 WLN195379:WLN195468 WBR195379:WBR195468 VRV195379:VRV195468 VHZ195379:VHZ195468 UYD195379:UYD195468 UOH195379:UOH195468 UEL195379:UEL195468 TUP195379:TUP195468 TKT195379:TKT195468 TAX195379:TAX195468 SRB195379:SRB195468 SHF195379:SHF195468 RXJ195379:RXJ195468 RNN195379:RNN195468 RDR195379:RDR195468 QTV195379:QTV195468 QJZ195379:QJZ195468 QAD195379:QAD195468 PQH195379:PQH195468 PGL195379:PGL195468 OWP195379:OWP195468 OMT195379:OMT195468 OCX195379:OCX195468 NTB195379:NTB195468 NJF195379:NJF195468 MZJ195379:MZJ195468 MPN195379:MPN195468 MFR195379:MFR195468 LVV195379:LVV195468 LLZ195379:LLZ195468 LCD195379:LCD195468 KSH195379:KSH195468 KIL195379:KIL195468 JYP195379:JYP195468 JOT195379:JOT195468 JEX195379:JEX195468 IVB195379:IVB195468 ILF195379:ILF195468 IBJ195379:IBJ195468 HRN195379:HRN195468 HHR195379:HHR195468 GXV195379:GXV195468 GNZ195379:GNZ195468 GED195379:GED195468 FUH195379:FUH195468 FKL195379:FKL195468 FAP195379:FAP195468 EQT195379:EQT195468 EGX195379:EGX195468 DXB195379:DXB195468 DNF195379:DNF195468 DDJ195379:DDJ195468 CTN195379:CTN195468 CJR195379:CJR195468 BZV195379:BZV195468 BPZ195379:BPZ195468 BGD195379:BGD195468 AWH195379:AWH195468 AML195379:AML195468 ACP195379:ACP195468 ST195379:ST195468 IX195379:IX195468 B195385:B195474 WVJ129843:WVJ129932 WLN129843:WLN129932 WBR129843:WBR129932 VRV129843:VRV129932 VHZ129843:VHZ129932 UYD129843:UYD129932 UOH129843:UOH129932 UEL129843:UEL129932 TUP129843:TUP129932 TKT129843:TKT129932 TAX129843:TAX129932 SRB129843:SRB129932 SHF129843:SHF129932 RXJ129843:RXJ129932 RNN129843:RNN129932 RDR129843:RDR129932 QTV129843:QTV129932 QJZ129843:QJZ129932 QAD129843:QAD129932 PQH129843:PQH129932 PGL129843:PGL129932 OWP129843:OWP129932 OMT129843:OMT129932 OCX129843:OCX129932 NTB129843:NTB129932 NJF129843:NJF129932 MZJ129843:MZJ129932 MPN129843:MPN129932 MFR129843:MFR129932 LVV129843:LVV129932 LLZ129843:LLZ129932 LCD129843:LCD129932 KSH129843:KSH129932 KIL129843:KIL129932 JYP129843:JYP129932 JOT129843:JOT129932 JEX129843:JEX129932 IVB129843:IVB129932 ILF129843:ILF129932 IBJ129843:IBJ129932 HRN129843:HRN129932 HHR129843:HHR129932 GXV129843:GXV129932 GNZ129843:GNZ129932 GED129843:GED129932 FUH129843:FUH129932 FKL129843:FKL129932 FAP129843:FAP129932 EQT129843:EQT129932 EGX129843:EGX129932 DXB129843:DXB129932 DNF129843:DNF129932 DDJ129843:DDJ129932 CTN129843:CTN129932 CJR129843:CJR129932 BZV129843:BZV129932 BPZ129843:BPZ129932 BGD129843:BGD129932 AWH129843:AWH129932 AML129843:AML129932 ACP129843:ACP129932 ST129843:ST129932 IX129843:IX129932 B129849:B129938 WVJ64307:WVJ64396 WLN64307:WLN64396 WBR64307:WBR64396 VRV64307:VRV64396 VHZ64307:VHZ64396 UYD64307:UYD64396 UOH64307:UOH64396 UEL64307:UEL64396 TUP64307:TUP64396 TKT64307:TKT64396 TAX64307:TAX64396 SRB64307:SRB64396 SHF64307:SHF64396 RXJ64307:RXJ64396 RNN64307:RNN64396 RDR64307:RDR64396 QTV64307:QTV64396 QJZ64307:QJZ64396 QAD64307:QAD64396 PQH64307:PQH64396 PGL64307:PGL64396 OWP64307:OWP64396 OMT64307:OMT64396 OCX64307:OCX64396 NTB64307:NTB64396 NJF64307:NJF64396 MZJ64307:MZJ64396 MPN64307:MPN64396 MFR64307:MFR64396 LVV64307:LVV64396 LLZ64307:LLZ64396 LCD64307:LCD64396 KSH64307:KSH64396 KIL64307:KIL64396 JYP64307:JYP64396 JOT64307:JOT64396 JEX64307:JEX64396 IVB64307:IVB64396 ILF64307:ILF64396 IBJ64307:IBJ64396 HRN64307:HRN64396 HHR64307:HHR64396 GXV64307:GXV64396 GNZ64307:GNZ64396 GED64307:GED64396 FUH64307:FUH64396 FKL64307:FKL64396 FAP64307:FAP64396 EQT64307:EQT64396 EGX64307:EGX64396 DXB64307:DXB64396 DNF64307:DNF64396 DDJ64307:DDJ64396 CTN64307:CTN64396 CJR64307:CJR64396 BZV64307:BZV64396 BPZ64307:BPZ64396 BGD64307:BGD64396 AWH64307:AWH64396 AML64307:AML64396 ACP64307:ACP64396 ST64307:ST64396 IX64307:IX64396 B64313:B64402 B102:B118 B2:B100 ST2:ST79 ACP2:ACP79 AML2:AML79 AWH2:AWH79 BGD2:BGD79 BPZ2:BPZ79 BZV2:BZV79 CJR2:CJR79 CTN2:CTN79 DDJ2:DDJ79 DNF2:DNF79 DXB2:DXB79 EGX2:EGX79 EQT2:EQT79 FAP2:FAP79 FKL2:FKL79 FUH2:FUH79 GED2:GED79 GNZ2:GNZ79 GXV2:GXV79 HHR2:HHR79 HRN2:HRN79 IBJ2:IBJ79 ILF2:ILF79 IVB2:IVB79 JEX2:JEX79 JOT2:JOT79 JYP2:JYP79 KIL2:KIL79 KSH2:KSH79 LCD2:LCD79 LLZ2:LLZ79 LVV2:LVV79 MFR2:MFR79 MPN2:MPN79 MZJ2:MZJ79 NJF2:NJF79 NTB2:NTB79 OCX2:OCX79 OMT2:OMT79 OWP2:OWP79 PGL2:PGL79 PQH2:PQH79 QAD2:QAD79 QJZ2:QJZ79 QTV2:QTV79 RDR2:RDR79 RNN2:RNN79 RXJ2:RXJ79 SHF2:SHF79 SRB2:SRB79 TAX2:TAX79 TKT2:TKT79 TUP2:TUP79 UEL2:UEL79 UOH2:UOH79 UYD2:UYD79 VHZ2:VHZ79 VRV2:VRV79 WBR2:WBR79 WLN2:WLN79 WVJ2:WVJ79 IX2:IX79" xr:uid="{C4249B67-8A04-4CB9-86C5-67C1CA97E7C5}"/>
    <dataValidation type="list" allowBlank="1" showInputMessage="1" showErrorMessage="1" sqref="WVI981811:WVI981900 WLM981811:WLM981900 WBQ981811:WBQ981900 VRU981811:VRU981900 VHY981811:VHY981900 UYC981811:UYC981900 UOG981811:UOG981900 UEK981811:UEK981900 TUO981811:TUO981900 TKS981811:TKS981900 TAW981811:TAW981900 SRA981811:SRA981900 SHE981811:SHE981900 RXI981811:RXI981900 RNM981811:RNM981900 RDQ981811:RDQ981900 QTU981811:QTU981900 QJY981811:QJY981900 QAC981811:QAC981900 PQG981811:PQG981900 PGK981811:PGK981900 OWO981811:OWO981900 OMS981811:OMS981900 OCW981811:OCW981900 NTA981811:NTA981900 NJE981811:NJE981900 MZI981811:MZI981900 MPM981811:MPM981900 MFQ981811:MFQ981900 LVU981811:LVU981900 LLY981811:LLY981900 LCC981811:LCC981900 KSG981811:KSG981900 KIK981811:KIK981900 JYO981811:JYO981900 JOS981811:JOS981900 JEW981811:JEW981900 IVA981811:IVA981900 ILE981811:ILE981900 IBI981811:IBI981900 HRM981811:HRM981900 HHQ981811:HHQ981900 GXU981811:GXU981900 GNY981811:GNY981900 GEC981811:GEC981900 FUG981811:FUG981900 FKK981811:FKK981900 FAO981811:FAO981900 EQS981811:EQS981900 EGW981811:EGW981900 DXA981811:DXA981900 DNE981811:DNE981900 DDI981811:DDI981900 CTM981811:CTM981900 CJQ981811:CJQ981900 BZU981811:BZU981900 BPY981811:BPY981900 BGC981811:BGC981900 AWG981811:AWG981900 AMK981811:AMK981900 ACO981811:ACO981900 SS981811:SS981900 IW981811:IW981900 A981817:A981906 WVI916275:WVI916364 WLM916275:WLM916364 WBQ916275:WBQ916364 VRU916275:VRU916364 VHY916275:VHY916364 UYC916275:UYC916364 UOG916275:UOG916364 UEK916275:UEK916364 TUO916275:TUO916364 TKS916275:TKS916364 TAW916275:TAW916364 SRA916275:SRA916364 SHE916275:SHE916364 RXI916275:RXI916364 RNM916275:RNM916364 RDQ916275:RDQ916364 QTU916275:QTU916364 QJY916275:QJY916364 QAC916275:QAC916364 PQG916275:PQG916364 PGK916275:PGK916364 OWO916275:OWO916364 OMS916275:OMS916364 OCW916275:OCW916364 NTA916275:NTA916364 NJE916275:NJE916364 MZI916275:MZI916364 MPM916275:MPM916364 MFQ916275:MFQ916364 LVU916275:LVU916364 LLY916275:LLY916364 LCC916275:LCC916364 KSG916275:KSG916364 KIK916275:KIK916364 JYO916275:JYO916364 JOS916275:JOS916364 JEW916275:JEW916364 IVA916275:IVA916364 ILE916275:ILE916364 IBI916275:IBI916364 HRM916275:HRM916364 HHQ916275:HHQ916364 GXU916275:GXU916364 GNY916275:GNY916364 GEC916275:GEC916364 FUG916275:FUG916364 FKK916275:FKK916364 FAO916275:FAO916364 EQS916275:EQS916364 EGW916275:EGW916364 DXA916275:DXA916364 DNE916275:DNE916364 DDI916275:DDI916364 CTM916275:CTM916364 CJQ916275:CJQ916364 BZU916275:BZU916364 BPY916275:BPY916364 BGC916275:BGC916364 AWG916275:AWG916364 AMK916275:AMK916364 ACO916275:ACO916364 SS916275:SS916364 IW916275:IW916364 A916281:A916370 WVI850739:WVI850828 WLM850739:WLM850828 WBQ850739:WBQ850828 VRU850739:VRU850828 VHY850739:VHY850828 UYC850739:UYC850828 UOG850739:UOG850828 UEK850739:UEK850828 TUO850739:TUO850828 TKS850739:TKS850828 TAW850739:TAW850828 SRA850739:SRA850828 SHE850739:SHE850828 RXI850739:RXI850828 RNM850739:RNM850828 RDQ850739:RDQ850828 QTU850739:QTU850828 QJY850739:QJY850828 QAC850739:QAC850828 PQG850739:PQG850828 PGK850739:PGK850828 OWO850739:OWO850828 OMS850739:OMS850828 OCW850739:OCW850828 NTA850739:NTA850828 NJE850739:NJE850828 MZI850739:MZI850828 MPM850739:MPM850828 MFQ850739:MFQ850828 LVU850739:LVU850828 LLY850739:LLY850828 LCC850739:LCC850828 KSG850739:KSG850828 KIK850739:KIK850828 JYO850739:JYO850828 JOS850739:JOS850828 JEW850739:JEW850828 IVA850739:IVA850828 ILE850739:ILE850828 IBI850739:IBI850828 HRM850739:HRM850828 HHQ850739:HHQ850828 GXU850739:GXU850828 GNY850739:GNY850828 GEC850739:GEC850828 FUG850739:FUG850828 FKK850739:FKK850828 FAO850739:FAO850828 EQS850739:EQS850828 EGW850739:EGW850828 DXA850739:DXA850828 DNE850739:DNE850828 DDI850739:DDI850828 CTM850739:CTM850828 CJQ850739:CJQ850828 BZU850739:BZU850828 BPY850739:BPY850828 BGC850739:BGC850828 AWG850739:AWG850828 AMK850739:AMK850828 ACO850739:ACO850828 SS850739:SS850828 IW850739:IW850828 A850745:A850834 WVI785203:WVI785292 WLM785203:WLM785292 WBQ785203:WBQ785292 VRU785203:VRU785292 VHY785203:VHY785292 UYC785203:UYC785292 UOG785203:UOG785292 UEK785203:UEK785292 TUO785203:TUO785292 TKS785203:TKS785292 TAW785203:TAW785292 SRA785203:SRA785292 SHE785203:SHE785292 RXI785203:RXI785292 RNM785203:RNM785292 RDQ785203:RDQ785292 QTU785203:QTU785292 QJY785203:QJY785292 QAC785203:QAC785292 PQG785203:PQG785292 PGK785203:PGK785292 OWO785203:OWO785292 OMS785203:OMS785292 OCW785203:OCW785292 NTA785203:NTA785292 NJE785203:NJE785292 MZI785203:MZI785292 MPM785203:MPM785292 MFQ785203:MFQ785292 LVU785203:LVU785292 LLY785203:LLY785292 LCC785203:LCC785292 KSG785203:KSG785292 KIK785203:KIK785292 JYO785203:JYO785292 JOS785203:JOS785292 JEW785203:JEW785292 IVA785203:IVA785292 ILE785203:ILE785292 IBI785203:IBI785292 HRM785203:HRM785292 HHQ785203:HHQ785292 GXU785203:GXU785292 GNY785203:GNY785292 GEC785203:GEC785292 FUG785203:FUG785292 FKK785203:FKK785292 FAO785203:FAO785292 EQS785203:EQS785292 EGW785203:EGW785292 DXA785203:DXA785292 DNE785203:DNE785292 DDI785203:DDI785292 CTM785203:CTM785292 CJQ785203:CJQ785292 BZU785203:BZU785292 BPY785203:BPY785292 BGC785203:BGC785292 AWG785203:AWG785292 AMK785203:AMK785292 ACO785203:ACO785292 SS785203:SS785292 IW785203:IW785292 A785209:A785298 WVI719667:WVI719756 WLM719667:WLM719756 WBQ719667:WBQ719756 VRU719667:VRU719756 VHY719667:VHY719756 UYC719667:UYC719756 UOG719667:UOG719756 UEK719667:UEK719756 TUO719667:TUO719756 TKS719667:TKS719756 TAW719667:TAW719756 SRA719667:SRA719756 SHE719667:SHE719756 RXI719667:RXI719756 RNM719667:RNM719756 RDQ719667:RDQ719756 QTU719667:QTU719756 QJY719667:QJY719756 QAC719667:QAC719756 PQG719667:PQG719756 PGK719667:PGK719756 OWO719667:OWO719756 OMS719667:OMS719756 OCW719667:OCW719756 NTA719667:NTA719756 NJE719667:NJE719756 MZI719667:MZI719756 MPM719667:MPM719756 MFQ719667:MFQ719756 LVU719667:LVU719756 LLY719667:LLY719756 LCC719667:LCC719756 KSG719667:KSG719756 KIK719667:KIK719756 JYO719667:JYO719756 JOS719667:JOS719756 JEW719667:JEW719756 IVA719667:IVA719756 ILE719667:ILE719756 IBI719667:IBI719756 HRM719667:HRM719756 HHQ719667:HHQ719756 GXU719667:GXU719756 GNY719667:GNY719756 GEC719667:GEC719756 FUG719667:FUG719756 FKK719667:FKK719756 FAO719667:FAO719756 EQS719667:EQS719756 EGW719667:EGW719756 DXA719667:DXA719756 DNE719667:DNE719756 DDI719667:DDI719756 CTM719667:CTM719756 CJQ719667:CJQ719756 BZU719667:BZU719756 BPY719667:BPY719756 BGC719667:BGC719756 AWG719667:AWG719756 AMK719667:AMK719756 ACO719667:ACO719756 SS719667:SS719756 IW719667:IW719756 A719673:A719762 WVI654131:WVI654220 WLM654131:WLM654220 WBQ654131:WBQ654220 VRU654131:VRU654220 VHY654131:VHY654220 UYC654131:UYC654220 UOG654131:UOG654220 UEK654131:UEK654220 TUO654131:TUO654220 TKS654131:TKS654220 TAW654131:TAW654220 SRA654131:SRA654220 SHE654131:SHE654220 RXI654131:RXI654220 RNM654131:RNM654220 RDQ654131:RDQ654220 QTU654131:QTU654220 QJY654131:QJY654220 QAC654131:QAC654220 PQG654131:PQG654220 PGK654131:PGK654220 OWO654131:OWO654220 OMS654131:OMS654220 OCW654131:OCW654220 NTA654131:NTA654220 NJE654131:NJE654220 MZI654131:MZI654220 MPM654131:MPM654220 MFQ654131:MFQ654220 LVU654131:LVU654220 LLY654131:LLY654220 LCC654131:LCC654220 KSG654131:KSG654220 KIK654131:KIK654220 JYO654131:JYO654220 JOS654131:JOS654220 JEW654131:JEW654220 IVA654131:IVA654220 ILE654131:ILE654220 IBI654131:IBI654220 HRM654131:HRM654220 HHQ654131:HHQ654220 GXU654131:GXU654220 GNY654131:GNY654220 GEC654131:GEC654220 FUG654131:FUG654220 FKK654131:FKK654220 FAO654131:FAO654220 EQS654131:EQS654220 EGW654131:EGW654220 DXA654131:DXA654220 DNE654131:DNE654220 DDI654131:DDI654220 CTM654131:CTM654220 CJQ654131:CJQ654220 BZU654131:BZU654220 BPY654131:BPY654220 BGC654131:BGC654220 AWG654131:AWG654220 AMK654131:AMK654220 ACO654131:ACO654220 SS654131:SS654220 IW654131:IW654220 A654137:A654226 WVI588595:WVI588684 WLM588595:WLM588684 WBQ588595:WBQ588684 VRU588595:VRU588684 VHY588595:VHY588684 UYC588595:UYC588684 UOG588595:UOG588684 UEK588595:UEK588684 TUO588595:TUO588684 TKS588595:TKS588684 TAW588595:TAW588684 SRA588595:SRA588684 SHE588595:SHE588684 RXI588595:RXI588684 RNM588595:RNM588684 RDQ588595:RDQ588684 QTU588595:QTU588684 QJY588595:QJY588684 QAC588595:QAC588684 PQG588595:PQG588684 PGK588595:PGK588684 OWO588595:OWO588684 OMS588595:OMS588684 OCW588595:OCW588684 NTA588595:NTA588684 NJE588595:NJE588684 MZI588595:MZI588684 MPM588595:MPM588684 MFQ588595:MFQ588684 LVU588595:LVU588684 LLY588595:LLY588684 LCC588595:LCC588684 KSG588595:KSG588684 KIK588595:KIK588684 JYO588595:JYO588684 JOS588595:JOS588684 JEW588595:JEW588684 IVA588595:IVA588684 ILE588595:ILE588684 IBI588595:IBI588684 HRM588595:HRM588684 HHQ588595:HHQ588684 GXU588595:GXU588684 GNY588595:GNY588684 GEC588595:GEC588684 FUG588595:FUG588684 FKK588595:FKK588684 FAO588595:FAO588684 EQS588595:EQS588684 EGW588595:EGW588684 DXA588595:DXA588684 DNE588595:DNE588684 DDI588595:DDI588684 CTM588595:CTM588684 CJQ588595:CJQ588684 BZU588595:BZU588684 BPY588595:BPY588684 BGC588595:BGC588684 AWG588595:AWG588684 AMK588595:AMK588684 ACO588595:ACO588684 SS588595:SS588684 IW588595:IW588684 A588601:A588690 WVI523059:WVI523148 WLM523059:WLM523148 WBQ523059:WBQ523148 VRU523059:VRU523148 VHY523059:VHY523148 UYC523059:UYC523148 UOG523059:UOG523148 UEK523059:UEK523148 TUO523059:TUO523148 TKS523059:TKS523148 TAW523059:TAW523148 SRA523059:SRA523148 SHE523059:SHE523148 RXI523059:RXI523148 RNM523059:RNM523148 RDQ523059:RDQ523148 QTU523059:QTU523148 QJY523059:QJY523148 QAC523059:QAC523148 PQG523059:PQG523148 PGK523059:PGK523148 OWO523059:OWO523148 OMS523059:OMS523148 OCW523059:OCW523148 NTA523059:NTA523148 NJE523059:NJE523148 MZI523059:MZI523148 MPM523059:MPM523148 MFQ523059:MFQ523148 LVU523059:LVU523148 LLY523059:LLY523148 LCC523059:LCC523148 KSG523059:KSG523148 KIK523059:KIK523148 JYO523059:JYO523148 JOS523059:JOS523148 JEW523059:JEW523148 IVA523059:IVA523148 ILE523059:ILE523148 IBI523059:IBI523148 HRM523059:HRM523148 HHQ523059:HHQ523148 GXU523059:GXU523148 GNY523059:GNY523148 GEC523059:GEC523148 FUG523059:FUG523148 FKK523059:FKK523148 FAO523059:FAO523148 EQS523059:EQS523148 EGW523059:EGW523148 DXA523059:DXA523148 DNE523059:DNE523148 DDI523059:DDI523148 CTM523059:CTM523148 CJQ523059:CJQ523148 BZU523059:BZU523148 BPY523059:BPY523148 BGC523059:BGC523148 AWG523059:AWG523148 AMK523059:AMK523148 ACO523059:ACO523148 SS523059:SS523148 IW523059:IW523148 A523065:A523154 WVI457523:WVI457612 WLM457523:WLM457612 WBQ457523:WBQ457612 VRU457523:VRU457612 VHY457523:VHY457612 UYC457523:UYC457612 UOG457523:UOG457612 UEK457523:UEK457612 TUO457523:TUO457612 TKS457523:TKS457612 TAW457523:TAW457612 SRA457523:SRA457612 SHE457523:SHE457612 RXI457523:RXI457612 RNM457523:RNM457612 RDQ457523:RDQ457612 QTU457523:QTU457612 QJY457523:QJY457612 QAC457523:QAC457612 PQG457523:PQG457612 PGK457523:PGK457612 OWO457523:OWO457612 OMS457523:OMS457612 OCW457523:OCW457612 NTA457523:NTA457612 NJE457523:NJE457612 MZI457523:MZI457612 MPM457523:MPM457612 MFQ457523:MFQ457612 LVU457523:LVU457612 LLY457523:LLY457612 LCC457523:LCC457612 KSG457523:KSG457612 KIK457523:KIK457612 JYO457523:JYO457612 JOS457523:JOS457612 JEW457523:JEW457612 IVA457523:IVA457612 ILE457523:ILE457612 IBI457523:IBI457612 HRM457523:HRM457612 HHQ457523:HHQ457612 GXU457523:GXU457612 GNY457523:GNY457612 GEC457523:GEC457612 FUG457523:FUG457612 FKK457523:FKK457612 FAO457523:FAO457612 EQS457523:EQS457612 EGW457523:EGW457612 DXA457523:DXA457612 DNE457523:DNE457612 DDI457523:DDI457612 CTM457523:CTM457612 CJQ457523:CJQ457612 BZU457523:BZU457612 BPY457523:BPY457612 BGC457523:BGC457612 AWG457523:AWG457612 AMK457523:AMK457612 ACO457523:ACO457612 SS457523:SS457612 IW457523:IW457612 A457529:A457618 WVI391987:WVI392076 WLM391987:WLM392076 WBQ391987:WBQ392076 VRU391987:VRU392076 VHY391987:VHY392076 UYC391987:UYC392076 UOG391987:UOG392076 UEK391987:UEK392076 TUO391987:TUO392076 TKS391987:TKS392076 TAW391987:TAW392076 SRA391987:SRA392076 SHE391987:SHE392076 RXI391987:RXI392076 RNM391987:RNM392076 RDQ391987:RDQ392076 QTU391987:QTU392076 QJY391987:QJY392076 QAC391987:QAC392076 PQG391987:PQG392076 PGK391987:PGK392076 OWO391987:OWO392076 OMS391987:OMS392076 OCW391987:OCW392076 NTA391987:NTA392076 NJE391987:NJE392076 MZI391987:MZI392076 MPM391987:MPM392076 MFQ391987:MFQ392076 LVU391987:LVU392076 LLY391987:LLY392076 LCC391987:LCC392076 KSG391987:KSG392076 KIK391987:KIK392076 JYO391987:JYO392076 JOS391987:JOS392076 JEW391987:JEW392076 IVA391987:IVA392076 ILE391987:ILE392076 IBI391987:IBI392076 HRM391987:HRM392076 HHQ391987:HHQ392076 GXU391987:GXU392076 GNY391987:GNY392076 GEC391987:GEC392076 FUG391987:FUG392076 FKK391987:FKK392076 FAO391987:FAO392076 EQS391987:EQS392076 EGW391987:EGW392076 DXA391987:DXA392076 DNE391987:DNE392076 DDI391987:DDI392076 CTM391987:CTM392076 CJQ391987:CJQ392076 BZU391987:BZU392076 BPY391987:BPY392076 BGC391987:BGC392076 AWG391987:AWG392076 AMK391987:AMK392076 ACO391987:ACO392076 SS391987:SS392076 IW391987:IW392076 A391993:A392082 WVI326451:WVI326540 WLM326451:WLM326540 WBQ326451:WBQ326540 VRU326451:VRU326540 VHY326451:VHY326540 UYC326451:UYC326540 UOG326451:UOG326540 UEK326451:UEK326540 TUO326451:TUO326540 TKS326451:TKS326540 TAW326451:TAW326540 SRA326451:SRA326540 SHE326451:SHE326540 RXI326451:RXI326540 RNM326451:RNM326540 RDQ326451:RDQ326540 QTU326451:QTU326540 QJY326451:QJY326540 QAC326451:QAC326540 PQG326451:PQG326540 PGK326451:PGK326540 OWO326451:OWO326540 OMS326451:OMS326540 OCW326451:OCW326540 NTA326451:NTA326540 NJE326451:NJE326540 MZI326451:MZI326540 MPM326451:MPM326540 MFQ326451:MFQ326540 LVU326451:LVU326540 LLY326451:LLY326540 LCC326451:LCC326540 KSG326451:KSG326540 KIK326451:KIK326540 JYO326451:JYO326540 JOS326451:JOS326540 JEW326451:JEW326540 IVA326451:IVA326540 ILE326451:ILE326540 IBI326451:IBI326540 HRM326451:HRM326540 HHQ326451:HHQ326540 GXU326451:GXU326540 GNY326451:GNY326540 GEC326451:GEC326540 FUG326451:FUG326540 FKK326451:FKK326540 FAO326451:FAO326540 EQS326451:EQS326540 EGW326451:EGW326540 DXA326451:DXA326540 DNE326451:DNE326540 DDI326451:DDI326540 CTM326451:CTM326540 CJQ326451:CJQ326540 BZU326451:BZU326540 BPY326451:BPY326540 BGC326451:BGC326540 AWG326451:AWG326540 AMK326451:AMK326540 ACO326451:ACO326540 SS326451:SS326540 IW326451:IW326540 A326457:A326546 WVI260915:WVI261004 WLM260915:WLM261004 WBQ260915:WBQ261004 VRU260915:VRU261004 VHY260915:VHY261004 UYC260915:UYC261004 UOG260915:UOG261004 UEK260915:UEK261004 TUO260915:TUO261004 TKS260915:TKS261004 TAW260915:TAW261004 SRA260915:SRA261004 SHE260915:SHE261004 RXI260915:RXI261004 RNM260915:RNM261004 RDQ260915:RDQ261004 QTU260915:QTU261004 QJY260915:QJY261004 QAC260915:QAC261004 PQG260915:PQG261004 PGK260915:PGK261004 OWO260915:OWO261004 OMS260915:OMS261004 OCW260915:OCW261004 NTA260915:NTA261004 NJE260915:NJE261004 MZI260915:MZI261004 MPM260915:MPM261004 MFQ260915:MFQ261004 LVU260915:LVU261004 LLY260915:LLY261004 LCC260915:LCC261004 KSG260915:KSG261004 KIK260915:KIK261004 JYO260915:JYO261004 JOS260915:JOS261004 JEW260915:JEW261004 IVA260915:IVA261004 ILE260915:ILE261004 IBI260915:IBI261004 HRM260915:HRM261004 HHQ260915:HHQ261004 GXU260915:GXU261004 GNY260915:GNY261004 GEC260915:GEC261004 FUG260915:FUG261004 FKK260915:FKK261004 FAO260915:FAO261004 EQS260915:EQS261004 EGW260915:EGW261004 DXA260915:DXA261004 DNE260915:DNE261004 DDI260915:DDI261004 CTM260915:CTM261004 CJQ260915:CJQ261004 BZU260915:BZU261004 BPY260915:BPY261004 BGC260915:BGC261004 AWG260915:AWG261004 AMK260915:AMK261004 ACO260915:ACO261004 SS260915:SS261004 IW260915:IW261004 A260921:A261010 WVI195379:WVI195468 WLM195379:WLM195468 WBQ195379:WBQ195468 VRU195379:VRU195468 VHY195379:VHY195468 UYC195379:UYC195468 UOG195379:UOG195468 UEK195379:UEK195468 TUO195379:TUO195468 TKS195379:TKS195468 TAW195379:TAW195468 SRA195379:SRA195468 SHE195379:SHE195468 RXI195379:RXI195468 RNM195379:RNM195468 RDQ195379:RDQ195468 QTU195379:QTU195468 QJY195379:QJY195468 QAC195379:QAC195468 PQG195379:PQG195468 PGK195379:PGK195468 OWO195379:OWO195468 OMS195379:OMS195468 OCW195379:OCW195468 NTA195379:NTA195468 NJE195379:NJE195468 MZI195379:MZI195468 MPM195379:MPM195468 MFQ195379:MFQ195468 LVU195379:LVU195468 LLY195379:LLY195468 LCC195379:LCC195468 KSG195379:KSG195468 KIK195379:KIK195468 JYO195379:JYO195468 JOS195379:JOS195468 JEW195379:JEW195468 IVA195379:IVA195468 ILE195379:ILE195468 IBI195379:IBI195468 HRM195379:HRM195468 HHQ195379:HHQ195468 GXU195379:GXU195468 GNY195379:GNY195468 GEC195379:GEC195468 FUG195379:FUG195468 FKK195379:FKK195468 FAO195379:FAO195468 EQS195379:EQS195468 EGW195379:EGW195468 DXA195379:DXA195468 DNE195379:DNE195468 DDI195379:DDI195468 CTM195379:CTM195468 CJQ195379:CJQ195468 BZU195379:BZU195468 BPY195379:BPY195468 BGC195379:BGC195468 AWG195379:AWG195468 AMK195379:AMK195468 ACO195379:ACO195468 SS195379:SS195468 IW195379:IW195468 A195385:A195474 WVI129843:WVI129932 WLM129843:WLM129932 WBQ129843:WBQ129932 VRU129843:VRU129932 VHY129843:VHY129932 UYC129843:UYC129932 UOG129843:UOG129932 UEK129843:UEK129932 TUO129843:TUO129932 TKS129843:TKS129932 TAW129843:TAW129932 SRA129843:SRA129932 SHE129843:SHE129932 RXI129843:RXI129932 RNM129843:RNM129932 RDQ129843:RDQ129932 QTU129843:QTU129932 QJY129843:QJY129932 QAC129843:QAC129932 PQG129843:PQG129932 PGK129843:PGK129932 OWO129843:OWO129932 OMS129843:OMS129932 OCW129843:OCW129932 NTA129843:NTA129932 NJE129843:NJE129932 MZI129843:MZI129932 MPM129843:MPM129932 MFQ129843:MFQ129932 LVU129843:LVU129932 LLY129843:LLY129932 LCC129843:LCC129932 KSG129843:KSG129932 KIK129843:KIK129932 JYO129843:JYO129932 JOS129843:JOS129932 JEW129843:JEW129932 IVA129843:IVA129932 ILE129843:ILE129932 IBI129843:IBI129932 HRM129843:HRM129932 HHQ129843:HHQ129932 GXU129843:GXU129932 GNY129843:GNY129932 GEC129843:GEC129932 FUG129843:FUG129932 FKK129843:FKK129932 FAO129843:FAO129932 EQS129843:EQS129932 EGW129843:EGW129932 DXA129843:DXA129932 DNE129843:DNE129932 DDI129843:DDI129932 CTM129843:CTM129932 CJQ129843:CJQ129932 BZU129843:BZU129932 BPY129843:BPY129932 BGC129843:BGC129932 AWG129843:AWG129932 AMK129843:AMK129932 ACO129843:ACO129932 SS129843:SS129932 IW129843:IW129932 A129849:A129938 WVI64307:WVI64396 WLM64307:WLM64396 WBQ64307:WBQ64396 VRU64307:VRU64396 VHY64307:VHY64396 UYC64307:UYC64396 UOG64307:UOG64396 UEK64307:UEK64396 TUO64307:TUO64396 TKS64307:TKS64396 TAW64307:TAW64396 SRA64307:SRA64396 SHE64307:SHE64396 RXI64307:RXI64396 RNM64307:RNM64396 RDQ64307:RDQ64396 QTU64307:QTU64396 QJY64307:QJY64396 QAC64307:QAC64396 PQG64307:PQG64396 PGK64307:PGK64396 OWO64307:OWO64396 OMS64307:OMS64396 OCW64307:OCW64396 NTA64307:NTA64396 NJE64307:NJE64396 MZI64307:MZI64396 MPM64307:MPM64396 MFQ64307:MFQ64396 LVU64307:LVU64396 LLY64307:LLY64396 LCC64307:LCC64396 KSG64307:KSG64396 KIK64307:KIK64396 JYO64307:JYO64396 JOS64307:JOS64396 JEW64307:JEW64396 IVA64307:IVA64396 ILE64307:ILE64396 IBI64307:IBI64396 HRM64307:HRM64396 HHQ64307:HHQ64396 GXU64307:GXU64396 GNY64307:GNY64396 GEC64307:GEC64396 FUG64307:FUG64396 FKK64307:FKK64396 FAO64307:FAO64396 EQS64307:EQS64396 EGW64307:EGW64396 DXA64307:DXA64396 DNE64307:DNE64396 DDI64307:DDI64396 CTM64307:CTM64396 CJQ64307:CJQ64396 BZU64307:BZU64396 BPY64307:BPY64396 BGC64307:BGC64396 AWG64307:AWG64396 AMK64307:AMK64396 ACO64307:ACO64396 SS64307:SS64396 IW64307:IW64396 A64313:A64402 WVI2:WVI79 WLM2:WLM79 WBQ2:WBQ79 VRU2:VRU79 VHY2:VHY79 UYC2:UYC79 UOG2:UOG79 UEK2:UEK79 TUO2:TUO79 TKS2:TKS79 TAW2:TAW79 SRA2:SRA79 SHE2:SHE79 RXI2:RXI79 RNM2:RNM79 RDQ2:RDQ79 QTU2:QTU79 QJY2:QJY79 QAC2:QAC79 PQG2:PQG79 PGK2:PGK79 OWO2:OWO79 OMS2:OMS79 OCW2:OCW79 NTA2:NTA79 NJE2:NJE79 MZI2:MZI79 MPM2:MPM79 MFQ2:MFQ79 LVU2:LVU79 LLY2:LLY79 LCC2:LCC79 KSG2:KSG79 KIK2:KIK79 JYO2:JYO79 JOS2:JOS79 JEW2:JEW79 IVA2:IVA79 ILE2:ILE79 IBI2:IBI79 HRM2:HRM79 HHQ2:HHQ79 GXU2:GXU79 GNY2:GNY79 GEC2:GEC79 FUG2:FUG79 FKK2:FKK79 FAO2:FAO79 EQS2:EQS79 EGW2:EGW79 DXA2:DXA79 DNE2:DNE79 DDI2:DDI79 CTM2:CTM79 CJQ2:CJQ79 BZU2:BZU79 BPY2:BPY79 BGC2:BGC79 AWG2:AWG79 AMK2:AMK79 ACO2:ACO79 SS2:SS79 IW2:IW79" xr:uid="{AD0ADADA-43C3-4CB1-8A39-5359E399611A}">
      <formula1>$AE$2:$AE$22</formula1>
    </dataValidation>
    <dataValidation type="list" allowBlank="1" showInputMessage="1" showErrorMessage="1" sqref="WVO981811:WVO981900 WLS981811:WLS981900 WBW981811:WBW981900 VSA981811:VSA981900 VIE981811:VIE981900 UYI981811:UYI981900 UOM981811:UOM981900 UEQ981811:UEQ981900 TUU981811:TUU981900 TKY981811:TKY981900 TBC981811:TBC981900 SRG981811:SRG981900 SHK981811:SHK981900 RXO981811:RXO981900 RNS981811:RNS981900 RDW981811:RDW981900 QUA981811:QUA981900 QKE981811:QKE981900 QAI981811:QAI981900 PQM981811:PQM981900 PGQ981811:PGQ981900 OWU981811:OWU981900 OMY981811:OMY981900 ODC981811:ODC981900 NTG981811:NTG981900 NJK981811:NJK981900 MZO981811:MZO981900 MPS981811:MPS981900 MFW981811:MFW981900 LWA981811:LWA981900 LME981811:LME981900 LCI981811:LCI981900 KSM981811:KSM981900 KIQ981811:KIQ981900 JYU981811:JYU981900 JOY981811:JOY981900 JFC981811:JFC981900 IVG981811:IVG981900 ILK981811:ILK981900 IBO981811:IBO981900 HRS981811:HRS981900 HHW981811:HHW981900 GYA981811:GYA981900 GOE981811:GOE981900 GEI981811:GEI981900 FUM981811:FUM981900 FKQ981811:FKQ981900 FAU981811:FAU981900 EQY981811:EQY981900 EHC981811:EHC981900 DXG981811:DXG981900 DNK981811:DNK981900 DDO981811:DDO981900 CTS981811:CTS981900 CJW981811:CJW981900 CAA981811:CAA981900 BQE981811:BQE981900 BGI981811:BGI981900 AWM981811:AWM981900 AMQ981811:AMQ981900 ACU981811:ACU981900 SY981811:SY981900 JC981811:JC981900 G981820:G981909 WVO916275:WVO916364 WLS916275:WLS916364 WBW916275:WBW916364 VSA916275:VSA916364 VIE916275:VIE916364 UYI916275:UYI916364 UOM916275:UOM916364 UEQ916275:UEQ916364 TUU916275:TUU916364 TKY916275:TKY916364 TBC916275:TBC916364 SRG916275:SRG916364 SHK916275:SHK916364 RXO916275:RXO916364 RNS916275:RNS916364 RDW916275:RDW916364 QUA916275:QUA916364 QKE916275:QKE916364 QAI916275:QAI916364 PQM916275:PQM916364 PGQ916275:PGQ916364 OWU916275:OWU916364 OMY916275:OMY916364 ODC916275:ODC916364 NTG916275:NTG916364 NJK916275:NJK916364 MZO916275:MZO916364 MPS916275:MPS916364 MFW916275:MFW916364 LWA916275:LWA916364 LME916275:LME916364 LCI916275:LCI916364 KSM916275:KSM916364 KIQ916275:KIQ916364 JYU916275:JYU916364 JOY916275:JOY916364 JFC916275:JFC916364 IVG916275:IVG916364 ILK916275:ILK916364 IBO916275:IBO916364 HRS916275:HRS916364 HHW916275:HHW916364 GYA916275:GYA916364 GOE916275:GOE916364 GEI916275:GEI916364 FUM916275:FUM916364 FKQ916275:FKQ916364 FAU916275:FAU916364 EQY916275:EQY916364 EHC916275:EHC916364 DXG916275:DXG916364 DNK916275:DNK916364 DDO916275:DDO916364 CTS916275:CTS916364 CJW916275:CJW916364 CAA916275:CAA916364 BQE916275:BQE916364 BGI916275:BGI916364 AWM916275:AWM916364 AMQ916275:AMQ916364 ACU916275:ACU916364 SY916275:SY916364 JC916275:JC916364 G916284:G916373 WVO850739:WVO850828 WLS850739:WLS850828 WBW850739:WBW850828 VSA850739:VSA850828 VIE850739:VIE850828 UYI850739:UYI850828 UOM850739:UOM850828 UEQ850739:UEQ850828 TUU850739:TUU850828 TKY850739:TKY850828 TBC850739:TBC850828 SRG850739:SRG850828 SHK850739:SHK850828 RXO850739:RXO850828 RNS850739:RNS850828 RDW850739:RDW850828 QUA850739:QUA850828 QKE850739:QKE850828 QAI850739:QAI850828 PQM850739:PQM850828 PGQ850739:PGQ850828 OWU850739:OWU850828 OMY850739:OMY850828 ODC850739:ODC850828 NTG850739:NTG850828 NJK850739:NJK850828 MZO850739:MZO850828 MPS850739:MPS850828 MFW850739:MFW850828 LWA850739:LWA850828 LME850739:LME850828 LCI850739:LCI850828 KSM850739:KSM850828 KIQ850739:KIQ850828 JYU850739:JYU850828 JOY850739:JOY850828 JFC850739:JFC850828 IVG850739:IVG850828 ILK850739:ILK850828 IBO850739:IBO850828 HRS850739:HRS850828 HHW850739:HHW850828 GYA850739:GYA850828 GOE850739:GOE850828 GEI850739:GEI850828 FUM850739:FUM850828 FKQ850739:FKQ850828 FAU850739:FAU850828 EQY850739:EQY850828 EHC850739:EHC850828 DXG850739:DXG850828 DNK850739:DNK850828 DDO850739:DDO850828 CTS850739:CTS850828 CJW850739:CJW850828 CAA850739:CAA850828 BQE850739:BQE850828 BGI850739:BGI850828 AWM850739:AWM850828 AMQ850739:AMQ850828 ACU850739:ACU850828 SY850739:SY850828 JC850739:JC850828 G850748:G850837 WVO785203:WVO785292 WLS785203:WLS785292 WBW785203:WBW785292 VSA785203:VSA785292 VIE785203:VIE785292 UYI785203:UYI785292 UOM785203:UOM785292 UEQ785203:UEQ785292 TUU785203:TUU785292 TKY785203:TKY785292 TBC785203:TBC785292 SRG785203:SRG785292 SHK785203:SHK785292 RXO785203:RXO785292 RNS785203:RNS785292 RDW785203:RDW785292 QUA785203:QUA785292 QKE785203:QKE785292 QAI785203:QAI785292 PQM785203:PQM785292 PGQ785203:PGQ785292 OWU785203:OWU785292 OMY785203:OMY785292 ODC785203:ODC785292 NTG785203:NTG785292 NJK785203:NJK785292 MZO785203:MZO785292 MPS785203:MPS785292 MFW785203:MFW785292 LWA785203:LWA785292 LME785203:LME785292 LCI785203:LCI785292 KSM785203:KSM785292 KIQ785203:KIQ785292 JYU785203:JYU785292 JOY785203:JOY785292 JFC785203:JFC785292 IVG785203:IVG785292 ILK785203:ILK785292 IBO785203:IBO785292 HRS785203:HRS785292 HHW785203:HHW785292 GYA785203:GYA785292 GOE785203:GOE785292 GEI785203:GEI785292 FUM785203:FUM785292 FKQ785203:FKQ785292 FAU785203:FAU785292 EQY785203:EQY785292 EHC785203:EHC785292 DXG785203:DXG785292 DNK785203:DNK785292 DDO785203:DDO785292 CTS785203:CTS785292 CJW785203:CJW785292 CAA785203:CAA785292 BQE785203:BQE785292 BGI785203:BGI785292 AWM785203:AWM785292 AMQ785203:AMQ785292 ACU785203:ACU785292 SY785203:SY785292 JC785203:JC785292 G785212:G785301 WVO719667:WVO719756 WLS719667:WLS719756 WBW719667:WBW719756 VSA719667:VSA719756 VIE719667:VIE719756 UYI719667:UYI719756 UOM719667:UOM719756 UEQ719667:UEQ719756 TUU719667:TUU719756 TKY719667:TKY719756 TBC719667:TBC719756 SRG719667:SRG719756 SHK719667:SHK719756 RXO719667:RXO719756 RNS719667:RNS719756 RDW719667:RDW719756 QUA719667:QUA719756 QKE719667:QKE719756 QAI719667:QAI719756 PQM719667:PQM719756 PGQ719667:PGQ719756 OWU719667:OWU719756 OMY719667:OMY719756 ODC719667:ODC719756 NTG719667:NTG719756 NJK719667:NJK719756 MZO719667:MZO719756 MPS719667:MPS719756 MFW719667:MFW719756 LWA719667:LWA719756 LME719667:LME719756 LCI719667:LCI719756 KSM719667:KSM719756 KIQ719667:KIQ719756 JYU719667:JYU719756 JOY719667:JOY719756 JFC719667:JFC719756 IVG719667:IVG719756 ILK719667:ILK719756 IBO719667:IBO719756 HRS719667:HRS719756 HHW719667:HHW719756 GYA719667:GYA719756 GOE719667:GOE719756 GEI719667:GEI719756 FUM719667:FUM719756 FKQ719667:FKQ719756 FAU719667:FAU719756 EQY719667:EQY719756 EHC719667:EHC719756 DXG719667:DXG719756 DNK719667:DNK719756 DDO719667:DDO719756 CTS719667:CTS719756 CJW719667:CJW719756 CAA719667:CAA719756 BQE719667:BQE719756 BGI719667:BGI719756 AWM719667:AWM719756 AMQ719667:AMQ719756 ACU719667:ACU719756 SY719667:SY719756 JC719667:JC719756 G719676:G719765 WVO654131:WVO654220 WLS654131:WLS654220 WBW654131:WBW654220 VSA654131:VSA654220 VIE654131:VIE654220 UYI654131:UYI654220 UOM654131:UOM654220 UEQ654131:UEQ654220 TUU654131:TUU654220 TKY654131:TKY654220 TBC654131:TBC654220 SRG654131:SRG654220 SHK654131:SHK654220 RXO654131:RXO654220 RNS654131:RNS654220 RDW654131:RDW654220 QUA654131:QUA654220 QKE654131:QKE654220 QAI654131:QAI654220 PQM654131:PQM654220 PGQ654131:PGQ654220 OWU654131:OWU654220 OMY654131:OMY654220 ODC654131:ODC654220 NTG654131:NTG654220 NJK654131:NJK654220 MZO654131:MZO654220 MPS654131:MPS654220 MFW654131:MFW654220 LWA654131:LWA654220 LME654131:LME654220 LCI654131:LCI654220 KSM654131:KSM654220 KIQ654131:KIQ654220 JYU654131:JYU654220 JOY654131:JOY654220 JFC654131:JFC654220 IVG654131:IVG654220 ILK654131:ILK654220 IBO654131:IBO654220 HRS654131:HRS654220 HHW654131:HHW654220 GYA654131:GYA654220 GOE654131:GOE654220 GEI654131:GEI654220 FUM654131:FUM654220 FKQ654131:FKQ654220 FAU654131:FAU654220 EQY654131:EQY654220 EHC654131:EHC654220 DXG654131:DXG654220 DNK654131:DNK654220 DDO654131:DDO654220 CTS654131:CTS654220 CJW654131:CJW654220 CAA654131:CAA654220 BQE654131:BQE654220 BGI654131:BGI654220 AWM654131:AWM654220 AMQ654131:AMQ654220 ACU654131:ACU654220 SY654131:SY654220 JC654131:JC654220 G654140:G654229 WVO588595:WVO588684 WLS588595:WLS588684 WBW588595:WBW588684 VSA588595:VSA588684 VIE588595:VIE588684 UYI588595:UYI588684 UOM588595:UOM588684 UEQ588595:UEQ588684 TUU588595:TUU588684 TKY588595:TKY588684 TBC588595:TBC588684 SRG588595:SRG588684 SHK588595:SHK588684 RXO588595:RXO588684 RNS588595:RNS588684 RDW588595:RDW588684 QUA588595:QUA588684 QKE588595:QKE588684 QAI588595:QAI588684 PQM588595:PQM588684 PGQ588595:PGQ588684 OWU588595:OWU588684 OMY588595:OMY588684 ODC588595:ODC588684 NTG588595:NTG588684 NJK588595:NJK588684 MZO588595:MZO588684 MPS588595:MPS588684 MFW588595:MFW588684 LWA588595:LWA588684 LME588595:LME588684 LCI588595:LCI588684 KSM588595:KSM588684 KIQ588595:KIQ588684 JYU588595:JYU588684 JOY588595:JOY588684 JFC588595:JFC588684 IVG588595:IVG588684 ILK588595:ILK588684 IBO588595:IBO588684 HRS588595:HRS588684 HHW588595:HHW588684 GYA588595:GYA588684 GOE588595:GOE588684 GEI588595:GEI588684 FUM588595:FUM588684 FKQ588595:FKQ588684 FAU588595:FAU588684 EQY588595:EQY588684 EHC588595:EHC588684 DXG588595:DXG588684 DNK588595:DNK588684 DDO588595:DDO588684 CTS588595:CTS588684 CJW588595:CJW588684 CAA588595:CAA588684 BQE588595:BQE588684 BGI588595:BGI588684 AWM588595:AWM588684 AMQ588595:AMQ588684 ACU588595:ACU588684 SY588595:SY588684 JC588595:JC588684 G588604:G588693 WVO523059:WVO523148 WLS523059:WLS523148 WBW523059:WBW523148 VSA523059:VSA523148 VIE523059:VIE523148 UYI523059:UYI523148 UOM523059:UOM523148 UEQ523059:UEQ523148 TUU523059:TUU523148 TKY523059:TKY523148 TBC523059:TBC523148 SRG523059:SRG523148 SHK523059:SHK523148 RXO523059:RXO523148 RNS523059:RNS523148 RDW523059:RDW523148 QUA523059:QUA523148 QKE523059:QKE523148 QAI523059:QAI523148 PQM523059:PQM523148 PGQ523059:PGQ523148 OWU523059:OWU523148 OMY523059:OMY523148 ODC523059:ODC523148 NTG523059:NTG523148 NJK523059:NJK523148 MZO523059:MZO523148 MPS523059:MPS523148 MFW523059:MFW523148 LWA523059:LWA523148 LME523059:LME523148 LCI523059:LCI523148 KSM523059:KSM523148 KIQ523059:KIQ523148 JYU523059:JYU523148 JOY523059:JOY523148 JFC523059:JFC523148 IVG523059:IVG523148 ILK523059:ILK523148 IBO523059:IBO523148 HRS523059:HRS523148 HHW523059:HHW523148 GYA523059:GYA523148 GOE523059:GOE523148 GEI523059:GEI523148 FUM523059:FUM523148 FKQ523059:FKQ523148 FAU523059:FAU523148 EQY523059:EQY523148 EHC523059:EHC523148 DXG523059:DXG523148 DNK523059:DNK523148 DDO523059:DDO523148 CTS523059:CTS523148 CJW523059:CJW523148 CAA523059:CAA523148 BQE523059:BQE523148 BGI523059:BGI523148 AWM523059:AWM523148 AMQ523059:AMQ523148 ACU523059:ACU523148 SY523059:SY523148 JC523059:JC523148 G523068:G523157 WVO457523:WVO457612 WLS457523:WLS457612 WBW457523:WBW457612 VSA457523:VSA457612 VIE457523:VIE457612 UYI457523:UYI457612 UOM457523:UOM457612 UEQ457523:UEQ457612 TUU457523:TUU457612 TKY457523:TKY457612 TBC457523:TBC457612 SRG457523:SRG457612 SHK457523:SHK457612 RXO457523:RXO457612 RNS457523:RNS457612 RDW457523:RDW457612 QUA457523:QUA457612 QKE457523:QKE457612 QAI457523:QAI457612 PQM457523:PQM457612 PGQ457523:PGQ457612 OWU457523:OWU457612 OMY457523:OMY457612 ODC457523:ODC457612 NTG457523:NTG457612 NJK457523:NJK457612 MZO457523:MZO457612 MPS457523:MPS457612 MFW457523:MFW457612 LWA457523:LWA457612 LME457523:LME457612 LCI457523:LCI457612 KSM457523:KSM457612 KIQ457523:KIQ457612 JYU457523:JYU457612 JOY457523:JOY457612 JFC457523:JFC457612 IVG457523:IVG457612 ILK457523:ILK457612 IBO457523:IBO457612 HRS457523:HRS457612 HHW457523:HHW457612 GYA457523:GYA457612 GOE457523:GOE457612 GEI457523:GEI457612 FUM457523:FUM457612 FKQ457523:FKQ457612 FAU457523:FAU457612 EQY457523:EQY457612 EHC457523:EHC457612 DXG457523:DXG457612 DNK457523:DNK457612 DDO457523:DDO457612 CTS457523:CTS457612 CJW457523:CJW457612 CAA457523:CAA457612 BQE457523:BQE457612 BGI457523:BGI457612 AWM457523:AWM457612 AMQ457523:AMQ457612 ACU457523:ACU457612 SY457523:SY457612 JC457523:JC457612 G457532:G457621 WVO391987:WVO392076 WLS391987:WLS392076 WBW391987:WBW392076 VSA391987:VSA392076 VIE391987:VIE392076 UYI391987:UYI392076 UOM391987:UOM392076 UEQ391987:UEQ392076 TUU391987:TUU392076 TKY391987:TKY392076 TBC391987:TBC392076 SRG391987:SRG392076 SHK391987:SHK392076 RXO391987:RXO392076 RNS391987:RNS392076 RDW391987:RDW392076 QUA391987:QUA392076 QKE391987:QKE392076 QAI391987:QAI392076 PQM391987:PQM392076 PGQ391987:PGQ392076 OWU391987:OWU392076 OMY391987:OMY392076 ODC391987:ODC392076 NTG391987:NTG392076 NJK391987:NJK392076 MZO391987:MZO392076 MPS391987:MPS392076 MFW391987:MFW392076 LWA391987:LWA392076 LME391987:LME392076 LCI391987:LCI392076 KSM391987:KSM392076 KIQ391987:KIQ392076 JYU391987:JYU392076 JOY391987:JOY392076 JFC391987:JFC392076 IVG391987:IVG392076 ILK391987:ILK392076 IBO391987:IBO392076 HRS391987:HRS392076 HHW391987:HHW392076 GYA391987:GYA392076 GOE391987:GOE392076 GEI391987:GEI392076 FUM391987:FUM392076 FKQ391987:FKQ392076 FAU391987:FAU392076 EQY391987:EQY392076 EHC391987:EHC392076 DXG391987:DXG392076 DNK391987:DNK392076 DDO391987:DDO392076 CTS391987:CTS392076 CJW391987:CJW392076 CAA391987:CAA392076 BQE391987:BQE392076 BGI391987:BGI392076 AWM391987:AWM392076 AMQ391987:AMQ392076 ACU391987:ACU392076 SY391987:SY392076 JC391987:JC392076 G391996:G392085 WVO326451:WVO326540 WLS326451:WLS326540 WBW326451:WBW326540 VSA326451:VSA326540 VIE326451:VIE326540 UYI326451:UYI326540 UOM326451:UOM326540 UEQ326451:UEQ326540 TUU326451:TUU326540 TKY326451:TKY326540 TBC326451:TBC326540 SRG326451:SRG326540 SHK326451:SHK326540 RXO326451:RXO326540 RNS326451:RNS326540 RDW326451:RDW326540 QUA326451:QUA326540 QKE326451:QKE326540 QAI326451:QAI326540 PQM326451:PQM326540 PGQ326451:PGQ326540 OWU326451:OWU326540 OMY326451:OMY326540 ODC326451:ODC326540 NTG326451:NTG326540 NJK326451:NJK326540 MZO326451:MZO326540 MPS326451:MPS326540 MFW326451:MFW326540 LWA326451:LWA326540 LME326451:LME326540 LCI326451:LCI326540 KSM326451:KSM326540 KIQ326451:KIQ326540 JYU326451:JYU326540 JOY326451:JOY326540 JFC326451:JFC326540 IVG326451:IVG326540 ILK326451:ILK326540 IBO326451:IBO326540 HRS326451:HRS326540 HHW326451:HHW326540 GYA326451:GYA326540 GOE326451:GOE326540 GEI326451:GEI326540 FUM326451:FUM326540 FKQ326451:FKQ326540 FAU326451:FAU326540 EQY326451:EQY326540 EHC326451:EHC326540 DXG326451:DXG326540 DNK326451:DNK326540 DDO326451:DDO326540 CTS326451:CTS326540 CJW326451:CJW326540 CAA326451:CAA326540 BQE326451:BQE326540 BGI326451:BGI326540 AWM326451:AWM326540 AMQ326451:AMQ326540 ACU326451:ACU326540 SY326451:SY326540 JC326451:JC326540 G326460:G326549 WVO260915:WVO261004 WLS260915:WLS261004 WBW260915:WBW261004 VSA260915:VSA261004 VIE260915:VIE261004 UYI260915:UYI261004 UOM260915:UOM261004 UEQ260915:UEQ261004 TUU260915:TUU261004 TKY260915:TKY261004 TBC260915:TBC261004 SRG260915:SRG261004 SHK260915:SHK261004 RXO260915:RXO261004 RNS260915:RNS261004 RDW260915:RDW261004 QUA260915:QUA261004 QKE260915:QKE261004 QAI260915:QAI261004 PQM260915:PQM261004 PGQ260915:PGQ261004 OWU260915:OWU261004 OMY260915:OMY261004 ODC260915:ODC261004 NTG260915:NTG261004 NJK260915:NJK261004 MZO260915:MZO261004 MPS260915:MPS261004 MFW260915:MFW261004 LWA260915:LWA261004 LME260915:LME261004 LCI260915:LCI261004 KSM260915:KSM261004 KIQ260915:KIQ261004 JYU260915:JYU261004 JOY260915:JOY261004 JFC260915:JFC261004 IVG260915:IVG261004 ILK260915:ILK261004 IBO260915:IBO261004 HRS260915:HRS261004 HHW260915:HHW261004 GYA260915:GYA261004 GOE260915:GOE261004 GEI260915:GEI261004 FUM260915:FUM261004 FKQ260915:FKQ261004 FAU260915:FAU261004 EQY260915:EQY261004 EHC260915:EHC261004 DXG260915:DXG261004 DNK260915:DNK261004 DDO260915:DDO261004 CTS260915:CTS261004 CJW260915:CJW261004 CAA260915:CAA261004 BQE260915:BQE261004 BGI260915:BGI261004 AWM260915:AWM261004 AMQ260915:AMQ261004 ACU260915:ACU261004 SY260915:SY261004 JC260915:JC261004 G260924:G261013 WVO195379:WVO195468 WLS195379:WLS195468 WBW195379:WBW195468 VSA195379:VSA195468 VIE195379:VIE195468 UYI195379:UYI195468 UOM195379:UOM195468 UEQ195379:UEQ195468 TUU195379:TUU195468 TKY195379:TKY195468 TBC195379:TBC195468 SRG195379:SRG195468 SHK195379:SHK195468 RXO195379:RXO195468 RNS195379:RNS195468 RDW195379:RDW195468 QUA195379:QUA195468 QKE195379:QKE195468 QAI195379:QAI195468 PQM195379:PQM195468 PGQ195379:PGQ195468 OWU195379:OWU195468 OMY195379:OMY195468 ODC195379:ODC195468 NTG195379:NTG195468 NJK195379:NJK195468 MZO195379:MZO195468 MPS195379:MPS195468 MFW195379:MFW195468 LWA195379:LWA195468 LME195379:LME195468 LCI195379:LCI195468 KSM195379:KSM195468 KIQ195379:KIQ195468 JYU195379:JYU195468 JOY195379:JOY195468 JFC195379:JFC195468 IVG195379:IVG195468 ILK195379:ILK195468 IBO195379:IBO195468 HRS195379:HRS195468 HHW195379:HHW195468 GYA195379:GYA195468 GOE195379:GOE195468 GEI195379:GEI195468 FUM195379:FUM195468 FKQ195379:FKQ195468 FAU195379:FAU195468 EQY195379:EQY195468 EHC195379:EHC195468 DXG195379:DXG195468 DNK195379:DNK195468 DDO195379:DDO195468 CTS195379:CTS195468 CJW195379:CJW195468 CAA195379:CAA195468 BQE195379:BQE195468 BGI195379:BGI195468 AWM195379:AWM195468 AMQ195379:AMQ195468 ACU195379:ACU195468 SY195379:SY195468 JC195379:JC195468 G195388:G195477 WVO129843:WVO129932 WLS129843:WLS129932 WBW129843:WBW129932 VSA129843:VSA129932 VIE129843:VIE129932 UYI129843:UYI129932 UOM129843:UOM129932 UEQ129843:UEQ129932 TUU129843:TUU129932 TKY129843:TKY129932 TBC129843:TBC129932 SRG129843:SRG129932 SHK129843:SHK129932 RXO129843:RXO129932 RNS129843:RNS129932 RDW129843:RDW129932 QUA129843:QUA129932 QKE129843:QKE129932 QAI129843:QAI129932 PQM129843:PQM129932 PGQ129843:PGQ129932 OWU129843:OWU129932 OMY129843:OMY129932 ODC129843:ODC129932 NTG129843:NTG129932 NJK129843:NJK129932 MZO129843:MZO129932 MPS129843:MPS129932 MFW129843:MFW129932 LWA129843:LWA129932 LME129843:LME129932 LCI129843:LCI129932 KSM129843:KSM129932 KIQ129843:KIQ129932 JYU129843:JYU129932 JOY129843:JOY129932 JFC129843:JFC129932 IVG129843:IVG129932 ILK129843:ILK129932 IBO129843:IBO129932 HRS129843:HRS129932 HHW129843:HHW129932 GYA129843:GYA129932 GOE129843:GOE129932 GEI129843:GEI129932 FUM129843:FUM129932 FKQ129843:FKQ129932 FAU129843:FAU129932 EQY129843:EQY129932 EHC129843:EHC129932 DXG129843:DXG129932 DNK129843:DNK129932 DDO129843:DDO129932 CTS129843:CTS129932 CJW129843:CJW129932 CAA129843:CAA129932 BQE129843:BQE129932 BGI129843:BGI129932 AWM129843:AWM129932 AMQ129843:AMQ129932 ACU129843:ACU129932 SY129843:SY129932 JC129843:JC129932 G129852:G129941 WVO64307:WVO64396 WLS64307:WLS64396 WBW64307:WBW64396 VSA64307:VSA64396 VIE64307:VIE64396 UYI64307:UYI64396 UOM64307:UOM64396 UEQ64307:UEQ64396 TUU64307:TUU64396 TKY64307:TKY64396 TBC64307:TBC64396 SRG64307:SRG64396 SHK64307:SHK64396 RXO64307:RXO64396 RNS64307:RNS64396 RDW64307:RDW64396 QUA64307:QUA64396 QKE64307:QKE64396 QAI64307:QAI64396 PQM64307:PQM64396 PGQ64307:PGQ64396 OWU64307:OWU64396 OMY64307:OMY64396 ODC64307:ODC64396 NTG64307:NTG64396 NJK64307:NJK64396 MZO64307:MZO64396 MPS64307:MPS64396 MFW64307:MFW64396 LWA64307:LWA64396 LME64307:LME64396 LCI64307:LCI64396 KSM64307:KSM64396 KIQ64307:KIQ64396 JYU64307:JYU64396 JOY64307:JOY64396 JFC64307:JFC64396 IVG64307:IVG64396 ILK64307:ILK64396 IBO64307:IBO64396 HRS64307:HRS64396 HHW64307:HHW64396 GYA64307:GYA64396 GOE64307:GOE64396 GEI64307:GEI64396 FUM64307:FUM64396 FKQ64307:FKQ64396 FAU64307:FAU64396 EQY64307:EQY64396 EHC64307:EHC64396 DXG64307:DXG64396 DNK64307:DNK64396 DDO64307:DDO64396 CTS64307:CTS64396 CJW64307:CJW64396 CAA64307:CAA64396 BQE64307:BQE64396 BGI64307:BGI64396 AWM64307:AWM64396 AMQ64307:AMQ64396 ACU64307:ACU64396 SY64307:SY64396 JC64307:JC64396 G64316:G64405 G102:G506 G2:G100 SY2:SY79 ACU2:ACU79 AMQ2:AMQ79 AWM2:AWM79 BGI2:BGI79 BQE2:BQE79 CAA2:CAA79 CJW2:CJW79 CTS2:CTS79 DDO2:DDO79 DNK2:DNK79 DXG2:DXG79 EHC2:EHC79 EQY2:EQY79 FAU2:FAU79 FKQ2:FKQ79 FUM2:FUM79 GEI2:GEI79 GOE2:GOE79 GYA2:GYA79 HHW2:HHW79 HRS2:HRS79 IBO2:IBO79 ILK2:ILK79 IVG2:IVG79 JFC2:JFC79 JOY2:JOY79 JYU2:JYU79 KIQ2:KIQ79 KSM2:KSM79 LCI2:LCI79 LME2:LME79 LWA2:LWA79 MFW2:MFW79 MPS2:MPS79 MZO2:MZO79 NJK2:NJK79 NTG2:NTG79 ODC2:ODC79 OMY2:OMY79 OWU2:OWU79 PGQ2:PGQ79 PQM2:PQM79 QAI2:QAI79 QKE2:QKE79 QUA2:QUA79 RDW2:RDW79 RNS2:RNS79 RXO2:RXO79 SHK2:SHK79 SRG2:SRG79 TBC2:TBC79 TKY2:TKY79 TUU2:TUU79 UEQ2:UEQ79 UOM2:UOM79 UYI2:UYI79 VIE2:VIE79 VSA2:VSA79 WBW2:WBW79 WLS2:WLS79 WVO2:WVO79 JC2:JC79" xr:uid="{CFE279A8-9421-4357-BAD6-25325EC20B59}">
      <formula1>$AJ$2:$AJ$4</formula1>
    </dataValidation>
    <dataValidation type="list" allowBlank="1" showInputMessage="1" showErrorMessage="1" sqref="WVP981811:WVP981900 WLT981811:WLT981900 WBX981811:WBX981900 VSB981811:VSB981900 VIF981811:VIF981900 UYJ981811:UYJ981900 UON981811:UON981900 UER981811:UER981900 TUV981811:TUV981900 TKZ981811:TKZ981900 TBD981811:TBD981900 SRH981811:SRH981900 SHL981811:SHL981900 RXP981811:RXP981900 RNT981811:RNT981900 RDX981811:RDX981900 QUB981811:QUB981900 QKF981811:QKF981900 QAJ981811:QAJ981900 PQN981811:PQN981900 PGR981811:PGR981900 OWV981811:OWV981900 OMZ981811:OMZ981900 ODD981811:ODD981900 NTH981811:NTH981900 NJL981811:NJL981900 MZP981811:MZP981900 MPT981811:MPT981900 MFX981811:MFX981900 LWB981811:LWB981900 LMF981811:LMF981900 LCJ981811:LCJ981900 KSN981811:KSN981900 KIR981811:KIR981900 JYV981811:JYV981900 JOZ981811:JOZ981900 JFD981811:JFD981900 IVH981811:IVH981900 ILL981811:ILL981900 IBP981811:IBP981900 HRT981811:HRT981900 HHX981811:HHX981900 GYB981811:GYB981900 GOF981811:GOF981900 GEJ981811:GEJ981900 FUN981811:FUN981900 FKR981811:FKR981900 FAV981811:FAV981900 EQZ981811:EQZ981900 EHD981811:EHD981900 DXH981811:DXH981900 DNL981811:DNL981900 DDP981811:DDP981900 CTT981811:CTT981900 CJX981811:CJX981900 CAB981811:CAB981900 BQF981811:BQF981900 BGJ981811:BGJ981900 AWN981811:AWN981900 AMR981811:AMR981900 ACV981811:ACV981900 SZ981811:SZ981900 JD981811:JD981900 H981832:H981921 WVP916275:WVP916364 WLT916275:WLT916364 WBX916275:WBX916364 VSB916275:VSB916364 VIF916275:VIF916364 UYJ916275:UYJ916364 UON916275:UON916364 UER916275:UER916364 TUV916275:TUV916364 TKZ916275:TKZ916364 TBD916275:TBD916364 SRH916275:SRH916364 SHL916275:SHL916364 RXP916275:RXP916364 RNT916275:RNT916364 RDX916275:RDX916364 QUB916275:QUB916364 QKF916275:QKF916364 QAJ916275:QAJ916364 PQN916275:PQN916364 PGR916275:PGR916364 OWV916275:OWV916364 OMZ916275:OMZ916364 ODD916275:ODD916364 NTH916275:NTH916364 NJL916275:NJL916364 MZP916275:MZP916364 MPT916275:MPT916364 MFX916275:MFX916364 LWB916275:LWB916364 LMF916275:LMF916364 LCJ916275:LCJ916364 KSN916275:KSN916364 KIR916275:KIR916364 JYV916275:JYV916364 JOZ916275:JOZ916364 JFD916275:JFD916364 IVH916275:IVH916364 ILL916275:ILL916364 IBP916275:IBP916364 HRT916275:HRT916364 HHX916275:HHX916364 GYB916275:GYB916364 GOF916275:GOF916364 GEJ916275:GEJ916364 FUN916275:FUN916364 FKR916275:FKR916364 FAV916275:FAV916364 EQZ916275:EQZ916364 EHD916275:EHD916364 DXH916275:DXH916364 DNL916275:DNL916364 DDP916275:DDP916364 CTT916275:CTT916364 CJX916275:CJX916364 CAB916275:CAB916364 BQF916275:BQF916364 BGJ916275:BGJ916364 AWN916275:AWN916364 AMR916275:AMR916364 ACV916275:ACV916364 SZ916275:SZ916364 JD916275:JD916364 H916296:H916385 WVP850739:WVP850828 WLT850739:WLT850828 WBX850739:WBX850828 VSB850739:VSB850828 VIF850739:VIF850828 UYJ850739:UYJ850828 UON850739:UON850828 UER850739:UER850828 TUV850739:TUV850828 TKZ850739:TKZ850828 TBD850739:TBD850828 SRH850739:SRH850828 SHL850739:SHL850828 RXP850739:RXP850828 RNT850739:RNT850828 RDX850739:RDX850828 QUB850739:QUB850828 QKF850739:QKF850828 QAJ850739:QAJ850828 PQN850739:PQN850828 PGR850739:PGR850828 OWV850739:OWV850828 OMZ850739:OMZ850828 ODD850739:ODD850828 NTH850739:NTH850828 NJL850739:NJL850828 MZP850739:MZP850828 MPT850739:MPT850828 MFX850739:MFX850828 LWB850739:LWB850828 LMF850739:LMF850828 LCJ850739:LCJ850828 KSN850739:KSN850828 KIR850739:KIR850828 JYV850739:JYV850828 JOZ850739:JOZ850828 JFD850739:JFD850828 IVH850739:IVH850828 ILL850739:ILL850828 IBP850739:IBP850828 HRT850739:HRT850828 HHX850739:HHX850828 GYB850739:GYB850828 GOF850739:GOF850828 GEJ850739:GEJ850828 FUN850739:FUN850828 FKR850739:FKR850828 FAV850739:FAV850828 EQZ850739:EQZ850828 EHD850739:EHD850828 DXH850739:DXH850828 DNL850739:DNL850828 DDP850739:DDP850828 CTT850739:CTT850828 CJX850739:CJX850828 CAB850739:CAB850828 BQF850739:BQF850828 BGJ850739:BGJ850828 AWN850739:AWN850828 AMR850739:AMR850828 ACV850739:ACV850828 SZ850739:SZ850828 JD850739:JD850828 H850760:H850849 WVP785203:WVP785292 WLT785203:WLT785292 WBX785203:WBX785292 VSB785203:VSB785292 VIF785203:VIF785292 UYJ785203:UYJ785292 UON785203:UON785292 UER785203:UER785292 TUV785203:TUV785292 TKZ785203:TKZ785292 TBD785203:TBD785292 SRH785203:SRH785292 SHL785203:SHL785292 RXP785203:RXP785292 RNT785203:RNT785292 RDX785203:RDX785292 QUB785203:QUB785292 QKF785203:QKF785292 QAJ785203:QAJ785292 PQN785203:PQN785292 PGR785203:PGR785292 OWV785203:OWV785292 OMZ785203:OMZ785292 ODD785203:ODD785292 NTH785203:NTH785292 NJL785203:NJL785292 MZP785203:MZP785292 MPT785203:MPT785292 MFX785203:MFX785292 LWB785203:LWB785292 LMF785203:LMF785292 LCJ785203:LCJ785292 KSN785203:KSN785292 KIR785203:KIR785292 JYV785203:JYV785292 JOZ785203:JOZ785292 JFD785203:JFD785292 IVH785203:IVH785292 ILL785203:ILL785292 IBP785203:IBP785292 HRT785203:HRT785292 HHX785203:HHX785292 GYB785203:GYB785292 GOF785203:GOF785292 GEJ785203:GEJ785292 FUN785203:FUN785292 FKR785203:FKR785292 FAV785203:FAV785292 EQZ785203:EQZ785292 EHD785203:EHD785292 DXH785203:DXH785292 DNL785203:DNL785292 DDP785203:DDP785292 CTT785203:CTT785292 CJX785203:CJX785292 CAB785203:CAB785292 BQF785203:BQF785292 BGJ785203:BGJ785292 AWN785203:AWN785292 AMR785203:AMR785292 ACV785203:ACV785292 SZ785203:SZ785292 JD785203:JD785292 H785224:H785313 WVP719667:WVP719756 WLT719667:WLT719756 WBX719667:WBX719756 VSB719667:VSB719756 VIF719667:VIF719756 UYJ719667:UYJ719756 UON719667:UON719756 UER719667:UER719756 TUV719667:TUV719756 TKZ719667:TKZ719756 TBD719667:TBD719756 SRH719667:SRH719756 SHL719667:SHL719756 RXP719667:RXP719756 RNT719667:RNT719756 RDX719667:RDX719756 QUB719667:QUB719756 QKF719667:QKF719756 QAJ719667:QAJ719756 PQN719667:PQN719756 PGR719667:PGR719756 OWV719667:OWV719756 OMZ719667:OMZ719756 ODD719667:ODD719756 NTH719667:NTH719756 NJL719667:NJL719756 MZP719667:MZP719756 MPT719667:MPT719756 MFX719667:MFX719756 LWB719667:LWB719756 LMF719667:LMF719756 LCJ719667:LCJ719756 KSN719667:KSN719756 KIR719667:KIR719756 JYV719667:JYV719756 JOZ719667:JOZ719756 JFD719667:JFD719756 IVH719667:IVH719756 ILL719667:ILL719756 IBP719667:IBP719756 HRT719667:HRT719756 HHX719667:HHX719756 GYB719667:GYB719756 GOF719667:GOF719756 GEJ719667:GEJ719756 FUN719667:FUN719756 FKR719667:FKR719756 FAV719667:FAV719756 EQZ719667:EQZ719756 EHD719667:EHD719756 DXH719667:DXH719756 DNL719667:DNL719756 DDP719667:DDP719756 CTT719667:CTT719756 CJX719667:CJX719756 CAB719667:CAB719756 BQF719667:BQF719756 BGJ719667:BGJ719756 AWN719667:AWN719756 AMR719667:AMR719756 ACV719667:ACV719756 SZ719667:SZ719756 JD719667:JD719756 H719688:H719777 WVP654131:WVP654220 WLT654131:WLT654220 WBX654131:WBX654220 VSB654131:VSB654220 VIF654131:VIF654220 UYJ654131:UYJ654220 UON654131:UON654220 UER654131:UER654220 TUV654131:TUV654220 TKZ654131:TKZ654220 TBD654131:TBD654220 SRH654131:SRH654220 SHL654131:SHL654220 RXP654131:RXP654220 RNT654131:RNT654220 RDX654131:RDX654220 QUB654131:QUB654220 QKF654131:QKF654220 QAJ654131:QAJ654220 PQN654131:PQN654220 PGR654131:PGR654220 OWV654131:OWV654220 OMZ654131:OMZ654220 ODD654131:ODD654220 NTH654131:NTH654220 NJL654131:NJL654220 MZP654131:MZP654220 MPT654131:MPT654220 MFX654131:MFX654220 LWB654131:LWB654220 LMF654131:LMF654220 LCJ654131:LCJ654220 KSN654131:KSN654220 KIR654131:KIR654220 JYV654131:JYV654220 JOZ654131:JOZ654220 JFD654131:JFD654220 IVH654131:IVH654220 ILL654131:ILL654220 IBP654131:IBP654220 HRT654131:HRT654220 HHX654131:HHX654220 GYB654131:GYB654220 GOF654131:GOF654220 GEJ654131:GEJ654220 FUN654131:FUN654220 FKR654131:FKR654220 FAV654131:FAV654220 EQZ654131:EQZ654220 EHD654131:EHD654220 DXH654131:DXH654220 DNL654131:DNL654220 DDP654131:DDP654220 CTT654131:CTT654220 CJX654131:CJX654220 CAB654131:CAB654220 BQF654131:BQF654220 BGJ654131:BGJ654220 AWN654131:AWN654220 AMR654131:AMR654220 ACV654131:ACV654220 SZ654131:SZ654220 JD654131:JD654220 H654152:H654241 WVP588595:WVP588684 WLT588595:WLT588684 WBX588595:WBX588684 VSB588595:VSB588684 VIF588595:VIF588684 UYJ588595:UYJ588684 UON588595:UON588684 UER588595:UER588684 TUV588595:TUV588684 TKZ588595:TKZ588684 TBD588595:TBD588684 SRH588595:SRH588684 SHL588595:SHL588684 RXP588595:RXP588684 RNT588595:RNT588684 RDX588595:RDX588684 QUB588595:QUB588684 QKF588595:QKF588684 QAJ588595:QAJ588684 PQN588595:PQN588684 PGR588595:PGR588684 OWV588595:OWV588684 OMZ588595:OMZ588684 ODD588595:ODD588684 NTH588595:NTH588684 NJL588595:NJL588684 MZP588595:MZP588684 MPT588595:MPT588684 MFX588595:MFX588684 LWB588595:LWB588684 LMF588595:LMF588684 LCJ588595:LCJ588684 KSN588595:KSN588684 KIR588595:KIR588684 JYV588595:JYV588684 JOZ588595:JOZ588684 JFD588595:JFD588684 IVH588595:IVH588684 ILL588595:ILL588684 IBP588595:IBP588684 HRT588595:HRT588684 HHX588595:HHX588684 GYB588595:GYB588684 GOF588595:GOF588684 GEJ588595:GEJ588684 FUN588595:FUN588684 FKR588595:FKR588684 FAV588595:FAV588684 EQZ588595:EQZ588684 EHD588595:EHD588684 DXH588595:DXH588684 DNL588595:DNL588684 DDP588595:DDP588684 CTT588595:CTT588684 CJX588595:CJX588684 CAB588595:CAB588684 BQF588595:BQF588684 BGJ588595:BGJ588684 AWN588595:AWN588684 AMR588595:AMR588684 ACV588595:ACV588684 SZ588595:SZ588684 JD588595:JD588684 H588616:H588705 WVP523059:WVP523148 WLT523059:WLT523148 WBX523059:WBX523148 VSB523059:VSB523148 VIF523059:VIF523148 UYJ523059:UYJ523148 UON523059:UON523148 UER523059:UER523148 TUV523059:TUV523148 TKZ523059:TKZ523148 TBD523059:TBD523148 SRH523059:SRH523148 SHL523059:SHL523148 RXP523059:RXP523148 RNT523059:RNT523148 RDX523059:RDX523148 QUB523059:QUB523148 QKF523059:QKF523148 QAJ523059:QAJ523148 PQN523059:PQN523148 PGR523059:PGR523148 OWV523059:OWV523148 OMZ523059:OMZ523148 ODD523059:ODD523148 NTH523059:NTH523148 NJL523059:NJL523148 MZP523059:MZP523148 MPT523059:MPT523148 MFX523059:MFX523148 LWB523059:LWB523148 LMF523059:LMF523148 LCJ523059:LCJ523148 KSN523059:KSN523148 KIR523059:KIR523148 JYV523059:JYV523148 JOZ523059:JOZ523148 JFD523059:JFD523148 IVH523059:IVH523148 ILL523059:ILL523148 IBP523059:IBP523148 HRT523059:HRT523148 HHX523059:HHX523148 GYB523059:GYB523148 GOF523059:GOF523148 GEJ523059:GEJ523148 FUN523059:FUN523148 FKR523059:FKR523148 FAV523059:FAV523148 EQZ523059:EQZ523148 EHD523059:EHD523148 DXH523059:DXH523148 DNL523059:DNL523148 DDP523059:DDP523148 CTT523059:CTT523148 CJX523059:CJX523148 CAB523059:CAB523148 BQF523059:BQF523148 BGJ523059:BGJ523148 AWN523059:AWN523148 AMR523059:AMR523148 ACV523059:ACV523148 SZ523059:SZ523148 JD523059:JD523148 H523080:H523169 WVP457523:WVP457612 WLT457523:WLT457612 WBX457523:WBX457612 VSB457523:VSB457612 VIF457523:VIF457612 UYJ457523:UYJ457612 UON457523:UON457612 UER457523:UER457612 TUV457523:TUV457612 TKZ457523:TKZ457612 TBD457523:TBD457612 SRH457523:SRH457612 SHL457523:SHL457612 RXP457523:RXP457612 RNT457523:RNT457612 RDX457523:RDX457612 QUB457523:QUB457612 QKF457523:QKF457612 QAJ457523:QAJ457612 PQN457523:PQN457612 PGR457523:PGR457612 OWV457523:OWV457612 OMZ457523:OMZ457612 ODD457523:ODD457612 NTH457523:NTH457612 NJL457523:NJL457612 MZP457523:MZP457612 MPT457523:MPT457612 MFX457523:MFX457612 LWB457523:LWB457612 LMF457523:LMF457612 LCJ457523:LCJ457612 KSN457523:KSN457612 KIR457523:KIR457612 JYV457523:JYV457612 JOZ457523:JOZ457612 JFD457523:JFD457612 IVH457523:IVH457612 ILL457523:ILL457612 IBP457523:IBP457612 HRT457523:HRT457612 HHX457523:HHX457612 GYB457523:GYB457612 GOF457523:GOF457612 GEJ457523:GEJ457612 FUN457523:FUN457612 FKR457523:FKR457612 FAV457523:FAV457612 EQZ457523:EQZ457612 EHD457523:EHD457612 DXH457523:DXH457612 DNL457523:DNL457612 DDP457523:DDP457612 CTT457523:CTT457612 CJX457523:CJX457612 CAB457523:CAB457612 BQF457523:BQF457612 BGJ457523:BGJ457612 AWN457523:AWN457612 AMR457523:AMR457612 ACV457523:ACV457612 SZ457523:SZ457612 JD457523:JD457612 H457544:H457633 WVP391987:WVP392076 WLT391987:WLT392076 WBX391987:WBX392076 VSB391987:VSB392076 VIF391987:VIF392076 UYJ391987:UYJ392076 UON391987:UON392076 UER391987:UER392076 TUV391987:TUV392076 TKZ391987:TKZ392076 TBD391987:TBD392076 SRH391987:SRH392076 SHL391987:SHL392076 RXP391987:RXP392076 RNT391987:RNT392076 RDX391987:RDX392076 QUB391987:QUB392076 QKF391987:QKF392076 QAJ391987:QAJ392076 PQN391987:PQN392076 PGR391987:PGR392076 OWV391987:OWV392076 OMZ391987:OMZ392076 ODD391987:ODD392076 NTH391987:NTH392076 NJL391987:NJL392076 MZP391987:MZP392076 MPT391987:MPT392076 MFX391987:MFX392076 LWB391987:LWB392076 LMF391987:LMF392076 LCJ391987:LCJ392076 KSN391987:KSN392076 KIR391987:KIR392076 JYV391987:JYV392076 JOZ391987:JOZ392076 JFD391987:JFD392076 IVH391987:IVH392076 ILL391987:ILL392076 IBP391987:IBP392076 HRT391987:HRT392076 HHX391987:HHX392076 GYB391987:GYB392076 GOF391987:GOF392076 GEJ391987:GEJ392076 FUN391987:FUN392076 FKR391987:FKR392076 FAV391987:FAV392076 EQZ391987:EQZ392076 EHD391987:EHD392076 DXH391987:DXH392076 DNL391987:DNL392076 DDP391987:DDP392076 CTT391987:CTT392076 CJX391987:CJX392076 CAB391987:CAB392076 BQF391987:BQF392076 BGJ391987:BGJ392076 AWN391987:AWN392076 AMR391987:AMR392076 ACV391987:ACV392076 SZ391987:SZ392076 JD391987:JD392076 H392008:H392097 WVP326451:WVP326540 WLT326451:WLT326540 WBX326451:WBX326540 VSB326451:VSB326540 VIF326451:VIF326540 UYJ326451:UYJ326540 UON326451:UON326540 UER326451:UER326540 TUV326451:TUV326540 TKZ326451:TKZ326540 TBD326451:TBD326540 SRH326451:SRH326540 SHL326451:SHL326540 RXP326451:RXP326540 RNT326451:RNT326540 RDX326451:RDX326540 QUB326451:QUB326540 QKF326451:QKF326540 QAJ326451:QAJ326540 PQN326451:PQN326540 PGR326451:PGR326540 OWV326451:OWV326540 OMZ326451:OMZ326540 ODD326451:ODD326540 NTH326451:NTH326540 NJL326451:NJL326540 MZP326451:MZP326540 MPT326451:MPT326540 MFX326451:MFX326540 LWB326451:LWB326540 LMF326451:LMF326540 LCJ326451:LCJ326540 KSN326451:KSN326540 KIR326451:KIR326540 JYV326451:JYV326540 JOZ326451:JOZ326540 JFD326451:JFD326540 IVH326451:IVH326540 ILL326451:ILL326540 IBP326451:IBP326540 HRT326451:HRT326540 HHX326451:HHX326540 GYB326451:GYB326540 GOF326451:GOF326540 GEJ326451:GEJ326540 FUN326451:FUN326540 FKR326451:FKR326540 FAV326451:FAV326540 EQZ326451:EQZ326540 EHD326451:EHD326540 DXH326451:DXH326540 DNL326451:DNL326540 DDP326451:DDP326540 CTT326451:CTT326540 CJX326451:CJX326540 CAB326451:CAB326540 BQF326451:BQF326540 BGJ326451:BGJ326540 AWN326451:AWN326540 AMR326451:AMR326540 ACV326451:ACV326540 SZ326451:SZ326540 JD326451:JD326540 H326472:H326561 WVP260915:WVP261004 WLT260915:WLT261004 WBX260915:WBX261004 VSB260915:VSB261004 VIF260915:VIF261004 UYJ260915:UYJ261004 UON260915:UON261004 UER260915:UER261004 TUV260915:TUV261004 TKZ260915:TKZ261004 TBD260915:TBD261004 SRH260915:SRH261004 SHL260915:SHL261004 RXP260915:RXP261004 RNT260915:RNT261004 RDX260915:RDX261004 QUB260915:QUB261004 QKF260915:QKF261004 QAJ260915:QAJ261004 PQN260915:PQN261004 PGR260915:PGR261004 OWV260915:OWV261004 OMZ260915:OMZ261004 ODD260915:ODD261004 NTH260915:NTH261004 NJL260915:NJL261004 MZP260915:MZP261004 MPT260915:MPT261004 MFX260915:MFX261004 LWB260915:LWB261004 LMF260915:LMF261004 LCJ260915:LCJ261004 KSN260915:KSN261004 KIR260915:KIR261004 JYV260915:JYV261004 JOZ260915:JOZ261004 JFD260915:JFD261004 IVH260915:IVH261004 ILL260915:ILL261004 IBP260915:IBP261004 HRT260915:HRT261004 HHX260915:HHX261004 GYB260915:GYB261004 GOF260915:GOF261004 GEJ260915:GEJ261004 FUN260915:FUN261004 FKR260915:FKR261004 FAV260915:FAV261004 EQZ260915:EQZ261004 EHD260915:EHD261004 DXH260915:DXH261004 DNL260915:DNL261004 DDP260915:DDP261004 CTT260915:CTT261004 CJX260915:CJX261004 CAB260915:CAB261004 BQF260915:BQF261004 BGJ260915:BGJ261004 AWN260915:AWN261004 AMR260915:AMR261004 ACV260915:ACV261004 SZ260915:SZ261004 JD260915:JD261004 H260936:H261025 WVP195379:WVP195468 WLT195379:WLT195468 WBX195379:WBX195468 VSB195379:VSB195468 VIF195379:VIF195468 UYJ195379:UYJ195468 UON195379:UON195468 UER195379:UER195468 TUV195379:TUV195468 TKZ195379:TKZ195468 TBD195379:TBD195468 SRH195379:SRH195468 SHL195379:SHL195468 RXP195379:RXP195468 RNT195379:RNT195468 RDX195379:RDX195468 QUB195379:QUB195468 QKF195379:QKF195468 QAJ195379:QAJ195468 PQN195379:PQN195468 PGR195379:PGR195468 OWV195379:OWV195468 OMZ195379:OMZ195468 ODD195379:ODD195468 NTH195379:NTH195468 NJL195379:NJL195468 MZP195379:MZP195468 MPT195379:MPT195468 MFX195379:MFX195468 LWB195379:LWB195468 LMF195379:LMF195468 LCJ195379:LCJ195468 KSN195379:KSN195468 KIR195379:KIR195468 JYV195379:JYV195468 JOZ195379:JOZ195468 JFD195379:JFD195468 IVH195379:IVH195468 ILL195379:ILL195468 IBP195379:IBP195468 HRT195379:HRT195468 HHX195379:HHX195468 GYB195379:GYB195468 GOF195379:GOF195468 GEJ195379:GEJ195468 FUN195379:FUN195468 FKR195379:FKR195468 FAV195379:FAV195468 EQZ195379:EQZ195468 EHD195379:EHD195468 DXH195379:DXH195468 DNL195379:DNL195468 DDP195379:DDP195468 CTT195379:CTT195468 CJX195379:CJX195468 CAB195379:CAB195468 BQF195379:BQF195468 BGJ195379:BGJ195468 AWN195379:AWN195468 AMR195379:AMR195468 ACV195379:ACV195468 SZ195379:SZ195468 JD195379:JD195468 H195400:H195489 WVP129843:WVP129932 WLT129843:WLT129932 WBX129843:WBX129932 VSB129843:VSB129932 VIF129843:VIF129932 UYJ129843:UYJ129932 UON129843:UON129932 UER129843:UER129932 TUV129843:TUV129932 TKZ129843:TKZ129932 TBD129843:TBD129932 SRH129843:SRH129932 SHL129843:SHL129932 RXP129843:RXP129932 RNT129843:RNT129932 RDX129843:RDX129932 QUB129843:QUB129932 QKF129843:QKF129932 QAJ129843:QAJ129932 PQN129843:PQN129932 PGR129843:PGR129932 OWV129843:OWV129932 OMZ129843:OMZ129932 ODD129843:ODD129932 NTH129843:NTH129932 NJL129843:NJL129932 MZP129843:MZP129932 MPT129843:MPT129932 MFX129843:MFX129932 LWB129843:LWB129932 LMF129843:LMF129932 LCJ129843:LCJ129932 KSN129843:KSN129932 KIR129843:KIR129932 JYV129843:JYV129932 JOZ129843:JOZ129932 JFD129843:JFD129932 IVH129843:IVH129932 ILL129843:ILL129932 IBP129843:IBP129932 HRT129843:HRT129932 HHX129843:HHX129932 GYB129843:GYB129932 GOF129843:GOF129932 GEJ129843:GEJ129932 FUN129843:FUN129932 FKR129843:FKR129932 FAV129843:FAV129932 EQZ129843:EQZ129932 EHD129843:EHD129932 DXH129843:DXH129932 DNL129843:DNL129932 DDP129843:DDP129932 CTT129843:CTT129932 CJX129843:CJX129932 CAB129843:CAB129932 BQF129843:BQF129932 BGJ129843:BGJ129932 AWN129843:AWN129932 AMR129843:AMR129932 ACV129843:ACV129932 SZ129843:SZ129932 JD129843:JD129932 H129864:H129953 WVP64307:WVP64396 WLT64307:WLT64396 WBX64307:WBX64396 VSB64307:VSB64396 VIF64307:VIF64396 UYJ64307:UYJ64396 UON64307:UON64396 UER64307:UER64396 TUV64307:TUV64396 TKZ64307:TKZ64396 TBD64307:TBD64396 SRH64307:SRH64396 SHL64307:SHL64396 RXP64307:RXP64396 RNT64307:RNT64396 RDX64307:RDX64396 QUB64307:QUB64396 QKF64307:QKF64396 QAJ64307:QAJ64396 PQN64307:PQN64396 PGR64307:PGR64396 OWV64307:OWV64396 OMZ64307:OMZ64396 ODD64307:ODD64396 NTH64307:NTH64396 NJL64307:NJL64396 MZP64307:MZP64396 MPT64307:MPT64396 MFX64307:MFX64396 LWB64307:LWB64396 LMF64307:LMF64396 LCJ64307:LCJ64396 KSN64307:KSN64396 KIR64307:KIR64396 JYV64307:JYV64396 JOZ64307:JOZ64396 JFD64307:JFD64396 IVH64307:IVH64396 ILL64307:ILL64396 IBP64307:IBP64396 HRT64307:HRT64396 HHX64307:HHX64396 GYB64307:GYB64396 GOF64307:GOF64396 GEJ64307:GEJ64396 FUN64307:FUN64396 FKR64307:FKR64396 FAV64307:FAV64396 EQZ64307:EQZ64396 EHD64307:EHD64396 DXH64307:DXH64396 DNL64307:DNL64396 DDP64307:DDP64396 CTT64307:CTT64396 CJX64307:CJX64396 CAB64307:CAB64396 BQF64307:BQF64396 BGJ64307:BGJ64396 AWN64307:AWN64396 AMR64307:AMR64396 ACV64307:ACV64396 SZ64307:SZ64396 JD64307:JD64396 H64328:H64417 JD2:JD79 SZ2:SZ79 ACV2:ACV79 AMR2:AMR79 AWN2:AWN79 BGJ2:BGJ79 BQF2:BQF79 CAB2:CAB79 CJX2:CJX79 CTT2:CTT79 DDP2:DDP79 DNL2:DNL79 DXH2:DXH79 EHD2:EHD79 EQZ2:EQZ79 FAV2:FAV79 FKR2:FKR79 FUN2:FUN79 GEJ2:GEJ79 GOF2:GOF79 GYB2:GYB79 HHX2:HHX79 HRT2:HRT79 IBP2:IBP79 ILL2:ILL79 IVH2:IVH79 JFD2:JFD79 JOZ2:JOZ79 JYV2:JYV79 KIR2:KIR79 KSN2:KSN79 LCJ2:LCJ79 LMF2:LMF79 LWB2:LWB79 MFX2:MFX79 MPT2:MPT79 MZP2:MZP79 NJL2:NJL79 NTH2:NTH79 ODD2:ODD79 OMZ2:OMZ79 OWV2:OWV79 PGR2:PGR79 PQN2:PQN79 QAJ2:QAJ79 QKF2:QKF79 QUB2:QUB79 RDX2:RDX79 RNT2:RNT79 RXP2:RXP79 SHL2:SHL79 SRH2:SRH79 TBD2:TBD79 TKZ2:TKZ79 TUV2:TUV79 UER2:UER79 UON2:UON79 UYJ2:UYJ79 VIF2:VIF79 VSB2:VSB79 WBX2:WBX79 WLT2:WLT79 WVP2:WVP79" xr:uid="{F405DED7-8767-48B7-99BE-4F03A41ADDAD}">
      <formula1>$AL$8:$AL$13</formula1>
    </dataValidation>
    <dataValidation type="list" allowBlank="1" showInputMessage="1" showErrorMessage="1" sqref="WVQ981811:WVQ981894 WLU981811:WLU981894 WBY981811:WBY981894 VSC981811:VSC981894 VIG981811:VIG981894 UYK981811:UYK981894 UOO981811:UOO981894 UES981811:UES981894 TUW981811:TUW981894 TLA981811:TLA981894 TBE981811:TBE981894 SRI981811:SRI981894 SHM981811:SHM981894 RXQ981811:RXQ981894 RNU981811:RNU981894 RDY981811:RDY981894 QUC981811:QUC981894 QKG981811:QKG981894 QAK981811:QAK981894 PQO981811:PQO981894 PGS981811:PGS981894 OWW981811:OWW981894 ONA981811:ONA981894 ODE981811:ODE981894 NTI981811:NTI981894 NJM981811:NJM981894 MZQ981811:MZQ981894 MPU981811:MPU981894 MFY981811:MFY981894 LWC981811:LWC981894 LMG981811:LMG981894 LCK981811:LCK981894 KSO981811:KSO981894 KIS981811:KIS981894 JYW981811:JYW981894 JPA981811:JPA981894 JFE981811:JFE981894 IVI981811:IVI981894 ILM981811:ILM981894 IBQ981811:IBQ981894 HRU981811:HRU981894 HHY981811:HHY981894 GYC981811:GYC981894 GOG981811:GOG981894 GEK981811:GEK981894 FUO981811:FUO981894 FKS981811:FKS981894 FAW981811:FAW981894 ERA981811:ERA981894 EHE981811:EHE981894 DXI981811:DXI981894 DNM981811:DNM981894 DDQ981811:DDQ981894 CTU981811:CTU981894 CJY981811:CJY981894 CAC981811:CAC981894 BQG981811:BQG981894 BGK981811:BGK981894 AWO981811:AWO981894 AMS981811:AMS981894 ACW981811:ACW981894 TA981811:TA981894 JE981811:JE981894 I981832:I981915 WVQ916275:WVQ916358 WLU916275:WLU916358 WBY916275:WBY916358 VSC916275:VSC916358 VIG916275:VIG916358 UYK916275:UYK916358 UOO916275:UOO916358 UES916275:UES916358 TUW916275:TUW916358 TLA916275:TLA916358 TBE916275:TBE916358 SRI916275:SRI916358 SHM916275:SHM916358 RXQ916275:RXQ916358 RNU916275:RNU916358 RDY916275:RDY916358 QUC916275:QUC916358 QKG916275:QKG916358 QAK916275:QAK916358 PQO916275:PQO916358 PGS916275:PGS916358 OWW916275:OWW916358 ONA916275:ONA916358 ODE916275:ODE916358 NTI916275:NTI916358 NJM916275:NJM916358 MZQ916275:MZQ916358 MPU916275:MPU916358 MFY916275:MFY916358 LWC916275:LWC916358 LMG916275:LMG916358 LCK916275:LCK916358 KSO916275:KSO916358 KIS916275:KIS916358 JYW916275:JYW916358 JPA916275:JPA916358 JFE916275:JFE916358 IVI916275:IVI916358 ILM916275:ILM916358 IBQ916275:IBQ916358 HRU916275:HRU916358 HHY916275:HHY916358 GYC916275:GYC916358 GOG916275:GOG916358 GEK916275:GEK916358 FUO916275:FUO916358 FKS916275:FKS916358 FAW916275:FAW916358 ERA916275:ERA916358 EHE916275:EHE916358 DXI916275:DXI916358 DNM916275:DNM916358 DDQ916275:DDQ916358 CTU916275:CTU916358 CJY916275:CJY916358 CAC916275:CAC916358 BQG916275:BQG916358 BGK916275:BGK916358 AWO916275:AWO916358 AMS916275:AMS916358 ACW916275:ACW916358 TA916275:TA916358 JE916275:JE916358 I916296:I916379 WVQ850739:WVQ850822 WLU850739:WLU850822 WBY850739:WBY850822 VSC850739:VSC850822 VIG850739:VIG850822 UYK850739:UYK850822 UOO850739:UOO850822 UES850739:UES850822 TUW850739:TUW850822 TLA850739:TLA850822 TBE850739:TBE850822 SRI850739:SRI850822 SHM850739:SHM850822 RXQ850739:RXQ850822 RNU850739:RNU850822 RDY850739:RDY850822 QUC850739:QUC850822 QKG850739:QKG850822 QAK850739:QAK850822 PQO850739:PQO850822 PGS850739:PGS850822 OWW850739:OWW850822 ONA850739:ONA850822 ODE850739:ODE850822 NTI850739:NTI850822 NJM850739:NJM850822 MZQ850739:MZQ850822 MPU850739:MPU850822 MFY850739:MFY850822 LWC850739:LWC850822 LMG850739:LMG850822 LCK850739:LCK850822 KSO850739:KSO850822 KIS850739:KIS850822 JYW850739:JYW850822 JPA850739:JPA850822 JFE850739:JFE850822 IVI850739:IVI850822 ILM850739:ILM850822 IBQ850739:IBQ850822 HRU850739:HRU850822 HHY850739:HHY850822 GYC850739:GYC850822 GOG850739:GOG850822 GEK850739:GEK850822 FUO850739:FUO850822 FKS850739:FKS850822 FAW850739:FAW850822 ERA850739:ERA850822 EHE850739:EHE850822 DXI850739:DXI850822 DNM850739:DNM850822 DDQ850739:DDQ850822 CTU850739:CTU850822 CJY850739:CJY850822 CAC850739:CAC850822 BQG850739:BQG850822 BGK850739:BGK850822 AWO850739:AWO850822 AMS850739:AMS850822 ACW850739:ACW850822 TA850739:TA850822 JE850739:JE850822 I850760:I850843 WVQ785203:WVQ785286 WLU785203:WLU785286 WBY785203:WBY785286 VSC785203:VSC785286 VIG785203:VIG785286 UYK785203:UYK785286 UOO785203:UOO785286 UES785203:UES785286 TUW785203:TUW785286 TLA785203:TLA785286 TBE785203:TBE785286 SRI785203:SRI785286 SHM785203:SHM785286 RXQ785203:RXQ785286 RNU785203:RNU785286 RDY785203:RDY785286 QUC785203:QUC785286 QKG785203:QKG785286 QAK785203:QAK785286 PQO785203:PQO785286 PGS785203:PGS785286 OWW785203:OWW785286 ONA785203:ONA785286 ODE785203:ODE785286 NTI785203:NTI785286 NJM785203:NJM785286 MZQ785203:MZQ785286 MPU785203:MPU785286 MFY785203:MFY785286 LWC785203:LWC785286 LMG785203:LMG785286 LCK785203:LCK785286 KSO785203:KSO785286 KIS785203:KIS785286 JYW785203:JYW785286 JPA785203:JPA785286 JFE785203:JFE785286 IVI785203:IVI785286 ILM785203:ILM785286 IBQ785203:IBQ785286 HRU785203:HRU785286 HHY785203:HHY785286 GYC785203:GYC785286 GOG785203:GOG785286 GEK785203:GEK785286 FUO785203:FUO785286 FKS785203:FKS785286 FAW785203:FAW785286 ERA785203:ERA785286 EHE785203:EHE785286 DXI785203:DXI785286 DNM785203:DNM785286 DDQ785203:DDQ785286 CTU785203:CTU785286 CJY785203:CJY785286 CAC785203:CAC785286 BQG785203:BQG785286 BGK785203:BGK785286 AWO785203:AWO785286 AMS785203:AMS785286 ACW785203:ACW785286 TA785203:TA785286 JE785203:JE785286 I785224:I785307 WVQ719667:WVQ719750 WLU719667:WLU719750 WBY719667:WBY719750 VSC719667:VSC719750 VIG719667:VIG719750 UYK719667:UYK719750 UOO719667:UOO719750 UES719667:UES719750 TUW719667:TUW719750 TLA719667:TLA719750 TBE719667:TBE719750 SRI719667:SRI719750 SHM719667:SHM719750 RXQ719667:RXQ719750 RNU719667:RNU719750 RDY719667:RDY719750 QUC719667:QUC719750 QKG719667:QKG719750 QAK719667:QAK719750 PQO719667:PQO719750 PGS719667:PGS719750 OWW719667:OWW719750 ONA719667:ONA719750 ODE719667:ODE719750 NTI719667:NTI719750 NJM719667:NJM719750 MZQ719667:MZQ719750 MPU719667:MPU719750 MFY719667:MFY719750 LWC719667:LWC719750 LMG719667:LMG719750 LCK719667:LCK719750 KSO719667:KSO719750 KIS719667:KIS719750 JYW719667:JYW719750 JPA719667:JPA719750 JFE719667:JFE719750 IVI719667:IVI719750 ILM719667:ILM719750 IBQ719667:IBQ719750 HRU719667:HRU719750 HHY719667:HHY719750 GYC719667:GYC719750 GOG719667:GOG719750 GEK719667:GEK719750 FUO719667:FUO719750 FKS719667:FKS719750 FAW719667:FAW719750 ERA719667:ERA719750 EHE719667:EHE719750 DXI719667:DXI719750 DNM719667:DNM719750 DDQ719667:DDQ719750 CTU719667:CTU719750 CJY719667:CJY719750 CAC719667:CAC719750 BQG719667:BQG719750 BGK719667:BGK719750 AWO719667:AWO719750 AMS719667:AMS719750 ACW719667:ACW719750 TA719667:TA719750 JE719667:JE719750 I719688:I719771 WVQ654131:WVQ654214 WLU654131:WLU654214 WBY654131:WBY654214 VSC654131:VSC654214 VIG654131:VIG654214 UYK654131:UYK654214 UOO654131:UOO654214 UES654131:UES654214 TUW654131:TUW654214 TLA654131:TLA654214 TBE654131:TBE654214 SRI654131:SRI654214 SHM654131:SHM654214 RXQ654131:RXQ654214 RNU654131:RNU654214 RDY654131:RDY654214 QUC654131:QUC654214 QKG654131:QKG654214 QAK654131:QAK654214 PQO654131:PQO654214 PGS654131:PGS654214 OWW654131:OWW654214 ONA654131:ONA654214 ODE654131:ODE654214 NTI654131:NTI654214 NJM654131:NJM654214 MZQ654131:MZQ654214 MPU654131:MPU654214 MFY654131:MFY654214 LWC654131:LWC654214 LMG654131:LMG654214 LCK654131:LCK654214 KSO654131:KSO654214 KIS654131:KIS654214 JYW654131:JYW654214 JPA654131:JPA654214 JFE654131:JFE654214 IVI654131:IVI654214 ILM654131:ILM654214 IBQ654131:IBQ654214 HRU654131:HRU654214 HHY654131:HHY654214 GYC654131:GYC654214 GOG654131:GOG654214 GEK654131:GEK654214 FUO654131:FUO654214 FKS654131:FKS654214 FAW654131:FAW654214 ERA654131:ERA654214 EHE654131:EHE654214 DXI654131:DXI654214 DNM654131:DNM654214 DDQ654131:DDQ654214 CTU654131:CTU654214 CJY654131:CJY654214 CAC654131:CAC654214 BQG654131:BQG654214 BGK654131:BGK654214 AWO654131:AWO654214 AMS654131:AMS654214 ACW654131:ACW654214 TA654131:TA654214 JE654131:JE654214 I654152:I654235 WVQ588595:WVQ588678 WLU588595:WLU588678 WBY588595:WBY588678 VSC588595:VSC588678 VIG588595:VIG588678 UYK588595:UYK588678 UOO588595:UOO588678 UES588595:UES588678 TUW588595:TUW588678 TLA588595:TLA588678 TBE588595:TBE588678 SRI588595:SRI588678 SHM588595:SHM588678 RXQ588595:RXQ588678 RNU588595:RNU588678 RDY588595:RDY588678 QUC588595:QUC588678 QKG588595:QKG588678 QAK588595:QAK588678 PQO588595:PQO588678 PGS588595:PGS588678 OWW588595:OWW588678 ONA588595:ONA588678 ODE588595:ODE588678 NTI588595:NTI588678 NJM588595:NJM588678 MZQ588595:MZQ588678 MPU588595:MPU588678 MFY588595:MFY588678 LWC588595:LWC588678 LMG588595:LMG588678 LCK588595:LCK588678 KSO588595:KSO588678 KIS588595:KIS588678 JYW588595:JYW588678 JPA588595:JPA588678 JFE588595:JFE588678 IVI588595:IVI588678 ILM588595:ILM588678 IBQ588595:IBQ588678 HRU588595:HRU588678 HHY588595:HHY588678 GYC588595:GYC588678 GOG588595:GOG588678 GEK588595:GEK588678 FUO588595:FUO588678 FKS588595:FKS588678 FAW588595:FAW588678 ERA588595:ERA588678 EHE588595:EHE588678 DXI588595:DXI588678 DNM588595:DNM588678 DDQ588595:DDQ588678 CTU588595:CTU588678 CJY588595:CJY588678 CAC588595:CAC588678 BQG588595:BQG588678 BGK588595:BGK588678 AWO588595:AWO588678 AMS588595:AMS588678 ACW588595:ACW588678 TA588595:TA588678 JE588595:JE588678 I588616:I588699 WVQ523059:WVQ523142 WLU523059:WLU523142 WBY523059:WBY523142 VSC523059:VSC523142 VIG523059:VIG523142 UYK523059:UYK523142 UOO523059:UOO523142 UES523059:UES523142 TUW523059:TUW523142 TLA523059:TLA523142 TBE523059:TBE523142 SRI523059:SRI523142 SHM523059:SHM523142 RXQ523059:RXQ523142 RNU523059:RNU523142 RDY523059:RDY523142 QUC523059:QUC523142 QKG523059:QKG523142 QAK523059:QAK523142 PQO523059:PQO523142 PGS523059:PGS523142 OWW523059:OWW523142 ONA523059:ONA523142 ODE523059:ODE523142 NTI523059:NTI523142 NJM523059:NJM523142 MZQ523059:MZQ523142 MPU523059:MPU523142 MFY523059:MFY523142 LWC523059:LWC523142 LMG523059:LMG523142 LCK523059:LCK523142 KSO523059:KSO523142 KIS523059:KIS523142 JYW523059:JYW523142 JPA523059:JPA523142 JFE523059:JFE523142 IVI523059:IVI523142 ILM523059:ILM523142 IBQ523059:IBQ523142 HRU523059:HRU523142 HHY523059:HHY523142 GYC523059:GYC523142 GOG523059:GOG523142 GEK523059:GEK523142 FUO523059:FUO523142 FKS523059:FKS523142 FAW523059:FAW523142 ERA523059:ERA523142 EHE523059:EHE523142 DXI523059:DXI523142 DNM523059:DNM523142 DDQ523059:DDQ523142 CTU523059:CTU523142 CJY523059:CJY523142 CAC523059:CAC523142 BQG523059:BQG523142 BGK523059:BGK523142 AWO523059:AWO523142 AMS523059:AMS523142 ACW523059:ACW523142 TA523059:TA523142 JE523059:JE523142 I523080:I523163 WVQ457523:WVQ457606 WLU457523:WLU457606 WBY457523:WBY457606 VSC457523:VSC457606 VIG457523:VIG457606 UYK457523:UYK457606 UOO457523:UOO457606 UES457523:UES457606 TUW457523:TUW457606 TLA457523:TLA457606 TBE457523:TBE457606 SRI457523:SRI457606 SHM457523:SHM457606 RXQ457523:RXQ457606 RNU457523:RNU457606 RDY457523:RDY457606 QUC457523:QUC457606 QKG457523:QKG457606 QAK457523:QAK457606 PQO457523:PQO457606 PGS457523:PGS457606 OWW457523:OWW457606 ONA457523:ONA457606 ODE457523:ODE457606 NTI457523:NTI457606 NJM457523:NJM457606 MZQ457523:MZQ457606 MPU457523:MPU457606 MFY457523:MFY457606 LWC457523:LWC457606 LMG457523:LMG457606 LCK457523:LCK457606 KSO457523:KSO457606 KIS457523:KIS457606 JYW457523:JYW457606 JPA457523:JPA457606 JFE457523:JFE457606 IVI457523:IVI457606 ILM457523:ILM457606 IBQ457523:IBQ457606 HRU457523:HRU457606 HHY457523:HHY457606 GYC457523:GYC457606 GOG457523:GOG457606 GEK457523:GEK457606 FUO457523:FUO457606 FKS457523:FKS457606 FAW457523:FAW457606 ERA457523:ERA457606 EHE457523:EHE457606 DXI457523:DXI457606 DNM457523:DNM457606 DDQ457523:DDQ457606 CTU457523:CTU457606 CJY457523:CJY457606 CAC457523:CAC457606 BQG457523:BQG457606 BGK457523:BGK457606 AWO457523:AWO457606 AMS457523:AMS457606 ACW457523:ACW457606 TA457523:TA457606 JE457523:JE457606 I457544:I457627 WVQ391987:WVQ392070 WLU391987:WLU392070 WBY391987:WBY392070 VSC391987:VSC392070 VIG391987:VIG392070 UYK391987:UYK392070 UOO391987:UOO392070 UES391987:UES392070 TUW391987:TUW392070 TLA391987:TLA392070 TBE391987:TBE392070 SRI391987:SRI392070 SHM391987:SHM392070 RXQ391987:RXQ392070 RNU391987:RNU392070 RDY391987:RDY392070 QUC391987:QUC392070 QKG391987:QKG392070 QAK391987:QAK392070 PQO391987:PQO392070 PGS391987:PGS392070 OWW391987:OWW392070 ONA391987:ONA392070 ODE391987:ODE392070 NTI391987:NTI392070 NJM391987:NJM392070 MZQ391987:MZQ392070 MPU391987:MPU392070 MFY391987:MFY392070 LWC391987:LWC392070 LMG391987:LMG392070 LCK391987:LCK392070 KSO391987:KSO392070 KIS391987:KIS392070 JYW391987:JYW392070 JPA391987:JPA392070 JFE391987:JFE392070 IVI391987:IVI392070 ILM391987:ILM392070 IBQ391987:IBQ392070 HRU391987:HRU392070 HHY391987:HHY392070 GYC391987:GYC392070 GOG391987:GOG392070 GEK391987:GEK392070 FUO391987:FUO392070 FKS391987:FKS392070 FAW391987:FAW392070 ERA391987:ERA392070 EHE391987:EHE392070 DXI391987:DXI392070 DNM391987:DNM392070 DDQ391987:DDQ392070 CTU391987:CTU392070 CJY391987:CJY392070 CAC391987:CAC392070 BQG391987:BQG392070 BGK391987:BGK392070 AWO391987:AWO392070 AMS391987:AMS392070 ACW391987:ACW392070 TA391987:TA392070 JE391987:JE392070 I392008:I392091 WVQ326451:WVQ326534 WLU326451:WLU326534 WBY326451:WBY326534 VSC326451:VSC326534 VIG326451:VIG326534 UYK326451:UYK326534 UOO326451:UOO326534 UES326451:UES326534 TUW326451:TUW326534 TLA326451:TLA326534 TBE326451:TBE326534 SRI326451:SRI326534 SHM326451:SHM326534 RXQ326451:RXQ326534 RNU326451:RNU326534 RDY326451:RDY326534 QUC326451:QUC326534 QKG326451:QKG326534 QAK326451:QAK326534 PQO326451:PQO326534 PGS326451:PGS326534 OWW326451:OWW326534 ONA326451:ONA326534 ODE326451:ODE326534 NTI326451:NTI326534 NJM326451:NJM326534 MZQ326451:MZQ326534 MPU326451:MPU326534 MFY326451:MFY326534 LWC326451:LWC326534 LMG326451:LMG326534 LCK326451:LCK326534 KSO326451:KSO326534 KIS326451:KIS326534 JYW326451:JYW326534 JPA326451:JPA326534 JFE326451:JFE326534 IVI326451:IVI326534 ILM326451:ILM326534 IBQ326451:IBQ326534 HRU326451:HRU326534 HHY326451:HHY326534 GYC326451:GYC326534 GOG326451:GOG326534 GEK326451:GEK326534 FUO326451:FUO326534 FKS326451:FKS326534 FAW326451:FAW326534 ERA326451:ERA326534 EHE326451:EHE326534 DXI326451:DXI326534 DNM326451:DNM326534 DDQ326451:DDQ326534 CTU326451:CTU326534 CJY326451:CJY326534 CAC326451:CAC326534 BQG326451:BQG326534 BGK326451:BGK326534 AWO326451:AWO326534 AMS326451:AMS326534 ACW326451:ACW326534 TA326451:TA326534 JE326451:JE326534 I326472:I326555 WVQ260915:WVQ260998 WLU260915:WLU260998 WBY260915:WBY260998 VSC260915:VSC260998 VIG260915:VIG260998 UYK260915:UYK260998 UOO260915:UOO260998 UES260915:UES260998 TUW260915:TUW260998 TLA260915:TLA260998 TBE260915:TBE260998 SRI260915:SRI260998 SHM260915:SHM260998 RXQ260915:RXQ260998 RNU260915:RNU260998 RDY260915:RDY260998 QUC260915:QUC260998 QKG260915:QKG260998 QAK260915:QAK260998 PQO260915:PQO260998 PGS260915:PGS260998 OWW260915:OWW260998 ONA260915:ONA260998 ODE260915:ODE260998 NTI260915:NTI260998 NJM260915:NJM260998 MZQ260915:MZQ260998 MPU260915:MPU260998 MFY260915:MFY260998 LWC260915:LWC260998 LMG260915:LMG260998 LCK260915:LCK260998 KSO260915:KSO260998 KIS260915:KIS260998 JYW260915:JYW260998 JPA260915:JPA260998 JFE260915:JFE260998 IVI260915:IVI260998 ILM260915:ILM260998 IBQ260915:IBQ260998 HRU260915:HRU260998 HHY260915:HHY260998 GYC260915:GYC260998 GOG260915:GOG260998 GEK260915:GEK260998 FUO260915:FUO260998 FKS260915:FKS260998 FAW260915:FAW260998 ERA260915:ERA260998 EHE260915:EHE260998 DXI260915:DXI260998 DNM260915:DNM260998 DDQ260915:DDQ260998 CTU260915:CTU260998 CJY260915:CJY260998 CAC260915:CAC260998 BQG260915:BQG260998 BGK260915:BGK260998 AWO260915:AWO260998 AMS260915:AMS260998 ACW260915:ACW260998 TA260915:TA260998 JE260915:JE260998 I260936:I261019 WVQ195379:WVQ195462 WLU195379:WLU195462 WBY195379:WBY195462 VSC195379:VSC195462 VIG195379:VIG195462 UYK195379:UYK195462 UOO195379:UOO195462 UES195379:UES195462 TUW195379:TUW195462 TLA195379:TLA195462 TBE195379:TBE195462 SRI195379:SRI195462 SHM195379:SHM195462 RXQ195379:RXQ195462 RNU195379:RNU195462 RDY195379:RDY195462 QUC195379:QUC195462 QKG195379:QKG195462 QAK195379:QAK195462 PQO195379:PQO195462 PGS195379:PGS195462 OWW195379:OWW195462 ONA195379:ONA195462 ODE195379:ODE195462 NTI195379:NTI195462 NJM195379:NJM195462 MZQ195379:MZQ195462 MPU195379:MPU195462 MFY195379:MFY195462 LWC195379:LWC195462 LMG195379:LMG195462 LCK195379:LCK195462 KSO195379:KSO195462 KIS195379:KIS195462 JYW195379:JYW195462 JPA195379:JPA195462 JFE195379:JFE195462 IVI195379:IVI195462 ILM195379:ILM195462 IBQ195379:IBQ195462 HRU195379:HRU195462 HHY195379:HHY195462 GYC195379:GYC195462 GOG195379:GOG195462 GEK195379:GEK195462 FUO195379:FUO195462 FKS195379:FKS195462 FAW195379:FAW195462 ERA195379:ERA195462 EHE195379:EHE195462 DXI195379:DXI195462 DNM195379:DNM195462 DDQ195379:DDQ195462 CTU195379:CTU195462 CJY195379:CJY195462 CAC195379:CAC195462 BQG195379:BQG195462 BGK195379:BGK195462 AWO195379:AWO195462 AMS195379:AMS195462 ACW195379:ACW195462 TA195379:TA195462 JE195379:JE195462 I195400:I195483 WVQ129843:WVQ129926 WLU129843:WLU129926 WBY129843:WBY129926 VSC129843:VSC129926 VIG129843:VIG129926 UYK129843:UYK129926 UOO129843:UOO129926 UES129843:UES129926 TUW129843:TUW129926 TLA129843:TLA129926 TBE129843:TBE129926 SRI129843:SRI129926 SHM129843:SHM129926 RXQ129843:RXQ129926 RNU129843:RNU129926 RDY129843:RDY129926 QUC129843:QUC129926 QKG129843:QKG129926 QAK129843:QAK129926 PQO129843:PQO129926 PGS129843:PGS129926 OWW129843:OWW129926 ONA129843:ONA129926 ODE129843:ODE129926 NTI129843:NTI129926 NJM129843:NJM129926 MZQ129843:MZQ129926 MPU129843:MPU129926 MFY129843:MFY129926 LWC129843:LWC129926 LMG129843:LMG129926 LCK129843:LCK129926 KSO129843:KSO129926 KIS129843:KIS129926 JYW129843:JYW129926 JPA129843:JPA129926 JFE129843:JFE129926 IVI129843:IVI129926 ILM129843:ILM129926 IBQ129843:IBQ129926 HRU129843:HRU129926 HHY129843:HHY129926 GYC129843:GYC129926 GOG129843:GOG129926 GEK129843:GEK129926 FUO129843:FUO129926 FKS129843:FKS129926 FAW129843:FAW129926 ERA129843:ERA129926 EHE129843:EHE129926 DXI129843:DXI129926 DNM129843:DNM129926 DDQ129843:DDQ129926 CTU129843:CTU129926 CJY129843:CJY129926 CAC129843:CAC129926 BQG129843:BQG129926 BGK129843:BGK129926 AWO129843:AWO129926 AMS129843:AMS129926 ACW129843:ACW129926 TA129843:TA129926 JE129843:JE129926 I129864:I129947 WVQ64307:WVQ64390 WLU64307:WLU64390 WBY64307:WBY64390 VSC64307:VSC64390 VIG64307:VIG64390 UYK64307:UYK64390 UOO64307:UOO64390 UES64307:UES64390 TUW64307:TUW64390 TLA64307:TLA64390 TBE64307:TBE64390 SRI64307:SRI64390 SHM64307:SHM64390 RXQ64307:RXQ64390 RNU64307:RNU64390 RDY64307:RDY64390 QUC64307:QUC64390 QKG64307:QKG64390 QAK64307:QAK64390 PQO64307:PQO64390 PGS64307:PGS64390 OWW64307:OWW64390 ONA64307:ONA64390 ODE64307:ODE64390 NTI64307:NTI64390 NJM64307:NJM64390 MZQ64307:MZQ64390 MPU64307:MPU64390 MFY64307:MFY64390 LWC64307:LWC64390 LMG64307:LMG64390 LCK64307:LCK64390 KSO64307:KSO64390 KIS64307:KIS64390 JYW64307:JYW64390 JPA64307:JPA64390 JFE64307:JFE64390 IVI64307:IVI64390 ILM64307:ILM64390 IBQ64307:IBQ64390 HRU64307:HRU64390 HHY64307:HHY64390 GYC64307:GYC64390 GOG64307:GOG64390 GEK64307:GEK64390 FUO64307:FUO64390 FKS64307:FKS64390 FAW64307:FAW64390 ERA64307:ERA64390 EHE64307:EHE64390 DXI64307:DXI64390 DNM64307:DNM64390 DDQ64307:DDQ64390 CTU64307:CTU64390 CJY64307:CJY64390 CAC64307:CAC64390 BQG64307:BQG64390 BGK64307:BGK64390 AWO64307:AWO64390 AMS64307:AMS64390 ACW64307:ACW64390 TA64307:TA64390 JE64307:JE64390 I64328:I64411 I102:I506 JE2:JE79 TA2:TA79 ACW2:ACW79 AMS2:AMS79 AWO2:AWO79 BGK2:BGK79 BQG2:BQG79 CAC2:CAC79 CJY2:CJY79 CTU2:CTU79 DDQ2:DDQ79 DNM2:DNM79 DXI2:DXI79 EHE2:EHE79 ERA2:ERA79 FAW2:FAW79 FKS2:FKS79 FUO2:FUO79 GEK2:GEK79 GOG2:GOG79 GYC2:GYC79 HHY2:HHY79 HRU2:HRU79 IBQ2:IBQ79 ILM2:ILM79 IVI2:IVI79 JFE2:JFE79 JPA2:JPA79 JYW2:JYW79 KIS2:KIS79 KSO2:KSO79 LCK2:LCK79 LMG2:LMG79 LWC2:LWC79 MFY2:MFY79 MPU2:MPU79 MZQ2:MZQ79 NJM2:NJM79 NTI2:NTI79 ODE2:ODE79 ONA2:ONA79 OWW2:OWW79 PGS2:PGS79 PQO2:PQO79 QAK2:QAK79 QKG2:QKG79 QUC2:QUC79 RDY2:RDY79 RNU2:RNU79 RXQ2:RXQ79 SHM2:SHM79 SRI2:SRI79 TBE2:TBE79 TLA2:TLA79 TUW2:TUW79 UES2:UES79 UOO2:UOO79 UYK2:UYK79 VIG2:VIG79 VSC2:VSC79 WBY2:WBY79 WLU2:WLU79 WVQ2:WVQ79 I2:I100" xr:uid="{1944945C-86F8-49CC-9971-FC808E5B0EC7}">
      <formula1>$AN$5:$AN$6</formula1>
    </dataValidation>
    <dataValidation type="list" allowBlank="1" showInputMessage="1" showErrorMessage="1" sqref="WWG981811:WWI981894 WCO981811:WCQ981894 WMK981811:WMM981894 Y64307:AA64390 JU64307:JW64390 TQ64307:TS64390 ADM64307:ADO64390 ANI64307:ANK64390 AXE64307:AXG64390 BHA64307:BHC64390 BQW64307:BQY64390 CAS64307:CAU64390 CKO64307:CKQ64390 CUK64307:CUM64390 DEG64307:DEI64390 DOC64307:DOE64390 DXY64307:DYA64390 EHU64307:EHW64390 ERQ64307:ERS64390 FBM64307:FBO64390 FLI64307:FLK64390 FVE64307:FVG64390 GFA64307:GFC64390 GOW64307:GOY64390 GYS64307:GYU64390 HIO64307:HIQ64390 HSK64307:HSM64390 ICG64307:ICI64390 IMC64307:IME64390 IVY64307:IWA64390 JFU64307:JFW64390 JPQ64307:JPS64390 JZM64307:JZO64390 KJI64307:KJK64390 KTE64307:KTG64390 LDA64307:LDC64390 LMW64307:LMY64390 LWS64307:LWU64390 MGO64307:MGQ64390 MQK64307:MQM64390 NAG64307:NAI64390 NKC64307:NKE64390 NTY64307:NUA64390 ODU64307:ODW64390 ONQ64307:ONS64390 OXM64307:OXO64390 PHI64307:PHK64390 PRE64307:PRG64390 QBA64307:QBC64390 QKW64307:QKY64390 QUS64307:QUU64390 REO64307:REQ64390 ROK64307:ROM64390 RYG64307:RYI64390 SIC64307:SIE64390 SRY64307:SSA64390 TBU64307:TBW64390 TLQ64307:TLS64390 TVM64307:TVO64390 UFI64307:UFK64390 UPE64307:UPG64390 UZA64307:UZC64390 VIW64307:VIY64390 VSS64307:VSU64390 WCO64307:WCQ64390 WMK64307:WMM64390 WWG64307:WWI64390 Y129843:AA129926 JU129843:JW129926 TQ129843:TS129926 ADM129843:ADO129926 ANI129843:ANK129926 AXE129843:AXG129926 BHA129843:BHC129926 BQW129843:BQY129926 CAS129843:CAU129926 CKO129843:CKQ129926 CUK129843:CUM129926 DEG129843:DEI129926 DOC129843:DOE129926 DXY129843:DYA129926 EHU129843:EHW129926 ERQ129843:ERS129926 FBM129843:FBO129926 FLI129843:FLK129926 FVE129843:FVG129926 GFA129843:GFC129926 GOW129843:GOY129926 GYS129843:GYU129926 HIO129843:HIQ129926 HSK129843:HSM129926 ICG129843:ICI129926 IMC129843:IME129926 IVY129843:IWA129926 JFU129843:JFW129926 JPQ129843:JPS129926 JZM129843:JZO129926 KJI129843:KJK129926 KTE129843:KTG129926 LDA129843:LDC129926 LMW129843:LMY129926 LWS129843:LWU129926 MGO129843:MGQ129926 MQK129843:MQM129926 NAG129843:NAI129926 NKC129843:NKE129926 NTY129843:NUA129926 ODU129843:ODW129926 ONQ129843:ONS129926 OXM129843:OXO129926 PHI129843:PHK129926 PRE129843:PRG129926 QBA129843:QBC129926 QKW129843:QKY129926 QUS129843:QUU129926 REO129843:REQ129926 ROK129843:ROM129926 RYG129843:RYI129926 SIC129843:SIE129926 SRY129843:SSA129926 TBU129843:TBW129926 TLQ129843:TLS129926 TVM129843:TVO129926 UFI129843:UFK129926 UPE129843:UPG129926 UZA129843:UZC129926 VIW129843:VIY129926 VSS129843:VSU129926 WCO129843:WCQ129926 WMK129843:WMM129926 WWG129843:WWI129926 Y195379:AA195462 JU195379:JW195462 TQ195379:TS195462 ADM195379:ADO195462 ANI195379:ANK195462 AXE195379:AXG195462 BHA195379:BHC195462 BQW195379:BQY195462 CAS195379:CAU195462 CKO195379:CKQ195462 CUK195379:CUM195462 DEG195379:DEI195462 DOC195379:DOE195462 DXY195379:DYA195462 EHU195379:EHW195462 ERQ195379:ERS195462 FBM195379:FBO195462 FLI195379:FLK195462 FVE195379:FVG195462 GFA195379:GFC195462 GOW195379:GOY195462 GYS195379:GYU195462 HIO195379:HIQ195462 HSK195379:HSM195462 ICG195379:ICI195462 IMC195379:IME195462 IVY195379:IWA195462 JFU195379:JFW195462 JPQ195379:JPS195462 JZM195379:JZO195462 KJI195379:KJK195462 KTE195379:KTG195462 LDA195379:LDC195462 LMW195379:LMY195462 LWS195379:LWU195462 MGO195379:MGQ195462 MQK195379:MQM195462 NAG195379:NAI195462 NKC195379:NKE195462 NTY195379:NUA195462 ODU195379:ODW195462 ONQ195379:ONS195462 OXM195379:OXO195462 PHI195379:PHK195462 PRE195379:PRG195462 QBA195379:QBC195462 QKW195379:QKY195462 QUS195379:QUU195462 REO195379:REQ195462 ROK195379:ROM195462 RYG195379:RYI195462 SIC195379:SIE195462 SRY195379:SSA195462 TBU195379:TBW195462 TLQ195379:TLS195462 TVM195379:TVO195462 UFI195379:UFK195462 UPE195379:UPG195462 UZA195379:UZC195462 VIW195379:VIY195462 VSS195379:VSU195462 WCO195379:WCQ195462 WMK195379:WMM195462 WWG195379:WWI195462 Y260915:AA260998 JU260915:JW260998 TQ260915:TS260998 ADM260915:ADO260998 ANI260915:ANK260998 AXE260915:AXG260998 BHA260915:BHC260998 BQW260915:BQY260998 CAS260915:CAU260998 CKO260915:CKQ260998 CUK260915:CUM260998 DEG260915:DEI260998 DOC260915:DOE260998 DXY260915:DYA260998 EHU260915:EHW260998 ERQ260915:ERS260998 FBM260915:FBO260998 FLI260915:FLK260998 FVE260915:FVG260998 GFA260915:GFC260998 GOW260915:GOY260998 GYS260915:GYU260998 HIO260915:HIQ260998 HSK260915:HSM260998 ICG260915:ICI260998 IMC260915:IME260998 IVY260915:IWA260998 JFU260915:JFW260998 JPQ260915:JPS260998 JZM260915:JZO260998 KJI260915:KJK260998 KTE260915:KTG260998 LDA260915:LDC260998 LMW260915:LMY260998 LWS260915:LWU260998 MGO260915:MGQ260998 MQK260915:MQM260998 NAG260915:NAI260998 NKC260915:NKE260998 NTY260915:NUA260998 ODU260915:ODW260998 ONQ260915:ONS260998 OXM260915:OXO260998 PHI260915:PHK260998 PRE260915:PRG260998 QBA260915:QBC260998 QKW260915:QKY260998 QUS260915:QUU260998 REO260915:REQ260998 ROK260915:ROM260998 RYG260915:RYI260998 SIC260915:SIE260998 SRY260915:SSA260998 TBU260915:TBW260998 TLQ260915:TLS260998 TVM260915:TVO260998 UFI260915:UFK260998 UPE260915:UPG260998 UZA260915:UZC260998 VIW260915:VIY260998 VSS260915:VSU260998 WCO260915:WCQ260998 WMK260915:WMM260998 WWG260915:WWI260998 Y326451:AA326534 JU326451:JW326534 TQ326451:TS326534 ADM326451:ADO326534 ANI326451:ANK326534 AXE326451:AXG326534 BHA326451:BHC326534 BQW326451:BQY326534 CAS326451:CAU326534 CKO326451:CKQ326534 CUK326451:CUM326534 DEG326451:DEI326534 DOC326451:DOE326534 DXY326451:DYA326534 EHU326451:EHW326534 ERQ326451:ERS326534 FBM326451:FBO326534 FLI326451:FLK326534 FVE326451:FVG326534 GFA326451:GFC326534 GOW326451:GOY326534 GYS326451:GYU326534 HIO326451:HIQ326534 HSK326451:HSM326534 ICG326451:ICI326534 IMC326451:IME326534 IVY326451:IWA326534 JFU326451:JFW326534 JPQ326451:JPS326534 JZM326451:JZO326534 KJI326451:KJK326534 KTE326451:KTG326534 LDA326451:LDC326534 LMW326451:LMY326534 LWS326451:LWU326534 MGO326451:MGQ326534 MQK326451:MQM326534 NAG326451:NAI326534 NKC326451:NKE326534 NTY326451:NUA326534 ODU326451:ODW326534 ONQ326451:ONS326534 OXM326451:OXO326534 PHI326451:PHK326534 PRE326451:PRG326534 QBA326451:QBC326534 QKW326451:QKY326534 QUS326451:QUU326534 REO326451:REQ326534 ROK326451:ROM326534 RYG326451:RYI326534 SIC326451:SIE326534 SRY326451:SSA326534 TBU326451:TBW326534 TLQ326451:TLS326534 TVM326451:TVO326534 UFI326451:UFK326534 UPE326451:UPG326534 UZA326451:UZC326534 VIW326451:VIY326534 VSS326451:VSU326534 WCO326451:WCQ326534 WMK326451:WMM326534 WWG326451:WWI326534 Y391987:AA392070 JU391987:JW392070 TQ391987:TS392070 ADM391987:ADO392070 ANI391987:ANK392070 AXE391987:AXG392070 BHA391987:BHC392070 BQW391987:BQY392070 CAS391987:CAU392070 CKO391987:CKQ392070 CUK391987:CUM392070 DEG391987:DEI392070 DOC391987:DOE392070 DXY391987:DYA392070 EHU391987:EHW392070 ERQ391987:ERS392070 FBM391987:FBO392070 FLI391987:FLK392070 FVE391987:FVG392070 GFA391987:GFC392070 GOW391987:GOY392070 GYS391987:GYU392070 HIO391987:HIQ392070 HSK391987:HSM392070 ICG391987:ICI392070 IMC391987:IME392070 IVY391987:IWA392070 JFU391987:JFW392070 JPQ391987:JPS392070 JZM391987:JZO392070 KJI391987:KJK392070 KTE391987:KTG392070 LDA391987:LDC392070 LMW391987:LMY392070 LWS391987:LWU392070 MGO391987:MGQ392070 MQK391987:MQM392070 NAG391987:NAI392070 NKC391987:NKE392070 NTY391987:NUA392070 ODU391987:ODW392070 ONQ391987:ONS392070 OXM391987:OXO392070 PHI391987:PHK392070 PRE391987:PRG392070 QBA391987:QBC392070 QKW391987:QKY392070 QUS391987:QUU392070 REO391987:REQ392070 ROK391987:ROM392070 RYG391987:RYI392070 SIC391987:SIE392070 SRY391987:SSA392070 TBU391987:TBW392070 TLQ391987:TLS392070 TVM391987:TVO392070 UFI391987:UFK392070 UPE391987:UPG392070 UZA391987:UZC392070 VIW391987:VIY392070 VSS391987:VSU392070 WCO391987:WCQ392070 WMK391987:WMM392070 WWG391987:WWI392070 Y457523:AA457606 JU457523:JW457606 TQ457523:TS457606 ADM457523:ADO457606 ANI457523:ANK457606 AXE457523:AXG457606 BHA457523:BHC457606 BQW457523:BQY457606 CAS457523:CAU457606 CKO457523:CKQ457606 CUK457523:CUM457606 DEG457523:DEI457606 DOC457523:DOE457606 DXY457523:DYA457606 EHU457523:EHW457606 ERQ457523:ERS457606 FBM457523:FBO457606 FLI457523:FLK457606 FVE457523:FVG457606 GFA457523:GFC457606 GOW457523:GOY457606 GYS457523:GYU457606 HIO457523:HIQ457606 HSK457523:HSM457606 ICG457523:ICI457606 IMC457523:IME457606 IVY457523:IWA457606 JFU457523:JFW457606 JPQ457523:JPS457606 JZM457523:JZO457606 KJI457523:KJK457606 KTE457523:KTG457606 LDA457523:LDC457606 LMW457523:LMY457606 LWS457523:LWU457606 MGO457523:MGQ457606 MQK457523:MQM457606 NAG457523:NAI457606 NKC457523:NKE457606 NTY457523:NUA457606 ODU457523:ODW457606 ONQ457523:ONS457606 OXM457523:OXO457606 PHI457523:PHK457606 PRE457523:PRG457606 QBA457523:QBC457606 QKW457523:QKY457606 QUS457523:QUU457606 REO457523:REQ457606 ROK457523:ROM457606 RYG457523:RYI457606 SIC457523:SIE457606 SRY457523:SSA457606 TBU457523:TBW457606 TLQ457523:TLS457606 TVM457523:TVO457606 UFI457523:UFK457606 UPE457523:UPG457606 UZA457523:UZC457606 VIW457523:VIY457606 VSS457523:VSU457606 WCO457523:WCQ457606 WMK457523:WMM457606 WWG457523:WWI457606 Y523059:AA523142 JU523059:JW523142 TQ523059:TS523142 ADM523059:ADO523142 ANI523059:ANK523142 AXE523059:AXG523142 BHA523059:BHC523142 BQW523059:BQY523142 CAS523059:CAU523142 CKO523059:CKQ523142 CUK523059:CUM523142 DEG523059:DEI523142 DOC523059:DOE523142 DXY523059:DYA523142 EHU523059:EHW523142 ERQ523059:ERS523142 FBM523059:FBO523142 FLI523059:FLK523142 FVE523059:FVG523142 GFA523059:GFC523142 GOW523059:GOY523142 GYS523059:GYU523142 HIO523059:HIQ523142 HSK523059:HSM523142 ICG523059:ICI523142 IMC523059:IME523142 IVY523059:IWA523142 JFU523059:JFW523142 JPQ523059:JPS523142 JZM523059:JZO523142 KJI523059:KJK523142 KTE523059:KTG523142 LDA523059:LDC523142 LMW523059:LMY523142 LWS523059:LWU523142 MGO523059:MGQ523142 MQK523059:MQM523142 NAG523059:NAI523142 NKC523059:NKE523142 NTY523059:NUA523142 ODU523059:ODW523142 ONQ523059:ONS523142 OXM523059:OXO523142 PHI523059:PHK523142 PRE523059:PRG523142 QBA523059:QBC523142 QKW523059:QKY523142 QUS523059:QUU523142 REO523059:REQ523142 ROK523059:ROM523142 RYG523059:RYI523142 SIC523059:SIE523142 SRY523059:SSA523142 TBU523059:TBW523142 TLQ523059:TLS523142 TVM523059:TVO523142 UFI523059:UFK523142 UPE523059:UPG523142 UZA523059:UZC523142 VIW523059:VIY523142 VSS523059:VSU523142 WCO523059:WCQ523142 WMK523059:WMM523142 WWG523059:WWI523142 Y588595:AA588678 JU588595:JW588678 TQ588595:TS588678 ADM588595:ADO588678 ANI588595:ANK588678 AXE588595:AXG588678 BHA588595:BHC588678 BQW588595:BQY588678 CAS588595:CAU588678 CKO588595:CKQ588678 CUK588595:CUM588678 DEG588595:DEI588678 DOC588595:DOE588678 DXY588595:DYA588678 EHU588595:EHW588678 ERQ588595:ERS588678 FBM588595:FBO588678 FLI588595:FLK588678 FVE588595:FVG588678 GFA588595:GFC588678 GOW588595:GOY588678 GYS588595:GYU588678 HIO588595:HIQ588678 HSK588595:HSM588678 ICG588595:ICI588678 IMC588595:IME588678 IVY588595:IWA588678 JFU588595:JFW588678 JPQ588595:JPS588678 JZM588595:JZO588678 KJI588595:KJK588678 KTE588595:KTG588678 LDA588595:LDC588678 LMW588595:LMY588678 LWS588595:LWU588678 MGO588595:MGQ588678 MQK588595:MQM588678 NAG588595:NAI588678 NKC588595:NKE588678 NTY588595:NUA588678 ODU588595:ODW588678 ONQ588595:ONS588678 OXM588595:OXO588678 PHI588595:PHK588678 PRE588595:PRG588678 QBA588595:QBC588678 QKW588595:QKY588678 QUS588595:QUU588678 REO588595:REQ588678 ROK588595:ROM588678 RYG588595:RYI588678 SIC588595:SIE588678 SRY588595:SSA588678 TBU588595:TBW588678 TLQ588595:TLS588678 TVM588595:TVO588678 UFI588595:UFK588678 UPE588595:UPG588678 UZA588595:UZC588678 VIW588595:VIY588678 VSS588595:VSU588678 WCO588595:WCQ588678 WMK588595:WMM588678 WWG588595:WWI588678 Y654131:AA654214 JU654131:JW654214 TQ654131:TS654214 ADM654131:ADO654214 ANI654131:ANK654214 AXE654131:AXG654214 BHA654131:BHC654214 BQW654131:BQY654214 CAS654131:CAU654214 CKO654131:CKQ654214 CUK654131:CUM654214 DEG654131:DEI654214 DOC654131:DOE654214 DXY654131:DYA654214 EHU654131:EHW654214 ERQ654131:ERS654214 FBM654131:FBO654214 FLI654131:FLK654214 FVE654131:FVG654214 GFA654131:GFC654214 GOW654131:GOY654214 GYS654131:GYU654214 HIO654131:HIQ654214 HSK654131:HSM654214 ICG654131:ICI654214 IMC654131:IME654214 IVY654131:IWA654214 JFU654131:JFW654214 JPQ654131:JPS654214 JZM654131:JZO654214 KJI654131:KJK654214 KTE654131:KTG654214 LDA654131:LDC654214 LMW654131:LMY654214 LWS654131:LWU654214 MGO654131:MGQ654214 MQK654131:MQM654214 NAG654131:NAI654214 NKC654131:NKE654214 NTY654131:NUA654214 ODU654131:ODW654214 ONQ654131:ONS654214 OXM654131:OXO654214 PHI654131:PHK654214 PRE654131:PRG654214 QBA654131:QBC654214 QKW654131:QKY654214 QUS654131:QUU654214 REO654131:REQ654214 ROK654131:ROM654214 RYG654131:RYI654214 SIC654131:SIE654214 SRY654131:SSA654214 TBU654131:TBW654214 TLQ654131:TLS654214 TVM654131:TVO654214 UFI654131:UFK654214 UPE654131:UPG654214 UZA654131:UZC654214 VIW654131:VIY654214 VSS654131:VSU654214 WCO654131:WCQ654214 WMK654131:WMM654214 WWG654131:WWI654214 Y719667:AA719750 JU719667:JW719750 TQ719667:TS719750 ADM719667:ADO719750 ANI719667:ANK719750 AXE719667:AXG719750 BHA719667:BHC719750 BQW719667:BQY719750 CAS719667:CAU719750 CKO719667:CKQ719750 CUK719667:CUM719750 DEG719667:DEI719750 DOC719667:DOE719750 DXY719667:DYA719750 EHU719667:EHW719750 ERQ719667:ERS719750 FBM719667:FBO719750 FLI719667:FLK719750 FVE719667:FVG719750 GFA719667:GFC719750 GOW719667:GOY719750 GYS719667:GYU719750 HIO719667:HIQ719750 HSK719667:HSM719750 ICG719667:ICI719750 IMC719667:IME719750 IVY719667:IWA719750 JFU719667:JFW719750 JPQ719667:JPS719750 JZM719667:JZO719750 KJI719667:KJK719750 KTE719667:KTG719750 LDA719667:LDC719750 LMW719667:LMY719750 LWS719667:LWU719750 MGO719667:MGQ719750 MQK719667:MQM719750 NAG719667:NAI719750 NKC719667:NKE719750 NTY719667:NUA719750 ODU719667:ODW719750 ONQ719667:ONS719750 OXM719667:OXO719750 PHI719667:PHK719750 PRE719667:PRG719750 QBA719667:QBC719750 QKW719667:QKY719750 QUS719667:QUU719750 REO719667:REQ719750 ROK719667:ROM719750 RYG719667:RYI719750 SIC719667:SIE719750 SRY719667:SSA719750 TBU719667:TBW719750 TLQ719667:TLS719750 TVM719667:TVO719750 UFI719667:UFK719750 UPE719667:UPG719750 UZA719667:UZC719750 VIW719667:VIY719750 VSS719667:VSU719750 WCO719667:WCQ719750 WMK719667:WMM719750 WWG719667:WWI719750 Y785203:AA785286 JU785203:JW785286 TQ785203:TS785286 ADM785203:ADO785286 ANI785203:ANK785286 AXE785203:AXG785286 BHA785203:BHC785286 BQW785203:BQY785286 CAS785203:CAU785286 CKO785203:CKQ785286 CUK785203:CUM785286 DEG785203:DEI785286 DOC785203:DOE785286 DXY785203:DYA785286 EHU785203:EHW785286 ERQ785203:ERS785286 FBM785203:FBO785286 FLI785203:FLK785286 FVE785203:FVG785286 GFA785203:GFC785286 GOW785203:GOY785286 GYS785203:GYU785286 HIO785203:HIQ785286 HSK785203:HSM785286 ICG785203:ICI785286 IMC785203:IME785286 IVY785203:IWA785286 JFU785203:JFW785286 JPQ785203:JPS785286 JZM785203:JZO785286 KJI785203:KJK785286 KTE785203:KTG785286 LDA785203:LDC785286 LMW785203:LMY785286 LWS785203:LWU785286 MGO785203:MGQ785286 MQK785203:MQM785286 NAG785203:NAI785286 NKC785203:NKE785286 NTY785203:NUA785286 ODU785203:ODW785286 ONQ785203:ONS785286 OXM785203:OXO785286 PHI785203:PHK785286 PRE785203:PRG785286 QBA785203:QBC785286 QKW785203:QKY785286 QUS785203:QUU785286 REO785203:REQ785286 ROK785203:ROM785286 RYG785203:RYI785286 SIC785203:SIE785286 SRY785203:SSA785286 TBU785203:TBW785286 TLQ785203:TLS785286 TVM785203:TVO785286 UFI785203:UFK785286 UPE785203:UPG785286 UZA785203:UZC785286 VIW785203:VIY785286 VSS785203:VSU785286 WCO785203:WCQ785286 WMK785203:WMM785286 WWG785203:WWI785286 Y850739:AA850822 JU850739:JW850822 TQ850739:TS850822 ADM850739:ADO850822 ANI850739:ANK850822 AXE850739:AXG850822 BHA850739:BHC850822 BQW850739:BQY850822 CAS850739:CAU850822 CKO850739:CKQ850822 CUK850739:CUM850822 DEG850739:DEI850822 DOC850739:DOE850822 DXY850739:DYA850822 EHU850739:EHW850822 ERQ850739:ERS850822 FBM850739:FBO850822 FLI850739:FLK850822 FVE850739:FVG850822 GFA850739:GFC850822 GOW850739:GOY850822 GYS850739:GYU850822 HIO850739:HIQ850822 HSK850739:HSM850822 ICG850739:ICI850822 IMC850739:IME850822 IVY850739:IWA850822 JFU850739:JFW850822 JPQ850739:JPS850822 JZM850739:JZO850822 KJI850739:KJK850822 KTE850739:KTG850822 LDA850739:LDC850822 LMW850739:LMY850822 LWS850739:LWU850822 MGO850739:MGQ850822 MQK850739:MQM850822 NAG850739:NAI850822 NKC850739:NKE850822 NTY850739:NUA850822 ODU850739:ODW850822 ONQ850739:ONS850822 OXM850739:OXO850822 PHI850739:PHK850822 PRE850739:PRG850822 QBA850739:QBC850822 QKW850739:QKY850822 QUS850739:QUU850822 REO850739:REQ850822 ROK850739:ROM850822 RYG850739:RYI850822 SIC850739:SIE850822 SRY850739:SSA850822 TBU850739:TBW850822 TLQ850739:TLS850822 TVM850739:TVO850822 UFI850739:UFK850822 UPE850739:UPG850822 UZA850739:UZC850822 VIW850739:VIY850822 VSS850739:VSU850822 WCO850739:WCQ850822 WMK850739:WMM850822 WWG850739:WWI850822 Y916275:AA916358 JU916275:JW916358 TQ916275:TS916358 ADM916275:ADO916358 ANI916275:ANK916358 AXE916275:AXG916358 BHA916275:BHC916358 BQW916275:BQY916358 CAS916275:CAU916358 CKO916275:CKQ916358 CUK916275:CUM916358 DEG916275:DEI916358 DOC916275:DOE916358 DXY916275:DYA916358 EHU916275:EHW916358 ERQ916275:ERS916358 FBM916275:FBO916358 FLI916275:FLK916358 FVE916275:FVG916358 GFA916275:GFC916358 GOW916275:GOY916358 GYS916275:GYU916358 HIO916275:HIQ916358 HSK916275:HSM916358 ICG916275:ICI916358 IMC916275:IME916358 IVY916275:IWA916358 JFU916275:JFW916358 JPQ916275:JPS916358 JZM916275:JZO916358 KJI916275:KJK916358 KTE916275:KTG916358 LDA916275:LDC916358 LMW916275:LMY916358 LWS916275:LWU916358 MGO916275:MGQ916358 MQK916275:MQM916358 NAG916275:NAI916358 NKC916275:NKE916358 NTY916275:NUA916358 ODU916275:ODW916358 ONQ916275:ONS916358 OXM916275:OXO916358 PHI916275:PHK916358 PRE916275:PRG916358 QBA916275:QBC916358 QKW916275:QKY916358 QUS916275:QUU916358 REO916275:REQ916358 ROK916275:ROM916358 RYG916275:RYI916358 SIC916275:SIE916358 SRY916275:SSA916358 TBU916275:TBW916358 TLQ916275:TLS916358 TVM916275:TVO916358 UFI916275:UFK916358 UPE916275:UPG916358 UZA916275:UZC916358 VIW916275:VIY916358 VSS916275:VSU916358 WCO916275:WCQ916358 WMK916275:WMM916358 WWG916275:WWI916358 Y981811:AA981894 JU981811:JW981894 TQ981811:TS981894 ADM981811:ADO981894 ANI981811:ANK981894 AXE981811:AXG981894 BHA981811:BHC981894 BQW981811:BQY981894 CAS981811:CAU981894 CKO981811:CKQ981894 CUK981811:CUM981894 DEG981811:DEI981894 DOC981811:DOE981894 DXY981811:DYA981894 EHU981811:EHW981894 ERQ981811:ERS981894 FBM981811:FBO981894 FLI981811:FLK981894 FVE981811:FVG981894 GFA981811:GFC981894 GOW981811:GOY981894 GYS981811:GYU981894 HIO981811:HIQ981894 HSK981811:HSM981894 ICG981811:ICI981894 IMC981811:IME981894 IVY981811:IWA981894 JFU981811:JFW981894 JPQ981811:JPS981894 JZM981811:JZO981894 KJI981811:KJK981894 KTE981811:KTG981894 LDA981811:LDC981894 LMW981811:LMY981894 LWS981811:LWU981894 MGO981811:MGQ981894 MQK981811:MQM981894 NAG981811:NAI981894 NKC981811:NKE981894 NTY981811:NUA981894 ODU981811:ODW981894 ONQ981811:ONS981894 OXM981811:OXO981894 PHI981811:PHK981894 PRE981811:PRG981894 QBA981811:QBC981894 QKW981811:QKY981894 QUS981811:QUU981894 REO981811:REQ981894 ROK981811:ROM981894 RYG981811:RYI981894 SIC981811:SIE981894 SRY981811:SSA981894 TBU981811:TBW981894 TLQ981811:TLS981894 TVM981811:TVO981894 UFI981811:UFK981894 UPE981811:UPG981894 UZA981811:UZC981894 VIW981811:VIY981894 VSS981811:VSU981894 JU2:JW79 TQ2:TS79 ADM2:ADO79 ANI2:ANK79 AXE2:AXG79 BHA2:BHC79 BQW2:BQY79 CAS2:CAU79 CKO2:CKQ79 CUK2:CUM79 DEG2:DEI79 DOC2:DOE79 DXY2:DYA79 EHU2:EHW79 ERQ2:ERS79 FBM2:FBO79 FLI2:FLK79 FVE2:FVG79 GFA2:GFC79 GOW2:GOY79 GYS2:GYU79 HIO2:HIQ79 HSK2:HSM79 ICG2:ICI79 IMC2:IME79 IVY2:IWA79 JFU2:JFW79 JPQ2:JPS79 JZM2:JZO79 KJI2:KJK79 KTE2:KTG79 LDA2:LDC79 LMW2:LMY79 LWS2:LWU79 MGO2:MGQ79 MQK2:MQM79 NAG2:NAI79 NKC2:NKE79 NTY2:NUA79 ODU2:ODW79 ONQ2:ONS79 OXM2:OXO79 PHI2:PHK79 PRE2:PRG79 QBA2:QBC79 QKW2:QKY79 QUS2:QUU79 REO2:REQ79 ROK2:ROM79 RYG2:RYI79 SIC2:SIE79 SRY2:SSA79 TBU2:TBW79 TLQ2:TLS79 TVM2:TVO79 UFI2:UFK79 UPE2:UPG79 UZA2:UZC79 VIW2:VIY79 VSS2:VSU79 WCO2:WCQ79 WMK2:WMM79 WWG2:WWI79" xr:uid="{8801D09E-38F9-456D-AA91-8C57C3CE4FE0}">
      <formula1>$AV$2:$AV$22</formula1>
    </dataValidation>
    <dataValidation type="list" allowBlank="1" showInputMessage="1" showErrorMessage="1" sqref="K127:K506" xr:uid="{CA3AE91A-5157-4E6A-A25D-4C57C82581EB}">
      <formula1>$AR$2:$AR$25</formula1>
    </dataValidation>
    <dataValidation type="list" allowBlank="1" showInputMessage="1" showErrorMessage="1" sqref="J102:J506 J2:J100" xr:uid="{5BF7BAE2-F71D-4B50-8204-6AE9215DB7D0}">
      <formula1>$AP$2:$AP$27</formula1>
    </dataValidation>
    <dataValidation type="list" allowBlank="1" showInputMessage="1" showErrorMessage="1" sqref="F104:F508 F2:F102" xr:uid="{95C5F927-7C47-486C-B8ED-C61E4495B6F1}">
      <formula1>$AH$2:$AH$10</formula1>
    </dataValidation>
    <dataValidation type="list" allowBlank="1" showInputMessage="1" showErrorMessage="1" sqref="E104:E508 E2:E102" xr:uid="{B87815A1-4086-4762-92D3-C57B65A976B6}">
      <formula1>$AG$2:$AG$11</formula1>
    </dataValidation>
    <dataValidation type="list" allowBlank="1" showInputMessage="1" showErrorMessage="1" sqref="A102:A506 A2:A100" xr:uid="{BD39FB48-31EE-41F4-A5BB-BA00EC7D5961}">
      <formula1>$AE$2:$AE$19</formula1>
    </dataValidation>
    <dataValidation type="list" allowBlank="1" showInputMessage="1" showErrorMessage="1" sqref="H102:H506 H2:H100" xr:uid="{DB638C0F-F0E0-4EC8-A45F-D9C713642ACE}">
      <formula1>$AL$2:$AL$8</formula1>
    </dataValidation>
    <dataValidation type="list" allowBlank="1" showInputMessage="1" showErrorMessage="1" sqref="Y102:AA506 Y2:AA100" xr:uid="{2382BD0F-30E7-4B02-8C90-01A61E7D89CB}">
      <formula1>$AV$2:$AV$21</formula1>
    </dataValidation>
    <dataValidation type="decimal" allowBlank="1" showInputMessage="1" showErrorMessage="1" error="硬度を正しく入力して下さい。" sqref="O102:P506 O18:P19 P15 P13 O74:P100 O23:P52" xr:uid="{9FC28BA2-EC7C-496B-B195-7D55A8F0EC6D}">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FCFD6-0C81-442E-A954-DAC85B2DB1BF}">
  <dimension ref="A1:BA145"/>
  <sheetViews>
    <sheetView topLeftCell="A22" zoomScale="85" zoomScaleNormal="85" workbookViewId="0"/>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313</v>
      </c>
      <c r="O1" s="56" t="s">
        <v>14</v>
      </c>
      <c r="P1" s="56" t="s">
        <v>15</v>
      </c>
      <c r="Q1" s="3" t="s">
        <v>16</v>
      </c>
      <c r="R1" s="56" t="s">
        <v>17</v>
      </c>
      <c r="S1" s="56" t="s">
        <v>18</v>
      </c>
      <c r="T1" s="3" t="s">
        <v>19</v>
      </c>
      <c r="U1" s="58" t="s">
        <v>314</v>
      </c>
      <c r="V1" s="5" t="s">
        <v>20</v>
      </c>
      <c r="W1" s="56" t="s">
        <v>21</v>
      </c>
      <c r="X1" s="45" t="s">
        <v>22</v>
      </c>
      <c r="Y1" s="45" t="s">
        <v>23</v>
      </c>
      <c r="Z1" s="45" t="s">
        <v>24</v>
      </c>
      <c r="AA1" s="46"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232</v>
      </c>
      <c r="C2" s="62">
        <v>2019</v>
      </c>
      <c r="D2" s="137" t="s">
        <v>283</v>
      </c>
      <c r="E2" s="53" t="s">
        <v>315</v>
      </c>
      <c r="F2" s="53" t="s">
        <v>316</v>
      </c>
      <c r="G2" s="53" t="s">
        <v>36</v>
      </c>
      <c r="H2" s="53" t="s">
        <v>160</v>
      </c>
      <c r="I2" s="53" t="s">
        <v>159</v>
      </c>
      <c r="J2" s="53" t="s">
        <v>38</v>
      </c>
      <c r="K2" s="53" t="s">
        <v>161</v>
      </c>
      <c r="L2" s="53">
        <v>1</v>
      </c>
      <c r="N2" s="53">
        <v>4</v>
      </c>
      <c r="O2" s="53">
        <v>0.44</v>
      </c>
      <c r="P2" s="53">
        <v>0.4</v>
      </c>
      <c r="Q2" s="75">
        <f>IF(OR(O2="",P2=""),"",AVERAGE(O2,P2))</f>
        <v>0.42000000000000004</v>
      </c>
      <c r="R2" s="53">
        <v>15.9</v>
      </c>
      <c r="S2" s="53">
        <v>105</v>
      </c>
      <c r="T2" s="16">
        <f t="shared" ref="T2:T65" si="0">IF(H2="","",IF(OR(H2="GREEN",H2="GK"),IF(S2&gt;=$AX$2,VLOOKUP(S2,$AX$2:$AY$12,2,1),""),IF(S2&gt;=$AZ$2,VLOOKUP(S2,$AZ$2:$BA$12,2,1),"")))</f>
        <v>33</v>
      </c>
      <c r="U2" s="53">
        <v>398</v>
      </c>
      <c r="V2" s="16">
        <f t="shared" ref="V2:V65" si="1">IF(J2="","",IF(OR(J2="GREEN",J2="GK"),IF(U2&gt;=$AX$2,VLOOKUP(U2,$AX$2:$AY$12,2,1),""),IF(U2&gt;=$AZ$2,VLOOKUP(U2,$AZ$2:$BA$12,2,1),"")))</f>
        <v>16</v>
      </c>
      <c r="W2" s="53">
        <v>2</v>
      </c>
      <c r="X2" s="53" t="s">
        <v>46</v>
      </c>
      <c r="Y2" s="53" t="s">
        <v>317</v>
      </c>
      <c r="Z2" s="53" t="s">
        <v>78</v>
      </c>
      <c r="AA2" s="53" t="s">
        <v>97</v>
      </c>
      <c r="AB2" s="53" t="s">
        <v>318</v>
      </c>
      <c r="AE2" s="64" t="s">
        <v>35</v>
      </c>
      <c r="AG2" s="138" t="s">
        <v>319</v>
      </c>
      <c r="AH2" s="139" t="s">
        <v>320</v>
      </c>
      <c r="AJ2" s="67" t="s">
        <v>36</v>
      </c>
      <c r="AL2" s="67" t="s">
        <v>127</v>
      </c>
      <c r="AN2" s="67" t="s">
        <v>321</v>
      </c>
      <c r="AP2" s="67" t="s">
        <v>38</v>
      </c>
      <c r="AR2" s="67" t="s">
        <v>120</v>
      </c>
      <c r="AT2" s="67" t="s">
        <v>39</v>
      </c>
      <c r="AV2" s="23" t="s">
        <v>55</v>
      </c>
      <c r="AX2" s="68">
        <v>1</v>
      </c>
      <c r="AY2" s="69">
        <v>50</v>
      </c>
      <c r="AZ2" s="69">
        <v>1</v>
      </c>
      <c r="BA2" s="70">
        <v>50</v>
      </c>
    </row>
    <row r="3" spans="1:53" x14ac:dyDescent="0.15">
      <c r="A3" s="53" t="s">
        <v>59</v>
      </c>
      <c r="B3" s="53" t="s">
        <v>232</v>
      </c>
      <c r="C3" s="62">
        <v>2019</v>
      </c>
      <c r="D3" s="137" t="s">
        <v>283</v>
      </c>
      <c r="E3" s="53" t="s">
        <v>315</v>
      </c>
      <c r="F3" s="53" t="s">
        <v>316</v>
      </c>
      <c r="G3" s="53" t="s">
        <v>36</v>
      </c>
      <c r="H3" s="53" t="s">
        <v>160</v>
      </c>
      <c r="I3" s="53" t="s">
        <v>159</v>
      </c>
      <c r="J3" s="53" t="s">
        <v>38</v>
      </c>
      <c r="K3" s="53" t="s">
        <v>161</v>
      </c>
      <c r="L3" s="53">
        <v>2</v>
      </c>
      <c r="N3" s="53">
        <v>4</v>
      </c>
      <c r="O3" s="53">
        <v>0.38</v>
      </c>
      <c r="P3" s="53">
        <v>0.39</v>
      </c>
      <c r="Q3" s="75">
        <f t="shared" ref="Q3:Q66" si="2">IF(OR(O3="",P3=""),"",AVERAGE(O3,P3))</f>
        <v>0.38500000000000001</v>
      </c>
      <c r="R3" s="53">
        <v>16</v>
      </c>
      <c r="S3" s="53">
        <v>106</v>
      </c>
      <c r="T3" s="16">
        <f t="shared" si="0"/>
        <v>33</v>
      </c>
      <c r="U3" s="53">
        <v>398</v>
      </c>
      <c r="V3" s="16">
        <f t="shared" si="1"/>
        <v>16</v>
      </c>
      <c r="W3" s="53">
        <v>2</v>
      </c>
      <c r="X3" s="53" t="s">
        <v>46</v>
      </c>
      <c r="Y3" s="53" t="s">
        <v>317</v>
      </c>
      <c r="Z3" s="53" t="s">
        <v>78</v>
      </c>
      <c r="AA3" s="53" t="s">
        <v>97</v>
      </c>
      <c r="AB3" s="53" t="s">
        <v>318</v>
      </c>
      <c r="AE3" s="22" t="s">
        <v>41</v>
      </c>
      <c r="AG3" s="138" t="s">
        <v>322</v>
      </c>
      <c r="AH3" s="139" t="s">
        <v>316</v>
      </c>
      <c r="AJ3" s="23" t="s">
        <v>42</v>
      </c>
      <c r="AL3" s="23" t="s">
        <v>128</v>
      </c>
      <c r="AN3" s="23" t="s">
        <v>43</v>
      </c>
      <c r="AP3" s="23" t="s">
        <v>44</v>
      </c>
      <c r="AR3" s="23" t="s">
        <v>45</v>
      </c>
      <c r="AT3" s="23" t="s">
        <v>46</v>
      </c>
      <c r="AV3" s="23" t="s">
        <v>308</v>
      </c>
      <c r="AX3" s="24">
        <v>72</v>
      </c>
      <c r="AY3" s="25">
        <v>46</v>
      </c>
      <c r="AZ3" s="25">
        <v>71</v>
      </c>
      <c r="BA3" s="26">
        <v>42</v>
      </c>
    </row>
    <row r="4" spans="1:53" x14ac:dyDescent="0.15">
      <c r="A4" s="53" t="s">
        <v>59</v>
      </c>
      <c r="B4" s="53" t="s">
        <v>232</v>
      </c>
      <c r="C4" s="62">
        <v>2019</v>
      </c>
      <c r="D4" s="137" t="s">
        <v>283</v>
      </c>
      <c r="E4" s="53" t="s">
        <v>315</v>
      </c>
      <c r="F4" s="53" t="s">
        <v>316</v>
      </c>
      <c r="G4" s="53" t="s">
        <v>36</v>
      </c>
      <c r="H4" s="53" t="s">
        <v>160</v>
      </c>
      <c r="I4" s="53" t="s">
        <v>323</v>
      </c>
      <c r="J4" s="53" t="s">
        <v>38</v>
      </c>
      <c r="K4" s="53" t="s">
        <v>161</v>
      </c>
      <c r="L4" s="53">
        <v>3</v>
      </c>
      <c r="N4" s="53">
        <v>4</v>
      </c>
      <c r="O4" s="53">
        <v>0.42</v>
      </c>
      <c r="P4" s="53">
        <v>0.43</v>
      </c>
      <c r="Q4" s="75">
        <f t="shared" si="2"/>
        <v>0.42499999999999999</v>
      </c>
      <c r="R4" s="53">
        <v>15.7</v>
      </c>
      <c r="S4" s="53">
        <v>95</v>
      </c>
      <c r="T4" s="16">
        <f t="shared" si="0"/>
        <v>36</v>
      </c>
      <c r="U4" s="53">
        <v>398</v>
      </c>
      <c r="V4" s="16">
        <f t="shared" si="1"/>
        <v>16</v>
      </c>
      <c r="W4" s="53">
        <v>2</v>
      </c>
      <c r="X4" s="53" t="s">
        <v>46</v>
      </c>
      <c r="Y4" s="53" t="s">
        <v>317</v>
      </c>
      <c r="Z4" s="53" t="s">
        <v>78</v>
      </c>
      <c r="AA4" s="53" t="s">
        <v>97</v>
      </c>
      <c r="AB4" s="53" t="s">
        <v>318</v>
      </c>
      <c r="AE4" s="22" t="s">
        <v>34</v>
      </c>
      <c r="AG4" s="138" t="s">
        <v>324</v>
      </c>
      <c r="AH4" s="139" t="s">
        <v>325</v>
      </c>
      <c r="AJ4" s="27" t="s">
        <v>48</v>
      </c>
      <c r="AL4" s="27" t="s">
        <v>129</v>
      </c>
      <c r="AN4" s="28" t="s">
        <v>49</v>
      </c>
      <c r="AP4" s="23" t="s">
        <v>93</v>
      </c>
      <c r="AR4" s="23" t="s">
        <v>326</v>
      </c>
      <c r="AT4" s="28"/>
      <c r="AV4" s="23" t="s">
        <v>317</v>
      </c>
      <c r="AX4" s="24">
        <v>75</v>
      </c>
      <c r="AY4" s="25">
        <v>42</v>
      </c>
      <c r="AZ4" s="25">
        <v>76</v>
      </c>
      <c r="BA4" s="26">
        <v>39</v>
      </c>
    </row>
    <row r="5" spans="1:53" x14ac:dyDescent="0.15">
      <c r="A5" s="53" t="s">
        <v>59</v>
      </c>
      <c r="B5" s="53" t="s">
        <v>232</v>
      </c>
      <c r="C5" s="62">
        <v>2019</v>
      </c>
      <c r="D5" s="137" t="s">
        <v>283</v>
      </c>
      <c r="E5" s="53" t="s">
        <v>315</v>
      </c>
      <c r="F5" s="53" t="s">
        <v>316</v>
      </c>
      <c r="G5" s="53" t="s">
        <v>36</v>
      </c>
      <c r="H5" s="53" t="s">
        <v>164</v>
      </c>
      <c r="I5" s="53" t="s">
        <v>159</v>
      </c>
      <c r="J5" s="53" t="s">
        <v>38</v>
      </c>
      <c r="K5" s="53" t="s">
        <v>161</v>
      </c>
      <c r="L5" s="53">
        <v>1</v>
      </c>
      <c r="N5" s="53">
        <v>5</v>
      </c>
      <c r="O5" s="53">
        <v>0.71</v>
      </c>
      <c r="P5" s="53">
        <v>0.77</v>
      </c>
      <c r="Q5" s="75">
        <f t="shared" si="2"/>
        <v>0.74</v>
      </c>
      <c r="R5" s="53">
        <v>13.1</v>
      </c>
      <c r="S5" s="53">
        <v>90</v>
      </c>
      <c r="T5" s="16">
        <f t="shared" si="0"/>
        <v>36</v>
      </c>
      <c r="U5" s="53">
        <v>348</v>
      </c>
      <c r="V5" s="16">
        <f t="shared" si="1"/>
        <v>16</v>
      </c>
      <c r="W5" s="53">
        <v>1</v>
      </c>
      <c r="X5" s="53" t="s">
        <v>46</v>
      </c>
      <c r="Y5" s="53" t="s">
        <v>317</v>
      </c>
      <c r="Z5" s="53" t="s">
        <v>78</v>
      </c>
      <c r="AA5" s="53" t="s">
        <v>97</v>
      </c>
      <c r="AB5" s="53" t="s">
        <v>318</v>
      </c>
      <c r="AE5" s="22" t="s">
        <v>51</v>
      </c>
      <c r="AG5" s="138" t="s">
        <v>327</v>
      </c>
      <c r="AH5" s="139" t="s">
        <v>328</v>
      </c>
      <c r="AJ5" s="28"/>
      <c r="AL5" s="73" t="s">
        <v>66</v>
      </c>
      <c r="AN5" s="73" t="s">
        <v>52</v>
      </c>
      <c r="AP5" s="23" t="s">
        <v>244</v>
      </c>
      <c r="AR5" s="23" t="s">
        <v>54</v>
      </c>
      <c r="AV5" s="23" t="s">
        <v>329</v>
      </c>
      <c r="AX5" s="24">
        <v>84</v>
      </c>
      <c r="AY5" s="25">
        <v>39</v>
      </c>
      <c r="AZ5" s="25">
        <v>84</v>
      </c>
      <c r="BA5" s="26">
        <v>36</v>
      </c>
    </row>
    <row r="6" spans="1:53" x14ac:dyDescent="0.15">
      <c r="A6" s="53" t="s">
        <v>59</v>
      </c>
      <c r="B6" s="53" t="s">
        <v>232</v>
      </c>
      <c r="C6" s="62">
        <v>2019</v>
      </c>
      <c r="D6" s="137" t="s">
        <v>283</v>
      </c>
      <c r="E6" s="53" t="s">
        <v>315</v>
      </c>
      <c r="F6" s="53" t="s">
        <v>316</v>
      </c>
      <c r="G6" s="53" t="s">
        <v>36</v>
      </c>
      <c r="H6" s="53" t="s">
        <v>164</v>
      </c>
      <c r="I6" s="53" t="s">
        <v>159</v>
      </c>
      <c r="J6" s="53" t="s">
        <v>38</v>
      </c>
      <c r="K6" s="53" t="s">
        <v>161</v>
      </c>
      <c r="L6" s="53">
        <v>2</v>
      </c>
      <c r="N6" s="53">
        <v>5</v>
      </c>
      <c r="O6" s="53">
        <v>0.76</v>
      </c>
      <c r="P6" s="53">
        <v>0.68</v>
      </c>
      <c r="Q6" s="75">
        <f t="shared" si="2"/>
        <v>0.72</v>
      </c>
      <c r="R6" s="53">
        <v>13</v>
      </c>
      <c r="S6" s="53">
        <v>89</v>
      </c>
      <c r="T6" s="16">
        <f t="shared" si="0"/>
        <v>36</v>
      </c>
      <c r="U6" s="53">
        <v>348</v>
      </c>
      <c r="V6" s="16">
        <f t="shared" si="1"/>
        <v>16</v>
      </c>
      <c r="W6" s="53">
        <v>1</v>
      </c>
      <c r="X6" s="53" t="s">
        <v>46</v>
      </c>
      <c r="Y6" s="53" t="s">
        <v>317</v>
      </c>
      <c r="Z6" s="53" t="s">
        <v>78</v>
      </c>
      <c r="AA6" s="53" t="s">
        <v>97</v>
      </c>
      <c r="AB6" s="53" t="s">
        <v>318</v>
      </c>
      <c r="AE6" s="22" t="s">
        <v>56</v>
      </c>
      <c r="AG6" s="138" t="s">
        <v>330</v>
      </c>
      <c r="AH6" s="139" t="s">
        <v>331</v>
      </c>
      <c r="AL6" s="73" t="s">
        <v>99</v>
      </c>
      <c r="AN6" s="73" t="s">
        <v>57</v>
      </c>
      <c r="AP6" s="23" t="s">
        <v>53</v>
      </c>
      <c r="AR6" s="23" t="s">
        <v>332</v>
      </c>
      <c r="AV6" s="23" t="s">
        <v>60</v>
      </c>
      <c r="AX6" s="24">
        <v>97</v>
      </c>
      <c r="AY6" s="25">
        <v>36</v>
      </c>
      <c r="AZ6" s="25">
        <v>99</v>
      </c>
      <c r="BA6" s="26">
        <v>33</v>
      </c>
    </row>
    <row r="7" spans="1:53" x14ac:dyDescent="0.15">
      <c r="A7" s="53" t="s">
        <v>59</v>
      </c>
      <c r="B7" s="53" t="s">
        <v>232</v>
      </c>
      <c r="C7" s="62">
        <v>2019</v>
      </c>
      <c r="D7" s="137" t="s">
        <v>283</v>
      </c>
      <c r="E7" s="53" t="s">
        <v>315</v>
      </c>
      <c r="F7" s="53" t="s">
        <v>316</v>
      </c>
      <c r="G7" s="53" t="s">
        <v>36</v>
      </c>
      <c r="H7" s="53" t="s">
        <v>164</v>
      </c>
      <c r="I7" s="53" t="s">
        <v>159</v>
      </c>
      <c r="J7" s="53" t="s">
        <v>38</v>
      </c>
      <c r="K7" s="53" t="s">
        <v>161</v>
      </c>
      <c r="L7" s="53">
        <v>3</v>
      </c>
      <c r="N7" s="53">
        <v>5</v>
      </c>
      <c r="O7" s="53">
        <v>0.77</v>
      </c>
      <c r="P7" s="53">
        <v>0.73</v>
      </c>
      <c r="Q7" s="75">
        <f t="shared" si="2"/>
        <v>0.75</v>
      </c>
      <c r="R7" s="53">
        <v>13.5</v>
      </c>
      <c r="S7" s="53">
        <v>90</v>
      </c>
      <c r="T7" s="16">
        <f t="shared" si="0"/>
        <v>36</v>
      </c>
      <c r="U7" s="53">
        <v>348</v>
      </c>
      <c r="V7" s="16">
        <f t="shared" si="1"/>
        <v>16</v>
      </c>
      <c r="W7" s="53">
        <v>1</v>
      </c>
      <c r="X7" s="53" t="s">
        <v>46</v>
      </c>
      <c r="Y7" s="53" t="s">
        <v>317</v>
      </c>
      <c r="Z7" s="53" t="s">
        <v>78</v>
      </c>
      <c r="AA7" s="53" t="s">
        <v>97</v>
      </c>
      <c r="AB7" s="53" t="s">
        <v>318</v>
      </c>
      <c r="AE7" s="22" t="s">
        <v>61</v>
      </c>
      <c r="AG7" s="138" t="s">
        <v>333</v>
      </c>
      <c r="AH7" s="139" t="s">
        <v>334</v>
      </c>
      <c r="AL7" s="34" t="s">
        <v>109</v>
      </c>
      <c r="AP7" s="23" t="s">
        <v>58</v>
      </c>
      <c r="AR7" s="23" t="s">
        <v>335</v>
      </c>
      <c r="AV7" s="23" t="s">
        <v>64</v>
      </c>
      <c r="AX7" s="24">
        <v>109</v>
      </c>
      <c r="AY7" s="25">
        <v>33</v>
      </c>
      <c r="AZ7" s="25">
        <v>113</v>
      </c>
      <c r="BA7" s="26">
        <v>30</v>
      </c>
    </row>
    <row r="8" spans="1:53" x14ac:dyDescent="0.15">
      <c r="A8" s="53" t="s">
        <v>59</v>
      </c>
      <c r="B8" s="53" t="s">
        <v>232</v>
      </c>
      <c r="C8" s="62">
        <v>2019</v>
      </c>
      <c r="D8" s="137" t="s">
        <v>283</v>
      </c>
      <c r="E8" s="53" t="s">
        <v>319</v>
      </c>
      <c r="F8" s="53" t="s">
        <v>320</v>
      </c>
      <c r="G8" s="53" t="s">
        <v>36</v>
      </c>
      <c r="H8" s="53" t="s">
        <v>160</v>
      </c>
      <c r="I8" s="53" t="s">
        <v>159</v>
      </c>
      <c r="J8" s="53" t="s">
        <v>38</v>
      </c>
      <c r="K8" s="53" t="s">
        <v>161</v>
      </c>
      <c r="L8" s="53">
        <v>1</v>
      </c>
      <c r="N8" s="53">
        <v>4</v>
      </c>
      <c r="O8" s="53">
        <v>0.4</v>
      </c>
      <c r="P8" s="53">
        <v>0.46</v>
      </c>
      <c r="Q8" s="75">
        <f t="shared" si="2"/>
        <v>0.43000000000000005</v>
      </c>
      <c r="R8" s="53">
        <v>17.5</v>
      </c>
      <c r="S8" s="53">
        <v>97</v>
      </c>
      <c r="T8" s="16">
        <f t="shared" si="0"/>
        <v>36</v>
      </c>
      <c r="U8" s="53">
        <v>297</v>
      </c>
      <c r="V8" s="16">
        <f t="shared" si="1"/>
        <v>16</v>
      </c>
      <c r="W8" s="53">
        <v>10</v>
      </c>
      <c r="X8" s="53" t="s">
        <v>39</v>
      </c>
      <c r="Y8" s="53" t="s">
        <v>55</v>
      </c>
      <c r="Z8" s="53" t="s">
        <v>97</v>
      </c>
      <c r="AA8" s="53" t="s">
        <v>88</v>
      </c>
      <c r="AB8" s="53" t="s">
        <v>318</v>
      </c>
      <c r="AE8" s="22" t="s">
        <v>59</v>
      </c>
      <c r="AG8" s="140" t="s">
        <v>162</v>
      </c>
      <c r="AH8" s="139" t="s">
        <v>336</v>
      </c>
      <c r="AL8" s="34" t="s">
        <v>134</v>
      </c>
      <c r="AP8" s="23" t="s">
        <v>62</v>
      </c>
      <c r="AR8" s="23" t="s">
        <v>81</v>
      </c>
      <c r="AV8" s="23" t="s">
        <v>97</v>
      </c>
      <c r="AX8" s="24">
        <v>119</v>
      </c>
      <c r="AY8" s="25">
        <v>30</v>
      </c>
      <c r="AZ8" s="25">
        <v>121</v>
      </c>
      <c r="BA8" s="26">
        <v>27</v>
      </c>
    </row>
    <row r="9" spans="1:53" x14ac:dyDescent="0.15">
      <c r="A9" s="53" t="s">
        <v>59</v>
      </c>
      <c r="B9" s="53" t="s">
        <v>232</v>
      </c>
      <c r="C9" s="62">
        <v>2019</v>
      </c>
      <c r="D9" s="137" t="s">
        <v>283</v>
      </c>
      <c r="E9" s="53" t="s">
        <v>319</v>
      </c>
      <c r="F9" s="53" t="s">
        <v>320</v>
      </c>
      <c r="G9" s="53" t="s">
        <v>36</v>
      </c>
      <c r="H9" s="53" t="s">
        <v>160</v>
      </c>
      <c r="I9" s="53" t="s">
        <v>159</v>
      </c>
      <c r="J9" s="53" t="s">
        <v>38</v>
      </c>
      <c r="K9" s="53" t="s">
        <v>161</v>
      </c>
      <c r="L9" s="53">
        <v>2</v>
      </c>
      <c r="N9" s="53">
        <v>4</v>
      </c>
      <c r="O9" s="53">
        <v>0.37</v>
      </c>
      <c r="P9" s="53">
        <v>0.45</v>
      </c>
      <c r="Q9" s="75">
        <f t="shared" si="2"/>
        <v>0.41000000000000003</v>
      </c>
      <c r="R9" s="53">
        <v>18.5</v>
      </c>
      <c r="S9" s="53">
        <v>95</v>
      </c>
      <c r="T9" s="16">
        <f t="shared" si="0"/>
        <v>36</v>
      </c>
      <c r="U9" s="53">
        <v>297</v>
      </c>
      <c r="V9" s="16">
        <f t="shared" si="1"/>
        <v>16</v>
      </c>
      <c r="W9" s="53">
        <v>10</v>
      </c>
      <c r="X9" s="53" t="s">
        <v>39</v>
      </c>
      <c r="Y9" s="53" t="s">
        <v>55</v>
      </c>
      <c r="Z9" s="53" t="s">
        <v>97</v>
      </c>
      <c r="AA9" s="53" t="s">
        <v>88</v>
      </c>
      <c r="AB9" s="53" t="s">
        <v>318</v>
      </c>
      <c r="AE9" s="22" t="s">
        <v>98</v>
      </c>
      <c r="AG9" s="140" t="s">
        <v>337</v>
      </c>
      <c r="AH9" s="139" t="s">
        <v>336</v>
      </c>
      <c r="AL9" s="73"/>
      <c r="AP9" s="23" t="s">
        <v>338</v>
      </c>
      <c r="AR9" s="23" t="s">
        <v>89</v>
      </c>
      <c r="AV9" s="23" t="s">
        <v>102</v>
      </c>
      <c r="AX9" s="24">
        <v>128</v>
      </c>
      <c r="AY9" s="25">
        <v>27</v>
      </c>
      <c r="AZ9" s="25">
        <v>129</v>
      </c>
      <c r="BA9" s="26">
        <v>25</v>
      </c>
    </row>
    <row r="10" spans="1:53" x14ac:dyDescent="0.15">
      <c r="A10" s="53" t="s">
        <v>59</v>
      </c>
      <c r="B10" s="53" t="s">
        <v>232</v>
      </c>
      <c r="C10" s="62">
        <v>2019</v>
      </c>
      <c r="D10" s="137" t="s">
        <v>283</v>
      </c>
      <c r="E10" s="53" t="s">
        <v>319</v>
      </c>
      <c r="F10" s="53" t="s">
        <v>320</v>
      </c>
      <c r="G10" s="53" t="s">
        <v>36</v>
      </c>
      <c r="H10" s="53" t="s">
        <v>160</v>
      </c>
      <c r="I10" s="53" t="s">
        <v>159</v>
      </c>
      <c r="J10" s="53" t="s">
        <v>38</v>
      </c>
      <c r="K10" s="53" t="s">
        <v>161</v>
      </c>
      <c r="L10" s="53">
        <v>3</v>
      </c>
      <c r="N10" s="53">
        <v>4</v>
      </c>
      <c r="O10" s="53">
        <v>0.42</v>
      </c>
      <c r="P10" s="53">
        <v>0.38</v>
      </c>
      <c r="Q10" s="75">
        <f t="shared" si="2"/>
        <v>0.4</v>
      </c>
      <c r="R10" s="53">
        <v>17.2</v>
      </c>
      <c r="S10" s="53">
        <v>105</v>
      </c>
      <c r="T10" s="16">
        <f t="shared" si="0"/>
        <v>33</v>
      </c>
      <c r="U10" s="53">
        <v>297</v>
      </c>
      <c r="V10" s="16">
        <f t="shared" si="1"/>
        <v>16</v>
      </c>
      <c r="W10" s="53">
        <v>10</v>
      </c>
      <c r="X10" s="53" t="s">
        <v>39</v>
      </c>
      <c r="Y10" s="53" t="s">
        <v>55</v>
      </c>
      <c r="Z10" s="53" t="s">
        <v>97</v>
      </c>
      <c r="AA10" s="53" t="s">
        <v>88</v>
      </c>
      <c r="AB10" s="53" t="s">
        <v>318</v>
      </c>
      <c r="AE10" s="22" t="s">
        <v>103</v>
      </c>
      <c r="AG10" s="138" t="s">
        <v>339</v>
      </c>
      <c r="AH10" s="139" t="s">
        <v>328</v>
      </c>
      <c r="AL10" s="83"/>
      <c r="AP10" s="23" t="s">
        <v>100</v>
      </c>
      <c r="AR10" s="23" t="s">
        <v>123</v>
      </c>
      <c r="AV10" s="23" t="s">
        <v>106</v>
      </c>
      <c r="AX10" s="24">
        <v>138</v>
      </c>
      <c r="AY10" s="25">
        <v>25</v>
      </c>
      <c r="AZ10" s="25">
        <v>138</v>
      </c>
      <c r="BA10" s="26">
        <v>22</v>
      </c>
    </row>
    <row r="11" spans="1:53" x14ac:dyDescent="0.15">
      <c r="A11" s="53" t="s">
        <v>59</v>
      </c>
      <c r="B11" s="53" t="s">
        <v>232</v>
      </c>
      <c r="C11" s="62">
        <v>2019</v>
      </c>
      <c r="D11" s="137" t="s">
        <v>283</v>
      </c>
      <c r="E11" s="53" t="s">
        <v>319</v>
      </c>
      <c r="F11" s="53" t="s">
        <v>320</v>
      </c>
      <c r="G11" s="53" t="s">
        <v>36</v>
      </c>
      <c r="H11" s="53" t="s">
        <v>164</v>
      </c>
      <c r="I11" s="53" t="s">
        <v>159</v>
      </c>
      <c r="J11" s="53" t="s">
        <v>38</v>
      </c>
      <c r="K11" s="53" t="s">
        <v>161</v>
      </c>
      <c r="L11" s="53">
        <v>1</v>
      </c>
      <c r="N11" s="53">
        <v>4</v>
      </c>
      <c r="O11" s="53">
        <v>0.32</v>
      </c>
      <c r="P11" s="53">
        <v>0.37</v>
      </c>
      <c r="Q11" s="75">
        <f t="shared" si="2"/>
        <v>0.34499999999999997</v>
      </c>
      <c r="R11" s="53">
        <v>15.5</v>
      </c>
      <c r="S11" s="53">
        <v>98</v>
      </c>
      <c r="T11" s="16">
        <f t="shared" si="0"/>
        <v>36</v>
      </c>
      <c r="U11" s="53">
        <v>157</v>
      </c>
      <c r="V11" s="16">
        <f t="shared" si="1"/>
        <v>18</v>
      </c>
      <c r="W11" s="53">
        <v>10</v>
      </c>
      <c r="X11" s="53" t="s">
        <v>39</v>
      </c>
      <c r="Y11" s="53" t="s">
        <v>55</v>
      </c>
      <c r="Z11" s="53" t="s">
        <v>97</v>
      </c>
      <c r="AA11" s="53" t="s">
        <v>88</v>
      </c>
      <c r="AB11" s="53" t="s">
        <v>318</v>
      </c>
      <c r="AE11" s="22" t="s">
        <v>65</v>
      </c>
      <c r="AG11" s="140" t="s">
        <v>340</v>
      </c>
      <c r="AH11" s="139" t="s">
        <v>341</v>
      </c>
      <c r="AL11" s="83"/>
      <c r="AP11" s="23" t="s">
        <v>342</v>
      </c>
      <c r="AR11" s="23" t="s">
        <v>343</v>
      </c>
      <c r="AV11" s="23" t="s">
        <v>344</v>
      </c>
      <c r="AX11" s="24">
        <v>151</v>
      </c>
      <c r="AY11" s="25">
        <v>22</v>
      </c>
      <c r="AZ11" s="25">
        <v>152</v>
      </c>
      <c r="BA11" s="26">
        <v>18</v>
      </c>
    </row>
    <row r="12" spans="1:53" x14ac:dyDescent="0.15">
      <c r="A12" s="53" t="s">
        <v>59</v>
      </c>
      <c r="B12" s="53" t="s">
        <v>232</v>
      </c>
      <c r="C12" s="62">
        <v>2019</v>
      </c>
      <c r="D12" s="137" t="s">
        <v>283</v>
      </c>
      <c r="E12" s="53" t="s">
        <v>319</v>
      </c>
      <c r="F12" s="53" t="s">
        <v>320</v>
      </c>
      <c r="G12" s="53" t="s">
        <v>36</v>
      </c>
      <c r="H12" s="53" t="s">
        <v>164</v>
      </c>
      <c r="I12" s="53" t="s">
        <v>159</v>
      </c>
      <c r="J12" s="53" t="s">
        <v>38</v>
      </c>
      <c r="K12" s="53" t="s">
        <v>161</v>
      </c>
      <c r="L12" s="53">
        <v>2</v>
      </c>
      <c r="N12" s="53">
        <v>4</v>
      </c>
      <c r="O12" s="53">
        <v>0.28000000000000003</v>
      </c>
      <c r="P12" s="53">
        <v>0.34</v>
      </c>
      <c r="Q12" s="75">
        <f t="shared" si="2"/>
        <v>0.31000000000000005</v>
      </c>
      <c r="R12" s="53">
        <v>13.9</v>
      </c>
      <c r="S12" s="53">
        <v>105</v>
      </c>
      <c r="T12" s="16">
        <f t="shared" si="0"/>
        <v>33</v>
      </c>
      <c r="U12" s="53">
        <v>157</v>
      </c>
      <c r="V12" s="16">
        <f t="shared" si="1"/>
        <v>18</v>
      </c>
      <c r="W12" s="53">
        <v>10</v>
      </c>
      <c r="X12" s="53" t="s">
        <v>39</v>
      </c>
      <c r="Y12" s="53" t="s">
        <v>55</v>
      </c>
      <c r="Z12" s="53" t="s">
        <v>97</v>
      </c>
      <c r="AA12" s="53" t="s">
        <v>88</v>
      </c>
      <c r="AB12" s="53" t="s">
        <v>318</v>
      </c>
      <c r="AE12" s="22" t="s">
        <v>70</v>
      </c>
      <c r="AG12" s="23"/>
      <c r="AH12" s="141"/>
      <c r="AL12" s="83"/>
      <c r="AP12" s="23" t="s">
        <v>67</v>
      </c>
      <c r="AR12" s="23" t="s">
        <v>124</v>
      </c>
      <c r="AV12" s="23" t="s">
        <v>72</v>
      </c>
      <c r="AX12" s="31">
        <v>180</v>
      </c>
      <c r="AY12" s="32">
        <v>18</v>
      </c>
      <c r="AZ12" s="32">
        <v>181</v>
      </c>
      <c r="BA12" s="33">
        <v>16</v>
      </c>
    </row>
    <row r="13" spans="1:53" x14ac:dyDescent="0.15">
      <c r="A13" s="53" t="s">
        <v>59</v>
      </c>
      <c r="B13" s="53" t="s">
        <v>232</v>
      </c>
      <c r="C13" s="62">
        <v>2019</v>
      </c>
      <c r="D13" s="137" t="s">
        <v>283</v>
      </c>
      <c r="E13" s="53" t="s">
        <v>319</v>
      </c>
      <c r="F13" s="53" t="s">
        <v>320</v>
      </c>
      <c r="G13" s="53" t="s">
        <v>36</v>
      </c>
      <c r="H13" s="53" t="s">
        <v>164</v>
      </c>
      <c r="I13" s="53" t="s">
        <v>159</v>
      </c>
      <c r="J13" s="53" t="s">
        <v>38</v>
      </c>
      <c r="K13" s="53" t="s">
        <v>161</v>
      </c>
      <c r="L13" s="53">
        <v>3</v>
      </c>
      <c r="N13" s="53">
        <v>4</v>
      </c>
      <c r="O13" s="53">
        <v>0.39</v>
      </c>
      <c r="P13" s="53">
        <v>0.35</v>
      </c>
      <c r="Q13" s="75">
        <f t="shared" si="2"/>
        <v>0.37</v>
      </c>
      <c r="R13" s="53">
        <v>14.4</v>
      </c>
      <c r="S13" s="53">
        <v>97</v>
      </c>
      <c r="T13" s="16">
        <f t="shared" si="0"/>
        <v>36</v>
      </c>
      <c r="U13" s="53">
        <v>157</v>
      </c>
      <c r="V13" s="16">
        <f t="shared" si="1"/>
        <v>18</v>
      </c>
      <c r="W13" s="53">
        <v>10</v>
      </c>
      <c r="X13" s="53" t="s">
        <v>39</v>
      </c>
      <c r="Y13" s="53" t="s">
        <v>55</v>
      </c>
      <c r="Z13" s="53" t="s">
        <v>97</v>
      </c>
      <c r="AA13" s="53" t="s">
        <v>88</v>
      </c>
      <c r="AB13" s="53" t="s">
        <v>318</v>
      </c>
      <c r="AE13" s="22" t="s">
        <v>73</v>
      </c>
      <c r="AG13" s="23"/>
      <c r="AH13" s="23"/>
      <c r="AP13" s="23" t="s">
        <v>71</v>
      </c>
      <c r="AR13" s="23" t="s">
        <v>103</v>
      </c>
      <c r="AV13" s="23" t="s">
        <v>75</v>
      </c>
    </row>
    <row r="14" spans="1:53" x14ac:dyDescent="0.15">
      <c r="A14" s="53" t="s">
        <v>59</v>
      </c>
      <c r="B14" s="53" t="s">
        <v>232</v>
      </c>
      <c r="C14" s="62">
        <v>2019</v>
      </c>
      <c r="D14" s="137" t="s">
        <v>283</v>
      </c>
      <c r="E14" s="53" t="s">
        <v>327</v>
      </c>
      <c r="F14" s="53" t="s">
        <v>328</v>
      </c>
      <c r="G14" s="53" t="s">
        <v>36</v>
      </c>
      <c r="H14" s="53" t="s">
        <v>160</v>
      </c>
      <c r="I14" s="53" t="s">
        <v>159</v>
      </c>
      <c r="J14" s="53" t="s">
        <v>38</v>
      </c>
      <c r="K14" s="53" t="s">
        <v>161</v>
      </c>
      <c r="L14" s="53">
        <v>1</v>
      </c>
      <c r="N14" s="53">
        <v>2</v>
      </c>
      <c r="O14" s="53">
        <v>0.54</v>
      </c>
      <c r="P14" s="53">
        <v>0.48</v>
      </c>
      <c r="Q14" s="75">
        <f t="shared" si="2"/>
        <v>0.51</v>
      </c>
      <c r="R14" s="53">
        <v>18.3</v>
      </c>
      <c r="S14" s="53">
        <v>168</v>
      </c>
      <c r="T14" s="16">
        <f t="shared" si="0"/>
        <v>18</v>
      </c>
      <c r="U14" s="53">
        <v>380</v>
      </c>
      <c r="V14" s="16">
        <f t="shared" si="1"/>
        <v>16</v>
      </c>
      <c r="W14" s="53">
        <v>6</v>
      </c>
      <c r="X14" s="53" t="s">
        <v>46</v>
      </c>
      <c r="Y14" s="53" t="s">
        <v>55</v>
      </c>
      <c r="Z14" s="53" t="s">
        <v>90</v>
      </c>
      <c r="AA14" s="53" t="s">
        <v>97</v>
      </c>
      <c r="AB14" s="53" t="s">
        <v>318</v>
      </c>
      <c r="AE14" s="22" t="s">
        <v>76</v>
      </c>
      <c r="AG14" s="23"/>
      <c r="AH14" s="23"/>
      <c r="AP14" s="23" t="s">
        <v>345</v>
      </c>
      <c r="AR14" s="23" t="s">
        <v>125</v>
      </c>
      <c r="AV14" s="23" t="s">
        <v>78</v>
      </c>
    </row>
    <row r="15" spans="1:53" x14ac:dyDescent="0.15">
      <c r="A15" s="53" t="s">
        <v>59</v>
      </c>
      <c r="B15" s="53" t="s">
        <v>232</v>
      </c>
      <c r="C15" s="62">
        <v>2019</v>
      </c>
      <c r="D15" s="137" t="s">
        <v>283</v>
      </c>
      <c r="E15" s="53" t="s">
        <v>327</v>
      </c>
      <c r="F15" s="53" t="s">
        <v>328</v>
      </c>
      <c r="G15" s="53" t="s">
        <v>36</v>
      </c>
      <c r="H15" s="53" t="s">
        <v>160</v>
      </c>
      <c r="I15" s="53" t="s">
        <v>159</v>
      </c>
      <c r="J15" s="53" t="s">
        <v>38</v>
      </c>
      <c r="K15" s="53" t="s">
        <v>161</v>
      </c>
      <c r="L15" s="53">
        <v>2</v>
      </c>
      <c r="N15" s="53">
        <v>2</v>
      </c>
      <c r="O15" s="53">
        <v>0.57999999999999996</v>
      </c>
      <c r="P15" s="53">
        <v>0.48</v>
      </c>
      <c r="Q15" s="75">
        <f t="shared" si="2"/>
        <v>0.53</v>
      </c>
      <c r="R15" s="53">
        <v>17.7</v>
      </c>
      <c r="S15" s="53">
        <v>150</v>
      </c>
      <c r="T15" s="16">
        <f t="shared" si="0"/>
        <v>22</v>
      </c>
      <c r="U15" s="53">
        <v>380</v>
      </c>
      <c r="V15" s="16">
        <f t="shared" si="1"/>
        <v>16</v>
      </c>
      <c r="W15" s="53">
        <v>6</v>
      </c>
      <c r="X15" s="53" t="s">
        <v>46</v>
      </c>
      <c r="Y15" s="53" t="s">
        <v>55</v>
      </c>
      <c r="Z15" s="53" t="s">
        <v>90</v>
      </c>
      <c r="AA15" s="53" t="s">
        <v>97</v>
      </c>
      <c r="AB15" s="53" t="s">
        <v>318</v>
      </c>
      <c r="AE15" s="22" t="s">
        <v>79</v>
      </c>
      <c r="AG15" s="23"/>
      <c r="AH15" s="23"/>
      <c r="AP15" s="23" t="s">
        <v>346</v>
      </c>
      <c r="AR15" s="23" t="s">
        <v>94</v>
      </c>
      <c r="AV15" s="23" t="s">
        <v>107</v>
      </c>
    </row>
    <row r="16" spans="1:53" x14ac:dyDescent="0.15">
      <c r="A16" s="53" t="s">
        <v>59</v>
      </c>
      <c r="B16" s="53" t="s">
        <v>232</v>
      </c>
      <c r="C16" s="62">
        <v>2019</v>
      </c>
      <c r="D16" s="137" t="s">
        <v>283</v>
      </c>
      <c r="E16" s="53" t="s">
        <v>327</v>
      </c>
      <c r="F16" s="53" t="s">
        <v>328</v>
      </c>
      <c r="G16" s="53" t="s">
        <v>36</v>
      </c>
      <c r="H16" s="53" t="s">
        <v>160</v>
      </c>
      <c r="I16" s="53" t="s">
        <v>159</v>
      </c>
      <c r="J16" s="53" t="s">
        <v>38</v>
      </c>
      <c r="K16" s="53" t="s">
        <v>161</v>
      </c>
      <c r="L16" s="53">
        <v>3</v>
      </c>
      <c r="N16" s="53">
        <v>2</v>
      </c>
      <c r="O16" s="53">
        <v>0.55000000000000004</v>
      </c>
      <c r="P16" s="53">
        <v>0.52</v>
      </c>
      <c r="Q16" s="75">
        <f t="shared" si="2"/>
        <v>0.53500000000000003</v>
      </c>
      <c r="R16" s="53">
        <v>17.5</v>
      </c>
      <c r="S16" s="53">
        <v>159</v>
      </c>
      <c r="T16" s="16">
        <f t="shared" si="0"/>
        <v>18</v>
      </c>
      <c r="U16" s="53">
        <v>380</v>
      </c>
      <c r="V16" s="16">
        <f t="shared" si="1"/>
        <v>16</v>
      </c>
      <c r="W16" s="53">
        <v>6</v>
      </c>
      <c r="X16" s="53" t="s">
        <v>46</v>
      </c>
      <c r="Y16" s="53" t="s">
        <v>55</v>
      </c>
      <c r="Z16" s="53" t="s">
        <v>90</v>
      </c>
      <c r="AA16" s="53" t="s">
        <v>97</v>
      </c>
      <c r="AB16" s="53" t="s">
        <v>318</v>
      </c>
      <c r="AE16" s="22" t="s">
        <v>82</v>
      </c>
      <c r="AG16" s="28"/>
      <c r="AH16" s="28"/>
      <c r="AP16" s="23" t="s">
        <v>80</v>
      </c>
      <c r="AR16" s="23" t="s">
        <v>63</v>
      </c>
      <c r="AV16" s="23" t="s">
        <v>84</v>
      </c>
    </row>
    <row r="17" spans="1:48" x14ac:dyDescent="0.15">
      <c r="A17" s="53" t="s">
        <v>59</v>
      </c>
      <c r="B17" s="53" t="s">
        <v>232</v>
      </c>
      <c r="C17" s="62">
        <v>2019</v>
      </c>
      <c r="D17" s="137" t="s">
        <v>283</v>
      </c>
      <c r="E17" s="53" t="s">
        <v>327</v>
      </c>
      <c r="F17" s="53" t="s">
        <v>328</v>
      </c>
      <c r="G17" s="53" t="s">
        <v>36</v>
      </c>
      <c r="H17" s="53" t="s">
        <v>164</v>
      </c>
      <c r="I17" s="53" t="s">
        <v>159</v>
      </c>
      <c r="J17" s="53" t="s">
        <v>38</v>
      </c>
      <c r="K17" s="53" t="s">
        <v>161</v>
      </c>
      <c r="L17" s="53">
        <v>1</v>
      </c>
      <c r="N17" s="53">
        <v>2</v>
      </c>
      <c r="O17" s="53">
        <v>0.79</v>
      </c>
      <c r="P17" s="53">
        <v>0.82</v>
      </c>
      <c r="Q17" s="75">
        <f t="shared" si="2"/>
        <v>0.80499999999999994</v>
      </c>
      <c r="R17" s="53">
        <v>15.5</v>
      </c>
      <c r="S17" s="53">
        <v>158</v>
      </c>
      <c r="T17" s="16">
        <f t="shared" si="0"/>
        <v>18</v>
      </c>
      <c r="U17" s="53">
        <v>380</v>
      </c>
      <c r="V17" s="16">
        <f t="shared" si="1"/>
        <v>16</v>
      </c>
      <c r="W17" s="53">
        <v>6</v>
      </c>
      <c r="X17" s="53" t="s">
        <v>46</v>
      </c>
      <c r="Y17" s="53" t="s">
        <v>55</v>
      </c>
      <c r="Z17" s="53" t="s">
        <v>90</v>
      </c>
      <c r="AA17" s="53" t="s">
        <v>97</v>
      </c>
      <c r="AB17" s="53" t="s">
        <v>318</v>
      </c>
      <c r="AE17" s="22" t="s">
        <v>85</v>
      </c>
      <c r="AP17" s="27" t="s">
        <v>110</v>
      </c>
      <c r="AR17" s="23" t="s">
        <v>96</v>
      </c>
      <c r="AV17" s="23" t="s">
        <v>86</v>
      </c>
    </row>
    <row r="18" spans="1:48" x14ac:dyDescent="0.15">
      <c r="A18" s="53" t="s">
        <v>59</v>
      </c>
      <c r="B18" s="53" t="s">
        <v>232</v>
      </c>
      <c r="C18" s="62">
        <v>2019</v>
      </c>
      <c r="D18" s="137" t="s">
        <v>283</v>
      </c>
      <c r="E18" s="53" t="s">
        <v>327</v>
      </c>
      <c r="F18" s="53" t="s">
        <v>328</v>
      </c>
      <c r="G18" s="53" t="s">
        <v>36</v>
      </c>
      <c r="H18" s="53" t="s">
        <v>164</v>
      </c>
      <c r="I18" s="53" t="s">
        <v>159</v>
      </c>
      <c r="J18" s="53" t="s">
        <v>38</v>
      </c>
      <c r="K18" s="53" t="s">
        <v>161</v>
      </c>
      <c r="L18" s="53">
        <v>2</v>
      </c>
      <c r="N18" s="53">
        <v>2</v>
      </c>
      <c r="O18" s="53">
        <v>0.8</v>
      </c>
      <c r="P18" s="53">
        <v>0.82</v>
      </c>
      <c r="Q18" s="75">
        <f t="shared" si="2"/>
        <v>0.81</v>
      </c>
      <c r="R18" s="53">
        <v>15.7</v>
      </c>
      <c r="S18" s="53">
        <v>155</v>
      </c>
      <c r="T18" s="16">
        <f t="shared" si="0"/>
        <v>18</v>
      </c>
      <c r="U18" s="53">
        <v>380</v>
      </c>
      <c r="V18" s="16">
        <f t="shared" si="1"/>
        <v>16</v>
      </c>
      <c r="W18" s="53">
        <v>6</v>
      </c>
      <c r="X18" s="53" t="s">
        <v>46</v>
      </c>
      <c r="Y18" s="53" t="s">
        <v>55</v>
      </c>
      <c r="Z18" s="53" t="s">
        <v>90</v>
      </c>
      <c r="AA18" s="53" t="s">
        <v>97</v>
      </c>
      <c r="AB18" s="53" t="s">
        <v>318</v>
      </c>
      <c r="AE18" s="22" t="s">
        <v>87</v>
      </c>
      <c r="AP18" s="27" t="s">
        <v>347</v>
      </c>
      <c r="AR18" s="23" t="s">
        <v>101</v>
      </c>
      <c r="AV18" s="23" t="s">
        <v>88</v>
      </c>
    </row>
    <row r="19" spans="1:48" x14ac:dyDescent="0.15">
      <c r="A19" s="53" t="s">
        <v>59</v>
      </c>
      <c r="B19" s="53" t="s">
        <v>232</v>
      </c>
      <c r="C19" s="62">
        <v>2019</v>
      </c>
      <c r="D19" s="137" t="s">
        <v>283</v>
      </c>
      <c r="E19" s="53" t="s">
        <v>327</v>
      </c>
      <c r="F19" s="53" t="s">
        <v>328</v>
      </c>
      <c r="G19" s="53" t="s">
        <v>36</v>
      </c>
      <c r="H19" s="53" t="s">
        <v>164</v>
      </c>
      <c r="I19" s="53" t="s">
        <v>159</v>
      </c>
      <c r="J19" s="53" t="s">
        <v>38</v>
      </c>
      <c r="K19" s="53" t="s">
        <v>161</v>
      </c>
      <c r="L19" s="53">
        <v>3</v>
      </c>
      <c r="N19" s="53">
        <v>2</v>
      </c>
      <c r="O19" s="53">
        <v>0.82</v>
      </c>
      <c r="P19" s="53">
        <v>0.77</v>
      </c>
      <c r="Q19" s="75">
        <f t="shared" si="2"/>
        <v>0.79499999999999993</v>
      </c>
      <c r="R19" s="53">
        <v>15.4</v>
      </c>
      <c r="S19" s="53">
        <v>160</v>
      </c>
      <c r="T19" s="16">
        <f t="shared" si="0"/>
        <v>18</v>
      </c>
      <c r="U19" s="53">
        <v>380</v>
      </c>
      <c r="V19" s="16">
        <f t="shared" si="1"/>
        <v>16</v>
      </c>
      <c r="W19" s="53">
        <v>6</v>
      </c>
      <c r="X19" s="53" t="s">
        <v>46</v>
      </c>
      <c r="Y19" s="53" t="s">
        <v>55</v>
      </c>
      <c r="Z19" s="53" t="s">
        <v>90</v>
      </c>
      <c r="AA19" s="53" t="s">
        <v>97</v>
      </c>
      <c r="AB19" s="53" t="s">
        <v>318</v>
      </c>
      <c r="AE19" s="35" t="s">
        <v>89</v>
      </c>
      <c r="AP19" s="27" t="s">
        <v>112</v>
      </c>
      <c r="AR19" s="23" t="s">
        <v>126</v>
      </c>
      <c r="AV19" s="23" t="s">
        <v>348</v>
      </c>
    </row>
    <row r="20" spans="1:48" x14ac:dyDescent="0.15">
      <c r="A20" s="53" t="s">
        <v>59</v>
      </c>
      <c r="B20" s="53" t="s">
        <v>232</v>
      </c>
      <c r="C20" s="62">
        <v>2019</v>
      </c>
      <c r="D20" s="137" t="s">
        <v>283</v>
      </c>
      <c r="E20" s="53" t="s">
        <v>327</v>
      </c>
      <c r="F20" s="53" t="s">
        <v>328</v>
      </c>
      <c r="G20" s="53" t="s">
        <v>36</v>
      </c>
      <c r="H20" s="53" t="s">
        <v>193</v>
      </c>
      <c r="I20" s="53" t="s">
        <v>159</v>
      </c>
      <c r="J20" s="53" t="s">
        <v>38</v>
      </c>
      <c r="K20" s="53" t="s">
        <v>161</v>
      </c>
      <c r="L20" s="53">
        <v>1</v>
      </c>
      <c r="N20" s="53">
        <v>4</v>
      </c>
      <c r="O20" s="53">
        <v>0.3</v>
      </c>
      <c r="P20" s="53">
        <v>0.39</v>
      </c>
      <c r="Q20" s="75">
        <f t="shared" si="2"/>
        <v>0.34499999999999997</v>
      </c>
      <c r="R20" s="53">
        <v>17.5</v>
      </c>
      <c r="S20" s="53">
        <v>72</v>
      </c>
      <c r="T20" s="16">
        <f t="shared" si="0"/>
        <v>42</v>
      </c>
      <c r="U20" s="53">
        <v>399</v>
      </c>
      <c r="V20" s="16">
        <f t="shared" si="1"/>
        <v>16</v>
      </c>
      <c r="W20" s="53">
        <v>1</v>
      </c>
      <c r="X20" s="53" t="s">
        <v>46</v>
      </c>
      <c r="Y20" s="53" t="s">
        <v>55</v>
      </c>
      <c r="Z20" s="53" t="s">
        <v>90</v>
      </c>
      <c r="AA20" s="53" t="s">
        <v>97</v>
      </c>
      <c r="AB20" s="53" t="s">
        <v>318</v>
      </c>
      <c r="AE20" s="35"/>
      <c r="AP20" s="27" t="s">
        <v>113</v>
      </c>
      <c r="AR20" s="23" t="s">
        <v>105</v>
      </c>
      <c r="AV20" s="27" t="s">
        <v>135</v>
      </c>
    </row>
    <row r="21" spans="1:48" x14ac:dyDescent="0.15">
      <c r="A21" s="53" t="s">
        <v>59</v>
      </c>
      <c r="B21" s="53" t="s">
        <v>232</v>
      </c>
      <c r="C21" s="62">
        <v>2019</v>
      </c>
      <c r="D21" s="137" t="s">
        <v>283</v>
      </c>
      <c r="E21" s="53" t="s">
        <v>327</v>
      </c>
      <c r="F21" s="53" t="s">
        <v>328</v>
      </c>
      <c r="G21" s="53" t="s">
        <v>36</v>
      </c>
      <c r="H21" s="53" t="s">
        <v>193</v>
      </c>
      <c r="I21" s="53" t="s">
        <v>159</v>
      </c>
      <c r="J21" s="53" t="s">
        <v>38</v>
      </c>
      <c r="K21" s="53" t="s">
        <v>161</v>
      </c>
      <c r="L21" s="53">
        <v>2</v>
      </c>
      <c r="N21" s="53">
        <v>4</v>
      </c>
      <c r="O21" s="53">
        <v>0.23</v>
      </c>
      <c r="P21" s="53">
        <v>0.24</v>
      </c>
      <c r="Q21" s="75">
        <f t="shared" si="2"/>
        <v>0.23499999999999999</v>
      </c>
      <c r="R21" s="53">
        <v>15.9</v>
      </c>
      <c r="S21" s="53">
        <v>70</v>
      </c>
      <c r="T21" s="16">
        <f t="shared" si="0"/>
        <v>50</v>
      </c>
      <c r="U21" s="53">
        <v>399</v>
      </c>
      <c r="V21" s="16">
        <f t="shared" si="1"/>
        <v>16</v>
      </c>
      <c r="W21" s="53">
        <v>1</v>
      </c>
      <c r="X21" s="53" t="s">
        <v>46</v>
      </c>
      <c r="Y21" s="53" t="s">
        <v>55</v>
      </c>
      <c r="Z21" s="53" t="s">
        <v>90</v>
      </c>
      <c r="AA21" s="53" t="s">
        <v>97</v>
      </c>
      <c r="AB21" s="53" t="s">
        <v>318</v>
      </c>
      <c r="AE21" s="28"/>
      <c r="AP21" s="27" t="s">
        <v>349</v>
      </c>
      <c r="AR21" s="23" t="s">
        <v>68</v>
      </c>
      <c r="AV21" s="27" t="s">
        <v>136</v>
      </c>
    </row>
    <row r="22" spans="1:48" x14ac:dyDescent="0.15">
      <c r="A22" s="53" t="s">
        <v>59</v>
      </c>
      <c r="B22" s="53" t="s">
        <v>232</v>
      </c>
      <c r="C22" s="62">
        <v>2019</v>
      </c>
      <c r="D22" s="137" t="s">
        <v>283</v>
      </c>
      <c r="E22" s="53" t="s">
        <v>327</v>
      </c>
      <c r="F22" s="53" t="s">
        <v>328</v>
      </c>
      <c r="G22" s="53" t="s">
        <v>36</v>
      </c>
      <c r="H22" s="53" t="s">
        <v>193</v>
      </c>
      <c r="I22" s="53" t="s">
        <v>159</v>
      </c>
      <c r="J22" s="53" t="s">
        <v>38</v>
      </c>
      <c r="K22" s="53" t="s">
        <v>161</v>
      </c>
      <c r="L22" s="53">
        <v>3</v>
      </c>
      <c r="N22" s="53">
        <v>4</v>
      </c>
      <c r="O22" s="53">
        <v>0.26</v>
      </c>
      <c r="P22" s="53">
        <v>0.28000000000000003</v>
      </c>
      <c r="Q22" s="75">
        <f t="shared" si="2"/>
        <v>0.27</v>
      </c>
      <c r="R22" s="53">
        <v>17.8</v>
      </c>
      <c r="S22" s="53">
        <v>90</v>
      </c>
      <c r="T22" s="16">
        <f t="shared" si="0"/>
        <v>36</v>
      </c>
      <c r="U22" s="53">
        <v>399</v>
      </c>
      <c r="V22" s="16">
        <f t="shared" si="1"/>
        <v>16</v>
      </c>
      <c r="W22" s="53">
        <v>1</v>
      </c>
      <c r="X22" s="53" t="s">
        <v>46</v>
      </c>
      <c r="Y22" s="53" t="s">
        <v>55</v>
      </c>
      <c r="Z22" s="53" t="s">
        <v>90</v>
      </c>
      <c r="AA22" s="53" t="s">
        <v>97</v>
      </c>
      <c r="AB22" s="53" t="s">
        <v>318</v>
      </c>
      <c r="AP22" s="27" t="s">
        <v>350</v>
      </c>
      <c r="AR22" s="23" t="s">
        <v>83</v>
      </c>
      <c r="AV22" s="27" t="s">
        <v>351</v>
      </c>
    </row>
    <row r="23" spans="1:48" x14ac:dyDescent="0.15">
      <c r="A23" s="53" t="s">
        <v>59</v>
      </c>
      <c r="B23" s="53" t="s">
        <v>232</v>
      </c>
      <c r="C23" s="62">
        <v>2019</v>
      </c>
      <c r="D23" s="137" t="s">
        <v>283</v>
      </c>
      <c r="E23" s="53" t="s">
        <v>339</v>
      </c>
      <c r="F23" s="53" t="s">
        <v>328</v>
      </c>
      <c r="G23" s="53" t="s">
        <v>36</v>
      </c>
      <c r="H23" s="53" t="s">
        <v>160</v>
      </c>
      <c r="I23" s="53" t="s">
        <v>159</v>
      </c>
      <c r="J23" s="53" t="s">
        <v>38</v>
      </c>
      <c r="K23" s="53" t="s">
        <v>161</v>
      </c>
      <c r="L23" s="53">
        <v>1</v>
      </c>
      <c r="N23" s="53">
        <v>2</v>
      </c>
      <c r="O23" s="53">
        <v>0.26</v>
      </c>
      <c r="P23" s="53">
        <v>0.24</v>
      </c>
      <c r="Q23" s="75">
        <f t="shared" si="2"/>
        <v>0.25</v>
      </c>
      <c r="R23" s="53">
        <v>17.3</v>
      </c>
      <c r="S23" s="53">
        <v>159</v>
      </c>
      <c r="T23" s="16">
        <f t="shared" si="0"/>
        <v>18</v>
      </c>
      <c r="U23" s="53">
        <v>429</v>
      </c>
      <c r="V23" s="16">
        <f t="shared" si="1"/>
        <v>16</v>
      </c>
      <c r="W23" s="53">
        <v>3</v>
      </c>
      <c r="X23" s="53" t="s">
        <v>46</v>
      </c>
      <c r="Y23" s="53" t="s">
        <v>78</v>
      </c>
      <c r="Z23" s="53" t="s">
        <v>55</v>
      </c>
      <c r="AA23" s="53" t="s">
        <v>90</v>
      </c>
      <c r="AB23" s="53" t="s">
        <v>318</v>
      </c>
      <c r="AP23" s="27" t="s">
        <v>137</v>
      </c>
      <c r="AR23" s="23" t="s">
        <v>61</v>
      </c>
      <c r="AV23" s="27" t="s">
        <v>352</v>
      </c>
    </row>
    <row r="24" spans="1:48" x14ac:dyDescent="0.15">
      <c r="A24" s="53" t="s">
        <v>59</v>
      </c>
      <c r="B24" s="53" t="s">
        <v>232</v>
      </c>
      <c r="C24" s="62">
        <v>2019</v>
      </c>
      <c r="D24" s="137" t="s">
        <v>283</v>
      </c>
      <c r="E24" s="53" t="s">
        <v>339</v>
      </c>
      <c r="F24" s="53" t="s">
        <v>328</v>
      </c>
      <c r="G24" s="53" t="s">
        <v>36</v>
      </c>
      <c r="H24" s="53" t="s">
        <v>160</v>
      </c>
      <c r="I24" s="53" t="s">
        <v>159</v>
      </c>
      <c r="J24" s="53" t="s">
        <v>38</v>
      </c>
      <c r="K24" s="53" t="s">
        <v>161</v>
      </c>
      <c r="L24" s="53">
        <v>2</v>
      </c>
      <c r="N24" s="53">
        <v>2</v>
      </c>
      <c r="O24" s="53">
        <v>0.38</v>
      </c>
      <c r="P24" s="53">
        <v>0.4</v>
      </c>
      <c r="Q24" s="75">
        <f t="shared" si="2"/>
        <v>0.39</v>
      </c>
      <c r="R24" s="53">
        <v>16</v>
      </c>
      <c r="S24" s="53">
        <v>154</v>
      </c>
      <c r="T24" s="16">
        <f t="shared" si="0"/>
        <v>18</v>
      </c>
      <c r="U24" s="53">
        <v>429</v>
      </c>
      <c r="V24" s="16">
        <f t="shared" si="1"/>
        <v>16</v>
      </c>
      <c r="W24" s="53">
        <v>3</v>
      </c>
      <c r="X24" s="53" t="s">
        <v>46</v>
      </c>
      <c r="Y24" s="53" t="s">
        <v>78</v>
      </c>
      <c r="Z24" s="53" t="s">
        <v>55</v>
      </c>
      <c r="AA24" s="53" t="s">
        <v>90</v>
      </c>
      <c r="AB24" s="53" t="s">
        <v>318</v>
      </c>
      <c r="AP24" s="27" t="s">
        <v>138</v>
      </c>
      <c r="AR24" s="23" t="s">
        <v>91</v>
      </c>
      <c r="AV24" s="27" t="s">
        <v>353</v>
      </c>
    </row>
    <row r="25" spans="1:48" x14ac:dyDescent="0.15">
      <c r="A25" s="53" t="s">
        <v>59</v>
      </c>
      <c r="B25" s="53" t="s">
        <v>232</v>
      </c>
      <c r="C25" s="62">
        <v>2019</v>
      </c>
      <c r="D25" s="137" t="s">
        <v>283</v>
      </c>
      <c r="E25" s="53" t="s">
        <v>339</v>
      </c>
      <c r="F25" s="53" t="s">
        <v>328</v>
      </c>
      <c r="G25" s="53" t="s">
        <v>36</v>
      </c>
      <c r="H25" s="53" t="s">
        <v>160</v>
      </c>
      <c r="I25" s="53" t="s">
        <v>159</v>
      </c>
      <c r="J25" s="53" t="s">
        <v>38</v>
      </c>
      <c r="K25" s="53" t="s">
        <v>161</v>
      </c>
      <c r="L25" s="53">
        <v>3</v>
      </c>
      <c r="N25" s="53">
        <v>2</v>
      </c>
      <c r="O25" s="53">
        <v>0.42</v>
      </c>
      <c r="P25" s="53">
        <v>0.37</v>
      </c>
      <c r="Q25" s="75">
        <f t="shared" si="2"/>
        <v>0.39500000000000002</v>
      </c>
      <c r="R25" s="53">
        <v>17.3</v>
      </c>
      <c r="S25" s="53">
        <v>158</v>
      </c>
      <c r="T25" s="16">
        <f t="shared" si="0"/>
        <v>18</v>
      </c>
      <c r="U25" s="53">
        <v>429</v>
      </c>
      <c r="V25" s="16">
        <f t="shared" si="1"/>
        <v>16</v>
      </c>
      <c r="W25" s="53">
        <v>3</v>
      </c>
      <c r="X25" s="53" t="s">
        <v>46</v>
      </c>
      <c r="Y25" s="53" t="s">
        <v>78</v>
      </c>
      <c r="Z25" s="53" t="s">
        <v>55</v>
      </c>
      <c r="AA25" s="53" t="s">
        <v>90</v>
      </c>
      <c r="AB25" s="53" t="s">
        <v>318</v>
      </c>
      <c r="AP25" s="27" t="s">
        <v>116</v>
      </c>
      <c r="AR25" s="27" t="s">
        <v>92</v>
      </c>
      <c r="AV25" s="27" t="s">
        <v>354</v>
      </c>
    </row>
    <row r="26" spans="1:48" x14ac:dyDescent="0.15">
      <c r="A26" s="53" t="s">
        <v>59</v>
      </c>
      <c r="B26" s="53" t="s">
        <v>232</v>
      </c>
      <c r="C26" s="62">
        <v>2019</v>
      </c>
      <c r="D26" s="137" t="s">
        <v>283</v>
      </c>
      <c r="E26" s="53" t="s">
        <v>339</v>
      </c>
      <c r="F26" s="53" t="s">
        <v>328</v>
      </c>
      <c r="G26" s="53" t="s">
        <v>36</v>
      </c>
      <c r="H26" s="53" t="s">
        <v>164</v>
      </c>
      <c r="I26" s="53" t="s">
        <v>159</v>
      </c>
      <c r="J26" s="53" t="s">
        <v>38</v>
      </c>
      <c r="K26" s="53" t="s">
        <v>161</v>
      </c>
      <c r="L26" s="53">
        <v>1</v>
      </c>
      <c r="N26" s="53">
        <v>10</v>
      </c>
      <c r="O26" s="53">
        <v>0.5</v>
      </c>
      <c r="P26" s="53">
        <v>0.6</v>
      </c>
      <c r="Q26" s="75">
        <f t="shared" si="2"/>
        <v>0.55000000000000004</v>
      </c>
      <c r="R26" s="53">
        <v>13</v>
      </c>
      <c r="S26" s="53">
        <v>80</v>
      </c>
      <c r="T26" s="16">
        <f t="shared" si="0"/>
        <v>39</v>
      </c>
      <c r="U26" s="53">
        <v>518</v>
      </c>
      <c r="V26" s="16">
        <f t="shared" si="1"/>
        <v>16</v>
      </c>
      <c r="W26" s="53">
        <v>3</v>
      </c>
      <c r="X26" s="53" t="s">
        <v>46</v>
      </c>
      <c r="Y26" s="53" t="s">
        <v>78</v>
      </c>
      <c r="Z26" s="53" t="s">
        <v>55</v>
      </c>
      <c r="AA26" s="53" t="s">
        <v>90</v>
      </c>
      <c r="AB26" s="53" t="s">
        <v>318</v>
      </c>
      <c r="AP26" s="27" t="s">
        <v>117</v>
      </c>
      <c r="AR26" s="27" t="s">
        <v>355</v>
      </c>
      <c r="AV26" s="27"/>
    </row>
    <row r="27" spans="1:48" x14ac:dyDescent="0.15">
      <c r="A27" s="53" t="s">
        <v>59</v>
      </c>
      <c r="B27" s="53" t="s">
        <v>232</v>
      </c>
      <c r="C27" s="62">
        <v>2019</v>
      </c>
      <c r="D27" s="137" t="s">
        <v>283</v>
      </c>
      <c r="E27" s="53" t="s">
        <v>339</v>
      </c>
      <c r="F27" s="53" t="s">
        <v>328</v>
      </c>
      <c r="G27" s="53" t="s">
        <v>36</v>
      </c>
      <c r="H27" s="53" t="s">
        <v>164</v>
      </c>
      <c r="I27" s="53" t="s">
        <v>159</v>
      </c>
      <c r="J27" s="53" t="s">
        <v>38</v>
      </c>
      <c r="K27" s="53" t="s">
        <v>161</v>
      </c>
      <c r="L27" s="53">
        <v>2</v>
      </c>
      <c r="N27" s="53">
        <v>10</v>
      </c>
      <c r="O27" s="53">
        <v>0.67</v>
      </c>
      <c r="P27" s="53">
        <v>0.68</v>
      </c>
      <c r="Q27" s="75">
        <f t="shared" si="2"/>
        <v>0.67500000000000004</v>
      </c>
      <c r="R27" s="53">
        <v>14.1</v>
      </c>
      <c r="S27" s="53">
        <v>81</v>
      </c>
      <c r="T27" s="16">
        <f t="shared" si="0"/>
        <v>39</v>
      </c>
      <c r="U27" s="53">
        <v>518</v>
      </c>
      <c r="V27" s="16">
        <f t="shared" si="1"/>
        <v>16</v>
      </c>
      <c r="W27" s="53">
        <v>3</v>
      </c>
      <c r="X27" s="53" t="s">
        <v>46</v>
      </c>
      <c r="Y27" s="53" t="s">
        <v>78</v>
      </c>
      <c r="Z27" s="53" t="s">
        <v>55</v>
      </c>
      <c r="AA27" s="53" t="s">
        <v>90</v>
      </c>
      <c r="AB27" s="53" t="s">
        <v>318</v>
      </c>
      <c r="AP27" s="27" t="s">
        <v>118</v>
      </c>
      <c r="AR27" s="28" t="s">
        <v>153</v>
      </c>
      <c r="AV27" s="27"/>
    </row>
    <row r="28" spans="1:48" x14ac:dyDescent="0.15">
      <c r="A28" s="53" t="s">
        <v>59</v>
      </c>
      <c r="B28" s="53" t="s">
        <v>232</v>
      </c>
      <c r="C28" s="62">
        <v>2019</v>
      </c>
      <c r="D28" s="137" t="s">
        <v>283</v>
      </c>
      <c r="E28" s="53" t="s">
        <v>339</v>
      </c>
      <c r="F28" s="53" t="s">
        <v>328</v>
      </c>
      <c r="G28" s="53" t="s">
        <v>36</v>
      </c>
      <c r="H28" s="53" t="s">
        <v>164</v>
      </c>
      <c r="I28" s="53" t="s">
        <v>159</v>
      </c>
      <c r="J28" s="53" t="s">
        <v>38</v>
      </c>
      <c r="K28" s="53" t="s">
        <v>161</v>
      </c>
      <c r="L28" s="53">
        <v>3</v>
      </c>
      <c r="N28" s="53">
        <v>10</v>
      </c>
      <c r="O28" s="53">
        <v>0.46</v>
      </c>
      <c r="P28" s="53">
        <v>0.46</v>
      </c>
      <c r="Q28" s="75">
        <f t="shared" si="2"/>
        <v>0.46</v>
      </c>
      <c r="R28" s="53">
        <v>13.5</v>
      </c>
      <c r="S28" s="53">
        <v>76</v>
      </c>
      <c r="T28" s="16">
        <f t="shared" si="0"/>
        <v>39</v>
      </c>
      <c r="U28" s="53">
        <v>518</v>
      </c>
      <c r="V28" s="16">
        <f t="shared" si="1"/>
        <v>16</v>
      </c>
      <c r="W28" s="53">
        <v>3</v>
      </c>
      <c r="X28" s="53" t="s">
        <v>46</v>
      </c>
      <c r="Y28" s="53" t="s">
        <v>78</v>
      </c>
      <c r="Z28" s="53" t="s">
        <v>55</v>
      </c>
      <c r="AA28" s="53" t="s">
        <v>90</v>
      </c>
      <c r="AB28" s="53" t="s">
        <v>318</v>
      </c>
      <c r="AV28" s="27"/>
    </row>
    <row r="29" spans="1:48" x14ac:dyDescent="0.15">
      <c r="A29" s="53" t="s">
        <v>59</v>
      </c>
      <c r="B29" s="53" t="s">
        <v>232</v>
      </c>
      <c r="C29" s="62">
        <v>2019</v>
      </c>
      <c r="D29" s="137" t="s">
        <v>283</v>
      </c>
      <c r="E29" s="53" t="s">
        <v>339</v>
      </c>
      <c r="F29" s="53" t="s">
        <v>328</v>
      </c>
      <c r="G29" s="53" t="s">
        <v>36</v>
      </c>
      <c r="H29" s="53" t="s">
        <v>193</v>
      </c>
      <c r="I29" s="53" t="s">
        <v>159</v>
      </c>
      <c r="J29" s="53" t="s">
        <v>38</v>
      </c>
      <c r="K29" s="53" t="s">
        <v>161</v>
      </c>
      <c r="L29" s="53">
        <v>1</v>
      </c>
      <c r="N29" s="53">
        <v>5</v>
      </c>
      <c r="O29" s="53">
        <v>0.23</v>
      </c>
      <c r="P29" s="53">
        <v>0.33</v>
      </c>
      <c r="Q29" s="75">
        <f t="shared" si="2"/>
        <v>0.28000000000000003</v>
      </c>
      <c r="R29" s="53">
        <v>15</v>
      </c>
      <c r="S29" s="53">
        <v>80</v>
      </c>
      <c r="T29" s="16">
        <f t="shared" si="0"/>
        <v>39</v>
      </c>
      <c r="U29" s="53">
        <v>302</v>
      </c>
      <c r="V29" s="16">
        <f t="shared" si="1"/>
        <v>16</v>
      </c>
      <c r="W29" s="53">
        <v>3</v>
      </c>
      <c r="X29" s="53" t="s">
        <v>46</v>
      </c>
      <c r="Y29" s="53" t="s">
        <v>78</v>
      </c>
      <c r="Z29" s="53" t="s">
        <v>55</v>
      </c>
      <c r="AA29" s="53" t="s">
        <v>90</v>
      </c>
      <c r="AB29" s="53" t="s">
        <v>318</v>
      </c>
      <c r="AV29" s="27"/>
    </row>
    <row r="30" spans="1:48" x14ac:dyDescent="0.15">
      <c r="A30" s="53" t="s">
        <v>59</v>
      </c>
      <c r="B30" s="53" t="s">
        <v>232</v>
      </c>
      <c r="C30" s="62">
        <v>2019</v>
      </c>
      <c r="D30" s="137" t="s">
        <v>283</v>
      </c>
      <c r="E30" s="53" t="s">
        <v>339</v>
      </c>
      <c r="F30" s="53" t="s">
        <v>328</v>
      </c>
      <c r="G30" s="53" t="s">
        <v>36</v>
      </c>
      <c r="H30" s="53" t="s">
        <v>193</v>
      </c>
      <c r="I30" s="53" t="s">
        <v>159</v>
      </c>
      <c r="J30" s="53" t="s">
        <v>38</v>
      </c>
      <c r="K30" s="53" t="s">
        <v>161</v>
      </c>
      <c r="L30" s="53">
        <v>2</v>
      </c>
      <c r="N30" s="53">
        <v>5</v>
      </c>
      <c r="O30" s="53">
        <v>0.35</v>
      </c>
      <c r="P30" s="53">
        <v>0.28999999999999998</v>
      </c>
      <c r="Q30" s="75">
        <f t="shared" si="2"/>
        <v>0.31999999999999995</v>
      </c>
      <c r="R30" s="53">
        <v>16.399999999999999</v>
      </c>
      <c r="S30" s="53">
        <v>95</v>
      </c>
      <c r="T30" s="16">
        <f t="shared" si="0"/>
        <v>36</v>
      </c>
      <c r="U30" s="53">
        <v>302</v>
      </c>
      <c r="V30" s="16">
        <f t="shared" si="1"/>
        <v>16</v>
      </c>
      <c r="W30" s="53">
        <v>3</v>
      </c>
      <c r="X30" s="53" t="s">
        <v>46</v>
      </c>
      <c r="Y30" s="53" t="s">
        <v>78</v>
      </c>
      <c r="Z30" s="53" t="s">
        <v>55</v>
      </c>
      <c r="AA30" s="53" t="s">
        <v>90</v>
      </c>
      <c r="AB30" s="53" t="s">
        <v>318</v>
      </c>
      <c r="AV30" s="27"/>
    </row>
    <row r="31" spans="1:48" x14ac:dyDescent="0.15">
      <c r="A31" s="53" t="s">
        <v>59</v>
      </c>
      <c r="B31" s="53" t="s">
        <v>232</v>
      </c>
      <c r="C31" s="62">
        <v>2019</v>
      </c>
      <c r="D31" s="137" t="s">
        <v>283</v>
      </c>
      <c r="E31" s="53" t="s">
        <v>339</v>
      </c>
      <c r="F31" s="53" t="s">
        <v>328</v>
      </c>
      <c r="G31" s="53" t="s">
        <v>36</v>
      </c>
      <c r="H31" s="53" t="s">
        <v>193</v>
      </c>
      <c r="I31" s="53" t="s">
        <v>159</v>
      </c>
      <c r="J31" s="53" t="s">
        <v>38</v>
      </c>
      <c r="K31" s="53" t="s">
        <v>161</v>
      </c>
      <c r="L31" s="53">
        <v>3</v>
      </c>
      <c r="N31" s="53">
        <v>5</v>
      </c>
      <c r="O31" s="53">
        <v>0.37</v>
      </c>
      <c r="P31" s="53">
        <v>0.32</v>
      </c>
      <c r="Q31" s="75">
        <f t="shared" si="2"/>
        <v>0.34499999999999997</v>
      </c>
      <c r="R31" s="53">
        <v>16.100000000000001</v>
      </c>
      <c r="S31" s="53">
        <v>90</v>
      </c>
      <c r="T31" s="16">
        <f t="shared" si="0"/>
        <v>36</v>
      </c>
      <c r="U31" s="53">
        <v>302</v>
      </c>
      <c r="V31" s="16">
        <f t="shared" si="1"/>
        <v>16</v>
      </c>
      <c r="W31" s="53">
        <v>3</v>
      </c>
      <c r="X31" s="53" t="s">
        <v>46</v>
      </c>
      <c r="Y31" s="53" t="s">
        <v>78</v>
      </c>
      <c r="Z31" s="53" t="s">
        <v>55</v>
      </c>
      <c r="AA31" s="53" t="s">
        <v>90</v>
      </c>
      <c r="AB31" s="53" t="s">
        <v>318</v>
      </c>
      <c r="AV31" s="27"/>
    </row>
    <row r="32" spans="1:48" x14ac:dyDescent="0.15">
      <c r="A32" s="53" t="s">
        <v>59</v>
      </c>
      <c r="B32" s="53" t="s">
        <v>232</v>
      </c>
      <c r="C32" s="62">
        <v>2019</v>
      </c>
      <c r="D32" s="137" t="s">
        <v>283</v>
      </c>
      <c r="E32" s="53" t="s">
        <v>337</v>
      </c>
      <c r="F32" s="53" t="s">
        <v>336</v>
      </c>
      <c r="G32" s="53" t="s">
        <v>36</v>
      </c>
      <c r="H32" s="53" t="s">
        <v>160</v>
      </c>
      <c r="I32" s="53" t="s">
        <v>159</v>
      </c>
      <c r="J32" s="53" t="s">
        <v>38</v>
      </c>
      <c r="K32" s="53" t="s">
        <v>161</v>
      </c>
      <c r="L32" s="53">
        <v>1</v>
      </c>
      <c r="N32" s="53">
        <v>4</v>
      </c>
      <c r="O32" s="53">
        <v>0.56000000000000005</v>
      </c>
      <c r="P32" s="53">
        <v>0.56999999999999995</v>
      </c>
      <c r="Q32" s="75">
        <f t="shared" si="2"/>
        <v>0.56499999999999995</v>
      </c>
      <c r="R32" s="53">
        <v>17.399999999999999</v>
      </c>
      <c r="S32" s="53">
        <v>109</v>
      </c>
      <c r="T32" s="16">
        <f t="shared" si="0"/>
        <v>33</v>
      </c>
      <c r="U32" s="53">
        <v>398</v>
      </c>
      <c r="V32" s="16">
        <f t="shared" si="1"/>
        <v>16</v>
      </c>
      <c r="W32" s="53">
        <v>6</v>
      </c>
      <c r="X32" s="53" t="s">
        <v>46</v>
      </c>
      <c r="Y32" s="53" t="s">
        <v>86</v>
      </c>
      <c r="Z32" s="53" t="s">
        <v>55</v>
      </c>
      <c r="AA32" s="53" t="s">
        <v>88</v>
      </c>
      <c r="AB32" s="53" t="s">
        <v>318</v>
      </c>
      <c r="AV32" s="27"/>
    </row>
    <row r="33" spans="1:48" x14ac:dyDescent="0.15">
      <c r="A33" s="53" t="s">
        <v>59</v>
      </c>
      <c r="B33" s="53" t="s">
        <v>232</v>
      </c>
      <c r="C33" s="62">
        <v>2019</v>
      </c>
      <c r="D33" s="137" t="s">
        <v>283</v>
      </c>
      <c r="E33" s="53" t="s">
        <v>337</v>
      </c>
      <c r="F33" s="53" t="s">
        <v>336</v>
      </c>
      <c r="G33" s="53" t="s">
        <v>36</v>
      </c>
      <c r="H33" s="53" t="s">
        <v>160</v>
      </c>
      <c r="I33" s="53" t="s">
        <v>159</v>
      </c>
      <c r="J33" s="53" t="s">
        <v>38</v>
      </c>
      <c r="K33" s="53" t="s">
        <v>161</v>
      </c>
      <c r="L33" s="53">
        <v>2</v>
      </c>
      <c r="N33" s="53">
        <v>4</v>
      </c>
      <c r="O33" s="53">
        <v>0.47</v>
      </c>
      <c r="P33" s="53">
        <v>0.45</v>
      </c>
      <c r="Q33" s="75">
        <f t="shared" si="2"/>
        <v>0.45999999999999996</v>
      </c>
      <c r="R33" s="53">
        <v>16.2</v>
      </c>
      <c r="S33" s="53">
        <v>114</v>
      </c>
      <c r="T33" s="16">
        <f t="shared" si="0"/>
        <v>30</v>
      </c>
      <c r="U33" s="53">
        <v>398</v>
      </c>
      <c r="V33" s="16">
        <f t="shared" si="1"/>
        <v>16</v>
      </c>
      <c r="W33" s="53">
        <v>6</v>
      </c>
      <c r="X33" s="53" t="s">
        <v>46</v>
      </c>
      <c r="Y33" s="53" t="s">
        <v>86</v>
      </c>
      <c r="Z33" s="53" t="s">
        <v>55</v>
      </c>
      <c r="AA33" s="53" t="s">
        <v>88</v>
      </c>
      <c r="AB33" s="53" t="s">
        <v>318</v>
      </c>
      <c r="AV33" s="27"/>
    </row>
    <row r="34" spans="1:48" x14ac:dyDescent="0.15">
      <c r="A34" s="53" t="s">
        <v>59</v>
      </c>
      <c r="B34" s="53" t="s">
        <v>232</v>
      </c>
      <c r="C34" s="62">
        <v>2019</v>
      </c>
      <c r="D34" s="137" t="s">
        <v>283</v>
      </c>
      <c r="E34" s="53" t="s">
        <v>337</v>
      </c>
      <c r="F34" s="53" t="s">
        <v>336</v>
      </c>
      <c r="G34" s="53" t="s">
        <v>36</v>
      </c>
      <c r="H34" s="53" t="s">
        <v>160</v>
      </c>
      <c r="I34" s="53" t="s">
        <v>159</v>
      </c>
      <c r="J34" s="53" t="s">
        <v>38</v>
      </c>
      <c r="K34" s="53" t="s">
        <v>161</v>
      </c>
      <c r="L34" s="53">
        <v>3</v>
      </c>
      <c r="N34" s="53">
        <v>4</v>
      </c>
      <c r="O34" s="53">
        <v>0.49</v>
      </c>
      <c r="P34" s="53">
        <v>0.55000000000000004</v>
      </c>
      <c r="Q34" s="75">
        <f t="shared" si="2"/>
        <v>0.52</v>
      </c>
      <c r="R34" s="53">
        <v>16.100000000000001</v>
      </c>
      <c r="S34" s="53">
        <v>107</v>
      </c>
      <c r="T34" s="16">
        <f t="shared" si="0"/>
        <v>33</v>
      </c>
      <c r="U34" s="53">
        <v>398</v>
      </c>
      <c r="V34" s="16">
        <f t="shared" si="1"/>
        <v>16</v>
      </c>
      <c r="W34" s="53">
        <v>6</v>
      </c>
      <c r="X34" s="53" t="s">
        <v>46</v>
      </c>
      <c r="Y34" s="53" t="s">
        <v>86</v>
      </c>
      <c r="Z34" s="53" t="s">
        <v>55</v>
      </c>
      <c r="AA34" s="53" t="s">
        <v>88</v>
      </c>
      <c r="AB34" s="53" t="s">
        <v>318</v>
      </c>
      <c r="AV34" s="27"/>
    </row>
    <row r="35" spans="1:48" x14ac:dyDescent="0.15">
      <c r="A35" s="53" t="s">
        <v>59</v>
      </c>
      <c r="B35" s="53" t="s">
        <v>232</v>
      </c>
      <c r="C35" s="62">
        <v>2019</v>
      </c>
      <c r="D35" s="137" t="s">
        <v>283</v>
      </c>
      <c r="E35" s="53" t="s">
        <v>337</v>
      </c>
      <c r="F35" s="53" t="s">
        <v>336</v>
      </c>
      <c r="G35" s="53" t="s">
        <v>36</v>
      </c>
      <c r="H35" s="53" t="s">
        <v>164</v>
      </c>
      <c r="I35" s="53" t="s">
        <v>159</v>
      </c>
      <c r="J35" s="53" t="s">
        <v>38</v>
      </c>
      <c r="K35" s="53" t="s">
        <v>161</v>
      </c>
      <c r="L35" s="53">
        <v>1</v>
      </c>
      <c r="N35" s="53">
        <v>4</v>
      </c>
      <c r="O35" s="53">
        <v>0.3</v>
      </c>
      <c r="P35" s="53">
        <v>0.34</v>
      </c>
      <c r="Q35" s="75">
        <f t="shared" si="2"/>
        <v>0.32</v>
      </c>
      <c r="R35" s="53">
        <v>13.4</v>
      </c>
      <c r="S35" s="53">
        <v>98</v>
      </c>
      <c r="T35" s="16">
        <f t="shared" si="0"/>
        <v>36</v>
      </c>
      <c r="U35" s="53">
        <v>398</v>
      </c>
      <c r="V35" s="16">
        <f t="shared" si="1"/>
        <v>16</v>
      </c>
      <c r="W35" s="53">
        <v>6</v>
      </c>
      <c r="X35" s="53" t="s">
        <v>46</v>
      </c>
      <c r="Y35" s="53" t="s">
        <v>86</v>
      </c>
      <c r="Z35" s="53" t="s">
        <v>55</v>
      </c>
      <c r="AA35" s="53" t="s">
        <v>88</v>
      </c>
      <c r="AB35" s="53" t="s">
        <v>318</v>
      </c>
      <c r="AV35" s="27"/>
    </row>
    <row r="36" spans="1:48" x14ac:dyDescent="0.15">
      <c r="A36" s="53" t="s">
        <v>59</v>
      </c>
      <c r="B36" s="53" t="s">
        <v>232</v>
      </c>
      <c r="C36" s="62">
        <v>2019</v>
      </c>
      <c r="D36" s="137" t="s">
        <v>283</v>
      </c>
      <c r="E36" s="53" t="s">
        <v>337</v>
      </c>
      <c r="F36" s="53" t="s">
        <v>336</v>
      </c>
      <c r="G36" s="53" t="s">
        <v>36</v>
      </c>
      <c r="H36" s="53" t="s">
        <v>164</v>
      </c>
      <c r="I36" s="53" t="s">
        <v>159</v>
      </c>
      <c r="J36" s="53" t="s">
        <v>38</v>
      </c>
      <c r="K36" s="53" t="s">
        <v>161</v>
      </c>
      <c r="L36" s="53">
        <v>2</v>
      </c>
      <c r="N36" s="53">
        <v>4</v>
      </c>
      <c r="O36" s="53">
        <v>0.35</v>
      </c>
      <c r="P36" s="53">
        <v>0.27</v>
      </c>
      <c r="Q36" s="75">
        <f t="shared" si="2"/>
        <v>0.31</v>
      </c>
      <c r="R36" s="53">
        <v>14.7</v>
      </c>
      <c r="S36" s="53">
        <v>105</v>
      </c>
      <c r="T36" s="16">
        <f t="shared" si="0"/>
        <v>33</v>
      </c>
      <c r="U36" s="53">
        <v>398</v>
      </c>
      <c r="V36" s="16">
        <f t="shared" si="1"/>
        <v>16</v>
      </c>
      <c r="W36" s="53">
        <v>6</v>
      </c>
      <c r="X36" s="53" t="s">
        <v>46</v>
      </c>
      <c r="Y36" s="53" t="s">
        <v>86</v>
      </c>
      <c r="Z36" s="53" t="s">
        <v>55</v>
      </c>
      <c r="AA36" s="53" t="s">
        <v>88</v>
      </c>
      <c r="AB36" s="53" t="s">
        <v>318</v>
      </c>
      <c r="AV36" s="27"/>
    </row>
    <row r="37" spans="1:48" x14ac:dyDescent="0.15">
      <c r="A37" s="53" t="s">
        <v>59</v>
      </c>
      <c r="B37" s="53" t="s">
        <v>232</v>
      </c>
      <c r="C37" s="62">
        <v>2019</v>
      </c>
      <c r="D37" s="137" t="s">
        <v>283</v>
      </c>
      <c r="E37" s="53" t="s">
        <v>337</v>
      </c>
      <c r="F37" s="53" t="s">
        <v>336</v>
      </c>
      <c r="G37" s="53" t="s">
        <v>36</v>
      </c>
      <c r="H37" s="53" t="s">
        <v>164</v>
      </c>
      <c r="I37" s="53" t="s">
        <v>159</v>
      </c>
      <c r="J37" s="53" t="s">
        <v>38</v>
      </c>
      <c r="K37" s="53" t="s">
        <v>161</v>
      </c>
      <c r="L37" s="53">
        <v>3</v>
      </c>
      <c r="N37" s="53">
        <v>4</v>
      </c>
      <c r="O37" s="53">
        <v>0.38</v>
      </c>
      <c r="P37" s="53">
        <v>0.34</v>
      </c>
      <c r="Q37" s="75">
        <f t="shared" si="2"/>
        <v>0.36</v>
      </c>
      <c r="R37" s="53">
        <v>13.6</v>
      </c>
      <c r="S37" s="53">
        <v>99</v>
      </c>
      <c r="T37" s="16">
        <f t="shared" si="0"/>
        <v>33</v>
      </c>
      <c r="U37" s="53">
        <v>398</v>
      </c>
      <c r="V37" s="16">
        <f t="shared" si="1"/>
        <v>16</v>
      </c>
      <c r="W37" s="53">
        <v>6</v>
      </c>
      <c r="X37" s="53" t="s">
        <v>46</v>
      </c>
      <c r="Y37" s="53" t="s">
        <v>86</v>
      </c>
      <c r="Z37" s="53" t="s">
        <v>55</v>
      </c>
      <c r="AA37" s="53" t="s">
        <v>88</v>
      </c>
      <c r="AB37" s="53" t="s">
        <v>318</v>
      </c>
      <c r="AV37" s="27"/>
    </row>
    <row r="38" spans="1:48" x14ac:dyDescent="0.15">
      <c r="A38" s="53" t="s">
        <v>59</v>
      </c>
      <c r="B38" s="53" t="s">
        <v>232</v>
      </c>
      <c r="C38" s="62">
        <v>2019</v>
      </c>
      <c r="D38" s="137" t="s">
        <v>283</v>
      </c>
      <c r="E38" s="53" t="s">
        <v>162</v>
      </c>
      <c r="F38" s="53" t="s">
        <v>336</v>
      </c>
      <c r="G38" s="53" t="s">
        <v>36</v>
      </c>
      <c r="H38" s="53" t="s">
        <v>160</v>
      </c>
      <c r="I38" s="53" t="s">
        <v>159</v>
      </c>
      <c r="J38" s="53" t="s">
        <v>38</v>
      </c>
      <c r="K38" s="53" t="s">
        <v>161</v>
      </c>
      <c r="L38" s="53">
        <v>1</v>
      </c>
      <c r="N38" s="53">
        <v>4</v>
      </c>
      <c r="O38" s="53">
        <v>0.24</v>
      </c>
      <c r="P38" s="53">
        <v>0.26</v>
      </c>
      <c r="Q38" s="75">
        <f t="shared" si="2"/>
        <v>0.25</v>
      </c>
      <c r="R38" s="53">
        <v>15.5</v>
      </c>
      <c r="S38" s="53">
        <v>98</v>
      </c>
      <c r="T38" s="16">
        <f t="shared" si="0"/>
        <v>36</v>
      </c>
      <c r="U38" s="53">
        <v>398</v>
      </c>
      <c r="V38" s="16">
        <f t="shared" si="1"/>
        <v>16</v>
      </c>
      <c r="W38" s="53">
        <v>2</v>
      </c>
      <c r="X38" s="53" t="s">
        <v>46</v>
      </c>
      <c r="Y38" s="53" t="s">
        <v>69</v>
      </c>
      <c r="Z38" s="53" t="s">
        <v>55</v>
      </c>
      <c r="AA38" s="53" t="s">
        <v>78</v>
      </c>
      <c r="AB38" s="53" t="s">
        <v>318</v>
      </c>
      <c r="AV38" s="27"/>
    </row>
    <row r="39" spans="1:48" x14ac:dyDescent="0.15">
      <c r="A39" s="53" t="s">
        <v>59</v>
      </c>
      <c r="B39" s="53" t="s">
        <v>232</v>
      </c>
      <c r="C39" s="62">
        <v>2019</v>
      </c>
      <c r="D39" s="137" t="s">
        <v>283</v>
      </c>
      <c r="E39" s="53" t="s">
        <v>162</v>
      </c>
      <c r="F39" s="53" t="s">
        <v>336</v>
      </c>
      <c r="G39" s="53" t="s">
        <v>36</v>
      </c>
      <c r="H39" s="53" t="s">
        <v>160</v>
      </c>
      <c r="I39" s="53" t="s">
        <v>159</v>
      </c>
      <c r="J39" s="53" t="s">
        <v>38</v>
      </c>
      <c r="K39" s="53" t="s">
        <v>161</v>
      </c>
      <c r="L39" s="53">
        <v>2</v>
      </c>
      <c r="N39" s="53">
        <v>4</v>
      </c>
      <c r="O39" s="53">
        <v>0.23</v>
      </c>
      <c r="P39" s="53">
        <v>0.28000000000000003</v>
      </c>
      <c r="Q39" s="75">
        <f t="shared" si="2"/>
        <v>0.255</v>
      </c>
      <c r="R39" s="53">
        <v>15.9</v>
      </c>
      <c r="S39" s="53">
        <v>94</v>
      </c>
      <c r="T39" s="16">
        <f t="shared" si="0"/>
        <v>36</v>
      </c>
      <c r="U39" s="53">
        <v>398</v>
      </c>
      <c r="V39" s="16">
        <f t="shared" si="1"/>
        <v>16</v>
      </c>
      <c r="W39" s="53">
        <v>2</v>
      </c>
      <c r="X39" s="53" t="s">
        <v>46</v>
      </c>
      <c r="Y39" s="53" t="s">
        <v>69</v>
      </c>
      <c r="Z39" s="53" t="s">
        <v>55</v>
      </c>
      <c r="AA39" s="53" t="s">
        <v>78</v>
      </c>
      <c r="AB39" s="53" t="s">
        <v>318</v>
      </c>
      <c r="AV39" s="27"/>
    </row>
    <row r="40" spans="1:48" x14ac:dyDescent="0.15">
      <c r="A40" s="53" t="s">
        <v>59</v>
      </c>
      <c r="B40" s="53" t="s">
        <v>232</v>
      </c>
      <c r="C40" s="62">
        <v>2019</v>
      </c>
      <c r="D40" s="137" t="s">
        <v>283</v>
      </c>
      <c r="E40" s="53" t="s">
        <v>162</v>
      </c>
      <c r="F40" s="53" t="s">
        <v>336</v>
      </c>
      <c r="G40" s="53" t="s">
        <v>36</v>
      </c>
      <c r="H40" s="53" t="s">
        <v>160</v>
      </c>
      <c r="I40" s="53" t="s">
        <v>159</v>
      </c>
      <c r="J40" s="53" t="s">
        <v>38</v>
      </c>
      <c r="K40" s="53" t="s">
        <v>161</v>
      </c>
      <c r="L40" s="53">
        <v>3</v>
      </c>
      <c r="N40" s="53">
        <v>4</v>
      </c>
      <c r="O40" s="53">
        <v>0.25</v>
      </c>
      <c r="P40" s="53">
        <v>0.28999999999999998</v>
      </c>
      <c r="Q40" s="75">
        <f t="shared" si="2"/>
        <v>0.27</v>
      </c>
      <c r="R40" s="53">
        <v>15.4</v>
      </c>
      <c r="S40" s="53">
        <v>95</v>
      </c>
      <c r="T40" s="16">
        <f t="shared" si="0"/>
        <v>36</v>
      </c>
      <c r="U40" s="53">
        <v>398</v>
      </c>
      <c r="V40" s="16">
        <f t="shared" si="1"/>
        <v>16</v>
      </c>
      <c r="W40" s="53">
        <v>2</v>
      </c>
      <c r="X40" s="53" t="s">
        <v>46</v>
      </c>
      <c r="Y40" s="53" t="s">
        <v>69</v>
      </c>
      <c r="Z40" s="53" t="s">
        <v>55</v>
      </c>
      <c r="AA40" s="53" t="s">
        <v>78</v>
      </c>
      <c r="AB40" s="53" t="s">
        <v>318</v>
      </c>
      <c r="AV40" s="27"/>
    </row>
    <row r="41" spans="1:48" x14ac:dyDescent="0.15">
      <c r="A41" s="53" t="s">
        <v>59</v>
      </c>
      <c r="B41" s="53" t="s">
        <v>232</v>
      </c>
      <c r="C41" s="62">
        <v>2019</v>
      </c>
      <c r="D41" s="137" t="s">
        <v>283</v>
      </c>
      <c r="E41" s="53" t="s">
        <v>162</v>
      </c>
      <c r="F41" s="53" t="s">
        <v>336</v>
      </c>
      <c r="G41" s="53" t="s">
        <v>36</v>
      </c>
      <c r="H41" s="53" t="s">
        <v>164</v>
      </c>
      <c r="I41" s="53" t="s">
        <v>159</v>
      </c>
      <c r="J41" s="53" t="s">
        <v>38</v>
      </c>
      <c r="K41" s="53" t="s">
        <v>161</v>
      </c>
      <c r="L41" s="53">
        <v>1</v>
      </c>
      <c r="N41" s="53">
        <v>5</v>
      </c>
      <c r="O41" s="53">
        <v>0.39</v>
      </c>
      <c r="P41" s="53">
        <v>0.42</v>
      </c>
      <c r="Q41" s="75">
        <f t="shared" si="2"/>
        <v>0.40500000000000003</v>
      </c>
      <c r="R41" s="53">
        <v>15.1</v>
      </c>
      <c r="S41" s="53">
        <v>92</v>
      </c>
      <c r="T41" s="16">
        <f t="shared" si="0"/>
        <v>36</v>
      </c>
      <c r="U41" s="53">
        <v>398</v>
      </c>
      <c r="V41" s="16">
        <f t="shared" si="1"/>
        <v>16</v>
      </c>
      <c r="W41" s="53">
        <v>5</v>
      </c>
      <c r="X41" s="53" t="s">
        <v>46</v>
      </c>
      <c r="Y41" s="53" t="s">
        <v>69</v>
      </c>
      <c r="Z41" s="53" t="s">
        <v>55</v>
      </c>
      <c r="AA41" s="53" t="s">
        <v>78</v>
      </c>
      <c r="AB41" s="53" t="s">
        <v>318</v>
      </c>
      <c r="AV41" s="27"/>
    </row>
    <row r="42" spans="1:48" x14ac:dyDescent="0.15">
      <c r="A42" s="53" t="s">
        <v>59</v>
      </c>
      <c r="B42" s="53" t="s">
        <v>232</v>
      </c>
      <c r="C42" s="62">
        <v>2019</v>
      </c>
      <c r="D42" s="137" t="s">
        <v>283</v>
      </c>
      <c r="E42" s="53" t="s">
        <v>162</v>
      </c>
      <c r="F42" s="53" t="s">
        <v>336</v>
      </c>
      <c r="G42" s="53" t="s">
        <v>36</v>
      </c>
      <c r="H42" s="53" t="s">
        <v>164</v>
      </c>
      <c r="I42" s="53" t="s">
        <v>159</v>
      </c>
      <c r="J42" s="53" t="s">
        <v>38</v>
      </c>
      <c r="K42" s="53" t="s">
        <v>161</v>
      </c>
      <c r="L42" s="53">
        <v>2</v>
      </c>
      <c r="N42" s="53">
        <v>5</v>
      </c>
      <c r="O42" s="53">
        <v>0.31</v>
      </c>
      <c r="P42" s="53">
        <v>0.3</v>
      </c>
      <c r="Q42" s="75">
        <f t="shared" si="2"/>
        <v>0.30499999999999999</v>
      </c>
      <c r="R42" s="53">
        <v>13.2</v>
      </c>
      <c r="S42" s="53">
        <v>96</v>
      </c>
      <c r="T42" s="16">
        <f t="shared" si="0"/>
        <v>36</v>
      </c>
      <c r="U42" s="53">
        <v>398</v>
      </c>
      <c r="V42" s="16">
        <f t="shared" si="1"/>
        <v>16</v>
      </c>
      <c r="W42" s="53">
        <v>5</v>
      </c>
      <c r="X42" s="53" t="s">
        <v>46</v>
      </c>
      <c r="Y42" s="53" t="s">
        <v>69</v>
      </c>
      <c r="Z42" s="53" t="s">
        <v>55</v>
      </c>
      <c r="AA42" s="53" t="s">
        <v>78</v>
      </c>
      <c r="AB42" s="53" t="s">
        <v>318</v>
      </c>
      <c r="AV42" s="27"/>
    </row>
    <row r="43" spans="1:48" x14ac:dyDescent="0.15">
      <c r="A43" s="53" t="s">
        <v>59</v>
      </c>
      <c r="B43" s="53" t="s">
        <v>232</v>
      </c>
      <c r="C43" s="62">
        <v>2019</v>
      </c>
      <c r="D43" s="137" t="s">
        <v>283</v>
      </c>
      <c r="E43" s="53" t="s">
        <v>162</v>
      </c>
      <c r="F43" s="53" t="s">
        <v>336</v>
      </c>
      <c r="G43" s="53" t="s">
        <v>36</v>
      </c>
      <c r="H43" s="53" t="s">
        <v>164</v>
      </c>
      <c r="I43" s="53" t="s">
        <v>159</v>
      </c>
      <c r="J43" s="53" t="s">
        <v>38</v>
      </c>
      <c r="K43" s="53" t="s">
        <v>161</v>
      </c>
      <c r="L43" s="53">
        <v>3</v>
      </c>
      <c r="N43" s="53">
        <v>5</v>
      </c>
      <c r="O43" s="53">
        <v>0.33</v>
      </c>
      <c r="P43" s="53">
        <v>0.4</v>
      </c>
      <c r="Q43" s="75">
        <f t="shared" si="2"/>
        <v>0.36499999999999999</v>
      </c>
      <c r="R43" s="53">
        <v>15.3</v>
      </c>
      <c r="S43" s="53">
        <v>94</v>
      </c>
      <c r="T43" s="16">
        <f t="shared" si="0"/>
        <v>36</v>
      </c>
      <c r="U43" s="53">
        <v>398</v>
      </c>
      <c r="V43" s="16">
        <f t="shared" si="1"/>
        <v>16</v>
      </c>
      <c r="W43" s="53">
        <v>5</v>
      </c>
      <c r="X43" s="53" t="s">
        <v>46</v>
      </c>
      <c r="Y43" s="53" t="s">
        <v>69</v>
      </c>
      <c r="Z43" s="53" t="s">
        <v>55</v>
      </c>
      <c r="AA43" s="53" t="s">
        <v>78</v>
      </c>
      <c r="AB43" s="53" t="s">
        <v>318</v>
      </c>
      <c r="AV43" s="27"/>
    </row>
    <row r="44" spans="1:48" x14ac:dyDescent="0.15">
      <c r="A44" s="53" t="s">
        <v>59</v>
      </c>
      <c r="B44" s="53" t="s">
        <v>232</v>
      </c>
      <c r="C44" s="62">
        <v>2019</v>
      </c>
      <c r="D44" s="137" t="s">
        <v>283</v>
      </c>
      <c r="E44" s="53" t="s">
        <v>333</v>
      </c>
      <c r="F44" s="53" t="s">
        <v>334</v>
      </c>
      <c r="G44" s="53" t="s">
        <v>36</v>
      </c>
      <c r="H44" s="53" t="s">
        <v>160</v>
      </c>
      <c r="I44" s="53" t="s">
        <v>159</v>
      </c>
      <c r="J44" s="53" t="s">
        <v>38</v>
      </c>
      <c r="K44" s="53" t="s">
        <v>161</v>
      </c>
      <c r="L44" s="53">
        <v>1</v>
      </c>
      <c r="N44" s="53">
        <v>3</v>
      </c>
      <c r="O44" s="53">
        <v>0.4</v>
      </c>
      <c r="P44" s="53">
        <v>0.4</v>
      </c>
      <c r="Q44" s="75">
        <f t="shared" si="2"/>
        <v>0.4</v>
      </c>
      <c r="R44" s="53">
        <v>18</v>
      </c>
      <c r="S44" s="53">
        <v>126</v>
      </c>
      <c r="T44" s="16">
        <f t="shared" si="0"/>
        <v>27</v>
      </c>
      <c r="U44" s="53">
        <v>399</v>
      </c>
      <c r="V44" s="16">
        <f t="shared" si="1"/>
        <v>16</v>
      </c>
      <c r="W44" s="53">
        <v>10</v>
      </c>
      <c r="X44" s="53" t="s">
        <v>39</v>
      </c>
      <c r="Y44" s="53" t="s">
        <v>78</v>
      </c>
      <c r="Z44" s="53" t="s">
        <v>69</v>
      </c>
      <c r="AA44" s="53" t="s">
        <v>55</v>
      </c>
      <c r="AB44" s="53" t="s">
        <v>318</v>
      </c>
      <c r="AV44" s="27"/>
    </row>
    <row r="45" spans="1:48" x14ac:dyDescent="0.15">
      <c r="A45" s="53" t="s">
        <v>59</v>
      </c>
      <c r="B45" s="53" t="s">
        <v>232</v>
      </c>
      <c r="C45" s="62">
        <v>2019</v>
      </c>
      <c r="D45" s="137" t="s">
        <v>283</v>
      </c>
      <c r="E45" s="53" t="s">
        <v>333</v>
      </c>
      <c r="F45" s="53" t="s">
        <v>334</v>
      </c>
      <c r="G45" s="53" t="s">
        <v>36</v>
      </c>
      <c r="H45" s="53" t="s">
        <v>160</v>
      </c>
      <c r="I45" s="53" t="s">
        <v>159</v>
      </c>
      <c r="J45" s="53" t="s">
        <v>38</v>
      </c>
      <c r="K45" s="53" t="s">
        <v>161</v>
      </c>
      <c r="L45" s="53">
        <v>2</v>
      </c>
      <c r="N45" s="53">
        <v>3</v>
      </c>
      <c r="O45" s="53">
        <v>0.52</v>
      </c>
      <c r="P45" s="53">
        <v>0.48</v>
      </c>
      <c r="Q45" s="75">
        <f t="shared" si="2"/>
        <v>0.5</v>
      </c>
      <c r="R45" s="53">
        <v>16.399999999999999</v>
      </c>
      <c r="S45" s="53">
        <v>127</v>
      </c>
      <c r="T45" s="16">
        <f t="shared" si="0"/>
        <v>27</v>
      </c>
      <c r="U45" s="53">
        <v>399</v>
      </c>
      <c r="V45" s="16">
        <f t="shared" si="1"/>
        <v>16</v>
      </c>
      <c r="W45" s="53">
        <v>10</v>
      </c>
      <c r="X45" s="53" t="s">
        <v>39</v>
      </c>
      <c r="Y45" s="53" t="s">
        <v>78</v>
      </c>
      <c r="Z45" s="53" t="s">
        <v>69</v>
      </c>
      <c r="AA45" s="53" t="s">
        <v>55</v>
      </c>
      <c r="AB45" s="53" t="s">
        <v>318</v>
      </c>
      <c r="AV45" s="27"/>
    </row>
    <row r="46" spans="1:48" x14ac:dyDescent="0.15">
      <c r="A46" s="53" t="s">
        <v>59</v>
      </c>
      <c r="B46" s="53" t="s">
        <v>232</v>
      </c>
      <c r="C46" s="62">
        <v>2019</v>
      </c>
      <c r="D46" s="137" t="s">
        <v>283</v>
      </c>
      <c r="E46" s="53" t="s">
        <v>333</v>
      </c>
      <c r="F46" s="53" t="s">
        <v>334</v>
      </c>
      <c r="G46" s="53" t="s">
        <v>36</v>
      </c>
      <c r="H46" s="53" t="s">
        <v>160</v>
      </c>
      <c r="I46" s="53" t="s">
        <v>159</v>
      </c>
      <c r="J46" s="53" t="s">
        <v>38</v>
      </c>
      <c r="K46" s="53" t="s">
        <v>161</v>
      </c>
      <c r="L46" s="53">
        <v>3</v>
      </c>
      <c r="N46" s="53">
        <v>3</v>
      </c>
      <c r="O46" s="53">
        <v>0.5</v>
      </c>
      <c r="P46" s="53">
        <v>0.48</v>
      </c>
      <c r="Q46" s="75">
        <f t="shared" si="2"/>
        <v>0.49</v>
      </c>
      <c r="R46" s="53">
        <v>18.3</v>
      </c>
      <c r="S46" s="53">
        <v>131</v>
      </c>
      <c r="T46" s="16">
        <f t="shared" si="0"/>
        <v>25</v>
      </c>
      <c r="U46" s="53">
        <v>399</v>
      </c>
      <c r="V46" s="16">
        <f t="shared" si="1"/>
        <v>16</v>
      </c>
      <c r="W46" s="53">
        <v>10</v>
      </c>
      <c r="X46" s="53" t="s">
        <v>39</v>
      </c>
      <c r="Y46" s="53" t="s">
        <v>78</v>
      </c>
      <c r="Z46" s="53" t="s">
        <v>69</v>
      </c>
      <c r="AA46" s="53" t="s">
        <v>55</v>
      </c>
      <c r="AB46" s="53" t="s">
        <v>318</v>
      </c>
      <c r="AV46" s="27"/>
    </row>
    <row r="47" spans="1:48" x14ac:dyDescent="0.15">
      <c r="A47" s="53" t="s">
        <v>59</v>
      </c>
      <c r="B47" s="53" t="s">
        <v>232</v>
      </c>
      <c r="C47" s="62">
        <v>2019</v>
      </c>
      <c r="D47" s="137" t="s">
        <v>283</v>
      </c>
      <c r="E47" s="53" t="s">
        <v>333</v>
      </c>
      <c r="F47" s="53" t="s">
        <v>334</v>
      </c>
      <c r="G47" s="53" t="s">
        <v>36</v>
      </c>
      <c r="H47" s="53" t="s">
        <v>164</v>
      </c>
      <c r="I47" s="53" t="s">
        <v>159</v>
      </c>
      <c r="J47" s="53" t="s">
        <v>38</v>
      </c>
      <c r="K47" s="53" t="s">
        <v>161</v>
      </c>
      <c r="L47" s="53">
        <v>1</v>
      </c>
      <c r="N47" s="53">
        <v>3</v>
      </c>
      <c r="O47" s="53">
        <v>0.33</v>
      </c>
      <c r="P47" s="53">
        <v>0.39</v>
      </c>
      <c r="Q47" s="75">
        <f t="shared" si="2"/>
        <v>0.36</v>
      </c>
      <c r="R47" s="53">
        <v>15.5</v>
      </c>
      <c r="S47" s="53">
        <v>132</v>
      </c>
      <c r="T47" s="16">
        <f t="shared" si="0"/>
        <v>25</v>
      </c>
      <c r="U47" s="53">
        <v>399</v>
      </c>
      <c r="V47" s="16">
        <f t="shared" si="1"/>
        <v>16</v>
      </c>
      <c r="W47" s="53">
        <v>13</v>
      </c>
      <c r="X47" s="53" t="s">
        <v>39</v>
      </c>
      <c r="Y47" s="53" t="s">
        <v>78</v>
      </c>
      <c r="Z47" s="53" t="s">
        <v>69</v>
      </c>
      <c r="AA47" s="53" t="s">
        <v>55</v>
      </c>
      <c r="AB47" s="53" t="s">
        <v>318</v>
      </c>
      <c r="AV47" s="27"/>
    </row>
    <row r="48" spans="1:48" x14ac:dyDescent="0.15">
      <c r="A48" s="53" t="s">
        <v>59</v>
      </c>
      <c r="B48" s="53" t="s">
        <v>232</v>
      </c>
      <c r="C48" s="62">
        <v>2019</v>
      </c>
      <c r="D48" s="137" t="s">
        <v>283</v>
      </c>
      <c r="E48" s="53" t="s">
        <v>333</v>
      </c>
      <c r="F48" s="53" t="s">
        <v>334</v>
      </c>
      <c r="G48" s="53" t="s">
        <v>36</v>
      </c>
      <c r="H48" s="53" t="s">
        <v>164</v>
      </c>
      <c r="I48" s="53" t="s">
        <v>159</v>
      </c>
      <c r="J48" s="53" t="s">
        <v>38</v>
      </c>
      <c r="K48" s="53" t="s">
        <v>161</v>
      </c>
      <c r="L48" s="53">
        <v>2</v>
      </c>
      <c r="N48" s="53">
        <v>3</v>
      </c>
      <c r="O48" s="53">
        <v>0.38</v>
      </c>
      <c r="P48" s="53">
        <v>0.41</v>
      </c>
      <c r="Q48" s="75">
        <f t="shared" si="2"/>
        <v>0.39500000000000002</v>
      </c>
      <c r="R48" s="53">
        <v>15.3</v>
      </c>
      <c r="S48" s="53">
        <v>130</v>
      </c>
      <c r="T48" s="16">
        <f t="shared" si="0"/>
        <v>25</v>
      </c>
      <c r="U48" s="53">
        <v>399</v>
      </c>
      <c r="V48" s="16">
        <f t="shared" si="1"/>
        <v>16</v>
      </c>
      <c r="W48" s="53">
        <v>13</v>
      </c>
      <c r="X48" s="53" t="s">
        <v>39</v>
      </c>
      <c r="Y48" s="53" t="s">
        <v>78</v>
      </c>
      <c r="Z48" s="53" t="s">
        <v>69</v>
      </c>
      <c r="AA48" s="53" t="s">
        <v>55</v>
      </c>
      <c r="AB48" s="53" t="s">
        <v>318</v>
      </c>
      <c r="AV48" s="27"/>
    </row>
    <row r="49" spans="1:48" x14ac:dyDescent="0.15">
      <c r="A49" s="53" t="s">
        <v>59</v>
      </c>
      <c r="B49" s="53" t="s">
        <v>232</v>
      </c>
      <c r="C49" s="62">
        <v>2019</v>
      </c>
      <c r="D49" s="137" t="s">
        <v>283</v>
      </c>
      <c r="E49" s="53" t="s">
        <v>333</v>
      </c>
      <c r="F49" s="53" t="s">
        <v>334</v>
      </c>
      <c r="G49" s="53" t="s">
        <v>36</v>
      </c>
      <c r="H49" s="53" t="s">
        <v>164</v>
      </c>
      <c r="I49" s="53" t="s">
        <v>159</v>
      </c>
      <c r="J49" s="53" t="s">
        <v>38</v>
      </c>
      <c r="K49" s="53" t="s">
        <v>161</v>
      </c>
      <c r="L49" s="53">
        <v>3</v>
      </c>
      <c r="N49" s="53">
        <v>3</v>
      </c>
      <c r="O49" s="53">
        <v>0.34</v>
      </c>
      <c r="P49" s="53">
        <v>0.37</v>
      </c>
      <c r="Q49" s="75">
        <f t="shared" si="2"/>
        <v>0.35499999999999998</v>
      </c>
      <c r="R49" s="53">
        <v>15.2</v>
      </c>
      <c r="S49" s="53">
        <v>133</v>
      </c>
      <c r="T49" s="16">
        <f t="shared" si="0"/>
        <v>25</v>
      </c>
      <c r="U49" s="53">
        <v>399</v>
      </c>
      <c r="V49" s="16">
        <f t="shared" si="1"/>
        <v>16</v>
      </c>
      <c r="W49" s="53">
        <v>13</v>
      </c>
      <c r="X49" s="53" t="s">
        <v>39</v>
      </c>
      <c r="Y49" s="53" t="s">
        <v>78</v>
      </c>
      <c r="Z49" s="53" t="s">
        <v>69</v>
      </c>
      <c r="AA49" s="53" t="s">
        <v>55</v>
      </c>
      <c r="AB49" s="53" t="s">
        <v>318</v>
      </c>
      <c r="AV49" s="27"/>
    </row>
    <row r="50" spans="1:48" x14ac:dyDescent="0.15">
      <c r="A50" s="53" t="s">
        <v>59</v>
      </c>
      <c r="B50" s="53" t="s">
        <v>232</v>
      </c>
      <c r="C50" s="62">
        <v>2019</v>
      </c>
      <c r="D50" s="137" t="s">
        <v>283</v>
      </c>
      <c r="E50" s="53" t="s">
        <v>324</v>
      </c>
      <c r="F50" s="53" t="s">
        <v>325</v>
      </c>
      <c r="G50" s="53" t="s">
        <v>36</v>
      </c>
      <c r="H50" s="53" t="s">
        <v>160</v>
      </c>
      <c r="I50" s="53" t="s">
        <v>159</v>
      </c>
      <c r="J50" s="53" t="s">
        <v>38</v>
      </c>
      <c r="K50" s="53" t="s">
        <v>161</v>
      </c>
      <c r="L50" s="53">
        <v>1</v>
      </c>
      <c r="N50" s="53">
        <v>4</v>
      </c>
      <c r="O50" s="53">
        <v>0.28999999999999998</v>
      </c>
      <c r="P50" s="53">
        <v>0.33</v>
      </c>
      <c r="Q50" s="75">
        <f t="shared" si="2"/>
        <v>0.31</v>
      </c>
      <c r="R50" s="53">
        <v>15.2</v>
      </c>
      <c r="S50" s="53">
        <v>100</v>
      </c>
      <c r="T50" s="16">
        <f t="shared" si="0"/>
        <v>33</v>
      </c>
      <c r="U50" s="53">
        <v>486</v>
      </c>
      <c r="V50" s="16">
        <f t="shared" si="1"/>
        <v>16</v>
      </c>
      <c r="W50" s="53">
        <v>3</v>
      </c>
      <c r="X50" s="53" t="s">
        <v>46</v>
      </c>
      <c r="Y50" s="53" t="s">
        <v>69</v>
      </c>
      <c r="Z50" s="53" t="s">
        <v>97</v>
      </c>
      <c r="AA50" s="53" t="s">
        <v>55</v>
      </c>
      <c r="AB50" s="53" t="s">
        <v>318</v>
      </c>
      <c r="AV50" s="27"/>
    </row>
    <row r="51" spans="1:48" x14ac:dyDescent="0.15">
      <c r="A51" s="53" t="s">
        <v>59</v>
      </c>
      <c r="B51" s="53" t="s">
        <v>232</v>
      </c>
      <c r="C51" s="62">
        <v>2019</v>
      </c>
      <c r="D51" s="137" t="s">
        <v>283</v>
      </c>
      <c r="E51" s="53" t="s">
        <v>324</v>
      </c>
      <c r="F51" s="53" t="s">
        <v>325</v>
      </c>
      <c r="G51" s="53" t="s">
        <v>36</v>
      </c>
      <c r="H51" s="53" t="s">
        <v>160</v>
      </c>
      <c r="I51" s="53" t="s">
        <v>159</v>
      </c>
      <c r="J51" s="53" t="s">
        <v>38</v>
      </c>
      <c r="K51" s="53" t="s">
        <v>161</v>
      </c>
      <c r="L51" s="53">
        <v>2</v>
      </c>
      <c r="N51" s="53">
        <v>4</v>
      </c>
      <c r="O51" s="53">
        <v>0.37</v>
      </c>
      <c r="P51" s="53">
        <v>0.37</v>
      </c>
      <c r="Q51" s="75">
        <f t="shared" si="2"/>
        <v>0.37</v>
      </c>
      <c r="R51" s="53">
        <v>16.8</v>
      </c>
      <c r="S51" s="53">
        <v>99</v>
      </c>
      <c r="T51" s="16">
        <f t="shared" si="0"/>
        <v>33</v>
      </c>
      <c r="U51" s="53">
        <v>486</v>
      </c>
      <c r="V51" s="16">
        <f t="shared" si="1"/>
        <v>16</v>
      </c>
      <c r="W51" s="53">
        <v>3</v>
      </c>
      <c r="X51" s="53" t="s">
        <v>46</v>
      </c>
      <c r="Y51" s="53" t="s">
        <v>69</v>
      </c>
      <c r="Z51" s="53" t="s">
        <v>97</v>
      </c>
      <c r="AA51" s="53" t="s">
        <v>55</v>
      </c>
      <c r="AB51" s="53" t="s">
        <v>318</v>
      </c>
      <c r="AV51" s="27"/>
    </row>
    <row r="52" spans="1:48" x14ac:dyDescent="0.15">
      <c r="A52" s="53" t="s">
        <v>59</v>
      </c>
      <c r="B52" s="53" t="s">
        <v>232</v>
      </c>
      <c r="C52" s="62">
        <v>2019</v>
      </c>
      <c r="D52" s="137" t="s">
        <v>283</v>
      </c>
      <c r="E52" s="53" t="s">
        <v>324</v>
      </c>
      <c r="F52" s="53" t="s">
        <v>325</v>
      </c>
      <c r="G52" s="53" t="s">
        <v>36</v>
      </c>
      <c r="H52" s="53" t="s">
        <v>160</v>
      </c>
      <c r="I52" s="53" t="s">
        <v>159</v>
      </c>
      <c r="J52" s="53" t="s">
        <v>38</v>
      </c>
      <c r="K52" s="53" t="s">
        <v>161</v>
      </c>
      <c r="L52" s="53">
        <v>3</v>
      </c>
      <c r="N52" s="53">
        <v>4</v>
      </c>
      <c r="O52" s="53">
        <v>0.33</v>
      </c>
      <c r="P52" s="53">
        <v>0.35</v>
      </c>
      <c r="Q52" s="75">
        <f t="shared" si="2"/>
        <v>0.33999999999999997</v>
      </c>
      <c r="R52" s="53">
        <v>15.8</v>
      </c>
      <c r="S52" s="53">
        <v>99</v>
      </c>
      <c r="T52" s="16">
        <f t="shared" si="0"/>
        <v>33</v>
      </c>
      <c r="U52" s="53">
        <v>486</v>
      </c>
      <c r="V52" s="16">
        <f t="shared" si="1"/>
        <v>16</v>
      </c>
      <c r="W52" s="53">
        <v>3</v>
      </c>
      <c r="X52" s="53" t="s">
        <v>46</v>
      </c>
      <c r="Y52" s="53" t="s">
        <v>69</v>
      </c>
      <c r="Z52" s="53" t="s">
        <v>97</v>
      </c>
      <c r="AA52" s="53" t="s">
        <v>55</v>
      </c>
      <c r="AB52" s="53" t="s">
        <v>318</v>
      </c>
      <c r="AV52" s="27"/>
    </row>
    <row r="53" spans="1:48" x14ac:dyDescent="0.15">
      <c r="A53" s="53" t="s">
        <v>59</v>
      </c>
      <c r="B53" s="53" t="s">
        <v>232</v>
      </c>
      <c r="C53" s="62">
        <v>2019</v>
      </c>
      <c r="D53" s="137" t="s">
        <v>283</v>
      </c>
      <c r="E53" s="53" t="s">
        <v>324</v>
      </c>
      <c r="F53" s="53" t="s">
        <v>325</v>
      </c>
      <c r="G53" s="53" t="s">
        <v>36</v>
      </c>
      <c r="H53" s="53" t="s">
        <v>164</v>
      </c>
      <c r="I53" s="53" t="s">
        <v>159</v>
      </c>
      <c r="J53" s="53" t="s">
        <v>38</v>
      </c>
      <c r="K53" s="53" t="s">
        <v>161</v>
      </c>
      <c r="L53" s="53">
        <v>1</v>
      </c>
      <c r="N53" s="53">
        <v>5</v>
      </c>
      <c r="O53" s="53">
        <v>0.41</v>
      </c>
      <c r="P53" s="53">
        <v>0.43</v>
      </c>
      <c r="Q53" s="75">
        <f t="shared" si="2"/>
        <v>0.42</v>
      </c>
      <c r="R53" s="53">
        <v>13.9</v>
      </c>
      <c r="S53" s="53">
        <v>90</v>
      </c>
      <c r="T53" s="16">
        <f t="shared" si="0"/>
        <v>36</v>
      </c>
      <c r="U53" s="53">
        <v>378</v>
      </c>
      <c r="V53" s="16">
        <f t="shared" si="1"/>
        <v>16</v>
      </c>
      <c r="W53" s="53">
        <v>3</v>
      </c>
      <c r="X53" s="53" t="s">
        <v>46</v>
      </c>
      <c r="Y53" s="53" t="s">
        <v>69</v>
      </c>
      <c r="Z53" s="53" t="s">
        <v>97</v>
      </c>
      <c r="AA53" s="53" t="s">
        <v>55</v>
      </c>
      <c r="AB53" s="53" t="s">
        <v>318</v>
      </c>
      <c r="AV53" s="27"/>
    </row>
    <row r="54" spans="1:48" x14ac:dyDescent="0.15">
      <c r="A54" s="53" t="s">
        <v>59</v>
      </c>
      <c r="B54" s="53" t="s">
        <v>232</v>
      </c>
      <c r="C54" s="62">
        <v>2019</v>
      </c>
      <c r="D54" s="137" t="s">
        <v>283</v>
      </c>
      <c r="E54" s="53" t="s">
        <v>324</v>
      </c>
      <c r="F54" s="53" t="s">
        <v>325</v>
      </c>
      <c r="G54" s="53" t="s">
        <v>36</v>
      </c>
      <c r="H54" s="53" t="s">
        <v>164</v>
      </c>
      <c r="I54" s="53" t="s">
        <v>159</v>
      </c>
      <c r="J54" s="53" t="s">
        <v>38</v>
      </c>
      <c r="K54" s="53" t="s">
        <v>161</v>
      </c>
      <c r="L54" s="53">
        <v>2</v>
      </c>
      <c r="N54" s="53">
        <v>5</v>
      </c>
      <c r="O54" s="53">
        <v>0.44</v>
      </c>
      <c r="P54" s="53">
        <v>0.36</v>
      </c>
      <c r="Q54" s="75">
        <f t="shared" si="2"/>
        <v>0.4</v>
      </c>
      <c r="R54" s="53">
        <v>13.1</v>
      </c>
      <c r="S54" s="53">
        <v>80</v>
      </c>
      <c r="T54" s="16">
        <f t="shared" si="0"/>
        <v>39</v>
      </c>
      <c r="U54" s="53">
        <v>378</v>
      </c>
      <c r="V54" s="16">
        <f t="shared" si="1"/>
        <v>16</v>
      </c>
      <c r="W54" s="53">
        <v>3</v>
      </c>
      <c r="X54" s="53" t="s">
        <v>46</v>
      </c>
      <c r="Y54" s="53" t="s">
        <v>69</v>
      </c>
      <c r="Z54" s="53" t="s">
        <v>97</v>
      </c>
      <c r="AA54" s="53" t="s">
        <v>55</v>
      </c>
      <c r="AB54" s="53" t="s">
        <v>318</v>
      </c>
      <c r="AV54" s="27"/>
    </row>
    <row r="55" spans="1:48" x14ac:dyDescent="0.15">
      <c r="A55" s="53" t="s">
        <v>59</v>
      </c>
      <c r="B55" s="53" t="s">
        <v>232</v>
      </c>
      <c r="C55" s="62">
        <v>2019</v>
      </c>
      <c r="D55" s="137" t="s">
        <v>283</v>
      </c>
      <c r="E55" s="53" t="s">
        <v>324</v>
      </c>
      <c r="F55" s="53" t="s">
        <v>325</v>
      </c>
      <c r="G55" s="53" t="s">
        <v>36</v>
      </c>
      <c r="H55" s="53" t="s">
        <v>164</v>
      </c>
      <c r="I55" s="53" t="s">
        <v>159</v>
      </c>
      <c r="J55" s="53" t="s">
        <v>38</v>
      </c>
      <c r="K55" s="53" t="s">
        <v>161</v>
      </c>
      <c r="L55" s="53">
        <v>3</v>
      </c>
      <c r="N55" s="53">
        <v>5</v>
      </c>
      <c r="O55" s="53">
        <v>0.44</v>
      </c>
      <c r="P55" s="53">
        <v>0.38</v>
      </c>
      <c r="Q55" s="75">
        <f t="shared" si="2"/>
        <v>0.41000000000000003</v>
      </c>
      <c r="R55" s="53">
        <v>14</v>
      </c>
      <c r="S55" s="53">
        <v>85</v>
      </c>
      <c r="T55" s="16">
        <f t="shared" si="0"/>
        <v>36</v>
      </c>
      <c r="U55" s="53">
        <v>378</v>
      </c>
      <c r="V55" s="16">
        <f t="shared" si="1"/>
        <v>16</v>
      </c>
      <c r="W55" s="53">
        <v>3</v>
      </c>
      <c r="X55" s="53" t="s">
        <v>46</v>
      </c>
      <c r="Y55" s="53" t="s">
        <v>69</v>
      </c>
      <c r="Z55" s="53" t="s">
        <v>97</v>
      </c>
      <c r="AA55" s="53" t="s">
        <v>55</v>
      </c>
      <c r="AB55" s="53" t="s">
        <v>318</v>
      </c>
      <c r="AV55" s="27"/>
    </row>
    <row r="56" spans="1:48" x14ac:dyDescent="0.15">
      <c r="A56" s="53" t="s">
        <v>59</v>
      </c>
      <c r="B56" s="53" t="s">
        <v>232</v>
      </c>
      <c r="C56" s="62">
        <v>2019</v>
      </c>
      <c r="D56" s="137" t="s">
        <v>283</v>
      </c>
      <c r="E56" s="53" t="s">
        <v>340</v>
      </c>
      <c r="F56" s="53" t="s">
        <v>341</v>
      </c>
      <c r="G56" s="53" t="s">
        <v>36</v>
      </c>
      <c r="H56" s="53" t="s">
        <v>160</v>
      </c>
      <c r="I56" s="53" t="s">
        <v>159</v>
      </c>
      <c r="J56" s="53" t="s">
        <v>38</v>
      </c>
      <c r="K56" s="53" t="s">
        <v>161</v>
      </c>
      <c r="L56" s="53">
        <v>1</v>
      </c>
      <c r="N56" s="53">
        <v>4</v>
      </c>
      <c r="O56" s="53">
        <v>0.45</v>
      </c>
      <c r="P56" s="53">
        <v>0.55000000000000004</v>
      </c>
      <c r="Q56" s="75">
        <f t="shared" si="2"/>
        <v>0.5</v>
      </c>
      <c r="R56" s="53">
        <v>16.3</v>
      </c>
      <c r="S56" s="53">
        <v>136</v>
      </c>
      <c r="T56" s="16">
        <f t="shared" si="0"/>
        <v>25</v>
      </c>
      <c r="U56" s="53">
        <v>458</v>
      </c>
      <c r="V56" s="16">
        <f t="shared" si="1"/>
        <v>16</v>
      </c>
      <c r="W56" s="53">
        <v>8</v>
      </c>
      <c r="X56" s="53" t="s">
        <v>46</v>
      </c>
      <c r="Y56" s="53" t="s">
        <v>97</v>
      </c>
      <c r="Z56" s="53" t="s">
        <v>55</v>
      </c>
      <c r="AA56" s="53" t="s">
        <v>86</v>
      </c>
      <c r="AB56" s="53" t="s">
        <v>318</v>
      </c>
      <c r="AV56" s="27"/>
    </row>
    <row r="57" spans="1:48" x14ac:dyDescent="0.15">
      <c r="A57" s="53" t="s">
        <v>59</v>
      </c>
      <c r="B57" s="53" t="s">
        <v>232</v>
      </c>
      <c r="C57" s="62">
        <v>2019</v>
      </c>
      <c r="D57" s="137" t="s">
        <v>283</v>
      </c>
      <c r="E57" s="53" t="s">
        <v>340</v>
      </c>
      <c r="F57" s="53" t="s">
        <v>341</v>
      </c>
      <c r="G57" s="53" t="s">
        <v>36</v>
      </c>
      <c r="H57" s="53" t="s">
        <v>160</v>
      </c>
      <c r="I57" s="53" t="s">
        <v>159</v>
      </c>
      <c r="J57" s="53" t="s">
        <v>38</v>
      </c>
      <c r="K57" s="53" t="s">
        <v>161</v>
      </c>
      <c r="L57" s="53">
        <v>2</v>
      </c>
      <c r="N57" s="53">
        <v>4</v>
      </c>
      <c r="O57" s="53">
        <v>0.38</v>
      </c>
      <c r="P57" s="53">
        <v>0.46</v>
      </c>
      <c r="Q57" s="75">
        <f t="shared" si="2"/>
        <v>0.42000000000000004</v>
      </c>
      <c r="R57" s="53">
        <v>16.8</v>
      </c>
      <c r="S57" s="53">
        <v>134</v>
      </c>
      <c r="T57" s="16">
        <f t="shared" si="0"/>
        <v>25</v>
      </c>
      <c r="U57" s="53">
        <v>458</v>
      </c>
      <c r="V57" s="16">
        <f t="shared" si="1"/>
        <v>16</v>
      </c>
      <c r="W57" s="53">
        <v>8</v>
      </c>
      <c r="X57" s="53" t="s">
        <v>46</v>
      </c>
      <c r="Y57" s="53" t="s">
        <v>97</v>
      </c>
      <c r="Z57" s="53" t="s">
        <v>55</v>
      </c>
      <c r="AA57" s="53" t="s">
        <v>86</v>
      </c>
      <c r="AB57" s="53" t="s">
        <v>318</v>
      </c>
      <c r="AV57" s="27"/>
    </row>
    <row r="58" spans="1:48" x14ac:dyDescent="0.15">
      <c r="A58" s="53" t="s">
        <v>59</v>
      </c>
      <c r="B58" s="53" t="s">
        <v>232</v>
      </c>
      <c r="C58" s="62">
        <v>2019</v>
      </c>
      <c r="D58" s="137" t="s">
        <v>283</v>
      </c>
      <c r="E58" s="53" t="s">
        <v>340</v>
      </c>
      <c r="F58" s="53" t="s">
        <v>341</v>
      </c>
      <c r="G58" s="53" t="s">
        <v>36</v>
      </c>
      <c r="H58" s="53" t="s">
        <v>160</v>
      </c>
      <c r="I58" s="53" t="s">
        <v>159</v>
      </c>
      <c r="J58" s="53" t="s">
        <v>38</v>
      </c>
      <c r="K58" s="53" t="s">
        <v>161</v>
      </c>
      <c r="L58" s="53">
        <v>3</v>
      </c>
      <c r="N58" s="53">
        <v>4</v>
      </c>
      <c r="O58" s="53">
        <v>0.46</v>
      </c>
      <c r="P58" s="53">
        <v>0.52</v>
      </c>
      <c r="Q58" s="75">
        <f t="shared" si="2"/>
        <v>0.49</v>
      </c>
      <c r="R58" s="53">
        <v>16.5</v>
      </c>
      <c r="S58" s="53">
        <v>140</v>
      </c>
      <c r="T58" s="16">
        <f t="shared" si="0"/>
        <v>22</v>
      </c>
      <c r="U58" s="53">
        <v>458</v>
      </c>
      <c r="V58" s="16">
        <f t="shared" si="1"/>
        <v>16</v>
      </c>
      <c r="W58" s="53">
        <v>8</v>
      </c>
      <c r="X58" s="53" t="s">
        <v>46</v>
      </c>
      <c r="Y58" s="53" t="s">
        <v>97</v>
      </c>
      <c r="Z58" s="53" t="s">
        <v>55</v>
      </c>
      <c r="AA58" s="53" t="s">
        <v>86</v>
      </c>
      <c r="AB58" s="53" t="s">
        <v>318</v>
      </c>
      <c r="AV58" s="27"/>
    </row>
    <row r="59" spans="1:48" x14ac:dyDescent="0.15">
      <c r="A59" s="53" t="s">
        <v>59</v>
      </c>
      <c r="B59" s="53" t="s">
        <v>232</v>
      </c>
      <c r="C59" s="62">
        <v>2019</v>
      </c>
      <c r="D59" s="137" t="s">
        <v>283</v>
      </c>
      <c r="E59" s="53" t="s">
        <v>340</v>
      </c>
      <c r="F59" s="53" t="s">
        <v>341</v>
      </c>
      <c r="G59" s="53" t="s">
        <v>36</v>
      </c>
      <c r="H59" s="53" t="s">
        <v>164</v>
      </c>
      <c r="I59" s="53" t="s">
        <v>159</v>
      </c>
      <c r="J59" s="53" t="s">
        <v>38</v>
      </c>
      <c r="K59" s="53" t="s">
        <v>161</v>
      </c>
      <c r="L59" s="53">
        <v>1</v>
      </c>
      <c r="N59" s="53">
        <v>4</v>
      </c>
      <c r="O59" s="53">
        <v>0.27</v>
      </c>
      <c r="P59" s="53">
        <v>0.23</v>
      </c>
      <c r="Q59" s="75">
        <f t="shared" si="2"/>
        <v>0.25</v>
      </c>
      <c r="R59" s="53">
        <v>16.8</v>
      </c>
      <c r="S59" s="53">
        <v>129</v>
      </c>
      <c r="T59" s="16">
        <f t="shared" si="0"/>
        <v>25</v>
      </c>
      <c r="U59" s="53">
        <v>358</v>
      </c>
      <c r="V59" s="16">
        <f t="shared" si="1"/>
        <v>16</v>
      </c>
      <c r="W59" s="53">
        <v>8</v>
      </c>
      <c r="X59" s="53" t="s">
        <v>46</v>
      </c>
      <c r="Y59" s="53" t="s">
        <v>97</v>
      </c>
      <c r="Z59" s="53" t="s">
        <v>55</v>
      </c>
      <c r="AA59" s="53" t="s">
        <v>86</v>
      </c>
      <c r="AB59" s="53" t="s">
        <v>318</v>
      </c>
      <c r="AV59" s="27"/>
    </row>
    <row r="60" spans="1:48" x14ac:dyDescent="0.15">
      <c r="A60" s="53" t="s">
        <v>59</v>
      </c>
      <c r="B60" s="53" t="s">
        <v>232</v>
      </c>
      <c r="C60" s="62">
        <v>2019</v>
      </c>
      <c r="D60" s="137" t="s">
        <v>283</v>
      </c>
      <c r="E60" s="53" t="s">
        <v>340</v>
      </c>
      <c r="F60" s="53" t="s">
        <v>341</v>
      </c>
      <c r="G60" s="53" t="s">
        <v>36</v>
      </c>
      <c r="H60" s="53" t="s">
        <v>164</v>
      </c>
      <c r="I60" s="53" t="s">
        <v>159</v>
      </c>
      <c r="J60" s="53" t="s">
        <v>38</v>
      </c>
      <c r="K60" s="53" t="s">
        <v>161</v>
      </c>
      <c r="L60" s="53">
        <v>2</v>
      </c>
      <c r="N60" s="53">
        <v>4</v>
      </c>
      <c r="O60" s="53">
        <v>0.46</v>
      </c>
      <c r="P60" s="53">
        <v>0.48</v>
      </c>
      <c r="Q60" s="75">
        <f t="shared" si="2"/>
        <v>0.47</v>
      </c>
      <c r="R60" s="53">
        <v>16</v>
      </c>
      <c r="S60" s="53">
        <v>135</v>
      </c>
      <c r="T60" s="16">
        <f t="shared" si="0"/>
        <v>25</v>
      </c>
      <c r="U60" s="53">
        <v>358</v>
      </c>
      <c r="V60" s="16">
        <f t="shared" si="1"/>
        <v>16</v>
      </c>
      <c r="W60" s="53">
        <v>8</v>
      </c>
      <c r="X60" s="53" t="s">
        <v>46</v>
      </c>
      <c r="Y60" s="53" t="s">
        <v>97</v>
      </c>
      <c r="Z60" s="53" t="s">
        <v>55</v>
      </c>
      <c r="AA60" s="53" t="s">
        <v>86</v>
      </c>
      <c r="AB60" s="53" t="s">
        <v>318</v>
      </c>
      <c r="AV60" s="27"/>
    </row>
    <row r="61" spans="1:48" x14ac:dyDescent="0.15">
      <c r="A61" s="53" t="s">
        <v>59</v>
      </c>
      <c r="B61" s="53" t="s">
        <v>232</v>
      </c>
      <c r="C61" s="62">
        <v>2019</v>
      </c>
      <c r="D61" s="137" t="s">
        <v>283</v>
      </c>
      <c r="E61" s="53" t="s">
        <v>340</v>
      </c>
      <c r="F61" s="53" t="s">
        <v>341</v>
      </c>
      <c r="G61" s="53" t="s">
        <v>36</v>
      </c>
      <c r="H61" s="53" t="s">
        <v>164</v>
      </c>
      <c r="I61" s="53" t="s">
        <v>159</v>
      </c>
      <c r="J61" s="53" t="s">
        <v>38</v>
      </c>
      <c r="K61" s="53" t="s">
        <v>161</v>
      </c>
      <c r="L61" s="53">
        <v>3</v>
      </c>
      <c r="N61" s="53">
        <v>4</v>
      </c>
      <c r="O61" s="53">
        <v>0.28999999999999998</v>
      </c>
      <c r="P61" s="53">
        <v>0.33</v>
      </c>
      <c r="Q61" s="75">
        <f t="shared" si="2"/>
        <v>0.31</v>
      </c>
      <c r="R61" s="53">
        <v>16.7</v>
      </c>
      <c r="S61" s="53">
        <v>137</v>
      </c>
      <c r="T61" s="16">
        <f t="shared" si="0"/>
        <v>25</v>
      </c>
      <c r="U61" s="53">
        <v>358</v>
      </c>
      <c r="V61" s="16">
        <f t="shared" si="1"/>
        <v>16</v>
      </c>
      <c r="W61" s="53">
        <v>8</v>
      </c>
      <c r="X61" s="53" t="s">
        <v>46</v>
      </c>
      <c r="Y61" s="53" t="s">
        <v>97</v>
      </c>
      <c r="Z61" s="53" t="s">
        <v>55</v>
      </c>
      <c r="AA61" s="53" t="s">
        <v>86</v>
      </c>
      <c r="AB61" s="53" t="s">
        <v>318</v>
      </c>
      <c r="AV61" s="27"/>
    </row>
    <row r="62" spans="1:48" x14ac:dyDescent="0.15">
      <c r="A62" s="53" t="s">
        <v>59</v>
      </c>
      <c r="B62" s="53" t="s">
        <v>232</v>
      </c>
      <c r="C62" s="62">
        <v>2019</v>
      </c>
      <c r="D62" s="137" t="s">
        <v>283</v>
      </c>
      <c r="E62" s="53" t="s">
        <v>330</v>
      </c>
      <c r="F62" s="53" t="s">
        <v>331</v>
      </c>
      <c r="G62" s="53" t="s">
        <v>36</v>
      </c>
      <c r="H62" s="53" t="s">
        <v>160</v>
      </c>
      <c r="I62" s="53" t="s">
        <v>159</v>
      </c>
      <c r="J62" s="53" t="s">
        <v>38</v>
      </c>
      <c r="K62" s="53" t="s">
        <v>161</v>
      </c>
      <c r="L62" s="53">
        <v>1</v>
      </c>
      <c r="N62" s="53">
        <v>4</v>
      </c>
      <c r="O62" s="53">
        <v>0.25</v>
      </c>
      <c r="P62" s="53">
        <v>0.25</v>
      </c>
      <c r="Q62" s="75">
        <f t="shared" si="2"/>
        <v>0.25</v>
      </c>
      <c r="R62" s="53">
        <v>16.3</v>
      </c>
      <c r="S62" s="53">
        <v>101</v>
      </c>
      <c r="T62" s="16">
        <f t="shared" si="0"/>
        <v>33</v>
      </c>
      <c r="U62" s="53">
        <v>518</v>
      </c>
      <c r="V62" s="16">
        <f t="shared" si="1"/>
        <v>16</v>
      </c>
      <c r="W62" s="53">
        <v>9</v>
      </c>
      <c r="X62" s="53" t="s">
        <v>39</v>
      </c>
      <c r="Y62" s="53" t="s">
        <v>55</v>
      </c>
      <c r="Z62" s="53" t="s">
        <v>69</v>
      </c>
      <c r="AA62" s="53" t="s">
        <v>97</v>
      </c>
      <c r="AB62" s="53" t="s">
        <v>318</v>
      </c>
      <c r="AV62" s="27"/>
    </row>
    <row r="63" spans="1:48" x14ac:dyDescent="0.15">
      <c r="A63" s="53" t="s">
        <v>59</v>
      </c>
      <c r="B63" s="53" t="s">
        <v>232</v>
      </c>
      <c r="C63" s="62">
        <v>2019</v>
      </c>
      <c r="D63" s="137" t="s">
        <v>283</v>
      </c>
      <c r="E63" s="53" t="s">
        <v>330</v>
      </c>
      <c r="F63" s="53" t="s">
        <v>331</v>
      </c>
      <c r="G63" s="53" t="s">
        <v>36</v>
      </c>
      <c r="H63" s="53" t="s">
        <v>160</v>
      </c>
      <c r="I63" s="53" t="s">
        <v>159</v>
      </c>
      <c r="J63" s="53" t="s">
        <v>38</v>
      </c>
      <c r="K63" s="53" t="s">
        <v>161</v>
      </c>
      <c r="L63" s="53">
        <v>2</v>
      </c>
      <c r="N63" s="53">
        <v>4</v>
      </c>
      <c r="O63" s="53">
        <v>0.28000000000000003</v>
      </c>
      <c r="P63" s="53">
        <v>0.26</v>
      </c>
      <c r="Q63" s="75">
        <f t="shared" si="2"/>
        <v>0.27</v>
      </c>
      <c r="R63" s="53">
        <v>15.2</v>
      </c>
      <c r="S63" s="53">
        <v>95</v>
      </c>
      <c r="T63" s="16">
        <f t="shared" si="0"/>
        <v>36</v>
      </c>
      <c r="U63" s="53">
        <v>518</v>
      </c>
      <c r="V63" s="16">
        <f t="shared" si="1"/>
        <v>16</v>
      </c>
      <c r="W63" s="53">
        <v>9</v>
      </c>
      <c r="X63" s="53" t="s">
        <v>39</v>
      </c>
      <c r="Y63" s="53" t="s">
        <v>55</v>
      </c>
      <c r="Z63" s="53" t="s">
        <v>69</v>
      </c>
      <c r="AA63" s="53" t="s">
        <v>97</v>
      </c>
      <c r="AB63" s="53" t="s">
        <v>318</v>
      </c>
      <c r="AV63" s="27"/>
    </row>
    <row r="64" spans="1:48" x14ac:dyDescent="0.15">
      <c r="A64" s="53" t="s">
        <v>59</v>
      </c>
      <c r="B64" s="53" t="s">
        <v>232</v>
      </c>
      <c r="C64" s="62">
        <v>2019</v>
      </c>
      <c r="D64" s="137" t="s">
        <v>283</v>
      </c>
      <c r="E64" s="53" t="s">
        <v>330</v>
      </c>
      <c r="F64" s="53" t="s">
        <v>331</v>
      </c>
      <c r="G64" s="53" t="s">
        <v>36</v>
      </c>
      <c r="H64" s="53" t="s">
        <v>160</v>
      </c>
      <c r="I64" s="53" t="s">
        <v>159</v>
      </c>
      <c r="J64" s="53" t="s">
        <v>38</v>
      </c>
      <c r="K64" s="53" t="s">
        <v>161</v>
      </c>
      <c r="L64" s="53">
        <v>3</v>
      </c>
      <c r="N64" s="53">
        <v>4</v>
      </c>
      <c r="O64" s="53">
        <v>0.23</v>
      </c>
      <c r="P64" s="53">
        <v>0.25</v>
      </c>
      <c r="Q64" s="75">
        <f t="shared" si="2"/>
        <v>0.24</v>
      </c>
      <c r="R64" s="53">
        <v>15.8</v>
      </c>
      <c r="S64" s="53">
        <v>95</v>
      </c>
      <c r="T64" s="16">
        <f t="shared" si="0"/>
        <v>36</v>
      </c>
      <c r="U64" s="53">
        <v>518</v>
      </c>
      <c r="V64" s="16">
        <f t="shared" si="1"/>
        <v>16</v>
      </c>
      <c r="W64" s="53">
        <v>9</v>
      </c>
      <c r="X64" s="53" t="s">
        <v>39</v>
      </c>
      <c r="Y64" s="53" t="s">
        <v>55</v>
      </c>
      <c r="Z64" s="53" t="s">
        <v>69</v>
      </c>
      <c r="AA64" s="53" t="s">
        <v>97</v>
      </c>
      <c r="AB64" s="53" t="s">
        <v>318</v>
      </c>
      <c r="AV64" s="27"/>
    </row>
    <row r="65" spans="1:48" x14ac:dyDescent="0.15">
      <c r="A65" s="53" t="s">
        <v>59</v>
      </c>
      <c r="B65" s="53" t="s">
        <v>232</v>
      </c>
      <c r="C65" s="62">
        <v>2019</v>
      </c>
      <c r="D65" s="137" t="s">
        <v>283</v>
      </c>
      <c r="E65" s="53" t="s">
        <v>330</v>
      </c>
      <c r="F65" s="53" t="s">
        <v>331</v>
      </c>
      <c r="G65" s="53" t="s">
        <v>36</v>
      </c>
      <c r="H65" s="53" t="s">
        <v>164</v>
      </c>
      <c r="I65" s="53" t="s">
        <v>159</v>
      </c>
      <c r="J65" s="53" t="s">
        <v>38</v>
      </c>
      <c r="K65" s="53" t="s">
        <v>161</v>
      </c>
      <c r="L65" s="53">
        <v>1</v>
      </c>
      <c r="N65" s="53">
        <v>5</v>
      </c>
      <c r="O65" s="53">
        <v>0.5</v>
      </c>
      <c r="P65" s="53">
        <v>0.56000000000000005</v>
      </c>
      <c r="Q65" s="75">
        <f t="shared" si="2"/>
        <v>0.53</v>
      </c>
      <c r="R65" s="53">
        <v>13.5</v>
      </c>
      <c r="S65" s="53">
        <v>93</v>
      </c>
      <c r="T65" s="16">
        <f t="shared" si="0"/>
        <v>36</v>
      </c>
      <c r="U65" s="53">
        <v>321</v>
      </c>
      <c r="V65" s="16">
        <f t="shared" si="1"/>
        <v>16</v>
      </c>
      <c r="W65" s="53">
        <v>8</v>
      </c>
      <c r="X65" s="53" t="s">
        <v>46</v>
      </c>
      <c r="Y65" s="53" t="s">
        <v>55</v>
      </c>
      <c r="Z65" s="53" t="s">
        <v>69</v>
      </c>
      <c r="AA65" s="53" t="s">
        <v>97</v>
      </c>
      <c r="AB65" s="53" t="s">
        <v>318</v>
      </c>
      <c r="AV65" s="27"/>
    </row>
    <row r="66" spans="1:48" x14ac:dyDescent="0.15">
      <c r="A66" s="53" t="s">
        <v>59</v>
      </c>
      <c r="B66" s="53" t="s">
        <v>232</v>
      </c>
      <c r="C66" s="62">
        <v>2019</v>
      </c>
      <c r="D66" s="137" t="s">
        <v>283</v>
      </c>
      <c r="E66" s="53" t="s">
        <v>330</v>
      </c>
      <c r="F66" s="53" t="s">
        <v>331</v>
      </c>
      <c r="G66" s="53" t="s">
        <v>36</v>
      </c>
      <c r="H66" s="53" t="s">
        <v>164</v>
      </c>
      <c r="I66" s="53" t="s">
        <v>159</v>
      </c>
      <c r="J66" s="53" t="s">
        <v>38</v>
      </c>
      <c r="K66" s="53" t="s">
        <v>161</v>
      </c>
      <c r="L66" s="53">
        <v>2</v>
      </c>
      <c r="N66" s="53">
        <v>5</v>
      </c>
      <c r="O66" s="53">
        <v>0.7</v>
      </c>
      <c r="P66" s="53">
        <v>0.67</v>
      </c>
      <c r="Q66" s="75">
        <f t="shared" si="2"/>
        <v>0.68500000000000005</v>
      </c>
      <c r="R66" s="53">
        <v>13.8</v>
      </c>
      <c r="S66" s="53">
        <v>90</v>
      </c>
      <c r="T66" s="16">
        <f t="shared" ref="T66:T74" si="3">IF(H66="","",IF(OR(H66="GREEN",H66="GK"),IF(S66&gt;=$AX$2,VLOOKUP(S66,$AX$2:$AY$12,2,1),""),IF(S66&gt;=$AZ$2,VLOOKUP(S66,$AZ$2:$BA$12,2,1),"")))</f>
        <v>36</v>
      </c>
      <c r="U66" s="53">
        <v>321</v>
      </c>
      <c r="V66" s="16">
        <f t="shared" ref="V66:V74" si="4">IF(J66="","",IF(OR(J66="GREEN",J66="GK"),IF(U66&gt;=$AX$2,VLOOKUP(U66,$AX$2:$AY$12,2,1),""),IF(U66&gt;=$AZ$2,VLOOKUP(U66,$AZ$2:$BA$12,2,1),"")))</f>
        <v>16</v>
      </c>
      <c r="W66" s="53">
        <v>8</v>
      </c>
      <c r="X66" s="53" t="s">
        <v>46</v>
      </c>
      <c r="Y66" s="53" t="s">
        <v>55</v>
      </c>
      <c r="Z66" s="53" t="s">
        <v>69</v>
      </c>
      <c r="AA66" s="53" t="s">
        <v>97</v>
      </c>
      <c r="AB66" s="53" t="s">
        <v>318</v>
      </c>
      <c r="AV66" s="27"/>
    </row>
    <row r="67" spans="1:48" x14ac:dyDescent="0.15">
      <c r="A67" s="53" t="s">
        <v>59</v>
      </c>
      <c r="B67" s="53" t="s">
        <v>232</v>
      </c>
      <c r="C67" s="62">
        <v>2019</v>
      </c>
      <c r="D67" s="137" t="s">
        <v>283</v>
      </c>
      <c r="E67" s="53" t="s">
        <v>330</v>
      </c>
      <c r="F67" s="53" t="s">
        <v>331</v>
      </c>
      <c r="G67" s="53" t="s">
        <v>36</v>
      </c>
      <c r="H67" s="53" t="s">
        <v>164</v>
      </c>
      <c r="I67" s="53" t="s">
        <v>159</v>
      </c>
      <c r="J67" s="53" t="s">
        <v>38</v>
      </c>
      <c r="K67" s="53" t="s">
        <v>161</v>
      </c>
      <c r="L67" s="53">
        <v>3</v>
      </c>
      <c r="N67" s="53">
        <v>5</v>
      </c>
      <c r="O67" s="53">
        <v>0.61</v>
      </c>
      <c r="P67" s="53">
        <v>0.57999999999999996</v>
      </c>
      <c r="Q67" s="75">
        <f t="shared" ref="Q67:Q75" si="5">IF(OR(O67="",P67=""),"",AVERAGE(O67,P67))</f>
        <v>0.59499999999999997</v>
      </c>
      <c r="R67" s="53">
        <v>13.5</v>
      </c>
      <c r="S67" s="53">
        <v>95</v>
      </c>
      <c r="T67" s="16">
        <f t="shared" si="3"/>
        <v>36</v>
      </c>
      <c r="U67" s="53">
        <v>321</v>
      </c>
      <c r="V67" s="16">
        <f t="shared" si="4"/>
        <v>16</v>
      </c>
      <c r="W67" s="53">
        <v>8</v>
      </c>
      <c r="X67" s="53" t="s">
        <v>46</v>
      </c>
      <c r="Y67" s="53" t="s">
        <v>55</v>
      </c>
      <c r="Z67" s="53" t="s">
        <v>69</v>
      </c>
      <c r="AA67" s="53" t="s">
        <v>97</v>
      </c>
      <c r="AB67" s="53" t="s">
        <v>318</v>
      </c>
      <c r="AV67" s="27"/>
    </row>
    <row r="68" spans="1:48" x14ac:dyDescent="0.15">
      <c r="A68" s="53" t="s">
        <v>59</v>
      </c>
      <c r="B68" s="53" t="s">
        <v>232</v>
      </c>
      <c r="C68" s="62">
        <v>2019</v>
      </c>
      <c r="D68" s="137" t="s">
        <v>283</v>
      </c>
      <c r="E68" s="53" t="s">
        <v>330</v>
      </c>
      <c r="F68" s="53" t="s">
        <v>331</v>
      </c>
      <c r="G68" s="53" t="s">
        <v>36</v>
      </c>
      <c r="H68" s="53" t="s">
        <v>193</v>
      </c>
      <c r="I68" s="53" t="s">
        <v>159</v>
      </c>
      <c r="J68" s="53" t="s">
        <v>38</v>
      </c>
      <c r="K68" s="53" t="s">
        <v>161</v>
      </c>
      <c r="L68" s="53">
        <v>1</v>
      </c>
      <c r="N68" s="53">
        <v>5</v>
      </c>
      <c r="O68" s="53">
        <v>0.35</v>
      </c>
      <c r="P68" s="53">
        <v>0.35</v>
      </c>
      <c r="Q68" s="75">
        <f t="shared" si="5"/>
        <v>0.35</v>
      </c>
      <c r="R68" s="53">
        <v>16.100000000000001</v>
      </c>
      <c r="S68" s="53">
        <v>90</v>
      </c>
      <c r="T68" s="16">
        <f t="shared" si="3"/>
        <v>36</v>
      </c>
      <c r="U68" s="53">
        <v>321</v>
      </c>
      <c r="V68" s="16">
        <f t="shared" si="4"/>
        <v>16</v>
      </c>
      <c r="W68" s="53">
        <v>1</v>
      </c>
      <c r="X68" s="53" t="s">
        <v>39</v>
      </c>
      <c r="Y68" s="53" t="s">
        <v>55</v>
      </c>
      <c r="Z68" s="53" t="s">
        <v>69</v>
      </c>
      <c r="AA68" s="53" t="s">
        <v>97</v>
      </c>
      <c r="AB68" s="53" t="s">
        <v>318</v>
      </c>
      <c r="AV68" s="27"/>
    </row>
    <row r="69" spans="1:48" x14ac:dyDescent="0.15">
      <c r="A69" s="53" t="s">
        <v>59</v>
      </c>
      <c r="B69" s="53" t="s">
        <v>232</v>
      </c>
      <c r="C69" s="62">
        <v>2019</v>
      </c>
      <c r="D69" s="137" t="s">
        <v>283</v>
      </c>
      <c r="E69" s="53" t="s">
        <v>330</v>
      </c>
      <c r="F69" s="53" t="s">
        <v>331</v>
      </c>
      <c r="G69" s="53" t="s">
        <v>36</v>
      </c>
      <c r="H69" s="53" t="s">
        <v>193</v>
      </c>
      <c r="I69" s="53" t="s">
        <v>159</v>
      </c>
      <c r="J69" s="53" t="s">
        <v>38</v>
      </c>
      <c r="K69" s="53" t="s">
        <v>161</v>
      </c>
      <c r="L69" s="53">
        <v>2</v>
      </c>
      <c r="N69" s="53">
        <v>5</v>
      </c>
      <c r="O69" s="53">
        <v>0.45</v>
      </c>
      <c r="P69" s="53">
        <v>0.4</v>
      </c>
      <c r="Q69" s="75">
        <f t="shared" si="5"/>
        <v>0.42500000000000004</v>
      </c>
      <c r="R69" s="53">
        <v>15.5</v>
      </c>
      <c r="S69" s="53">
        <v>85</v>
      </c>
      <c r="T69" s="16">
        <f t="shared" si="3"/>
        <v>36</v>
      </c>
      <c r="U69" s="53">
        <v>321</v>
      </c>
      <c r="V69" s="16">
        <f t="shared" si="4"/>
        <v>16</v>
      </c>
      <c r="W69" s="53">
        <v>1</v>
      </c>
      <c r="X69" s="53" t="s">
        <v>39</v>
      </c>
      <c r="Y69" s="53" t="s">
        <v>55</v>
      </c>
      <c r="Z69" s="53" t="s">
        <v>69</v>
      </c>
      <c r="AA69" s="53" t="s">
        <v>97</v>
      </c>
      <c r="AB69" s="53" t="s">
        <v>318</v>
      </c>
      <c r="AV69" s="27"/>
    </row>
    <row r="70" spans="1:48" x14ac:dyDescent="0.15">
      <c r="A70" s="53" t="s">
        <v>59</v>
      </c>
      <c r="B70" s="53" t="s">
        <v>232</v>
      </c>
      <c r="C70" s="62">
        <v>2019</v>
      </c>
      <c r="D70" s="137" t="s">
        <v>283</v>
      </c>
      <c r="E70" s="53" t="s">
        <v>330</v>
      </c>
      <c r="F70" s="53" t="s">
        <v>331</v>
      </c>
      <c r="G70" s="53" t="s">
        <v>36</v>
      </c>
      <c r="H70" s="53" t="s">
        <v>193</v>
      </c>
      <c r="I70" s="53" t="s">
        <v>159</v>
      </c>
      <c r="J70" s="53" t="s">
        <v>38</v>
      </c>
      <c r="K70" s="53" t="s">
        <v>161</v>
      </c>
      <c r="L70" s="53">
        <v>3</v>
      </c>
      <c r="N70" s="53">
        <v>5</v>
      </c>
      <c r="O70" s="53">
        <v>0.42</v>
      </c>
      <c r="P70" s="53">
        <v>0.41</v>
      </c>
      <c r="Q70" s="75">
        <f t="shared" si="5"/>
        <v>0.41499999999999998</v>
      </c>
      <c r="R70" s="53">
        <v>15.9</v>
      </c>
      <c r="S70" s="53">
        <v>85</v>
      </c>
      <c r="T70" s="16">
        <f t="shared" si="3"/>
        <v>36</v>
      </c>
      <c r="U70" s="53">
        <v>321</v>
      </c>
      <c r="V70" s="16">
        <f t="shared" si="4"/>
        <v>16</v>
      </c>
      <c r="W70" s="53">
        <v>1</v>
      </c>
      <c r="X70" s="53" t="s">
        <v>39</v>
      </c>
      <c r="Y70" s="53" t="s">
        <v>55</v>
      </c>
      <c r="Z70" s="53" t="s">
        <v>69</v>
      </c>
      <c r="AA70" s="53" t="s">
        <v>97</v>
      </c>
      <c r="AB70" s="53" t="s">
        <v>318</v>
      </c>
      <c r="AV70" s="27"/>
    </row>
    <row r="71" spans="1:48" x14ac:dyDescent="0.15">
      <c r="C71" s="62"/>
      <c r="D71" s="137"/>
      <c r="Q71" s="75"/>
      <c r="AV71" s="27"/>
    </row>
    <row r="72" spans="1:48" x14ac:dyDescent="0.15">
      <c r="C72" s="62"/>
      <c r="D72" s="137"/>
      <c r="Q72" s="75"/>
      <c r="AV72" s="27"/>
    </row>
    <row r="73" spans="1:48" x14ac:dyDescent="0.15">
      <c r="C73" s="62"/>
      <c r="D73" s="137"/>
      <c r="Q73" s="75"/>
    </row>
    <row r="74" spans="1:48" x14ac:dyDescent="0.15">
      <c r="C74" s="62"/>
      <c r="D74" s="137"/>
      <c r="Q74" s="75"/>
    </row>
    <row r="75" spans="1:48" x14ac:dyDescent="0.15">
      <c r="C75" s="62"/>
      <c r="D75" s="137"/>
      <c r="Q75" s="75"/>
    </row>
    <row r="76" spans="1:48" x14ac:dyDescent="0.15">
      <c r="C76" s="62"/>
      <c r="Q76" s="75"/>
    </row>
    <row r="77" spans="1:48" x14ac:dyDescent="0.15">
      <c r="C77" s="62"/>
      <c r="Q77" s="75"/>
    </row>
    <row r="78" spans="1:48" x14ac:dyDescent="0.15">
      <c r="C78" s="62"/>
      <c r="Q78" s="75"/>
    </row>
    <row r="79" spans="1:48" x14ac:dyDescent="0.15">
      <c r="C79" s="62"/>
      <c r="Q79" s="75"/>
    </row>
    <row r="80" spans="1:48" x14ac:dyDescent="0.15">
      <c r="C80" s="62"/>
      <c r="Q80" s="75"/>
    </row>
    <row r="81" spans="3:22" x14ac:dyDescent="0.15">
      <c r="C81" s="62"/>
      <c r="Q81" s="75"/>
    </row>
    <row r="82" spans="3:22" x14ac:dyDescent="0.15">
      <c r="C82" s="62"/>
      <c r="Q82" s="75"/>
    </row>
    <row r="83" spans="3:22" x14ac:dyDescent="0.15">
      <c r="C83" s="62"/>
      <c r="Q83" s="75"/>
    </row>
    <row r="84" spans="3:22" x14ac:dyDescent="0.15">
      <c r="C84" s="62"/>
      <c r="Q84" s="75"/>
    </row>
    <row r="85" spans="3:22" x14ac:dyDescent="0.15">
      <c r="C85" s="62"/>
      <c r="Q85" s="75"/>
    </row>
    <row r="86" spans="3:22" x14ac:dyDescent="0.15">
      <c r="C86" s="62"/>
      <c r="Q86" s="75"/>
    </row>
    <row r="87" spans="3:22" x14ac:dyDescent="0.15">
      <c r="C87" s="62"/>
      <c r="Q87" s="75"/>
    </row>
    <row r="88" spans="3:22" x14ac:dyDescent="0.15">
      <c r="C88" s="62"/>
      <c r="Q88" s="75"/>
    </row>
    <row r="89" spans="3:22" x14ac:dyDescent="0.15">
      <c r="C89" s="62"/>
      <c r="Q89" s="75"/>
    </row>
    <row r="90" spans="3:22" x14ac:dyDescent="0.15">
      <c r="C90" s="62"/>
      <c r="Q90" s="75"/>
    </row>
    <row r="91" spans="3:22" x14ac:dyDescent="0.15">
      <c r="C91" s="62"/>
      <c r="Q91" s="75"/>
    </row>
    <row r="92" spans="3:22" x14ac:dyDescent="0.15">
      <c r="C92" s="62"/>
    </row>
    <row r="93" spans="3:22" x14ac:dyDescent="0.15">
      <c r="C93" s="62"/>
    </row>
    <row r="94" spans="3:22" x14ac:dyDescent="0.15">
      <c r="Q94" s="16" t="str">
        <f t="shared" ref="Q94:Q145" si="6">IF(OR(O94="",P94=""),"",AVERAGE(O94,P94))</f>
        <v/>
      </c>
      <c r="T94" s="16" t="str">
        <f t="shared" ref="T94:T145" si="7">IF(H94="","",IF(OR(H94="GREEN",H94="GK"),IF(S94&gt;=$AX$2,VLOOKUP(S94,$AX$2:$AY$12,2,1),""),IF(S94&gt;=$AZ$2,VLOOKUP(S94,$AZ$2:$BA$12,2,1),"")))</f>
        <v/>
      </c>
      <c r="V94" s="16" t="str">
        <f t="shared" ref="V94:V145" si="8">IF(J94="","",IF(OR(J94="GREEN",J94="GK"),IF(U94&gt;=$AX$2,VLOOKUP(U94,$AX$2:$AY$12,2,1),""),IF(U94&gt;=$AZ$2,VLOOKUP(U94,$AZ$2:$BA$12,2,1),"")))</f>
        <v/>
      </c>
    </row>
    <row r="95" spans="3:22" x14ac:dyDescent="0.15">
      <c r="Q95" s="16" t="str">
        <f t="shared" si="6"/>
        <v/>
      </c>
      <c r="T95" s="16" t="str">
        <f t="shared" si="7"/>
        <v/>
      </c>
      <c r="V95" s="16" t="str">
        <f t="shared" si="8"/>
        <v/>
      </c>
    </row>
    <row r="96" spans="3:22" x14ac:dyDescent="0.15">
      <c r="Q96" s="16" t="str">
        <f t="shared" si="6"/>
        <v/>
      </c>
      <c r="T96" s="16" t="str">
        <f t="shared" si="7"/>
        <v/>
      </c>
      <c r="V96" s="16" t="str">
        <f t="shared" si="8"/>
        <v/>
      </c>
    </row>
    <row r="97" spans="17:22" x14ac:dyDescent="0.15">
      <c r="Q97" s="16" t="str">
        <f t="shared" si="6"/>
        <v/>
      </c>
      <c r="T97" s="16" t="str">
        <f t="shared" si="7"/>
        <v/>
      </c>
      <c r="V97" s="16" t="str">
        <f t="shared" si="8"/>
        <v/>
      </c>
    </row>
    <row r="98" spans="17:22" x14ac:dyDescent="0.15">
      <c r="Q98" s="16" t="str">
        <f t="shared" si="6"/>
        <v/>
      </c>
      <c r="T98" s="16" t="str">
        <f t="shared" si="7"/>
        <v/>
      </c>
      <c r="V98" s="16" t="str">
        <f t="shared" si="8"/>
        <v/>
      </c>
    </row>
    <row r="99" spans="17:22" x14ac:dyDescent="0.15">
      <c r="Q99" s="16" t="str">
        <f t="shared" si="6"/>
        <v/>
      </c>
      <c r="T99" s="16" t="str">
        <f t="shared" si="7"/>
        <v/>
      </c>
      <c r="V99" s="16" t="str">
        <f t="shared" si="8"/>
        <v/>
      </c>
    </row>
    <row r="100" spans="17:22" x14ac:dyDescent="0.15">
      <c r="Q100" s="16" t="str">
        <f t="shared" si="6"/>
        <v/>
      </c>
      <c r="T100" s="16" t="str">
        <f t="shared" si="7"/>
        <v/>
      </c>
      <c r="V100" s="16" t="str">
        <f t="shared" si="8"/>
        <v/>
      </c>
    </row>
    <row r="101" spans="17:22" x14ac:dyDescent="0.15">
      <c r="Q101" s="16" t="str">
        <f t="shared" si="6"/>
        <v/>
      </c>
      <c r="T101" s="16" t="str">
        <f t="shared" si="7"/>
        <v/>
      </c>
      <c r="V101" s="16" t="str">
        <f t="shared" si="8"/>
        <v/>
      </c>
    </row>
    <row r="102" spans="17:22" x14ac:dyDescent="0.15">
      <c r="Q102" s="16" t="str">
        <f t="shared" si="6"/>
        <v/>
      </c>
      <c r="T102" s="16" t="str">
        <f t="shared" si="7"/>
        <v/>
      </c>
      <c r="V102" s="16" t="str">
        <f t="shared" si="8"/>
        <v/>
      </c>
    </row>
    <row r="103" spans="17:22" x14ac:dyDescent="0.15">
      <c r="Q103" s="16" t="str">
        <f t="shared" si="6"/>
        <v/>
      </c>
      <c r="T103" s="16" t="str">
        <f t="shared" si="7"/>
        <v/>
      </c>
      <c r="V103" s="16" t="str">
        <f t="shared" si="8"/>
        <v/>
      </c>
    </row>
    <row r="104" spans="17:22" x14ac:dyDescent="0.15">
      <c r="Q104" s="16" t="str">
        <f t="shared" si="6"/>
        <v/>
      </c>
      <c r="T104" s="16" t="str">
        <f t="shared" si="7"/>
        <v/>
      </c>
      <c r="V104" s="16" t="str">
        <f t="shared" si="8"/>
        <v/>
      </c>
    </row>
    <row r="105" spans="17:22" x14ac:dyDescent="0.15">
      <c r="Q105" s="16" t="str">
        <f t="shared" si="6"/>
        <v/>
      </c>
      <c r="T105" s="16" t="str">
        <f t="shared" si="7"/>
        <v/>
      </c>
      <c r="V105" s="16" t="str">
        <f t="shared" si="8"/>
        <v/>
      </c>
    </row>
    <row r="106" spans="17:22" x14ac:dyDescent="0.15">
      <c r="Q106" s="16" t="str">
        <f t="shared" si="6"/>
        <v/>
      </c>
      <c r="T106" s="16" t="str">
        <f t="shared" si="7"/>
        <v/>
      </c>
      <c r="V106" s="16" t="str">
        <f t="shared" si="8"/>
        <v/>
      </c>
    </row>
    <row r="107" spans="17:22" x14ac:dyDescent="0.15">
      <c r="Q107" s="16" t="str">
        <f t="shared" si="6"/>
        <v/>
      </c>
      <c r="T107" s="16" t="str">
        <f t="shared" si="7"/>
        <v/>
      </c>
      <c r="V107" s="16" t="str">
        <f t="shared" si="8"/>
        <v/>
      </c>
    </row>
    <row r="108" spans="17:22" x14ac:dyDescent="0.15">
      <c r="Q108" s="16" t="str">
        <f t="shared" si="6"/>
        <v/>
      </c>
      <c r="T108" s="16" t="str">
        <f t="shared" si="7"/>
        <v/>
      </c>
      <c r="V108" s="16" t="str">
        <f t="shared" si="8"/>
        <v/>
      </c>
    </row>
    <row r="109" spans="17:22" x14ac:dyDescent="0.15">
      <c r="Q109" s="16" t="str">
        <f t="shared" si="6"/>
        <v/>
      </c>
      <c r="T109" s="16" t="str">
        <f t="shared" si="7"/>
        <v/>
      </c>
      <c r="V109" s="16" t="str">
        <f t="shared" si="8"/>
        <v/>
      </c>
    </row>
    <row r="110" spans="17:22" x14ac:dyDescent="0.15">
      <c r="Q110" s="16" t="str">
        <f t="shared" si="6"/>
        <v/>
      </c>
      <c r="T110" s="16" t="str">
        <f t="shared" si="7"/>
        <v/>
      </c>
      <c r="V110" s="16" t="str">
        <f t="shared" si="8"/>
        <v/>
      </c>
    </row>
    <row r="111" spans="17:22" x14ac:dyDescent="0.15">
      <c r="Q111" s="16" t="str">
        <f t="shared" si="6"/>
        <v/>
      </c>
      <c r="T111" s="16" t="str">
        <f t="shared" si="7"/>
        <v/>
      </c>
      <c r="V111" s="16" t="str">
        <f t="shared" si="8"/>
        <v/>
      </c>
    </row>
    <row r="112" spans="17:22" x14ac:dyDescent="0.15">
      <c r="Q112" s="16" t="str">
        <f t="shared" si="6"/>
        <v/>
      </c>
      <c r="T112" s="16" t="str">
        <f t="shared" si="7"/>
        <v/>
      </c>
      <c r="V112" s="16" t="str">
        <f t="shared" si="8"/>
        <v/>
      </c>
    </row>
    <row r="113" spans="17:22" x14ac:dyDescent="0.15">
      <c r="Q113" s="16" t="str">
        <f t="shared" si="6"/>
        <v/>
      </c>
      <c r="T113" s="16" t="str">
        <f t="shared" si="7"/>
        <v/>
      </c>
      <c r="V113" s="16" t="str">
        <f t="shared" si="8"/>
        <v/>
      </c>
    </row>
    <row r="114" spans="17:22" x14ac:dyDescent="0.15">
      <c r="Q114" s="16" t="str">
        <f t="shared" si="6"/>
        <v/>
      </c>
      <c r="T114" s="16" t="str">
        <f t="shared" si="7"/>
        <v/>
      </c>
      <c r="V114" s="16" t="str">
        <f t="shared" si="8"/>
        <v/>
      </c>
    </row>
    <row r="115" spans="17:22" x14ac:dyDescent="0.15">
      <c r="Q115" s="16" t="str">
        <f t="shared" si="6"/>
        <v/>
      </c>
      <c r="T115" s="16" t="str">
        <f t="shared" si="7"/>
        <v/>
      </c>
      <c r="V115" s="16" t="str">
        <f t="shared" si="8"/>
        <v/>
      </c>
    </row>
    <row r="116" spans="17:22" x14ac:dyDescent="0.15">
      <c r="Q116" s="16" t="str">
        <f t="shared" si="6"/>
        <v/>
      </c>
      <c r="T116" s="16" t="str">
        <f t="shared" si="7"/>
        <v/>
      </c>
      <c r="V116" s="16" t="str">
        <f t="shared" si="8"/>
        <v/>
      </c>
    </row>
    <row r="117" spans="17:22" x14ac:dyDescent="0.15">
      <c r="Q117" s="16" t="str">
        <f t="shared" si="6"/>
        <v/>
      </c>
      <c r="T117" s="16" t="str">
        <f t="shared" si="7"/>
        <v/>
      </c>
      <c r="V117" s="16" t="str">
        <f t="shared" si="8"/>
        <v/>
      </c>
    </row>
    <row r="118" spans="17:22" x14ac:dyDescent="0.15">
      <c r="Q118" s="16" t="str">
        <f t="shared" si="6"/>
        <v/>
      </c>
      <c r="T118" s="16" t="str">
        <f t="shared" si="7"/>
        <v/>
      </c>
      <c r="V118" s="16" t="str">
        <f t="shared" si="8"/>
        <v/>
      </c>
    </row>
    <row r="119" spans="17:22" x14ac:dyDescent="0.15">
      <c r="Q119" s="16" t="str">
        <f t="shared" si="6"/>
        <v/>
      </c>
      <c r="T119" s="16" t="str">
        <f t="shared" si="7"/>
        <v/>
      </c>
      <c r="V119" s="16" t="str">
        <f t="shared" si="8"/>
        <v/>
      </c>
    </row>
    <row r="120" spans="17:22" x14ac:dyDescent="0.15">
      <c r="Q120" s="16" t="str">
        <f t="shared" si="6"/>
        <v/>
      </c>
      <c r="T120" s="16" t="str">
        <f t="shared" si="7"/>
        <v/>
      </c>
      <c r="V120" s="16" t="str">
        <f t="shared" si="8"/>
        <v/>
      </c>
    </row>
    <row r="121" spans="17:22" x14ac:dyDescent="0.15">
      <c r="Q121" s="16" t="str">
        <f t="shared" si="6"/>
        <v/>
      </c>
      <c r="T121" s="16" t="str">
        <f t="shared" si="7"/>
        <v/>
      </c>
      <c r="V121" s="16" t="str">
        <f t="shared" si="8"/>
        <v/>
      </c>
    </row>
    <row r="122" spans="17:22" x14ac:dyDescent="0.15">
      <c r="Q122" s="16" t="str">
        <f t="shared" si="6"/>
        <v/>
      </c>
      <c r="T122" s="16" t="str">
        <f t="shared" si="7"/>
        <v/>
      </c>
      <c r="V122" s="16" t="str">
        <f t="shared" si="8"/>
        <v/>
      </c>
    </row>
    <row r="123" spans="17:22" x14ac:dyDescent="0.15">
      <c r="Q123" s="16" t="str">
        <f t="shared" si="6"/>
        <v/>
      </c>
      <c r="T123" s="16" t="str">
        <f t="shared" si="7"/>
        <v/>
      </c>
      <c r="V123" s="16" t="str">
        <f t="shared" si="8"/>
        <v/>
      </c>
    </row>
    <row r="124" spans="17:22" x14ac:dyDescent="0.15">
      <c r="Q124" s="16" t="str">
        <f t="shared" si="6"/>
        <v/>
      </c>
      <c r="T124" s="16" t="str">
        <f t="shared" si="7"/>
        <v/>
      </c>
      <c r="V124" s="16" t="str">
        <f t="shared" si="8"/>
        <v/>
      </c>
    </row>
    <row r="125" spans="17:22" x14ac:dyDescent="0.15">
      <c r="Q125" s="16" t="str">
        <f t="shared" si="6"/>
        <v/>
      </c>
      <c r="T125" s="16" t="str">
        <f t="shared" si="7"/>
        <v/>
      </c>
      <c r="V125" s="16" t="str">
        <f t="shared" si="8"/>
        <v/>
      </c>
    </row>
    <row r="126" spans="17:22" x14ac:dyDescent="0.15">
      <c r="Q126" s="16" t="str">
        <f t="shared" si="6"/>
        <v/>
      </c>
      <c r="T126" s="16" t="str">
        <f t="shared" si="7"/>
        <v/>
      </c>
      <c r="V126" s="16" t="str">
        <f t="shared" si="8"/>
        <v/>
      </c>
    </row>
    <row r="127" spans="17:22" x14ac:dyDescent="0.15">
      <c r="Q127" s="16" t="str">
        <f t="shared" si="6"/>
        <v/>
      </c>
      <c r="T127" s="16" t="str">
        <f t="shared" si="7"/>
        <v/>
      </c>
      <c r="V127" s="16" t="str">
        <f t="shared" si="8"/>
        <v/>
      </c>
    </row>
    <row r="128" spans="17:22" x14ac:dyDescent="0.15">
      <c r="Q128" s="16" t="str">
        <f t="shared" si="6"/>
        <v/>
      </c>
      <c r="T128" s="16" t="str">
        <f t="shared" si="7"/>
        <v/>
      </c>
      <c r="V128" s="16" t="str">
        <f t="shared" si="8"/>
        <v/>
      </c>
    </row>
    <row r="129" spans="17:22" x14ac:dyDescent="0.15">
      <c r="Q129" s="16" t="str">
        <f t="shared" si="6"/>
        <v/>
      </c>
      <c r="T129" s="16" t="str">
        <f t="shared" si="7"/>
        <v/>
      </c>
      <c r="V129" s="16" t="str">
        <f t="shared" si="8"/>
        <v/>
      </c>
    </row>
    <row r="130" spans="17:22" x14ac:dyDescent="0.15">
      <c r="Q130" s="16" t="str">
        <f t="shared" si="6"/>
        <v/>
      </c>
      <c r="T130" s="16" t="str">
        <f t="shared" si="7"/>
        <v/>
      </c>
      <c r="V130" s="16" t="str">
        <f t="shared" si="8"/>
        <v/>
      </c>
    </row>
    <row r="131" spans="17:22" x14ac:dyDescent="0.15">
      <c r="Q131" s="16" t="str">
        <f t="shared" si="6"/>
        <v/>
      </c>
      <c r="T131" s="16" t="str">
        <f t="shared" si="7"/>
        <v/>
      </c>
      <c r="V131" s="16" t="str">
        <f t="shared" si="8"/>
        <v/>
      </c>
    </row>
    <row r="132" spans="17:22" x14ac:dyDescent="0.15">
      <c r="Q132" s="16" t="str">
        <f t="shared" si="6"/>
        <v/>
      </c>
      <c r="T132" s="16" t="str">
        <f t="shared" si="7"/>
        <v/>
      </c>
      <c r="V132" s="16" t="str">
        <f t="shared" si="8"/>
        <v/>
      </c>
    </row>
    <row r="133" spans="17:22" x14ac:dyDescent="0.15">
      <c r="Q133" s="16" t="str">
        <f t="shared" si="6"/>
        <v/>
      </c>
      <c r="T133" s="16" t="str">
        <f t="shared" si="7"/>
        <v/>
      </c>
      <c r="V133" s="16" t="str">
        <f t="shared" si="8"/>
        <v/>
      </c>
    </row>
    <row r="134" spans="17:22" x14ac:dyDescent="0.15">
      <c r="Q134" s="16" t="str">
        <f t="shared" si="6"/>
        <v/>
      </c>
      <c r="T134" s="16" t="str">
        <f t="shared" si="7"/>
        <v/>
      </c>
      <c r="V134" s="16" t="str">
        <f t="shared" si="8"/>
        <v/>
      </c>
    </row>
    <row r="135" spans="17:22" x14ac:dyDescent="0.15">
      <c r="Q135" s="16" t="str">
        <f t="shared" si="6"/>
        <v/>
      </c>
      <c r="T135" s="16" t="str">
        <f t="shared" si="7"/>
        <v/>
      </c>
      <c r="V135" s="16" t="str">
        <f t="shared" si="8"/>
        <v/>
      </c>
    </row>
    <row r="136" spans="17:22" x14ac:dyDescent="0.15">
      <c r="Q136" s="16" t="str">
        <f t="shared" si="6"/>
        <v/>
      </c>
      <c r="T136" s="16" t="str">
        <f t="shared" si="7"/>
        <v/>
      </c>
      <c r="V136" s="16" t="str">
        <f t="shared" si="8"/>
        <v/>
      </c>
    </row>
    <row r="137" spans="17:22" x14ac:dyDescent="0.15">
      <c r="Q137" s="16" t="str">
        <f t="shared" si="6"/>
        <v/>
      </c>
      <c r="T137" s="16" t="str">
        <f t="shared" si="7"/>
        <v/>
      </c>
      <c r="V137" s="16" t="str">
        <f t="shared" si="8"/>
        <v/>
      </c>
    </row>
    <row r="138" spans="17:22" x14ac:dyDescent="0.15">
      <c r="Q138" s="16" t="str">
        <f t="shared" si="6"/>
        <v/>
      </c>
      <c r="T138" s="16" t="str">
        <f t="shared" si="7"/>
        <v/>
      </c>
      <c r="V138" s="16" t="str">
        <f t="shared" si="8"/>
        <v/>
      </c>
    </row>
    <row r="139" spans="17:22" x14ac:dyDescent="0.15">
      <c r="Q139" s="16" t="str">
        <f t="shared" si="6"/>
        <v/>
      </c>
      <c r="T139" s="16" t="str">
        <f t="shared" si="7"/>
        <v/>
      </c>
      <c r="V139" s="16" t="str">
        <f t="shared" si="8"/>
        <v/>
      </c>
    </row>
    <row r="140" spans="17:22" x14ac:dyDescent="0.15">
      <c r="Q140" s="16" t="str">
        <f t="shared" si="6"/>
        <v/>
      </c>
      <c r="T140" s="16" t="str">
        <f t="shared" si="7"/>
        <v/>
      </c>
      <c r="V140" s="16" t="str">
        <f t="shared" si="8"/>
        <v/>
      </c>
    </row>
    <row r="141" spans="17:22" x14ac:dyDescent="0.15">
      <c r="Q141" s="16" t="str">
        <f t="shared" si="6"/>
        <v/>
      </c>
      <c r="T141" s="16" t="str">
        <f t="shared" si="7"/>
        <v/>
      </c>
      <c r="V141" s="16" t="str">
        <f t="shared" si="8"/>
        <v/>
      </c>
    </row>
    <row r="142" spans="17:22" x14ac:dyDescent="0.15">
      <c r="Q142" s="16" t="str">
        <f t="shared" si="6"/>
        <v/>
      </c>
      <c r="T142" s="16" t="str">
        <f t="shared" si="7"/>
        <v/>
      </c>
      <c r="V142" s="16" t="str">
        <f t="shared" si="8"/>
        <v/>
      </c>
    </row>
    <row r="143" spans="17:22" x14ac:dyDescent="0.15">
      <c r="Q143" s="16" t="str">
        <f t="shared" si="6"/>
        <v/>
      </c>
      <c r="T143" s="16" t="str">
        <f t="shared" si="7"/>
        <v/>
      </c>
      <c r="V143" s="16" t="str">
        <f t="shared" si="8"/>
        <v/>
      </c>
    </row>
    <row r="144" spans="17:22" x14ac:dyDescent="0.15">
      <c r="Q144" s="16" t="str">
        <f t="shared" si="6"/>
        <v/>
      </c>
      <c r="T144" s="16" t="str">
        <f t="shared" si="7"/>
        <v/>
      </c>
      <c r="V144" s="16" t="str">
        <f t="shared" si="8"/>
        <v/>
      </c>
    </row>
    <row r="145" spans="17:22" x14ac:dyDescent="0.15">
      <c r="Q145" s="16" t="str">
        <f t="shared" si="6"/>
        <v/>
      </c>
      <c r="T145" s="16" t="str">
        <f t="shared" si="7"/>
        <v/>
      </c>
      <c r="V145" s="16" t="str">
        <f t="shared" si="8"/>
        <v/>
      </c>
    </row>
  </sheetData>
  <autoFilter ref="A1:BA145" xr:uid="{00000000-0009-0000-0000-000000000000}"/>
  <phoneticPr fontId="3"/>
  <dataValidations count="19">
    <dataValidation type="list" allowBlank="1" showInputMessage="1" showErrorMessage="1" sqref="K2:K427" xr:uid="{5303B68B-8084-4908-8B0A-2AD547F73A0C}">
      <formula1>$AR$2:$AR$27</formula1>
    </dataValidation>
    <dataValidation type="list" allowBlank="1" showInputMessage="1" showErrorMessage="1" sqref="E2:E485" xr:uid="{B1CD7FBC-0FFD-4C69-9817-7D2CDBEEC2B7}">
      <formula1>$AG$2:$AG$11</formula1>
    </dataValidation>
    <dataValidation type="list" allowBlank="1" showInputMessage="1" showErrorMessage="1" sqref="H2:H485" xr:uid="{756577FD-83F8-48F0-9869-637AF49F97C1}">
      <formula1>$AL$2:$AL$8</formula1>
    </dataValidation>
    <dataValidation type="decimal" allowBlank="1" showInputMessage="1" showErrorMessage="1" error="硬度を正しく入力して下さい。" sqref="O2:P485" xr:uid="{6A52AA5A-46CE-4CCB-8F3E-48E514D856E5}">
      <formula1>0</formula1>
      <formula2>7</formula2>
    </dataValidation>
    <dataValidation type="list" allowBlank="1" showInputMessage="1" showErrorMessage="1" sqref="F2:F1439" xr:uid="{CA59693C-A63A-4398-B771-FAF8017DEAC3}">
      <formula1>$AH$2:$AH$11</formula1>
    </dataValidation>
    <dataValidation type="list" allowBlank="1" showInputMessage="1" showErrorMessage="1" sqref="Y2:AA576" xr:uid="{C6591F89-2D19-4433-A766-7C49ECEA58A6}">
      <formula1>$AV$2:$AV$38</formula1>
    </dataValidation>
    <dataValidation type="list" allowBlank="1" showInputMessage="1" showErrorMessage="1" sqref="J2:J72" xr:uid="{4EEBE402-F4C1-4A1F-88A0-84AC53E76FA7}">
      <formula1>$AP$2:$AP$38</formula1>
    </dataValidation>
    <dataValidation type="list" allowBlank="1" showInputMessage="1" showErrorMessage="1" sqref="WVS983027:WVS983092 K65523:K65588 JG65523:JG65588 TC65523:TC65588 ACY65523:ACY65588 AMU65523:AMU65588 AWQ65523:AWQ65588 BGM65523:BGM65588 BQI65523:BQI65588 CAE65523:CAE65588 CKA65523:CKA65588 CTW65523:CTW65588 DDS65523:DDS65588 DNO65523:DNO65588 DXK65523:DXK65588 EHG65523:EHG65588 ERC65523:ERC65588 FAY65523:FAY65588 FKU65523:FKU65588 FUQ65523:FUQ65588 GEM65523:GEM65588 GOI65523:GOI65588 GYE65523:GYE65588 HIA65523:HIA65588 HRW65523:HRW65588 IBS65523:IBS65588 ILO65523:ILO65588 IVK65523:IVK65588 JFG65523:JFG65588 JPC65523:JPC65588 JYY65523:JYY65588 KIU65523:KIU65588 KSQ65523:KSQ65588 LCM65523:LCM65588 LMI65523:LMI65588 LWE65523:LWE65588 MGA65523:MGA65588 MPW65523:MPW65588 MZS65523:MZS65588 NJO65523:NJO65588 NTK65523:NTK65588 ODG65523:ODG65588 ONC65523:ONC65588 OWY65523:OWY65588 PGU65523:PGU65588 PQQ65523:PQQ65588 QAM65523:QAM65588 QKI65523:QKI65588 QUE65523:QUE65588 REA65523:REA65588 RNW65523:RNW65588 RXS65523:RXS65588 SHO65523:SHO65588 SRK65523:SRK65588 TBG65523:TBG65588 TLC65523:TLC65588 TUY65523:TUY65588 UEU65523:UEU65588 UOQ65523:UOQ65588 UYM65523:UYM65588 VII65523:VII65588 VSE65523:VSE65588 WCA65523:WCA65588 WLW65523:WLW65588 WVS65523:WVS65588 K131059:K131124 JG131059:JG131124 TC131059:TC131124 ACY131059:ACY131124 AMU131059:AMU131124 AWQ131059:AWQ131124 BGM131059:BGM131124 BQI131059:BQI131124 CAE131059:CAE131124 CKA131059:CKA131124 CTW131059:CTW131124 DDS131059:DDS131124 DNO131059:DNO131124 DXK131059:DXK131124 EHG131059:EHG131124 ERC131059:ERC131124 FAY131059:FAY131124 FKU131059:FKU131124 FUQ131059:FUQ131124 GEM131059:GEM131124 GOI131059:GOI131124 GYE131059:GYE131124 HIA131059:HIA131124 HRW131059:HRW131124 IBS131059:IBS131124 ILO131059:ILO131124 IVK131059:IVK131124 JFG131059:JFG131124 JPC131059:JPC131124 JYY131059:JYY131124 KIU131059:KIU131124 KSQ131059:KSQ131124 LCM131059:LCM131124 LMI131059:LMI131124 LWE131059:LWE131124 MGA131059:MGA131124 MPW131059:MPW131124 MZS131059:MZS131124 NJO131059:NJO131124 NTK131059:NTK131124 ODG131059:ODG131124 ONC131059:ONC131124 OWY131059:OWY131124 PGU131059:PGU131124 PQQ131059:PQQ131124 QAM131059:QAM131124 QKI131059:QKI131124 QUE131059:QUE131124 REA131059:REA131124 RNW131059:RNW131124 RXS131059:RXS131124 SHO131059:SHO131124 SRK131059:SRK131124 TBG131059:TBG131124 TLC131059:TLC131124 TUY131059:TUY131124 UEU131059:UEU131124 UOQ131059:UOQ131124 UYM131059:UYM131124 VII131059:VII131124 VSE131059:VSE131124 WCA131059:WCA131124 WLW131059:WLW131124 WVS131059:WVS131124 K196595:K196660 JG196595:JG196660 TC196595:TC196660 ACY196595:ACY196660 AMU196595:AMU196660 AWQ196595:AWQ196660 BGM196595:BGM196660 BQI196595:BQI196660 CAE196595:CAE196660 CKA196595:CKA196660 CTW196595:CTW196660 DDS196595:DDS196660 DNO196595:DNO196660 DXK196595:DXK196660 EHG196595:EHG196660 ERC196595:ERC196660 FAY196595:FAY196660 FKU196595:FKU196660 FUQ196595:FUQ196660 GEM196595:GEM196660 GOI196595:GOI196660 GYE196595:GYE196660 HIA196595:HIA196660 HRW196595:HRW196660 IBS196595:IBS196660 ILO196595:ILO196660 IVK196595:IVK196660 JFG196595:JFG196660 JPC196595:JPC196660 JYY196595:JYY196660 KIU196595:KIU196660 KSQ196595:KSQ196660 LCM196595:LCM196660 LMI196595:LMI196660 LWE196595:LWE196660 MGA196595:MGA196660 MPW196595:MPW196660 MZS196595:MZS196660 NJO196595:NJO196660 NTK196595:NTK196660 ODG196595:ODG196660 ONC196595:ONC196660 OWY196595:OWY196660 PGU196595:PGU196660 PQQ196595:PQQ196660 QAM196595:QAM196660 QKI196595:QKI196660 QUE196595:QUE196660 REA196595:REA196660 RNW196595:RNW196660 RXS196595:RXS196660 SHO196595:SHO196660 SRK196595:SRK196660 TBG196595:TBG196660 TLC196595:TLC196660 TUY196595:TUY196660 UEU196595:UEU196660 UOQ196595:UOQ196660 UYM196595:UYM196660 VII196595:VII196660 VSE196595:VSE196660 WCA196595:WCA196660 WLW196595:WLW196660 WVS196595:WVS196660 K262131:K262196 JG262131:JG262196 TC262131:TC262196 ACY262131:ACY262196 AMU262131:AMU262196 AWQ262131:AWQ262196 BGM262131:BGM262196 BQI262131:BQI262196 CAE262131:CAE262196 CKA262131:CKA262196 CTW262131:CTW262196 DDS262131:DDS262196 DNO262131:DNO262196 DXK262131:DXK262196 EHG262131:EHG262196 ERC262131:ERC262196 FAY262131:FAY262196 FKU262131:FKU262196 FUQ262131:FUQ262196 GEM262131:GEM262196 GOI262131:GOI262196 GYE262131:GYE262196 HIA262131:HIA262196 HRW262131:HRW262196 IBS262131:IBS262196 ILO262131:ILO262196 IVK262131:IVK262196 JFG262131:JFG262196 JPC262131:JPC262196 JYY262131:JYY262196 KIU262131:KIU262196 KSQ262131:KSQ262196 LCM262131:LCM262196 LMI262131:LMI262196 LWE262131:LWE262196 MGA262131:MGA262196 MPW262131:MPW262196 MZS262131:MZS262196 NJO262131:NJO262196 NTK262131:NTK262196 ODG262131:ODG262196 ONC262131:ONC262196 OWY262131:OWY262196 PGU262131:PGU262196 PQQ262131:PQQ262196 QAM262131:QAM262196 QKI262131:QKI262196 QUE262131:QUE262196 REA262131:REA262196 RNW262131:RNW262196 RXS262131:RXS262196 SHO262131:SHO262196 SRK262131:SRK262196 TBG262131:TBG262196 TLC262131:TLC262196 TUY262131:TUY262196 UEU262131:UEU262196 UOQ262131:UOQ262196 UYM262131:UYM262196 VII262131:VII262196 VSE262131:VSE262196 WCA262131:WCA262196 WLW262131:WLW262196 WVS262131:WVS262196 K327667:K327732 JG327667:JG327732 TC327667:TC327732 ACY327667:ACY327732 AMU327667:AMU327732 AWQ327667:AWQ327732 BGM327667:BGM327732 BQI327667:BQI327732 CAE327667:CAE327732 CKA327667:CKA327732 CTW327667:CTW327732 DDS327667:DDS327732 DNO327667:DNO327732 DXK327667:DXK327732 EHG327667:EHG327732 ERC327667:ERC327732 FAY327667:FAY327732 FKU327667:FKU327732 FUQ327667:FUQ327732 GEM327667:GEM327732 GOI327667:GOI327732 GYE327667:GYE327732 HIA327667:HIA327732 HRW327667:HRW327732 IBS327667:IBS327732 ILO327667:ILO327732 IVK327667:IVK327732 JFG327667:JFG327732 JPC327667:JPC327732 JYY327667:JYY327732 KIU327667:KIU327732 KSQ327667:KSQ327732 LCM327667:LCM327732 LMI327667:LMI327732 LWE327667:LWE327732 MGA327667:MGA327732 MPW327667:MPW327732 MZS327667:MZS327732 NJO327667:NJO327732 NTK327667:NTK327732 ODG327667:ODG327732 ONC327667:ONC327732 OWY327667:OWY327732 PGU327667:PGU327732 PQQ327667:PQQ327732 QAM327667:QAM327732 QKI327667:QKI327732 QUE327667:QUE327732 REA327667:REA327732 RNW327667:RNW327732 RXS327667:RXS327732 SHO327667:SHO327732 SRK327667:SRK327732 TBG327667:TBG327732 TLC327667:TLC327732 TUY327667:TUY327732 UEU327667:UEU327732 UOQ327667:UOQ327732 UYM327667:UYM327732 VII327667:VII327732 VSE327667:VSE327732 WCA327667:WCA327732 WLW327667:WLW327732 WVS327667:WVS327732 K393203:K393268 JG393203:JG393268 TC393203:TC393268 ACY393203:ACY393268 AMU393203:AMU393268 AWQ393203:AWQ393268 BGM393203:BGM393268 BQI393203:BQI393268 CAE393203:CAE393268 CKA393203:CKA393268 CTW393203:CTW393268 DDS393203:DDS393268 DNO393203:DNO393268 DXK393203:DXK393268 EHG393203:EHG393268 ERC393203:ERC393268 FAY393203:FAY393268 FKU393203:FKU393268 FUQ393203:FUQ393268 GEM393203:GEM393268 GOI393203:GOI393268 GYE393203:GYE393268 HIA393203:HIA393268 HRW393203:HRW393268 IBS393203:IBS393268 ILO393203:ILO393268 IVK393203:IVK393268 JFG393203:JFG393268 JPC393203:JPC393268 JYY393203:JYY393268 KIU393203:KIU393268 KSQ393203:KSQ393268 LCM393203:LCM393268 LMI393203:LMI393268 LWE393203:LWE393268 MGA393203:MGA393268 MPW393203:MPW393268 MZS393203:MZS393268 NJO393203:NJO393268 NTK393203:NTK393268 ODG393203:ODG393268 ONC393203:ONC393268 OWY393203:OWY393268 PGU393203:PGU393268 PQQ393203:PQQ393268 QAM393203:QAM393268 QKI393203:QKI393268 QUE393203:QUE393268 REA393203:REA393268 RNW393203:RNW393268 RXS393203:RXS393268 SHO393203:SHO393268 SRK393203:SRK393268 TBG393203:TBG393268 TLC393203:TLC393268 TUY393203:TUY393268 UEU393203:UEU393268 UOQ393203:UOQ393268 UYM393203:UYM393268 VII393203:VII393268 VSE393203:VSE393268 WCA393203:WCA393268 WLW393203:WLW393268 WVS393203:WVS393268 K458739:K458804 JG458739:JG458804 TC458739:TC458804 ACY458739:ACY458804 AMU458739:AMU458804 AWQ458739:AWQ458804 BGM458739:BGM458804 BQI458739:BQI458804 CAE458739:CAE458804 CKA458739:CKA458804 CTW458739:CTW458804 DDS458739:DDS458804 DNO458739:DNO458804 DXK458739:DXK458804 EHG458739:EHG458804 ERC458739:ERC458804 FAY458739:FAY458804 FKU458739:FKU458804 FUQ458739:FUQ458804 GEM458739:GEM458804 GOI458739:GOI458804 GYE458739:GYE458804 HIA458739:HIA458804 HRW458739:HRW458804 IBS458739:IBS458804 ILO458739:ILO458804 IVK458739:IVK458804 JFG458739:JFG458804 JPC458739:JPC458804 JYY458739:JYY458804 KIU458739:KIU458804 KSQ458739:KSQ458804 LCM458739:LCM458804 LMI458739:LMI458804 LWE458739:LWE458804 MGA458739:MGA458804 MPW458739:MPW458804 MZS458739:MZS458804 NJO458739:NJO458804 NTK458739:NTK458804 ODG458739:ODG458804 ONC458739:ONC458804 OWY458739:OWY458804 PGU458739:PGU458804 PQQ458739:PQQ458804 QAM458739:QAM458804 QKI458739:QKI458804 QUE458739:QUE458804 REA458739:REA458804 RNW458739:RNW458804 RXS458739:RXS458804 SHO458739:SHO458804 SRK458739:SRK458804 TBG458739:TBG458804 TLC458739:TLC458804 TUY458739:TUY458804 UEU458739:UEU458804 UOQ458739:UOQ458804 UYM458739:UYM458804 VII458739:VII458804 VSE458739:VSE458804 WCA458739:WCA458804 WLW458739:WLW458804 WVS458739:WVS458804 K524275:K524340 JG524275:JG524340 TC524275:TC524340 ACY524275:ACY524340 AMU524275:AMU524340 AWQ524275:AWQ524340 BGM524275:BGM524340 BQI524275:BQI524340 CAE524275:CAE524340 CKA524275:CKA524340 CTW524275:CTW524340 DDS524275:DDS524340 DNO524275:DNO524340 DXK524275:DXK524340 EHG524275:EHG524340 ERC524275:ERC524340 FAY524275:FAY524340 FKU524275:FKU524340 FUQ524275:FUQ524340 GEM524275:GEM524340 GOI524275:GOI524340 GYE524275:GYE524340 HIA524275:HIA524340 HRW524275:HRW524340 IBS524275:IBS524340 ILO524275:ILO524340 IVK524275:IVK524340 JFG524275:JFG524340 JPC524275:JPC524340 JYY524275:JYY524340 KIU524275:KIU524340 KSQ524275:KSQ524340 LCM524275:LCM524340 LMI524275:LMI524340 LWE524275:LWE524340 MGA524275:MGA524340 MPW524275:MPW524340 MZS524275:MZS524340 NJO524275:NJO524340 NTK524275:NTK524340 ODG524275:ODG524340 ONC524275:ONC524340 OWY524275:OWY524340 PGU524275:PGU524340 PQQ524275:PQQ524340 QAM524275:QAM524340 QKI524275:QKI524340 QUE524275:QUE524340 REA524275:REA524340 RNW524275:RNW524340 RXS524275:RXS524340 SHO524275:SHO524340 SRK524275:SRK524340 TBG524275:TBG524340 TLC524275:TLC524340 TUY524275:TUY524340 UEU524275:UEU524340 UOQ524275:UOQ524340 UYM524275:UYM524340 VII524275:VII524340 VSE524275:VSE524340 WCA524275:WCA524340 WLW524275:WLW524340 WVS524275:WVS524340 K589811:K589876 JG589811:JG589876 TC589811:TC589876 ACY589811:ACY589876 AMU589811:AMU589876 AWQ589811:AWQ589876 BGM589811:BGM589876 BQI589811:BQI589876 CAE589811:CAE589876 CKA589811:CKA589876 CTW589811:CTW589876 DDS589811:DDS589876 DNO589811:DNO589876 DXK589811:DXK589876 EHG589811:EHG589876 ERC589811:ERC589876 FAY589811:FAY589876 FKU589811:FKU589876 FUQ589811:FUQ589876 GEM589811:GEM589876 GOI589811:GOI589876 GYE589811:GYE589876 HIA589811:HIA589876 HRW589811:HRW589876 IBS589811:IBS589876 ILO589811:ILO589876 IVK589811:IVK589876 JFG589811:JFG589876 JPC589811:JPC589876 JYY589811:JYY589876 KIU589811:KIU589876 KSQ589811:KSQ589876 LCM589811:LCM589876 LMI589811:LMI589876 LWE589811:LWE589876 MGA589811:MGA589876 MPW589811:MPW589876 MZS589811:MZS589876 NJO589811:NJO589876 NTK589811:NTK589876 ODG589811:ODG589876 ONC589811:ONC589876 OWY589811:OWY589876 PGU589811:PGU589876 PQQ589811:PQQ589876 QAM589811:QAM589876 QKI589811:QKI589876 QUE589811:QUE589876 REA589811:REA589876 RNW589811:RNW589876 RXS589811:RXS589876 SHO589811:SHO589876 SRK589811:SRK589876 TBG589811:TBG589876 TLC589811:TLC589876 TUY589811:TUY589876 UEU589811:UEU589876 UOQ589811:UOQ589876 UYM589811:UYM589876 VII589811:VII589876 VSE589811:VSE589876 WCA589811:WCA589876 WLW589811:WLW589876 WVS589811:WVS589876 K655347:K655412 JG655347:JG655412 TC655347:TC655412 ACY655347:ACY655412 AMU655347:AMU655412 AWQ655347:AWQ655412 BGM655347:BGM655412 BQI655347:BQI655412 CAE655347:CAE655412 CKA655347:CKA655412 CTW655347:CTW655412 DDS655347:DDS655412 DNO655347:DNO655412 DXK655347:DXK655412 EHG655347:EHG655412 ERC655347:ERC655412 FAY655347:FAY655412 FKU655347:FKU655412 FUQ655347:FUQ655412 GEM655347:GEM655412 GOI655347:GOI655412 GYE655347:GYE655412 HIA655347:HIA655412 HRW655347:HRW655412 IBS655347:IBS655412 ILO655347:ILO655412 IVK655347:IVK655412 JFG655347:JFG655412 JPC655347:JPC655412 JYY655347:JYY655412 KIU655347:KIU655412 KSQ655347:KSQ655412 LCM655347:LCM655412 LMI655347:LMI655412 LWE655347:LWE655412 MGA655347:MGA655412 MPW655347:MPW655412 MZS655347:MZS655412 NJO655347:NJO655412 NTK655347:NTK655412 ODG655347:ODG655412 ONC655347:ONC655412 OWY655347:OWY655412 PGU655347:PGU655412 PQQ655347:PQQ655412 QAM655347:QAM655412 QKI655347:QKI655412 QUE655347:QUE655412 REA655347:REA655412 RNW655347:RNW655412 RXS655347:RXS655412 SHO655347:SHO655412 SRK655347:SRK655412 TBG655347:TBG655412 TLC655347:TLC655412 TUY655347:TUY655412 UEU655347:UEU655412 UOQ655347:UOQ655412 UYM655347:UYM655412 VII655347:VII655412 VSE655347:VSE655412 WCA655347:WCA655412 WLW655347:WLW655412 WVS655347:WVS655412 K720883:K720948 JG720883:JG720948 TC720883:TC720948 ACY720883:ACY720948 AMU720883:AMU720948 AWQ720883:AWQ720948 BGM720883:BGM720948 BQI720883:BQI720948 CAE720883:CAE720948 CKA720883:CKA720948 CTW720883:CTW720948 DDS720883:DDS720948 DNO720883:DNO720948 DXK720883:DXK720948 EHG720883:EHG720948 ERC720883:ERC720948 FAY720883:FAY720948 FKU720883:FKU720948 FUQ720883:FUQ720948 GEM720883:GEM720948 GOI720883:GOI720948 GYE720883:GYE720948 HIA720883:HIA720948 HRW720883:HRW720948 IBS720883:IBS720948 ILO720883:ILO720948 IVK720883:IVK720948 JFG720883:JFG720948 JPC720883:JPC720948 JYY720883:JYY720948 KIU720883:KIU720948 KSQ720883:KSQ720948 LCM720883:LCM720948 LMI720883:LMI720948 LWE720883:LWE720948 MGA720883:MGA720948 MPW720883:MPW720948 MZS720883:MZS720948 NJO720883:NJO720948 NTK720883:NTK720948 ODG720883:ODG720948 ONC720883:ONC720948 OWY720883:OWY720948 PGU720883:PGU720948 PQQ720883:PQQ720948 QAM720883:QAM720948 QKI720883:QKI720948 QUE720883:QUE720948 REA720883:REA720948 RNW720883:RNW720948 RXS720883:RXS720948 SHO720883:SHO720948 SRK720883:SRK720948 TBG720883:TBG720948 TLC720883:TLC720948 TUY720883:TUY720948 UEU720883:UEU720948 UOQ720883:UOQ720948 UYM720883:UYM720948 VII720883:VII720948 VSE720883:VSE720948 WCA720883:WCA720948 WLW720883:WLW720948 WVS720883:WVS720948 K786419:K786484 JG786419:JG786484 TC786419:TC786484 ACY786419:ACY786484 AMU786419:AMU786484 AWQ786419:AWQ786484 BGM786419:BGM786484 BQI786419:BQI786484 CAE786419:CAE786484 CKA786419:CKA786484 CTW786419:CTW786484 DDS786419:DDS786484 DNO786419:DNO786484 DXK786419:DXK786484 EHG786419:EHG786484 ERC786419:ERC786484 FAY786419:FAY786484 FKU786419:FKU786484 FUQ786419:FUQ786484 GEM786419:GEM786484 GOI786419:GOI786484 GYE786419:GYE786484 HIA786419:HIA786484 HRW786419:HRW786484 IBS786419:IBS786484 ILO786419:ILO786484 IVK786419:IVK786484 JFG786419:JFG786484 JPC786419:JPC786484 JYY786419:JYY786484 KIU786419:KIU786484 KSQ786419:KSQ786484 LCM786419:LCM786484 LMI786419:LMI786484 LWE786419:LWE786484 MGA786419:MGA786484 MPW786419:MPW786484 MZS786419:MZS786484 NJO786419:NJO786484 NTK786419:NTK786484 ODG786419:ODG786484 ONC786419:ONC786484 OWY786419:OWY786484 PGU786419:PGU786484 PQQ786419:PQQ786484 QAM786419:QAM786484 QKI786419:QKI786484 QUE786419:QUE786484 REA786419:REA786484 RNW786419:RNW786484 RXS786419:RXS786484 SHO786419:SHO786484 SRK786419:SRK786484 TBG786419:TBG786484 TLC786419:TLC786484 TUY786419:TUY786484 UEU786419:UEU786484 UOQ786419:UOQ786484 UYM786419:UYM786484 VII786419:VII786484 VSE786419:VSE786484 WCA786419:WCA786484 WLW786419:WLW786484 WVS786419:WVS786484 K851955:K852020 JG851955:JG852020 TC851955:TC852020 ACY851955:ACY852020 AMU851955:AMU852020 AWQ851955:AWQ852020 BGM851955:BGM852020 BQI851955:BQI852020 CAE851955:CAE852020 CKA851955:CKA852020 CTW851955:CTW852020 DDS851955:DDS852020 DNO851955:DNO852020 DXK851955:DXK852020 EHG851955:EHG852020 ERC851955:ERC852020 FAY851955:FAY852020 FKU851955:FKU852020 FUQ851955:FUQ852020 GEM851955:GEM852020 GOI851955:GOI852020 GYE851955:GYE852020 HIA851955:HIA852020 HRW851955:HRW852020 IBS851955:IBS852020 ILO851955:ILO852020 IVK851955:IVK852020 JFG851955:JFG852020 JPC851955:JPC852020 JYY851955:JYY852020 KIU851955:KIU852020 KSQ851955:KSQ852020 LCM851955:LCM852020 LMI851955:LMI852020 LWE851955:LWE852020 MGA851955:MGA852020 MPW851955:MPW852020 MZS851955:MZS852020 NJO851955:NJO852020 NTK851955:NTK852020 ODG851955:ODG852020 ONC851955:ONC852020 OWY851955:OWY852020 PGU851955:PGU852020 PQQ851955:PQQ852020 QAM851955:QAM852020 QKI851955:QKI852020 QUE851955:QUE852020 REA851955:REA852020 RNW851955:RNW852020 RXS851955:RXS852020 SHO851955:SHO852020 SRK851955:SRK852020 TBG851955:TBG852020 TLC851955:TLC852020 TUY851955:TUY852020 UEU851955:UEU852020 UOQ851955:UOQ852020 UYM851955:UYM852020 VII851955:VII852020 VSE851955:VSE852020 WCA851955:WCA852020 WLW851955:WLW852020 WVS851955:WVS852020 K917491:K917556 JG917491:JG917556 TC917491:TC917556 ACY917491:ACY917556 AMU917491:AMU917556 AWQ917491:AWQ917556 BGM917491:BGM917556 BQI917491:BQI917556 CAE917491:CAE917556 CKA917491:CKA917556 CTW917491:CTW917556 DDS917491:DDS917556 DNO917491:DNO917556 DXK917491:DXK917556 EHG917491:EHG917556 ERC917491:ERC917556 FAY917491:FAY917556 FKU917491:FKU917556 FUQ917491:FUQ917556 GEM917491:GEM917556 GOI917491:GOI917556 GYE917491:GYE917556 HIA917491:HIA917556 HRW917491:HRW917556 IBS917491:IBS917556 ILO917491:ILO917556 IVK917491:IVK917556 JFG917491:JFG917556 JPC917491:JPC917556 JYY917491:JYY917556 KIU917491:KIU917556 KSQ917491:KSQ917556 LCM917491:LCM917556 LMI917491:LMI917556 LWE917491:LWE917556 MGA917491:MGA917556 MPW917491:MPW917556 MZS917491:MZS917556 NJO917491:NJO917556 NTK917491:NTK917556 ODG917491:ODG917556 ONC917491:ONC917556 OWY917491:OWY917556 PGU917491:PGU917556 PQQ917491:PQQ917556 QAM917491:QAM917556 QKI917491:QKI917556 QUE917491:QUE917556 REA917491:REA917556 RNW917491:RNW917556 RXS917491:RXS917556 SHO917491:SHO917556 SRK917491:SRK917556 TBG917491:TBG917556 TLC917491:TLC917556 TUY917491:TUY917556 UEU917491:UEU917556 UOQ917491:UOQ917556 UYM917491:UYM917556 VII917491:VII917556 VSE917491:VSE917556 WCA917491:WCA917556 WLW917491:WLW917556 WVS917491:WVS917556 K983027:K983092 JG983027:JG983092 TC983027:TC983092 ACY983027:ACY983092 AMU983027:AMU983092 AWQ983027:AWQ983092 BGM983027:BGM983092 BQI983027:BQI983092 CAE983027:CAE983092 CKA983027:CKA983092 CTW983027:CTW983092 DDS983027:DDS983092 DNO983027:DNO983092 DXK983027:DXK983092 EHG983027:EHG983092 ERC983027:ERC983092 FAY983027:FAY983092 FKU983027:FKU983092 FUQ983027:FUQ983092 GEM983027:GEM983092 GOI983027:GOI983092 GYE983027:GYE983092 HIA983027:HIA983092 HRW983027:HRW983092 IBS983027:IBS983092 ILO983027:ILO983092 IVK983027:IVK983092 JFG983027:JFG983092 JPC983027:JPC983092 JYY983027:JYY983092 KIU983027:KIU983092 KSQ983027:KSQ983092 LCM983027:LCM983092 LMI983027:LMI983092 LWE983027:LWE983092 MGA983027:MGA983092 MPW983027:MPW983092 MZS983027:MZS983092 NJO983027:NJO983092 NTK983027:NTK983092 ODG983027:ODG983092 ONC983027:ONC983092 OWY983027:OWY983092 PGU983027:PGU983092 PQQ983027:PQQ983092 QAM983027:QAM983092 QKI983027:QKI983092 QUE983027:QUE983092 REA983027:REA983092 RNW983027:RNW983092 RXS983027:RXS983092 SHO983027:SHO983092 SRK983027:SRK983092 TBG983027:TBG983092 TLC983027:TLC983092 TUY983027:TUY983092 UEU983027:UEU983092 UOQ983027:UOQ983092 UYM983027:UYM983092 VII983027:VII983092 VSE983027:VSE983092 WCA983027:WCA983092 WLW983027:WLW983092 K428:K485 JG2:JG72 TC2:TC72 ACY2:ACY72 AMU2:AMU72 AWQ2:AWQ72 BGM2:BGM72 BQI2:BQI72 CAE2:CAE72 CKA2:CKA72 CTW2:CTW72 DDS2:DDS72 DNO2:DNO72 DXK2:DXK72 EHG2:EHG72 ERC2:ERC72 FAY2:FAY72 FKU2:FKU72 FUQ2:FUQ72 GEM2:GEM72 GOI2:GOI72 GYE2:GYE72 HIA2:HIA72 HRW2:HRW72 IBS2:IBS72 ILO2:ILO72 IVK2:IVK72 JFG2:JFG72 JPC2:JPC72 JYY2:JYY72 KIU2:KIU72 KSQ2:KSQ72 LCM2:LCM72 LMI2:LMI72 LWE2:LWE72 MGA2:MGA72 MPW2:MPW72 MZS2:MZS72 NJO2:NJO72 NTK2:NTK72 ODG2:ODG72 ONC2:ONC72 OWY2:OWY72 PGU2:PGU72 PQQ2:PQQ72 QAM2:QAM72 QKI2:QKI72 QUE2:QUE72 REA2:REA72 RNW2:RNW72 RXS2:RXS72 SHO2:SHO72 SRK2:SRK72 TBG2:TBG72 TLC2:TLC72 TUY2:TUY72 UEU2:UEU72 UOQ2:UOQ72 UYM2:UYM72 VII2:VII72 VSE2:VSE72 WCA2:WCA72 WLW2:WLW72 WVS2:WVS72" xr:uid="{9E3559AD-6D4A-41EF-9B7E-497918C10616}">
      <formula1>$AR$2:$AR$25</formula1>
    </dataValidation>
    <dataValidation type="list" allowBlank="1" showInputMessage="1" showErrorMessage="1" sqref="WVR983027:WVR983092 J65523:J65588 JF65523:JF65588 TB65523:TB65588 ACX65523:ACX65588 AMT65523:AMT65588 AWP65523:AWP65588 BGL65523:BGL65588 BQH65523:BQH65588 CAD65523:CAD65588 CJZ65523:CJZ65588 CTV65523:CTV65588 DDR65523:DDR65588 DNN65523:DNN65588 DXJ65523:DXJ65588 EHF65523:EHF65588 ERB65523:ERB65588 FAX65523:FAX65588 FKT65523:FKT65588 FUP65523:FUP65588 GEL65523:GEL65588 GOH65523:GOH65588 GYD65523:GYD65588 HHZ65523:HHZ65588 HRV65523:HRV65588 IBR65523:IBR65588 ILN65523:ILN65588 IVJ65523:IVJ65588 JFF65523:JFF65588 JPB65523:JPB65588 JYX65523:JYX65588 KIT65523:KIT65588 KSP65523:KSP65588 LCL65523:LCL65588 LMH65523:LMH65588 LWD65523:LWD65588 MFZ65523:MFZ65588 MPV65523:MPV65588 MZR65523:MZR65588 NJN65523:NJN65588 NTJ65523:NTJ65588 ODF65523:ODF65588 ONB65523:ONB65588 OWX65523:OWX65588 PGT65523:PGT65588 PQP65523:PQP65588 QAL65523:QAL65588 QKH65523:QKH65588 QUD65523:QUD65588 RDZ65523:RDZ65588 RNV65523:RNV65588 RXR65523:RXR65588 SHN65523:SHN65588 SRJ65523:SRJ65588 TBF65523:TBF65588 TLB65523:TLB65588 TUX65523:TUX65588 UET65523:UET65588 UOP65523:UOP65588 UYL65523:UYL65588 VIH65523:VIH65588 VSD65523:VSD65588 WBZ65523:WBZ65588 WLV65523:WLV65588 WVR65523:WVR65588 J131059:J131124 JF131059:JF131124 TB131059:TB131124 ACX131059:ACX131124 AMT131059:AMT131124 AWP131059:AWP131124 BGL131059:BGL131124 BQH131059:BQH131124 CAD131059:CAD131124 CJZ131059:CJZ131124 CTV131059:CTV131124 DDR131059:DDR131124 DNN131059:DNN131124 DXJ131059:DXJ131124 EHF131059:EHF131124 ERB131059:ERB131124 FAX131059:FAX131124 FKT131059:FKT131124 FUP131059:FUP131124 GEL131059:GEL131124 GOH131059:GOH131124 GYD131059:GYD131124 HHZ131059:HHZ131124 HRV131059:HRV131124 IBR131059:IBR131124 ILN131059:ILN131124 IVJ131059:IVJ131124 JFF131059:JFF131124 JPB131059:JPB131124 JYX131059:JYX131124 KIT131059:KIT131124 KSP131059:KSP131124 LCL131059:LCL131124 LMH131059:LMH131124 LWD131059:LWD131124 MFZ131059:MFZ131124 MPV131059:MPV131124 MZR131059:MZR131124 NJN131059:NJN131124 NTJ131059:NTJ131124 ODF131059:ODF131124 ONB131059:ONB131124 OWX131059:OWX131124 PGT131059:PGT131124 PQP131059:PQP131124 QAL131059:QAL131124 QKH131059:QKH131124 QUD131059:QUD131124 RDZ131059:RDZ131124 RNV131059:RNV131124 RXR131059:RXR131124 SHN131059:SHN131124 SRJ131059:SRJ131124 TBF131059:TBF131124 TLB131059:TLB131124 TUX131059:TUX131124 UET131059:UET131124 UOP131059:UOP131124 UYL131059:UYL131124 VIH131059:VIH131124 VSD131059:VSD131124 WBZ131059:WBZ131124 WLV131059:WLV131124 WVR131059:WVR131124 J196595:J196660 JF196595:JF196660 TB196595:TB196660 ACX196595:ACX196660 AMT196595:AMT196660 AWP196595:AWP196660 BGL196595:BGL196660 BQH196595:BQH196660 CAD196595:CAD196660 CJZ196595:CJZ196660 CTV196595:CTV196660 DDR196595:DDR196660 DNN196595:DNN196660 DXJ196595:DXJ196660 EHF196595:EHF196660 ERB196595:ERB196660 FAX196595:FAX196660 FKT196595:FKT196660 FUP196595:FUP196660 GEL196595:GEL196660 GOH196595:GOH196660 GYD196595:GYD196660 HHZ196595:HHZ196660 HRV196595:HRV196660 IBR196595:IBR196660 ILN196595:ILN196660 IVJ196595:IVJ196660 JFF196595:JFF196660 JPB196595:JPB196660 JYX196595:JYX196660 KIT196595:KIT196660 KSP196595:KSP196660 LCL196595:LCL196660 LMH196595:LMH196660 LWD196595:LWD196660 MFZ196595:MFZ196660 MPV196595:MPV196660 MZR196595:MZR196660 NJN196595:NJN196660 NTJ196595:NTJ196660 ODF196595:ODF196660 ONB196595:ONB196660 OWX196595:OWX196660 PGT196595:PGT196660 PQP196595:PQP196660 QAL196595:QAL196660 QKH196595:QKH196660 QUD196595:QUD196660 RDZ196595:RDZ196660 RNV196595:RNV196660 RXR196595:RXR196660 SHN196595:SHN196660 SRJ196595:SRJ196660 TBF196595:TBF196660 TLB196595:TLB196660 TUX196595:TUX196660 UET196595:UET196660 UOP196595:UOP196660 UYL196595:UYL196660 VIH196595:VIH196660 VSD196595:VSD196660 WBZ196595:WBZ196660 WLV196595:WLV196660 WVR196595:WVR196660 J262131:J262196 JF262131:JF262196 TB262131:TB262196 ACX262131:ACX262196 AMT262131:AMT262196 AWP262131:AWP262196 BGL262131:BGL262196 BQH262131:BQH262196 CAD262131:CAD262196 CJZ262131:CJZ262196 CTV262131:CTV262196 DDR262131:DDR262196 DNN262131:DNN262196 DXJ262131:DXJ262196 EHF262131:EHF262196 ERB262131:ERB262196 FAX262131:FAX262196 FKT262131:FKT262196 FUP262131:FUP262196 GEL262131:GEL262196 GOH262131:GOH262196 GYD262131:GYD262196 HHZ262131:HHZ262196 HRV262131:HRV262196 IBR262131:IBR262196 ILN262131:ILN262196 IVJ262131:IVJ262196 JFF262131:JFF262196 JPB262131:JPB262196 JYX262131:JYX262196 KIT262131:KIT262196 KSP262131:KSP262196 LCL262131:LCL262196 LMH262131:LMH262196 LWD262131:LWD262196 MFZ262131:MFZ262196 MPV262131:MPV262196 MZR262131:MZR262196 NJN262131:NJN262196 NTJ262131:NTJ262196 ODF262131:ODF262196 ONB262131:ONB262196 OWX262131:OWX262196 PGT262131:PGT262196 PQP262131:PQP262196 QAL262131:QAL262196 QKH262131:QKH262196 QUD262131:QUD262196 RDZ262131:RDZ262196 RNV262131:RNV262196 RXR262131:RXR262196 SHN262131:SHN262196 SRJ262131:SRJ262196 TBF262131:TBF262196 TLB262131:TLB262196 TUX262131:TUX262196 UET262131:UET262196 UOP262131:UOP262196 UYL262131:UYL262196 VIH262131:VIH262196 VSD262131:VSD262196 WBZ262131:WBZ262196 WLV262131:WLV262196 WVR262131:WVR262196 J327667:J327732 JF327667:JF327732 TB327667:TB327732 ACX327667:ACX327732 AMT327667:AMT327732 AWP327667:AWP327732 BGL327667:BGL327732 BQH327667:BQH327732 CAD327667:CAD327732 CJZ327667:CJZ327732 CTV327667:CTV327732 DDR327667:DDR327732 DNN327667:DNN327732 DXJ327667:DXJ327732 EHF327667:EHF327732 ERB327667:ERB327732 FAX327667:FAX327732 FKT327667:FKT327732 FUP327667:FUP327732 GEL327667:GEL327732 GOH327667:GOH327732 GYD327667:GYD327732 HHZ327667:HHZ327732 HRV327667:HRV327732 IBR327667:IBR327732 ILN327667:ILN327732 IVJ327667:IVJ327732 JFF327667:JFF327732 JPB327667:JPB327732 JYX327667:JYX327732 KIT327667:KIT327732 KSP327667:KSP327732 LCL327667:LCL327732 LMH327667:LMH327732 LWD327667:LWD327732 MFZ327667:MFZ327732 MPV327667:MPV327732 MZR327667:MZR327732 NJN327667:NJN327732 NTJ327667:NTJ327732 ODF327667:ODF327732 ONB327667:ONB327732 OWX327667:OWX327732 PGT327667:PGT327732 PQP327667:PQP327732 QAL327667:QAL327732 QKH327667:QKH327732 QUD327667:QUD327732 RDZ327667:RDZ327732 RNV327667:RNV327732 RXR327667:RXR327732 SHN327667:SHN327732 SRJ327667:SRJ327732 TBF327667:TBF327732 TLB327667:TLB327732 TUX327667:TUX327732 UET327667:UET327732 UOP327667:UOP327732 UYL327667:UYL327732 VIH327667:VIH327732 VSD327667:VSD327732 WBZ327667:WBZ327732 WLV327667:WLV327732 WVR327667:WVR327732 J393203:J393268 JF393203:JF393268 TB393203:TB393268 ACX393203:ACX393268 AMT393203:AMT393268 AWP393203:AWP393268 BGL393203:BGL393268 BQH393203:BQH393268 CAD393203:CAD393268 CJZ393203:CJZ393268 CTV393203:CTV393268 DDR393203:DDR393268 DNN393203:DNN393268 DXJ393203:DXJ393268 EHF393203:EHF393268 ERB393203:ERB393268 FAX393203:FAX393268 FKT393203:FKT393268 FUP393203:FUP393268 GEL393203:GEL393268 GOH393203:GOH393268 GYD393203:GYD393268 HHZ393203:HHZ393268 HRV393203:HRV393268 IBR393203:IBR393268 ILN393203:ILN393268 IVJ393203:IVJ393268 JFF393203:JFF393268 JPB393203:JPB393268 JYX393203:JYX393268 KIT393203:KIT393268 KSP393203:KSP393268 LCL393203:LCL393268 LMH393203:LMH393268 LWD393203:LWD393268 MFZ393203:MFZ393268 MPV393203:MPV393268 MZR393203:MZR393268 NJN393203:NJN393268 NTJ393203:NTJ393268 ODF393203:ODF393268 ONB393203:ONB393268 OWX393203:OWX393268 PGT393203:PGT393268 PQP393203:PQP393268 QAL393203:QAL393268 QKH393203:QKH393268 QUD393203:QUD393268 RDZ393203:RDZ393268 RNV393203:RNV393268 RXR393203:RXR393268 SHN393203:SHN393268 SRJ393203:SRJ393268 TBF393203:TBF393268 TLB393203:TLB393268 TUX393203:TUX393268 UET393203:UET393268 UOP393203:UOP393268 UYL393203:UYL393268 VIH393203:VIH393268 VSD393203:VSD393268 WBZ393203:WBZ393268 WLV393203:WLV393268 WVR393203:WVR393268 J458739:J458804 JF458739:JF458804 TB458739:TB458804 ACX458739:ACX458804 AMT458739:AMT458804 AWP458739:AWP458804 BGL458739:BGL458804 BQH458739:BQH458804 CAD458739:CAD458804 CJZ458739:CJZ458804 CTV458739:CTV458804 DDR458739:DDR458804 DNN458739:DNN458804 DXJ458739:DXJ458804 EHF458739:EHF458804 ERB458739:ERB458804 FAX458739:FAX458804 FKT458739:FKT458804 FUP458739:FUP458804 GEL458739:GEL458804 GOH458739:GOH458804 GYD458739:GYD458804 HHZ458739:HHZ458804 HRV458739:HRV458804 IBR458739:IBR458804 ILN458739:ILN458804 IVJ458739:IVJ458804 JFF458739:JFF458804 JPB458739:JPB458804 JYX458739:JYX458804 KIT458739:KIT458804 KSP458739:KSP458804 LCL458739:LCL458804 LMH458739:LMH458804 LWD458739:LWD458804 MFZ458739:MFZ458804 MPV458739:MPV458804 MZR458739:MZR458804 NJN458739:NJN458804 NTJ458739:NTJ458804 ODF458739:ODF458804 ONB458739:ONB458804 OWX458739:OWX458804 PGT458739:PGT458804 PQP458739:PQP458804 QAL458739:QAL458804 QKH458739:QKH458804 QUD458739:QUD458804 RDZ458739:RDZ458804 RNV458739:RNV458804 RXR458739:RXR458804 SHN458739:SHN458804 SRJ458739:SRJ458804 TBF458739:TBF458804 TLB458739:TLB458804 TUX458739:TUX458804 UET458739:UET458804 UOP458739:UOP458804 UYL458739:UYL458804 VIH458739:VIH458804 VSD458739:VSD458804 WBZ458739:WBZ458804 WLV458739:WLV458804 WVR458739:WVR458804 J524275:J524340 JF524275:JF524340 TB524275:TB524340 ACX524275:ACX524340 AMT524275:AMT524340 AWP524275:AWP524340 BGL524275:BGL524340 BQH524275:BQH524340 CAD524275:CAD524340 CJZ524275:CJZ524340 CTV524275:CTV524340 DDR524275:DDR524340 DNN524275:DNN524340 DXJ524275:DXJ524340 EHF524275:EHF524340 ERB524275:ERB524340 FAX524275:FAX524340 FKT524275:FKT524340 FUP524275:FUP524340 GEL524275:GEL524340 GOH524275:GOH524340 GYD524275:GYD524340 HHZ524275:HHZ524340 HRV524275:HRV524340 IBR524275:IBR524340 ILN524275:ILN524340 IVJ524275:IVJ524340 JFF524275:JFF524340 JPB524275:JPB524340 JYX524275:JYX524340 KIT524275:KIT524340 KSP524275:KSP524340 LCL524275:LCL524340 LMH524275:LMH524340 LWD524275:LWD524340 MFZ524275:MFZ524340 MPV524275:MPV524340 MZR524275:MZR524340 NJN524275:NJN524340 NTJ524275:NTJ524340 ODF524275:ODF524340 ONB524275:ONB524340 OWX524275:OWX524340 PGT524275:PGT524340 PQP524275:PQP524340 QAL524275:QAL524340 QKH524275:QKH524340 QUD524275:QUD524340 RDZ524275:RDZ524340 RNV524275:RNV524340 RXR524275:RXR524340 SHN524275:SHN524340 SRJ524275:SRJ524340 TBF524275:TBF524340 TLB524275:TLB524340 TUX524275:TUX524340 UET524275:UET524340 UOP524275:UOP524340 UYL524275:UYL524340 VIH524275:VIH524340 VSD524275:VSD524340 WBZ524275:WBZ524340 WLV524275:WLV524340 WVR524275:WVR524340 J589811:J589876 JF589811:JF589876 TB589811:TB589876 ACX589811:ACX589876 AMT589811:AMT589876 AWP589811:AWP589876 BGL589811:BGL589876 BQH589811:BQH589876 CAD589811:CAD589876 CJZ589811:CJZ589876 CTV589811:CTV589876 DDR589811:DDR589876 DNN589811:DNN589876 DXJ589811:DXJ589876 EHF589811:EHF589876 ERB589811:ERB589876 FAX589811:FAX589876 FKT589811:FKT589876 FUP589811:FUP589876 GEL589811:GEL589876 GOH589811:GOH589876 GYD589811:GYD589876 HHZ589811:HHZ589876 HRV589811:HRV589876 IBR589811:IBR589876 ILN589811:ILN589876 IVJ589811:IVJ589876 JFF589811:JFF589876 JPB589811:JPB589876 JYX589811:JYX589876 KIT589811:KIT589876 KSP589811:KSP589876 LCL589811:LCL589876 LMH589811:LMH589876 LWD589811:LWD589876 MFZ589811:MFZ589876 MPV589811:MPV589876 MZR589811:MZR589876 NJN589811:NJN589876 NTJ589811:NTJ589876 ODF589811:ODF589876 ONB589811:ONB589876 OWX589811:OWX589876 PGT589811:PGT589876 PQP589811:PQP589876 QAL589811:QAL589876 QKH589811:QKH589876 QUD589811:QUD589876 RDZ589811:RDZ589876 RNV589811:RNV589876 RXR589811:RXR589876 SHN589811:SHN589876 SRJ589811:SRJ589876 TBF589811:TBF589876 TLB589811:TLB589876 TUX589811:TUX589876 UET589811:UET589876 UOP589811:UOP589876 UYL589811:UYL589876 VIH589811:VIH589876 VSD589811:VSD589876 WBZ589811:WBZ589876 WLV589811:WLV589876 WVR589811:WVR589876 J655347:J655412 JF655347:JF655412 TB655347:TB655412 ACX655347:ACX655412 AMT655347:AMT655412 AWP655347:AWP655412 BGL655347:BGL655412 BQH655347:BQH655412 CAD655347:CAD655412 CJZ655347:CJZ655412 CTV655347:CTV655412 DDR655347:DDR655412 DNN655347:DNN655412 DXJ655347:DXJ655412 EHF655347:EHF655412 ERB655347:ERB655412 FAX655347:FAX655412 FKT655347:FKT655412 FUP655347:FUP655412 GEL655347:GEL655412 GOH655347:GOH655412 GYD655347:GYD655412 HHZ655347:HHZ655412 HRV655347:HRV655412 IBR655347:IBR655412 ILN655347:ILN655412 IVJ655347:IVJ655412 JFF655347:JFF655412 JPB655347:JPB655412 JYX655347:JYX655412 KIT655347:KIT655412 KSP655347:KSP655412 LCL655347:LCL655412 LMH655347:LMH655412 LWD655347:LWD655412 MFZ655347:MFZ655412 MPV655347:MPV655412 MZR655347:MZR655412 NJN655347:NJN655412 NTJ655347:NTJ655412 ODF655347:ODF655412 ONB655347:ONB655412 OWX655347:OWX655412 PGT655347:PGT655412 PQP655347:PQP655412 QAL655347:QAL655412 QKH655347:QKH655412 QUD655347:QUD655412 RDZ655347:RDZ655412 RNV655347:RNV655412 RXR655347:RXR655412 SHN655347:SHN655412 SRJ655347:SRJ655412 TBF655347:TBF655412 TLB655347:TLB655412 TUX655347:TUX655412 UET655347:UET655412 UOP655347:UOP655412 UYL655347:UYL655412 VIH655347:VIH655412 VSD655347:VSD655412 WBZ655347:WBZ655412 WLV655347:WLV655412 WVR655347:WVR655412 J720883:J720948 JF720883:JF720948 TB720883:TB720948 ACX720883:ACX720948 AMT720883:AMT720948 AWP720883:AWP720948 BGL720883:BGL720948 BQH720883:BQH720948 CAD720883:CAD720948 CJZ720883:CJZ720948 CTV720883:CTV720948 DDR720883:DDR720948 DNN720883:DNN720948 DXJ720883:DXJ720948 EHF720883:EHF720948 ERB720883:ERB720948 FAX720883:FAX720948 FKT720883:FKT720948 FUP720883:FUP720948 GEL720883:GEL720948 GOH720883:GOH720948 GYD720883:GYD720948 HHZ720883:HHZ720948 HRV720883:HRV720948 IBR720883:IBR720948 ILN720883:ILN720948 IVJ720883:IVJ720948 JFF720883:JFF720948 JPB720883:JPB720948 JYX720883:JYX720948 KIT720883:KIT720948 KSP720883:KSP720948 LCL720883:LCL720948 LMH720883:LMH720948 LWD720883:LWD720948 MFZ720883:MFZ720948 MPV720883:MPV720948 MZR720883:MZR720948 NJN720883:NJN720948 NTJ720883:NTJ720948 ODF720883:ODF720948 ONB720883:ONB720948 OWX720883:OWX720948 PGT720883:PGT720948 PQP720883:PQP720948 QAL720883:QAL720948 QKH720883:QKH720948 QUD720883:QUD720948 RDZ720883:RDZ720948 RNV720883:RNV720948 RXR720883:RXR720948 SHN720883:SHN720948 SRJ720883:SRJ720948 TBF720883:TBF720948 TLB720883:TLB720948 TUX720883:TUX720948 UET720883:UET720948 UOP720883:UOP720948 UYL720883:UYL720948 VIH720883:VIH720948 VSD720883:VSD720948 WBZ720883:WBZ720948 WLV720883:WLV720948 WVR720883:WVR720948 J786419:J786484 JF786419:JF786484 TB786419:TB786484 ACX786419:ACX786484 AMT786419:AMT786484 AWP786419:AWP786484 BGL786419:BGL786484 BQH786419:BQH786484 CAD786419:CAD786484 CJZ786419:CJZ786484 CTV786419:CTV786484 DDR786419:DDR786484 DNN786419:DNN786484 DXJ786419:DXJ786484 EHF786419:EHF786484 ERB786419:ERB786484 FAX786419:FAX786484 FKT786419:FKT786484 FUP786419:FUP786484 GEL786419:GEL786484 GOH786419:GOH786484 GYD786419:GYD786484 HHZ786419:HHZ786484 HRV786419:HRV786484 IBR786419:IBR786484 ILN786419:ILN786484 IVJ786419:IVJ786484 JFF786419:JFF786484 JPB786419:JPB786484 JYX786419:JYX786484 KIT786419:KIT786484 KSP786419:KSP786484 LCL786419:LCL786484 LMH786419:LMH786484 LWD786419:LWD786484 MFZ786419:MFZ786484 MPV786419:MPV786484 MZR786419:MZR786484 NJN786419:NJN786484 NTJ786419:NTJ786484 ODF786419:ODF786484 ONB786419:ONB786484 OWX786419:OWX786484 PGT786419:PGT786484 PQP786419:PQP786484 QAL786419:QAL786484 QKH786419:QKH786484 QUD786419:QUD786484 RDZ786419:RDZ786484 RNV786419:RNV786484 RXR786419:RXR786484 SHN786419:SHN786484 SRJ786419:SRJ786484 TBF786419:TBF786484 TLB786419:TLB786484 TUX786419:TUX786484 UET786419:UET786484 UOP786419:UOP786484 UYL786419:UYL786484 VIH786419:VIH786484 VSD786419:VSD786484 WBZ786419:WBZ786484 WLV786419:WLV786484 WVR786419:WVR786484 J851955:J852020 JF851955:JF852020 TB851955:TB852020 ACX851955:ACX852020 AMT851955:AMT852020 AWP851955:AWP852020 BGL851955:BGL852020 BQH851955:BQH852020 CAD851955:CAD852020 CJZ851955:CJZ852020 CTV851955:CTV852020 DDR851955:DDR852020 DNN851955:DNN852020 DXJ851955:DXJ852020 EHF851955:EHF852020 ERB851955:ERB852020 FAX851955:FAX852020 FKT851955:FKT852020 FUP851955:FUP852020 GEL851955:GEL852020 GOH851955:GOH852020 GYD851955:GYD852020 HHZ851955:HHZ852020 HRV851955:HRV852020 IBR851955:IBR852020 ILN851955:ILN852020 IVJ851955:IVJ852020 JFF851955:JFF852020 JPB851955:JPB852020 JYX851955:JYX852020 KIT851955:KIT852020 KSP851955:KSP852020 LCL851955:LCL852020 LMH851955:LMH852020 LWD851955:LWD852020 MFZ851955:MFZ852020 MPV851955:MPV852020 MZR851955:MZR852020 NJN851955:NJN852020 NTJ851955:NTJ852020 ODF851955:ODF852020 ONB851955:ONB852020 OWX851955:OWX852020 PGT851955:PGT852020 PQP851955:PQP852020 QAL851955:QAL852020 QKH851955:QKH852020 QUD851955:QUD852020 RDZ851955:RDZ852020 RNV851955:RNV852020 RXR851955:RXR852020 SHN851955:SHN852020 SRJ851955:SRJ852020 TBF851955:TBF852020 TLB851955:TLB852020 TUX851955:TUX852020 UET851955:UET852020 UOP851955:UOP852020 UYL851955:UYL852020 VIH851955:VIH852020 VSD851955:VSD852020 WBZ851955:WBZ852020 WLV851955:WLV852020 WVR851955:WVR852020 J917491:J917556 JF917491:JF917556 TB917491:TB917556 ACX917491:ACX917556 AMT917491:AMT917556 AWP917491:AWP917556 BGL917491:BGL917556 BQH917491:BQH917556 CAD917491:CAD917556 CJZ917491:CJZ917556 CTV917491:CTV917556 DDR917491:DDR917556 DNN917491:DNN917556 DXJ917491:DXJ917556 EHF917491:EHF917556 ERB917491:ERB917556 FAX917491:FAX917556 FKT917491:FKT917556 FUP917491:FUP917556 GEL917491:GEL917556 GOH917491:GOH917556 GYD917491:GYD917556 HHZ917491:HHZ917556 HRV917491:HRV917556 IBR917491:IBR917556 ILN917491:ILN917556 IVJ917491:IVJ917556 JFF917491:JFF917556 JPB917491:JPB917556 JYX917491:JYX917556 KIT917491:KIT917556 KSP917491:KSP917556 LCL917491:LCL917556 LMH917491:LMH917556 LWD917491:LWD917556 MFZ917491:MFZ917556 MPV917491:MPV917556 MZR917491:MZR917556 NJN917491:NJN917556 NTJ917491:NTJ917556 ODF917491:ODF917556 ONB917491:ONB917556 OWX917491:OWX917556 PGT917491:PGT917556 PQP917491:PQP917556 QAL917491:QAL917556 QKH917491:QKH917556 QUD917491:QUD917556 RDZ917491:RDZ917556 RNV917491:RNV917556 RXR917491:RXR917556 SHN917491:SHN917556 SRJ917491:SRJ917556 TBF917491:TBF917556 TLB917491:TLB917556 TUX917491:TUX917556 UET917491:UET917556 UOP917491:UOP917556 UYL917491:UYL917556 VIH917491:VIH917556 VSD917491:VSD917556 WBZ917491:WBZ917556 WLV917491:WLV917556 WVR917491:WVR917556 J983027:J983092 JF983027:JF983092 TB983027:TB983092 ACX983027:ACX983092 AMT983027:AMT983092 AWP983027:AWP983092 BGL983027:BGL983092 BQH983027:BQH983092 CAD983027:CAD983092 CJZ983027:CJZ983092 CTV983027:CTV983092 DDR983027:DDR983092 DNN983027:DNN983092 DXJ983027:DXJ983092 EHF983027:EHF983092 ERB983027:ERB983092 FAX983027:FAX983092 FKT983027:FKT983092 FUP983027:FUP983092 GEL983027:GEL983092 GOH983027:GOH983092 GYD983027:GYD983092 HHZ983027:HHZ983092 HRV983027:HRV983092 IBR983027:IBR983092 ILN983027:ILN983092 IVJ983027:IVJ983092 JFF983027:JFF983092 JPB983027:JPB983092 JYX983027:JYX983092 KIT983027:KIT983092 KSP983027:KSP983092 LCL983027:LCL983092 LMH983027:LMH983092 LWD983027:LWD983092 MFZ983027:MFZ983092 MPV983027:MPV983092 MZR983027:MZR983092 NJN983027:NJN983092 NTJ983027:NTJ983092 ODF983027:ODF983092 ONB983027:ONB983092 OWX983027:OWX983092 PGT983027:PGT983092 PQP983027:PQP983092 QAL983027:QAL983092 QKH983027:QKH983092 QUD983027:QUD983092 RDZ983027:RDZ983092 RNV983027:RNV983092 RXR983027:RXR983092 SHN983027:SHN983092 SRJ983027:SRJ983092 TBF983027:TBF983092 TLB983027:TLB983092 TUX983027:TUX983092 UET983027:UET983092 UOP983027:UOP983092 UYL983027:UYL983092 VIH983027:VIH983092 VSD983027:VSD983092 WBZ983027:WBZ983092 WLV983027:WLV983092 J73:J485 WVR2:WVR72 JF2:JF72 TB2:TB72 ACX2:ACX72 AMT2:AMT72 AWP2:AWP72 BGL2:BGL72 BQH2:BQH72 CAD2:CAD72 CJZ2:CJZ72 CTV2:CTV72 DDR2:DDR72 DNN2:DNN72 DXJ2:DXJ72 EHF2:EHF72 ERB2:ERB72 FAX2:FAX72 FKT2:FKT72 FUP2:FUP72 GEL2:GEL72 GOH2:GOH72 GYD2:GYD72 HHZ2:HHZ72 HRV2:HRV72 IBR2:IBR72 ILN2:ILN72 IVJ2:IVJ72 JFF2:JFF72 JPB2:JPB72 JYX2:JYX72 KIT2:KIT72 KSP2:KSP72 LCL2:LCL72 LMH2:LMH72 LWD2:LWD72 MFZ2:MFZ72 MPV2:MPV72 MZR2:MZR72 NJN2:NJN72 NTJ2:NTJ72 ODF2:ODF72 ONB2:ONB72 OWX2:OWX72 PGT2:PGT72 PQP2:PQP72 QAL2:QAL72 QKH2:QKH72 QUD2:QUD72 RDZ2:RDZ72 RNV2:RNV72 RXR2:RXR72 SHN2:SHN72 SRJ2:SRJ72 TBF2:TBF72 TLB2:TLB72 TUX2:TUX72 UET2:UET72 UOP2:UOP72 UYL2:UYL72 VIH2:VIH72 VSD2:VSD72 WBZ2:WBZ72 WLV2:WLV72" xr:uid="{506E8897-4BD4-4B1D-8362-073B18AE7969}">
      <formula1>$AP$2:$AP$27</formula1>
    </dataValidation>
    <dataValidation type="list" allowBlank="1" showInputMessage="1" showErrorMessage="1" sqref="WVP983027:WVP983092 H65523:H65588 JD65523:JD65588 SZ65523:SZ65588 ACV65523:ACV65588 AMR65523:AMR65588 AWN65523:AWN65588 BGJ65523:BGJ65588 BQF65523:BQF65588 CAB65523:CAB65588 CJX65523:CJX65588 CTT65523:CTT65588 DDP65523:DDP65588 DNL65523:DNL65588 DXH65523:DXH65588 EHD65523:EHD65588 EQZ65523:EQZ65588 FAV65523:FAV65588 FKR65523:FKR65588 FUN65523:FUN65588 GEJ65523:GEJ65588 GOF65523:GOF65588 GYB65523:GYB65588 HHX65523:HHX65588 HRT65523:HRT65588 IBP65523:IBP65588 ILL65523:ILL65588 IVH65523:IVH65588 JFD65523:JFD65588 JOZ65523:JOZ65588 JYV65523:JYV65588 KIR65523:KIR65588 KSN65523:KSN65588 LCJ65523:LCJ65588 LMF65523:LMF65588 LWB65523:LWB65588 MFX65523:MFX65588 MPT65523:MPT65588 MZP65523:MZP65588 NJL65523:NJL65588 NTH65523:NTH65588 ODD65523:ODD65588 OMZ65523:OMZ65588 OWV65523:OWV65588 PGR65523:PGR65588 PQN65523:PQN65588 QAJ65523:QAJ65588 QKF65523:QKF65588 QUB65523:QUB65588 RDX65523:RDX65588 RNT65523:RNT65588 RXP65523:RXP65588 SHL65523:SHL65588 SRH65523:SRH65588 TBD65523:TBD65588 TKZ65523:TKZ65588 TUV65523:TUV65588 UER65523:UER65588 UON65523:UON65588 UYJ65523:UYJ65588 VIF65523:VIF65588 VSB65523:VSB65588 WBX65523:WBX65588 WLT65523:WLT65588 WVP65523:WVP65588 H131059:H131124 JD131059:JD131124 SZ131059:SZ131124 ACV131059:ACV131124 AMR131059:AMR131124 AWN131059:AWN131124 BGJ131059:BGJ131124 BQF131059:BQF131124 CAB131059:CAB131124 CJX131059:CJX131124 CTT131059:CTT131124 DDP131059:DDP131124 DNL131059:DNL131124 DXH131059:DXH131124 EHD131059:EHD131124 EQZ131059:EQZ131124 FAV131059:FAV131124 FKR131059:FKR131124 FUN131059:FUN131124 GEJ131059:GEJ131124 GOF131059:GOF131124 GYB131059:GYB131124 HHX131059:HHX131124 HRT131059:HRT131124 IBP131059:IBP131124 ILL131059:ILL131124 IVH131059:IVH131124 JFD131059:JFD131124 JOZ131059:JOZ131124 JYV131059:JYV131124 KIR131059:KIR131124 KSN131059:KSN131124 LCJ131059:LCJ131124 LMF131059:LMF131124 LWB131059:LWB131124 MFX131059:MFX131124 MPT131059:MPT131124 MZP131059:MZP131124 NJL131059:NJL131124 NTH131059:NTH131124 ODD131059:ODD131124 OMZ131059:OMZ131124 OWV131059:OWV131124 PGR131059:PGR131124 PQN131059:PQN131124 QAJ131059:QAJ131124 QKF131059:QKF131124 QUB131059:QUB131124 RDX131059:RDX131124 RNT131059:RNT131124 RXP131059:RXP131124 SHL131059:SHL131124 SRH131059:SRH131124 TBD131059:TBD131124 TKZ131059:TKZ131124 TUV131059:TUV131124 UER131059:UER131124 UON131059:UON131124 UYJ131059:UYJ131124 VIF131059:VIF131124 VSB131059:VSB131124 WBX131059:WBX131124 WLT131059:WLT131124 WVP131059:WVP131124 H196595:H196660 JD196595:JD196660 SZ196595:SZ196660 ACV196595:ACV196660 AMR196595:AMR196660 AWN196595:AWN196660 BGJ196595:BGJ196660 BQF196595:BQF196660 CAB196595:CAB196660 CJX196595:CJX196660 CTT196595:CTT196660 DDP196595:DDP196660 DNL196595:DNL196660 DXH196595:DXH196660 EHD196595:EHD196660 EQZ196595:EQZ196660 FAV196595:FAV196660 FKR196595:FKR196660 FUN196595:FUN196660 GEJ196595:GEJ196660 GOF196595:GOF196660 GYB196595:GYB196660 HHX196595:HHX196660 HRT196595:HRT196660 IBP196595:IBP196660 ILL196595:ILL196660 IVH196595:IVH196660 JFD196595:JFD196660 JOZ196595:JOZ196660 JYV196595:JYV196660 KIR196595:KIR196660 KSN196595:KSN196660 LCJ196595:LCJ196660 LMF196595:LMF196660 LWB196595:LWB196660 MFX196595:MFX196660 MPT196595:MPT196660 MZP196595:MZP196660 NJL196595:NJL196660 NTH196595:NTH196660 ODD196595:ODD196660 OMZ196595:OMZ196660 OWV196595:OWV196660 PGR196595:PGR196660 PQN196595:PQN196660 QAJ196595:QAJ196660 QKF196595:QKF196660 QUB196595:QUB196660 RDX196595:RDX196660 RNT196595:RNT196660 RXP196595:RXP196660 SHL196595:SHL196660 SRH196595:SRH196660 TBD196595:TBD196660 TKZ196595:TKZ196660 TUV196595:TUV196660 UER196595:UER196660 UON196595:UON196660 UYJ196595:UYJ196660 VIF196595:VIF196660 VSB196595:VSB196660 WBX196595:WBX196660 WLT196595:WLT196660 WVP196595:WVP196660 H262131:H262196 JD262131:JD262196 SZ262131:SZ262196 ACV262131:ACV262196 AMR262131:AMR262196 AWN262131:AWN262196 BGJ262131:BGJ262196 BQF262131:BQF262196 CAB262131:CAB262196 CJX262131:CJX262196 CTT262131:CTT262196 DDP262131:DDP262196 DNL262131:DNL262196 DXH262131:DXH262196 EHD262131:EHD262196 EQZ262131:EQZ262196 FAV262131:FAV262196 FKR262131:FKR262196 FUN262131:FUN262196 GEJ262131:GEJ262196 GOF262131:GOF262196 GYB262131:GYB262196 HHX262131:HHX262196 HRT262131:HRT262196 IBP262131:IBP262196 ILL262131:ILL262196 IVH262131:IVH262196 JFD262131:JFD262196 JOZ262131:JOZ262196 JYV262131:JYV262196 KIR262131:KIR262196 KSN262131:KSN262196 LCJ262131:LCJ262196 LMF262131:LMF262196 LWB262131:LWB262196 MFX262131:MFX262196 MPT262131:MPT262196 MZP262131:MZP262196 NJL262131:NJL262196 NTH262131:NTH262196 ODD262131:ODD262196 OMZ262131:OMZ262196 OWV262131:OWV262196 PGR262131:PGR262196 PQN262131:PQN262196 QAJ262131:QAJ262196 QKF262131:QKF262196 QUB262131:QUB262196 RDX262131:RDX262196 RNT262131:RNT262196 RXP262131:RXP262196 SHL262131:SHL262196 SRH262131:SRH262196 TBD262131:TBD262196 TKZ262131:TKZ262196 TUV262131:TUV262196 UER262131:UER262196 UON262131:UON262196 UYJ262131:UYJ262196 VIF262131:VIF262196 VSB262131:VSB262196 WBX262131:WBX262196 WLT262131:WLT262196 WVP262131:WVP262196 H327667:H327732 JD327667:JD327732 SZ327667:SZ327732 ACV327667:ACV327732 AMR327667:AMR327732 AWN327667:AWN327732 BGJ327667:BGJ327732 BQF327667:BQF327732 CAB327667:CAB327732 CJX327667:CJX327732 CTT327667:CTT327732 DDP327667:DDP327732 DNL327667:DNL327732 DXH327667:DXH327732 EHD327667:EHD327732 EQZ327667:EQZ327732 FAV327667:FAV327732 FKR327667:FKR327732 FUN327667:FUN327732 GEJ327667:GEJ327732 GOF327667:GOF327732 GYB327667:GYB327732 HHX327667:HHX327732 HRT327667:HRT327732 IBP327667:IBP327732 ILL327667:ILL327732 IVH327667:IVH327732 JFD327667:JFD327732 JOZ327667:JOZ327732 JYV327667:JYV327732 KIR327667:KIR327732 KSN327667:KSN327732 LCJ327667:LCJ327732 LMF327667:LMF327732 LWB327667:LWB327732 MFX327667:MFX327732 MPT327667:MPT327732 MZP327667:MZP327732 NJL327667:NJL327732 NTH327667:NTH327732 ODD327667:ODD327732 OMZ327667:OMZ327732 OWV327667:OWV327732 PGR327667:PGR327732 PQN327667:PQN327732 QAJ327667:QAJ327732 QKF327667:QKF327732 QUB327667:QUB327732 RDX327667:RDX327732 RNT327667:RNT327732 RXP327667:RXP327732 SHL327667:SHL327732 SRH327667:SRH327732 TBD327667:TBD327732 TKZ327667:TKZ327732 TUV327667:TUV327732 UER327667:UER327732 UON327667:UON327732 UYJ327667:UYJ327732 VIF327667:VIF327732 VSB327667:VSB327732 WBX327667:WBX327732 WLT327667:WLT327732 WVP327667:WVP327732 H393203:H393268 JD393203:JD393268 SZ393203:SZ393268 ACV393203:ACV393268 AMR393203:AMR393268 AWN393203:AWN393268 BGJ393203:BGJ393268 BQF393203:BQF393268 CAB393203:CAB393268 CJX393203:CJX393268 CTT393203:CTT393268 DDP393203:DDP393268 DNL393203:DNL393268 DXH393203:DXH393268 EHD393203:EHD393268 EQZ393203:EQZ393268 FAV393203:FAV393268 FKR393203:FKR393268 FUN393203:FUN393268 GEJ393203:GEJ393268 GOF393203:GOF393268 GYB393203:GYB393268 HHX393203:HHX393268 HRT393203:HRT393268 IBP393203:IBP393268 ILL393203:ILL393268 IVH393203:IVH393268 JFD393203:JFD393268 JOZ393203:JOZ393268 JYV393203:JYV393268 KIR393203:KIR393268 KSN393203:KSN393268 LCJ393203:LCJ393268 LMF393203:LMF393268 LWB393203:LWB393268 MFX393203:MFX393268 MPT393203:MPT393268 MZP393203:MZP393268 NJL393203:NJL393268 NTH393203:NTH393268 ODD393203:ODD393268 OMZ393203:OMZ393268 OWV393203:OWV393268 PGR393203:PGR393268 PQN393203:PQN393268 QAJ393203:QAJ393268 QKF393203:QKF393268 QUB393203:QUB393268 RDX393203:RDX393268 RNT393203:RNT393268 RXP393203:RXP393268 SHL393203:SHL393268 SRH393203:SRH393268 TBD393203:TBD393268 TKZ393203:TKZ393268 TUV393203:TUV393268 UER393203:UER393268 UON393203:UON393268 UYJ393203:UYJ393268 VIF393203:VIF393268 VSB393203:VSB393268 WBX393203:WBX393268 WLT393203:WLT393268 WVP393203:WVP393268 H458739:H458804 JD458739:JD458804 SZ458739:SZ458804 ACV458739:ACV458804 AMR458739:AMR458804 AWN458739:AWN458804 BGJ458739:BGJ458804 BQF458739:BQF458804 CAB458739:CAB458804 CJX458739:CJX458804 CTT458739:CTT458804 DDP458739:DDP458804 DNL458739:DNL458804 DXH458739:DXH458804 EHD458739:EHD458804 EQZ458739:EQZ458804 FAV458739:FAV458804 FKR458739:FKR458804 FUN458739:FUN458804 GEJ458739:GEJ458804 GOF458739:GOF458804 GYB458739:GYB458804 HHX458739:HHX458804 HRT458739:HRT458804 IBP458739:IBP458804 ILL458739:ILL458804 IVH458739:IVH458804 JFD458739:JFD458804 JOZ458739:JOZ458804 JYV458739:JYV458804 KIR458739:KIR458804 KSN458739:KSN458804 LCJ458739:LCJ458804 LMF458739:LMF458804 LWB458739:LWB458804 MFX458739:MFX458804 MPT458739:MPT458804 MZP458739:MZP458804 NJL458739:NJL458804 NTH458739:NTH458804 ODD458739:ODD458804 OMZ458739:OMZ458804 OWV458739:OWV458804 PGR458739:PGR458804 PQN458739:PQN458804 QAJ458739:QAJ458804 QKF458739:QKF458804 QUB458739:QUB458804 RDX458739:RDX458804 RNT458739:RNT458804 RXP458739:RXP458804 SHL458739:SHL458804 SRH458739:SRH458804 TBD458739:TBD458804 TKZ458739:TKZ458804 TUV458739:TUV458804 UER458739:UER458804 UON458739:UON458804 UYJ458739:UYJ458804 VIF458739:VIF458804 VSB458739:VSB458804 WBX458739:WBX458804 WLT458739:WLT458804 WVP458739:WVP458804 H524275:H524340 JD524275:JD524340 SZ524275:SZ524340 ACV524275:ACV524340 AMR524275:AMR524340 AWN524275:AWN524340 BGJ524275:BGJ524340 BQF524275:BQF524340 CAB524275:CAB524340 CJX524275:CJX524340 CTT524275:CTT524340 DDP524275:DDP524340 DNL524275:DNL524340 DXH524275:DXH524340 EHD524275:EHD524340 EQZ524275:EQZ524340 FAV524275:FAV524340 FKR524275:FKR524340 FUN524275:FUN524340 GEJ524275:GEJ524340 GOF524275:GOF524340 GYB524275:GYB524340 HHX524275:HHX524340 HRT524275:HRT524340 IBP524275:IBP524340 ILL524275:ILL524340 IVH524275:IVH524340 JFD524275:JFD524340 JOZ524275:JOZ524340 JYV524275:JYV524340 KIR524275:KIR524340 KSN524275:KSN524340 LCJ524275:LCJ524340 LMF524275:LMF524340 LWB524275:LWB524340 MFX524275:MFX524340 MPT524275:MPT524340 MZP524275:MZP524340 NJL524275:NJL524340 NTH524275:NTH524340 ODD524275:ODD524340 OMZ524275:OMZ524340 OWV524275:OWV524340 PGR524275:PGR524340 PQN524275:PQN524340 QAJ524275:QAJ524340 QKF524275:QKF524340 QUB524275:QUB524340 RDX524275:RDX524340 RNT524275:RNT524340 RXP524275:RXP524340 SHL524275:SHL524340 SRH524275:SRH524340 TBD524275:TBD524340 TKZ524275:TKZ524340 TUV524275:TUV524340 UER524275:UER524340 UON524275:UON524340 UYJ524275:UYJ524340 VIF524275:VIF524340 VSB524275:VSB524340 WBX524275:WBX524340 WLT524275:WLT524340 WVP524275:WVP524340 H589811:H589876 JD589811:JD589876 SZ589811:SZ589876 ACV589811:ACV589876 AMR589811:AMR589876 AWN589811:AWN589876 BGJ589811:BGJ589876 BQF589811:BQF589876 CAB589811:CAB589876 CJX589811:CJX589876 CTT589811:CTT589876 DDP589811:DDP589876 DNL589811:DNL589876 DXH589811:DXH589876 EHD589811:EHD589876 EQZ589811:EQZ589876 FAV589811:FAV589876 FKR589811:FKR589876 FUN589811:FUN589876 GEJ589811:GEJ589876 GOF589811:GOF589876 GYB589811:GYB589876 HHX589811:HHX589876 HRT589811:HRT589876 IBP589811:IBP589876 ILL589811:ILL589876 IVH589811:IVH589876 JFD589811:JFD589876 JOZ589811:JOZ589876 JYV589811:JYV589876 KIR589811:KIR589876 KSN589811:KSN589876 LCJ589811:LCJ589876 LMF589811:LMF589876 LWB589811:LWB589876 MFX589811:MFX589876 MPT589811:MPT589876 MZP589811:MZP589876 NJL589811:NJL589876 NTH589811:NTH589876 ODD589811:ODD589876 OMZ589811:OMZ589876 OWV589811:OWV589876 PGR589811:PGR589876 PQN589811:PQN589876 QAJ589811:QAJ589876 QKF589811:QKF589876 QUB589811:QUB589876 RDX589811:RDX589876 RNT589811:RNT589876 RXP589811:RXP589876 SHL589811:SHL589876 SRH589811:SRH589876 TBD589811:TBD589876 TKZ589811:TKZ589876 TUV589811:TUV589876 UER589811:UER589876 UON589811:UON589876 UYJ589811:UYJ589876 VIF589811:VIF589876 VSB589811:VSB589876 WBX589811:WBX589876 WLT589811:WLT589876 WVP589811:WVP589876 H655347:H655412 JD655347:JD655412 SZ655347:SZ655412 ACV655347:ACV655412 AMR655347:AMR655412 AWN655347:AWN655412 BGJ655347:BGJ655412 BQF655347:BQF655412 CAB655347:CAB655412 CJX655347:CJX655412 CTT655347:CTT655412 DDP655347:DDP655412 DNL655347:DNL655412 DXH655347:DXH655412 EHD655347:EHD655412 EQZ655347:EQZ655412 FAV655347:FAV655412 FKR655347:FKR655412 FUN655347:FUN655412 GEJ655347:GEJ655412 GOF655347:GOF655412 GYB655347:GYB655412 HHX655347:HHX655412 HRT655347:HRT655412 IBP655347:IBP655412 ILL655347:ILL655412 IVH655347:IVH655412 JFD655347:JFD655412 JOZ655347:JOZ655412 JYV655347:JYV655412 KIR655347:KIR655412 KSN655347:KSN655412 LCJ655347:LCJ655412 LMF655347:LMF655412 LWB655347:LWB655412 MFX655347:MFX655412 MPT655347:MPT655412 MZP655347:MZP655412 NJL655347:NJL655412 NTH655347:NTH655412 ODD655347:ODD655412 OMZ655347:OMZ655412 OWV655347:OWV655412 PGR655347:PGR655412 PQN655347:PQN655412 QAJ655347:QAJ655412 QKF655347:QKF655412 QUB655347:QUB655412 RDX655347:RDX655412 RNT655347:RNT655412 RXP655347:RXP655412 SHL655347:SHL655412 SRH655347:SRH655412 TBD655347:TBD655412 TKZ655347:TKZ655412 TUV655347:TUV655412 UER655347:UER655412 UON655347:UON655412 UYJ655347:UYJ655412 VIF655347:VIF655412 VSB655347:VSB655412 WBX655347:WBX655412 WLT655347:WLT655412 WVP655347:WVP655412 H720883:H720948 JD720883:JD720948 SZ720883:SZ720948 ACV720883:ACV720948 AMR720883:AMR720948 AWN720883:AWN720948 BGJ720883:BGJ720948 BQF720883:BQF720948 CAB720883:CAB720948 CJX720883:CJX720948 CTT720883:CTT720948 DDP720883:DDP720948 DNL720883:DNL720948 DXH720883:DXH720948 EHD720883:EHD720948 EQZ720883:EQZ720948 FAV720883:FAV720948 FKR720883:FKR720948 FUN720883:FUN720948 GEJ720883:GEJ720948 GOF720883:GOF720948 GYB720883:GYB720948 HHX720883:HHX720948 HRT720883:HRT720948 IBP720883:IBP720948 ILL720883:ILL720948 IVH720883:IVH720948 JFD720883:JFD720948 JOZ720883:JOZ720948 JYV720883:JYV720948 KIR720883:KIR720948 KSN720883:KSN720948 LCJ720883:LCJ720948 LMF720883:LMF720948 LWB720883:LWB720948 MFX720883:MFX720948 MPT720883:MPT720948 MZP720883:MZP720948 NJL720883:NJL720948 NTH720883:NTH720948 ODD720883:ODD720948 OMZ720883:OMZ720948 OWV720883:OWV720948 PGR720883:PGR720948 PQN720883:PQN720948 QAJ720883:QAJ720948 QKF720883:QKF720948 QUB720883:QUB720948 RDX720883:RDX720948 RNT720883:RNT720948 RXP720883:RXP720948 SHL720883:SHL720948 SRH720883:SRH720948 TBD720883:TBD720948 TKZ720883:TKZ720948 TUV720883:TUV720948 UER720883:UER720948 UON720883:UON720948 UYJ720883:UYJ720948 VIF720883:VIF720948 VSB720883:VSB720948 WBX720883:WBX720948 WLT720883:WLT720948 WVP720883:WVP720948 H786419:H786484 JD786419:JD786484 SZ786419:SZ786484 ACV786419:ACV786484 AMR786419:AMR786484 AWN786419:AWN786484 BGJ786419:BGJ786484 BQF786419:BQF786484 CAB786419:CAB786484 CJX786419:CJX786484 CTT786419:CTT786484 DDP786419:DDP786484 DNL786419:DNL786484 DXH786419:DXH786484 EHD786419:EHD786484 EQZ786419:EQZ786484 FAV786419:FAV786484 FKR786419:FKR786484 FUN786419:FUN786484 GEJ786419:GEJ786484 GOF786419:GOF786484 GYB786419:GYB786484 HHX786419:HHX786484 HRT786419:HRT786484 IBP786419:IBP786484 ILL786419:ILL786484 IVH786419:IVH786484 JFD786419:JFD786484 JOZ786419:JOZ786484 JYV786419:JYV786484 KIR786419:KIR786484 KSN786419:KSN786484 LCJ786419:LCJ786484 LMF786419:LMF786484 LWB786419:LWB786484 MFX786419:MFX786484 MPT786419:MPT786484 MZP786419:MZP786484 NJL786419:NJL786484 NTH786419:NTH786484 ODD786419:ODD786484 OMZ786419:OMZ786484 OWV786419:OWV786484 PGR786419:PGR786484 PQN786419:PQN786484 QAJ786419:QAJ786484 QKF786419:QKF786484 QUB786419:QUB786484 RDX786419:RDX786484 RNT786419:RNT786484 RXP786419:RXP786484 SHL786419:SHL786484 SRH786419:SRH786484 TBD786419:TBD786484 TKZ786419:TKZ786484 TUV786419:TUV786484 UER786419:UER786484 UON786419:UON786484 UYJ786419:UYJ786484 VIF786419:VIF786484 VSB786419:VSB786484 WBX786419:WBX786484 WLT786419:WLT786484 WVP786419:WVP786484 H851955:H852020 JD851955:JD852020 SZ851955:SZ852020 ACV851955:ACV852020 AMR851955:AMR852020 AWN851955:AWN852020 BGJ851955:BGJ852020 BQF851955:BQF852020 CAB851955:CAB852020 CJX851955:CJX852020 CTT851955:CTT852020 DDP851955:DDP852020 DNL851955:DNL852020 DXH851955:DXH852020 EHD851955:EHD852020 EQZ851955:EQZ852020 FAV851955:FAV852020 FKR851955:FKR852020 FUN851955:FUN852020 GEJ851955:GEJ852020 GOF851955:GOF852020 GYB851955:GYB852020 HHX851955:HHX852020 HRT851955:HRT852020 IBP851955:IBP852020 ILL851955:ILL852020 IVH851955:IVH852020 JFD851955:JFD852020 JOZ851955:JOZ852020 JYV851955:JYV852020 KIR851955:KIR852020 KSN851955:KSN852020 LCJ851955:LCJ852020 LMF851955:LMF852020 LWB851955:LWB852020 MFX851955:MFX852020 MPT851955:MPT852020 MZP851955:MZP852020 NJL851955:NJL852020 NTH851955:NTH852020 ODD851955:ODD852020 OMZ851955:OMZ852020 OWV851955:OWV852020 PGR851955:PGR852020 PQN851955:PQN852020 QAJ851955:QAJ852020 QKF851955:QKF852020 QUB851955:QUB852020 RDX851955:RDX852020 RNT851955:RNT852020 RXP851955:RXP852020 SHL851955:SHL852020 SRH851955:SRH852020 TBD851955:TBD852020 TKZ851955:TKZ852020 TUV851955:TUV852020 UER851955:UER852020 UON851955:UON852020 UYJ851955:UYJ852020 VIF851955:VIF852020 VSB851955:VSB852020 WBX851955:WBX852020 WLT851955:WLT852020 WVP851955:WVP852020 H917491:H917556 JD917491:JD917556 SZ917491:SZ917556 ACV917491:ACV917556 AMR917491:AMR917556 AWN917491:AWN917556 BGJ917491:BGJ917556 BQF917491:BQF917556 CAB917491:CAB917556 CJX917491:CJX917556 CTT917491:CTT917556 DDP917491:DDP917556 DNL917491:DNL917556 DXH917491:DXH917556 EHD917491:EHD917556 EQZ917491:EQZ917556 FAV917491:FAV917556 FKR917491:FKR917556 FUN917491:FUN917556 GEJ917491:GEJ917556 GOF917491:GOF917556 GYB917491:GYB917556 HHX917491:HHX917556 HRT917491:HRT917556 IBP917491:IBP917556 ILL917491:ILL917556 IVH917491:IVH917556 JFD917491:JFD917556 JOZ917491:JOZ917556 JYV917491:JYV917556 KIR917491:KIR917556 KSN917491:KSN917556 LCJ917491:LCJ917556 LMF917491:LMF917556 LWB917491:LWB917556 MFX917491:MFX917556 MPT917491:MPT917556 MZP917491:MZP917556 NJL917491:NJL917556 NTH917491:NTH917556 ODD917491:ODD917556 OMZ917491:OMZ917556 OWV917491:OWV917556 PGR917491:PGR917556 PQN917491:PQN917556 QAJ917491:QAJ917556 QKF917491:QKF917556 QUB917491:QUB917556 RDX917491:RDX917556 RNT917491:RNT917556 RXP917491:RXP917556 SHL917491:SHL917556 SRH917491:SRH917556 TBD917491:TBD917556 TKZ917491:TKZ917556 TUV917491:TUV917556 UER917491:UER917556 UON917491:UON917556 UYJ917491:UYJ917556 VIF917491:VIF917556 VSB917491:VSB917556 WBX917491:WBX917556 WLT917491:WLT917556 WVP917491:WVP917556 H983027:H983092 JD983027:JD983092 SZ983027:SZ983092 ACV983027:ACV983092 AMR983027:AMR983092 AWN983027:AWN983092 BGJ983027:BGJ983092 BQF983027:BQF983092 CAB983027:CAB983092 CJX983027:CJX983092 CTT983027:CTT983092 DDP983027:DDP983092 DNL983027:DNL983092 DXH983027:DXH983092 EHD983027:EHD983092 EQZ983027:EQZ983092 FAV983027:FAV983092 FKR983027:FKR983092 FUN983027:FUN983092 GEJ983027:GEJ983092 GOF983027:GOF983092 GYB983027:GYB983092 HHX983027:HHX983092 HRT983027:HRT983092 IBP983027:IBP983092 ILL983027:ILL983092 IVH983027:IVH983092 JFD983027:JFD983092 JOZ983027:JOZ983092 JYV983027:JYV983092 KIR983027:KIR983092 KSN983027:KSN983092 LCJ983027:LCJ983092 LMF983027:LMF983092 LWB983027:LWB983092 MFX983027:MFX983092 MPT983027:MPT983092 MZP983027:MZP983092 NJL983027:NJL983092 NTH983027:NTH983092 ODD983027:ODD983092 OMZ983027:OMZ983092 OWV983027:OWV983092 PGR983027:PGR983092 PQN983027:PQN983092 QAJ983027:QAJ983092 QKF983027:QKF983092 QUB983027:QUB983092 RDX983027:RDX983092 RNT983027:RNT983092 RXP983027:RXP983092 SHL983027:SHL983092 SRH983027:SRH983092 TBD983027:TBD983092 TKZ983027:TKZ983092 TUV983027:TUV983092 UER983027:UER983092 UON983027:UON983092 UYJ983027:UYJ983092 VIF983027:VIF983092 VSB983027:VSB983092 WBX983027:WBX983092 WLT983027:WLT983092 WVP2:WVP72 JD2:JD72 SZ2:SZ72 ACV2:ACV72 AMR2:AMR72 AWN2:AWN72 BGJ2:BGJ72 BQF2:BQF72 CAB2:CAB72 CJX2:CJX72 CTT2:CTT72 DDP2:DDP72 DNL2:DNL72 DXH2:DXH72 EHD2:EHD72 EQZ2:EQZ72 FAV2:FAV72 FKR2:FKR72 FUN2:FUN72 GEJ2:GEJ72 GOF2:GOF72 GYB2:GYB72 HHX2:HHX72 HRT2:HRT72 IBP2:IBP72 ILL2:ILL72 IVH2:IVH72 JFD2:JFD72 JOZ2:JOZ72 JYV2:JYV72 KIR2:KIR72 KSN2:KSN72 LCJ2:LCJ72 LMF2:LMF72 LWB2:LWB72 MFX2:MFX72 MPT2:MPT72 MZP2:MZP72 NJL2:NJL72 NTH2:NTH72 ODD2:ODD72 OMZ2:OMZ72 OWV2:OWV72 PGR2:PGR72 PQN2:PQN72 QAJ2:QAJ72 QKF2:QKF72 QUB2:QUB72 RDX2:RDX72 RNT2:RNT72 RXP2:RXP72 SHL2:SHL72 SRH2:SRH72 TBD2:TBD72 TKZ2:TKZ72 TUV2:TUV72 UER2:UER72 UON2:UON72 UYJ2:UYJ72 VIF2:VIF72 VSB2:VSB72 WBX2:WBX72 WLT2:WLT72" xr:uid="{3B917987-D207-4E29-BDD7-2FA0FC5EC678}">
      <formula1>$AL$4:$AL$12</formula1>
    </dataValidation>
    <dataValidation type="list" allowBlank="1" showInputMessage="1" showErrorMessage="1" sqref="A64348:A64413 IW64348:IW64413 SS64348:SS64413 ACO64348:ACO64413 AMK64348:AMK64413 AWG64348:AWG64413 BGC64348:BGC64413 BPY64348:BPY64413 BZU64348:BZU64413 CJQ64348:CJQ64413 CTM64348:CTM64413 DDI64348:DDI64413 DNE64348:DNE64413 DXA64348:DXA64413 EGW64348:EGW64413 EQS64348:EQS64413 FAO64348:FAO64413 FKK64348:FKK64413 FUG64348:FUG64413 GEC64348:GEC64413 GNY64348:GNY64413 GXU64348:GXU64413 HHQ64348:HHQ64413 HRM64348:HRM64413 IBI64348:IBI64413 ILE64348:ILE64413 IVA64348:IVA64413 JEW64348:JEW64413 JOS64348:JOS64413 JYO64348:JYO64413 KIK64348:KIK64413 KSG64348:KSG64413 LCC64348:LCC64413 LLY64348:LLY64413 LVU64348:LVU64413 MFQ64348:MFQ64413 MPM64348:MPM64413 MZI64348:MZI64413 NJE64348:NJE64413 NTA64348:NTA64413 OCW64348:OCW64413 OMS64348:OMS64413 OWO64348:OWO64413 PGK64348:PGK64413 PQG64348:PQG64413 QAC64348:QAC64413 QJY64348:QJY64413 QTU64348:QTU64413 RDQ64348:RDQ64413 RNM64348:RNM64413 RXI64348:RXI64413 SHE64348:SHE64413 SRA64348:SRA64413 TAW64348:TAW64413 TKS64348:TKS64413 TUO64348:TUO64413 UEK64348:UEK64413 UOG64348:UOG64413 UYC64348:UYC64413 VHY64348:VHY64413 VRU64348:VRU64413 WBQ64348:WBQ64413 WLM64348:WLM64413 WVI64348:WVI64413 A129884:A129949 IW129884:IW129949 SS129884:SS129949 ACO129884:ACO129949 AMK129884:AMK129949 AWG129884:AWG129949 BGC129884:BGC129949 BPY129884:BPY129949 BZU129884:BZU129949 CJQ129884:CJQ129949 CTM129884:CTM129949 DDI129884:DDI129949 DNE129884:DNE129949 DXA129884:DXA129949 EGW129884:EGW129949 EQS129884:EQS129949 FAO129884:FAO129949 FKK129884:FKK129949 FUG129884:FUG129949 GEC129884:GEC129949 GNY129884:GNY129949 GXU129884:GXU129949 HHQ129884:HHQ129949 HRM129884:HRM129949 IBI129884:IBI129949 ILE129884:ILE129949 IVA129884:IVA129949 JEW129884:JEW129949 JOS129884:JOS129949 JYO129884:JYO129949 KIK129884:KIK129949 KSG129884:KSG129949 LCC129884:LCC129949 LLY129884:LLY129949 LVU129884:LVU129949 MFQ129884:MFQ129949 MPM129884:MPM129949 MZI129884:MZI129949 NJE129884:NJE129949 NTA129884:NTA129949 OCW129884:OCW129949 OMS129884:OMS129949 OWO129884:OWO129949 PGK129884:PGK129949 PQG129884:PQG129949 QAC129884:QAC129949 QJY129884:QJY129949 QTU129884:QTU129949 RDQ129884:RDQ129949 RNM129884:RNM129949 RXI129884:RXI129949 SHE129884:SHE129949 SRA129884:SRA129949 TAW129884:TAW129949 TKS129884:TKS129949 TUO129884:TUO129949 UEK129884:UEK129949 UOG129884:UOG129949 UYC129884:UYC129949 VHY129884:VHY129949 VRU129884:VRU129949 WBQ129884:WBQ129949 WLM129884:WLM129949 WVI129884:WVI129949 A195420:A195485 IW195420:IW195485 SS195420:SS195485 ACO195420:ACO195485 AMK195420:AMK195485 AWG195420:AWG195485 BGC195420:BGC195485 BPY195420:BPY195485 BZU195420:BZU195485 CJQ195420:CJQ195485 CTM195420:CTM195485 DDI195420:DDI195485 DNE195420:DNE195485 DXA195420:DXA195485 EGW195420:EGW195485 EQS195420:EQS195485 FAO195420:FAO195485 FKK195420:FKK195485 FUG195420:FUG195485 GEC195420:GEC195485 GNY195420:GNY195485 GXU195420:GXU195485 HHQ195420:HHQ195485 HRM195420:HRM195485 IBI195420:IBI195485 ILE195420:ILE195485 IVA195420:IVA195485 JEW195420:JEW195485 JOS195420:JOS195485 JYO195420:JYO195485 KIK195420:KIK195485 KSG195420:KSG195485 LCC195420:LCC195485 LLY195420:LLY195485 LVU195420:LVU195485 MFQ195420:MFQ195485 MPM195420:MPM195485 MZI195420:MZI195485 NJE195420:NJE195485 NTA195420:NTA195485 OCW195420:OCW195485 OMS195420:OMS195485 OWO195420:OWO195485 PGK195420:PGK195485 PQG195420:PQG195485 QAC195420:QAC195485 QJY195420:QJY195485 QTU195420:QTU195485 RDQ195420:RDQ195485 RNM195420:RNM195485 RXI195420:RXI195485 SHE195420:SHE195485 SRA195420:SRA195485 TAW195420:TAW195485 TKS195420:TKS195485 TUO195420:TUO195485 UEK195420:UEK195485 UOG195420:UOG195485 UYC195420:UYC195485 VHY195420:VHY195485 VRU195420:VRU195485 WBQ195420:WBQ195485 WLM195420:WLM195485 WVI195420:WVI195485 A260956:A261021 IW260956:IW261021 SS260956:SS261021 ACO260956:ACO261021 AMK260956:AMK261021 AWG260956:AWG261021 BGC260956:BGC261021 BPY260956:BPY261021 BZU260956:BZU261021 CJQ260956:CJQ261021 CTM260956:CTM261021 DDI260956:DDI261021 DNE260956:DNE261021 DXA260956:DXA261021 EGW260956:EGW261021 EQS260956:EQS261021 FAO260956:FAO261021 FKK260956:FKK261021 FUG260956:FUG261021 GEC260956:GEC261021 GNY260956:GNY261021 GXU260956:GXU261021 HHQ260956:HHQ261021 HRM260956:HRM261021 IBI260956:IBI261021 ILE260956:ILE261021 IVA260956:IVA261021 JEW260956:JEW261021 JOS260956:JOS261021 JYO260956:JYO261021 KIK260956:KIK261021 KSG260956:KSG261021 LCC260956:LCC261021 LLY260956:LLY261021 LVU260956:LVU261021 MFQ260956:MFQ261021 MPM260956:MPM261021 MZI260956:MZI261021 NJE260956:NJE261021 NTA260956:NTA261021 OCW260956:OCW261021 OMS260956:OMS261021 OWO260956:OWO261021 PGK260956:PGK261021 PQG260956:PQG261021 QAC260956:QAC261021 QJY260956:QJY261021 QTU260956:QTU261021 RDQ260956:RDQ261021 RNM260956:RNM261021 RXI260956:RXI261021 SHE260956:SHE261021 SRA260956:SRA261021 TAW260956:TAW261021 TKS260956:TKS261021 TUO260956:TUO261021 UEK260956:UEK261021 UOG260956:UOG261021 UYC260956:UYC261021 VHY260956:VHY261021 VRU260956:VRU261021 WBQ260956:WBQ261021 WLM260956:WLM261021 WVI260956:WVI261021 A326492:A326557 IW326492:IW326557 SS326492:SS326557 ACO326492:ACO326557 AMK326492:AMK326557 AWG326492:AWG326557 BGC326492:BGC326557 BPY326492:BPY326557 BZU326492:BZU326557 CJQ326492:CJQ326557 CTM326492:CTM326557 DDI326492:DDI326557 DNE326492:DNE326557 DXA326492:DXA326557 EGW326492:EGW326557 EQS326492:EQS326557 FAO326492:FAO326557 FKK326492:FKK326557 FUG326492:FUG326557 GEC326492:GEC326557 GNY326492:GNY326557 GXU326492:GXU326557 HHQ326492:HHQ326557 HRM326492:HRM326557 IBI326492:IBI326557 ILE326492:ILE326557 IVA326492:IVA326557 JEW326492:JEW326557 JOS326492:JOS326557 JYO326492:JYO326557 KIK326492:KIK326557 KSG326492:KSG326557 LCC326492:LCC326557 LLY326492:LLY326557 LVU326492:LVU326557 MFQ326492:MFQ326557 MPM326492:MPM326557 MZI326492:MZI326557 NJE326492:NJE326557 NTA326492:NTA326557 OCW326492:OCW326557 OMS326492:OMS326557 OWO326492:OWO326557 PGK326492:PGK326557 PQG326492:PQG326557 QAC326492:QAC326557 QJY326492:QJY326557 QTU326492:QTU326557 RDQ326492:RDQ326557 RNM326492:RNM326557 RXI326492:RXI326557 SHE326492:SHE326557 SRA326492:SRA326557 TAW326492:TAW326557 TKS326492:TKS326557 TUO326492:TUO326557 UEK326492:UEK326557 UOG326492:UOG326557 UYC326492:UYC326557 VHY326492:VHY326557 VRU326492:VRU326557 WBQ326492:WBQ326557 WLM326492:WLM326557 WVI326492:WVI326557 A392028:A392093 IW392028:IW392093 SS392028:SS392093 ACO392028:ACO392093 AMK392028:AMK392093 AWG392028:AWG392093 BGC392028:BGC392093 BPY392028:BPY392093 BZU392028:BZU392093 CJQ392028:CJQ392093 CTM392028:CTM392093 DDI392028:DDI392093 DNE392028:DNE392093 DXA392028:DXA392093 EGW392028:EGW392093 EQS392028:EQS392093 FAO392028:FAO392093 FKK392028:FKK392093 FUG392028:FUG392093 GEC392028:GEC392093 GNY392028:GNY392093 GXU392028:GXU392093 HHQ392028:HHQ392093 HRM392028:HRM392093 IBI392028:IBI392093 ILE392028:ILE392093 IVA392028:IVA392093 JEW392028:JEW392093 JOS392028:JOS392093 JYO392028:JYO392093 KIK392028:KIK392093 KSG392028:KSG392093 LCC392028:LCC392093 LLY392028:LLY392093 LVU392028:LVU392093 MFQ392028:MFQ392093 MPM392028:MPM392093 MZI392028:MZI392093 NJE392028:NJE392093 NTA392028:NTA392093 OCW392028:OCW392093 OMS392028:OMS392093 OWO392028:OWO392093 PGK392028:PGK392093 PQG392028:PQG392093 QAC392028:QAC392093 QJY392028:QJY392093 QTU392028:QTU392093 RDQ392028:RDQ392093 RNM392028:RNM392093 RXI392028:RXI392093 SHE392028:SHE392093 SRA392028:SRA392093 TAW392028:TAW392093 TKS392028:TKS392093 TUO392028:TUO392093 UEK392028:UEK392093 UOG392028:UOG392093 UYC392028:UYC392093 VHY392028:VHY392093 VRU392028:VRU392093 WBQ392028:WBQ392093 WLM392028:WLM392093 WVI392028:WVI392093 A457564:A457629 IW457564:IW457629 SS457564:SS457629 ACO457564:ACO457629 AMK457564:AMK457629 AWG457564:AWG457629 BGC457564:BGC457629 BPY457564:BPY457629 BZU457564:BZU457629 CJQ457564:CJQ457629 CTM457564:CTM457629 DDI457564:DDI457629 DNE457564:DNE457629 DXA457564:DXA457629 EGW457564:EGW457629 EQS457564:EQS457629 FAO457564:FAO457629 FKK457564:FKK457629 FUG457564:FUG457629 GEC457564:GEC457629 GNY457564:GNY457629 GXU457564:GXU457629 HHQ457564:HHQ457629 HRM457564:HRM457629 IBI457564:IBI457629 ILE457564:ILE457629 IVA457564:IVA457629 JEW457564:JEW457629 JOS457564:JOS457629 JYO457564:JYO457629 KIK457564:KIK457629 KSG457564:KSG457629 LCC457564:LCC457629 LLY457564:LLY457629 LVU457564:LVU457629 MFQ457564:MFQ457629 MPM457564:MPM457629 MZI457564:MZI457629 NJE457564:NJE457629 NTA457564:NTA457629 OCW457564:OCW457629 OMS457564:OMS457629 OWO457564:OWO457629 PGK457564:PGK457629 PQG457564:PQG457629 QAC457564:QAC457629 QJY457564:QJY457629 QTU457564:QTU457629 RDQ457564:RDQ457629 RNM457564:RNM457629 RXI457564:RXI457629 SHE457564:SHE457629 SRA457564:SRA457629 TAW457564:TAW457629 TKS457564:TKS457629 TUO457564:TUO457629 UEK457564:UEK457629 UOG457564:UOG457629 UYC457564:UYC457629 VHY457564:VHY457629 VRU457564:VRU457629 WBQ457564:WBQ457629 WLM457564:WLM457629 WVI457564:WVI457629 A523100:A523165 IW523100:IW523165 SS523100:SS523165 ACO523100:ACO523165 AMK523100:AMK523165 AWG523100:AWG523165 BGC523100:BGC523165 BPY523100:BPY523165 BZU523100:BZU523165 CJQ523100:CJQ523165 CTM523100:CTM523165 DDI523100:DDI523165 DNE523100:DNE523165 DXA523100:DXA523165 EGW523100:EGW523165 EQS523100:EQS523165 FAO523100:FAO523165 FKK523100:FKK523165 FUG523100:FUG523165 GEC523100:GEC523165 GNY523100:GNY523165 GXU523100:GXU523165 HHQ523100:HHQ523165 HRM523100:HRM523165 IBI523100:IBI523165 ILE523100:ILE523165 IVA523100:IVA523165 JEW523100:JEW523165 JOS523100:JOS523165 JYO523100:JYO523165 KIK523100:KIK523165 KSG523100:KSG523165 LCC523100:LCC523165 LLY523100:LLY523165 LVU523100:LVU523165 MFQ523100:MFQ523165 MPM523100:MPM523165 MZI523100:MZI523165 NJE523100:NJE523165 NTA523100:NTA523165 OCW523100:OCW523165 OMS523100:OMS523165 OWO523100:OWO523165 PGK523100:PGK523165 PQG523100:PQG523165 QAC523100:QAC523165 QJY523100:QJY523165 QTU523100:QTU523165 RDQ523100:RDQ523165 RNM523100:RNM523165 RXI523100:RXI523165 SHE523100:SHE523165 SRA523100:SRA523165 TAW523100:TAW523165 TKS523100:TKS523165 TUO523100:TUO523165 UEK523100:UEK523165 UOG523100:UOG523165 UYC523100:UYC523165 VHY523100:VHY523165 VRU523100:VRU523165 WBQ523100:WBQ523165 WLM523100:WLM523165 WVI523100:WVI523165 A588636:A588701 IW588636:IW588701 SS588636:SS588701 ACO588636:ACO588701 AMK588636:AMK588701 AWG588636:AWG588701 BGC588636:BGC588701 BPY588636:BPY588701 BZU588636:BZU588701 CJQ588636:CJQ588701 CTM588636:CTM588701 DDI588636:DDI588701 DNE588636:DNE588701 DXA588636:DXA588701 EGW588636:EGW588701 EQS588636:EQS588701 FAO588636:FAO588701 FKK588636:FKK588701 FUG588636:FUG588701 GEC588636:GEC588701 GNY588636:GNY588701 GXU588636:GXU588701 HHQ588636:HHQ588701 HRM588636:HRM588701 IBI588636:IBI588701 ILE588636:ILE588701 IVA588636:IVA588701 JEW588636:JEW588701 JOS588636:JOS588701 JYO588636:JYO588701 KIK588636:KIK588701 KSG588636:KSG588701 LCC588636:LCC588701 LLY588636:LLY588701 LVU588636:LVU588701 MFQ588636:MFQ588701 MPM588636:MPM588701 MZI588636:MZI588701 NJE588636:NJE588701 NTA588636:NTA588701 OCW588636:OCW588701 OMS588636:OMS588701 OWO588636:OWO588701 PGK588636:PGK588701 PQG588636:PQG588701 QAC588636:QAC588701 QJY588636:QJY588701 QTU588636:QTU588701 RDQ588636:RDQ588701 RNM588636:RNM588701 RXI588636:RXI588701 SHE588636:SHE588701 SRA588636:SRA588701 TAW588636:TAW588701 TKS588636:TKS588701 TUO588636:TUO588701 UEK588636:UEK588701 UOG588636:UOG588701 UYC588636:UYC588701 VHY588636:VHY588701 VRU588636:VRU588701 WBQ588636:WBQ588701 WLM588636:WLM588701 WVI588636:WVI588701 A654172:A654237 IW654172:IW654237 SS654172:SS654237 ACO654172:ACO654237 AMK654172:AMK654237 AWG654172:AWG654237 BGC654172:BGC654237 BPY654172:BPY654237 BZU654172:BZU654237 CJQ654172:CJQ654237 CTM654172:CTM654237 DDI654172:DDI654237 DNE654172:DNE654237 DXA654172:DXA654237 EGW654172:EGW654237 EQS654172:EQS654237 FAO654172:FAO654237 FKK654172:FKK654237 FUG654172:FUG654237 GEC654172:GEC654237 GNY654172:GNY654237 GXU654172:GXU654237 HHQ654172:HHQ654237 HRM654172:HRM654237 IBI654172:IBI654237 ILE654172:ILE654237 IVA654172:IVA654237 JEW654172:JEW654237 JOS654172:JOS654237 JYO654172:JYO654237 KIK654172:KIK654237 KSG654172:KSG654237 LCC654172:LCC654237 LLY654172:LLY654237 LVU654172:LVU654237 MFQ654172:MFQ654237 MPM654172:MPM654237 MZI654172:MZI654237 NJE654172:NJE654237 NTA654172:NTA654237 OCW654172:OCW654237 OMS654172:OMS654237 OWO654172:OWO654237 PGK654172:PGK654237 PQG654172:PQG654237 QAC654172:QAC654237 QJY654172:QJY654237 QTU654172:QTU654237 RDQ654172:RDQ654237 RNM654172:RNM654237 RXI654172:RXI654237 SHE654172:SHE654237 SRA654172:SRA654237 TAW654172:TAW654237 TKS654172:TKS654237 TUO654172:TUO654237 UEK654172:UEK654237 UOG654172:UOG654237 UYC654172:UYC654237 VHY654172:VHY654237 VRU654172:VRU654237 WBQ654172:WBQ654237 WLM654172:WLM654237 WVI654172:WVI654237 A719708:A719773 IW719708:IW719773 SS719708:SS719773 ACO719708:ACO719773 AMK719708:AMK719773 AWG719708:AWG719773 BGC719708:BGC719773 BPY719708:BPY719773 BZU719708:BZU719773 CJQ719708:CJQ719773 CTM719708:CTM719773 DDI719708:DDI719773 DNE719708:DNE719773 DXA719708:DXA719773 EGW719708:EGW719773 EQS719708:EQS719773 FAO719708:FAO719773 FKK719708:FKK719773 FUG719708:FUG719773 GEC719708:GEC719773 GNY719708:GNY719773 GXU719708:GXU719773 HHQ719708:HHQ719773 HRM719708:HRM719773 IBI719708:IBI719773 ILE719708:ILE719773 IVA719708:IVA719773 JEW719708:JEW719773 JOS719708:JOS719773 JYO719708:JYO719773 KIK719708:KIK719773 KSG719708:KSG719773 LCC719708:LCC719773 LLY719708:LLY719773 LVU719708:LVU719773 MFQ719708:MFQ719773 MPM719708:MPM719773 MZI719708:MZI719773 NJE719708:NJE719773 NTA719708:NTA719773 OCW719708:OCW719773 OMS719708:OMS719773 OWO719708:OWO719773 PGK719708:PGK719773 PQG719708:PQG719773 QAC719708:QAC719773 QJY719708:QJY719773 QTU719708:QTU719773 RDQ719708:RDQ719773 RNM719708:RNM719773 RXI719708:RXI719773 SHE719708:SHE719773 SRA719708:SRA719773 TAW719708:TAW719773 TKS719708:TKS719773 TUO719708:TUO719773 UEK719708:UEK719773 UOG719708:UOG719773 UYC719708:UYC719773 VHY719708:VHY719773 VRU719708:VRU719773 WBQ719708:WBQ719773 WLM719708:WLM719773 WVI719708:WVI719773 A785244:A785309 IW785244:IW785309 SS785244:SS785309 ACO785244:ACO785309 AMK785244:AMK785309 AWG785244:AWG785309 BGC785244:BGC785309 BPY785244:BPY785309 BZU785244:BZU785309 CJQ785244:CJQ785309 CTM785244:CTM785309 DDI785244:DDI785309 DNE785244:DNE785309 DXA785244:DXA785309 EGW785244:EGW785309 EQS785244:EQS785309 FAO785244:FAO785309 FKK785244:FKK785309 FUG785244:FUG785309 GEC785244:GEC785309 GNY785244:GNY785309 GXU785244:GXU785309 HHQ785244:HHQ785309 HRM785244:HRM785309 IBI785244:IBI785309 ILE785244:ILE785309 IVA785244:IVA785309 JEW785244:JEW785309 JOS785244:JOS785309 JYO785244:JYO785309 KIK785244:KIK785309 KSG785244:KSG785309 LCC785244:LCC785309 LLY785244:LLY785309 LVU785244:LVU785309 MFQ785244:MFQ785309 MPM785244:MPM785309 MZI785244:MZI785309 NJE785244:NJE785309 NTA785244:NTA785309 OCW785244:OCW785309 OMS785244:OMS785309 OWO785244:OWO785309 PGK785244:PGK785309 PQG785244:PQG785309 QAC785244:QAC785309 QJY785244:QJY785309 QTU785244:QTU785309 RDQ785244:RDQ785309 RNM785244:RNM785309 RXI785244:RXI785309 SHE785244:SHE785309 SRA785244:SRA785309 TAW785244:TAW785309 TKS785244:TKS785309 TUO785244:TUO785309 UEK785244:UEK785309 UOG785244:UOG785309 UYC785244:UYC785309 VHY785244:VHY785309 VRU785244:VRU785309 WBQ785244:WBQ785309 WLM785244:WLM785309 WVI785244:WVI785309 A850780:A850845 IW850780:IW850845 SS850780:SS850845 ACO850780:ACO850845 AMK850780:AMK850845 AWG850780:AWG850845 BGC850780:BGC850845 BPY850780:BPY850845 BZU850780:BZU850845 CJQ850780:CJQ850845 CTM850780:CTM850845 DDI850780:DDI850845 DNE850780:DNE850845 DXA850780:DXA850845 EGW850780:EGW850845 EQS850780:EQS850845 FAO850780:FAO850845 FKK850780:FKK850845 FUG850780:FUG850845 GEC850780:GEC850845 GNY850780:GNY850845 GXU850780:GXU850845 HHQ850780:HHQ850845 HRM850780:HRM850845 IBI850780:IBI850845 ILE850780:ILE850845 IVA850780:IVA850845 JEW850780:JEW850845 JOS850780:JOS850845 JYO850780:JYO850845 KIK850780:KIK850845 KSG850780:KSG850845 LCC850780:LCC850845 LLY850780:LLY850845 LVU850780:LVU850845 MFQ850780:MFQ850845 MPM850780:MPM850845 MZI850780:MZI850845 NJE850780:NJE850845 NTA850780:NTA850845 OCW850780:OCW850845 OMS850780:OMS850845 OWO850780:OWO850845 PGK850780:PGK850845 PQG850780:PQG850845 QAC850780:QAC850845 QJY850780:QJY850845 QTU850780:QTU850845 RDQ850780:RDQ850845 RNM850780:RNM850845 RXI850780:RXI850845 SHE850780:SHE850845 SRA850780:SRA850845 TAW850780:TAW850845 TKS850780:TKS850845 TUO850780:TUO850845 UEK850780:UEK850845 UOG850780:UOG850845 UYC850780:UYC850845 VHY850780:VHY850845 VRU850780:VRU850845 WBQ850780:WBQ850845 WLM850780:WLM850845 WVI850780:WVI850845 A916316:A916381 IW916316:IW916381 SS916316:SS916381 ACO916316:ACO916381 AMK916316:AMK916381 AWG916316:AWG916381 BGC916316:BGC916381 BPY916316:BPY916381 BZU916316:BZU916381 CJQ916316:CJQ916381 CTM916316:CTM916381 DDI916316:DDI916381 DNE916316:DNE916381 DXA916316:DXA916381 EGW916316:EGW916381 EQS916316:EQS916381 FAO916316:FAO916381 FKK916316:FKK916381 FUG916316:FUG916381 GEC916316:GEC916381 GNY916316:GNY916381 GXU916316:GXU916381 HHQ916316:HHQ916381 HRM916316:HRM916381 IBI916316:IBI916381 ILE916316:ILE916381 IVA916316:IVA916381 JEW916316:JEW916381 JOS916316:JOS916381 JYO916316:JYO916381 KIK916316:KIK916381 KSG916316:KSG916381 LCC916316:LCC916381 LLY916316:LLY916381 LVU916316:LVU916381 MFQ916316:MFQ916381 MPM916316:MPM916381 MZI916316:MZI916381 NJE916316:NJE916381 NTA916316:NTA916381 OCW916316:OCW916381 OMS916316:OMS916381 OWO916316:OWO916381 PGK916316:PGK916381 PQG916316:PQG916381 QAC916316:QAC916381 QJY916316:QJY916381 QTU916316:QTU916381 RDQ916316:RDQ916381 RNM916316:RNM916381 RXI916316:RXI916381 SHE916316:SHE916381 SRA916316:SRA916381 TAW916316:TAW916381 TKS916316:TKS916381 TUO916316:TUO916381 UEK916316:UEK916381 UOG916316:UOG916381 UYC916316:UYC916381 VHY916316:VHY916381 VRU916316:VRU916381 WBQ916316:WBQ916381 WLM916316:WLM916381 WVI916316:WVI916381 A981852:A981917 IW981852:IW981917 SS981852:SS981917 ACO981852:ACO981917 AMK981852:AMK981917 AWG981852:AWG981917 BGC981852:BGC981917 BPY981852:BPY981917 BZU981852:BZU981917 CJQ981852:CJQ981917 CTM981852:CTM981917 DDI981852:DDI981917 DNE981852:DNE981917 DXA981852:DXA981917 EGW981852:EGW981917 EQS981852:EQS981917 FAO981852:FAO981917 FKK981852:FKK981917 FUG981852:FUG981917 GEC981852:GEC981917 GNY981852:GNY981917 GXU981852:GXU981917 HHQ981852:HHQ981917 HRM981852:HRM981917 IBI981852:IBI981917 ILE981852:ILE981917 IVA981852:IVA981917 JEW981852:JEW981917 JOS981852:JOS981917 JYO981852:JYO981917 KIK981852:KIK981917 KSG981852:KSG981917 LCC981852:LCC981917 LLY981852:LLY981917 LVU981852:LVU981917 MFQ981852:MFQ981917 MPM981852:MPM981917 MZI981852:MZI981917 NJE981852:NJE981917 NTA981852:NTA981917 OCW981852:OCW981917 OMS981852:OMS981917 OWO981852:OWO981917 PGK981852:PGK981917 PQG981852:PQG981917 QAC981852:QAC981917 QJY981852:QJY981917 QTU981852:QTU981917 RDQ981852:RDQ981917 RNM981852:RNM981917 RXI981852:RXI981917 SHE981852:SHE981917 SRA981852:SRA981917 TAW981852:TAW981917 TKS981852:TKS981917 TUO981852:TUO981917 UEK981852:UEK981917 UOG981852:UOG981917 UYC981852:UYC981917 VHY981852:VHY981917 VRU981852:VRU981917 WBQ981852:WBQ981917 WLM981852:WLM981917 WVI981852:WVI981917 A1047388:A1047453 IW1047388:IW1047453 SS1047388:SS1047453 ACO1047388:ACO1047453 AMK1047388:AMK1047453 AWG1047388:AWG1047453 BGC1047388:BGC1047453 BPY1047388:BPY1047453 BZU1047388:BZU1047453 CJQ1047388:CJQ1047453 CTM1047388:CTM1047453 DDI1047388:DDI1047453 DNE1047388:DNE1047453 DXA1047388:DXA1047453 EGW1047388:EGW1047453 EQS1047388:EQS1047453 FAO1047388:FAO1047453 FKK1047388:FKK1047453 FUG1047388:FUG1047453 GEC1047388:GEC1047453 GNY1047388:GNY1047453 GXU1047388:GXU1047453 HHQ1047388:HHQ1047453 HRM1047388:HRM1047453 IBI1047388:IBI1047453 ILE1047388:ILE1047453 IVA1047388:IVA1047453 JEW1047388:JEW1047453 JOS1047388:JOS1047453 JYO1047388:JYO1047453 KIK1047388:KIK1047453 KSG1047388:KSG1047453 LCC1047388:LCC1047453 LLY1047388:LLY1047453 LVU1047388:LVU1047453 MFQ1047388:MFQ1047453 MPM1047388:MPM1047453 MZI1047388:MZI1047453 NJE1047388:NJE1047453 NTA1047388:NTA1047453 OCW1047388:OCW1047453 OMS1047388:OMS1047453 OWO1047388:OWO1047453 PGK1047388:PGK1047453 PQG1047388:PQG1047453 QAC1047388:QAC1047453 QJY1047388:QJY1047453 QTU1047388:QTU1047453 RDQ1047388:RDQ1047453 RNM1047388:RNM1047453 RXI1047388:RXI1047453 SHE1047388:SHE1047453 SRA1047388:SRA1047453 TAW1047388:TAW1047453 TKS1047388:TKS1047453 TUO1047388:TUO1047453 UEK1047388:UEK1047453 UOG1047388:UOG1047453 UYC1047388:UYC1047453 VHY1047388:VHY1047453 VRU1047388:VRU1047453 WBQ1047388:WBQ1047453 WLM1047388:WLM1047453 WVI1047388:WVI1047453 WVI983027:WVI983098 A65523:A65594 IW65523:IW65594 SS65523:SS65594 ACO65523:ACO65594 AMK65523:AMK65594 AWG65523:AWG65594 BGC65523:BGC65594 BPY65523:BPY65594 BZU65523:BZU65594 CJQ65523:CJQ65594 CTM65523:CTM65594 DDI65523:DDI65594 DNE65523:DNE65594 DXA65523:DXA65594 EGW65523:EGW65594 EQS65523:EQS65594 FAO65523:FAO65594 FKK65523:FKK65594 FUG65523:FUG65594 GEC65523:GEC65594 GNY65523:GNY65594 GXU65523:GXU65594 HHQ65523:HHQ65594 HRM65523:HRM65594 IBI65523:IBI65594 ILE65523:ILE65594 IVA65523:IVA65594 JEW65523:JEW65594 JOS65523:JOS65594 JYO65523:JYO65594 KIK65523:KIK65594 KSG65523:KSG65594 LCC65523:LCC65594 LLY65523:LLY65594 LVU65523:LVU65594 MFQ65523:MFQ65594 MPM65523:MPM65594 MZI65523:MZI65594 NJE65523:NJE65594 NTA65523:NTA65594 OCW65523:OCW65594 OMS65523:OMS65594 OWO65523:OWO65594 PGK65523:PGK65594 PQG65523:PQG65594 QAC65523:QAC65594 QJY65523:QJY65594 QTU65523:QTU65594 RDQ65523:RDQ65594 RNM65523:RNM65594 RXI65523:RXI65594 SHE65523:SHE65594 SRA65523:SRA65594 TAW65523:TAW65594 TKS65523:TKS65594 TUO65523:TUO65594 UEK65523:UEK65594 UOG65523:UOG65594 UYC65523:UYC65594 VHY65523:VHY65594 VRU65523:VRU65594 WBQ65523:WBQ65594 WLM65523:WLM65594 WVI65523:WVI65594 A131059:A131130 IW131059:IW131130 SS131059:SS131130 ACO131059:ACO131130 AMK131059:AMK131130 AWG131059:AWG131130 BGC131059:BGC131130 BPY131059:BPY131130 BZU131059:BZU131130 CJQ131059:CJQ131130 CTM131059:CTM131130 DDI131059:DDI131130 DNE131059:DNE131130 DXA131059:DXA131130 EGW131059:EGW131130 EQS131059:EQS131130 FAO131059:FAO131130 FKK131059:FKK131130 FUG131059:FUG131130 GEC131059:GEC131130 GNY131059:GNY131130 GXU131059:GXU131130 HHQ131059:HHQ131130 HRM131059:HRM131130 IBI131059:IBI131130 ILE131059:ILE131130 IVA131059:IVA131130 JEW131059:JEW131130 JOS131059:JOS131130 JYO131059:JYO131130 KIK131059:KIK131130 KSG131059:KSG131130 LCC131059:LCC131130 LLY131059:LLY131130 LVU131059:LVU131130 MFQ131059:MFQ131130 MPM131059:MPM131130 MZI131059:MZI131130 NJE131059:NJE131130 NTA131059:NTA131130 OCW131059:OCW131130 OMS131059:OMS131130 OWO131059:OWO131130 PGK131059:PGK131130 PQG131059:PQG131130 QAC131059:QAC131130 QJY131059:QJY131130 QTU131059:QTU131130 RDQ131059:RDQ131130 RNM131059:RNM131130 RXI131059:RXI131130 SHE131059:SHE131130 SRA131059:SRA131130 TAW131059:TAW131130 TKS131059:TKS131130 TUO131059:TUO131130 UEK131059:UEK131130 UOG131059:UOG131130 UYC131059:UYC131130 VHY131059:VHY131130 VRU131059:VRU131130 WBQ131059:WBQ131130 WLM131059:WLM131130 WVI131059:WVI131130 A196595:A196666 IW196595:IW196666 SS196595:SS196666 ACO196595:ACO196666 AMK196595:AMK196666 AWG196595:AWG196666 BGC196595:BGC196666 BPY196595:BPY196666 BZU196595:BZU196666 CJQ196595:CJQ196666 CTM196595:CTM196666 DDI196595:DDI196666 DNE196595:DNE196666 DXA196595:DXA196666 EGW196595:EGW196666 EQS196595:EQS196666 FAO196595:FAO196666 FKK196595:FKK196666 FUG196595:FUG196666 GEC196595:GEC196666 GNY196595:GNY196666 GXU196595:GXU196666 HHQ196595:HHQ196666 HRM196595:HRM196666 IBI196595:IBI196666 ILE196595:ILE196666 IVA196595:IVA196666 JEW196595:JEW196666 JOS196595:JOS196666 JYO196595:JYO196666 KIK196595:KIK196666 KSG196595:KSG196666 LCC196595:LCC196666 LLY196595:LLY196666 LVU196595:LVU196666 MFQ196595:MFQ196666 MPM196595:MPM196666 MZI196595:MZI196666 NJE196595:NJE196666 NTA196595:NTA196666 OCW196595:OCW196666 OMS196595:OMS196666 OWO196595:OWO196666 PGK196595:PGK196666 PQG196595:PQG196666 QAC196595:QAC196666 QJY196595:QJY196666 QTU196595:QTU196666 RDQ196595:RDQ196666 RNM196595:RNM196666 RXI196595:RXI196666 SHE196595:SHE196666 SRA196595:SRA196666 TAW196595:TAW196666 TKS196595:TKS196666 TUO196595:TUO196666 UEK196595:UEK196666 UOG196595:UOG196666 UYC196595:UYC196666 VHY196595:VHY196666 VRU196595:VRU196666 WBQ196595:WBQ196666 WLM196595:WLM196666 WVI196595:WVI196666 A262131:A262202 IW262131:IW262202 SS262131:SS262202 ACO262131:ACO262202 AMK262131:AMK262202 AWG262131:AWG262202 BGC262131:BGC262202 BPY262131:BPY262202 BZU262131:BZU262202 CJQ262131:CJQ262202 CTM262131:CTM262202 DDI262131:DDI262202 DNE262131:DNE262202 DXA262131:DXA262202 EGW262131:EGW262202 EQS262131:EQS262202 FAO262131:FAO262202 FKK262131:FKK262202 FUG262131:FUG262202 GEC262131:GEC262202 GNY262131:GNY262202 GXU262131:GXU262202 HHQ262131:HHQ262202 HRM262131:HRM262202 IBI262131:IBI262202 ILE262131:ILE262202 IVA262131:IVA262202 JEW262131:JEW262202 JOS262131:JOS262202 JYO262131:JYO262202 KIK262131:KIK262202 KSG262131:KSG262202 LCC262131:LCC262202 LLY262131:LLY262202 LVU262131:LVU262202 MFQ262131:MFQ262202 MPM262131:MPM262202 MZI262131:MZI262202 NJE262131:NJE262202 NTA262131:NTA262202 OCW262131:OCW262202 OMS262131:OMS262202 OWO262131:OWO262202 PGK262131:PGK262202 PQG262131:PQG262202 QAC262131:QAC262202 QJY262131:QJY262202 QTU262131:QTU262202 RDQ262131:RDQ262202 RNM262131:RNM262202 RXI262131:RXI262202 SHE262131:SHE262202 SRA262131:SRA262202 TAW262131:TAW262202 TKS262131:TKS262202 TUO262131:TUO262202 UEK262131:UEK262202 UOG262131:UOG262202 UYC262131:UYC262202 VHY262131:VHY262202 VRU262131:VRU262202 WBQ262131:WBQ262202 WLM262131:WLM262202 WVI262131:WVI262202 A327667:A327738 IW327667:IW327738 SS327667:SS327738 ACO327667:ACO327738 AMK327667:AMK327738 AWG327667:AWG327738 BGC327667:BGC327738 BPY327667:BPY327738 BZU327667:BZU327738 CJQ327667:CJQ327738 CTM327667:CTM327738 DDI327667:DDI327738 DNE327667:DNE327738 DXA327667:DXA327738 EGW327667:EGW327738 EQS327667:EQS327738 FAO327667:FAO327738 FKK327667:FKK327738 FUG327667:FUG327738 GEC327667:GEC327738 GNY327667:GNY327738 GXU327667:GXU327738 HHQ327667:HHQ327738 HRM327667:HRM327738 IBI327667:IBI327738 ILE327667:ILE327738 IVA327667:IVA327738 JEW327667:JEW327738 JOS327667:JOS327738 JYO327667:JYO327738 KIK327667:KIK327738 KSG327667:KSG327738 LCC327667:LCC327738 LLY327667:LLY327738 LVU327667:LVU327738 MFQ327667:MFQ327738 MPM327667:MPM327738 MZI327667:MZI327738 NJE327667:NJE327738 NTA327667:NTA327738 OCW327667:OCW327738 OMS327667:OMS327738 OWO327667:OWO327738 PGK327667:PGK327738 PQG327667:PQG327738 QAC327667:QAC327738 QJY327667:QJY327738 QTU327667:QTU327738 RDQ327667:RDQ327738 RNM327667:RNM327738 RXI327667:RXI327738 SHE327667:SHE327738 SRA327667:SRA327738 TAW327667:TAW327738 TKS327667:TKS327738 TUO327667:TUO327738 UEK327667:UEK327738 UOG327667:UOG327738 UYC327667:UYC327738 VHY327667:VHY327738 VRU327667:VRU327738 WBQ327667:WBQ327738 WLM327667:WLM327738 WVI327667:WVI327738 A393203:A393274 IW393203:IW393274 SS393203:SS393274 ACO393203:ACO393274 AMK393203:AMK393274 AWG393203:AWG393274 BGC393203:BGC393274 BPY393203:BPY393274 BZU393203:BZU393274 CJQ393203:CJQ393274 CTM393203:CTM393274 DDI393203:DDI393274 DNE393203:DNE393274 DXA393203:DXA393274 EGW393203:EGW393274 EQS393203:EQS393274 FAO393203:FAO393274 FKK393203:FKK393274 FUG393203:FUG393274 GEC393203:GEC393274 GNY393203:GNY393274 GXU393203:GXU393274 HHQ393203:HHQ393274 HRM393203:HRM393274 IBI393203:IBI393274 ILE393203:ILE393274 IVA393203:IVA393274 JEW393203:JEW393274 JOS393203:JOS393274 JYO393203:JYO393274 KIK393203:KIK393274 KSG393203:KSG393274 LCC393203:LCC393274 LLY393203:LLY393274 LVU393203:LVU393274 MFQ393203:MFQ393274 MPM393203:MPM393274 MZI393203:MZI393274 NJE393203:NJE393274 NTA393203:NTA393274 OCW393203:OCW393274 OMS393203:OMS393274 OWO393203:OWO393274 PGK393203:PGK393274 PQG393203:PQG393274 QAC393203:QAC393274 QJY393203:QJY393274 QTU393203:QTU393274 RDQ393203:RDQ393274 RNM393203:RNM393274 RXI393203:RXI393274 SHE393203:SHE393274 SRA393203:SRA393274 TAW393203:TAW393274 TKS393203:TKS393274 TUO393203:TUO393274 UEK393203:UEK393274 UOG393203:UOG393274 UYC393203:UYC393274 VHY393203:VHY393274 VRU393203:VRU393274 WBQ393203:WBQ393274 WLM393203:WLM393274 WVI393203:WVI393274 A458739:A458810 IW458739:IW458810 SS458739:SS458810 ACO458739:ACO458810 AMK458739:AMK458810 AWG458739:AWG458810 BGC458739:BGC458810 BPY458739:BPY458810 BZU458739:BZU458810 CJQ458739:CJQ458810 CTM458739:CTM458810 DDI458739:DDI458810 DNE458739:DNE458810 DXA458739:DXA458810 EGW458739:EGW458810 EQS458739:EQS458810 FAO458739:FAO458810 FKK458739:FKK458810 FUG458739:FUG458810 GEC458739:GEC458810 GNY458739:GNY458810 GXU458739:GXU458810 HHQ458739:HHQ458810 HRM458739:HRM458810 IBI458739:IBI458810 ILE458739:ILE458810 IVA458739:IVA458810 JEW458739:JEW458810 JOS458739:JOS458810 JYO458739:JYO458810 KIK458739:KIK458810 KSG458739:KSG458810 LCC458739:LCC458810 LLY458739:LLY458810 LVU458739:LVU458810 MFQ458739:MFQ458810 MPM458739:MPM458810 MZI458739:MZI458810 NJE458739:NJE458810 NTA458739:NTA458810 OCW458739:OCW458810 OMS458739:OMS458810 OWO458739:OWO458810 PGK458739:PGK458810 PQG458739:PQG458810 QAC458739:QAC458810 QJY458739:QJY458810 QTU458739:QTU458810 RDQ458739:RDQ458810 RNM458739:RNM458810 RXI458739:RXI458810 SHE458739:SHE458810 SRA458739:SRA458810 TAW458739:TAW458810 TKS458739:TKS458810 TUO458739:TUO458810 UEK458739:UEK458810 UOG458739:UOG458810 UYC458739:UYC458810 VHY458739:VHY458810 VRU458739:VRU458810 WBQ458739:WBQ458810 WLM458739:WLM458810 WVI458739:WVI458810 A524275:A524346 IW524275:IW524346 SS524275:SS524346 ACO524275:ACO524346 AMK524275:AMK524346 AWG524275:AWG524346 BGC524275:BGC524346 BPY524275:BPY524346 BZU524275:BZU524346 CJQ524275:CJQ524346 CTM524275:CTM524346 DDI524275:DDI524346 DNE524275:DNE524346 DXA524275:DXA524346 EGW524275:EGW524346 EQS524275:EQS524346 FAO524275:FAO524346 FKK524275:FKK524346 FUG524275:FUG524346 GEC524275:GEC524346 GNY524275:GNY524346 GXU524275:GXU524346 HHQ524275:HHQ524346 HRM524275:HRM524346 IBI524275:IBI524346 ILE524275:ILE524346 IVA524275:IVA524346 JEW524275:JEW524346 JOS524275:JOS524346 JYO524275:JYO524346 KIK524275:KIK524346 KSG524275:KSG524346 LCC524275:LCC524346 LLY524275:LLY524346 LVU524275:LVU524346 MFQ524275:MFQ524346 MPM524275:MPM524346 MZI524275:MZI524346 NJE524275:NJE524346 NTA524275:NTA524346 OCW524275:OCW524346 OMS524275:OMS524346 OWO524275:OWO524346 PGK524275:PGK524346 PQG524275:PQG524346 QAC524275:QAC524346 QJY524275:QJY524346 QTU524275:QTU524346 RDQ524275:RDQ524346 RNM524275:RNM524346 RXI524275:RXI524346 SHE524275:SHE524346 SRA524275:SRA524346 TAW524275:TAW524346 TKS524275:TKS524346 TUO524275:TUO524346 UEK524275:UEK524346 UOG524275:UOG524346 UYC524275:UYC524346 VHY524275:VHY524346 VRU524275:VRU524346 WBQ524275:WBQ524346 WLM524275:WLM524346 WVI524275:WVI524346 A589811:A589882 IW589811:IW589882 SS589811:SS589882 ACO589811:ACO589882 AMK589811:AMK589882 AWG589811:AWG589882 BGC589811:BGC589882 BPY589811:BPY589882 BZU589811:BZU589882 CJQ589811:CJQ589882 CTM589811:CTM589882 DDI589811:DDI589882 DNE589811:DNE589882 DXA589811:DXA589882 EGW589811:EGW589882 EQS589811:EQS589882 FAO589811:FAO589882 FKK589811:FKK589882 FUG589811:FUG589882 GEC589811:GEC589882 GNY589811:GNY589882 GXU589811:GXU589882 HHQ589811:HHQ589882 HRM589811:HRM589882 IBI589811:IBI589882 ILE589811:ILE589882 IVA589811:IVA589882 JEW589811:JEW589882 JOS589811:JOS589882 JYO589811:JYO589882 KIK589811:KIK589882 KSG589811:KSG589882 LCC589811:LCC589882 LLY589811:LLY589882 LVU589811:LVU589882 MFQ589811:MFQ589882 MPM589811:MPM589882 MZI589811:MZI589882 NJE589811:NJE589882 NTA589811:NTA589882 OCW589811:OCW589882 OMS589811:OMS589882 OWO589811:OWO589882 PGK589811:PGK589882 PQG589811:PQG589882 QAC589811:QAC589882 QJY589811:QJY589882 QTU589811:QTU589882 RDQ589811:RDQ589882 RNM589811:RNM589882 RXI589811:RXI589882 SHE589811:SHE589882 SRA589811:SRA589882 TAW589811:TAW589882 TKS589811:TKS589882 TUO589811:TUO589882 UEK589811:UEK589882 UOG589811:UOG589882 UYC589811:UYC589882 VHY589811:VHY589882 VRU589811:VRU589882 WBQ589811:WBQ589882 WLM589811:WLM589882 WVI589811:WVI589882 A655347:A655418 IW655347:IW655418 SS655347:SS655418 ACO655347:ACO655418 AMK655347:AMK655418 AWG655347:AWG655418 BGC655347:BGC655418 BPY655347:BPY655418 BZU655347:BZU655418 CJQ655347:CJQ655418 CTM655347:CTM655418 DDI655347:DDI655418 DNE655347:DNE655418 DXA655347:DXA655418 EGW655347:EGW655418 EQS655347:EQS655418 FAO655347:FAO655418 FKK655347:FKK655418 FUG655347:FUG655418 GEC655347:GEC655418 GNY655347:GNY655418 GXU655347:GXU655418 HHQ655347:HHQ655418 HRM655347:HRM655418 IBI655347:IBI655418 ILE655347:ILE655418 IVA655347:IVA655418 JEW655347:JEW655418 JOS655347:JOS655418 JYO655347:JYO655418 KIK655347:KIK655418 KSG655347:KSG655418 LCC655347:LCC655418 LLY655347:LLY655418 LVU655347:LVU655418 MFQ655347:MFQ655418 MPM655347:MPM655418 MZI655347:MZI655418 NJE655347:NJE655418 NTA655347:NTA655418 OCW655347:OCW655418 OMS655347:OMS655418 OWO655347:OWO655418 PGK655347:PGK655418 PQG655347:PQG655418 QAC655347:QAC655418 QJY655347:QJY655418 QTU655347:QTU655418 RDQ655347:RDQ655418 RNM655347:RNM655418 RXI655347:RXI655418 SHE655347:SHE655418 SRA655347:SRA655418 TAW655347:TAW655418 TKS655347:TKS655418 TUO655347:TUO655418 UEK655347:UEK655418 UOG655347:UOG655418 UYC655347:UYC655418 VHY655347:VHY655418 VRU655347:VRU655418 WBQ655347:WBQ655418 WLM655347:WLM655418 WVI655347:WVI655418 A720883:A720954 IW720883:IW720954 SS720883:SS720954 ACO720883:ACO720954 AMK720883:AMK720954 AWG720883:AWG720954 BGC720883:BGC720954 BPY720883:BPY720954 BZU720883:BZU720954 CJQ720883:CJQ720954 CTM720883:CTM720954 DDI720883:DDI720954 DNE720883:DNE720954 DXA720883:DXA720954 EGW720883:EGW720954 EQS720883:EQS720954 FAO720883:FAO720954 FKK720883:FKK720954 FUG720883:FUG720954 GEC720883:GEC720954 GNY720883:GNY720954 GXU720883:GXU720954 HHQ720883:HHQ720954 HRM720883:HRM720954 IBI720883:IBI720954 ILE720883:ILE720954 IVA720883:IVA720954 JEW720883:JEW720954 JOS720883:JOS720954 JYO720883:JYO720954 KIK720883:KIK720954 KSG720883:KSG720954 LCC720883:LCC720954 LLY720883:LLY720954 LVU720883:LVU720954 MFQ720883:MFQ720954 MPM720883:MPM720954 MZI720883:MZI720954 NJE720883:NJE720954 NTA720883:NTA720954 OCW720883:OCW720954 OMS720883:OMS720954 OWO720883:OWO720954 PGK720883:PGK720954 PQG720883:PQG720954 QAC720883:QAC720954 QJY720883:QJY720954 QTU720883:QTU720954 RDQ720883:RDQ720954 RNM720883:RNM720954 RXI720883:RXI720954 SHE720883:SHE720954 SRA720883:SRA720954 TAW720883:TAW720954 TKS720883:TKS720954 TUO720883:TUO720954 UEK720883:UEK720954 UOG720883:UOG720954 UYC720883:UYC720954 VHY720883:VHY720954 VRU720883:VRU720954 WBQ720883:WBQ720954 WLM720883:WLM720954 WVI720883:WVI720954 A786419:A786490 IW786419:IW786490 SS786419:SS786490 ACO786419:ACO786490 AMK786419:AMK786490 AWG786419:AWG786490 BGC786419:BGC786490 BPY786419:BPY786490 BZU786419:BZU786490 CJQ786419:CJQ786490 CTM786419:CTM786490 DDI786419:DDI786490 DNE786419:DNE786490 DXA786419:DXA786490 EGW786419:EGW786490 EQS786419:EQS786490 FAO786419:FAO786490 FKK786419:FKK786490 FUG786419:FUG786490 GEC786419:GEC786490 GNY786419:GNY786490 GXU786419:GXU786490 HHQ786419:HHQ786490 HRM786419:HRM786490 IBI786419:IBI786490 ILE786419:ILE786490 IVA786419:IVA786490 JEW786419:JEW786490 JOS786419:JOS786490 JYO786419:JYO786490 KIK786419:KIK786490 KSG786419:KSG786490 LCC786419:LCC786490 LLY786419:LLY786490 LVU786419:LVU786490 MFQ786419:MFQ786490 MPM786419:MPM786490 MZI786419:MZI786490 NJE786419:NJE786490 NTA786419:NTA786490 OCW786419:OCW786490 OMS786419:OMS786490 OWO786419:OWO786490 PGK786419:PGK786490 PQG786419:PQG786490 QAC786419:QAC786490 QJY786419:QJY786490 QTU786419:QTU786490 RDQ786419:RDQ786490 RNM786419:RNM786490 RXI786419:RXI786490 SHE786419:SHE786490 SRA786419:SRA786490 TAW786419:TAW786490 TKS786419:TKS786490 TUO786419:TUO786490 UEK786419:UEK786490 UOG786419:UOG786490 UYC786419:UYC786490 VHY786419:VHY786490 VRU786419:VRU786490 WBQ786419:WBQ786490 WLM786419:WLM786490 WVI786419:WVI786490 A851955:A852026 IW851955:IW852026 SS851955:SS852026 ACO851955:ACO852026 AMK851955:AMK852026 AWG851955:AWG852026 BGC851955:BGC852026 BPY851955:BPY852026 BZU851955:BZU852026 CJQ851955:CJQ852026 CTM851955:CTM852026 DDI851955:DDI852026 DNE851955:DNE852026 DXA851955:DXA852026 EGW851955:EGW852026 EQS851955:EQS852026 FAO851955:FAO852026 FKK851955:FKK852026 FUG851955:FUG852026 GEC851955:GEC852026 GNY851955:GNY852026 GXU851955:GXU852026 HHQ851955:HHQ852026 HRM851955:HRM852026 IBI851955:IBI852026 ILE851955:ILE852026 IVA851955:IVA852026 JEW851955:JEW852026 JOS851955:JOS852026 JYO851955:JYO852026 KIK851955:KIK852026 KSG851955:KSG852026 LCC851955:LCC852026 LLY851955:LLY852026 LVU851955:LVU852026 MFQ851955:MFQ852026 MPM851955:MPM852026 MZI851955:MZI852026 NJE851955:NJE852026 NTA851955:NTA852026 OCW851955:OCW852026 OMS851955:OMS852026 OWO851955:OWO852026 PGK851955:PGK852026 PQG851955:PQG852026 QAC851955:QAC852026 QJY851955:QJY852026 QTU851955:QTU852026 RDQ851955:RDQ852026 RNM851955:RNM852026 RXI851955:RXI852026 SHE851955:SHE852026 SRA851955:SRA852026 TAW851955:TAW852026 TKS851955:TKS852026 TUO851955:TUO852026 UEK851955:UEK852026 UOG851955:UOG852026 UYC851955:UYC852026 VHY851955:VHY852026 VRU851955:VRU852026 WBQ851955:WBQ852026 WLM851955:WLM852026 WVI851955:WVI852026 A917491:A917562 IW917491:IW917562 SS917491:SS917562 ACO917491:ACO917562 AMK917491:AMK917562 AWG917491:AWG917562 BGC917491:BGC917562 BPY917491:BPY917562 BZU917491:BZU917562 CJQ917491:CJQ917562 CTM917491:CTM917562 DDI917491:DDI917562 DNE917491:DNE917562 DXA917491:DXA917562 EGW917491:EGW917562 EQS917491:EQS917562 FAO917491:FAO917562 FKK917491:FKK917562 FUG917491:FUG917562 GEC917491:GEC917562 GNY917491:GNY917562 GXU917491:GXU917562 HHQ917491:HHQ917562 HRM917491:HRM917562 IBI917491:IBI917562 ILE917491:ILE917562 IVA917491:IVA917562 JEW917491:JEW917562 JOS917491:JOS917562 JYO917491:JYO917562 KIK917491:KIK917562 KSG917491:KSG917562 LCC917491:LCC917562 LLY917491:LLY917562 LVU917491:LVU917562 MFQ917491:MFQ917562 MPM917491:MPM917562 MZI917491:MZI917562 NJE917491:NJE917562 NTA917491:NTA917562 OCW917491:OCW917562 OMS917491:OMS917562 OWO917491:OWO917562 PGK917491:PGK917562 PQG917491:PQG917562 QAC917491:QAC917562 QJY917491:QJY917562 QTU917491:QTU917562 RDQ917491:RDQ917562 RNM917491:RNM917562 RXI917491:RXI917562 SHE917491:SHE917562 SRA917491:SRA917562 TAW917491:TAW917562 TKS917491:TKS917562 TUO917491:TUO917562 UEK917491:UEK917562 UOG917491:UOG917562 UYC917491:UYC917562 VHY917491:VHY917562 VRU917491:VRU917562 WBQ917491:WBQ917562 WLM917491:WLM917562 WVI917491:WVI917562 A983027:A983098 IW983027:IW983098 SS983027:SS983098 ACO983027:ACO983098 AMK983027:AMK983098 AWG983027:AWG983098 BGC983027:BGC983098 BPY983027:BPY983098 BZU983027:BZU983098 CJQ983027:CJQ983098 CTM983027:CTM983098 DDI983027:DDI983098 DNE983027:DNE983098 DXA983027:DXA983098 EGW983027:EGW983098 EQS983027:EQS983098 FAO983027:FAO983098 FKK983027:FKK983098 FUG983027:FUG983098 GEC983027:GEC983098 GNY983027:GNY983098 GXU983027:GXU983098 HHQ983027:HHQ983098 HRM983027:HRM983098 IBI983027:IBI983098 ILE983027:ILE983098 IVA983027:IVA983098 JEW983027:JEW983098 JOS983027:JOS983098 JYO983027:JYO983098 KIK983027:KIK983098 KSG983027:KSG983098 LCC983027:LCC983098 LLY983027:LLY983098 LVU983027:LVU983098 MFQ983027:MFQ983098 MPM983027:MPM983098 MZI983027:MZI983098 NJE983027:NJE983098 NTA983027:NTA983098 OCW983027:OCW983098 OMS983027:OMS983098 OWO983027:OWO983098 PGK983027:PGK983098 PQG983027:PQG983098 QAC983027:QAC983098 QJY983027:QJY983098 QTU983027:QTU983098 RDQ983027:RDQ983098 RNM983027:RNM983098 RXI983027:RXI983098 SHE983027:SHE983098 SRA983027:SRA983098 TAW983027:TAW983098 TKS983027:TKS983098 TUO983027:TUO983098 UEK983027:UEK983098 UOG983027:UOG983098 UYC983027:UYC983098 VHY983027:VHY983098 VRU983027:VRU983098 WBQ983027:WBQ983098 WLM983027:WLM983098 A2:A485 IW2:IW72 WVI2:WVI72 WLM2:WLM72 WBQ2:WBQ72 VRU2:VRU72 VHY2:VHY72 UYC2:UYC72 UOG2:UOG72 UEK2:UEK72 TUO2:TUO72 TKS2:TKS72 TAW2:TAW72 SRA2:SRA72 SHE2:SHE72 RXI2:RXI72 RNM2:RNM72 RDQ2:RDQ72 QTU2:QTU72 QJY2:QJY72 QAC2:QAC72 PQG2:PQG72 PGK2:PGK72 OWO2:OWO72 OMS2:OMS72 OCW2:OCW72 NTA2:NTA72 NJE2:NJE72 MZI2:MZI72 MPM2:MPM72 MFQ2:MFQ72 LVU2:LVU72 LLY2:LLY72 LCC2:LCC72 KSG2:KSG72 KIK2:KIK72 JYO2:JYO72 JOS2:JOS72 JEW2:JEW72 IVA2:IVA72 ILE2:ILE72 IBI2:IBI72 HRM2:HRM72 HHQ2:HHQ72 GXU2:GXU72 GNY2:GNY72 GEC2:GEC72 FUG2:FUG72 FKK2:FKK72 FAO2:FAO72 EQS2:EQS72 EGW2:EGW72 DXA2:DXA72 DNE2:DNE72 DDI2:DDI72 CTM2:CTM72 CJQ2:CJQ72 BZU2:BZU72 BPY2:BPY72 BGC2:BGC72 AWG2:AWG72 AMK2:AMK72 ACO2:ACO72 SS2:SS72" xr:uid="{DB788440-C861-4992-BF6D-086AA0B74130}">
      <formula1>$AE$2:$AE$19</formula1>
    </dataValidation>
    <dataValidation type="list" allowBlank="1" showInputMessage="1" showErrorMessage="1" sqref="X64348:X64413 JT64348:JT64413 TP64348:TP64413 ADL64348:ADL64413 ANH64348:ANH64413 AXD64348:AXD64413 BGZ64348:BGZ64413 BQV64348:BQV64413 CAR64348:CAR64413 CKN64348:CKN64413 CUJ64348:CUJ64413 DEF64348:DEF64413 DOB64348:DOB64413 DXX64348:DXX64413 EHT64348:EHT64413 ERP64348:ERP64413 FBL64348:FBL64413 FLH64348:FLH64413 FVD64348:FVD64413 GEZ64348:GEZ64413 GOV64348:GOV64413 GYR64348:GYR64413 HIN64348:HIN64413 HSJ64348:HSJ64413 ICF64348:ICF64413 IMB64348:IMB64413 IVX64348:IVX64413 JFT64348:JFT64413 JPP64348:JPP64413 JZL64348:JZL64413 KJH64348:KJH64413 KTD64348:KTD64413 LCZ64348:LCZ64413 LMV64348:LMV64413 LWR64348:LWR64413 MGN64348:MGN64413 MQJ64348:MQJ64413 NAF64348:NAF64413 NKB64348:NKB64413 NTX64348:NTX64413 ODT64348:ODT64413 ONP64348:ONP64413 OXL64348:OXL64413 PHH64348:PHH64413 PRD64348:PRD64413 QAZ64348:QAZ64413 QKV64348:QKV64413 QUR64348:QUR64413 REN64348:REN64413 ROJ64348:ROJ64413 RYF64348:RYF64413 SIB64348:SIB64413 SRX64348:SRX64413 TBT64348:TBT64413 TLP64348:TLP64413 TVL64348:TVL64413 UFH64348:UFH64413 UPD64348:UPD64413 UYZ64348:UYZ64413 VIV64348:VIV64413 VSR64348:VSR64413 WCN64348:WCN64413 WMJ64348:WMJ64413 WWF64348:WWF64413 X129884:X129949 JT129884:JT129949 TP129884:TP129949 ADL129884:ADL129949 ANH129884:ANH129949 AXD129884:AXD129949 BGZ129884:BGZ129949 BQV129884:BQV129949 CAR129884:CAR129949 CKN129884:CKN129949 CUJ129884:CUJ129949 DEF129884:DEF129949 DOB129884:DOB129949 DXX129884:DXX129949 EHT129884:EHT129949 ERP129884:ERP129949 FBL129884:FBL129949 FLH129884:FLH129949 FVD129884:FVD129949 GEZ129884:GEZ129949 GOV129884:GOV129949 GYR129884:GYR129949 HIN129884:HIN129949 HSJ129884:HSJ129949 ICF129884:ICF129949 IMB129884:IMB129949 IVX129884:IVX129949 JFT129884:JFT129949 JPP129884:JPP129949 JZL129884:JZL129949 KJH129884:KJH129949 KTD129884:KTD129949 LCZ129884:LCZ129949 LMV129884:LMV129949 LWR129884:LWR129949 MGN129884:MGN129949 MQJ129884:MQJ129949 NAF129884:NAF129949 NKB129884:NKB129949 NTX129884:NTX129949 ODT129884:ODT129949 ONP129884:ONP129949 OXL129884:OXL129949 PHH129884:PHH129949 PRD129884:PRD129949 QAZ129884:QAZ129949 QKV129884:QKV129949 QUR129884:QUR129949 REN129884:REN129949 ROJ129884:ROJ129949 RYF129884:RYF129949 SIB129884:SIB129949 SRX129884:SRX129949 TBT129884:TBT129949 TLP129884:TLP129949 TVL129884:TVL129949 UFH129884:UFH129949 UPD129884:UPD129949 UYZ129884:UYZ129949 VIV129884:VIV129949 VSR129884:VSR129949 WCN129884:WCN129949 WMJ129884:WMJ129949 WWF129884:WWF129949 X195420:X195485 JT195420:JT195485 TP195420:TP195485 ADL195420:ADL195485 ANH195420:ANH195485 AXD195420:AXD195485 BGZ195420:BGZ195485 BQV195420:BQV195485 CAR195420:CAR195485 CKN195420:CKN195485 CUJ195420:CUJ195485 DEF195420:DEF195485 DOB195420:DOB195485 DXX195420:DXX195485 EHT195420:EHT195485 ERP195420:ERP195485 FBL195420:FBL195485 FLH195420:FLH195485 FVD195420:FVD195485 GEZ195420:GEZ195485 GOV195420:GOV195485 GYR195420:GYR195485 HIN195420:HIN195485 HSJ195420:HSJ195485 ICF195420:ICF195485 IMB195420:IMB195485 IVX195420:IVX195485 JFT195420:JFT195485 JPP195420:JPP195485 JZL195420:JZL195485 KJH195420:KJH195485 KTD195420:KTD195485 LCZ195420:LCZ195485 LMV195420:LMV195485 LWR195420:LWR195485 MGN195420:MGN195485 MQJ195420:MQJ195485 NAF195420:NAF195485 NKB195420:NKB195485 NTX195420:NTX195485 ODT195420:ODT195485 ONP195420:ONP195485 OXL195420:OXL195485 PHH195420:PHH195485 PRD195420:PRD195485 QAZ195420:QAZ195485 QKV195420:QKV195485 QUR195420:QUR195485 REN195420:REN195485 ROJ195420:ROJ195485 RYF195420:RYF195485 SIB195420:SIB195485 SRX195420:SRX195485 TBT195420:TBT195485 TLP195420:TLP195485 TVL195420:TVL195485 UFH195420:UFH195485 UPD195420:UPD195485 UYZ195420:UYZ195485 VIV195420:VIV195485 VSR195420:VSR195485 WCN195420:WCN195485 WMJ195420:WMJ195485 WWF195420:WWF195485 X260956:X261021 JT260956:JT261021 TP260956:TP261021 ADL260956:ADL261021 ANH260956:ANH261021 AXD260956:AXD261021 BGZ260956:BGZ261021 BQV260956:BQV261021 CAR260956:CAR261021 CKN260956:CKN261021 CUJ260956:CUJ261021 DEF260956:DEF261021 DOB260956:DOB261021 DXX260956:DXX261021 EHT260956:EHT261021 ERP260956:ERP261021 FBL260956:FBL261021 FLH260956:FLH261021 FVD260956:FVD261021 GEZ260956:GEZ261021 GOV260956:GOV261021 GYR260956:GYR261021 HIN260956:HIN261021 HSJ260956:HSJ261021 ICF260956:ICF261021 IMB260956:IMB261021 IVX260956:IVX261021 JFT260956:JFT261021 JPP260956:JPP261021 JZL260956:JZL261021 KJH260956:KJH261021 KTD260956:KTD261021 LCZ260956:LCZ261021 LMV260956:LMV261021 LWR260956:LWR261021 MGN260956:MGN261021 MQJ260956:MQJ261021 NAF260956:NAF261021 NKB260956:NKB261021 NTX260956:NTX261021 ODT260956:ODT261021 ONP260956:ONP261021 OXL260956:OXL261021 PHH260956:PHH261021 PRD260956:PRD261021 QAZ260956:QAZ261021 QKV260956:QKV261021 QUR260956:QUR261021 REN260956:REN261021 ROJ260956:ROJ261021 RYF260956:RYF261021 SIB260956:SIB261021 SRX260956:SRX261021 TBT260956:TBT261021 TLP260956:TLP261021 TVL260956:TVL261021 UFH260956:UFH261021 UPD260956:UPD261021 UYZ260956:UYZ261021 VIV260956:VIV261021 VSR260956:VSR261021 WCN260956:WCN261021 WMJ260956:WMJ261021 WWF260956:WWF261021 X326492:X326557 JT326492:JT326557 TP326492:TP326557 ADL326492:ADL326557 ANH326492:ANH326557 AXD326492:AXD326557 BGZ326492:BGZ326557 BQV326492:BQV326557 CAR326492:CAR326557 CKN326492:CKN326557 CUJ326492:CUJ326557 DEF326492:DEF326557 DOB326492:DOB326557 DXX326492:DXX326557 EHT326492:EHT326557 ERP326492:ERP326557 FBL326492:FBL326557 FLH326492:FLH326557 FVD326492:FVD326557 GEZ326492:GEZ326557 GOV326492:GOV326557 GYR326492:GYR326557 HIN326492:HIN326557 HSJ326492:HSJ326557 ICF326492:ICF326557 IMB326492:IMB326557 IVX326492:IVX326557 JFT326492:JFT326557 JPP326492:JPP326557 JZL326492:JZL326557 KJH326492:KJH326557 KTD326492:KTD326557 LCZ326492:LCZ326557 LMV326492:LMV326557 LWR326492:LWR326557 MGN326492:MGN326557 MQJ326492:MQJ326557 NAF326492:NAF326557 NKB326492:NKB326557 NTX326492:NTX326557 ODT326492:ODT326557 ONP326492:ONP326557 OXL326492:OXL326557 PHH326492:PHH326557 PRD326492:PRD326557 QAZ326492:QAZ326557 QKV326492:QKV326557 QUR326492:QUR326557 REN326492:REN326557 ROJ326492:ROJ326557 RYF326492:RYF326557 SIB326492:SIB326557 SRX326492:SRX326557 TBT326492:TBT326557 TLP326492:TLP326557 TVL326492:TVL326557 UFH326492:UFH326557 UPD326492:UPD326557 UYZ326492:UYZ326557 VIV326492:VIV326557 VSR326492:VSR326557 WCN326492:WCN326557 WMJ326492:WMJ326557 WWF326492:WWF326557 X392028:X392093 JT392028:JT392093 TP392028:TP392093 ADL392028:ADL392093 ANH392028:ANH392093 AXD392028:AXD392093 BGZ392028:BGZ392093 BQV392028:BQV392093 CAR392028:CAR392093 CKN392028:CKN392093 CUJ392028:CUJ392093 DEF392028:DEF392093 DOB392028:DOB392093 DXX392028:DXX392093 EHT392028:EHT392093 ERP392028:ERP392093 FBL392028:FBL392093 FLH392028:FLH392093 FVD392028:FVD392093 GEZ392028:GEZ392093 GOV392028:GOV392093 GYR392028:GYR392093 HIN392028:HIN392093 HSJ392028:HSJ392093 ICF392028:ICF392093 IMB392028:IMB392093 IVX392028:IVX392093 JFT392028:JFT392093 JPP392028:JPP392093 JZL392028:JZL392093 KJH392028:KJH392093 KTD392028:KTD392093 LCZ392028:LCZ392093 LMV392028:LMV392093 LWR392028:LWR392093 MGN392028:MGN392093 MQJ392028:MQJ392093 NAF392028:NAF392093 NKB392028:NKB392093 NTX392028:NTX392093 ODT392028:ODT392093 ONP392028:ONP392093 OXL392028:OXL392093 PHH392028:PHH392093 PRD392028:PRD392093 QAZ392028:QAZ392093 QKV392028:QKV392093 QUR392028:QUR392093 REN392028:REN392093 ROJ392028:ROJ392093 RYF392028:RYF392093 SIB392028:SIB392093 SRX392028:SRX392093 TBT392028:TBT392093 TLP392028:TLP392093 TVL392028:TVL392093 UFH392028:UFH392093 UPD392028:UPD392093 UYZ392028:UYZ392093 VIV392028:VIV392093 VSR392028:VSR392093 WCN392028:WCN392093 WMJ392028:WMJ392093 WWF392028:WWF392093 X457564:X457629 JT457564:JT457629 TP457564:TP457629 ADL457564:ADL457629 ANH457564:ANH457629 AXD457564:AXD457629 BGZ457564:BGZ457629 BQV457564:BQV457629 CAR457564:CAR457629 CKN457564:CKN457629 CUJ457564:CUJ457629 DEF457564:DEF457629 DOB457564:DOB457629 DXX457564:DXX457629 EHT457564:EHT457629 ERP457564:ERP457629 FBL457564:FBL457629 FLH457564:FLH457629 FVD457564:FVD457629 GEZ457564:GEZ457629 GOV457564:GOV457629 GYR457564:GYR457629 HIN457564:HIN457629 HSJ457564:HSJ457629 ICF457564:ICF457629 IMB457564:IMB457629 IVX457564:IVX457629 JFT457564:JFT457629 JPP457564:JPP457629 JZL457564:JZL457629 KJH457564:KJH457629 KTD457564:KTD457629 LCZ457564:LCZ457629 LMV457564:LMV457629 LWR457564:LWR457629 MGN457564:MGN457629 MQJ457564:MQJ457629 NAF457564:NAF457629 NKB457564:NKB457629 NTX457564:NTX457629 ODT457564:ODT457629 ONP457564:ONP457629 OXL457564:OXL457629 PHH457564:PHH457629 PRD457564:PRD457629 QAZ457564:QAZ457629 QKV457564:QKV457629 QUR457564:QUR457629 REN457564:REN457629 ROJ457564:ROJ457629 RYF457564:RYF457629 SIB457564:SIB457629 SRX457564:SRX457629 TBT457564:TBT457629 TLP457564:TLP457629 TVL457564:TVL457629 UFH457564:UFH457629 UPD457564:UPD457629 UYZ457564:UYZ457629 VIV457564:VIV457629 VSR457564:VSR457629 WCN457564:WCN457629 WMJ457564:WMJ457629 WWF457564:WWF457629 X523100:X523165 JT523100:JT523165 TP523100:TP523165 ADL523100:ADL523165 ANH523100:ANH523165 AXD523100:AXD523165 BGZ523100:BGZ523165 BQV523100:BQV523165 CAR523100:CAR523165 CKN523100:CKN523165 CUJ523100:CUJ523165 DEF523100:DEF523165 DOB523100:DOB523165 DXX523100:DXX523165 EHT523100:EHT523165 ERP523100:ERP523165 FBL523100:FBL523165 FLH523100:FLH523165 FVD523100:FVD523165 GEZ523100:GEZ523165 GOV523100:GOV523165 GYR523100:GYR523165 HIN523100:HIN523165 HSJ523100:HSJ523165 ICF523100:ICF523165 IMB523100:IMB523165 IVX523100:IVX523165 JFT523100:JFT523165 JPP523100:JPP523165 JZL523100:JZL523165 KJH523100:KJH523165 KTD523100:KTD523165 LCZ523100:LCZ523165 LMV523100:LMV523165 LWR523100:LWR523165 MGN523100:MGN523165 MQJ523100:MQJ523165 NAF523100:NAF523165 NKB523100:NKB523165 NTX523100:NTX523165 ODT523100:ODT523165 ONP523100:ONP523165 OXL523100:OXL523165 PHH523100:PHH523165 PRD523100:PRD523165 QAZ523100:QAZ523165 QKV523100:QKV523165 QUR523100:QUR523165 REN523100:REN523165 ROJ523100:ROJ523165 RYF523100:RYF523165 SIB523100:SIB523165 SRX523100:SRX523165 TBT523100:TBT523165 TLP523100:TLP523165 TVL523100:TVL523165 UFH523100:UFH523165 UPD523100:UPD523165 UYZ523100:UYZ523165 VIV523100:VIV523165 VSR523100:VSR523165 WCN523100:WCN523165 WMJ523100:WMJ523165 WWF523100:WWF523165 X588636:X588701 JT588636:JT588701 TP588636:TP588701 ADL588636:ADL588701 ANH588636:ANH588701 AXD588636:AXD588701 BGZ588636:BGZ588701 BQV588636:BQV588701 CAR588636:CAR588701 CKN588636:CKN588701 CUJ588636:CUJ588701 DEF588636:DEF588701 DOB588636:DOB588701 DXX588636:DXX588701 EHT588636:EHT588701 ERP588636:ERP588701 FBL588636:FBL588701 FLH588636:FLH588701 FVD588636:FVD588701 GEZ588636:GEZ588701 GOV588636:GOV588701 GYR588636:GYR588701 HIN588636:HIN588701 HSJ588636:HSJ588701 ICF588636:ICF588701 IMB588636:IMB588701 IVX588636:IVX588701 JFT588636:JFT588701 JPP588636:JPP588701 JZL588636:JZL588701 KJH588636:KJH588701 KTD588636:KTD588701 LCZ588636:LCZ588701 LMV588636:LMV588701 LWR588636:LWR588701 MGN588636:MGN588701 MQJ588636:MQJ588701 NAF588636:NAF588701 NKB588636:NKB588701 NTX588636:NTX588701 ODT588636:ODT588701 ONP588636:ONP588701 OXL588636:OXL588701 PHH588636:PHH588701 PRD588636:PRD588701 QAZ588636:QAZ588701 QKV588636:QKV588701 QUR588636:QUR588701 REN588636:REN588701 ROJ588636:ROJ588701 RYF588636:RYF588701 SIB588636:SIB588701 SRX588636:SRX588701 TBT588636:TBT588701 TLP588636:TLP588701 TVL588636:TVL588701 UFH588636:UFH588701 UPD588636:UPD588701 UYZ588636:UYZ588701 VIV588636:VIV588701 VSR588636:VSR588701 WCN588636:WCN588701 WMJ588636:WMJ588701 WWF588636:WWF588701 X654172:X654237 JT654172:JT654237 TP654172:TP654237 ADL654172:ADL654237 ANH654172:ANH654237 AXD654172:AXD654237 BGZ654172:BGZ654237 BQV654172:BQV654237 CAR654172:CAR654237 CKN654172:CKN654237 CUJ654172:CUJ654237 DEF654172:DEF654237 DOB654172:DOB654237 DXX654172:DXX654237 EHT654172:EHT654237 ERP654172:ERP654237 FBL654172:FBL654237 FLH654172:FLH654237 FVD654172:FVD654237 GEZ654172:GEZ654237 GOV654172:GOV654237 GYR654172:GYR654237 HIN654172:HIN654237 HSJ654172:HSJ654237 ICF654172:ICF654237 IMB654172:IMB654237 IVX654172:IVX654237 JFT654172:JFT654237 JPP654172:JPP654237 JZL654172:JZL654237 KJH654172:KJH654237 KTD654172:KTD654237 LCZ654172:LCZ654237 LMV654172:LMV654237 LWR654172:LWR654237 MGN654172:MGN654237 MQJ654172:MQJ654237 NAF654172:NAF654237 NKB654172:NKB654237 NTX654172:NTX654237 ODT654172:ODT654237 ONP654172:ONP654237 OXL654172:OXL654237 PHH654172:PHH654237 PRD654172:PRD654237 QAZ654172:QAZ654237 QKV654172:QKV654237 QUR654172:QUR654237 REN654172:REN654237 ROJ654172:ROJ654237 RYF654172:RYF654237 SIB654172:SIB654237 SRX654172:SRX654237 TBT654172:TBT654237 TLP654172:TLP654237 TVL654172:TVL654237 UFH654172:UFH654237 UPD654172:UPD654237 UYZ654172:UYZ654237 VIV654172:VIV654237 VSR654172:VSR654237 WCN654172:WCN654237 WMJ654172:WMJ654237 WWF654172:WWF654237 X719708:X719773 JT719708:JT719773 TP719708:TP719773 ADL719708:ADL719773 ANH719708:ANH719773 AXD719708:AXD719773 BGZ719708:BGZ719773 BQV719708:BQV719773 CAR719708:CAR719773 CKN719708:CKN719773 CUJ719708:CUJ719773 DEF719708:DEF719773 DOB719708:DOB719773 DXX719708:DXX719773 EHT719708:EHT719773 ERP719708:ERP719773 FBL719708:FBL719773 FLH719708:FLH719773 FVD719708:FVD719773 GEZ719708:GEZ719773 GOV719708:GOV719773 GYR719708:GYR719773 HIN719708:HIN719773 HSJ719708:HSJ719773 ICF719708:ICF719773 IMB719708:IMB719773 IVX719708:IVX719773 JFT719708:JFT719773 JPP719708:JPP719773 JZL719708:JZL719773 KJH719708:KJH719773 KTD719708:KTD719773 LCZ719708:LCZ719773 LMV719708:LMV719773 LWR719708:LWR719773 MGN719708:MGN719773 MQJ719708:MQJ719773 NAF719708:NAF719773 NKB719708:NKB719773 NTX719708:NTX719773 ODT719708:ODT719773 ONP719708:ONP719773 OXL719708:OXL719773 PHH719708:PHH719773 PRD719708:PRD719773 QAZ719708:QAZ719773 QKV719708:QKV719773 QUR719708:QUR719773 REN719708:REN719773 ROJ719708:ROJ719773 RYF719708:RYF719773 SIB719708:SIB719773 SRX719708:SRX719773 TBT719708:TBT719773 TLP719708:TLP719773 TVL719708:TVL719773 UFH719708:UFH719773 UPD719708:UPD719773 UYZ719708:UYZ719773 VIV719708:VIV719773 VSR719708:VSR719773 WCN719708:WCN719773 WMJ719708:WMJ719773 WWF719708:WWF719773 X785244:X785309 JT785244:JT785309 TP785244:TP785309 ADL785244:ADL785309 ANH785244:ANH785309 AXD785244:AXD785309 BGZ785244:BGZ785309 BQV785244:BQV785309 CAR785244:CAR785309 CKN785244:CKN785309 CUJ785244:CUJ785309 DEF785244:DEF785309 DOB785244:DOB785309 DXX785244:DXX785309 EHT785244:EHT785309 ERP785244:ERP785309 FBL785244:FBL785309 FLH785244:FLH785309 FVD785244:FVD785309 GEZ785244:GEZ785309 GOV785244:GOV785309 GYR785244:GYR785309 HIN785244:HIN785309 HSJ785244:HSJ785309 ICF785244:ICF785309 IMB785244:IMB785309 IVX785244:IVX785309 JFT785244:JFT785309 JPP785244:JPP785309 JZL785244:JZL785309 KJH785244:KJH785309 KTD785244:KTD785309 LCZ785244:LCZ785309 LMV785244:LMV785309 LWR785244:LWR785309 MGN785244:MGN785309 MQJ785244:MQJ785309 NAF785244:NAF785309 NKB785244:NKB785309 NTX785244:NTX785309 ODT785244:ODT785309 ONP785244:ONP785309 OXL785244:OXL785309 PHH785244:PHH785309 PRD785244:PRD785309 QAZ785244:QAZ785309 QKV785244:QKV785309 QUR785244:QUR785309 REN785244:REN785309 ROJ785244:ROJ785309 RYF785244:RYF785309 SIB785244:SIB785309 SRX785244:SRX785309 TBT785244:TBT785309 TLP785244:TLP785309 TVL785244:TVL785309 UFH785244:UFH785309 UPD785244:UPD785309 UYZ785244:UYZ785309 VIV785244:VIV785309 VSR785244:VSR785309 WCN785244:WCN785309 WMJ785244:WMJ785309 WWF785244:WWF785309 X850780:X850845 JT850780:JT850845 TP850780:TP850845 ADL850780:ADL850845 ANH850780:ANH850845 AXD850780:AXD850845 BGZ850780:BGZ850845 BQV850780:BQV850845 CAR850780:CAR850845 CKN850780:CKN850845 CUJ850780:CUJ850845 DEF850780:DEF850845 DOB850780:DOB850845 DXX850780:DXX850845 EHT850780:EHT850845 ERP850780:ERP850845 FBL850780:FBL850845 FLH850780:FLH850845 FVD850780:FVD850845 GEZ850780:GEZ850845 GOV850780:GOV850845 GYR850780:GYR850845 HIN850780:HIN850845 HSJ850780:HSJ850845 ICF850780:ICF850845 IMB850780:IMB850845 IVX850780:IVX850845 JFT850780:JFT850845 JPP850780:JPP850845 JZL850780:JZL850845 KJH850780:KJH850845 KTD850780:KTD850845 LCZ850780:LCZ850845 LMV850780:LMV850845 LWR850780:LWR850845 MGN850780:MGN850845 MQJ850780:MQJ850845 NAF850780:NAF850845 NKB850780:NKB850845 NTX850780:NTX850845 ODT850780:ODT850845 ONP850780:ONP850845 OXL850780:OXL850845 PHH850780:PHH850845 PRD850780:PRD850845 QAZ850780:QAZ850845 QKV850780:QKV850845 QUR850780:QUR850845 REN850780:REN850845 ROJ850780:ROJ850845 RYF850780:RYF850845 SIB850780:SIB850845 SRX850780:SRX850845 TBT850780:TBT850845 TLP850780:TLP850845 TVL850780:TVL850845 UFH850780:UFH850845 UPD850780:UPD850845 UYZ850780:UYZ850845 VIV850780:VIV850845 VSR850780:VSR850845 WCN850780:WCN850845 WMJ850780:WMJ850845 WWF850780:WWF850845 X916316:X916381 JT916316:JT916381 TP916316:TP916381 ADL916316:ADL916381 ANH916316:ANH916381 AXD916316:AXD916381 BGZ916316:BGZ916381 BQV916316:BQV916381 CAR916316:CAR916381 CKN916316:CKN916381 CUJ916316:CUJ916381 DEF916316:DEF916381 DOB916316:DOB916381 DXX916316:DXX916381 EHT916316:EHT916381 ERP916316:ERP916381 FBL916316:FBL916381 FLH916316:FLH916381 FVD916316:FVD916381 GEZ916316:GEZ916381 GOV916316:GOV916381 GYR916316:GYR916381 HIN916316:HIN916381 HSJ916316:HSJ916381 ICF916316:ICF916381 IMB916316:IMB916381 IVX916316:IVX916381 JFT916316:JFT916381 JPP916316:JPP916381 JZL916316:JZL916381 KJH916316:KJH916381 KTD916316:KTD916381 LCZ916316:LCZ916381 LMV916316:LMV916381 LWR916316:LWR916381 MGN916316:MGN916381 MQJ916316:MQJ916381 NAF916316:NAF916381 NKB916316:NKB916381 NTX916316:NTX916381 ODT916316:ODT916381 ONP916316:ONP916381 OXL916316:OXL916381 PHH916316:PHH916381 PRD916316:PRD916381 QAZ916316:QAZ916381 QKV916316:QKV916381 QUR916316:QUR916381 REN916316:REN916381 ROJ916316:ROJ916381 RYF916316:RYF916381 SIB916316:SIB916381 SRX916316:SRX916381 TBT916316:TBT916381 TLP916316:TLP916381 TVL916316:TVL916381 UFH916316:UFH916381 UPD916316:UPD916381 UYZ916316:UYZ916381 VIV916316:VIV916381 VSR916316:VSR916381 WCN916316:WCN916381 WMJ916316:WMJ916381 WWF916316:WWF916381 X981852:X981917 JT981852:JT981917 TP981852:TP981917 ADL981852:ADL981917 ANH981852:ANH981917 AXD981852:AXD981917 BGZ981852:BGZ981917 BQV981852:BQV981917 CAR981852:CAR981917 CKN981852:CKN981917 CUJ981852:CUJ981917 DEF981852:DEF981917 DOB981852:DOB981917 DXX981852:DXX981917 EHT981852:EHT981917 ERP981852:ERP981917 FBL981852:FBL981917 FLH981852:FLH981917 FVD981852:FVD981917 GEZ981852:GEZ981917 GOV981852:GOV981917 GYR981852:GYR981917 HIN981852:HIN981917 HSJ981852:HSJ981917 ICF981852:ICF981917 IMB981852:IMB981917 IVX981852:IVX981917 JFT981852:JFT981917 JPP981852:JPP981917 JZL981852:JZL981917 KJH981852:KJH981917 KTD981852:KTD981917 LCZ981852:LCZ981917 LMV981852:LMV981917 LWR981852:LWR981917 MGN981852:MGN981917 MQJ981852:MQJ981917 NAF981852:NAF981917 NKB981852:NKB981917 NTX981852:NTX981917 ODT981852:ODT981917 ONP981852:ONP981917 OXL981852:OXL981917 PHH981852:PHH981917 PRD981852:PRD981917 QAZ981852:QAZ981917 QKV981852:QKV981917 QUR981852:QUR981917 REN981852:REN981917 ROJ981852:ROJ981917 RYF981852:RYF981917 SIB981852:SIB981917 SRX981852:SRX981917 TBT981852:TBT981917 TLP981852:TLP981917 TVL981852:TVL981917 UFH981852:UFH981917 UPD981852:UPD981917 UYZ981852:UYZ981917 VIV981852:VIV981917 VSR981852:VSR981917 WCN981852:WCN981917 WMJ981852:WMJ981917 WWF981852:WWF981917 X1047388:X1047453 JT1047388:JT1047453 TP1047388:TP1047453 ADL1047388:ADL1047453 ANH1047388:ANH1047453 AXD1047388:AXD1047453 BGZ1047388:BGZ1047453 BQV1047388:BQV1047453 CAR1047388:CAR1047453 CKN1047388:CKN1047453 CUJ1047388:CUJ1047453 DEF1047388:DEF1047453 DOB1047388:DOB1047453 DXX1047388:DXX1047453 EHT1047388:EHT1047453 ERP1047388:ERP1047453 FBL1047388:FBL1047453 FLH1047388:FLH1047453 FVD1047388:FVD1047453 GEZ1047388:GEZ1047453 GOV1047388:GOV1047453 GYR1047388:GYR1047453 HIN1047388:HIN1047453 HSJ1047388:HSJ1047453 ICF1047388:ICF1047453 IMB1047388:IMB1047453 IVX1047388:IVX1047453 JFT1047388:JFT1047453 JPP1047388:JPP1047453 JZL1047388:JZL1047453 KJH1047388:KJH1047453 KTD1047388:KTD1047453 LCZ1047388:LCZ1047453 LMV1047388:LMV1047453 LWR1047388:LWR1047453 MGN1047388:MGN1047453 MQJ1047388:MQJ1047453 NAF1047388:NAF1047453 NKB1047388:NKB1047453 NTX1047388:NTX1047453 ODT1047388:ODT1047453 ONP1047388:ONP1047453 OXL1047388:OXL1047453 PHH1047388:PHH1047453 PRD1047388:PRD1047453 QAZ1047388:QAZ1047453 QKV1047388:QKV1047453 QUR1047388:QUR1047453 REN1047388:REN1047453 ROJ1047388:ROJ1047453 RYF1047388:RYF1047453 SIB1047388:SIB1047453 SRX1047388:SRX1047453 TBT1047388:TBT1047453 TLP1047388:TLP1047453 TVL1047388:TVL1047453 UFH1047388:UFH1047453 UPD1047388:UPD1047453 UYZ1047388:UYZ1047453 VIV1047388:VIV1047453 VSR1047388:VSR1047453 WCN1047388:WCN1047453 WMJ1047388:WMJ1047453 WWF1047388:WWF1047453 WWF983027:WWF983092 X65523:X65588 JT65523:JT65588 TP65523:TP65588 ADL65523:ADL65588 ANH65523:ANH65588 AXD65523:AXD65588 BGZ65523:BGZ65588 BQV65523:BQV65588 CAR65523:CAR65588 CKN65523:CKN65588 CUJ65523:CUJ65588 DEF65523:DEF65588 DOB65523:DOB65588 DXX65523:DXX65588 EHT65523:EHT65588 ERP65523:ERP65588 FBL65523:FBL65588 FLH65523:FLH65588 FVD65523:FVD65588 GEZ65523:GEZ65588 GOV65523:GOV65588 GYR65523:GYR65588 HIN65523:HIN65588 HSJ65523:HSJ65588 ICF65523:ICF65588 IMB65523:IMB65588 IVX65523:IVX65588 JFT65523:JFT65588 JPP65523:JPP65588 JZL65523:JZL65588 KJH65523:KJH65588 KTD65523:KTD65588 LCZ65523:LCZ65588 LMV65523:LMV65588 LWR65523:LWR65588 MGN65523:MGN65588 MQJ65523:MQJ65588 NAF65523:NAF65588 NKB65523:NKB65588 NTX65523:NTX65588 ODT65523:ODT65588 ONP65523:ONP65588 OXL65523:OXL65588 PHH65523:PHH65588 PRD65523:PRD65588 QAZ65523:QAZ65588 QKV65523:QKV65588 QUR65523:QUR65588 REN65523:REN65588 ROJ65523:ROJ65588 RYF65523:RYF65588 SIB65523:SIB65588 SRX65523:SRX65588 TBT65523:TBT65588 TLP65523:TLP65588 TVL65523:TVL65588 UFH65523:UFH65588 UPD65523:UPD65588 UYZ65523:UYZ65588 VIV65523:VIV65588 VSR65523:VSR65588 WCN65523:WCN65588 WMJ65523:WMJ65588 WWF65523:WWF65588 X131059:X131124 JT131059:JT131124 TP131059:TP131124 ADL131059:ADL131124 ANH131059:ANH131124 AXD131059:AXD131124 BGZ131059:BGZ131124 BQV131059:BQV131124 CAR131059:CAR131124 CKN131059:CKN131124 CUJ131059:CUJ131124 DEF131059:DEF131124 DOB131059:DOB131124 DXX131059:DXX131124 EHT131059:EHT131124 ERP131059:ERP131124 FBL131059:FBL131124 FLH131059:FLH131124 FVD131059:FVD131124 GEZ131059:GEZ131124 GOV131059:GOV131124 GYR131059:GYR131124 HIN131059:HIN131124 HSJ131059:HSJ131124 ICF131059:ICF131124 IMB131059:IMB131124 IVX131059:IVX131124 JFT131059:JFT131124 JPP131059:JPP131124 JZL131059:JZL131124 KJH131059:KJH131124 KTD131059:KTD131124 LCZ131059:LCZ131124 LMV131059:LMV131124 LWR131059:LWR131124 MGN131059:MGN131124 MQJ131059:MQJ131124 NAF131059:NAF131124 NKB131059:NKB131124 NTX131059:NTX131124 ODT131059:ODT131124 ONP131059:ONP131124 OXL131059:OXL131124 PHH131059:PHH131124 PRD131059:PRD131124 QAZ131059:QAZ131124 QKV131059:QKV131124 QUR131059:QUR131124 REN131059:REN131124 ROJ131059:ROJ131124 RYF131059:RYF131124 SIB131059:SIB131124 SRX131059:SRX131124 TBT131059:TBT131124 TLP131059:TLP131124 TVL131059:TVL131124 UFH131059:UFH131124 UPD131059:UPD131124 UYZ131059:UYZ131124 VIV131059:VIV131124 VSR131059:VSR131124 WCN131059:WCN131124 WMJ131059:WMJ131124 WWF131059:WWF131124 X196595:X196660 JT196595:JT196660 TP196595:TP196660 ADL196595:ADL196660 ANH196595:ANH196660 AXD196595:AXD196660 BGZ196595:BGZ196660 BQV196595:BQV196660 CAR196595:CAR196660 CKN196595:CKN196660 CUJ196595:CUJ196660 DEF196595:DEF196660 DOB196595:DOB196660 DXX196595:DXX196660 EHT196595:EHT196660 ERP196595:ERP196660 FBL196595:FBL196660 FLH196595:FLH196660 FVD196595:FVD196660 GEZ196595:GEZ196660 GOV196595:GOV196660 GYR196595:GYR196660 HIN196595:HIN196660 HSJ196595:HSJ196660 ICF196595:ICF196660 IMB196595:IMB196660 IVX196595:IVX196660 JFT196595:JFT196660 JPP196595:JPP196660 JZL196595:JZL196660 KJH196595:KJH196660 KTD196595:KTD196660 LCZ196595:LCZ196660 LMV196595:LMV196660 LWR196595:LWR196660 MGN196595:MGN196660 MQJ196595:MQJ196660 NAF196595:NAF196660 NKB196595:NKB196660 NTX196595:NTX196660 ODT196595:ODT196660 ONP196595:ONP196660 OXL196595:OXL196660 PHH196595:PHH196660 PRD196595:PRD196660 QAZ196595:QAZ196660 QKV196595:QKV196660 QUR196595:QUR196660 REN196595:REN196660 ROJ196595:ROJ196660 RYF196595:RYF196660 SIB196595:SIB196660 SRX196595:SRX196660 TBT196595:TBT196660 TLP196595:TLP196660 TVL196595:TVL196660 UFH196595:UFH196660 UPD196595:UPD196660 UYZ196595:UYZ196660 VIV196595:VIV196660 VSR196595:VSR196660 WCN196595:WCN196660 WMJ196595:WMJ196660 WWF196595:WWF196660 X262131:X262196 JT262131:JT262196 TP262131:TP262196 ADL262131:ADL262196 ANH262131:ANH262196 AXD262131:AXD262196 BGZ262131:BGZ262196 BQV262131:BQV262196 CAR262131:CAR262196 CKN262131:CKN262196 CUJ262131:CUJ262196 DEF262131:DEF262196 DOB262131:DOB262196 DXX262131:DXX262196 EHT262131:EHT262196 ERP262131:ERP262196 FBL262131:FBL262196 FLH262131:FLH262196 FVD262131:FVD262196 GEZ262131:GEZ262196 GOV262131:GOV262196 GYR262131:GYR262196 HIN262131:HIN262196 HSJ262131:HSJ262196 ICF262131:ICF262196 IMB262131:IMB262196 IVX262131:IVX262196 JFT262131:JFT262196 JPP262131:JPP262196 JZL262131:JZL262196 KJH262131:KJH262196 KTD262131:KTD262196 LCZ262131:LCZ262196 LMV262131:LMV262196 LWR262131:LWR262196 MGN262131:MGN262196 MQJ262131:MQJ262196 NAF262131:NAF262196 NKB262131:NKB262196 NTX262131:NTX262196 ODT262131:ODT262196 ONP262131:ONP262196 OXL262131:OXL262196 PHH262131:PHH262196 PRD262131:PRD262196 QAZ262131:QAZ262196 QKV262131:QKV262196 QUR262131:QUR262196 REN262131:REN262196 ROJ262131:ROJ262196 RYF262131:RYF262196 SIB262131:SIB262196 SRX262131:SRX262196 TBT262131:TBT262196 TLP262131:TLP262196 TVL262131:TVL262196 UFH262131:UFH262196 UPD262131:UPD262196 UYZ262131:UYZ262196 VIV262131:VIV262196 VSR262131:VSR262196 WCN262131:WCN262196 WMJ262131:WMJ262196 WWF262131:WWF262196 X327667:X327732 JT327667:JT327732 TP327667:TP327732 ADL327667:ADL327732 ANH327667:ANH327732 AXD327667:AXD327732 BGZ327667:BGZ327732 BQV327667:BQV327732 CAR327667:CAR327732 CKN327667:CKN327732 CUJ327667:CUJ327732 DEF327667:DEF327732 DOB327667:DOB327732 DXX327667:DXX327732 EHT327667:EHT327732 ERP327667:ERP327732 FBL327667:FBL327732 FLH327667:FLH327732 FVD327667:FVD327732 GEZ327667:GEZ327732 GOV327667:GOV327732 GYR327667:GYR327732 HIN327667:HIN327732 HSJ327667:HSJ327732 ICF327667:ICF327732 IMB327667:IMB327732 IVX327667:IVX327732 JFT327667:JFT327732 JPP327667:JPP327732 JZL327667:JZL327732 KJH327667:KJH327732 KTD327667:KTD327732 LCZ327667:LCZ327732 LMV327667:LMV327732 LWR327667:LWR327732 MGN327667:MGN327732 MQJ327667:MQJ327732 NAF327667:NAF327732 NKB327667:NKB327732 NTX327667:NTX327732 ODT327667:ODT327732 ONP327667:ONP327732 OXL327667:OXL327732 PHH327667:PHH327732 PRD327667:PRD327732 QAZ327667:QAZ327732 QKV327667:QKV327732 QUR327667:QUR327732 REN327667:REN327732 ROJ327667:ROJ327732 RYF327667:RYF327732 SIB327667:SIB327732 SRX327667:SRX327732 TBT327667:TBT327732 TLP327667:TLP327732 TVL327667:TVL327732 UFH327667:UFH327732 UPD327667:UPD327732 UYZ327667:UYZ327732 VIV327667:VIV327732 VSR327667:VSR327732 WCN327667:WCN327732 WMJ327667:WMJ327732 WWF327667:WWF327732 X393203:X393268 JT393203:JT393268 TP393203:TP393268 ADL393203:ADL393268 ANH393203:ANH393268 AXD393203:AXD393268 BGZ393203:BGZ393268 BQV393203:BQV393268 CAR393203:CAR393268 CKN393203:CKN393268 CUJ393203:CUJ393268 DEF393203:DEF393268 DOB393203:DOB393268 DXX393203:DXX393268 EHT393203:EHT393268 ERP393203:ERP393268 FBL393203:FBL393268 FLH393203:FLH393268 FVD393203:FVD393268 GEZ393203:GEZ393268 GOV393203:GOV393268 GYR393203:GYR393268 HIN393203:HIN393268 HSJ393203:HSJ393268 ICF393203:ICF393268 IMB393203:IMB393268 IVX393203:IVX393268 JFT393203:JFT393268 JPP393203:JPP393268 JZL393203:JZL393268 KJH393203:KJH393268 KTD393203:KTD393268 LCZ393203:LCZ393268 LMV393203:LMV393268 LWR393203:LWR393268 MGN393203:MGN393268 MQJ393203:MQJ393268 NAF393203:NAF393268 NKB393203:NKB393268 NTX393203:NTX393268 ODT393203:ODT393268 ONP393203:ONP393268 OXL393203:OXL393268 PHH393203:PHH393268 PRD393203:PRD393268 QAZ393203:QAZ393268 QKV393203:QKV393268 QUR393203:QUR393268 REN393203:REN393268 ROJ393203:ROJ393268 RYF393203:RYF393268 SIB393203:SIB393268 SRX393203:SRX393268 TBT393203:TBT393268 TLP393203:TLP393268 TVL393203:TVL393268 UFH393203:UFH393268 UPD393203:UPD393268 UYZ393203:UYZ393268 VIV393203:VIV393268 VSR393203:VSR393268 WCN393203:WCN393268 WMJ393203:WMJ393268 WWF393203:WWF393268 X458739:X458804 JT458739:JT458804 TP458739:TP458804 ADL458739:ADL458804 ANH458739:ANH458804 AXD458739:AXD458804 BGZ458739:BGZ458804 BQV458739:BQV458804 CAR458739:CAR458804 CKN458739:CKN458804 CUJ458739:CUJ458804 DEF458739:DEF458804 DOB458739:DOB458804 DXX458739:DXX458804 EHT458739:EHT458804 ERP458739:ERP458804 FBL458739:FBL458804 FLH458739:FLH458804 FVD458739:FVD458804 GEZ458739:GEZ458804 GOV458739:GOV458804 GYR458739:GYR458804 HIN458739:HIN458804 HSJ458739:HSJ458804 ICF458739:ICF458804 IMB458739:IMB458804 IVX458739:IVX458804 JFT458739:JFT458804 JPP458739:JPP458804 JZL458739:JZL458804 KJH458739:KJH458804 KTD458739:KTD458804 LCZ458739:LCZ458804 LMV458739:LMV458804 LWR458739:LWR458804 MGN458739:MGN458804 MQJ458739:MQJ458804 NAF458739:NAF458804 NKB458739:NKB458804 NTX458739:NTX458804 ODT458739:ODT458804 ONP458739:ONP458804 OXL458739:OXL458804 PHH458739:PHH458804 PRD458739:PRD458804 QAZ458739:QAZ458804 QKV458739:QKV458804 QUR458739:QUR458804 REN458739:REN458804 ROJ458739:ROJ458804 RYF458739:RYF458804 SIB458739:SIB458804 SRX458739:SRX458804 TBT458739:TBT458804 TLP458739:TLP458804 TVL458739:TVL458804 UFH458739:UFH458804 UPD458739:UPD458804 UYZ458739:UYZ458804 VIV458739:VIV458804 VSR458739:VSR458804 WCN458739:WCN458804 WMJ458739:WMJ458804 WWF458739:WWF458804 X524275:X524340 JT524275:JT524340 TP524275:TP524340 ADL524275:ADL524340 ANH524275:ANH524340 AXD524275:AXD524340 BGZ524275:BGZ524340 BQV524275:BQV524340 CAR524275:CAR524340 CKN524275:CKN524340 CUJ524275:CUJ524340 DEF524275:DEF524340 DOB524275:DOB524340 DXX524275:DXX524340 EHT524275:EHT524340 ERP524275:ERP524340 FBL524275:FBL524340 FLH524275:FLH524340 FVD524275:FVD524340 GEZ524275:GEZ524340 GOV524275:GOV524340 GYR524275:GYR524340 HIN524275:HIN524340 HSJ524275:HSJ524340 ICF524275:ICF524340 IMB524275:IMB524340 IVX524275:IVX524340 JFT524275:JFT524340 JPP524275:JPP524340 JZL524275:JZL524340 KJH524275:KJH524340 KTD524275:KTD524340 LCZ524275:LCZ524340 LMV524275:LMV524340 LWR524275:LWR524340 MGN524275:MGN524340 MQJ524275:MQJ524340 NAF524275:NAF524340 NKB524275:NKB524340 NTX524275:NTX524340 ODT524275:ODT524340 ONP524275:ONP524340 OXL524275:OXL524340 PHH524275:PHH524340 PRD524275:PRD524340 QAZ524275:QAZ524340 QKV524275:QKV524340 QUR524275:QUR524340 REN524275:REN524340 ROJ524275:ROJ524340 RYF524275:RYF524340 SIB524275:SIB524340 SRX524275:SRX524340 TBT524275:TBT524340 TLP524275:TLP524340 TVL524275:TVL524340 UFH524275:UFH524340 UPD524275:UPD524340 UYZ524275:UYZ524340 VIV524275:VIV524340 VSR524275:VSR524340 WCN524275:WCN524340 WMJ524275:WMJ524340 WWF524275:WWF524340 X589811:X589876 JT589811:JT589876 TP589811:TP589876 ADL589811:ADL589876 ANH589811:ANH589876 AXD589811:AXD589876 BGZ589811:BGZ589876 BQV589811:BQV589876 CAR589811:CAR589876 CKN589811:CKN589876 CUJ589811:CUJ589876 DEF589811:DEF589876 DOB589811:DOB589876 DXX589811:DXX589876 EHT589811:EHT589876 ERP589811:ERP589876 FBL589811:FBL589876 FLH589811:FLH589876 FVD589811:FVD589876 GEZ589811:GEZ589876 GOV589811:GOV589876 GYR589811:GYR589876 HIN589811:HIN589876 HSJ589811:HSJ589876 ICF589811:ICF589876 IMB589811:IMB589876 IVX589811:IVX589876 JFT589811:JFT589876 JPP589811:JPP589876 JZL589811:JZL589876 KJH589811:KJH589876 KTD589811:KTD589876 LCZ589811:LCZ589876 LMV589811:LMV589876 LWR589811:LWR589876 MGN589811:MGN589876 MQJ589811:MQJ589876 NAF589811:NAF589876 NKB589811:NKB589876 NTX589811:NTX589876 ODT589811:ODT589876 ONP589811:ONP589876 OXL589811:OXL589876 PHH589811:PHH589876 PRD589811:PRD589876 QAZ589811:QAZ589876 QKV589811:QKV589876 QUR589811:QUR589876 REN589811:REN589876 ROJ589811:ROJ589876 RYF589811:RYF589876 SIB589811:SIB589876 SRX589811:SRX589876 TBT589811:TBT589876 TLP589811:TLP589876 TVL589811:TVL589876 UFH589811:UFH589876 UPD589811:UPD589876 UYZ589811:UYZ589876 VIV589811:VIV589876 VSR589811:VSR589876 WCN589811:WCN589876 WMJ589811:WMJ589876 WWF589811:WWF589876 X655347:X655412 JT655347:JT655412 TP655347:TP655412 ADL655347:ADL655412 ANH655347:ANH655412 AXD655347:AXD655412 BGZ655347:BGZ655412 BQV655347:BQV655412 CAR655347:CAR655412 CKN655347:CKN655412 CUJ655347:CUJ655412 DEF655347:DEF655412 DOB655347:DOB655412 DXX655347:DXX655412 EHT655347:EHT655412 ERP655347:ERP655412 FBL655347:FBL655412 FLH655347:FLH655412 FVD655347:FVD655412 GEZ655347:GEZ655412 GOV655347:GOV655412 GYR655347:GYR655412 HIN655347:HIN655412 HSJ655347:HSJ655412 ICF655347:ICF655412 IMB655347:IMB655412 IVX655347:IVX655412 JFT655347:JFT655412 JPP655347:JPP655412 JZL655347:JZL655412 KJH655347:KJH655412 KTD655347:KTD655412 LCZ655347:LCZ655412 LMV655347:LMV655412 LWR655347:LWR655412 MGN655347:MGN655412 MQJ655347:MQJ655412 NAF655347:NAF655412 NKB655347:NKB655412 NTX655347:NTX655412 ODT655347:ODT655412 ONP655347:ONP655412 OXL655347:OXL655412 PHH655347:PHH655412 PRD655347:PRD655412 QAZ655347:QAZ655412 QKV655347:QKV655412 QUR655347:QUR655412 REN655347:REN655412 ROJ655347:ROJ655412 RYF655347:RYF655412 SIB655347:SIB655412 SRX655347:SRX655412 TBT655347:TBT655412 TLP655347:TLP655412 TVL655347:TVL655412 UFH655347:UFH655412 UPD655347:UPD655412 UYZ655347:UYZ655412 VIV655347:VIV655412 VSR655347:VSR655412 WCN655347:WCN655412 WMJ655347:WMJ655412 WWF655347:WWF655412 X720883:X720948 JT720883:JT720948 TP720883:TP720948 ADL720883:ADL720948 ANH720883:ANH720948 AXD720883:AXD720948 BGZ720883:BGZ720948 BQV720883:BQV720948 CAR720883:CAR720948 CKN720883:CKN720948 CUJ720883:CUJ720948 DEF720883:DEF720948 DOB720883:DOB720948 DXX720883:DXX720948 EHT720883:EHT720948 ERP720883:ERP720948 FBL720883:FBL720948 FLH720883:FLH720948 FVD720883:FVD720948 GEZ720883:GEZ720948 GOV720883:GOV720948 GYR720883:GYR720948 HIN720883:HIN720948 HSJ720883:HSJ720948 ICF720883:ICF720948 IMB720883:IMB720948 IVX720883:IVX720948 JFT720883:JFT720948 JPP720883:JPP720948 JZL720883:JZL720948 KJH720883:KJH720948 KTD720883:KTD720948 LCZ720883:LCZ720948 LMV720883:LMV720948 LWR720883:LWR720948 MGN720883:MGN720948 MQJ720883:MQJ720948 NAF720883:NAF720948 NKB720883:NKB720948 NTX720883:NTX720948 ODT720883:ODT720948 ONP720883:ONP720948 OXL720883:OXL720948 PHH720883:PHH720948 PRD720883:PRD720948 QAZ720883:QAZ720948 QKV720883:QKV720948 QUR720883:QUR720948 REN720883:REN720948 ROJ720883:ROJ720948 RYF720883:RYF720948 SIB720883:SIB720948 SRX720883:SRX720948 TBT720883:TBT720948 TLP720883:TLP720948 TVL720883:TVL720948 UFH720883:UFH720948 UPD720883:UPD720948 UYZ720883:UYZ720948 VIV720883:VIV720948 VSR720883:VSR720948 WCN720883:WCN720948 WMJ720883:WMJ720948 WWF720883:WWF720948 X786419:X786484 JT786419:JT786484 TP786419:TP786484 ADL786419:ADL786484 ANH786419:ANH786484 AXD786419:AXD786484 BGZ786419:BGZ786484 BQV786419:BQV786484 CAR786419:CAR786484 CKN786419:CKN786484 CUJ786419:CUJ786484 DEF786419:DEF786484 DOB786419:DOB786484 DXX786419:DXX786484 EHT786419:EHT786484 ERP786419:ERP786484 FBL786419:FBL786484 FLH786419:FLH786484 FVD786419:FVD786484 GEZ786419:GEZ786484 GOV786419:GOV786484 GYR786419:GYR786484 HIN786419:HIN786484 HSJ786419:HSJ786484 ICF786419:ICF786484 IMB786419:IMB786484 IVX786419:IVX786484 JFT786419:JFT786484 JPP786419:JPP786484 JZL786419:JZL786484 KJH786419:KJH786484 KTD786419:KTD786484 LCZ786419:LCZ786484 LMV786419:LMV786484 LWR786419:LWR786484 MGN786419:MGN786484 MQJ786419:MQJ786484 NAF786419:NAF786484 NKB786419:NKB786484 NTX786419:NTX786484 ODT786419:ODT786484 ONP786419:ONP786484 OXL786419:OXL786484 PHH786419:PHH786484 PRD786419:PRD786484 QAZ786419:QAZ786484 QKV786419:QKV786484 QUR786419:QUR786484 REN786419:REN786484 ROJ786419:ROJ786484 RYF786419:RYF786484 SIB786419:SIB786484 SRX786419:SRX786484 TBT786419:TBT786484 TLP786419:TLP786484 TVL786419:TVL786484 UFH786419:UFH786484 UPD786419:UPD786484 UYZ786419:UYZ786484 VIV786419:VIV786484 VSR786419:VSR786484 WCN786419:WCN786484 WMJ786419:WMJ786484 WWF786419:WWF786484 X851955:X852020 JT851955:JT852020 TP851955:TP852020 ADL851955:ADL852020 ANH851955:ANH852020 AXD851955:AXD852020 BGZ851955:BGZ852020 BQV851955:BQV852020 CAR851955:CAR852020 CKN851955:CKN852020 CUJ851955:CUJ852020 DEF851955:DEF852020 DOB851955:DOB852020 DXX851955:DXX852020 EHT851955:EHT852020 ERP851955:ERP852020 FBL851955:FBL852020 FLH851955:FLH852020 FVD851955:FVD852020 GEZ851955:GEZ852020 GOV851955:GOV852020 GYR851955:GYR852020 HIN851955:HIN852020 HSJ851955:HSJ852020 ICF851955:ICF852020 IMB851955:IMB852020 IVX851955:IVX852020 JFT851955:JFT852020 JPP851955:JPP852020 JZL851955:JZL852020 KJH851955:KJH852020 KTD851955:KTD852020 LCZ851955:LCZ852020 LMV851955:LMV852020 LWR851955:LWR852020 MGN851955:MGN852020 MQJ851955:MQJ852020 NAF851955:NAF852020 NKB851955:NKB852020 NTX851955:NTX852020 ODT851955:ODT852020 ONP851955:ONP852020 OXL851955:OXL852020 PHH851955:PHH852020 PRD851955:PRD852020 QAZ851955:QAZ852020 QKV851955:QKV852020 QUR851955:QUR852020 REN851955:REN852020 ROJ851955:ROJ852020 RYF851955:RYF852020 SIB851955:SIB852020 SRX851955:SRX852020 TBT851955:TBT852020 TLP851955:TLP852020 TVL851955:TVL852020 UFH851955:UFH852020 UPD851955:UPD852020 UYZ851955:UYZ852020 VIV851955:VIV852020 VSR851955:VSR852020 WCN851955:WCN852020 WMJ851955:WMJ852020 WWF851955:WWF852020 X917491:X917556 JT917491:JT917556 TP917491:TP917556 ADL917491:ADL917556 ANH917491:ANH917556 AXD917491:AXD917556 BGZ917491:BGZ917556 BQV917491:BQV917556 CAR917491:CAR917556 CKN917491:CKN917556 CUJ917491:CUJ917556 DEF917491:DEF917556 DOB917491:DOB917556 DXX917491:DXX917556 EHT917491:EHT917556 ERP917491:ERP917556 FBL917491:FBL917556 FLH917491:FLH917556 FVD917491:FVD917556 GEZ917491:GEZ917556 GOV917491:GOV917556 GYR917491:GYR917556 HIN917491:HIN917556 HSJ917491:HSJ917556 ICF917491:ICF917556 IMB917491:IMB917556 IVX917491:IVX917556 JFT917491:JFT917556 JPP917491:JPP917556 JZL917491:JZL917556 KJH917491:KJH917556 KTD917491:KTD917556 LCZ917491:LCZ917556 LMV917491:LMV917556 LWR917491:LWR917556 MGN917491:MGN917556 MQJ917491:MQJ917556 NAF917491:NAF917556 NKB917491:NKB917556 NTX917491:NTX917556 ODT917491:ODT917556 ONP917491:ONP917556 OXL917491:OXL917556 PHH917491:PHH917556 PRD917491:PRD917556 QAZ917491:QAZ917556 QKV917491:QKV917556 QUR917491:QUR917556 REN917491:REN917556 ROJ917491:ROJ917556 RYF917491:RYF917556 SIB917491:SIB917556 SRX917491:SRX917556 TBT917491:TBT917556 TLP917491:TLP917556 TVL917491:TVL917556 UFH917491:UFH917556 UPD917491:UPD917556 UYZ917491:UYZ917556 VIV917491:VIV917556 VSR917491:VSR917556 WCN917491:WCN917556 WMJ917491:WMJ917556 WWF917491:WWF917556 X983027:X983092 JT983027:JT983092 TP983027:TP983092 ADL983027:ADL983092 ANH983027:ANH983092 AXD983027:AXD983092 BGZ983027:BGZ983092 BQV983027:BQV983092 CAR983027:CAR983092 CKN983027:CKN983092 CUJ983027:CUJ983092 DEF983027:DEF983092 DOB983027:DOB983092 DXX983027:DXX983092 EHT983027:EHT983092 ERP983027:ERP983092 FBL983027:FBL983092 FLH983027:FLH983092 FVD983027:FVD983092 GEZ983027:GEZ983092 GOV983027:GOV983092 GYR983027:GYR983092 HIN983027:HIN983092 HSJ983027:HSJ983092 ICF983027:ICF983092 IMB983027:IMB983092 IVX983027:IVX983092 JFT983027:JFT983092 JPP983027:JPP983092 JZL983027:JZL983092 KJH983027:KJH983092 KTD983027:KTD983092 LCZ983027:LCZ983092 LMV983027:LMV983092 LWR983027:LWR983092 MGN983027:MGN983092 MQJ983027:MQJ983092 NAF983027:NAF983092 NKB983027:NKB983092 NTX983027:NTX983092 ODT983027:ODT983092 ONP983027:ONP983092 OXL983027:OXL983092 PHH983027:PHH983092 PRD983027:PRD983092 QAZ983027:QAZ983092 QKV983027:QKV983092 QUR983027:QUR983092 REN983027:REN983092 ROJ983027:ROJ983092 RYF983027:RYF983092 SIB983027:SIB983092 SRX983027:SRX983092 TBT983027:TBT983092 TLP983027:TLP983092 TVL983027:TVL983092 UFH983027:UFH983092 UPD983027:UPD983092 UYZ983027:UYZ983092 VIV983027:VIV983092 VSR983027:VSR983092 WCN983027:WCN983092 WMJ983027:WMJ983092 WWF2:WWF72 JT2:JT72 TP2:TP72 ADL2:ADL72 ANH2:ANH72 AXD2:AXD72 BGZ2:BGZ72 BQV2:BQV72 CAR2:CAR72 CKN2:CKN72 CUJ2:CUJ72 DEF2:DEF72 DOB2:DOB72 DXX2:DXX72 EHT2:EHT72 ERP2:ERP72 FBL2:FBL72 FLH2:FLH72 FVD2:FVD72 GEZ2:GEZ72 GOV2:GOV72 GYR2:GYR72 HIN2:HIN72 HSJ2:HSJ72 ICF2:ICF72 IMB2:IMB72 IVX2:IVX72 JFT2:JFT72 JPP2:JPP72 JZL2:JZL72 KJH2:KJH72 KTD2:KTD72 LCZ2:LCZ72 LMV2:LMV72 LWR2:LWR72 MGN2:MGN72 MQJ2:MQJ72 NAF2:NAF72 NKB2:NKB72 NTX2:NTX72 ODT2:ODT72 ONP2:ONP72 OXL2:OXL72 PHH2:PHH72 PRD2:PRD72 QAZ2:QAZ72 QKV2:QKV72 QUR2:QUR72 REN2:REN72 ROJ2:ROJ72 RYF2:RYF72 SIB2:SIB72 SRX2:SRX72 TBT2:TBT72 TLP2:TLP72 TVL2:TVL72 UFH2:UFH72 UPD2:UPD72 UYZ2:UYZ72 VIV2:VIV72 VSR2:VSR72 WCN2:WCN72 WMJ2:WMJ72 X2:X485" xr:uid="{EFDFBAA2-9266-45B4-AA6D-4AE5500F011D}">
      <formula1>$AT$2:$AT$3</formula1>
    </dataValidation>
    <dataValidation type="list" allowBlank="1" showInputMessage="1" showErrorMessage="1" sqref="G64348:G64415 JC64348:JC64415 SY64348:SY64415 ACU64348:ACU64415 AMQ64348:AMQ64415 AWM64348:AWM64415 BGI64348:BGI64415 BQE64348:BQE64415 CAA64348:CAA64415 CJW64348:CJW64415 CTS64348:CTS64415 DDO64348:DDO64415 DNK64348:DNK64415 DXG64348:DXG64415 EHC64348:EHC64415 EQY64348:EQY64415 FAU64348:FAU64415 FKQ64348:FKQ64415 FUM64348:FUM64415 GEI64348:GEI64415 GOE64348:GOE64415 GYA64348:GYA64415 HHW64348:HHW64415 HRS64348:HRS64415 IBO64348:IBO64415 ILK64348:ILK64415 IVG64348:IVG64415 JFC64348:JFC64415 JOY64348:JOY64415 JYU64348:JYU64415 KIQ64348:KIQ64415 KSM64348:KSM64415 LCI64348:LCI64415 LME64348:LME64415 LWA64348:LWA64415 MFW64348:MFW64415 MPS64348:MPS64415 MZO64348:MZO64415 NJK64348:NJK64415 NTG64348:NTG64415 ODC64348:ODC64415 OMY64348:OMY64415 OWU64348:OWU64415 PGQ64348:PGQ64415 PQM64348:PQM64415 QAI64348:QAI64415 QKE64348:QKE64415 QUA64348:QUA64415 RDW64348:RDW64415 RNS64348:RNS64415 RXO64348:RXO64415 SHK64348:SHK64415 SRG64348:SRG64415 TBC64348:TBC64415 TKY64348:TKY64415 TUU64348:TUU64415 UEQ64348:UEQ64415 UOM64348:UOM64415 UYI64348:UYI64415 VIE64348:VIE64415 VSA64348:VSA64415 WBW64348:WBW64415 WLS64348:WLS64415 WVO64348:WVO64415 G129884:G129951 JC129884:JC129951 SY129884:SY129951 ACU129884:ACU129951 AMQ129884:AMQ129951 AWM129884:AWM129951 BGI129884:BGI129951 BQE129884:BQE129951 CAA129884:CAA129951 CJW129884:CJW129951 CTS129884:CTS129951 DDO129884:DDO129951 DNK129884:DNK129951 DXG129884:DXG129951 EHC129884:EHC129951 EQY129884:EQY129951 FAU129884:FAU129951 FKQ129884:FKQ129951 FUM129884:FUM129951 GEI129884:GEI129951 GOE129884:GOE129951 GYA129884:GYA129951 HHW129884:HHW129951 HRS129884:HRS129951 IBO129884:IBO129951 ILK129884:ILK129951 IVG129884:IVG129951 JFC129884:JFC129951 JOY129884:JOY129951 JYU129884:JYU129951 KIQ129884:KIQ129951 KSM129884:KSM129951 LCI129884:LCI129951 LME129884:LME129951 LWA129884:LWA129951 MFW129884:MFW129951 MPS129884:MPS129951 MZO129884:MZO129951 NJK129884:NJK129951 NTG129884:NTG129951 ODC129884:ODC129951 OMY129884:OMY129951 OWU129884:OWU129951 PGQ129884:PGQ129951 PQM129884:PQM129951 QAI129884:QAI129951 QKE129884:QKE129951 QUA129884:QUA129951 RDW129884:RDW129951 RNS129884:RNS129951 RXO129884:RXO129951 SHK129884:SHK129951 SRG129884:SRG129951 TBC129884:TBC129951 TKY129884:TKY129951 TUU129884:TUU129951 UEQ129884:UEQ129951 UOM129884:UOM129951 UYI129884:UYI129951 VIE129884:VIE129951 VSA129884:VSA129951 WBW129884:WBW129951 WLS129884:WLS129951 WVO129884:WVO129951 G195420:G195487 JC195420:JC195487 SY195420:SY195487 ACU195420:ACU195487 AMQ195420:AMQ195487 AWM195420:AWM195487 BGI195420:BGI195487 BQE195420:BQE195487 CAA195420:CAA195487 CJW195420:CJW195487 CTS195420:CTS195487 DDO195420:DDO195487 DNK195420:DNK195487 DXG195420:DXG195487 EHC195420:EHC195487 EQY195420:EQY195487 FAU195420:FAU195487 FKQ195420:FKQ195487 FUM195420:FUM195487 GEI195420:GEI195487 GOE195420:GOE195487 GYA195420:GYA195487 HHW195420:HHW195487 HRS195420:HRS195487 IBO195420:IBO195487 ILK195420:ILK195487 IVG195420:IVG195487 JFC195420:JFC195487 JOY195420:JOY195487 JYU195420:JYU195487 KIQ195420:KIQ195487 KSM195420:KSM195487 LCI195420:LCI195487 LME195420:LME195487 LWA195420:LWA195487 MFW195420:MFW195487 MPS195420:MPS195487 MZO195420:MZO195487 NJK195420:NJK195487 NTG195420:NTG195487 ODC195420:ODC195487 OMY195420:OMY195487 OWU195420:OWU195487 PGQ195420:PGQ195487 PQM195420:PQM195487 QAI195420:QAI195487 QKE195420:QKE195487 QUA195420:QUA195487 RDW195420:RDW195487 RNS195420:RNS195487 RXO195420:RXO195487 SHK195420:SHK195487 SRG195420:SRG195487 TBC195420:TBC195487 TKY195420:TKY195487 TUU195420:TUU195487 UEQ195420:UEQ195487 UOM195420:UOM195487 UYI195420:UYI195487 VIE195420:VIE195487 VSA195420:VSA195487 WBW195420:WBW195487 WLS195420:WLS195487 WVO195420:WVO195487 G260956:G261023 JC260956:JC261023 SY260956:SY261023 ACU260956:ACU261023 AMQ260956:AMQ261023 AWM260956:AWM261023 BGI260956:BGI261023 BQE260956:BQE261023 CAA260956:CAA261023 CJW260956:CJW261023 CTS260956:CTS261023 DDO260956:DDO261023 DNK260956:DNK261023 DXG260956:DXG261023 EHC260956:EHC261023 EQY260956:EQY261023 FAU260956:FAU261023 FKQ260956:FKQ261023 FUM260956:FUM261023 GEI260956:GEI261023 GOE260956:GOE261023 GYA260956:GYA261023 HHW260956:HHW261023 HRS260956:HRS261023 IBO260956:IBO261023 ILK260956:ILK261023 IVG260956:IVG261023 JFC260956:JFC261023 JOY260956:JOY261023 JYU260956:JYU261023 KIQ260956:KIQ261023 KSM260956:KSM261023 LCI260956:LCI261023 LME260956:LME261023 LWA260956:LWA261023 MFW260956:MFW261023 MPS260956:MPS261023 MZO260956:MZO261023 NJK260956:NJK261023 NTG260956:NTG261023 ODC260956:ODC261023 OMY260956:OMY261023 OWU260956:OWU261023 PGQ260956:PGQ261023 PQM260956:PQM261023 QAI260956:QAI261023 QKE260956:QKE261023 QUA260956:QUA261023 RDW260956:RDW261023 RNS260956:RNS261023 RXO260956:RXO261023 SHK260956:SHK261023 SRG260956:SRG261023 TBC260956:TBC261023 TKY260956:TKY261023 TUU260956:TUU261023 UEQ260956:UEQ261023 UOM260956:UOM261023 UYI260956:UYI261023 VIE260956:VIE261023 VSA260956:VSA261023 WBW260956:WBW261023 WLS260956:WLS261023 WVO260956:WVO261023 G326492:G326559 JC326492:JC326559 SY326492:SY326559 ACU326492:ACU326559 AMQ326492:AMQ326559 AWM326492:AWM326559 BGI326492:BGI326559 BQE326492:BQE326559 CAA326492:CAA326559 CJW326492:CJW326559 CTS326492:CTS326559 DDO326492:DDO326559 DNK326492:DNK326559 DXG326492:DXG326559 EHC326492:EHC326559 EQY326492:EQY326559 FAU326492:FAU326559 FKQ326492:FKQ326559 FUM326492:FUM326559 GEI326492:GEI326559 GOE326492:GOE326559 GYA326492:GYA326559 HHW326492:HHW326559 HRS326492:HRS326559 IBO326492:IBO326559 ILK326492:ILK326559 IVG326492:IVG326559 JFC326492:JFC326559 JOY326492:JOY326559 JYU326492:JYU326559 KIQ326492:KIQ326559 KSM326492:KSM326559 LCI326492:LCI326559 LME326492:LME326559 LWA326492:LWA326559 MFW326492:MFW326559 MPS326492:MPS326559 MZO326492:MZO326559 NJK326492:NJK326559 NTG326492:NTG326559 ODC326492:ODC326559 OMY326492:OMY326559 OWU326492:OWU326559 PGQ326492:PGQ326559 PQM326492:PQM326559 QAI326492:QAI326559 QKE326492:QKE326559 QUA326492:QUA326559 RDW326492:RDW326559 RNS326492:RNS326559 RXO326492:RXO326559 SHK326492:SHK326559 SRG326492:SRG326559 TBC326492:TBC326559 TKY326492:TKY326559 TUU326492:TUU326559 UEQ326492:UEQ326559 UOM326492:UOM326559 UYI326492:UYI326559 VIE326492:VIE326559 VSA326492:VSA326559 WBW326492:WBW326559 WLS326492:WLS326559 WVO326492:WVO326559 G392028:G392095 JC392028:JC392095 SY392028:SY392095 ACU392028:ACU392095 AMQ392028:AMQ392095 AWM392028:AWM392095 BGI392028:BGI392095 BQE392028:BQE392095 CAA392028:CAA392095 CJW392028:CJW392095 CTS392028:CTS392095 DDO392028:DDO392095 DNK392028:DNK392095 DXG392028:DXG392095 EHC392028:EHC392095 EQY392028:EQY392095 FAU392028:FAU392095 FKQ392028:FKQ392095 FUM392028:FUM392095 GEI392028:GEI392095 GOE392028:GOE392095 GYA392028:GYA392095 HHW392028:HHW392095 HRS392028:HRS392095 IBO392028:IBO392095 ILK392028:ILK392095 IVG392028:IVG392095 JFC392028:JFC392095 JOY392028:JOY392095 JYU392028:JYU392095 KIQ392028:KIQ392095 KSM392028:KSM392095 LCI392028:LCI392095 LME392028:LME392095 LWA392028:LWA392095 MFW392028:MFW392095 MPS392028:MPS392095 MZO392028:MZO392095 NJK392028:NJK392095 NTG392028:NTG392095 ODC392028:ODC392095 OMY392028:OMY392095 OWU392028:OWU392095 PGQ392028:PGQ392095 PQM392028:PQM392095 QAI392028:QAI392095 QKE392028:QKE392095 QUA392028:QUA392095 RDW392028:RDW392095 RNS392028:RNS392095 RXO392028:RXO392095 SHK392028:SHK392095 SRG392028:SRG392095 TBC392028:TBC392095 TKY392028:TKY392095 TUU392028:TUU392095 UEQ392028:UEQ392095 UOM392028:UOM392095 UYI392028:UYI392095 VIE392028:VIE392095 VSA392028:VSA392095 WBW392028:WBW392095 WLS392028:WLS392095 WVO392028:WVO392095 G457564:G457631 JC457564:JC457631 SY457564:SY457631 ACU457564:ACU457631 AMQ457564:AMQ457631 AWM457564:AWM457631 BGI457564:BGI457631 BQE457564:BQE457631 CAA457564:CAA457631 CJW457564:CJW457631 CTS457564:CTS457631 DDO457564:DDO457631 DNK457564:DNK457631 DXG457564:DXG457631 EHC457564:EHC457631 EQY457564:EQY457631 FAU457564:FAU457631 FKQ457564:FKQ457631 FUM457564:FUM457631 GEI457564:GEI457631 GOE457564:GOE457631 GYA457564:GYA457631 HHW457564:HHW457631 HRS457564:HRS457631 IBO457564:IBO457631 ILK457564:ILK457631 IVG457564:IVG457631 JFC457564:JFC457631 JOY457564:JOY457631 JYU457564:JYU457631 KIQ457564:KIQ457631 KSM457564:KSM457631 LCI457564:LCI457631 LME457564:LME457631 LWA457564:LWA457631 MFW457564:MFW457631 MPS457564:MPS457631 MZO457564:MZO457631 NJK457564:NJK457631 NTG457564:NTG457631 ODC457564:ODC457631 OMY457564:OMY457631 OWU457564:OWU457631 PGQ457564:PGQ457631 PQM457564:PQM457631 QAI457564:QAI457631 QKE457564:QKE457631 QUA457564:QUA457631 RDW457564:RDW457631 RNS457564:RNS457631 RXO457564:RXO457631 SHK457564:SHK457631 SRG457564:SRG457631 TBC457564:TBC457631 TKY457564:TKY457631 TUU457564:TUU457631 UEQ457564:UEQ457631 UOM457564:UOM457631 UYI457564:UYI457631 VIE457564:VIE457631 VSA457564:VSA457631 WBW457564:WBW457631 WLS457564:WLS457631 WVO457564:WVO457631 G523100:G523167 JC523100:JC523167 SY523100:SY523167 ACU523100:ACU523167 AMQ523100:AMQ523167 AWM523100:AWM523167 BGI523100:BGI523167 BQE523100:BQE523167 CAA523100:CAA523167 CJW523100:CJW523167 CTS523100:CTS523167 DDO523100:DDO523167 DNK523100:DNK523167 DXG523100:DXG523167 EHC523100:EHC523167 EQY523100:EQY523167 FAU523100:FAU523167 FKQ523100:FKQ523167 FUM523100:FUM523167 GEI523100:GEI523167 GOE523100:GOE523167 GYA523100:GYA523167 HHW523100:HHW523167 HRS523100:HRS523167 IBO523100:IBO523167 ILK523100:ILK523167 IVG523100:IVG523167 JFC523100:JFC523167 JOY523100:JOY523167 JYU523100:JYU523167 KIQ523100:KIQ523167 KSM523100:KSM523167 LCI523100:LCI523167 LME523100:LME523167 LWA523100:LWA523167 MFW523100:MFW523167 MPS523100:MPS523167 MZO523100:MZO523167 NJK523100:NJK523167 NTG523100:NTG523167 ODC523100:ODC523167 OMY523100:OMY523167 OWU523100:OWU523167 PGQ523100:PGQ523167 PQM523100:PQM523167 QAI523100:QAI523167 QKE523100:QKE523167 QUA523100:QUA523167 RDW523100:RDW523167 RNS523100:RNS523167 RXO523100:RXO523167 SHK523100:SHK523167 SRG523100:SRG523167 TBC523100:TBC523167 TKY523100:TKY523167 TUU523100:TUU523167 UEQ523100:UEQ523167 UOM523100:UOM523167 UYI523100:UYI523167 VIE523100:VIE523167 VSA523100:VSA523167 WBW523100:WBW523167 WLS523100:WLS523167 WVO523100:WVO523167 G588636:G588703 JC588636:JC588703 SY588636:SY588703 ACU588636:ACU588703 AMQ588636:AMQ588703 AWM588636:AWM588703 BGI588636:BGI588703 BQE588636:BQE588703 CAA588636:CAA588703 CJW588636:CJW588703 CTS588636:CTS588703 DDO588636:DDO588703 DNK588636:DNK588703 DXG588636:DXG588703 EHC588636:EHC588703 EQY588636:EQY588703 FAU588636:FAU588703 FKQ588636:FKQ588703 FUM588636:FUM588703 GEI588636:GEI588703 GOE588636:GOE588703 GYA588636:GYA588703 HHW588636:HHW588703 HRS588636:HRS588703 IBO588636:IBO588703 ILK588636:ILK588703 IVG588636:IVG588703 JFC588636:JFC588703 JOY588636:JOY588703 JYU588636:JYU588703 KIQ588636:KIQ588703 KSM588636:KSM588703 LCI588636:LCI588703 LME588636:LME588703 LWA588636:LWA588703 MFW588636:MFW588703 MPS588636:MPS588703 MZO588636:MZO588703 NJK588636:NJK588703 NTG588636:NTG588703 ODC588636:ODC588703 OMY588636:OMY588703 OWU588636:OWU588703 PGQ588636:PGQ588703 PQM588636:PQM588703 QAI588636:QAI588703 QKE588636:QKE588703 QUA588636:QUA588703 RDW588636:RDW588703 RNS588636:RNS588703 RXO588636:RXO588703 SHK588636:SHK588703 SRG588636:SRG588703 TBC588636:TBC588703 TKY588636:TKY588703 TUU588636:TUU588703 UEQ588636:UEQ588703 UOM588636:UOM588703 UYI588636:UYI588703 VIE588636:VIE588703 VSA588636:VSA588703 WBW588636:WBW588703 WLS588636:WLS588703 WVO588636:WVO588703 G654172:G654239 JC654172:JC654239 SY654172:SY654239 ACU654172:ACU654239 AMQ654172:AMQ654239 AWM654172:AWM654239 BGI654172:BGI654239 BQE654172:BQE654239 CAA654172:CAA654239 CJW654172:CJW654239 CTS654172:CTS654239 DDO654172:DDO654239 DNK654172:DNK654239 DXG654172:DXG654239 EHC654172:EHC654239 EQY654172:EQY654239 FAU654172:FAU654239 FKQ654172:FKQ654239 FUM654172:FUM654239 GEI654172:GEI654239 GOE654172:GOE654239 GYA654172:GYA654239 HHW654172:HHW654239 HRS654172:HRS654239 IBO654172:IBO654239 ILK654172:ILK654239 IVG654172:IVG654239 JFC654172:JFC654239 JOY654172:JOY654239 JYU654172:JYU654239 KIQ654172:KIQ654239 KSM654172:KSM654239 LCI654172:LCI654239 LME654172:LME654239 LWA654172:LWA654239 MFW654172:MFW654239 MPS654172:MPS654239 MZO654172:MZO654239 NJK654172:NJK654239 NTG654172:NTG654239 ODC654172:ODC654239 OMY654172:OMY654239 OWU654172:OWU654239 PGQ654172:PGQ654239 PQM654172:PQM654239 QAI654172:QAI654239 QKE654172:QKE654239 QUA654172:QUA654239 RDW654172:RDW654239 RNS654172:RNS654239 RXO654172:RXO654239 SHK654172:SHK654239 SRG654172:SRG654239 TBC654172:TBC654239 TKY654172:TKY654239 TUU654172:TUU654239 UEQ654172:UEQ654239 UOM654172:UOM654239 UYI654172:UYI654239 VIE654172:VIE654239 VSA654172:VSA654239 WBW654172:WBW654239 WLS654172:WLS654239 WVO654172:WVO654239 G719708:G719775 JC719708:JC719775 SY719708:SY719775 ACU719708:ACU719775 AMQ719708:AMQ719775 AWM719708:AWM719775 BGI719708:BGI719775 BQE719708:BQE719775 CAA719708:CAA719775 CJW719708:CJW719775 CTS719708:CTS719775 DDO719708:DDO719775 DNK719708:DNK719775 DXG719708:DXG719775 EHC719708:EHC719775 EQY719708:EQY719775 FAU719708:FAU719775 FKQ719708:FKQ719775 FUM719708:FUM719775 GEI719708:GEI719775 GOE719708:GOE719775 GYA719708:GYA719775 HHW719708:HHW719775 HRS719708:HRS719775 IBO719708:IBO719775 ILK719708:ILK719775 IVG719708:IVG719775 JFC719708:JFC719775 JOY719708:JOY719775 JYU719708:JYU719775 KIQ719708:KIQ719775 KSM719708:KSM719775 LCI719708:LCI719775 LME719708:LME719775 LWA719708:LWA719775 MFW719708:MFW719775 MPS719708:MPS719775 MZO719708:MZO719775 NJK719708:NJK719775 NTG719708:NTG719775 ODC719708:ODC719775 OMY719708:OMY719775 OWU719708:OWU719775 PGQ719708:PGQ719775 PQM719708:PQM719775 QAI719708:QAI719775 QKE719708:QKE719775 QUA719708:QUA719775 RDW719708:RDW719775 RNS719708:RNS719775 RXO719708:RXO719775 SHK719708:SHK719775 SRG719708:SRG719775 TBC719708:TBC719775 TKY719708:TKY719775 TUU719708:TUU719775 UEQ719708:UEQ719775 UOM719708:UOM719775 UYI719708:UYI719775 VIE719708:VIE719775 VSA719708:VSA719775 WBW719708:WBW719775 WLS719708:WLS719775 WVO719708:WVO719775 G785244:G785311 JC785244:JC785311 SY785244:SY785311 ACU785244:ACU785311 AMQ785244:AMQ785311 AWM785244:AWM785311 BGI785244:BGI785311 BQE785244:BQE785311 CAA785244:CAA785311 CJW785244:CJW785311 CTS785244:CTS785311 DDO785244:DDO785311 DNK785244:DNK785311 DXG785244:DXG785311 EHC785244:EHC785311 EQY785244:EQY785311 FAU785244:FAU785311 FKQ785244:FKQ785311 FUM785244:FUM785311 GEI785244:GEI785311 GOE785244:GOE785311 GYA785244:GYA785311 HHW785244:HHW785311 HRS785244:HRS785311 IBO785244:IBO785311 ILK785244:ILK785311 IVG785244:IVG785311 JFC785244:JFC785311 JOY785244:JOY785311 JYU785244:JYU785311 KIQ785244:KIQ785311 KSM785244:KSM785311 LCI785244:LCI785311 LME785244:LME785311 LWA785244:LWA785311 MFW785244:MFW785311 MPS785244:MPS785311 MZO785244:MZO785311 NJK785244:NJK785311 NTG785244:NTG785311 ODC785244:ODC785311 OMY785244:OMY785311 OWU785244:OWU785311 PGQ785244:PGQ785311 PQM785244:PQM785311 QAI785244:QAI785311 QKE785244:QKE785311 QUA785244:QUA785311 RDW785244:RDW785311 RNS785244:RNS785311 RXO785244:RXO785311 SHK785244:SHK785311 SRG785244:SRG785311 TBC785244:TBC785311 TKY785244:TKY785311 TUU785244:TUU785311 UEQ785244:UEQ785311 UOM785244:UOM785311 UYI785244:UYI785311 VIE785244:VIE785311 VSA785244:VSA785311 WBW785244:WBW785311 WLS785244:WLS785311 WVO785244:WVO785311 G850780:G850847 JC850780:JC850847 SY850780:SY850847 ACU850780:ACU850847 AMQ850780:AMQ850847 AWM850780:AWM850847 BGI850780:BGI850847 BQE850780:BQE850847 CAA850780:CAA850847 CJW850780:CJW850847 CTS850780:CTS850847 DDO850780:DDO850847 DNK850780:DNK850847 DXG850780:DXG850847 EHC850780:EHC850847 EQY850780:EQY850847 FAU850780:FAU850847 FKQ850780:FKQ850847 FUM850780:FUM850847 GEI850780:GEI850847 GOE850780:GOE850847 GYA850780:GYA850847 HHW850780:HHW850847 HRS850780:HRS850847 IBO850780:IBO850847 ILK850780:ILK850847 IVG850780:IVG850847 JFC850780:JFC850847 JOY850780:JOY850847 JYU850780:JYU850847 KIQ850780:KIQ850847 KSM850780:KSM850847 LCI850780:LCI850847 LME850780:LME850847 LWA850780:LWA850847 MFW850780:MFW850847 MPS850780:MPS850847 MZO850780:MZO850847 NJK850780:NJK850847 NTG850780:NTG850847 ODC850780:ODC850847 OMY850780:OMY850847 OWU850780:OWU850847 PGQ850780:PGQ850847 PQM850780:PQM850847 QAI850780:QAI850847 QKE850780:QKE850847 QUA850780:QUA850847 RDW850780:RDW850847 RNS850780:RNS850847 RXO850780:RXO850847 SHK850780:SHK850847 SRG850780:SRG850847 TBC850780:TBC850847 TKY850780:TKY850847 TUU850780:TUU850847 UEQ850780:UEQ850847 UOM850780:UOM850847 UYI850780:UYI850847 VIE850780:VIE850847 VSA850780:VSA850847 WBW850780:WBW850847 WLS850780:WLS850847 WVO850780:WVO850847 G916316:G916383 JC916316:JC916383 SY916316:SY916383 ACU916316:ACU916383 AMQ916316:AMQ916383 AWM916316:AWM916383 BGI916316:BGI916383 BQE916316:BQE916383 CAA916316:CAA916383 CJW916316:CJW916383 CTS916316:CTS916383 DDO916316:DDO916383 DNK916316:DNK916383 DXG916316:DXG916383 EHC916316:EHC916383 EQY916316:EQY916383 FAU916316:FAU916383 FKQ916316:FKQ916383 FUM916316:FUM916383 GEI916316:GEI916383 GOE916316:GOE916383 GYA916316:GYA916383 HHW916316:HHW916383 HRS916316:HRS916383 IBO916316:IBO916383 ILK916316:ILK916383 IVG916316:IVG916383 JFC916316:JFC916383 JOY916316:JOY916383 JYU916316:JYU916383 KIQ916316:KIQ916383 KSM916316:KSM916383 LCI916316:LCI916383 LME916316:LME916383 LWA916316:LWA916383 MFW916316:MFW916383 MPS916316:MPS916383 MZO916316:MZO916383 NJK916316:NJK916383 NTG916316:NTG916383 ODC916316:ODC916383 OMY916316:OMY916383 OWU916316:OWU916383 PGQ916316:PGQ916383 PQM916316:PQM916383 QAI916316:QAI916383 QKE916316:QKE916383 QUA916316:QUA916383 RDW916316:RDW916383 RNS916316:RNS916383 RXO916316:RXO916383 SHK916316:SHK916383 SRG916316:SRG916383 TBC916316:TBC916383 TKY916316:TKY916383 TUU916316:TUU916383 UEQ916316:UEQ916383 UOM916316:UOM916383 UYI916316:UYI916383 VIE916316:VIE916383 VSA916316:VSA916383 WBW916316:WBW916383 WLS916316:WLS916383 WVO916316:WVO916383 G981852:G981919 JC981852:JC981919 SY981852:SY981919 ACU981852:ACU981919 AMQ981852:AMQ981919 AWM981852:AWM981919 BGI981852:BGI981919 BQE981852:BQE981919 CAA981852:CAA981919 CJW981852:CJW981919 CTS981852:CTS981919 DDO981852:DDO981919 DNK981852:DNK981919 DXG981852:DXG981919 EHC981852:EHC981919 EQY981852:EQY981919 FAU981852:FAU981919 FKQ981852:FKQ981919 FUM981852:FUM981919 GEI981852:GEI981919 GOE981852:GOE981919 GYA981852:GYA981919 HHW981852:HHW981919 HRS981852:HRS981919 IBO981852:IBO981919 ILK981852:ILK981919 IVG981852:IVG981919 JFC981852:JFC981919 JOY981852:JOY981919 JYU981852:JYU981919 KIQ981852:KIQ981919 KSM981852:KSM981919 LCI981852:LCI981919 LME981852:LME981919 LWA981852:LWA981919 MFW981852:MFW981919 MPS981852:MPS981919 MZO981852:MZO981919 NJK981852:NJK981919 NTG981852:NTG981919 ODC981852:ODC981919 OMY981852:OMY981919 OWU981852:OWU981919 PGQ981852:PGQ981919 PQM981852:PQM981919 QAI981852:QAI981919 QKE981852:QKE981919 QUA981852:QUA981919 RDW981852:RDW981919 RNS981852:RNS981919 RXO981852:RXO981919 SHK981852:SHK981919 SRG981852:SRG981919 TBC981852:TBC981919 TKY981852:TKY981919 TUU981852:TUU981919 UEQ981852:UEQ981919 UOM981852:UOM981919 UYI981852:UYI981919 VIE981852:VIE981919 VSA981852:VSA981919 WBW981852:WBW981919 WLS981852:WLS981919 WVO981852:WVO981919 G1047388:G1047455 JC1047388:JC1047455 SY1047388:SY1047455 ACU1047388:ACU1047455 AMQ1047388:AMQ1047455 AWM1047388:AWM1047455 BGI1047388:BGI1047455 BQE1047388:BQE1047455 CAA1047388:CAA1047455 CJW1047388:CJW1047455 CTS1047388:CTS1047455 DDO1047388:DDO1047455 DNK1047388:DNK1047455 DXG1047388:DXG1047455 EHC1047388:EHC1047455 EQY1047388:EQY1047455 FAU1047388:FAU1047455 FKQ1047388:FKQ1047455 FUM1047388:FUM1047455 GEI1047388:GEI1047455 GOE1047388:GOE1047455 GYA1047388:GYA1047455 HHW1047388:HHW1047455 HRS1047388:HRS1047455 IBO1047388:IBO1047455 ILK1047388:ILK1047455 IVG1047388:IVG1047455 JFC1047388:JFC1047455 JOY1047388:JOY1047455 JYU1047388:JYU1047455 KIQ1047388:KIQ1047455 KSM1047388:KSM1047455 LCI1047388:LCI1047455 LME1047388:LME1047455 LWA1047388:LWA1047455 MFW1047388:MFW1047455 MPS1047388:MPS1047455 MZO1047388:MZO1047455 NJK1047388:NJK1047455 NTG1047388:NTG1047455 ODC1047388:ODC1047455 OMY1047388:OMY1047455 OWU1047388:OWU1047455 PGQ1047388:PGQ1047455 PQM1047388:PQM1047455 QAI1047388:QAI1047455 QKE1047388:QKE1047455 QUA1047388:QUA1047455 RDW1047388:RDW1047455 RNS1047388:RNS1047455 RXO1047388:RXO1047455 SHK1047388:SHK1047455 SRG1047388:SRG1047455 TBC1047388:TBC1047455 TKY1047388:TKY1047455 TUU1047388:TUU1047455 UEQ1047388:UEQ1047455 UOM1047388:UOM1047455 UYI1047388:UYI1047455 VIE1047388:VIE1047455 VSA1047388:VSA1047455 WBW1047388:WBW1047455 WLS1047388:WLS1047455 WVO1047388:WVO1047455 WVO983027:WVO983098 G65523:G65594 JC65523:JC65594 SY65523:SY65594 ACU65523:ACU65594 AMQ65523:AMQ65594 AWM65523:AWM65594 BGI65523:BGI65594 BQE65523:BQE65594 CAA65523:CAA65594 CJW65523:CJW65594 CTS65523:CTS65594 DDO65523:DDO65594 DNK65523:DNK65594 DXG65523:DXG65594 EHC65523:EHC65594 EQY65523:EQY65594 FAU65523:FAU65594 FKQ65523:FKQ65594 FUM65523:FUM65594 GEI65523:GEI65594 GOE65523:GOE65594 GYA65523:GYA65594 HHW65523:HHW65594 HRS65523:HRS65594 IBO65523:IBO65594 ILK65523:ILK65594 IVG65523:IVG65594 JFC65523:JFC65594 JOY65523:JOY65594 JYU65523:JYU65594 KIQ65523:KIQ65594 KSM65523:KSM65594 LCI65523:LCI65594 LME65523:LME65594 LWA65523:LWA65594 MFW65523:MFW65594 MPS65523:MPS65594 MZO65523:MZO65594 NJK65523:NJK65594 NTG65523:NTG65594 ODC65523:ODC65594 OMY65523:OMY65594 OWU65523:OWU65594 PGQ65523:PGQ65594 PQM65523:PQM65594 QAI65523:QAI65594 QKE65523:QKE65594 QUA65523:QUA65594 RDW65523:RDW65594 RNS65523:RNS65594 RXO65523:RXO65594 SHK65523:SHK65594 SRG65523:SRG65594 TBC65523:TBC65594 TKY65523:TKY65594 TUU65523:TUU65594 UEQ65523:UEQ65594 UOM65523:UOM65594 UYI65523:UYI65594 VIE65523:VIE65594 VSA65523:VSA65594 WBW65523:WBW65594 WLS65523:WLS65594 WVO65523:WVO65594 G131059:G131130 JC131059:JC131130 SY131059:SY131130 ACU131059:ACU131130 AMQ131059:AMQ131130 AWM131059:AWM131130 BGI131059:BGI131130 BQE131059:BQE131130 CAA131059:CAA131130 CJW131059:CJW131130 CTS131059:CTS131130 DDO131059:DDO131130 DNK131059:DNK131130 DXG131059:DXG131130 EHC131059:EHC131130 EQY131059:EQY131130 FAU131059:FAU131130 FKQ131059:FKQ131130 FUM131059:FUM131130 GEI131059:GEI131130 GOE131059:GOE131130 GYA131059:GYA131130 HHW131059:HHW131130 HRS131059:HRS131130 IBO131059:IBO131130 ILK131059:ILK131130 IVG131059:IVG131130 JFC131059:JFC131130 JOY131059:JOY131130 JYU131059:JYU131130 KIQ131059:KIQ131130 KSM131059:KSM131130 LCI131059:LCI131130 LME131059:LME131130 LWA131059:LWA131130 MFW131059:MFW131130 MPS131059:MPS131130 MZO131059:MZO131130 NJK131059:NJK131130 NTG131059:NTG131130 ODC131059:ODC131130 OMY131059:OMY131130 OWU131059:OWU131130 PGQ131059:PGQ131130 PQM131059:PQM131130 QAI131059:QAI131130 QKE131059:QKE131130 QUA131059:QUA131130 RDW131059:RDW131130 RNS131059:RNS131130 RXO131059:RXO131130 SHK131059:SHK131130 SRG131059:SRG131130 TBC131059:TBC131130 TKY131059:TKY131130 TUU131059:TUU131130 UEQ131059:UEQ131130 UOM131059:UOM131130 UYI131059:UYI131130 VIE131059:VIE131130 VSA131059:VSA131130 WBW131059:WBW131130 WLS131059:WLS131130 WVO131059:WVO131130 G196595:G196666 JC196595:JC196666 SY196595:SY196666 ACU196595:ACU196666 AMQ196595:AMQ196666 AWM196595:AWM196666 BGI196595:BGI196666 BQE196595:BQE196666 CAA196595:CAA196666 CJW196595:CJW196666 CTS196595:CTS196666 DDO196595:DDO196666 DNK196595:DNK196666 DXG196595:DXG196666 EHC196595:EHC196666 EQY196595:EQY196666 FAU196595:FAU196666 FKQ196595:FKQ196666 FUM196595:FUM196666 GEI196595:GEI196666 GOE196595:GOE196666 GYA196595:GYA196666 HHW196595:HHW196666 HRS196595:HRS196666 IBO196595:IBO196666 ILK196595:ILK196666 IVG196595:IVG196666 JFC196595:JFC196666 JOY196595:JOY196666 JYU196595:JYU196666 KIQ196595:KIQ196666 KSM196595:KSM196666 LCI196595:LCI196666 LME196595:LME196666 LWA196595:LWA196666 MFW196595:MFW196666 MPS196595:MPS196666 MZO196595:MZO196666 NJK196595:NJK196666 NTG196595:NTG196666 ODC196595:ODC196666 OMY196595:OMY196666 OWU196595:OWU196666 PGQ196595:PGQ196666 PQM196595:PQM196666 QAI196595:QAI196666 QKE196595:QKE196666 QUA196595:QUA196666 RDW196595:RDW196666 RNS196595:RNS196666 RXO196595:RXO196666 SHK196595:SHK196666 SRG196595:SRG196666 TBC196595:TBC196666 TKY196595:TKY196666 TUU196595:TUU196666 UEQ196595:UEQ196666 UOM196595:UOM196666 UYI196595:UYI196666 VIE196595:VIE196666 VSA196595:VSA196666 WBW196595:WBW196666 WLS196595:WLS196666 WVO196595:WVO196666 G262131:G262202 JC262131:JC262202 SY262131:SY262202 ACU262131:ACU262202 AMQ262131:AMQ262202 AWM262131:AWM262202 BGI262131:BGI262202 BQE262131:BQE262202 CAA262131:CAA262202 CJW262131:CJW262202 CTS262131:CTS262202 DDO262131:DDO262202 DNK262131:DNK262202 DXG262131:DXG262202 EHC262131:EHC262202 EQY262131:EQY262202 FAU262131:FAU262202 FKQ262131:FKQ262202 FUM262131:FUM262202 GEI262131:GEI262202 GOE262131:GOE262202 GYA262131:GYA262202 HHW262131:HHW262202 HRS262131:HRS262202 IBO262131:IBO262202 ILK262131:ILK262202 IVG262131:IVG262202 JFC262131:JFC262202 JOY262131:JOY262202 JYU262131:JYU262202 KIQ262131:KIQ262202 KSM262131:KSM262202 LCI262131:LCI262202 LME262131:LME262202 LWA262131:LWA262202 MFW262131:MFW262202 MPS262131:MPS262202 MZO262131:MZO262202 NJK262131:NJK262202 NTG262131:NTG262202 ODC262131:ODC262202 OMY262131:OMY262202 OWU262131:OWU262202 PGQ262131:PGQ262202 PQM262131:PQM262202 QAI262131:QAI262202 QKE262131:QKE262202 QUA262131:QUA262202 RDW262131:RDW262202 RNS262131:RNS262202 RXO262131:RXO262202 SHK262131:SHK262202 SRG262131:SRG262202 TBC262131:TBC262202 TKY262131:TKY262202 TUU262131:TUU262202 UEQ262131:UEQ262202 UOM262131:UOM262202 UYI262131:UYI262202 VIE262131:VIE262202 VSA262131:VSA262202 WBW262131:WBW262202 WLS262131:WLS262202 WVO262131:WVO262202 G327667:G327738 JC327667:JC327738 SY327667:SY327738 ACU327667:ACU327738 AMQ327667:AMQ327738 AWM327667:AWM327738 BGI327667:BGI327738 BQE327667:BQE327738 CAA327667:CAA327738 CJW327667:CJW327738 CTS327667:CTS327738 DDO327667:DDO327738 DNK327667:DNK327738 DXG327667:DXG327738 EHC327667:EHC327738 EQY327667:EQY327738 FAU327667:FAU327738 FKQ327667:FKQ327738 FUM327667:FUM327738 GEI327667:GEI327738 GOE327667:GOE327738 GYA327667:GYA327738 HHW327667:HHW327738 HRS327667:HRS327738 IBO327667:IBO327738 ILK327667:ILK327738 IVG327667:IVG327738 JFC327667:JFC327738 JOY327667:JOY327738 JYU327667:JYU327738 KIQ327667:KIQ327738 KSM327667:KSM327738 LCI327667:LCI327738 LME327667:LME327738 LWA327667:LWA327738 MFW327667:MFW327738 MPS327667:MPS327738 MZO327667:MZO327738 NJK327667:NJK327738 NTG327667:NTG327738 ODC327667:ODC327738 OMY327667:OMY327738 OWU327667:OWU327738 PGQ327667:PGQ327738 PQM327667:PQM327738 QAI327667:QAI327738 QKE327667:QKE327738 QUA327667:QUA327738 RDW327667:RDW327738 RNS327667:RNS327738 RXO327667:RXO327738 SHK327667:SHK327738 SRG327667:SRG327738 TBC327667:TBC327738 TKY327667:TKY327738 TUU327667:TUU327738 UEQ327667:UEQ327738 UOM327667:UOM327738 UYI327667:UYI327738 VIE327667:VIE327738 VSA327667:VSA327738 WBW327667:WBW327738 WLS327667:WLS327738 WVO327667:WVO327738 G393203:G393274 JC393203:JC393274 SY393203:SY393274 ACU393203:ACU393274 AMQ393203:AMQ393274 AWM393203:AWM393274 BGI393203:BGI393274 BQE393203:BQE393274 CAA393203:CAA393274 CJW393203:CJW393274 CTS393203:CTS393274 DDO393203:DDO393274 DNK393203:DNK393274 DXG393203:DXG393274 EHC393203:EHC393274 EQY393203:EQY393274 FAU393203:FAU393274 FKQ393203:FKQ393274 FUM393203:FUM393274 GEI393203:GEI393274 GOE393203:GOE393274 GYA393203:GYA393274 HHW393203:HHW393274 HRS393203:HRS393274 IBO393203:IBO393274 ILK393203:ILK393274 IVG393203:IVG393274 JFC393203:JFC393274 JOY393203:JOY393274 JYU393203:JYU393274 KIQ393203:KIQ393274 KSM393203:KSM393274 LCI393203:LCI393274 LME393203:LME393274 LWA393203:LWA393274 MFW393203:MFW393274 MPS393203:MPS393274 MZO393203:MZO393274 NJK393203:NJK393274 NTG393203:NTG393274 ODC393203:ODC393274 OMY393203:OMY393274 OWU393203:OWU393274 PGQ393203:PGQ393274 PQM393203:PQM393274 QAI393203:QAI393274 QKE393203:QKE393274 QUA393203:QUA393274 RDW393203:RDW393274 RNS393203:RNS393274 RXO393203:RXO393274 SHK393203:SHK393274 SRG393203:SRG393274 TBC393203:TBC393274 TKY393203:TKY393274 TUU393203:TUU393274 UEQ393203:UEQ393274 UOM393203:UOM393274 UYI393203:UYI393274 VIE393203:VIE393274 VSA393203:VSA393274 WBW393203:WBW393274 WLS393203:WLS393274 WVO393203:WVO393274 G458739:G458810 JC458739:JC458810 SY458739:SY458810 ACU458739:ACU458810 AMQ458739:AMQ458810 AWM458739:AWM458810 BGI458739:BGI458810 BQE458739:BQE458810 CAA458739:CAA458810 CJW458739:CJW458810 CTS458739:CTS458810 DDO458739:DDO458810 DNK458739:DNK458810 DXG458739:DXG458810 EHC458739:EHC458810 EQY458739:EQY458810 FAU458739:FAU458810 FKQ458739:FKQ458810 FUM458739:FUM458810 GEI458739:GEI458810 GOE458739:GOE458810 GYA458739:GYA458810 HHW458739:HHW458810 HRS458739:HRS458810 IBO458739:IBO458810 ILK458739:ILK458810 IVG458739:IVG458810 JFC458739:JFC458810 JOY458739:JOY458810 JYU458739:JYU458810 KIQ458739:KIQ458810 KSM458739:KSM458810 LCI458739:LCI458810 LME458739:LME458810 LWA458739:LWA458810 MFW458739:MFW458810 MPS458739:MPS458810 MZO458739:MZO458810 NJK458739:NJK458810 NTG458739:NTG458810 ODC458739:ODC458810 OMY458739:OMY458810 OWU458739:OWU458810 PGQ458739:PGQ458810 PQM458739:PQM458810 QAI458739:QAI458810 QKE458739:QKE458810 QUA458739:QUA458810 RDW458739:RDW458810 RNS458739:RNS458810 RXO458739:RXO458810 SHK458739:SHK458810 SRG458739:SRG458810 TBC458739:TBC458810 TKY458739:TKY458810 TUU458739:TUU458810 UEQ458739:UEQ458810 UOM458739:UOM458810 UYI458739:UYI458810 VIE458739:VIE458810 VSA458739:VSA458810 WBW458739:WBW458810 WLS458739:WLS458810 WVO458739:WVO458810 G524275:G524346 JC524275:JC524346 SY524275:SY524346 ACU524275:ACU524346 AMQ524275:AMQ524346 AWM524275:AWM524346 BGI524275:BGI524346 BQE524275:BQE524346 CAA524275:CAA524346 CJW524275:CJW524346 CTS524275:CTS524346 DDO524275:DDO524346 DNK524275:DNK524346 DXG524275:DXG524346 EHC524275:EHC524346 EQY524275:EQY524346 FAU524275:FAU524346 FKQ524275:FKQ524346 FUM524275:FUM524346 GEI524275:GEI524346 GOE524275:GOE524346 GYA524275:GYA524346 HHW524275:HHW524346 HRS524275:HRS524346 IBO524275:IBO524346 ILK524275:ILK524346 IVG524275:IVG524346 JFC524275:JFC524346 JOY524275:JOY524346 JYU524275:JYU524346 KIQ524275:KIQ524346 KSM524275:KSM524346 LCI524275:LCI524346 LME524275:LME524346 LWA524275:LWA524346 MFW524275:MFW524346 MPS524275:MPS524346 MZO524275:MZO524346 NJK524275:NJK524346 NTG524275:NTG524346 ODC524275:ODC524346 OMY524275:OMY524346 OWU524275:OWU524346 PGQ524275:PGQ524346 PQM524275:PQM524346 QAI524275:QAI524346 QKE524275:QKE524346 QUA524275:QUA524346 RDW524275:RDW524346 RNS524275:RNS524346 RXO524275:RXO524346 SHK524275:SHK524346 SRG524275:SRG524346 TBC524275:TBC524346 TKY524275:TKY524346 TUU524275:TUU524346 UEQ524275:UEQ524346 UOM524275:UOM524346 UYI524275:UYI524346 VIE524275:VIE524346 VSA524275:VSA524346 WBW524275:WBW524346 WLS524275:WLS524346 WVO524275:WVO524346 G589811:G589882 JC589811:JC589882 SY589811:SY589882 ACU589811:ACU589882 AMQ589811:AMQ589882 AWM589811:AWM589882 BGI589811:BGI589882 BQE589811:BQE589882 CAA589811:CAA589882 CJW589811:CJW589882 CTS589811:CTS589882 DDO589811:DDO589882 DNK589811:DNK589882 DXG589811:DXG589882 EHC589811:EHC589882 EQY589811:EQY589882 FAU589811:FAU589882 FKQ589811:FKQ589882 FUM589811:FUM589882 GEI589811:GEI589882 GOE589811:GOE589882 GYA589811:GYA589882 HHW589811:HHW589882 HRS589811:HRS589882 IBO589811:IBO589882 ILK589811:ILK589882 IVG589811:IVG589882 JFC589811:JFC589882 JOY589811:JOY589882 JYU589811:JYU589882 KIQ589811:KIQ589882 KSM589811:KSM589882 LCI589811:LCI589882 LME589811:LME589882 LWA589811:LWA589882 MFW589811:MFW589882 MPS589811:MPS589882 MZO589811:MZO589882 NJK589811:NJK589882 NTG589811:NTG589882 ODC589811:ODC589882 OMY589811:OMY589882 OWU589811:OWU589882 PGQ589811:PGQ589882 PQM589811:PQM589882 QAI589811:QAI589882 QKE589811:QKE589882 QUA589811:QUA589882 RDW589811:RDW589882 RNS589811:RNS589882 RXO589811:RXO589882 SHK589811:SHK589882 SRG589811:SRG589882 TBC589811:TBC589882 TKY589811:TKY589882 TUU589811:TUU589882 UEQ589811:UEQ589882 UOM589811:UOM589882 UYI589811:UYI589882 VIE589811:VIE589882 VSA589811:VSA589882 WBW589811:WBW589882 WLS589811:WLS589882 WVO589811:WVO589882 G655347:G655418 JC655347:JC655418 SY655347:SY655418 ACU655347:ACU655418 AMQ655347:AMQ655418 AWM655347:AWM655418 BGI655347:BGI655418 BQE655347:BQE655418 CAA655347:CAA655418 CJW655347:CJW655418 CTS655347:CTS655418 DDO655347:DDO655418 DNK655347:DNK655418 DXG655347:DXG655418 EHC655347:EHC655418 EQY655347:EQY655418 FAU655347:FAU655418 FKQ655347:FKQ655418 FUM655347:FUM655418 GEI655347:GEI655418 GOE655347:GOE655418 GYA655347:GYA655418 HHW655347:HHW655418 HRS655347:HRS655418 IBO655347:IBO655418 ILK655347:ILK655418 IVG655347:IVG655418 JFC655347:JFC655418 JOY655347:JOY655418 JYU655347:JYU655418 KIQ655347:KIQ655418 KSM655347:KSM655418 LCI655347:LCI655418 LME655347:LME655418 LWA655347:LWA655418 MFW655347:MFW655418 MPS655347:MPS655418 MZO655347:MZO655418 NJK655347:NJK655418 NTG655347:NTG655418 ODC655347:ODC655418 OMY655347:OMY655418 OWU655347:OWU655418 PGQ655347:PGQ655418 PQM655347:PQM655418 QAI655347:QAI655418 QKE655347:QKE655418 QUA655347:QUA655418 RDW655347:RDW655418 RNS655347:RNS655418 RXO655347:RXO655418 SHK655347:SHK655418 SRG655347:SRG655418 TBC655347:TBC655418 TKY655347:TKY655418 TUU655347:TUU655418 UEQ655347:UEQ655418 UOM655347:UOM655418 UYI655347:UYI655418 VIE655347:VIE655418 VSA655347:VSA655418 WBW655347:WBW655418 WLS655347:WLS655418 WVO655347:WVO655418 G720883:G720954 JC720883:JC720954 SY720883:SY720954 ACU720883:ACU720954 AMQ720883:AMQ720954 AWM720883:AWM720954 BGI720883:BGI720954 BQE720883:BQE720954 CAA720883:CAA720954 CJW720883:CJW720954 CTS720883:CTS720954 DDO720883:DDO720954 DNK720883:DNK720954 DXG720883:DXG720954 EHC720883:EHC720954 EQY720883:EQY720954 FAU720883:FAU720954 FKQ720883:FKQ720954 FUM720883:FUM720954 GEI720883:GEI720954 GOE720883:GOE720954 GYA720883:GYA720954 HHW720883:HHW720954 HRS720883:HRS720954 IBO720883:IBO720954 ILK720883:ILK720954 IVG720883:IVG720954 JFC720883:JFC720954 JOY720883:JOY720954 JYU720883:JYU720954 KIQ720883:KIQ720954 KSM720883:KSM720954 LCI720883:LCI720954 LME720883:LME720954 LWA720883:LWA720954 MFW720883:MFW720954 MPS720883:MPS720954 MZO720883:MZO720954 NJK720883:NJK720954 NTG720883:NTG720954 ODC720883:ODC720954 OMY720883:OMY720954 OWU720883:OWU720954 PGQ720883:PGQ720954 PQM720883:PQM720954 QAI720883:QAI720954 QKE720883:QKE720954 QUA720883:QUA720954 RDW720883:RDW720954 RNS720883:RNS720954 RXO720883:RXO720954 SHK720883:SHK720954 SRG720883:SRG720954 TBC720883:TBC720954 TKY720883:TKY720954 TUU720883:TUU720954 UEQ720883:UEQ720954 UOM720883:UOM720954 UYI720883:UYI720954 VIE720883:VIE720954 VSA720883:VSA720954 WBW720883:WBW720954 WLS720883:WLS720954 WVO720883:WVO720954 G786419:G786490 JC786419:JC786490 SY786419:SY786490 ACU786419:ACU786490 AMQ786419:AMQ786490 AWM786419:AWM786490 BGI786419:BGI786490 BQE786419:BQE786490 CAA786419:CAA786490 CJW786419:CJW786490 CTS786419:CTS786490 DDO786419:DDO786490 DNK786419:DNK786490 DXG786419:DXG786490 EHC786419:EHC786490 EQY786419:EQY786490 FAU786419:FAU786490 FKQ786419:FKQ786490 FUM786419:FUM786490 GEI786419:GEI786490 GOE786419:GOE786490 GYA786419:GYA786490 HHW786419:HHW786490 HRS786419:HRS786490 IBO786419:IBO786490 ILK786419:ILK786490 IVG786419:IVG786490 JFC786419:JFC786490 JOY786419:JOY786490 JYU786419:JYU786490 KIQ786419:KIQ786490 KSM786419:KSM786490 LCI786419:LCI786490 LME786419:LME786490 LWA786419:LWA786490 MFW786419:MFW786490 MPS786419:MPS786490 MZO786419:MZO786490 NJK786419:NJK786490 NTG786419:NTG786490 ODC786419:ODC786490 OMY786419:OMY786490 OWU786419:OWU786490 PGQ786419:PGQ786490 PQM786419:PQM786490 QAI786419:QAI786490 QKE786419:QKE786490 QUA786419:QUA786490 RDW786419:RDW786490 RNS786419:RNS786490 RXO786419:RXO786490 SHK786419:SHK786490 SRG786419:SRG786490 TBC786419:TBC786490 TKY786419:TKY786490 TUU786419:TUU786490 UEQ786419:UEQ786490 UOM786419:UOM786490 UYI786419:UYI786490 VIE786419:VIE786490 VSA786419:VSA786490 WBW786419:WBW786490 WLS786419:WLS786490 WVO786419:WVO786490 G851955:G852026 JC851955:JC852026 SY851955:SY852026 ACU851955:ACU852026 AMQ851955:AMQ852026 AWM851955:AWM852026 BGI851955:BGI852026 BQE851955:BQE852026 CAA851955:CAA852026 CJW851955:CJW852026 CTS851955:CTS852026 DDO851955:DDO852026 DNK851955:DNK852026 DXG851955:DXG852026 EHC851955:EHC852026 EQY851955:EQY852026 FAU851955:FAU852026 FKQ851955:FKQ852026 FUM851955:FUM852026 GEI851955:GEI852026 GOE851955:GOE852026 GYA851955:GYA852026 HHW851955:HHW852026 HRS851955:HRS852026 IBO851955:IBO852026 ILK851955:ILK852026 IVG851955:IVG852026 JFC851955:JFC852026 JOY851955:JOY852026 JYU851955:JYU852026 KIQ851955:KIQ852026 KSM851955:KSM852026 LCI851955:LCI852026 LME851955:LME852026 LWA851955:LWA852026 MFW851955:MFW852026 MPS851955:MPS852026 MZO851955:MZO852026 NJK851955:NJK852026 NTG851955:NTG852026 ODC851955:ODC852026 OMY851955:OMY852026 OWU851955:OWU852026 PGQ851955:PGQ852026 PQM851955:PQM852026 QAI851955:QAI852026 QKE851955:QKE852026 QUA851955:QUA852026 RDW851955:RDW852026 RNS851955:RNS852026 RXO851955:RXO852026 SHK851955:SHK852026 SRG851955:SRG852026 TBC851955:TBC852026 TKY851955:TKY852026 TUU851955:TUU852026 UEQ851955:UEQ852026 UOM851955:UOM852026 UYI851955:UYI852026 VIE851955:VIE852026 VSA851955:VSA852026 WBW851955:WBW852026 WLS851955:WLS852026 WVO851955:WVO852026 G917491:G917562 JC917491:JC917562 SY917491:SY917562 ACU917491:ACU917562 AMQ917491:AMQ917562 AWM917491:AWM917562 BGI917491:BGI917562 BQE917491:BQE917562 CAA917491:CAA917562 CJW917491:CJW917562 CTS917491:CTS917562 DDO917491:DDO917562 DNK917491:DNK917562 DXG917491:DXG917562 EHC917491:EHC917562 EQY917491:EQY917562 FAU917491:FAU917562 FKQ917491:FKQ917562 FUM917491:FUM917562 GEI917491:GEI917562 GOE917491:GOE917562 GYA917491:GYA917562 HHW917491:HHW917562 HRS917491:HRS917562 IBO917491:IBO917562 ILK917491:ILK917562 IVG917491:IVG917562 JFC917491:JFC917562 JOY917491:JOY917562 JYU917491:JYU917562 KIQ917491:KIQ917562 KSM917491:KSM917562 LCI917491:LCI917562 LME917491:LME917562 LWA917491:LWA917562 MFW917491:MFW917562 MPS917491:MPS917562 MZO917491:MZO917562 NJK917491:NJK917562 NTG917491:NTG917562 ODC917491:ODC917562 OMY917491:OMY917562 OWU917491:OWU917562 PGQ917491:PGQ917562 PQM917491:PQM917562 QAI917491:QAI917562 QKE917491:QKE917562 QUA917491:QUA917562 RDW917491:RDW917562 RNS917491:RNS917562 RXO917491:RXO917562 SHK917491:SHK917562 SRG917491:SRG917562 TBC917491:TBC917562 TKY917491:TKY917562 TUU917491:TUU917562 UEQ917491:UEQ917562 UOM917491:UOM917562 UYI917491:UYI917562 VIE917491:VIE917562 VSA917491:VSA917562 WBW917491:WBW917562 WLS917491:WLS917562 WVO917491:WVO917562 G983027:G983098 JC983027:JC983098 SY983027:SY983098 ACU983027:ACU983098 AMQ983027:AMQ983098 AWM983027:AWM983098 BGI983027:BGI983098 BQE983027:BQE983098 CAA983027:CAA983098 CJW983027:CJW983098 CTS983027:CTS983098 DDO983027:DDO983098 DNK983027:DNK983098 DXG983027:DXG983098 EHC983027:EHC983098 EQY983027:EQY983098 FAU983027:FAU983098 FKQ983027:FKQ983098 FUM983027:FUM983098 GEI983027:GEI983098 GOE983027:GOE983098 GYA983027:GYA983098 HHW983027:HHW983098 HRS983027:HRS983098 IBO983027:IBO983098 ILK983027:ILK983098 IVG983027:IVG983098 JFC983027:JFC983098 JOY983027:JOY983098 JYU983027:JYU983098 KIQ983027:KIQ983098 KSM983027:KSM983098 LCI983027:LCI983098 LME983027:LME983098 LWA983027:LWA983098 MFW983027:MFW983098 MPS983027:MPS983098 MZO983027:MZO983098 NJK983027:NJK983098 NTG983027:NTG983098 ODC983027:ODC983098 OMY983027:OMY983098 OWU983027:OWU983098 PGQ983027:PGQ983098 PQM983027:PQM983098 QAI983027:QAI983098 QKE983027:QKE983098 QUA983027:QUA983098 RDW983027:RDW983098 RNS983027:RNS983098 RXO983027:RXO983098 SHK983027:SHK983098 SRG983027:SRG983098 TBC983027:TBC983098 TKY983027:TKY983098 TUU983027:TUU983098 UEQ983027:UEQ983098 UOM983027:UOM983098 UYI983027:UYI983098 VIE983027:VIE983098 VSA983027:VSA983098 WBW983027:WBW983098 WLS983027:WLS983098 G2:G485 JC2:JC72 WVO2:WVO72 WLS2:WLS72 WBW2:WBW72 VSA2:VSA72 VIE2:VIE72 UYI2:UYI72 UOM2:UOM72 UEQ2:UEQ72 TUU2:TUU72 TKY2:TKY72 TBC2:TBC72 SRG2:SRG72 SHK2:SHK72 RXO2:RXO72 RNS2:RNS72 RDW2:RDW72 QUA2:QUA72 QKE2:QKE72 QAI2:QAI72 PQM2:PQM72 PGQ2:PGQ72 OWU2:OWU72 OMY2:OMY72 ODC2:ODC72 NTG2:NTG72 NJK2:NJK72 MZO2:MZO72 MPS2:MPS72 MFW2:MFW72 LWA2:LWA72 LME2:LME72 LCI2:LCI72 KSM2:KSM72 KIQ2:KIQ72 JYU2:JYU72 JOY2:JOY72 JFC2:JFC72 IVG2:IVG72 ILK2:ILK72 IBO2:IBO72 HRS2:HRS72 HHW2:HHW72 GYA2:GYA72 GOE2:GOE72 GEI2:GEI72 FUM2:FUM72 FKQ2:FKQ72 FAU2:FAU72 EQY2:EQY72 EHC2:EHC72 DXG2:DXG72 DNK2:DNK72 DDO2:DDO72 CTS2:CTS72 CJW2:CJW72 CAA2:CAA72 BQE2:BQE72 BGI2:BGI72 AWM2:AWM72 AMQ2:AMQ72 ACU2:ACU72 SY2:SY72" xr:uid="{379C77F9-101C-4632-8995-90FBE40E447B}">
      <formula1>$AJ$2:$AJ$4</formula1>
    </dataValidation>
    <dataValidation type="list" allowBlank="1" showInputMessage="1" showErrorMessage="1" sqref="I64348:I64413 JE64348:JE64413 TA64348:TA64413 ACW64348:ACW64413 AMS64348:AMS64413 AWO64348:AWO64413 BGK64348:BGK64413 BQG64348:BQG64413 CAC64348:CAC64413 CJY64348:CJY64413 CTU64348:CTU64413 DDQ64348:DDQ64413 DNM64348:DNM64413 DXI64348:DXI64413 EHE64348:EHE64413 ERA64348:ERA64413 FAW64348:FAW64413 FKS64348:FKS64413 FUO64348:FUO64413 GEK64348:GEK64413 GOG64348:GOG64413 GYC64348:GYC64413 HHY64348:HHY64413 HRU64348:HRU64413 IBQ64348:IBQ64413 ILM64348:ILM64413 IVI64348:IVI64413 JFE64348:JFE64413 JPA64348:JPA64413 JYW64348:JYW64413 KIS64348:KIS64413 KSO64348:KSO64413 LCK64348:LCK64413 LMG64348:LMG64413 LWC64348:LWC64413 MFY64348:MFY64413 MPU64348:MPU64413 MZQ64348:MZQ64413 NJM64348:NJM64413 NTI64348:NTI64413 ODE64348:ODE64413 ONA64348:ONA64413 OWW64348:OWW64413 PGS64348:PGS64413 PQO64348:PQO64413 QAK64348:QAK64413 QKG64348:QKG64413 QUC64348:QUC64413 RDY64348:RDY64413 RNU64348:RNU64413 RXQ64348:RXQ64413 SHM64348:SHM64413 SRI64348:SRI64413 TBE64348:TBE64413 TLA64348:TLA64413 TUW64348:TUW64413 UES64348:UES64413 UOO64348:UOO64413 UYK64348:UYK64413 VIG64348:VIG64413 VSC64348:VSC64413 WBY64348:WBY64413 WLU64348:WLU64413 WVQ64348:WVQ64413 I129884:I129949 JE129884:JE129949 TA129884:TA129949 ACW129884:ACW129949 AMS129884:AMS129949 AWO129884:AWO129949 BGK129884:BGK129949 BQG129884:BQG129949 CAC129884:CAC129949 CJY129884:CJY129949 CTU129884:CTU129949 DDQ129884:DDQ129949 DNM129884:DNM129949 DXI129884:DXI129949 EHE129884:EHE129949 ERA129884:ERA129949 FAW129884:FAW129949 FKS129884:FKS129949 FUO129884:FUO129949 GEK129884:GEK129949 GOG129884:GOG129949 GYC129884:GYC129949 HHY129884:HHY129949 HRU129884:HRU129949 IBQ129884:IBQ129949 ILM129884:ILM129949 IVI129884:IVI129949 JFE129884:JFE129949 JPA129884:JPA129949 JYW129884:JYW129949 KIS129884:KIS129949 KSO129884:KSO129949 LCK129884:LCK129949 LMG129884:LMG129949 LWC129884:LWC129949 MFY129884:MFY129949 MPU129884:MPU129949 MZQ129884:MZQ129949 NJM129884:NJM129949 NTI129884:NTI129949 ODE129884:ODE129949 ONA129884:ONA129949 OWW129884:OWW129949 PGS129884:PGS129949 PQO129884:PQO129949 QAK129884:QAK129949 QKG129884:QKG129949 QUC129884:QUC129949 RDY129884:RDY129949 RNU129884:RNU129949 RXQ129884:RXQ129949 SHM129884:SHM129949 SRI129884:SRI129949 TBE129884:TBE129949 TLA129884:TLA129949 TUW129884:TUW129949 UES129884:UES129949 UOO129884:UOO129949 UYK129884:UYK129949 VIG129884:VIG129949 VSC129884:VSC129949 WBY129884:WBY129949 WLU129884:WLU129949 WVQ129884:WVQ129949 I195420:I195485 JE195420:JE195485 TA195420:TA195485 ACW195420:ACW195485 AMS195420:AMS195485 AWO195420:AWO195485 BGK195420:BGK195485 BQG195420:BQG195485 CAC195420:CAC195485 CJY195420:CJY195485 CTU195420:CTU195485 DDQ195420:DDQ195485 DNM195420:DNM195485 DXI195420:DXI195485 EHE195420:EHE195485 ERA195420:ERA195485 FAW195420:FAW195485 FKS195420:FKS195485 FUO195420:FUO195485 GEK195420:GEK195485 GOG195420:GOG195485 GYC195420:GYC195485 HHY195420:HHY195485 HRU195420:HRU195485 IBQ195420:IBQ195485 ILM195420:ILM195485 IVI195420:IVI195485 JFE195420:JFE195485 JPA195420:JPA195485 JYW195420:JYW195485 KIS195420:KIS195485 KSO195420:KSO195485 LCK195420:LCK195485 LMG195420:LMG195485 LWC195420:LWC195485 MFY195420:MFY195485 MPU195420:MPU195485 MZQ195420:MZQ195485 NJM195420:NJM195485 NTI195420:NTI195485 ODE195420:ODE195485 ONA195420:ONA195485 OWW195420:OWW195485 PGS195420:PGS195485 PQO195420:PQO195485 QAK195420:QAK195485 QKG195420:QKG195485 QUC195420:QUC195485 RDY195420:RDY195485 RNU195420:RNU195485 RXQ195420:RXQ195485 SHM195420:SHM195485 SRI195420:SRI195485 TBE195420:TBE195485 TLA195420:TLA195485 TUW195420:TUW195485 UES195420:UES195485 UOO195420:UOO195485 UYK195420:UYK195485 VIG195420:VIG195485 VSC195420:VSC195485 WBY195420:WBY195485 WLU195420:WLU195485 WVQ195420:WVQ195485 I260956:I261021 JE260956:JE261021 TA260956:TA261021 ACW260956:ACW261021 AMS260956:AMS261021 AWO260956:AWO261021 BGK260956:BGK261021 BQG260956:BQG261021 CAC260956:CAC261021 CJY260956:CJY261021 CTU260956:CTU261021 DDQ260956:DDQ261021 DNM260956:DNM261021 DXI260956:DXI261021 EHE260956:EHE261021 ERA260956:ERA261021 FAW260956:FAW261021 FKS260956:FKS261021 FUO260956:FUO261021 GEK260956:GEK261021 GOG260956:GOG261021 GYC260956:GYC261021 HHY260956:HHY261021 HRU260956:HRU261021 IBQ260956:IBQ261021 ILM260956:ILM261021 IVI260956:IVI261021 JFE260956:JFE261021 JPA260956:JPA261021 JYW260956:JYW261021 KIS260956:KIS261021 KSO260956:KSO261021 LCK260956:LCK261021 LMG260956:LMG261021 LWC260956:LWC261021 MFY260956:MFY261021 MPU260956:MPU261021 MZQ260956:MZQ261021 NJM260956:NJM261021 NTI260956:NTI261021 ODE260956:ODE261021 ONA260956:ONA261021 OWW260956:OWW261021 PGS260956:PGS261021 PQO260956:PQO261021 QAK260956:QAK261021 QKG260956:QKG261021 QUC260956:QUC261021 RDY260956:RDY261021 RNU260956:RNU261021 RXQ260956:RXQ261021 SHM260956:SHM261021 SRI260956:SRI261021 TBE260956:TBE261021 TLA260956:TLA261021 TUW260956:TUW261021 UES260956:UES261021 UOO260956:UOO261021 UYK260956:UYK261021 VIG260956:VIG261021 VSC260956:VSC261021 WBY260956:WBY261021 WLU260956:WLU261021 WVQ260956:WVQ261021 I326492:I326557 JE326492:JE326557 TA326492:TA326557 ACW326492:ACW326557 AMS326492:AMS326557 AWO326492:AWO326557 BGK326492:BGK326557 BQG326492:BQG326557 CAC326492:CAC326557 CJY326492:CJY326557 CTU326492:CTU326557 DDQ326492:DDQ326557 DNM326492:DNM326557 DXI326492:DXI326557 EHE326492:EHE326557 ERA326492:ERA326557 FAW326492:FAW326557 FKS326492:FKS326557 FUO326492:FUO326557 GEK326492:GEK326557 GOG326492:GOG326557 GYC326492:GYC326557 HHY326492:HHY326557 HRU326492:HRU326557 IBQ326492:IBQ326557 ILM326492:ILM326557 IVI326492:IVI326557 JFE326492:JFE326557 JPA326492:JPA326557 JYW326492:JYW326557 KIS326492:KIS326557 KSO326492:KSO326557 LCK326492:LCK326557 LMG326492:LMG326557 LWC326492:LWC326557 MFY326492:MFY326557 MPU326492:MPU326557 MZQ326492:MZQ326557 NJM326492:NJM326557 NTI326492:NTI326557 ODE326492:ODE326557 ONA326492:ONA326557 OWW326492:OWW326557 PGS326492:PGS326557 PQO326492:PQO326557 QAK326492:QAK326557 QKG326492:QKG326557 QUC326492:QUC326557 RDY326492:RDY326557 RNU326492:RNU326557 RXQ326492:RXQ326557 SHM326492:SHM326557 SRI326492:SRI326557 TBE326492:TBE326557 TLA326492:TLA326557 TUW326492:TUW326557 UES326492:UES326557 UOO326492:UOO326557 UYK326492:UYK326557 VIG326492:VIG326557 VSC326492:VSC326557 WBY326492:WBY326557 WLU326492:WLU326557 WVQ326492:WVQ326557 I392028:I392093 JE392028:JE392093 TA392028:TA392093 ACW392028:ACW392093 AMS392028:AMS392093 AWO392028:AWO392093 BGK392028:BGK392093 BQG392028:BQG392093 CAC392028:CAC392093 CJY392028:CJY392093 CTU392028:CTU392093 DDQ392028:DDQ392093 DNM392028:DNM392093 DXI392028:DXI392093 EHE392028:EHE392093 ERA392028:ERA392093 FAW392028:FAW392093 FKS392028:FKS392093 FUO392028:FUO392093 GEK392028:GEK392093 GOG392028:GOG392093 GYC392028:GYC392093 HHY392028:HHY392093 HRU392028:HRU392093 IBQ392028:IBQ392093 ILM392028:ILM392093 IVI392028:IVI392093 JFE392028:JFE392093 JPA392028:JPA392093 JYW392028:JYW392093 KIS392028:KIS392093 KSO392028:KSO392093 LCK392028:LCK392093 LMG392028:LMG392093 LWC392028:LWC392093 MFY392028:MFY392093 MPU392028:MPU392093 MZQ392028:MZQ392093 NJM392028:NJM392093 NTI392028:NTI392093 ODE392028:ODE392093 ONA392028:ONA392093 OWW392028:OWW392093 PGS392028:PGS392093 PQO392028:PQO392093 QAK392028:QAK392093 QKG392028:QKG392093 QUC392028:QUC392093 RDY392028:RDY392093 RNU392028:RNU392093 RXQ392028:RXQ392093 SHM392028:SHM392093 SRI392028:SRI392093 TBE392028:TBE392093 TLA392028:TLA392093 TUW392028:TUW392093 UES392028:UES392093 UOO392028:UOO392093 UYK392028:UYK392093 VIG392028:VIG392093 VSC392028:VSC392093 WBY392028:WBY392093 WLU392028:WLU392093 WVQ392028:WVQ392093 I457564:I457629 JE457564:JE457629 TA457564:TA457629 ACW457564:ACW457629 AMS457564:AMS457629 AWO457564:AWO457629 BGK457564:BGK457629 BQG457564:BQG457629 CAC457564:CAC457629 CJY457564:CJY457629 CTU457564:CTU457629 DDQ457564:DDQ457629 DNM457564:DNM457629 DXI457564:DXI457629 EHE457564:EHE457629 ERA457564:ERA457629 FAW457564:FAW457629 FKS457564:FKS457629 FUO457564:FUO457629 GEK457564:GEK457629 GOG457564:GOG457629 GYC457564:GYC457629 HHY457564:HHY457629 HRU457564:HRU457629 IBQ457564:IBQ457629 ILM457564:ILM457629 IVI457564:IVI457629 JFE457564:JFE457629 JPA457564:JPA457629 JYW457564:JYW457629 KIS457564:KIS457629 KSO457564:KSO457629 LCK457564:LCK457629 LMG457564:LMG457629 LWC457564:LWC457629 MFY457564:MFY457629 MPU457564:MPU457629 MZQ457564:MZQ457629 NJM457564:NJM457629 NTI457564:NTI457629 ODE457564:ODE457629 ONA457564:ONA457629 OWW457564:OWW457629 PGS457564:PGS457629 PQO457564:PQO457629 QAK457564:QAK457629 QKG457564:QKG457629 QUC457564:QUC457629 RDY457564:RDY457629 RNU457564:RNU457629 RXQ457564:RXQ457629 SHM457564:SHM457629 SRI457564:SRI457629 TBE457564:TBE457629 TLA457564:TLA457629 TUW457564:TUW457629 UES457564:UES457629 UOO457564:UOO457629 UYK457564:UYK457629 VIG457564:VIG457629 VSC457564:VSC457629 WBY457564:WBY457629 WLU457564:WLU457629 WVQ457564:WVQ457629 I523100:I523165 JE523100:JE523165 TA523100:TA523165 ACW523100:ACW523165 AMS523100:AMS523165 AWO523100:AWO523165 BGK523100:BGK523165 BQG523100:BQG523165 CAC523100:CAC523165 CJY523100:CJY523165 CTU523100:CTU523165 DDQ523100:DDQ523165 DNM523100:DNM523165 DXI523100:DXI523165 EHE523100:EHE523165 ERA523100:ERA523165 FAW523100:FAW523165 FKS523100:FKS523165 FUO523100:FUO523165 GEK523100:GEK523165 GOG523100:GOG523165 GYC523100:GYC523165 HHY523100:HHY523165 HRU523100:HRU523165 IBQ523100:IBQ523165 ILM523100:ILM523165 IVI523100:IVI523165 JFE523100:JFE523165 JPA523100:JPA523165 JYW523100:JYW523165 KIS523100:KIS523165 KSO523100:KSO523165 LCK523100:LCK523165 LMG523100:LMG523165 LWC523100:LWC523165 MFY523100:MFY523165 MPU523100:MPU523165 MZQ523100:MZQ523165 NJM523100:NJM523165 NTI523100:NTI523165 ODE523100:ODE523165 ONA523100:ONA523165 OWW523100:OWW523165 PGS523100:PGS523165 PQO523100:PQO523165 QAK523100:QAK523165 QKG523100:QKG523165 QUC523100:QUC523165 RDY523100:RDY523165 RNU523100:RNU523165 RXQ523100:RXQ523165 SHM523100:SHM523165 SRI523100:SRI523165 TBE523100:TBE523165 TLA523100:TLA523165 TUW523100:TUW523165 UES523100:UES523165 UOO523100:UOO523165 UYK523100:UYK523165 VIG523100:VIG523165 VSC523100:VSC523165 WBY523100:WBY523165 WLU523100:WLU523165 WVQ523100:WVQ523165 I588636:I588701 JE588636:JE588701 TA588636:TA588701 ACW588636:ACW588701 AMS588636:AMS588701 AWO588636:AWO588701 BGK588636:BGK588701 BQG588636:BQG588701 CAC588636:CAC588701 CJY588636:CJY588701 CTU588636:CTU588701 DDQ588636:DDQ588701 DNM588636:DNM588701 DXI588636:DXI588701 EHE588636:EHE588701 ERA588636:ERA588701 FAW588636:FAW588701 FKS588636:FKS588701 FUO588636:FUO588701 GEK588636:GEK588701 GOG588636:GOG588701 GYC588636:GYC588701 HHY588636:HHY588701 HRU588636:HRU588701 IBQ588636:IBQ588701 ILM588636:ILM588701 IVI588636:IVI588701 JFE588636:JFE588701 JPA588636:JPA588701 JYW588636:JYW588701 KIS588636:KIS588701 KSO588636:KSO588701 LCK588636:LCK588701 LMG588636:LMG588701 LWC588636:LWC588701 MFY588636:MFY588701 MPU588636:MPU588701 MZQ588636:MZQ588701 NJM588636:NJM588701 NTI588636:NTI588701 ODE588636:ODE588701 ONA588636:ONA588701 OWW588636:OWW588701 PGS588636:PGS588701 PQO588636:PQO588701 QAK588636:QAK588701 QKG588636:QKG588701 QUC588636:QUC588701 RDY588636:RDY588701 RNU588636:RNU588701 RXQ588636:RXQ588701 SHM588636:SHM588701 SRI588636:SRI588701 TBE588636:TBE588701 TLA588636:TLA588701 TUW588636:TUW588701 UES588636:UES588701 UOO588636:UOO588701 UYK588636:UYK588701 VIG588636:VIG588701 VSC588636:VSC588701 WBY588636:WBY588701 WLU588636:WLU588701 WVQ588636:WVQ588701 I654172:I654237 JE654172:JE654237 TA654172:TA654237 ACW654172:ACW654237 AMS654172:AMS654237 AWO654172:AWO654237 BGK654172:BGK654237 BQG654172:BQG654237 CAC654172:CAC654237 CJY654172:CJY654237 CTU654172:CTU654237 DDQ654172:DDQ654237 DNM654172:DNM654237 DXI654172:DXI654237 EHE654172:EHE654237 ERA654172:ERA654237 FAW654172:FAW654237 FKS654172:FKS654237 FUO654172:FUO654237 GEK654172:GEK654237 GOG654172:GOG654237 GYC654172:GYC654237 HHY654172:HHY654237 HRU654172:HRU654237 IBQ654172:IBQ654237 ILM654172:ILM654237 IVI654172:IVI654237 JFE654172:JFE654237 JPA654172:JPA654237 JYW654172:JYW654237 KIS654172:KIS654237 KSO654172:KSO654237 LCK654172:LCK654237 LMG654172:LMG654237 LWC654172:LWC654237 MFY654172:MFY654237 MPU654172:MPU654237 MZQ654172:MZQ654237 NJM654172:NJM654237 NTI654172:NTI654237 ODE654172:ODE654237 ONA654172:ONA654237 OWW654172:OWW654237 PGS654172:PGS654237 PQO654172:PQO654237 QAK654172:QAK654237 QKG654172:QKG654237 QUC654172:QUC654237 RDY654172:RDY654237 RNU654172:RNU654237 RXQ654172:RXQ654237 SHM654172:SHM654237 SRI654172:SRI654237 TBE654172:TBE654237 TLA654172:TLA654237 TUW654172:TUW654237 UES654172:UES654237 UOO654172:UOO654237 UYK654172:UYK654237 VIG654172:VIG654237 VSC654172:VSC654237 WBY654172:WBY654237 WLU654172:WLU654237 WVQ654172:WVQ654237 I719708:I719773 JE719708:JE719773 TA719708:TA719773 ACW719708:ACW719773 AMS719708:AMS719773 AWO719708:AWO719773 BGK719708:BGK719773 BQG719708:BQG719773 CAC719708:CAC719773 CJY719708:CJY719773 CTU719708:CTU719773 DDQ719708:DDQ719773 DNM719708:DNM719773 DXI719708:DXI719773 EHE719708:EHE719773 ERA719708:ERA719773 FAW719708:FAW719773 FKS719708:FKS719773 FUO719708:FUO719773 GEK719708:GEK719773 GOG719708:GOG719773 GYC719708:GYC719773 HHY719708:HHY719773 HRU719708:HRU719773 IBQ719708:IBQ719773 ILM719708:ILM719773 IVI719708:IVI719773 JFE719708:JFE719773 JPA719708:JPA719773 JYW719708:JYW719773 KIS719708:KIS719773 KSO719708:KSO719773 LCK719708:LCK719773 LMG719708:LMG719773 LWC719708:LWC719773 MFY719708:MFY719773 MPU719708:MPU719773 MZQ719708:MZQ719773 NJM719708:NJM719773 NTI719708:NTI719773 ODE719708:ODE719773 ONA719708:ONA719773 OWW719708:OWW719773 PGS719708:PGS719773 PQO719708:PQO719773 QAK719708:QAK719773 QKG719708:QKG719773 QUC719708:QUC719773 RDY719708:RDY719773 RNU719708:RNU719773 RXQ719708:RXQ719773 SHM719708:SHM719773 SRI719708:SRI719773 TBE719708:TBE719773 TLA719708:TLA719773 TUW719708:TUW719773 UES719708:UES719773 UOO719708:UOO719773 UYK719708:UYK719773 VIG719708:VIG719773 VSC719708:VSC719773 WBY719708:WBY719773 WLU719708:WLU719773 WVQ719708:WVQ719773 I785244:I785309 JE785244:JE785309 TA785244:TA785309 ACW785244:ACW785309 AMS785244:AMS785309 AWO785244:AWO785309 BGK785244:BGK785309 BQG785244:BQG785309 CAC785244:CAC785309 CJY785244:CJY785309 CTU785244:CTU785309 DDQ785244:DDQ785309 DNM785244:DNM785309 DXI785244:DXI785309 EHE785244:EHE785309 ERA785244:ERA785309 FAW785244:FAW785309 FKS785244:FKS785309 FUO785244:FUO785309 GEK785244:GEK785309 GOG785244:GOG785309 GYC785244:GYC785309 HHY785244:HHY785309 HRU785244:HRU785309 IBQ785244:IBQ785309 ILM785244:ILM785309 IVI785244:IVI785309 JFE785244:JFE785309 JPA785244:JPA785309 JYW785244:JYW785309 KIS785244:KIS785309 KSO785244:KSO785309 LCK785244:LCK785309 LMG785244:LMG785309 LWC785244:LWC785309 MFY785244:MFY785309 MPU785244:MPU785309 MZQ785244:MZQ785309 NJM785244:NJM785309 NTI785244:NTI785309 ODE785244:ODE785309 ONA785244:ONA785309 OWW785244:OWW785309 PGS785244:PGS785309 PQO785244:PQO785309 QAK785244:QAK785309 QKG785244:QKG785309 QUC785244:QUC785309 RDY785244:RDY785309 RNU785244:RNU785309 RXQ785244:RXQ785309 SHM785244:SHM785309 SRI785244:SRI785309 TBE785244:TBE785309 TLA785244:TLA785309 TUW785244:TUW785309 UES785244:UES785309 UOO785244:UOO785309 UYK785244:UYK785309 VIG785244:VIG785309 VSC785244:VSC785309 WBY785244:WBY785309 WLU785244:WLU785309 WVQ785244:WVQ785309 I850780:I850845 JE850780:JE850845 TA850780:TA850845 ACW850780:ACW850845 AMS850780:AMS850845 AWO850780:AWO850845 BGK850780:BGK850845 BQG850780:BQG850845 CAC850780:CAC850845 CJY850780:CJY850845 CTU850780:CTU850845 DDQ850780:DDQ850845 DNM850780:DNM850845 DXI850780:DXI850845 EHE850780:EHE850845 ERA850780:ERA850845 FAW850780:FAW850845 FKS850780:FKS850845 FUO850780:FUO850845 GEK850780:GEK850845 GOG850780:GOG850845 GYC850780:GYC850845 HHY850780:HHY850845 HRU850780:HRU850845 IBQ850780:IBQ850845 ILM850780:ILM850845 IVI850780:IVI850845 JFE850780:JFE850845 JPA850780:JPA850845 JYW850780:JYW850845 KIS850780:KIS850845 KSO850780:KSO850845 LCK850780:LCK850845 LMG850780:LMG850845 LWC850780:LWC850845 MFY850780:MFY850845 MPU850780:MPU850845 MZQ850780:MZQ850845 NJM850780:NJM850845 NTI850780:NTI850845 ODE850780:ODE850845 ONA850780:ONA850845 OWW850780:OWW850845 PGS850780:PGS850845 PQO850780:PQO850845 QAK850780:QAK850845 QKG850780:QKG850845 QUC850780:QUC850845 RDY850780:RDY850845 RNU850780:RNU850845 RXQ850780:RXQ850845 SHM850780:SHM850845 SRI850780:SRI850845 TBE850780:TBE850845 TLA850780:TLA850845 TUW850780:TUW850845 UES850780:UES850845 UOO850780:UOO850845 UYK850780:UYK850845 VIG850780:VIG850845 VSC850780:VSC850845 WBY850780:WBY850845 WLU850780:WLU850845 WVQ850780:WVQ850845 I916316:I916381 JE916316:JE916381 TA916316:TA916381 ACW916316:ACW916381 AMS916316:AMS916381 AWO916316:AWO916381 BGK916316:BGK916381 BQG916316:BQG916381 CAC916316:CAC916381 CJY916316:CJY916381 CTU916316:CTU916381 DDQ916316:DDQ916381 DNM916316:DNM916381 DXI916316:DXI916381 EHE916316:EHE916381 ERA916316:ERA916381 FAW916316:FAW916381 FKS916316:FKS916381 FUO916316:FUO916381 GEK916316:GEK916381 GOG916316:GOG916381 GYC916316:GYC916381 HHY916316:HHY916381 HRU916316:HRU916381 IBQ916316:IBQ916381 ILM916316:ILM916381 IVI916316:IVI916381 JFE916316:JFE916381 JPA916316:JPA916381 JYW916316:JYW916381 KIS916316:KIS916381 KSO916316:KSO916381 LCK916316:LCK916381 LMG916316:LMG916381 LWC916316:LWC916381 MFY916316:MFY916381 MPU916316:MPU916381 MZQ916316:MZQ916381 NJM916316:NJM916381 NTI916316:NTI916381 ODE916316:ODE916381 ONA916316:ONA916381 OWW916316:OWW916381 PGS916316:PGS916381 PQO916316:PQO916381 QAK916316:QAK916381 QKG916316:QKG916381 QUC916316:QUC916381 RDY916316:RDY916381 RNU916316:RNU916381 RXQ916316:RXQ916381 SHM916316:SHM916381 SRI916316:SRI916381 TBE916316:TBE916381 TLA916316:TLA916381 TUW916316:TUW916381 UES916316:UES916381 UOO916316:UOO916381 UYK916316:UYK916381 VIG916316:VIG916381 VSC916316:VSC916381 WBY916316:WBY916381 WLU916316:WLU916381 WVQ916316:WVQ916381 I981852:I981917 JE981852:JE981917 TA981852:TA981917 ACW981852:ACW981917 AMS981852:AMS981917 AWO981852:AWO981917 BGK981852:BGK981917 BQG981852:BQG981917 CAC981852:CAC981917 CJY981852:CJY981917 CTU981852:CTU981917 DDQ981852:DDQ981917 DNM981852:DNM981917 DXI981852:DXI981917 EHE981852:EHE981917 ERA981852:ERA981917 FAW981852:FAW981917 FKS981852:FKS981917 FUO981852:FUO981917 GEK981852:GEK981917 GOG981852:GOG981917 GYC981852:GYC981917 HHY981852:HHY981917 HRU981852:HRU981917 IBQ981852:IBQ981917 ILM981852:ILM981917 IVI981852:IVI981917 JFE981852:JFE981917 JPA981852:JPA981917 JYW981852:JYW981917 KIS981852:KIS981917 KSO981852:KSO981917 LCK981852:LCK981917 LMG981852:LMG981917 LWC981852:LWC981917 MFY981852:MFY981917 MPU981852:MPU981917 MZQ981852:MZQ981917 NJM981852:NJM981917 NTI981852:NTI981917 ODE981852:ODE981917 ONA981852:ONA981917 OWW981852:OWW981917 PGS981852:PGS981917 PQO981852:PQO981917 QAK981852:QAK981917 QKG981852:QKG981917 QUC981852:QUC981917 RDY981852:RDY981917 RNU981852:RNU981917 RXQ981852:RXQ981917 SHM981852:SHM981917 SRI981852:SRI981917 TBE981852:TBE981917 TLA981852:TLA981917 TUW981852:TUW981917 UES981852:UES981917 UOO981852:UOO981917 UYK981852:UYK981917 VIG981852:VIG981917 VSC981852:VSC981917 WBY981852:WBY981917 WLU981852:WLU981917 WVQ981852:WVQ981917 I1047388:I1047453 JE1047388:JE1047453 TA1047388:TA1047453 ACW1047388:ACW1047453 AMS1047388:AMS1047453 AWO1047388:AWO1047453 BGK1047388:BGK1047453 BQG1047388:BQG1047453 CAC1047388:CAC1047453 CJY1047388:CJY1047453 CTU1047388:CTU1047453 DDQ1047388:DDQ1047453 DNM1047388:DNM1047453 DXI1047388:DXI1047453 EHE1047388:EHE1047453 ERA1047388:ERA1047453 FAW1047388:FAW1047453 FKS1047388:FKS1047453 FUO1047388:FUO1047453 GEK1047388:GEK1047453 GOG1047388:GOG1047453 GYC1047388:GYC1047453 HHY1047388:HHY1047453 HRU1047388:HRU1047453 IBQ1047388:IBQ1047453 ILM1047388:ILM1047453 IVI1047388:IVI1047453 JFE1047388:JFE1047453 JPA1047388:JPA1047453 JYW1047388:JYW1047453 KIS1047388:KIS1047453 KSO1047388:KSO1047453 LCK1047388:LCK1047453 LMG1047388:LMG1047453 LWC1047388:LWC1047453 MFY1047388:MFY1047453 MPU1047388:MPU1047453 MZQ1047388:MZQ1047453 NJM1047388:NJM1047453 NTI1047388:NTI1047453 ODE1047388:ODE1047453 ONA1047388:ONA1047453 OWW1047388:OWW1047453 PGS1047388:PGS1047453 PQO1047388:PQO1047453 QAK1047388:QAK1047453 QKG1047388:QKG1047453 QUC1047388:QUC1047453 RDY1047388:RDY1047453 RNU1047388:RNU1047453 RXQ1047388:RXQ1047453 SHM1047388:SHM1047453 SRI1047388:SRI1047453 TBE1047388:TBE1047453 TLA1047388:TLA1047453 TUW1047388:TUW1047453 UES1047388:UES1047453 UOO1047388:UOO1047453 UYK1047388:UYK1047453 VIG1047388:VIG1047453 VSC1047388:VSC1047453 WBY1047388:WBY1047453 WLU1047388:WLU1047453 WVQ1047388:WVQ1047453 WVQ983027:WVQ983092 I65523:I65588 JE65523:JE65588 TA65523:TA65588 ACW65523:ACW65588 AMS65523:AMS65588 AWO65523:AWO65588 BGK65523:BGK65588 BQG65523:BQG65588 CAC65523:CAC65588 CJY65523:CJY65588 CTU65523:CTU65588 DDQ65523:DDQ65588 DNM65523:DNM65588 DXI65523:DXI65588 EHE65523:EHE65588 ERA65523:ERA65588 FAW65523:FAW65588 FKS65523:FKS65588 FUO65523:FUO65588 GEK65523:GEK65588 GOG65523:GOG65588 GYC65523:GYC65588 HHY65523:HHY65588 HRU65523:HRU65588 IBQ65523:IBQ65588 ILM65523:ILM65588 IVI65523:IVI65588 JFE65523:JFE65588 JPA65523:JPA65588 JYW65523:JYW65588 KIS65523:KIS65588 KSO65523:KSO65588 LCK65523:LCK65588 LMG65523:LMG65588 LWC65523:LWC65588 MFY65523:MFY65588 MPU65523:MPU65588 MZQ65523:MZQ65588 NJM65523:NJM65588 NTI65523:NTI65588 ODE65523:ODE65588 ONA65523:ONA65588 OWW65523:OWW65588 PGS65523:PGS65588 PQO65523:PQO65588 QAK65523:QAK65588 QKG65523:QKG65588 QUC65523:QUC65588 RDY65523:RDY65588 RNU65523:RNU65588 RXQ65523:RXQ65588 SHM65523:SHM65588 SRI65523:SRI65588 TBE65523:TBE65588 TLA65523:TLA65588 TUW65523:TUW65588 UES65523:UES65588 UOO65523:UOO65588 UYK65523:UYK65588 VIG65523:VIG65588 VSC65523:VSC65588 WBY65523:WBY65588 WLU65523:WLU65588 WVQ65523:WVQ65588 I131059:I131124 JE131059:JE131124 TA131059:TA131124 ACW131059:ACW131124 AMS131059:AMS131124 AWO131059:AWO131124 BGK131059:BGK131124 BQG131059:BQG131124 CAC131059:CAC131124 CJY131059:CJY131124 CTU131059:CTU131124 DDQ131059:DDQ131124 DNM131059:DNM131124 DXI131059:DXI131124 EHE131059:EHE131124 ERA131059:ERA131124 FAW131059:FAW131124 FKS131059:FKS131124 FUO131059:FUO131124 GEK131059:GEK131124 GOG131059:GOG131124 GYC131059:GYC131124 HHY131059:HHY131124 HRU131059:HRU131124 IBQ131059:IBQ131124 ILM131059:ILM131124 IVI131059:IVI131124 JFE131059:JFE131124 JPA131059:JPA131124 JYW131059:JYW131124 KIS131059:KIS131124 KSO131059:KSO131124 LCK131059:LCK131124 LMG131059:LMG131124 LWC131059:LWC131124 MFY131059:MFY131124 MPU131059:MPU131124 MZQ131059:MZQ131124 NJM131059:NJM131124 NTI131059:NTI131124 ODE131059:ODE131124 ONA131059:ONA131124 OWW131059:OWW131124 PGS131059:PGS131124 PQO131059:PQO131124 QAK131059:QAK131124 QKG131059:QKG131124 QUC131059:QUC131124 RDY131059:RDY131124 RNU131059:RNU131124 RXQ131059:RXQ131124 SHM131059:SHM131124 SRI131059:SRI131124 TBE131059:TBE131124 TLA131059:TLA131124 TUW131059:TUW131124 UES131059:UES131124 UOO131059:UOO131124 UYK131059:UYK131124 VIG131059:VIG131124 VSC131059:VSC131124 WBY131059:WBY131124 WLU131059:WLU131124 WVQ131059:WVQ131124 I196595:I196660 JE196595:JE196660 TA196595:TA196660 ACW196595:ACW196660 AMS196595:AMS196660 AWO196595:AWO196660 BGK196595:BGK196660 BQG196595:BQG196660 CAC196595:CAC196660 CJY196595:CJY196660 CTU196595:CTU196660 DDQ196595:DDQ196660 DNM196595:DNM196660 DXI196595:DXI196660 EHE196595:EHE196660 ERA196595:ERA196660 FAW196595:FAW196660 FKS196595:FKS196660 FUO196595:FUO196660 GEK196595:GEK196660 GOG196595:GOG196660 GYC196595:GYC196660 HHY196595:HHY196660 HRU196595:HRU196660 IBQ196595:IBQ196660 ILM196595:ILM196660 IVI196595:IVI196660 JFE196595:JFE196660 JPA196595:JPA196660 JYW196595:JYW196660 KIS196595:KIS196660 KSO196595:KSO196660 LCK196595:LCK196660 LMG196595:LMG196660 LWC196595:LWC196660 MFY196595:MFY196660 MPU196595:MPU196660 MZQ196595:MZQ196660 NJM196595:NJM196660 NTI196595:NTI196660 ODE196595:ODE196660 ONA196595:ONA196660 OWW196595:OWW196660 PGS196595:PGS196660 PQO196595:PQO196660 QAK196595:QAK196660 QKG196595:QKG196660 QUC196595:QUC196660 RDY196595:RDY196660 RNU196595:RNU196660 RXQ196595:RXQ196660 SHM196595:SHM196660 SRI196595:SRI196660 TBE196595:TBE196660 TLA196595:TLA196660 TUW196595:TUW196660 UES196595:UES196660 UOO196595:UOO196660 UYK196595:UYK196660 VIG196595:VIG196660 VSC196595:VSC196660 WBY196595:WBY196660 WLU196595:WLU196660 WVQ196595:WVQ196660 I262131:I262196 JE262131:JE262196 TA262131:TA262196 ACW262131:ACW262196 AMS262131:AMS262196 AWO262131:AWO262196 BGK262131:BGK262196 BQG262131:BQG262196 CAC262131:CAC262196 CJY262131:CJY262196 CTU262131:CTU262196 DDQ262131:DDQ262196 DNM262131:DNM262196 DXI262131:DXI262196 EHE262131:EHE262196 ERA262131:ERA262196 FAW262131:FAW262196 FKS262131:FKS262196 FUO262131:FUO262196 GEK262131:GEK262196 GOG262131:GOG262196 GYC262131:GYC262196 HHY262131:HHY262196 HRU262131:HRU262196 IBQ262131:IBQ262196 ILM262131:ILM262196 IVI262131:IVI262196 JFE262131:JFE262196 JPA262131:JPA262196 JYW262131:JYW262196 KIS262131:KIS262196 KSO262131:KSO262196 LCK262131:LCK262196 LMG262131:LMG262196 LWC262131:LWC262196 MFY262131:MFY262196 MPU262131:MPU262196 MZQ262131:MZQ262196 NJM262131:NJM262196 NTI262131:NTI262196 ODE262131:ODE262196 ONA262131:ONA262196 OWW262131:OWW262196 PGS262131:PGS262196 PQO262131:PQO262196 QAK262131:QAK262196 QKG262131:QKG262196 QUC262131:QUC262196 RDY262131:RDY262196 RNU262131:RNU262196 RXQ262131:RXQ262196 SHM262131:SHM262196 SRI262131:SRI262196 TBE262131:TBE262196 TLA262131:TLA262196 TUW262131:TUW262196 UES262131:UES262196 UOO262131:UOO262196 UYK262131:UYK262196 VIG262131:VIG262196 VSC262131:VSC262196 WBY262131:WBY262196 WLU262131:WLU262196 WVQ262131:WVQ262196 I327667:I327732 JE327667:JE327732 TA327667:TA327732 ACW327667:ACW327732 AMS327667:AMS327732 AWO327667:AWO327732 BGK327667:BGK327732 BQG327667:BQG327732 CAC327667:CAC327732 CJY327667:CJY327732 CTU327667:CTU327732 DDQ327667:DDQ327732 DNM327667:DNM327732 DXI327667:DXI327732 EHE327667:EHE327732 ERA327667:ERA327732 FAW327667:FAW327732 FKS327667:FKS327732 FUO327667:FUO327732 GEK327667:GEK327732 GOG327667:GOG327732 GYC327667:GYC327732 HHY327667:HHY327732 HRU327667:HRU327732 IBQ327667:IBQ327732 ILM327667:ILM327732 IVI327667:IVI327732 JFE327667:JFE327732 JPA327667:JPA327732 JYW327667:JYW327732 KIS327667:KIS327732 KSO327667:KSO327732 LCK327667:LCK327732 LMG327667:LMG327732 LWC327667:LWC327732 MFY327667:MFY327732 MPU327667:MPU327732 MZQ327667:MZQ327732 NJM327667:NJM327732 NTI327667:NTI327732 ODE327667:ODE327732 ONA327667:ONA327732 OWW327667:OWW327732 PGS327667:PGS327732 PQO327667:PQO327732 QAK327667:QAK327732 QKG327667:QKG327732 QUC327667:QUC327732 RDY327667:RDY327732 RNU327667:RNU327732 RXQ327667:RXQ327732 SHM327667:SHM327732 SRI327667:SRI327732 TBE327667:TBE327732 TLA327667:TLA327732 TUW327667:TUW327732 UES327667:UES327732 UOO327667:UOO327732 UYK327667:UYK327732 VIG327667:VIG327732 VSC327667:VSC327732 WBY327667:WBY327732 WLU327667:WLU327732 WVQ327667:WVQ327732 I393203:I393268 JE393203:JE393268 TA393203:TA393268 ACW393203:ACW393268 AMS393203:AMS393268 AWO393203:AWO393268 BGK393203:BGK393268 BQG393203:BQG393268 CAC393203:CAC393268 CJY393203:CJY393268 CTU393203:CTU393268 DDQ393203:DDQ393268 DNM393203:DNM393268 DXI393203:DXI393268 EHE393203:EHE393268 ERA393203:ERA393268 FAW393203:FAW393268 FKS393203:FKS393268 FUO393203:FUO393268 GEK393203:GEK393268 GOG393203:GOG393268 GYC393203:GYC393268 HHY393203:HHY393268 HRU393203:HRU393268 IBQ393203:IBQ393268 ILM393203:ILM393268 IVI393203:IVI393268 JFE393203:JFE393268 JPA393203:JPA393268 JYW393203:JYW393268 KIS393203:KIS393268 KSO393203:KSO393268 LCK393203:LCK393268 LMG393203:LMG393268 LWC393203:LWC393268 MFY393203:MFY393268 MPU393203:MPU393268 MZQ393203:MZQ393268 NJM393203:NJM393268 NTI393203:NTI393268 ODE393203:ODE393268 ONA393203:ONA393268 OWW393203:OWW393268 PGS393203:PGS393268 PQO393203:PQO393268 QAK393203:QAK393268 QKG393203:QKG393268 QUC393203:QUC393268 RDY393203:RDY393268 RNU393203:RNU393268 RXQ393203:RXQ393268 SHM393203:SHM393268 SRI393203:SRI393268 TBE393203:TBE393268 TLA393203:TLA393268 TUW393203:TUW393268 UES393203:UES393268 UOO393203:UOO393268 UYK393203:UYK393268 VIG393203:VIG393268 VSC393203:VSC393268 WBY393203:WBY393268 WLU393203:WLU393268 WVQ393203:WVQ393268 I458739:I458804 JE458739:JE458804 TA458739:TA458804 ACW458739:ACW458804 AMS458739:AMS458804 AWO458739:AWO458804 BGK458739:BGK458804 BQG458739:BQG458804 CAC458739:CAC458804 CJY458739:CJY458804 CTU458739:CTU458804 DDQ458739:DDQ458804 DNM458739:DNM458804 DXI458739:DXI458804 EHE458739:EHE458804 ERA458739:ERA458804 FAW458739:FAW458804 FKS458739:FKS458804 FUO458739:FUO458804 GEK458739:GEK458804 GOG458739:GOG458804 GYC458739:GYC458804 HHY458739:HHY458804 HRU458739:HRU458804 IBQ458739:IBQ458804 ILM458739:ILM458804 IVI458739:IVI458804 JFE458739:JFE458804 JPA458739:JPA458804 JYW458739:JYW458804 KIS458739:KIS458804 KSO458739:KSO458804 LCK458739:LCK458804 LMG458739:LMG458804 LWC458739:LWC458804 MFY458739:MFY458804 MPU458739:MPU458804 MZQ458739:MZQ458804 NJM458739:NJM458804 NTI458739:NTI458804 ODE458739:ODE458804 ONA458739:ONA458804 OWW458739:OWW458804 PGS458739:PGS458804 PQO458739:PQO458804 QAK458739:QAK458804 QKG458739:QKG458804 QUC458739:QUC458804 RDY458739:RDY458804 RNU458739:RNU458804 RXQ458739:RXQ458804 SHM458739:SHM458804 SRI458739:SRI458804 TBE458739:TBE458804 TLA458739:TLA458804 TUW458739:TUW458804 UES458739:UES458804 UOO458739:UOO458804 UYK458739:UYK458804 VIG458739:VIG458804 VSC458739:VSC458804 WBY458739:WBY458804 WLU458739:WLU458804 WVQ458739:WVQ458804 I524275:I524340 JE524275:JE524340 TA524275:TA524340 ACW524275:ACW524340 AMS524275:AMS524340 AWO524275:AWO524340 BGK524275:BGK524340 BQG524275:BQG524340 CAC524275:CAC524340 CJY524275:CJY524340 CTU524275:CTU524340 DDQ524275:DDQ524340 DNM524275:DNM524340 DXI524275:DXI524340 EHE524275:EHE524340 ERA524275:ERA524340 FAW524275:FAW524340 FKS524275:FKS524340 FUO524275:FUO524340 GEK524275:GEK524340 GOG524275:GOG524340 GYC524275:GYC524340 HHY524275:HHY524340 HRU524275:HRU524340 IBQ524275:IBQ524340 ILM524275:ILM524340 IVI524275:IVI524340 JFE524275:JFE524340 JPA524275:JPA524340 JYW524275:JYW524340 KIS524275:KIS524340 KSO524275:KSO524340 LCK524275:LCK524340 LMG524275:LMG524340 LWC524275:LWC524340 MFY524275:MFY524340 MPU524275:MPU524340 MZQ524275:MZQ524340 NJM524275:NJM524340 NTI524275:NTI524340 ODE524275:ODE524340 ONA524275:ONA524340 OWW524275:OWW524340 PGS524275:PGS524340 PQO524275:PQO524340 QAK524275:QAK524340 QKG524275:QKG524340 QUC524275:QUC524340 RDY524275:RDY524340 RNU524275:RNU524340 RXQ524275:RXQ524340 SHM524275:SHM524340 SRI524275:SRI524340 TBE524275:TBE524340 TLA524275:TLA524340 TUW524275:TUW524340 UES524275:UES524340 UOO524275:UOO524340 UYK524275:UYK524340 VIG524275:VIG524340 VSC524275:VSC524340 WBY524275:WBY524340 WLU524275:WLU524340 WVQ524275:WVQ524340 I589811:I589876 JE589811:JE589876 TA589811:TA589876 ACW589811:ACW589876 AMS589811:AMS589876 AWO589811:AWO589876 BGK589811:BGK589876 BQG589811:BQG589876 CAC589811:CAC589876 CJY589811:CJY589876 CTU589811:CTU589876 DDQ589811:DDQ589876 DNM589811:DNM589876 DXI589811:DXI589876 EHE589811:EHE589876 ERA589811:ERA589876 FAW589811:FAW589876 FKS589811:FKS589876 FUO589811:FUO589876 GEK589811:GEK589876 GOG589811:GOG589876 GYC589811:GYC589876 HHY589811:HHY589876 HRU589811:HRU589876 IBQ589811:IBQ589876 ILM589811:ILM589876 IVI589811:IVI589876 JFE589811:JFE589876 JPA589811:JPA589876 JYW589811:JYW589876 KIS589811:KIS589876 KSO589811:KSO589876 LCK589811:LCK589876 LMG589811:LMG589876 LWC589811:LWC589876 MFY589811:MFY589876 MPU589811:MPU589876 MZQ589811:MZQ589876 NJM589811:NJM589876 NTI589811:NTI589876 ODE589811:ODE589876 ONA589811:ONA589876 OWW589811:OWW589876 PGS589811:PGS589876 PQO589811:PQO589876 QAK589811:QAK589876 QKG589811:QKG589876 QUC589811:QUC589876 RDY589811:RDY589876 RNU589811:RNU589876 RXQ589811:RXQ589876 SHM589811:SHM589876 SRI589811:SRI589876 TBE589811:TBE589876 TLA589811:TLA589876 TUW589811:TUW589876 UES589811:UES589876 UOO589811:UOO589876 UYK589811:UYK589876 VIG589811:VIG589876 VSC589811:VSC589876 WBY589811:WBY589876 WLU589811:WLU589876 WVQ589811:WVQ589876 I655347:I655412 JE655347:JE655412 TA655347:TA655412 ACW655347:ACW655412 AMS655347:AMS655412 AWO655347:AWO655412 BGK655347:BGK655412 BQG655347:BQG655412 CAC655347:CAC655412 CJY655347:CJY655412 CTU655347:CTU655412 DDQ655347:DDQ655412 DNM655347:DNM655412 DXI655347:DXI655412 EHE655347:EHE655412 ERA655347:ERA655412 FAW655347:FAW655412 FKS655347:FKS655412 FUO655347:FUO655412 GEK655347:GEK655412 GOG655347:GOG655412 GYC655347:GYC655412 HHY655347:HHY655412 HRU655347:HRU655412 IBQ655347:IBQ655412 ILM655347:ILM655412 IVI655347:IVI655412 JFE655347:JFE655412 JPA655347:JPA655412 JYW655347:JYW655412 KIS655347:KIS655412 KSO655347:KSO655412 LCK655347:LCK655412 LMG655347:LMG655412 LWC655347:LWC655412 MFY655347:MFY655412 MPU655347:MPU655412 MZQ655347:MZQ655412 NJM655347:NJM655412 NTI655347:NTI655412 ODE655347:ODE655412 ONA655347:ONA655412 OWW655347:OWW655412 PGS655347:PGS655412 PQO655347:PQO655412 QAK655347:QAK655412 QKG655347:QKG655412 QUC655347:QUC655412 RDY655347:RDY655412 RNU655347:RNU655412 RXQ655347:RXQ655412 SHM655347:SHM655412 SRI655347:SRI655412 TBE655347:TBE655412 TLA655347:TLA655412 TUW655347:TUW655412 UES655347:UES655412 UOO655347:UOO655412 UYK655347:UYK655412 VIG655347:VIG655412 VSC655347:VSC655412 WBY655347:WBY655412 WLU655347:WLU655412 WVQ655347:WVQ655412 I720883:I720948 JE720883:JE720948 TA720883:TA720948 ACW720883:ACW720948 AMS720883:AMS720948 AWO720883:AWO720948 BGK720883:BGK720948 BQG720883:BQG720948 CAC720883:CAC720948 CJY720883:CJY720948 CTU720883:CTU720948 DDQ720883:DDQ720948 DNM720883:DNM720948 DXI720883:DXI720948 EHE720883:EHE720948 ERA720883:ERA720948 FAW720883:FAW720948 FKS720883:FKS720948 FUO720883:FUO720948 GEK720883:GEK720948 GOG720883:GOG720948 GYC720883:GYC720948 HHY720883:HHY720948 HRU720883:HRU720948 IBQ720883:IBQ720948 ILM720883:ILM720948 IVI720883:IVI720948 JFE720883:JFE720948 JPA720883:JPA720948 JYW720883:JYW720948 KIS720883:KIS720948 KSO720883:KSO720948 LCK720883:LCK720948 LMG720883:LMG720948 LWC720883:LWC720948 MFY720883:MFY720948 MPU720883:MPU720948 MZQ720883:MZQ720948 NJM720883:NJM720948 NTI720883:NTI720948 ODE720883:ODE720948 ONA720883:ONA720948 OWW720883:OWW720948 PGS720883:PGS720948 PQO720883:PQO720948 QAK720883:QAK720948 QKG720883:QKG720948 QUC720883:QUC720948 RDY720883:RDY720948 RNU720883:RNU720948 RXQ720883:RXQ720948 SHM720883:SHM720948 SRI720883:SRI720948 TBE720883:TBE720948 TLA720883:TLA720948 TUW720883:TUW720948 UES720883:UES720948 UOO720883:UOO720948 UYK720883:UYK720948 VIG720883:VIG720948 VSC720883:VSC720948 WBY720883:WBY720948 WLU720883:WLU720948 WVQ720883:WVQ720948 I786419:I786484 JE786419:JE786484 TA786419:TA786484 ACW786419:ACW786484 AMS786419:AMS786484 AWO786419:AWO786484 BGK786419:BGK786484 BQG786419:BQG786484 CAC786419:CAC786484 CJY786419:CJY786484 CTU786419:CTU786484 DDQ786419:DDQ786484 DNM786419:DNM786484 DXI786419:DXI786484 EHE786419:EHE786484 ERA786419:ERA786484 FAW786419:FAW786484 FKS786419:FKS786484 FUO786419:FUO786484 GEK786419:GEK786484 GOG786419:GOG786484 GYC786419:GYC786484 HHY786419:HHY786484 HRU786419:HRU786484 IBQ786419:IBQ786484 ILM786419:ILM786484 IVI786419:IVI786484 JFE786419:JFE786484 JPA786419:JPA786484 JYW786419:JYW786484 KIS786419:KIS786484 KSO786419:KSO786484 LCK786419:LCK786484 LMG786419:LMG786484 LWC786419:LWC786484 MFY786419:MFY786484 MPU786419:MPU786484 MZQ786419:MZQ786484 NJM786419:NJM786484 NTI786419:NTI786484 ODE786419:ODE786484 ONA786419:ONA786484 OWW786419:OWW786484 PGS786419:PGS786484 PQO786419:PQO786484 QAK786419:QAK786484 QKG786419:QKG786484 QUC786419:QUC786484 RDY786419:RDY786484 RNU786419:RNU786484 RXQ786419:RXQ786484 SHM786419:SHM786484 SRI786419:SRI786484 TBE786419:TBE786484 TLA786419:TLA786484 TUW786419:TUW786484 UES786419:UES786484 UOO786419:UOO786484 UYK786419:UYK786484 VIG786419:VIG786484 VSC786419:VSC786484 WBY786419:WBY786484 WLU786419:WLU786484 WVQ786419:WVQ786484 I851955:I852020 JE851955:JE852020 TA851955:TA852020 ACW851955:ACW852020 AMS851955:AMS852020 AWO851955:AWO852020 BGK851955:BGK852020 BQG851955:BQG852020 CAC851955:CAC852020 CJY851955:CJY852020 CTU851955:CTU852020 DDQ851955:DDQ852020 DNM851955:DNM852020 DXI851955:DXI852020 EHE851955:EHE852020 ERA851955:ERA852020 FAW851955:FAW852020 FKS851955:FKS852020 FUO851955:FUO852020 GEK851955:GEK852020 GOG851955:GOG852020 GYC851955:GYC852020 HHY851955:HHY852020 HRU851955:HRU852020 IBQ851955:IBQ852020 ILM851955:ILM852020 IVI851955:IVI852020 JFE851955:JFE852020 JPA851955:JPA852020 JYW851955:JYW852020 KIS851955:KIS852020 KSO851955:KSO852020 LCK851955:LCK852020 LMG851955:LMG852020 LWC851955:LWC852020 MFY851955:MFY852020 MPU851955:MPU852020 MZQ851955:MZQ852020 NJM851955:NJM852020 NTI851955:NTI852020 ODE851955:ODE852020 ONA851955:ONA852020 OWW851955:OWW852020 PGS851955:PGS852020 PQO851955:PQO852020 QAK851955:QAK852020 QKG851955:QKG852020 QUC851955:QUC852020 RDY851955:RDY852020 RNU851955:RNU852020 RXQ851955:RXQ852020 SHM851955:SHM852020 SRI851955:SRI852020 TBE851955:TBE852020 TLA851955:TLA852020 TUW851955:TUW852020 UES851955:UES852020 UOO851955:UOO852020 UYK851955:UYK852020 VIG851955:VIG852020 VSC851955:VSC852020 WBY851955:WBY852020 WLU851955:WLU852020 WVQ851955:WVQ852020 I917491:I917556 JE917491:JE917556 TA917491:TA917556 ACW917491:ACW917556 AMS917491:AMS917556 AWO917491:AWO917556 BGK917491:BGK917556 BQG917491:BQG917556 CAC917491:CAC917556 CJY917491:CJY917556 CTU917491:CTU917556 DDQ917491:DDQ917556 DNM917491:DNM917556 DXI917491:DXI917556 EHE917491:EHE917556 ERA917491:ERA917556 FAW917491:FAW917556 FKS917491:FKS917556 FUO917491:FUO917556 GEK917491:GEK917556 GOG917491:GOG917556 GYC917491:GYC917556 HHY917491:HHY917556 HRU917491:HRU917556 IBQ917491:IBQ917556 ILM917491:ILM917556 IVI917491:IVI917556 JFE917491:JFE917556 JPA917491:JPA917556 JYW917491:JYW917556 KIS917491:KIS917556 KSO917491:KSO917556 LCK917491:LCK917556 LMG917491:LMG917556 LWC917491:LWC917556 MFY917491:MFY917556 MPU917491:MPU917556 MZQ917491:MZQ917556 NJM917491:NJM917556 NTI917491:NTI917556 ODE917491:ODE917556 ONA917491:ONA917556 OWW917491:OWW917556 PGS917491:PGS917556 PQO917491:PQO917556 QAK917491:QAK917556 QKG917491:QKG917556 QUC917491:QUC917556 RDY917491:RDY917556 RNU917491:RNU917556 RXQ917491:RXQ917556 SHM917491:SHM917556 SRI917491:SRI917556 TBE917491:TBE917556 TLA917491:TLA917556 TUW917491:TUW917556 UES917491:UES917556 UOO917491:UOO917556 UYK917491:UYK917556 VIG917491:VIG917556 VSC917491:VSC917556 WBY917491:WBY917556 WLU917491:WLU917556 WVQ917491:WVQ917556 I983027:I983092 JE983027:JE983092 TA983027:TA983092 ACW983027:ACW983092 AMS983027:AMS983092 AWO983027:AWO983092 BGK983027:BGK983092 BQG983027:BQG983092 CAC983027:CAC983092 CJY983027:CJY983092 CTU983027:CTU983092 DDQ983027:DDQ983092 DNM983027:DNM983092 DXI983027:DXI983092 EHE983027:EHE983092 ERA983027:ERA983092 FAW983027:FAW983092 FKS983027:FKS983092 FUO983027:FUO983092 GEK983027:GEK983092 GOG983027:GOG983092 GYC983027:GYC983092 HHY983027:HHY983092 HRU983027:HRU983092 IBQ983027:IBQ983092 ILM983027:ILM983092 IVI983027:IVI983092 JFE983027:JFE983092 JPA983027:JPA983092 JYW983027:JYW983092 KIS983027:KIS983092 KSO983027:KSO983092 LCK983027:LCK983092 LMG983027:LMG983092 LWC983027:LWC983092 MFY983027:MFY983092 MPU983027:MPU983092 MZQ983027:MZQ983092 NJM983027:NJM983092 NTI983027:NTI983092 ODE983027:ODE983092 ONA983027:ONA983092 OWW983027:OWW983092 PGS983027:PGS983092 PQO983027:PQO983092 QAK983027:QAK983092 QKG983027:QKG983092 QUC983027:QUC983092 RDY983027:RDY983092 RNU983027:RNU983092 RXQ983027:RXQ983092 SHM983027:SHM983092 SRI983027:SRI983092 TBE983027:TBE983092 TLA983027:TLA983092 TUW983027:TUW983092 UES983027:UES983092 UOO983027:UOO983092 UYK983027:UYK983092 VIG983027:VIG983092 VSC983027:VSC983092 WBY983027:WBY983092 WLU983027:WLU983092 I2:I485 JE2:JE72 TA2:TA72 ACW2:ACW72 AMS2:AMS72 AWO2:AWO72 BGK2:BGK72 BQG2:BQG72 CAC2:CAC72 CJY2:CJY72 CTU2:CTU72 DDQ2:DDQ72 DNM2:DNM72 DXI2:DXI72 EHE2:EHE72 ERA2:ERA72 FAW2:FAW72 FKS2:FKS72 FUO2:FUO72 GEK2:GEK72 GOG2:GOG72 GYC2:GYC72 HHY2:HHY72 HRU2:HRU72 IBQ2:IBQ72 ILM2:ILM72 IVI2:IVI72 JFE2:JFE72 JPA2:JPA72 JYW2:JYW72 KIS2:KIS72 KSO2:KSO72 LCK2:LCK72 LMG2:LMG72 LWC2:LWC72 MFY2:MFY72 MPU2:MPU72 MZQ2:MZQ72 NJM2:NJM72 NTI2:NTI72 ODE2:ODE72 ONA2:ONA72 OWW2:OWW72 PGS2:PGS72 PQO2:PQO72 QAK2:QAK72 QKG2:QKG72 QUC2:QUC72 RDY2:RDY72 RNU2:RNU72 RXQ2:RXQ72 SHM2:SHM72 SRI2:SRI72 TBE2:TBE72 TLA2:TLA72 TUW2:TUW72 UES2:UES72 UOO2:UOO72 UYK2:UYK72 VIG2:VIG72 VSC2:VSC72 WBY2:WBY72 WLU2:WLU72 WVQ2:WVQ72" xr:uid="{44A07909-C83C-41D1-A8DB-3E7CABA79CD7}">
      <formula1>$AN$5:$AN$6</formula1>
    </dataValidation>
    <dataValidation type="list" allowBlank="1" showInputMessage="1" showErrorMessage="1" sqref="J64348:J64413 JF64348:JF64413 TB64348:TB64413 ACX64348:ACX64413 AMT64348:AMT64413 AWP64348:AWP64413 BGL64348:BGL64413 BQH64348:BQH64413 CAD64348:CAD64413 CJZ64348:CJZ64413 CTV64348:CTV64413 DDR64348:DDR64413 DNN64348:DNN64413 DXJ64348:DXJ64413 EHF64348:EHF64413 ERB64348:ERB64413 FAX64348:FAX64413 FKT64348:FKT64413 FUP64348:FUP64413 GEL64348:GEL64413 GOH64348:GOH64413 GYD64348:GYD64413 HHZ64348:HHZ64413 HRV64348:HRV64413 IBR64348:IBR64413 ILN64348:ILN64413 IVJ64348:IVJ64413 JFF64348:JFF64413 JPB64348:JPB64413 JYX64348:JYX64413 KIT64348:KIT64413 KSP64348:KSP64413 LCL64348:LCL64413 LMH64348:LMH64413 LWD64348:LWD64413 MFZ64348:MFZ64413 MPV64348:MPV64413 MZR64348:MZR64413 NJN64348:NJN64413 NTJ64348:NTJ64413 ODF64348:ODF64413 ONB64348:ONB64413 OWX64348:OWX64413 PGT64348:PGT64413 PQP64348:PQP64413 QAL64348:QAL64413 QKH64348:QKH64413 QUD64348:QUD64413 RDZ64348:RDZ64413 RNV64348:RNV64413 RXR64348:RXR64413 SHN64348:SHN64413 SRJ64348:SRJ64413 TBF64348:TBF64413 TLB64348:TLB64413 TUX64348:TUX64413 UET64348:UET64413 UOP64348:UOP64413 UYL64348:UYL64413 VIH64348:VIH64413 VSD64348:VSD64413 WBZ64348:WBZ64413 WLV64348:WLV64413 WVR64348:WVR64413 J129884:J129949 JF129884:JF129949 TB129884:TB129949 ACX129884:ACX129949 AMT129884:AMT129949 AWP129884:AWP129949 BGL129884:BGL129949 BQH129884:BQH129949 CAD129884:CAD129949 CJZ129884:CJZ129949 CTV129884:CTV129949 DDR129884:DDR129949 DNN129884:DNN129949 DXJ129884:DXJ129949 EHF129884:EHF129949 ERB129884:ERB129949 FAX129884:FAX129949 FKT129884:FKT129949 FUP129884:FUP129949 GEL129884:GEL129949 GOH129884:GOH129949 GYD129884:GYD129949 HHZ129884:HHZ129949 HRV129884:HRV129949 IBR129884:IBR129949 ILN129884:ILN129949 IVJ129884:IVJ129949 JFF129884:JFF129949 JPB129884:JPB129949 JYX129884:JYX129949 KIT129884:KIT129949 KSP129884:KSP129949 LCL129884:LCL129949 LMH129884:LMH129949 LWD129884:LWD129949 MFZ129884:MFZ129949 MPV129884:MPV129949 MZR129884:MZR129949 NJN129884:NJN129949 NTJ129884:NTJ129949 ODF129884:ODF129949 ONB129884:ONB129949 OWX129884:OWX129949 PGT129884:PGT129949 PQP129884:PQP129949 QAL129884:QAL129949 QKH129884:QKH129949 QUD129884:QUD129949 RDZ129884:RDZ129949 RNV129884:RNV129949 RXR129884:RXR129949 SHN129884:SHN129949 SRJ129884:SRJ129949 TBF129884:TBF129949 TLB129884:TLB129949 TUX129884:TUX129949 UET129884:UET129949 UOP129884:UOP129949 UYL129884:UYL129949 VIH129884:VIH129949 VSD129884:VSD129949 WBZ129884:WBZ129949 WLV129884:WLV129949 WVR129884:WVR129949 J195420:J195485 JF195420:JF195485 TB195420:TB195485 ACX195420:ACX195485 AMT195420:AMT195485 AWP195420:AWP195485 BGL195420:BGL195485 BQH195420:BQH195485 CAD195420:CAD195485 CJZ195420:CJZ195485 CTV195420:CTV195485 DDR195420:DDR195485 DNN195420:DNN195485 DXJ195420:DXJ195485 EHF195420:EHF195485 ERB195420:ERB195485 FAX195420:FAX195485 FKT195420:FKT195485 FUP195420:FUP195485 GEL195420:GEL195485 GOH195420:GOH195485 GYD195420:GYD195485 HHZ195420:HHZ195485 HRV195420:HRV195485 IBR195420:IBR195485 ILN195420:ILN195485 IVJ195420:IVJ195485 JFF195420:JFF195485 JPB195420:JPB195485 JYX195420:JYX195485 KIT195420:KIT195485 KSP195420:KSP195485 LCL195420:LCL195485 LMH195420:LMH195485 LWD195420:LWD195485 MFZ195420:MFZ195485 MPV195420:MPV195485 MZR195420:MZR195485 NJN195420:NJN195485 NTJ195420:NTJ195485 ODF195420:ODF195485 ONB195420:ONB195485 OWX195420:OWX195485 PGT195420:PGT195485 PQP195420:PQP195485 QAL195420:QAL195485 QKH195420:QKH195485 QUD195420:QUD195485 RDZ195420:RDZ195485 RNV195420:RNV195485 RXR195420:RXR195485 SHN195420:SHN195485 SRJ195420:SRJ195485 TBF195420:TBF195485 TLB195420:TLB195485 TUX195420:TUX195485 UET195420:UET195485 UOP195420:UOP195485 UYL195420:UYL195485 VIH195420:VIH195485 VSD195420:VSD195485 WBZ195420:WBZ195485 WLV195420:WLV195485 WVR195420:WVR195485 J260956:J261021 JF260956:JF261021 TB260956:TB261021 ACX260956:ACX261021 AMT260956:AMT261021 AWP260956:AWP261021 BGL260956:BGL261021 BQH260956:BQH261021 CAD260956:CAD261021 CJZ260956:CJZ261021 CTV260956:CTV261021 DDR260956:DDR261021 DNN260956:DNN261021 DXJ260956:DXJ261021 EHF260956:EHF261021 ERB260956:ERB261021 FAX260956:FAX261021 FKT260956:FKT261021 FUP260956:FUP261021 GEL260956:GEL261021 GOH260956:GOH261021 GYD260956:GYD261021 HHZ260956:HHZ261021 HRV260956:HRV261021 IBR260956:IBR261021 ILN260956:ILN261021 IVJ260956:IVJ261021 JFF260956:JFF261021 JPB260956:JPB261021 JYX260956:JYX261021 KIT260956:KIT261021 KSP260956:KSP261021 LCL260956:LCL261021 LMH260956:LMH261021 LWD260956:LWD261021 MFZ260956:MFZ261021 MPV260956:MPV261021 MZR260956:MZR261021 NJN260956:NJN261021 NTJ260956:NTJ261021 ODF260956:ODF261021 ONB260956:ONB261021 OWX260956:OWX261021 PGT260956:PGT261021 PQP260956:PQP261021 QAL260956:QAL261021 QKH260956:QKH261021 QUD260956:QUD261021 RDZ260956:RDZ261021 RNV260956:RNV261021 RXR260956:RXR261021 SHN260956:SHN261021 SRJ260956:SRJ261021 TBF260956:TBF261021 TLB260956:TLB261021 TUX260956:TUX261021 UET260956:UET261021 UOP260956:UOP261021 UYL260956:UYL261021 VIH260956:VIH261021 VSD260956:VSD261021 WBZ260956:WBZ261021 WLV260956:WLV261021 WVR260956:WVR261021 J326492:J326557 JF326492:JF326557 TB326492:TB326557 ACX326492:ACX326557 AMT326492:AMT326557 AWP326492:AWP326557 BGL326492:BGL326557 BQH326492:BQH326557 CAD326492:CAD326557 CJZ326492:CJZ326557 CTV326492:CTV326557 DDR326492:DDR326557 DNN326492:DNN326557 DXJ326492:DXJ326557 EHF326492:EHF326557 ERB326492:ERB326557 FAX326492:FAX326557 FKT326492:FKT326557 FUP326492:FUP326557 GEL326492:GEL326557 GOH326492:GOH326557 GYD326492:GYD326557 HHZ326492:HHZ326557 HRV326492:HRV326557 IBR326492:IBR326557 ILN326492:ILN326557 IVJ326492:IVJ326557 JFF326492:JFF326557 JPB326492:JPB326557 JYX326492:JYX326557 KIT326492:KIT326557 KSP326492:KSP326557 LCL326492:LCL326557 LMH326492:LMH326557 LWD326492:LWD326557 MFZ326492:MFZ326557 MPV326492:MPV326557 MZR326492:MZR326557 NJN326492:NJN326557 NTJ326492:NTJ326557 ODF326492:ODF326557 ONB326492:ONB326557 OWX326492:OWX326557 PGT326492:PGT326557 PQP326492:PQP326557 QAL326492:QAL326557 QKH326492:QKH326557 QUD326492:QUD326557 RDZ326492:RDZ326557 RNV326492:RNV326557 RXR326492:RXR326557 SHN326492:SHN326557 SRJ326492:SRJ326557 TBF326492:TBF326557 TLB326492:TLB326557 TUX326492:TUX326557 UET326492:UET326557 UOP326492:UOP326557 UYL326492:UYL326557 VIH326492:VIH326557 VSD326492:VSD326557 WBZ326492:WBZ326557 WLV326492:WLV326557 WVR326492:WVR326557 J392028:J392093 JF392028:JF392093 TB392028:TB392093 ACX392028:ACX392093 AMT392028:AMT392093 AWP392028:AWP392093 BGL392028:BGL392093 BQH392028:BQH392093 CAD392028:CAD392093 CJZ392028:CJZ392093 CTV392028:CTV392093 DDR392028:DDR392093 DNN392028:DNN392093 DXJ392028:DXJ392093 EHF392028:EHF392093 ERB392028:ERB392093 FAX392028:FAX392093 FKT392028:FKT392093 FUP392028:FUP392093 GEL392028:GEL392093 GOH392028:GOH392093 GYD392028:GYD392093 HHZ392028:HHZ392093 HRV392028:HRV392093 IBR392028:IBR392093 ILN392028:ILN392093 IVJ392028:IVJ392093 JFF392028:JFF392093 JPB392028:JPB392093 JYX392028:JYX392093 KIT392028:KIT392093 KSP392028:KSP392093 LCL392028:LCL392093 LMH392028:LMH392093 LWD392028:LWD392093 MFZ392028:MFZ392093 MPV392028:MPV392093 MZR392028:MZR392093 NJN392028:NJN392093 NTJ392028:NTJ392093 ODF392028:ODF392093 ONB392028:ONB392093 OWX392028:OWX392093 PGT392028:PGT392093 PQP392028:PQP392093 QAL392028:QAL392093 QKH392028:QKH392093 QUD392028:QUD392093 RDZ392028:RDZ392093 RNV392028:RNV392093 RXR392028:RXR392093 SHN392028:SHN392093 SRJ392028:SRJ392093 TBF392028:TBF392093 TLB392028:TLB392093 TUX392028:TUX392093 UET392028:UET392093 UOP392028:UOP392093 UYL392028:UYL392093 VIH392028:VIH392093 VSD392028:VSD392093 WBZ392028:WBZ392093 WLV392028:WLV392093 WVR392028:WVR392093 J457564:J457629 JF457564:JF457629 TB457564:TB457629 ACX457564:ACX457629 AMT457564:AMT457629 AWP457564:AWP457629 BGL457564:BGL457629 BQH457564:BQH457629 CAD457564:CAD457629 CJZ457564:CJZ457629 CTV457564:CTV457629 DDR457564:DDR457629 DNN457564:DNN457629 DXJ457564:DXJ457629 EHF457564:EHF457629 ERB457564:ERB457629 FAX457564:FAX457629 FKT457564:FKT457629 FUP457564:FUP457629 GEL457564:GEL457629 GOH457564:GOH457629 GYD457564:GYD457629 HHZ457564:HHZ457629 HRV457564:HRV457629 IBR457564:IBR457629 ILN457564:ILN457629 IVJ457564:IVJ457629 JFF457564:JFF457629 JPB457564:JPB457629 JYX457564:JYX457629 KIT457564:KIT457629 KSP457564:KSP457629 LCL457564:LCL457629 LMH457564:LMH457629 LWD457564:LWD457629 MFZ457564:MFZ457629 MPV457564:MPV457629 MZR457564:MZR457629 NJN457564:NJN457629 NTJ457564:NTJ457629 ODF457564:ODF457629 ONB457564:ONB457629 OWX457564:OWX457629 PGT457564:PGT457629 PQP457564:PQP457629 QAL457564:QAL457629 QKH457564:QKH457629 QUD457564:QUD457629 RDZ457564:RDZ457629 RNV457564:RNV457629 RXR457564:RXR457629 SHN457564:SHN457629 SRJ457564:SRJ457629 TBF457564:TBF457629 TLB457564:TLB457629 TUX457564:TUX457629 UET457564:UET457629 UOP457564:UOP457629 UYL457564:UYL457629 VIH457564:VIH457629 VSD457564:VSD457629 WBZ457564:WBZ457629 WLV457564:WLV457629 WVR457564:WVR457629 J523100:J523165 JF523100:JF523165 TB523100:TB523165 ACX523100:ACX523165 AMT523100:AMT523165 AWP523100:AWP523165 BGL523100:BGL523165 BQH523100:BQH523165 CAD523100:CAD523165 CJZ523100:CJZ523165 CTV523100:CTV523165 DDR523100:DDR523165 DNN523100:DNN523165 DXJ523100:DXJ523165 EHF523100:EHF523165 ERB523100:ERB523165 FAX523100:FAX523165 FKT523100:FKT523165 FUP523100:FUP523165 GEL523100:GEL523165 GOH523100:GOH523165 GYD523100:GYD523165 HHZ523100:HHZ523165 HRV523100:HRV523165 IBR523100:IBR523165 ILN523100:ILN523165 IVJ523100:IVJ523165 JFF523100:JFF523165 JPB523100:JPB523165 JYX523100:JYX523165 KIT523100:KIT523165 KSP523100:KSP523165 LCL523100:LCL523165 LMH523100:LMH523165 LWD523100:LWD523165 MFZ523100:MFZ523165 MPV523100:MPV523165 MZR523100:MZR523165 NJN523100:NJN523165 NTJ523100:NTJ523165 ODF523100:ODF523165 ONB523100:ONB523165 OWX523100:OWX523165 PGT523100:PGT523165 PQP523100:PQP523165 QAL523100:QAL523165 QKH523100:QKH523165 QUD523100:QUD523165 RDZ523100:RDZ523165 RNV523100:RNV523165 RXR523100:RXR523165 SHN523100:SHN523165 SRJ523100:SRJ523165 TBF523100:TBF523165 TLB523100:TLB523165 TUX523100:TUX523165 UET523100:UET523165 UOP523100:UOP523165 UYL523100:UYL523165 VIH523100:VIH523165 VSD523100:VSD523165 WBZ523100:WBZ523165 WLV523100:WLV523165 WVR523100:WVR523165 J588636:J588701 JF588636:JF588701 TB588636:TB588701 ACX588636:ACX588701 AMT588636:AMT588701 AWP588636:AWP588701 BGL588636:BGL588701 BQH588636:BQH588701 CAD588636:CAD588701 CJZ588636:CJZ588701 CTV588636:CTV588701 DDR588636:DDR588701 DNN588636:DNN588701 DXJ588636:DXJ588701 EHF588636:EHF588701 ERB588636:ERB588701 FAX588636:FAX588701 FKT588636:FKT588701 FUP588636:FUP588701 GEL588636:GEL588701 GOH588636:GOH588701 GYD588636:GYD588701 HHZ588636:HHZ588701 HRV588636:HRV588701 IBR588636:IBR588701 ILN588636:ILN588701 IVJ588636:IVJ588701 JFF588636:JFF588701 JPB588636:JPB588701 JYX588636:JYX588701 KIT588636:KIT588701 KSP588636:KSP588701 LCL588636:LCL588701 LMH588636:LMH588701 LWD588636:LWD588701 MFZ588636:MFZ588701 MPV588636:MPV588701 MZR588636:MZR588701 NJN588636:NJN588701 NTJ588636:NTJ588701 ODF588636:ODF588701 ONB588636:ONB588701 OWX588636:OWX588701 PGT588636:PGT588701 PQP588636:PQP588701 QAL588636:QAL588701 QKH588636:QKH588701 QUD588636:QUD588701 RDZ588636:RDZ588701 RNV588636:RNV588701 RXR588636:RXR588701 SHN588636:SHN588701 SRJ588636:SRJ588701 TBF588636:TBF588701 TLB588636:TLB588701 TUX588636:TUX588701 UET588636:UET588701 UOP588636:UOP588701 UYL588636:UYL588701 VIH588636:VIH588701 VSD588636:VSD588701 WBZ588636:WBZ588701 WLV588636:WLV588701 WVR588636:WVR588701 J654172:J654237 JF654172:JF654237 TB654172:TB654237 ACX654172:ACX654237 AMT654172:AMT654237 AWP654172:AWP654237 BGL654172:BGL654237 BQH654172:BQH654237 CAD654172:CAD654237 CJZ654172:CJZ654237 CTV654172:CTV654237 DDR654172:DDR654237 DNN654172:DNN654237 DXJ654172:DXJ654237 EHF654172:EHF654237 ERB654172:ERB654237 FAX654172:FAX654237 FKT654172:FKT654237 FUP654172:FUP654237 GEL654172:GEL654237 GOH654172:GOH654237 GYD654172:GYD654237 HHZ654172:HHZ654237 HRV654172:HRV654237 IBR654172:IBR654237 ILN654172:ILN654237 IVJ654172:IVJ654237 JFF654172:JFF654237 JPB654172:JPB654237 JYX654172:JYX654237 KIT654172:KIT654237 KSP654172:KSP654237 LCL654172:LCL654237 LMH654172:LMH654237 LWD654172:LWD654237 MFZ654172:MFZ654237 MPV654172:MPV654237 MZR654172:MZR654237 NJN654172:NJN654237 NTJ654172:NTJ654237 ODF654172:ODF654237 ONB654172:ONB654237 OWX654172:OWX654237 PGT654172:PGT654237 PQP654172:PQP654237 QAL654172:QAL654237 QKH654172:QKH654237 QUD654172:QUD654237 RDZ654172:RDZ654237 RNV654172:RNV654237 RXR654172:RXR654237 SHN654172:SHN654237 SRJ654172:SRJ654237 TBF654172:TBF654237 TLB654172:TLB654237 TUX654172:TUX654237 UET654172:UET654237 UOP654172:UOP654237 UYL654172:UYL654237 VIH654172:VIH654237 VSD654172:VSD654237 WBZ654172:WBZ654237 WLV654172:WLV654237 WVR654172:WVR654237 J719708:J719773 JF719708:JF719773 TB719708:TB719773 ACX719708:ACX719773 AMT719708:AMT719773 AWP719708:AWP719773 BGL719708:BGL719773 BQH719708:BQH719773 CAD719708:CAD719773 CJZ719708:CJZ719773 CTV719708:CTV719773 DDR719708:DDR719773 DNN719708:DNN719773 DXJ719708:DXJ719773 EHF719708:EHF719773 ERB719708:ERB719773 FAX719708:FAX719773 FKT719708:FKT719773 FUP719708:FUP719773 GEL719708:GEL719773 GOH719708:GOH719773 GYD719708:GYD719773 HHZ719708:HHZ719773 HRV719708:HRV719773 IBR719708:IBR719773 ILN719708:ILN719773 IVJ719708:IVJ719773 JFF719708:JFF719773 JPB719708:JPB719773 JYX719708:JYX719773 KIT719708:KIT719773 KSP719708:KSP719773 LCL719708:LCL719773 LMH719708:LMH719773 LWD719708:LWD719773 MFZ719708:MFZ719773 MPV719708:MPV719773 MZR719708:MZR719773 NJN719708:NJN719773 NTJ719708:NTJ719773 ODF719708:ODF719773 ONB719708:ONB719773 OWX719708:OWX719773 PGT719708:PGT719773 PQP719708:PQP719773 QAL719708:QAL719773 QKH719708:QKH719773 QUD719708:QUD719773 RDZ719708:RDZ719773 RNV719708:RNV719773 RXR719708:RXR719773 SHN719708:SHN719773 SRJ719708:SRJ719773 TBF719708:TBF719773 TLB719708:TLB719773 TUX719708:TUX719773 UET719708:UET719773 UOP719708:UOP719773 UYL719708:UYL719773 VIH719708:VIH719773 VSD719708:VSD719773 WBZ719708:WBZ719773 WLV719708:WLV719773 WVR719708:WVR719773 J785244:J785309 JF785244:JF785309 TB785244:TB785309 ACX785244:ACX785309 AMT785244:AMT785309 AWP785244:AWP785309 BGL785244:BGL785309 BQH785244:BQH785309 CAD785244:CAD785309 CJZ785244:CJZ785309 CTV785244:CTV785309 DDR785244:DDR785309 DNN785244:DNN785309 DXJ785244:DXJ785309 EHF785244:EHF785309 ERB785244:ERB785309 FAX785244:FAX785309 FKT785244:FKT785309 FUP785244:FUP785309 GEL785244:GEL785309 GOH785244:GOH785309 GYD785244:GYD785309 HHZ785244:HHZ785309 HRV785244:HRV785309 IBR785244:IBR785309 ILN785244:ILN785309 IVJ785244:IVJ785309 JFF785244:JFF785309 JPB785244:JPB785309 JYX785244:JYX785309 KIT785244:KIT785309 KSP785244:KSP785309 LCL785244:LCL785309 LMH785244:LMH785309 LWD785244:LWD785309 MFZ785244:MFZ785309 MPV785244:MPV785309 MZR785244:MZR785309 NJN785244:NJN785309 NTJ785244:NTJ785309 ODF785244:ODF785309 ONB785244:ONB785309 OWX785244:OWX785309 PGT785244:PGT785309 PQP785244:PQP785309 QAL785244:QAL785309 QKH785244:QKH785309 QUD785244:QUD785309 RDZ785244:RDZ785309 RNV785244:RNV785309 RXR785244:RXR785309 SHN785244:SHN785309 SRJ785244:SRJ785309 TBF785244:TBF785309 TLB785244:TLB785309 TUX785244:TUX785309 UET785244:UET785309 UOP785244:UOP785309 UYL785244:UYL785309 VIH785244:VIH785309 VSD785244:VSD785309 WBZ785244:WBZ785309 WLV785244:WLV785309 WVR785244:WVR785309 J850780:J850845 JF850780:JF850845 TB850780:TB850845 ACX850780:ACX850845 AMT850780:AMT850845 AWP850780:AWP850845 BGL850780:BGL850845 BQH850780:BQH850845 CAD850780:CAD850845 CJZ850780:CJZ850845 CTV850780:CTV850845 DDR850780:DDR850845 DNN850780:DNN850845 DXJ850780:DXJ850845 EHF850780:EHF850845 ERB850780:ERB850845 FAX850780:FAX850845 FKT850780:FKT850845 FUP850780:FUP850845 GEL850780:GEL850845 GOH850780:GOH850845 GYD850780:GYD850845 HHZ850780:HHZ850845 HRV850780:HRV850845 IBR850780:IBR850845 ILN850780:ILN850845 IVJ850780:IVJ850845 JFF850780:JFF850845 JPB850780:JPB850845 JYX850780:JYX850845 KIT850780:KIT850845 KSP850780:KSP850845 LCL850780:LCL850845 LMH850780:LMH850845 LWD850780:LWD850845 MFZ850780:MFZ850845 MPV850780:MPV850845 MZR850780:MZR850845 NJN850780:NJN850845 NTJ850780:NTJ850845 ODF850780:ODF850845 ONB850780:ONB850845 OWX850780:OWX850845 PGT850780:PGT850845 PQP850780:PQP850845 QAL850780:QAL850845 QKH850780:QKH850845 QUD850780:QUD850845 RDZ850780:RDZ850845 RNV850780:RNV850845 RXR850780:RXR850845 SHN850780:SHN850845 SRJ850780:SRJ850845 TBF850780:TBF850845 TLB850780:TLB850845 TUX850780:TUX850845 UET850780:UET850845 UOP850780:UOP850845 UYL850780:UYL850845 VIH850780:VIH850845 VSD850780:VSD850845 WBZ850780:WBZ850845 WLV850780:WLV850845 WVR850780:WVR850845 J916316:J916381 JF916316:JF916381 TB916316:TB916381 ACX916316:ACX916381 AMT916316:AMT916381 AWP916316:AWP916381 BGL916316:BGL916381 BQH916316:BQH916381 CAD916316:CAD916381 CJZ916316:CJZ916381 CTV916316:CTV916381 DDR916316:DDR916381 DNN916316:DNN916381 DXJ916316:DXJ916381 EHF916316:EHF916381 ERB916316:ERB916381 FAX916316:FAX916381 FKT916316:FKT916381 FUP916316:FUP916381 GEL916316:GEL916381 GOH916316:GOH916381 GYD916316:GYD916381 HHZ916316:HHZ916381 HRV916316:HRV916381 IBR916316:IBR916381 ILN916316:ILN916381 IVJ916316:IVJ916381 JFF916316:JFF916381 JPB916316:JPB916381 JYX916316:JYX916381 KIT916316:KIT916381 KSP916316:KSP916381 LCL916316:LCL916381 LMH916316:LMH916381 LWD916316:LWD916381 MFZ916316:MFZ916381 MPV916316:MPV916381 MZR916316:MZR916381 NJN916316:NJN916381 NTJ916316:NTJ916381 ODF916316:ODF916381 ONB916316:ONB916381 OWX916316:OWX916381 PGT916316:PGT916381 PQP916316:PQP916381 QAL916316:QAL916381 QKH916316:QKH916381 QUD916316:QUD916381 RDZ916316:RDZ916381 RNV916316:RNV916381 RXR916316:RXR916381 SHN916316:SHN916381 SRJ916316:SRJ916381 TBF916316:TBF916381 TLB916316:TLB916381 TUX916316:TUX916381 UET916316:UET916381 UOP916316:UOP916381 UYL916316:UYL916381 VIH916316:VIH916381 VSD916316:VSD916381 WBZ916316:WBZ916381 WLV916316:WLV916381 WVR916316:WVR916381 J981852:J981917 JF981852:JF981917 TB981852:TB981917 ACX981852:ACX981917 AMT981852:AMT981917 AWP981852:AWP981917 BGL981852:BGL981917 BQH981852:BQH981917 CAD981852:CAD981917 CJZ981852:CJZ981917 CTV981852:CTV981917 DDR981852:DDR981917 DNN981852:DNN981917 DXJ981852:DXJ981917 EHF981852:EHF981917 ERB981852:ERB981917 FAX981852:FAX981917 FKT981852:FKT981917 FUP981852:FUP981917 GEL981852:GEL981917 GOH981852:GOH981917 GYD981852:GYD981917 HHZ981852:HHZ981917 HRV981852:HRV981917 IBR981852:IBR981917 ILN981852:ILN981917 IVJ981852:IVJ981917 JFF981852:JFF981917 JPB981852:JPB981917 JYX981852:JYX981917 KIT981852:KIT981917 KSP981852:KSP981917 LCL981852:LCL981917 LMH981852:LMH981917 LWD981852:LWD981917 MFZ981852:MFZ981917 MPV981852:MPV981917 MZR981852:MZR981917 NJN981852:NJN981917 NTJ981852:NTJ981917 ODF981852:ODF981917 ONB981852:ONB981917 OWX981852:OWX981917 PGT981852:PGT981917 PQP981852:PQP981917 QAL981852:QAL981917 QKH981852:QKH981917 QUD981852:QUD981917 RDZ981852:RDZ981917 RNV981852:RNV981917 RXR981852:RXR981917 SHN981852:SHN981917 SRJ981852:SRJ981917 TBF981852:TBF981917 TLB981852:TLB981917 TUX981852:TUX981917 UET981852:UET981917 UOP981852:UOP981917 UYL981852:UYL981917 VIH981852:VIH981917 VSD981852:VSD981917 WBZ981852:WBZ981917 WLV981852:WLV981917 WVR981852:WVR981917 J1047388:J1047453 JF1047388:JF1047453 TB1047388:TB1047453 ACX1047388:ACX1047453 AMT1047388:AMT1047453 AWP1047388:AWP1047453 BGL1047388:BGL1047453 BQH1047388:BQH1047453 CAD1047388:CAD1047453 CJZ1047388:CJZ1047453 CTV1047388:CTV1047453 DDR1047388:DDR1047453 DNN1047388:DNN1047453 DXJ1047388:DXJ1047453 EHF1047388:EHF1047453 ERB1047388:ERB1047453 FAX1047388:FAX1047453 FKT1047388:FKT1047453 FUP1047388:FUP1047453 GEL1047388:GEL1047453 GOH1047388:GOH1047453 GYD1047388:GYD1047453 HHZ1047388:HHZ1047453 HRV1047388:HRV1047453 IBR1047388:IBR1047453 ILN1047388:ILN1047453 IVJ1047388:IVJ1047453 JFF1047388:JFF1047453 JPB1047388:JPB1047453 JYX1047388:JYX1047453 KIT1047388:KIT1047453 KSP1047388:KSP1047453 LCL1047388:LCL1047453 LMH1047388:LMH1047453 LWD1047388:LWD1047453 MFZ1047388:MFZ1047453 MPV1047388:MPV1047453 MZR1047388:MZR1047453 NJN1047388:NJN1047453 NTJ1047388:NTJ1047453 ODF1047388:ODF1047453 ONB1047388:ONB1047453 OWX1047388:OWX1047453 PGT1047388:PGT1047453 PQP1047388:PQP1047453 QAL1047388:QAL1047453 QKH1047388:QKH1047453 QUD1047388:QUD1047453 RDZ1047388:RDZ1047453 RNV1047388:RNV1047453 RXR1047388:RXR1047453 SHN1047388:SHN1047453 SRJ1047388:SRJ1047453 TBF1047388:TBF1047453 TLB1047388:TLB1047453 TUX1047388:TUX1047453 UET1047388:UET1047453 UOP1047388:UOP1047453 UYL1047388:UYL1047453 VIH1047388:VIH1047453 VSD1047388:VSD1047453 WBZ1047388:WBZ1047453 WLV1047388:WLV1047453 WVR1047388:WVR1047453" xr:uid="{B87D35E6-4345-43C4-B99D-4E344A070A5A}">
      <formula1>$AP$2:$AP$15</formula1>
    </dataValidation>
    <dataValidation type="list" allowBlank="1" showInputMessage="1" showErrorMessage="1" sqref="K64348:K64413 JG64348:JG64413 TC64348:TC64413 ACY64348:ACY64413 AMU64348:AMU64413 AWQ64348:AWQ64413 BGM64348:BGM64413 BQI64348:BQI64413 CAE64348:CAE64413 CKA64348:CKA64413 CTW64348:CTW64413 DDS64348:DDS64413 DNO64348:DNO64413 DXK64348:DXK64413 EHG64348:EHG64413 ERC64348:ERC64413 FAY64348:FAY64413 FKU64348:FKU64413 FUQ64348:FUQ64413 GEM64348:GEM64413 GOI64348:GOI64413 GYE64348:GYE64413 HIA64348:HIA64413 HRW64348:HRW64413 IBS64348:IBS64413 ILO64348:ILO64413 IVK64348:IVK64413 JFG64348:JFG64413 JPC64348:JPC64413 JYY64348:JYY64413 KIU64348:KIU64413 KSQ64348:KSQ64413 LCM64348:LCM64413 LMI64348:LMI64413 LWE64348:LWE64413 MGA64348:MGA64413 MPW64348:MPW64413 MZS64348:MZS64413 NJO64348:NJO64413 NTK64348:NTK64413 ODG64348:ODG64413 ONC64348:ONC64413 OWY64348:OWY64413 PGU64348:PGU64413 PQQ64348:PQQ64413 QAM64348:QAM64413 QKI64348:QKI64413 QUE64348:QUE64413 REA64348:REA64413 RNW64348:RNW64413 RXS64348:RXS64413 SHO64348:SHO64413 SRK64348:SRK64413 TBG64348:TBG64413 TLC64348:TLC64413 TUY64348:TUY64413 UEU64348:UEU64413 UOQ64348:UOQ64413 UYM64348:UYM64413 VII64348:VII64413 VSE64348:VSE64413 WCA64348:WCA64413 WLW64348:WLW64413 WVS64348:WVS64413 K129884:K129949 JG129884:JG129949 TC129884:TC129949 ACY129884:ACY129949 AMU129884:AMU129949 AWQ129884:AWQ129949 BGM129884:BGM129949 BQI129884:BQI129949 CAE129884:CAE129949 CKA129884:CKA129949 CTW129884:CTW129949 DDS129884:DDS129949 DNO129884:DNO129949 DXK129884:DXK129949 EHG129884:EHG129949 ERC129884:ERC129949 FAY129884:FAY129949 FKU129884:FKU129949 FUQ129884:FUQ129949 GEM129884:GEM129949 GOI129884:GOI129949 GYE129884:GYE129949 HIA129884:HIA129949 HRW129884:HRW129949 IBS129884:IBS129949 ILO129884:ILO129949 IVK129884:IVK129949 JFG129884:JFG129949 JPC129884:JPC129949 JYY129884:JYY129949 KIU129884:KIU129949 KSQ129884:KSQ129949 LCM129884:LCM129949 LMI129884:LMI129949 LWE129884:LWE129949 MGA129884:MGA129949 MPW129884:MPW129949 MZS129884:MZS129949 NJO129884:NJO129949 NTK129884:NTK129949 ODG129884:ODG129949 ONC129884:ONC129949 OWY129884:OWY129949 PGU129884:PGU129949 PQQ129884:PQQ129949 QAM129884:QAM129949 QKI129884:QKI129949 QUE129884:QUE129949 REA129884:REA129949 RNW129884:RNW129949 RXS129884:RXS129949 SHO129884:SHO129949 SRK129884:SRK129949 TBG129884:TBG129949 TLC129884:TLC129949 TUY129884:TUY129949 UEU129884:UEU129949 UOQ129884:UOQ129949 UYM129884:UYM129949 VII129884:VII129949 VSE129884:VSE129949 WCA129884:WCA129949 WLW129884:WLW129949 WVS129884:WVS129949 K195420:K195485 JG195420:JG195485 TC195420:TC195485 ACY195420:ACY195485 AMU195420:AMU195485 AWQ195420:AWQ195485 BGM195420:BGM195485 BQI195420:BQI195485 CAE195420:CAE195485 CKA195420:CKA195485 CTW195420:CTW195485 DDS195420:DDS195485 DNO195420:DNO195485 DXK195420:DXK195485 EHG195420:EHG195485 ERC195420:ERC195485 FAY195420:FAY195485 FKU195420:FKU195485 FUQ195420:FUQ195485 GEM195420:GEM195485 GOI195420:GOI195485 GYE195420:GYE195485 HIA195420:HIA195485 HRW195420:HRW195485 IBS195420:IBS195485 ILO195420:ILO195485 IVK195420:IVK195485 JFG195420:JFG195485 JPC195420:JPC195485 JYY195420:JYY195485 KIU195420:KIU195485 KSQ195420:KSQ195485 LCM195420:LCM195485 LMI195420:LMI195485 LWE195420:LWE195485 MGA195420:MGA195485 MPW195420:MPW195485 MZS195420:MZS195485 NJO195420:NJO195485 NTK195420:NTK195485 ODG195420:ODG195485 ONC195420:ONC195485 OWY195420:OWY195485 PGU195420:PGU195485 PQQ195420:PQQ195485 QAM195420:QAM195485 QKI195420:QKI195485 QUE195420:QUE195485 REA195420:REA195485 RNW195420:RNW195485 RXS195420:RXS195485 SHO195420:SHO195485 SRK195420:SRK195485 TBG195420:TBG195485 TLC195420:TLC195485 TUY195420:TUY195485 UEU195420:UEU195485 UOQ195420:UOQ195485 UYM195420:UYM195485 VII195420:VII195485 VSE195420:VSE195485 WCA195420:WCA195485 WLW195420:WLW195485 WVS195420:WVS195485 K260956:K261021 JG260956:JG261021 TC260956:TC261021 ACY260956:ACY261021 AMU260956:AMU261021 AWQ260956:AWQ261021 BGM260956:BGM261021 BQI260956:BQI261021 CAE260956:CAE261021 CKA260956:CKA261021 CTW260956:CTW261021 DDS260956:DDS261021 DNO260956:DNO261021 DXK260956:DXK261021 EHG260956:EHG261021 ERC260956:ERC261021 FAY260956:FAY261021 FKU260956:FKU261021 FUQ260956:FUQ261021 GEM260956:GEM261021 GOI260956:GOI261021 GYE260956:GYE261021 HIA260956:HIA261021 HRW260956:HRW261021 IBS260956:IBS261021 ILO260956:ILO261021 IVK260956:IVK261021 JFG260956:JFG261021 JPC260956:JPC261021 JYY260956:JYY261021 KIU260956:KIU261021 KSQ260956:KSQ261021 LCM260956:LCM261021 LMI260956:LMI261021 LWE260956:LWE261021 MGA260956:MGA261021 MPW260956:MPW261021 MZS260956:MZS261021 NJO260956:NJO261021 NTK260956:NTK261021 ODG260956:ODG261021 ONC260956:ONC261021 OWY260956:OWY261021 PGU260956:PGU261021 PQQ260956:PQQ261021 QAM260956:QAM261021 QKI260956:QKI261021 QUE260956:QUE261021 REA260956:REA261021 RNW260956:RNW261021 RXS260956:RXS261021 SHO260956:SHO261021 SRK260956:SRK261021 TBG260956:TBG261021 TLC260956:TLC261021 TUY260956:TUY261021 UEU260956:UEU261021 UOQ260956:UOQ261021 UYM260956:UYM261021 VII260956:VII261021 VSE260956:VSE261021 WCA260956:WCA261021 WLW260956:WLW261021 WVS260956:WVS261021 K326492:K326557 JG326492:JG326557 TC326492:TC326557 ACY326492:ACY326557 AMU326492:AMU326557 AWQ326492:AWQ326557 BGM326492:BGM326557 BQI326492:BQI326557 CAE326492:CAE326557 CKA326492:CKA326557 CTW326492:CTW326557 DDS326492:DDS326557 DNO326492:DNO326557 DXK326492:DXK326557 EHG326492:EHG326557 ERC326492:ERC326557 FAY326492:FAY326557 FKU326492:FKU326557 FUQ326492:FUQ326557 GEM326492:GEM326557 GOI326492:GOI326557 GYE326492:GYE326557 HIA326492:HIA326557 HRW326492:HRW326557 IBS326492:IBS326557 ILO326492:ILO326557 IVK326492:IVK326557 JFG326492:JFG326557 JPC326492:JPC326557 JYY326492:JYY326557 KIU326492:KIU326557 KSQ326492:KSQ326557 LCM326492:LCM326557 LMI326492:LMI326557 LWE326492:LWE326557 MGA326492:MGA326557 MPW326492:MPW326557 MZS326492:MZS326557 NJO326492:NJO326557 NTK326492:NTK326557 ODG326492:ODG326557 ONC326492:ONC326557 OWY326492:OWY326557 PGU326492:PGU326557 PQQ326492:PQQ326557 QAM326492:QAM326557 QKI326492:QKI326557 QUE326492:QUE326557 REA326492:REA326557 RNW326492:RNW326557 RXS326492:RXS326557 SHO326492:SHO326557 SRK326492:SRK326557 TBG326492:TBG326557 TLC326492:TLC326557 TUY326492:TUY326557 UEU326492:UEU326557 UOQ326492:UOQ326557 UYM326492:UYM326557 VII326492:VII326557 VSE326492:VSE326557 WCA326492:WCA326557 WLW326492:WLW326557 WVS326492:WVS326557 K392028:K392093 JG392028:JG392093 TC392028:TC392093 ACY392028:ACY392093 AMU392028:AMU392093 AWQ392028:AWQ392093 BGM392028:BGM392093 BQI392028:BQI392093 CAE392028:CAE392093 CKA392028:CKA392093 CTW392028:CTW392093 DDS392028:DDS392093 DNO392028:DNO392093 DXK392028:DXK392093 EHG392028:EHG392093 ERC392028:ERC392093 FAY392028:FAY392093 FKU392028:FKU392093 FUQ392028:FUQ392093 GEM392028:GEM392093 GOI392028:GOI392093 GYE392028:GYE392093 HIA392028:HIA392093 HRW392028:HRW392093 IBS392028:IBS392093 ILO392028:ILO392093 IVK392028:IVK392093 JFG392028:JFG392093 JPC392028:JPC392093 JYY392028:JYY392093 KIU392028:KIU392093 KSQ392028:KSQ392093 LCM392028:LCM392093 LMI392028:LMI392093 LWE392028:LWE392093 MGA392028:MGA392093 MPW392028:MPW392093 MZS392028:MZS392093 NJO392028:NJO392093 NTK392028:NTK392093 ODG392028:ODG392093 ONC392028:ONC392093 OWY392028:OWY392093 PGU392028:PGU392093 PQQ392028:PQQ392093 QAM392028:QAM392093 QKI392028:QKI392093 QUE392028:QUE392093 REA392028:REA392093 RNW392028:RNW392093 RXS392028:RXS392093 SHO392028:SHO392093 SRK392028:SRK392093 TBG392028:TBG392093 TLC392028:TLC392093 TUY392028:TUY392093 UEU392028:UEU392093 UOQ392028:UOQ392093 UYM392028:UYM392093 VII392028:VII392093 VSE392028:VSE392093 WCA392028:WCA392093 WLW392028:WLW392093 WVS392028:WVS392093 K457564:K457629 JG457564:JG457629 TC457564:TC457629 ACY457564:ACY457629 AMU457564:AMU457629 AWQ457564:AWQ457629 BGM457564:BGM457629 BQI457564:BQI457629 CAE457564:CAE457629 CKA457564:CKA457629 CTW457564:CTW457629 DDS457564:DDS457629 DNO457564:DNO457629 DXK457564:DXK457629 EHG457564:EHG457629 ERC457564:ERC457629 FAY457564:FAY457629 FKU457564:FKU457629 FUQ457564:FUQ457629 GEM457564:GEM457629 GOI457564:GOI457629 GYE457564:GYE457629 HIA457564:HIA457629 HRW457564:HRW457629 IBS457564:IBS457629 ILO457564:ILO457629 IVK457564:IVK457629 JFG457564:JFG457629 JPC457564:JPC457629 JYY457564:JYY457629 KIU457564:KIU457629 KSQ457564:KSQ457629 LCM457564:LCM457629 LMI457564:LMI457629 LWE457564:LWE457629 MGA457564:MGA457629 MPW457564:MPW457629 MZS457564:MZS457629 NJO457564:NJO457629 NTK457564:NTK457629 ODG457564:ODG457629 ONC457564:ONC457629 OWY457564:OWY457629 PGU457564:PGU457629 PQQ457564:PQQ457629 QAM457564:QAM457629 QKI457564:QKI457629 QUE457564:QUE457629 REA457564:REA457629 RNW457564:RNW457629 RXS457564:RXS457629 SHO457564:SHO457629 SRK457564:SRK457629 TBG457564:TBG457629 TLC457564:TLC457629 TUY457564:TUY457629 UEU457564:UEU457629 UOQ457564:UOQ457629 UYM457564:UYM457629 VII457564:VII457629 VSE457564:VSE457629 WCA457564:WCA457629 WLW457564:WLW457629 WVS457564:WVS457629 K523100:K523165 JG523100:JG523165 TC523100:TC523165 ACY523100:ACY523165 AMU523100:AMU523165 AWQ523100:AWQ523165 BGM523100:BGM523165 BQI523100:BQI523165 CAE523100:CAE523165 CKA523100:CKA523165 CTW523100:CTW523165 DDS523100:DDS523165 DNO523100:DNO523165 DXK523100:DXK523165 EHG523100:EHG523165 ERC523100:ERC523165 FAY523100:FAY523165 FKU523100:FKU523165 FUQ523100:FUQ523165 GEM523100:GEM523165 GOI523100:GOI523165 GYE523100:GYE523165 HIA523100:HIA523165 HRW523100:HRW523165 IBS523100:IBS523165 ILO523100:ILO523165 IVK523100:IVK523165 JFG523100:JFG523165 JPC523100:JPC523165 JYY523100:JYY523165 KIU523100:KIU523165 KSQ523100:KSQ523165 LCM523100:LCM523165 LMI523100:LMI523165 LWE523100:LWE523165 MGA523100:MGA523165 MPW523100:MPW523165 MZS523100:MZS523165 NJO523100:NJO523165 NTK523100:NTK523165 ODG523100:ODG523165 ONC523100:ONC523165 OWY523100:OWY523165 PGU523100:PGU523165 PQQ523100:PQQ523165 QAM523100:QAM523165 QKI523100:QKI523165 QUE523100:QUE523165 REA523100:REA523165 RNW523100:RNW523165 RXS523100:RXS523165 SHO523100:SHO523165 SRK523100:SRK523165 TBG523100:TBG523165 TLC523100:TLC523165 TUY523100:TUY523165 UEU523100:UEU523165 UOQ523100:UOQ523165 UYM523100:UYM523165 VII523100:VII523165 VSE523100:VSE523165 WCA523100:WCA523165 WLW523100:WLW523165 WVS523100:WVS523165 K588636:K588701 JG588636:JG588701 TC588636:TC588701 ACY588636:ACY588701 AMU588636:AMU588701 AWQ588636:AWQ588701 BGM588636:BGM588701 BQI588636:BQI588701 CAE588636:CAE588701 CKA588636:CKA588701 CTW588636:CTW588701 DDS588636:DDS588701 DNO588636:DNO588701 DXK588636:DXK588701 EHG588636:EHG588701 ERC588636:ERC588701 FAY588636:FAY588701 FKU588636:FKU588701 FUQ588636:FUQ588701 GEM588636:GEM588701 GOI588636:GOI588701 GYE588636:GYE588701 HIA588636:HIA588701 HRW588636:HRW588701 IBS588636:IBS588701 ILO588636:ILO588701 IVK588636:IVK588701 JFG588636:JFG588701 JPC588636:JPC588701 JYY588636:JYY588701 KIU588636:KIU588701 KSQ588636:KSQ588701 LCM588636:LCM588701 LMI588636:LMI588701 LWE588636:LWE588701 MGA588636:MGA588701 MPW588636:MPW588701 MZS588636:MZS588701 NJO588636:NJO588701 NTK588636:NTK588701 ODG588636:ODG588701 ONC588636:ONC588701 OWY588636:OWY588701 PGU588636:PGU588701 PQQ588636:PQQ588701 QAM588636:QAM588701 QKI588636:QKI588701 QUE588636:QUE588701 REA588636:REA588701 RNW588636:RNW588701 RXS588636:RXS588701 SHO588636:SHO588701 SRK588636:SRK588701 TBG588636:TBG588701 TLC588636:TLC588701 TUY588636:TUY588701 UEU588636:UEU588701 UOQ588636:UOQ588701 UYM588636:UYM588701 VII588636:VII588701 VSE588636:VSE588701 WCA588636:WCA588701 WLW588636:WLW588701 WVS588636:WVS588701 K654172:K654237 JG654172:JG654237 TC654172:TC654237 ACY654172:ACY654237 AMU654172:AMU654237 AWQ654172:AWQ654237 BGM654172:BGM654237 BQI654172:BQI654237 CAE654172:CAE654237 CKA654172:CKA654237 CTW654172:CTW654237 DDS654172:DDS654237 DNO654172:DNO654237 DXK654172:DXK654237 EHG654172:EHG654237 ERC654172:ERC654237 FAY654172:FAY654237 FKU654172:FKU654237 FUQ654172:FUQ654237 GEM654172:GEM654237 GOI654172:GOI654237 GYE654172:GYE654237 HIA654172:HIA654237 HRW654172:HRW654237 IBS654172:IBS654237 ILO654172:ILO654237 IVK654172:IVK654237 JFG654172:JFG654237 JPC654172:JPC654237 JYY654172:JYY654237 KIU654172:KIU654237 KSQ654172:KSQ654237 LCM654172:LCM654237 LMI654172:LMI654237 LWE654172:LWE654237 MGA654172:MGA654237 MPW654172:MPW654237 MZS654172:MZS654237 NJO654172:NJO654237 NTK654172:NTK654237 ODG654172:ODG654237 ONC654172:ONC654237 OWY654172:OWY654237 PGU654172:PGU654237 PQQ654172:PQQ654237 QAM654172:QAM654237 QKI654172:QKI654237 QUE654172:QUE654237 REA654172:REA654237 RNW654172:RNW654237 RXS654172:RXS654237 SHO654172:SHO654237 SRK654172:SRK654237 TBG654172:TBG654237 TLC654172:TLC654237 TUY654172:TUY654237 UEU654172:UEU654237 UOQ654172:UOQ654237 UYM654172:UYM654237 VII654172:VII654237 VSE654172:VSE654237 WCA654172:WCA654237 WLW654172:WLW654237 WVS654172:WVS654237 K719708:K719773 JG719708:JG719773 TC719708:TC719773 ACY719708:ACY719773 AMU719708:AMU719773 AWQ719708:AWQ719773 BGM719708:BGM719773 BQI719708:BQI719773 CAE719708:CAE719773 CKA719708:CKA719773 CTW719708:CTW719773 DDS719708:DDS719773 DNO719708:DNO719773 DXK719708:DXK719773 EHG719708:EHG719773 ERC719708:ERC719773 FAY719708:FAY719773 FKU719708:FKU719773 FUQ719708:FUQ719773 GEM719708:GEM719773 GOI719708:GOI719773 GYE719708:GYE719773 HIA719708:HIA719773 HRW719708:HRW719773 IBS719708:IBS719773 ILO719708:ILO719773 IVK719708:IVK719773 JFG719708:JFG719773 JPC719708:JPC719773 JYY719708:JYY719773 KIU719708:KIU719773 KSQ719708:KSQ719773 LCM719708:LCM719773 LMI719708:LMI719773 LWE719708:LWE719773 MGA719708:MGA719773 MPW719708:MPW719773 MZS719708:MZS719773 NJO719708:NJO719773 NTK719708:NTK719773 ODG719708:ODG719773 ONC719708:ONC719773 OWY719708:OWY719773 PGU719708:PGU719773 PQQ719708:PQQ719773 QAM719708:QAM719773 QKI719708:QKI719773 QUE719708:QUE719773 REA719708:REA719773 RNW719708:RNW719773 RXS719708:RXS719773 SHO719708:SHO719773 SRK719708:SRK719773 TBG719708:TBG719773 TLC719708:TLC719773 TUY719708:TUY719773 UEU719708:UEU719773 UOQ719708:UOQ719773 UYM719708:UYM719773 VII719708:VII719773 VSE719708:VSE719773 WCA719708:WCA719773 WLW719708:WLW719773 WVS719708:WVS719773 K785244:K785309 JG785244:JG785309 TC785244:TC785309 ACY785244:ACY785309 AMU785244:AMU785309 AWQ785244:AWQ785309 BGM785244:BGM785309 BQI785244:BQI785309 CAE785244:CAE785309 CKA785244:CKA785309 CTW785244:CTW785309 DDS785244:DDS785309 DNO785244:DNO785309 DXK785244:DXK785309 EHG785244:EHG785309 ERC785244:ERC785309 FAY785244:FAY785309 FKU785244:FKU785309 FUQ785244:FUQ785309 GEM785244:GEM785309 GOI785244:GOI785309 GYE785244:GYE785309 HIA785244:HIA785309 HRW785244:HRW785309 IBS785244:IBS785309 ILO785244:ILO785309 IVK785244:IVK785309 JFG785244:JFG785309 JPC785244:JPC785309 JYY785244:JYY785309 KIU785244:KIU785309 KSQ785244:KSQ785309 LCM785244:LCM785309 LMI785244:LMI785309 LWE785244:LWE785309 MGA785244:MGA785309 MPW785244:MPW785309 MZS785244:MZS785309 NJO785244:NJO785309 NTK785244:NTK785309 ODG785244:ODG785309 ONC785244:ONC785309 OWY785244:OWY785309 PGU785244:PGU785309 PQQ785244:PQQ785309 QAM785244:QAM785309 QKI785244:QKI785309 QUE785244:QUE785309 REA785244:REA785309 RNW785244:RNW785309 RXS785244:RXS785309 SHO785244:SHO785309 SRK785244:SRK785309 TBG785244:TBG785309 TLC785244:TLC785309 TUY785244:TUY785309 UEU785244:UEU785309 UOQ785244:UOQ785309 UYM785244:UYM785309 VII785244:VII785309 VSE785244:VSE785309 WCA785244:WCA785309 WLW785244:WLW785309 WVS785244:WVS785309 K850780:K850845 JG850780:JG850845 TC850780:TC850845 ACY850780:ACY850845 AMU850780:AMU850845 AWQ850780:AWQ850845 BGM850780:BGM850845 BQI850780:BQI850845 CAE850780:CAE850845 CKA850780:CKA850845 CTW850780:CTW850845 DDS850780:DDS850845 DNO850780:DNO850845 DXK850780:DXK850845 EHG850780:EHG850845 ERC850780:ERC850845 FAY850780:FAY850845 FKU850780:FKU850845 FUQ850780:FUQ850845 GEM850780:GEM850845 GOI850780:GOI850845 GYE850780:GYE850845 HIA850780:HIA850845 HRW850780:HRW850845 IBS850780:IBS850845 ILO850780:ILO850845 IVK850780:IVK850845 JFG850780:JFG850845 JPC850780:JPC850845 JYY850780:JYY850845 KIU850780:KIU850845 KSQ850780:KSQ850845 LCM850780:LCM850845 LMI850780:LMI850845 LWE850780:LWE850845 MGA850780:MGA850845 MPW850780:MPW850845 MZS850780:MZS850845 NJO850780:NJO850845 NTK850780:NTK850845 ODG850780:ODG850845 ONC850780:ONC850845 OWY850780:OWY850845 PGU850780:PGU850845 PQQ850780:PQQ850845 QAM850780:QAM850845 QKI850780:QKI850845 QUE850780:QUE850845 REA850780:REA850845 RNW850780:RNW850845 RXS850780:RXS850845 SHO850780:SHO850845 SRK850780:SRK850845 TBG850780:TBG850845 TLC850780:TLC850845 TUY850780:TUY850845 UEU850780:UEU850845 UOQ850780:UOQ850845 UYM850780:UYM850845 VII850780:VII850845 VSE850780:VSE850845 WCA850780:WCA850845 WLW850780:WLW850845 WVS850780:WVS850845 K916316:K916381 JG916316:JG916381 TC916316:TC916381 ACY916316:ACY916381 AMU916316:AMU916381 AWQ916316:AWQ916381 BGM916316:BGM916381 BQI916316:BQI916381 CAE916316:CAE916381 CKA916316:CKA916381 CTW916316:CTW916381 DDS916316:DDS916381 DNO916316:DNO916381 DXK916316:DXK916381 EHG916316:EHG916381 ERC916316:ERC916381 FAY916316:FAY916381 FKU916316:FKU916381 FUQ916316:FUQ916381 GEM916316:GEM916381 GOI916316:GOI916381 GYE916316:GYE916381 HIA916316:HIA916381 HRW916316:HRW916381 IBS916316:IBS916381 ILO916316:ILO916381 IVK916316:IVK916381 JFG916316:JFG916381 JPC916316:JPC916381 JYY916316:JYY916381 KIU916316:KIU916381 KSQ916316:KSQ916381 LCM916316:LCM916381 LMI916316:LMI916381 LWE916316:LWE916381 MGA916316:MGA916381 MPW916316:MPW916381 MZS916316:MZS916381 NJO916316:NJO916381 NTK916316:NTK916381 ODG916316:ODG916381 ONC916316:ONC916381 OWY916316:OWY916381 PGU916316:PGU916381 PQQ916316:PQQ916381 QAM916316:QAM916381 QKI916316:QKI916381 QUE916316:QUE916381 REA916316:REA916381 RNW916316:RNW916381 RXS916316:RXS916381 SHO916316:SHO916381 SRK916316:SRK916381 TBG916316:TBG916381 TLC916316:TLC916381 TUY916316:TUY916381 UEU916316:UEU916381 UOQ916316:UOQ916381 UYM916316:UYM916381 VII916316:VII916381 VSE916316:VSE916381 WCA916316:WCA916381 WLW916316:WLW916381 WVS916316:WVS916381 K981852:K981917 JG981852:JG981917 TC981852:TC981917 ACY981852:ACY981917 AMU981852:AMU981917 AWQ981852:AWQ981917 BGM981852:BGM981917 BQI981852:BQI981917 CAE981852:CAE981917 CKA981852:CKA981917 CTW981852:CTW981917 DDS981852:DDS981917 DNO981852:DNO981917 DXK981852:DXK981917 EHG981852:EHG981917 ERC981852:ERC981917 FAY981852:FAY981917 FKU981852:FKU981917 FUQ981852:FUQ981917 GEM981852:GEM981917 GOI981852:GOI981917 GYE981852:GYE981917 HIA981852:HIA981917 HRW981852:HRW981917 IBS981852:IBS981917 ILO981852:ILO981917 IVK981852:IVK981917 JFG981852:JFG981917 JPC981852:JPC981917 JYY981852:JYY981917 KIU981852:KIU981917 KSQ981852:KSQ981917 LCM981852:LCM981917 LMI981852:LMI981917 LWE981852:LWE981917 MGA981852:MGA981917 MPW981852:MPW981917 MZS981852:MZS981917 NJO981852:NJO981917 NTK981852:NTK981917 ODG981852:ODG981917 ONC981852:ONC981917 OWY981852:OWY981917 PGU981852:PGU981917 PQQ981852:PQQ981917 QAM981852:QAM981917 QKI981852:QKI981917 QUE981852:QUE981917 REA981852:REA981917 RNW981852:RNW981917 RXS981852:RXS981917 SHO981852:SHO981917 SRK981852:SRK981917 TBG981852:TBG981917 TLC981852:TLC981917 TUY981852:TUY981917 UEU981852:UEU981917 UOQ981852:UOQ981917 UYM981852:UYM981917 VII981852:VII981917 VSE981852:VSE981917 WCA981852:WCA981917 WLW981852:WLW981917 WVS981852:WVS981917 K1047388:K1047453 JG1047388:JG1047453 TC1047388:TC1047453 ACY1047388:ACY1047453 AMU1047388:AMU1047453 AWQ1047388:AWQ1047453 BGM1047388:BGM1047453 BQI1047388:BQI1047453 CAE1047388:CAE1047453 CKA1047388:CKA1047453 CTW1047388:CTW1047453 DDS1047388:DDS1047453 DNO1047388:DNO1047453 DXK1047388:DXK1047453 EHG1047388:EHG1047453 ERC1047388:ERC1047453 FAY1047388:FAY1047453 FKU1047388:FKU1047453 FUQ1047388:FUQ1047453 GEM1047388:GEM1047453 GOI1047388:GOI1047453 GYE1047388:GYE1047453 HIA1047388:HIA1047453 HRW1047388:HRW1047453 IBS1047388:IBS1047453 ILO1047388:ILO1047453 IVK1047388:IVK1047453 JFG1047388:JFG1047453 JPC1047388:JPC1047453 JYY1047388:JYY1047453 KIU1047388:KIU1047453 KSQ1047388:KSQ1047453 LCM1047388:LCM1047453 LMI1047388:LMI1047453 LWE1047388:LWE1047453 MGA1047388:MGA1047453 MPW1047388:MPW1047453 MZS1047388:MZS1047453 NJO1047388:NJO1047453 NTK1047388:NTK1047453 ODG1047388:ODG1047453 ONC1047388:ONC1047453 OWY1047388:OWY1047453 PGU1047388:PGU1047453 PQQ1047388:PQQ1047453 QAM1047388:QAM1047453 QKI1047388:QKI1047453 QUE1047388:QUE1047453 REA1047388:REA1047453 RNW1047388:RNW1047453 RXS1047388:RXS1047453 SHO1047388:SHO1047453 SRK1047388:SRK1047453 TBG1047388:TBG1047453 TLC1047388:TLC1047453 TUY1047388:TUY1047453 UEU1047388:UEU1047453 UOQ1047388:UOQ1047453 UYM1047388:UYM1047453 VII1047388:VII1047453 VSE1047388:VSE1047453 WCA1047388:WCA1047453 WLW1047388:WLW1047453 WVS1047388:WVS1047453" xr:uid="{155D0A48-A425-432D-86DF-5709B9B2DEEE}">
      <formula1>$AR$2:$AR$24</formula1>
    </dataValidation>
    <dataValidation type="list" allowBlank="1" showInputMessage="1" showErrorMessage="1" sqref="Y64348:AA64413 JU64348:JW64413 TQ64348:TS64413 ADM64348:ADO64413 ANI64348:ANK64413 AXE64348:AXG64413 BHA64348:BHC64413 BQW64348:BQY64413 CAS64348:CAU64413 CKO64348:CKQ64413 CUK64348:CUM64413 DEG64348:DEI64413 DOC64348:DOE64413 DXY64348:DYA64413 EHU64348:EHW64413 ERQ64348:ERS64413 FBM64348:FBO64413 FLI64348:FLK64413 FVE64348:FVG64413 GFA64348:GFC64413 GOW64348:GOY64413 GYS64348:GYU64413 HIO64348:HIQ64413 HSK64348:HSM64413 ICG64348:ICI64413 IMC64348:IME64413 IVY64348:IWA64413 JFU64348:JFW64413 JPQ64348:JPS64413 JZM64348:JZO64413 KJI64348:KJK64413 KTE64348:KTG64413 LDA64348:LDC64413 LMW64348:LMY64413 LWS64348:LWU64413 MGO64348:MGQ64413 MQK64348:MQM64413 NAG64348:NAI64413 NKC64348:NKE64413 NTY64348:NUA64413 ODU64348:ODW64413 ONQ64348:ONS64413 OXM64348:OXO64413 PHI64348:PHK64413 PRE64348:PRG64413 QBA64348:QBC64413 QKW64348:QKY64413 QUS64348:QUU64413 REO64348:REQ64413 ROK64348:ROM64413 RYG64348:RYI64413 SIC64348:SIE64413 SRY64348:SSA64413 TBU64348:TBW64413 TLQ64348:TLS64413 TVM64348:TVO64413 UFI64348:UFK64413 UPE64348:UPG64413 UZA64348:UZC64413 VIW64348:VIY64413 VSS64348:VSU64413 WCO64348:WCQ64413 WMK64348:WMM64413 WWG64348:WWI64413 Y129884:AA129949 JU129884:JW129949 TQ129884:TS129949 ADM129884:ADO129949 ANI129884:ANK129949 AXE129884:AXG129949 BHA129884:BHC129949 BQW129884:BQY129949 CAS129884:CAU129949 CKO129884:CKQ129949 CUK129884:CUM129949 DEG129884:DEI129949 DOC129884:DOE129949 DXY129884:DYA129949 EHU129884:EHW129949 ERQ129884:ERS129949 FBM129884:FBO129949 FLI129884:FLK129949 FVE129884:FVG129949 GFA129884:GFC129949 GOW129884:GOY129949 GYS129884:GYU129949 HIO129884:HIQ129949 HSK129884:HSM129949 ICG129884:ICI129949 IMC129884:IME129949 IVY129884:IWA129949 JFU129884:JFW129949 JPQ129884:JPS129949 JZM129884:JZO129949 KJI129884:KJK129949 KTE129884:KTG129949 LDA129884:LDC129949 LMW129884:LMY129949 LWS129884:LWU129949 MGO129884:MGQ129949 MQK129884:MQM129949 NAG129884:NAI129949 NKC129884:NKE129949 NTY129884:NUA129949 ODU129884:ODW129949 ONQ129884:ONS129949 OXM129884:OXO129949 PHI129884:PHK129949 PRE129884:PRG129949 QBA129884:QBC129949 QKW129884:QKY129949 QUS129884:QUU129949 REO129884:REQ129949 ROK129884:ROM129949 RYG129884:RYI129949 SIC129884:SIE129949 SRY129884:SSA129949 TBU129884:TBW129949 TLQ129884:TLS129949 TVM129884:TVO129949 UFI129884:UFK129949 UPE129884:UPG129949 UZA129884:UZC129949 VIW129884:VIY129949 VSS129884:VSU129949 WCO129884:WCQ129949 WMK129884:WMM129949 WWG129884:WWI129949 Y195420:AA195485 JU195420:JW195485 TQ195420:TS195485 ADM195420:ADO195485 ANI195420:ANK195485 AXE195420:AXG195485 BHA195420:BHC195485 BQW195420:BQY195485 CAS195420:CAU195485 CKO195420:CKQ195485 CUK195420:CUM195485 DEG195420:DEI195485 DOC195420:DOE195485 DXY195420:DYA195485 EHU195420:EHW195485 ERQ195420:ERS195485 FBM195420:FBO195485 FLI195420:FLK195485 FVE195420:FVG195485 GFA195420:GFC195485 GOW195420:GOY195485 GYS195420:GYU195485 HIO195420:HIQ195485 HSK195420:HSM195485 ICG195420:ICI195485 IMC195420:IME195485 IVY195420:IWA195485 JFU195420:JFW195485 JPQ195420:JPS195485 JZM195420:JZO195485 KJI195420:KJK195485 KTE195420:KTG195485 LDA195420:LDC195485 LMW195420:LMY195485 LWS195420:LWU195485 MGO195420:MGQ195485 MQK195420:MQM195485 NAG195420:NAI195485 NKC195420:NKE195485 NTY195420:NUA195485 ODU195420:ODW195485 ONQ195420:ONS195485 OXM195420:OXO195485 PHI195420:PHK195485 PRE195420:PRG195485 QBA195420:QBC195485 QKW195420:QKY195485 QUS195420:QUU195485 REO195420:REQ195485 ROK195420:ROM195485 RYG195420:RYI195485 SIC195420:SIE195485 SRY195420:SSA195485 TBU195420:TBW195485 TLQ195420:TLS195485 TVM195420:TVO195485 UFI195420:UFK195485 UPE195420:UPG195485 UZA195420:UZC195485 VIW195420:VIY195485 VSS195420:VSU195485 WCO195420:WCQ195485 WMK195420:WMM195485 WWG195420:WWI195485 Y260956:AA261021 JU260956:JW261021 TQ260956:TS261021 ADM260956:ADO261021 ANI260956:ANK261021 AXE260956:AXG261021 BHA260956:BHC261021 BQW260956:BQY261021 CAS260956:CAU261021 CKO260956:CKQ261021 CUK260956:CUM261021 DEG260956:DEI261021 DOC260956:DOE261021 DXY260956:DYA261021 EHU260956:EHW261021 ERQ260956:ERS261021 FBM260956:FBO261021 FLI260956:FLK261021 FVE260956:FVG261021 GFA260956:GFC261021 GOW260956:GOY261021 GYS260956:GYU261021 HIO260956:HIQ261021 HSK260956:HSM261021 ICG260956:ICI261021 IMC260956:IME261021 IVY260956:IWA261021 JFU260956:JFW261021 JPQ260956:JPS261021 JZM260956:JZO261021 KJI260956:KJK261021 KTE260956:KTG261021 LDA260956:LDC261021 LMW260956:LMY261021 LWS260956:LWU261021 MGO260956:MGQ261021 MQK260956:MQM261021 NAG260956:NAI261021 NKC260956:NKE261021 NTY260956:NUA261021 ODU260956:ODW261021 ONQ260956:ONS261021 OXM260956:OXO261021 PHI260956:PHK261021 PRE260956:PRG261021 QBA260956:QBC261021 QKW260956:QKY261021 QUS260956:QUU261021 REO260956:REQ261021 ROK260956:ROM261021 RYG260956:RYI261021 SIC260956:SIE261021 SRY260956:SSA261021 TBU260956:TBW261021 TLQ260956:TLS261021 TVM260956:TVO261021 UFI260956:UFK261021 UPE260956:UPG261021 UZA260956:UZC261021 VIW260956:VIY261021 VSS260956:VSU261021 WCO260956:WCQ261021 WMK260956:WMM261021 WWG260956:WWI261021 Y326492:AA326557 JU326492:JW326557 TQ326492:TS326557 ADM326492:ADO326557 ANI326492:ANK326557 AXE326492:AXG326557 BHA326492:BHC326557 BQW326492:BQY326557 CAS326492:CAU326557 CKO326492:CKQ326557 CUK326492:CUM326557 DEG326492:DEI326557 DOC326492:DOE326557 DXY326492:DYA326557 EHU326492:EHW326557 ERQ326492:ERS326557 FBM326492:FBO326557 FLI326492:FLK326557 FVE326492:FVG326557 GFA326492:GFC326557 GOW326492:GOY326557 GYS326492:GYU326557 HIO326492:HIQ326557 HSK326492:HSM326557 ICG326492:ICI326557 IMC326492:IME326557 IVY326492:IWA326557 JFU326492:JFW326557 JPQ326492:JPS326557 JZM326492:JZO326557 KJI326492:KJK326557 KTE326492:KTG326557 LDA326492:LDC326557 LMW326492:LMY326557 LWS326492:LWU326557 MGO326492:MGQ326557 MQK326492:MQM326557 NAG326492:NAI326557 NKC326492:NKE326557 NTY326492:NUA326557 ODU326492:ODW326557 ONQ326492:ONS326557 OXM326492:OXO326557 PHI326492:PHK326557 PRE326492:PRG326557 QBA326492:QBC326557 QKW326492:QKY326557 QUS326492:QUU326557 REO326492:REQ326557 ROK326492:ROM326557 RYG326492:RYI326557 SIC326492:SIE326557 SRY326492:SSA326557 TBU326492:TBW326557 TLQ326492:TLS326557 TVM326492:TVO326557 UFI326492:UFK326557 UPE326492:UPG326557 UZA326492:UZC326557 VIW326492:VIY326557 VSS326492:VSU326557 WCO326492:WCQ326557 WMK326492:WMM326557 WWG326492:WWI326557 Y392028:AA392093 JU392028:JW392093 TQ392028:TS392093 ADM392028:ADO392093 ANI392028:ANK392093 AXE392028:AXG392093 BHA392028:BHC392093 BQW392028:BQY392093 CAS392028:CAU392093 CKO392028:CKQ392093 CUK392028:CUM392093 DEG392028:DEI392093 DOC392028:DOE392093 DXY392028:DYA392093 EHU392028:EHW392093 ERQ392028:ERS392093 FBM392028:FBO392093 FLI392028:FLK392093 FVE392028:FVG392093 GFA392028:GFC392093 GOW392028:GOY392093 GYS392028:GYU392093 HIO392028:HIQ392093 HSK392028:HSM392093 ICG392028:ICI392093 IMC392028:IME392093 IVY392028:IWA392093 JFU392028:JFW392093 JPQ392028:JPS392093 JZM392028:JZO392093 KJI392028:KJK392093 KTE392028:KTG392093 LDA392028:LDC392093 LMW392028:LMY392093 LWS392028:LWU392093 MGO392028:MGQ392093 MQK392028:MQM392093 NAG392028:NAI392093 NKC392028:NKE392093 NTY392028:NUA392093 ODU392028:ODW392093 ONQ392028:ONS392093 OXM392028:OXO392093 PHI392028:PHK392093 PRE392028:PRG392093 QBA392028:QBC392093 QKW392028:QKY392093 QUS392028:QUU392093 REO392028:REQ392093 ROK392028:ROM392093 RYG392028:RYI392093 SIC392028:SIE392093 SRY392028:SSA392093 TBU392028:TBW392093 TLQ392028:TLS392093 TVM392028:TVO392093 UFI392028:UFK392093 UPE392028:UPG392093 UZA392028:UZC392093 VIW392028:VIY392093 VSS392028:VSU392093 WCO392028:WCQ392093 WMK392028:WMM392093 WWG392028:WWI392093 Y457564:AA457629 JU457564:JW457629 TQ457564:TS457629 ADM457564:ADO457629 ANI457564:ANK457629 AXE457564:AXG457629 BHA457564:BHC457629 BQW457564:BQY457629 CAS457564:CAU457629 CKO457564:CKQ457629 CUK457564:CUM457629 DEG457564:DEI457629 DOC457564:DOE457629 DXY457564:DYA457629 EHU457564:EHW457629 ERQ457564:ERS457629 FBM457564:FBO457629 FLI457564:FLK457629 FVE457564:FVG457629 GFA457564:GFC457629 GOW457564:GOY457629 GYS457564:GYU457629 HIO457564:HIQ457629 HSK457564:HSM457629 ICG457564:ICI457629 IMC457564:IME457629 IVY457564:IWA457629 JFU457564:JFW457629 JPQ457564:JPS457629 JZM457564:JZO457629 KJI457564:KJK457629 KTE457564:KTG457629 LDA457564:LDC457629 LMW457564:LMY457629 LWS457564:LWU457629 MGO457564:MGQ457629 MQK457564:MQM457629 NAG457564:NAI457629 NKC457564:NKE457629 NTY457564:NUA457629 ODU457564:ODW457629 ONQ457564:ONS457629 OXM457564:OXO457629 PHI457564:PHK457629 PRE457564:PRG457629 QBA457564:QBC457629 QKW457564:QKY457629 QUS457564:QUU457629 REO457564:REQ457629 ROK457564:ROM457629 RYG457564:RYI457629 SIC457564:SIE457629 SRY457564:SSA457629 TBU457564:TBW457629 TLQ457564:TLS457629 TVM457564:TVO457629 UFI457564:UFK457629 UPE457564:UPG457629 UZA457564:UZC457629 VIW457564:VIY457629 VSS457564:VSU457629 WCO457564:WCQ457629 WMK457564:WMM457629 WWG457564:WWI457629 Y523100:AA523165 JU523100:JW523165 TQ523100:TS523165 ADM523100:ADO523165 ANI523100:ANK523165 AXE523100:AXG523165 BHA523100:BHC523165 BQW523100:BQY523165 CAS523100:CAU523165 CKO523100:CKQ523165 CUK523100:CUM523165 DEG523100:DEI523165 DOC523100:DOE523165 DXY523100:DYA523165 EHU523100:EHW523165 ERQ523100:ERS523165 FBM523100:FBO523165 FLI523100:FLK523165 FVE523100:FVG523165 GFA523100:GFC523165 GOW523100:GOY523165 GYS523100:GYU523165 HIO523100:HIQ523165 HSK523100:HSM523165 ICG523100:ICI523165 IMC523100:IME523165 IVY523100:IWA523165 JFU523100:JFW523165 JPQ523100:JPS523165 JZM523100:JZO523165 KJI523100:KJK523165 KTE523100:KTG523165 LDA523100:LDC523165 LMW523100:LMY523165 LWS523100:LWU523165 MGO523100:MGQ523165 MQK523100:MQM523165 NAG523100:NAI523165 NKC523100:NKE523165 NTY523100:NUA523165 ODU523100:ODW523165 ONQ523100:ONS523165 OXM523100:OXO523165 PHI523100:PHK523165 PRE523100:PRG523165 QBA523100:QBC523165 QKW523100:QKY523165 QUS523100:QUU523165 REO523100:REQ523165 ROK523100:ROM523165 RYG523100:RYI523165 SIC523100:SIE523165 SRY523100:SSA523165 TBU523100:TBW523165 TLQ523100:TLS523165 TVM523100:TVO523165 UFI523100:UFK523165 UPE523100:UPG523165 UZA523100:UZC523165 VIW523100:VIY523165 VSS523100:VSU523165 WCO523100:WCQ523165 WMK523100:WMM523165 WWG523100:WWI523165 Y588636:AA588701 JU588636:JW588701 TQ588636:TS588701 ADM588636:ADO588701 ANI588636:ANK588701 AXE588636:AXG588701 BHA588636:BHC588701 BQW588636:BQY588701 CAS588636:CAU588701 CKO588636:CKQ588701 CUK588636:CUM588701 DEG588636:DEI588701 DOC588636:DOE588701 DXY588636:DYA588701 EHU588636:EHW588701 ERQ588636:ERS588701 FBM588636:FBO588701 FLI588636:FLK588701 FVE588636:FVG588701 GFA588636:GFC588701 GOW588636:GOY588701 GYS588636:GYU588701 HIO588636:HIQ588701 HSK588636:HSM588701 ICG588636:ICI588701 IMC588636:IME588701 IVY588636:IWA588701 JFU588636:JFW588701 JPQ588636:JPS588701 JZM588636:JZO588701 KJI588636:KJK588701 KTE588636:KTG588701 LDA588636:LDC588701 LMW588636:LMY588701 LWS588636:LWU588701 MGO588636:MGQ588701 MQK588636:MQM588701 NAG588636:NAI588701 NKC588636:NKE588701 NTY588636:NUA588701 ODU588636:ODW588701 ONQ588636:ONS588701 OXM588636:OXO588701 PHI588636:PHK588701 PRE588636:PRG588701 QBA588636:QBC588701 QKW588636:QKY588701 QUS588636:QUU588701 REO588636:REQ588701 ROK588636:ROM588701 RYG588636:RYI588701 SIC588636:SIE588701 SRY588636:SSA588701 TBU588636:TBW588701 TLQ588636:TLS588701 TVM588636:TVO588701 UFI588636:UFK588701 UPE588636:UPG588701 UZA588636:UZC588701 VIW588636:VIY588701 VSS588636:VSU588701 WCO588636:WCQ588701 WMK588636:WMM588701 WWG588636:WWI588701 Y654172:AA654237 JU654172:JW654237 TQ654172:TS654237 ADM654172:ADO654237 ANI654172:ANK654237 AXE654172:AXG654237 BHA654172:BHC654237 BQW654172:BQY654237 CAS654172:CAU654237 CKO654172:CKQ654237 CUK654172:CUM654237 DEG654172:DEI654237 DOC654172:DOE654237 DXY654172:DYA654237 EHU654172:EHW654237 ERQ654172:ERS654237 FBM654172:FBO654237 FLI654172:FLK654237 FVE654172:FVG654237 GFA654172:GFC654237 GOW654172:GOY654237 GYS654172:GYU654237 HIO654172:HIQ654237 HSK654172:HSM654237 ICG654172:ICI654237 IMC654172:IME654237 IVY654172:IWA654237 JFU654172:JFW654237 JPQ654172:JPS654237 JZM654172:JZO654237 KJI654172:KJK654237 KTE654172:KTG654237 LDA654172:LDC654237 LMW654172:LMY654237 LWS654172:LWU654237 MGO654172:MGQ654237 MQK654172:MQM654237 NAG654172:NAI654237 NKC654172:NKE654237 NTY654172:NUA654237 ODU654172:ODW654237 ONQ654172:ONS654237 OXM654172:OXO654237 PHI654172:PHK654237 PRE654172:PRG654237 QBA654172:QBC654237 QKW654172:QKY654237 QUS654172:QUU654237 REO654172:REQ654237 ROK654172:ROM654237 RYG654172:RYI654237 SIC654172:SIE654237 SRY654172:SSA654237 TBU654172:TBW654237 TLQ654172:TLS654237 TVM654172:TVO654237 UFI654172:UFK654237 UPE654172:UPG654237 UZA654172:UZC654237 VIW654172:VIY654237 VSS654172:VSU654237 WCO654172:WCQ654237 WMK654172:WMM654237 WWG654172:WWI654237 Y719708:AA719773 JU719708:JW719773 TQ719708:TS719773 ADM719708:ADO719773 ANI719708:ANK719773 AXE719708:AXG719773 BHA719708:BHC719773 BQW719708:BQY719773 CAS719708:CAU719773 CKO719708:CKQ719773 CUK719708:CUM719773 DEG719708:DEI719773 DOC719708:DOE719773 DXY719708:DYA719773 EHU719708:EHW719773 ERQ719708:ERS719773 FBM719708:FBO719773 FLI719708:FLK719773 FVE719708:FVG719773 GFA719708:GFC719773 GOW719708:GOY719773 GYS719708:GYU719773 HIO719708:HIQ719773 HSK719708:HSM719773 ICG719708:ICI719773 IMC719708:IME719773 IVY719708:IWA719773 JFU719708:JFW719773 JPQ719708:JPS719773 JZM719708:JZO719773 KJI719708:KJK719773 KTE719708:KTG719773 LDA719708:LDC719773 LMW719708:LMY719773 LWS719708:LWU719773 MGO719708:MGQ719773 MQK719708:MQM719773 NAG719708:NAI719773 NKC719708:NKE719773 NTY719708:NUA719773 ODU719708:ODW719773 ONQ719708:ONS719773 OXM719708:OXO719773 PHI719708:PHK719773 PRE719708:PRG719773 QBA719708:QBC719773 QKW719708:QKY719773 QUS719708:QUU719773 REO719708:REQ719773 ROK719708:ROM719773 RYG719708:RYI719773 SIC719708:SIE719773 SRY719708:SSA719773 TBU719708:TBW719773 TLQ719708:TLS719773 TVM719708:TVO719773 UFI719708:UFK719773 UPE719708:UPG719773 UZA719708:UZC719773 VIW719708:VIY719773 VSS719708:VSU719773 WCO719708:WCQ719773 WMK719708:WMM719773 WWG719708:WWI719773 Y785244:AA785309 JU785244:JW785309 TQ785244:TS785309 ADM785244:ADO785309 ANI785244:ANK785309 AXE785244:AXG785309 BHA785244:BHC785309 BQW785244:BQY785309 CAS785244:CAU785309 CKO785244:CKQ785309 CUK785244:CUM785309 DEG785244:DEI785309 DOC785244:DOE785309 DXY785244:DYA785309 EHU785244:EHW785309 ERQ785244:ERS785309 FBM785244:FBO785309 FLI785244:FLK785309 FVE785244:FVG785309 GFA785244:GFC785309 GOW785244:GOY785309 GYS785244:GYU785309 HIO785244:HIQ785309 HSK785244:HSM785309 ICG785244:ICI785309 IMC785244:IME785309 IVY785244:IWA785309 JFU785244:JFW785309 JPQ785244:JPS785309 JZM785244:JZO785309 KJI785244:KJK785309 KTE785244:KTG785309 LDA785244:LDC785309 LMW785244:LMY785309 LWS785244:LWU785309 MGO785244:MGQ785309 MQK785244:MQM785309 NAG785244:NAI785309 NKC785244:NKE785309 NTY785244:NUA785309 ODU785244:ODW785309 ONQ785244:ONS785309 OXM785244:OXO785309 PHI785244:PHK785309 PRE785244:PRG785309 QBA785244:QBC785309 QKW785244:QKY785309 QUS785244:QUU785309 REO785244:REQ785309 ROK785244:ROM785309 RYG785244:RYI785309 SIC785244:SIE785309 SRY785244:SSA785309 TBU785244:TBW785309 TLQ785244:TLS785309 TVM785244:TVO785309 UFI785244:UFK785309 UPE785244:UPG785309 UZA785244:UZC785309 VIW785244:VIY785309 VSS785244:VSU785309 WCO785244:WCQ785309 WMK785244:WMM785309 WWG785244:WWI785309 Y850780:AA850845 JU850780:JW850845 TQ850780:TS850845 ADM850780:ADO850845 ANI850780:ANK850845 AXE850780:AXG850845 BHA850780:BHC850845 BQW850780:BQY850845 CAS850780:CAU850845 CKO850780:CKQ850845 CUK850780:CUM850845 DEG850780:DEI850845 DOC850780:DOE850845 DXY850780:DYA850845 EHU850780:EHW850845 ERQ850780:ERS850845 FBM850780:FBO850845 FLI850780:FLK850845 FVE850780:FVG850845 GFA850780:GFC850845 GOW850780:GOY850845 GYS850780:GYU850845 HIO850780:HIQ850845 HSK850780:HSM850845 ICG850780:ICI850845 IMC850780:IME850845 IVY850780:IWA850845 JFU850780:JFW850845 JPQ850780:JPS850845 JZM850780:JZO850845 KJI850780:KJK850845 KTE850780:KTG850845 LDA850780:LDC850845 LMW850780:LMY850845 LWS850780:LWU850845 MGO850780:MGQ850845 MQK850780:MQM850845 NAG850780:NAI850845 NKC850780:NKE850845 NTY850780:NUA850845 ODU850780:ODW850845 ONQ850780:ONS850845 OXM850780:OXO850845 PHI850780:PHK850845 PRE850780:PRG850845 QBA850780:QBC850845 QKW850780:QKY850845 QUS850780:QUU850845 REO850780:REQ850845 ROK850780:ROM850845 RYG850780:RYI850845 SIC850780:SIE850845 SRY850780:SSA850845 TBU850780:TBW850845 TLQ850780:TLS850845 TVM850780:TVO850845 UFI850780:UFK850845 UPE850780:UPG850845 UZA850780:UZC850845 VIW850780:VIY850845 VSS850780:VSU850845 WCO850780:WCQ850845 WMK850780:WMM850845 WWG850780:WWI850845 Y916316:AA916381 JU916316:JW916381 TQ916316:TS916381 ADM916316:ADO916381 ANI916316:ANK916381 AXE916316:AXG916381 BHA916316:BHC916381 BQW916316:BQY916381 CAS916316:CAU916381 CKO916316:CKQ916381 CUK916316:CUM916381 DEG916316:DEI916381 DOC916316:DOE916381 DXY916316:DYA916381 EHU916316:EHW916381 ERQ916316:ERS916381 FBM916316:FBO916381 FLI916316:FLK916381 FVE916316:FVG916381 GFA916316:GFC916381 GOW916316:GOY916381 GYS916316:GYU916381 HIO916316:HIQ916381 HSK916316:HSM916381 ICG916316:ICI916381 IMC916316:IME916381 IVY916316:IWA916381 JFU916316:JFW916381 JPQ916316:JPS916381 JZM916316:JZO916381 KJI916316:KJK916381 KTE916316:KTG916381 LDA916316:LDC916381 LMW916316:LMY916381 LWS916316:LWU916381 MGO916316:MGQ916381 MQK916316:MQM916381 NAG916316:NAI916381 NKC916316:NKE916381 NTY916316:NUA916381 ODU916316:ODW916381 ONQ916316:ONS916381 OXM916316:OXO916381 PHI916316:PHK916381 PRE916316:PRG916381 QBA916316:QBC916381 QKW916316:QKY916381 QUS916316:QUU916381 REO916316:REQ916381 ROK916316:ROM916381 RYG916316:RYI916381 SIC916316:SIE916381 SRY916316:SSA916381 TBU916316:TBW916381 TLQ916316:TLS916381 TVM916316:TVO916381 UFI916316:UFK916381 UPE916316:UPG916381 UZA916316:UZC916381 VIW916316:VIY916381 VSS916316:VSU916381 WCO916316:WCQ916381 WMK916316:WMM916381 WWG916316:WWI916381 Y981852:AA981917 JU981852:JW981917 TQ981852:TS981917 ADM981852:ADO981917 ANI981852:ANK981917 AXE981852:AXG981917 BHA981852:BHC981917 BQW981852:BQY981917 CAS981852:CAU981917 CKO981852:CKQ981917 CUK981852:CUM981917 DEG981852:DEI981917 DOC981852:DOE981917 DXY981852:DYA981917 EHU981852:EHW981917 ERQ981852:ERS981917 FBM981852:FBO981917 FLI981852:FLK981917 FVE981852:FVG981917 GFA981852:GFC981917 GOW981852:GOY981917 GYS981852:GYU981917 HIO981852:HIQ981917 HSK981852:HSM981917 ICG981852:ICI981917 IMC981852:IME981917 IVY981852:IWA981917 JFU981852:JFW981917 JPQ981852:JPS981917 JZM981852:JZO981917 KJI981852:KJK981917 KTE981852:KTG981917 LDA981852:LDC981917 LMW981852:LMY981917 LWS981852:LWU981917 MGO981852:MGQ981917 MQK981852:MQM981917 NAG981852:NAI981917 NKC981852:NKE981917 NTY981852:NUA981917 ODU981852:ODW981917 ONQ981852:ONS981917 OXM981852:OXO981917 PHI981852:PHK981917 PRE981852:PRG981917 QBA981852:QBC981917 QKW981852:QKY981917 QUS981852:QUU981917 REO981852:REQ981917 ROK981852:ROM981917 RYG981852:RYI981917 SIC981852:SIE981917 SRY981852:SSA981917 TBU981852:TBW981917 TLQ981852:TLS981917 TVM981852:TVO981917 UFI981852:UFK981917 UPE981852:UPG981917 UZA981852:UZC981917 VIW981852:VIY981917 VSS981852:VSU981917 WCO981852:WCQ981917 WMK981852:WMM981917 WWG981852:WWI981917 Y1047388:AA1047453 JU1047388:JW1047453 TQ1047388:TS1047453 ADM1047388:ADO1047453 ANI1047388:ANK1047453 AXE1047388:AXG1047453 BHA1047388:BHC1047453 BQW1047388:BQY1047453 CAS1047388:CAU1047453 CKO1047388:CKQ1047453 CUK1047388:CUM1047453 DEG1047388:DEI1047453 DOC1047388:DOE1047453 DXY1047388:DYA1047453 EHU1047388:EHW1047453 ERQ1047388:ERS1047453 FBM1047388:FBO1047453 FLI1047388:FLK1047453 FVE1047388:FVG1047453 GFA1047388:GFC1047453 GOW1047388:GOY1047453 GYS1047388:GYU1047453 HIO1047388:HIQ1047453 HSK1047388:HSM1047453 ICG1047388:ICI1047453 IMC1047388:IME1047453 IVY1047388:IWA1047453 JFU1047388:JFW1047453 JPQ1047388:JPS1047453 JZM1047388:JZO1047453 KJI1047388:KJK1047453 KTE1047388:KTG1047453 LDA1047388:LDC1047453 LMW1047388:LMY1047453 LWS1047388:LWU1047453 MGO1047388:MGQ1047453 MQK1047388:MQM1047453 NAG1047388:NAI1047453 NKC1047388:NKE1047453 NTY1047388:NUA1047453 ODU1047388:ODW1047453 ONQ1047388:ONS1047453 OXM1047388:OXO1047453 PHI1047388:PHK1047453 PRE1047388:PRG1047453 QBA1047388:QBC1047453 QKW1047388:QKY1047453 QUS1047388:QUU1047453 REO1047388:REQ1047453 ROK1047388:ROM1047453 RYG1047388:RYI1047453 SIC1047388:SIE1047453 SRY1047388:SSA1047453 TBU1047388:TBW1047453 TLQ1047388:TLS1047453 TVM1047388:TVO1047453 UFI1047388:UFK1047453 UPE1047388:UPG1047453 UZA1047388:UZC1047453 VIW1047388:VIY1047453 VSS1047388:VSU1047453 WCO1047388:WCQ1047453 WMK1047388:WMM1047453 WWG1047388:WWI1047453 WWG983027:WWI983092 Y65523:AA65588 JU65523:JW65588 TQ65523:TS65588 ADM65523:ADO65588 ANI65523:ANK65588 AXE65523:AXG65588 BHA65523:BHC65588 BQW65523:BQY65588 CAS65523:CAU65588 CKO65523:CKQ65588 CUK65523:CUM65588 DEG65523:DEI65588 DOC65523:DOE65588 DXY65523:DYA65588 EHU65523:EHW65588 ERQ65523:ERS65588 FBM65523:FBO65588 FLI65523:FLK65588 FVE65523:FVG65588 GFA65523:GFC65588 GOW65523:GOY65588 GYS65523:GYU65588 HIO65523:HIQ65588 HSK65523:HSM65588 ICG65523:ICI65588 IMC65523:IME65588 IVY65523:IWA65588 JFU65523:JFW65588 JPQ65523:JPS65588 JZM65523:JZO65588 KJI65523:KJK65588 KTE65523:KTG65588 LDA65523:LDC65588 LMW65523:LMY65588 LWS65523:LWU65588 MGO65523:MGQ65588 MQK65523:MQM65588 NAG65523:NAI65588 NKC65523:NKE65588 NTY65523:NUA65588 ODU65523:ODW65588 ONQ65523:ONS65588 OXM65523:OXO65588 PHI65523:PHK65588 PRE65523:PRG65588 QBA65523:QBC65588 QKW65523:QKY65588 QUS65523:QUU65588 REO65523:REQ65588 ROK65523:ROM65588 RYG65523:RYI65588 SIC65523:SIE65588 SRY65523:SSA65588 TBU65523:TBW65588 TLQ65523:TLS65588 TVM65523:TVO65588 UFI65523:UFK65588 UPE65523:UPG65588 UZA65523:UZC65588 VIW65523:VIY65588 VSS65523:VSU65588 WCO65523:WCQ65588 WMK65523:WMM65588 WWG65523:WWI65588 Y131059:AA131124 JU131059:JW131124 TQ131059:TS131124 ADM131059:ADO131124 ANI131059:ANK131124 AXE131059:AXG131124 BHA131059:BHC131124 BQW131059:BQY131124 CAS131059:CAU131124 CKO131059:CKQ131124 CUK131059:CUM131124 DEG131059:DEI131124 DOC131059:DOE131124 DXY131059:DYA131124 EHU131059:EHW131124 ERQ131059:ERS131124 FBM131059:FBO131124 FLI131059:FLK131124 FVE131059:FVG131124 GFA131059:GFC131124 GOW131059:GOY131124 GYS131059:GYU131124 HIO131059:HIQ131124 HSK131059:HSM131124 ICG131059:ICI131124 IMC131059:IME131124 IVY131059:IWA131124 JFU131059:JFW131124 JPQ131059:JPS131124 JZM131059:JZO131124 KJI131059:KJK131124 KTE131059:KTG131124 LDA131059:LDC131124 LMW131059:LMY131124 LWS131059:LWU131124 MGO131059:MGQ131124 MQK131059:MQM131124 NAG131059:NAI131124 NKC131059:NKE131124 NTY131059:NUA131124 ODU131059:ODW131124 ONQ131059:ONS131124 OXM131059:OXO131124 PHI131059:PHK131124 PRE131059:PRG131124 QBA131059:QBC131124 QKW131059:QKY131124 QUS131059:QUU131124 REO131059:REQ131124 ROK131059:ROM131124 RYG131059:RYI131124 SIC131059:SIE131124 SRY131059:SSA131124 TBU131059:TBW131124 TLQ131059:TLS131124 TVM131059:TVO131124 UFI131059:UFK131124 UPE131059:UPG131124 UZA131059:UZC131124 VIW131059:VIY131124 VSS131059:VSU131124 WCO131059:WCQ131124 WMK131059:WMM131124 WWG131059:WWI131124 Y196595:AA196660 JU196595:JW196660 TQ196595:TS196660 ADM196595:ADO196660 ANI196595:ANK196660 AXE196595:AXG196660 BHA196595:BHC196660 BQW196595:BQY196660 CAS196595:CAU196660 CKO196595:CKQ196660 CUK196595:CUM196660 DEG196595:DEI196660 DOC196595:DOE196660 DXY196595:DYA196660 EHU196595:EHW196660 ERQ196595:ERS196660 FBM196595:FBO196660 FLI196595:FLK196660 FVE196595:FVG196660 GFA196595:GFC196660 GOW196595:GOY196660 GYS196595:GYU196660 HIO196595:HIQ196660 HSK196595:HSM196660 ICG196595:ICI196660 IMC196595:IME196660 IVY196595:IWA196660 JFU196595:JFW196660 JPQ196595:JPS196660 JZM196595:JZO196660 KJI196595:KJK196660 KTE196595:KTG196660 LDA196595:LDC196660 LMW196595:LMY196660 LWS196595:LWU196660 MGO196595:MGQ196660 MQK196595:MQM196660 NAG196595:NAI196660 NKC196595:NKE196660 NTY196595:NUA196660 ODU196595:ODW196660 ONQ196595:ONS196660 OXM196595:OXO196660 PHI196595:PHK196660 PRE196595:PRG196660 QBA196595:QBC196660 QKW196595:QKY196660 QUS196595:QUU196660 REO196595:REQ196660 ROK196595:ROM196660 RYG196595:RYI196660 SIC196595:SIE196660 SRY196595:SSA196660 TBU196595:TBW196660 TLQ196595:TLS196660 TVM196595:TVO196660 UFI196595:UFK196660 UPE196595:UPG196660 UZA196595:UZC196660 VIW196595:VIY196660 VSS196595:VSU196660 WCO196595:WCQ196660 WMK196595:WMM196660 WWG196595:WWI196660 Y262131:AA262196 JU262131:JW262196 TQ262131:TS262196 ADM262131:ADO262196 ANI262131:ANK262196 AXE262131:AXG262196 BHA262131:BHC262196 BQW262131:BQY262196 CAS262131:CAU262196 CKO262131:CKQ262196 CUK262131:CUM262196 DEG262131:DEI262196 DOC262131:DOE262196 DXY262131:DYA262196 EHU262131:EHW262196 ERQ262131:ERS262196 FBM262131:FBO262196 FLI262131:FLK262196 FVE262131:FVG262196 GFA262131:GFC262196 GOW262131:GOY262196 GYS262131:GYU262196 HIO262131:HIQ262196 HSK262131:HSM262196 ICG262131:ICI262196 IMC262131:IME262196 IVY262131:IWA262196 JFU262131:JFW262196 JPQ262131:JPS262196 JZM262131:JZO262196 KJI262131:KJK262196 KTE262131:KTG262196 LDA262131:LDC262196 LMW262131:LMY262196 LWS262131:LWU262196 MGO262131:MGQ262196 MQK262131:MQM262196 NAG262131:NAI262196 NKC262131:NKE262196 NTY262131:NUA262196 ODU262131:ODW262196 ONQ262131:ONS262196 OXM262131:OXO262196 PHI262131:PHK262196 PRE262131:PRG262196 QBA262131:QBC262196 QKW262131:QKY262196 QUS262131:QUU262196 REO262131:REQ262196 ROK262131:ROM262196 RYG262131:RYI262196 SIC262131:SIE262196 SRY262131:SSA262196 TBU262131:TBW262196 TLQ262131:TLS262196 TVM262131:TVO262196 UFI262131:UFK262196 UPE262131:UPG262196 UZA262131:UZC262196 VIW262131:VIY262196 VSS262131:VSU262196 WCO262131:WCQ262196 WMK262131:WMM262196 WWG262131:WWI262196 Y327667:AA327732 JU327667:JW327732 TQ327667:TS327732 ADM327667:ADO327732 ANI327667:ANK327732 AXE327667:AXG327732 BHA327667:BHC327732 BQW327667:BQY327732 CAS327667:CAU327732 CKO327667:CKQ327732 CUK327667:CUM327732 DEG327667:DEI327732 DOC327667:DOE327732 DXY327667:DYA327732 EHU327667:EHW327732 ERQ327667:ERS327732 FBM327667:FBO327732 FLI327667:FLK327732 FVE327667:FVG327732 GFA327667:GFC327732 GOW327667:GOY327732 GYS327667:GYU327732 HIO327667:HIQ327732 HSK327667:HSM327732 ICG327667:ICI327732 IMC327667:IME327732 IVY327667:IWA327732 JFU327667:JFW327732 JPQ327667:JPS327732 JZM327667:JZO327732 KJI327667:KJK327732 KTE327667:KTG327732 LDA327667:LDC327732 LMW327667:LMY327732 LWS327667:LWU327732 MGO327667:MGQ327732 MQK327667:MQM327732 NAG327667:NAI327732 NKC327667:NKE327732 NTY327667:NUA327732 ODU327667:ODW327732 ONQ327667:ONS327732 OXM327667:OXO327732 PHI327667:PHK327732 PRE327667:PRG327732 QBA327667:QBC327732 QKW327667:QKY327732 QUS327667:QUU327732 REO327667:REQ327732 ROK327667:ROM327732 RYG327667:RYI327732 SIC327667:SIE327732 SRY327667:SSA327732 TBU327667:TBW327732 TLQ327667:TLS327732 TVM327667:TVO327732 UFI327667:UFK327732 UPE327667:UPG327732 UZA327667:UZC327732 VIW327667:VIY327732 VSS327667:VSU327732 WCO327667:WCQ327732 WMK327667:WMM327732 WWG327667:WWI327732 Y393203:AA393268 JU393203:JW393268 TQ393203:TS393268 ADM393203:ADO393268 ANI393203:ANK393268 AXE393203:AXG393268 BHA393203:BHC393268 BQW393203:BQY393268 CAS393203:CAU393268 CKO393203:CKQ393268 CUK393203:CUM393268 DEG393203:DEI393268 DOC393203:DOE393268 DXY393203:DYA393268 EHU393203:EHW393268 ERQ393203:ERS393268 FBM393203:FBO393268 FLI393203:FLK393268 FVE393203:FVG393268 GFA393203:GFC393268 GOW393203:GOY393268 GYS393203:GYU393268 HIO393203:HIQ393268 HSK393203:HSM393268 ICG393203:ICI393268 IMC393203:IME393268 IVY393203:IWA393268 JFU393203:JFW393268 JPQ393203:JPS393268 JZM393203:JZO393268 KJI393203:KJK393268 KTE393203:KTG393268 LDA393203:LDC393268 LMW393203:LMY393268 LWS393203:LWU393268 MGO393203:MGQ393268 MQK393203:MQM393268 NAG393203:NAI393268 NKC393203:NKE393268 NTY393203:NUA393268 ODU393203:ODW393268 ONQ393203:ONS393268 OXM393203:OXO393268 PHI393203:PHK393268 PRE393203:PRG393268 QBA393203:QBC393268 QKW393203:QKY393268 QUS393203:QUU393268 REO393203:REQ393268 ROK393203:ROM393268 RYG393203:RYI393268 SIC393203:SIE393268 SRY393203:SSA393268 TBU393203:TBW393268 TLQ393203:TLS393268 TVM393203:TVO393268 UFI393203:UFK393268 UPE393203:UPG393268 UZA393203:UZC393268 VIW393203:VIY393268 VSS393203:VSU393268 WCO393203:WCQ393268 WMK393203:WMM393268 WWG393203:WWI393268 Y458739:AA458804 JU458739:JW458804 TQ458739:TS458804 ADM458739:ADO458804 ANI458739:ANK458804 AXE458739:AXG458804 BHA458739:BHC458804 BQW458739:BQY458804 CAS458739:CAU458804 CKO458739:CKQ458804 CUK458739:CUM458804 DEG458739:DEI458804 DOC458739:DOE458804 DXY458739:DYA458804 EHU458739:EHW458804 ERQ458739:ERS458804 FBM458739:FBO458804 FLI458739:FLK458804 FVE458739:FVG458804 GFA458739:GFC458804 GOW458739:GOY458804 GYS458739:GYU458804 HIO458739:HIQ458804 HSK458739:HSM458804 ICG458739:ICI458804 IMC458739:IME458804 IVY458739:IWA458804 JFU458739:JFW458804 JPQ458739:JPS458804 JZM458739:JZO458804 KJI458739:KJK458804 KTE458739:KTG458804 LDA458739:LDC458804 LMW458739:LMY458804 LWS458739:LWU458804 MGO458739:MGQ458804 MQK458739:MQM458804 NAG458739:NAI458804 NKC458739:NKE458804 NTY458739:NUA458804 ODU458739:ODW458804 ONQ458739:ONS458804 OXM458739:OXO458804 PHI458739:PHK458804 PRE458739:PRG458804 QBA458739:QBC458804 QKW458739:QKY458804 QUS458739:QUU458804 REO458739:REQ458804 ROK458739:ROM458804 RYG458739:RYI458804 SIC458739:SIE458804 SRY458739:SSA458804 TBU458739:TBW458804 TLQ458739:TLS458804 TVM458739:TVO458804 UFI458739:UFK458804 UPE458739:UPG458804 UZA458739:UZC458804 VIW458739:VIY458804 VSS458739:VSU458804 WCO458739:WCQ458804 WMK458739:WMM458804 WWG458739:WWI458804 Y524275:AA524340 JU524275:JW524340 TQ524275:TS524340 ADM524275:ADO524340 ANI524275:ANK524340 AXE524275:AXG524340 BHA524275:BHC524340 BQW524275:BQY524340 CAS524275:CAU524340 CKO524275:CKQ524340 CUK524275:CUM524340 DEG524275:DEI524340 DOC524275:DOE524340 DXY524275:DYA524340 EHU524275:EHW524340 ERQ524275:ERS524340 FBM524275:FBO524340 FLI524275:FLK524340 FVE524275:FVG524340 GFA524275:GFC524340 GOW524275:GOY524340 GYS524275:GYU524340 HIO524275:HIQ524340 HSK524275:HSM524340 ICG524275:ICI524340 IMC524275:IME524340 IVY524275:IWA524340 JFU524275:JFW524340 JPQ524275:JPS524340 JZM524275:JZO524340 KJI524275:KJK524340 KTE524275:KTG524340 LDA524275:LDC524340 LMW524275:LMY524340 LWS524275:LWU524340 MGO524275:MGQ524340 MQK524275:MQM524340 NAG524275:NAI524340 NKC524275:NKE524340 NTY524275:NUA524340 ODU524275:ODW524340 ONQ524275:ONS524340 OXM524275:OXO524340 PHI524275:PHK524340 PRE524275:PRG524340 QBA524275:QBC524340 QKW524275:QKY524340 QUS524275:QUU524340 REO524275:REQ524340 ROK524275:ROM524340 RYG524275:RYI524340 SIC524275:SIE524340 SRY524275:SSA524340 TBU524275:TBW524340 TLQ524275:TLS524340 TVM524275:TVO524340 UFI524275:UFK524340 UPE524275:UPG524340 UZA524275:UZC524340 VIW524275:VIY524340 VSS524275:VSU524340 WCO524275:WCQ524340 WMK524275:WMM524340 WWG524275:WWI524340 Y589811:AA589876 JU589811:JW589876 TQ589811:TS589876 ADM589811:ADO589876 ANI589811:ANK589876 AXE589811:AXG589876 BHA589811:BHC589876 BQW589811:BQY589876 CAS589811:CAU589876 CKO589811:CKQ589876 CUK589811:CUM589876 DEG589811:DEI589876 DOC589811:DOE589876 DXY589811:DYA589876 EHU589811:EHW589876 ERQ589811:ERS589876 FBM589811:FBO589876 FLI589811:FLK589876 FVE589811:FVG589876 GFA589811:GFC589876 GOW589811:GOY589876 GYS589811:GYU589876 HIO589811:HIQ589876 HSK589811:HSM589876 ICG589811:ICI589876 IMC589811:IME589876 IVY589811:IWA589876 JFU589811:JFW589876 JPQ589811:JPS589876 JZM589811:JZO589876 KJI589811:KJK589876 KTE589811:KTG589876 LDA589811:LDC589876 LMW589811:LMY589876 LWS589811:LWU589876 MGO589811:MGQ589876 MQK589811:MQM589876 NAG589811:NAI589876 NKC589811:NKE589876 NTY589811:NUA589876 ODU589811:ODW589876 ONQ589811:ONS589876 OXM589811:OXO589876 PHI589811:PHK589876 PRE589811:PRG589876 QBA589811:QBC589876 QKW589811:QKY589876 QUS589811:QUU589876 REO589811:REQ589876 ROK589811:ROM589876 RYG589811:RYI589876 SIC589811:SIE589876 SRY589811:SSA589876 TBU589811:TBW589876 TLQ589811:TLS589876 TVM589811:TVO589876 UFI589811:UFK589876 UPE589811:UPG589876 UZA589811:UZC589876 VIW589811:VIY589876 VSS589811:VSU589876 WCO589811:WCQ589876 WMK589811:WMM589876 WWG589811:WWI589876 Y655347:AA655412 JU655347:JW655412 TQ655347:TS655412 ADM655347:ADO655412 ANI655347:ANK655412 AXE655347:AXG655412 BHA655347:BHC655412 BQW655347:BQY655412 CAS655347:CAU655412 CKO655347:CKQ655412 CUK655347:CUM655412 DEG655347:DEI655412 DOC655347:DOE655412 DXY655347:DYA655412 EHU655347:EHW655412 ERQ655347:ERS655412 FBM655347:FBO655412 FLI655347:FLK655412 FVE655347:FVG655412 GFA655347:GFC655412 GOW655347:GOY655412 GYS655347:GYU655412 HIO655347:HIQ655412 HSK655347:HSM655412 ICG655347:ICI655412 IMC655347:IME655412 IVY655347:IWA655412 JFU655347:JFW655412 JPQ655347:JPS655412 JZM655347:JZO655412 KJI655347:KJK655412 KTE655347:KTG655412 LDA655347:LDC655412 LMW655347:LMY655412 LWS655347:LWU655412 MGO655347:MGQ655412 MQK655347:MQM655412 NAG655347:NAI655412 NKC655347:NKE655412 NTY655347:NUA655412 ODU655347:ODW655412 ONQ655347:ONS655412 OXM655347:OXO655412 PHI655347:PHK655412 PRE655347:PRG655412 QBA655347:QBC655412 QKW655347:QKY655412 QUS655347:QUU655412 REO655347:REQ655412 ROK655347:ROM655412 RYG655347:RYI655412 SIC655347:SIE655412 SRY655347:SSA655412 TBU655347:TBW655412 TLQ655347:TLS655412 TVM655347:TVO655412 UFI655347:UFK655412 UPE655347:UPG655412 UZA655347:UZC655412 VIW655347:VIY655412 VSS655347:VSU655412 WCO655347:WCQ655412 WMK655347:WMM655412 WWG655347:WWI655412 Y720883:AA720948 JU720883:JW720948 TQ720883:TS720948 ADM720883:ADO720948 ANI720883:ANK720948 AXE720883:AXG720948 BHA720883:BHC720948 BQW720883:BQY720948 CAS720883:CAU720948 CKO720883:CKQ720948 CUK720883:CUM720948 DEG720883:DEI720948 DOC720883:DOE720948 DXY720883:DYA720948 EHU720883:EHW720948 ERQ720883:ERS720948 FBM720883:FBO720948 FLI720883:FLK720948 FVE720883:FVG720948 GFA720883:GFC720948 GOW720883:GOY720948 GYS720883:GYU720948 HIO720883:HIQ720948 HSK720883:HSM720948 ICG720883:ICI720948 IMC720883:IME720948 IVY720883:IWA720948 JFU720883:JFW720948 JPQ720883:JPS720948 JZM720883:JZO720948 KJI720883:KJK720948 KTE720883:KTG720948 LDA720883:LDC720948 LMW720883:LMY720948 LWS720883:LWU720948 MGO720883:MGQ720948 MQK720883:MQM720948 NAG720883:NAI720948 NKC720883:NKE720948 NTY720883:NUA720948 ODU720883:ODW720948 ONQ720883:ONS720948 OXM720883:OXO720948 PHI720883:PHK720948 PRE720883:PRG720948 QBA720883:QBC720948 QKW720883:QKY720948 QUS720883:QUU720948 REO720883:REQ720948 ROK720883:ROM720948 RYG720883:RYI720948 SIC720883:SIE720948 SRY720883:SSA720948 TBU720883:TBW720948 TLQ720883:TLS720948 TVM720883:TVO720948 UFI720883:UFK720948 UPE720883:UPG720948 UZA720883:UZC720948 VIW720883:VIY720948 VSS720883:VSU720948 WCO720883:WCQ720948 WMK720883:WMM720948 WWG720883:WWI720948 Y786419:AA786484 JU786419:JW786484 TQ786419:TS786484 ADM786419:ADO786484 ANI786419:ANK786484 AXE786419:AXG786484 BHA786419:BHC786484 BQW786419:BQY786484 CAS786419:CAU786484 CKO786419:CKQ786484 CUK786419:CUM786484 DEG786419:DEI786484 DOC786419:DOE786484 DXY786419:DYA786484 EHU786419:EHW786484 ERQ786419:ERS786484 FBM786419:FBO786484 FLI786419:FLK786484 FVE786419:FVG786484 GFA786419:GFC786484 GOW786419:GOY786484 GYS786419:GYU786484 HIO786419:HIQ786484 HSK786419:HSM786484 ICG786419:ICI786484 IMC786419:IME786484 IVY786419:IWA786484 JFU786419:JFW786484 JPQ786419:JPS786484 JZM786419:JZO786484 KJI786419:KJK786484 KTE786419:KTG786484 LDA786419:LDC786484 LMW786419:LMY786484 LWS786419:LWU786484 MGO786419:MGQ786484 MQK786419:MQM786484 NAG786419:NAI786484 NKC786419:NKE786484 NTY786419:NUA786484 ODU786419:ODW786484 ONQ786419:ONS786484 OXM786419:OXO786484 PHI786419:PHK786484 PRE786419:PRG786484 QBA786419:QBC786484 QKW786419:QKY786484 QUS786419:QUU786484 REO786419:REQ786484 ROK786419:ROM786484 RYG786419:RYI786484 SIC786419:SIE786484 SRY786419:SSA786484 TBU786419:TBW786484 TLQ786419:TLS786484 TVM786419:TVO786484 UFI786419:UFK786484 UPE786419:UPG786484 UZA786419:UZC786484 VIW786419:VIY786484 VSS786419:VSU786484 WCO786419:WCQ786484 WMK786419:WMM786484 WWG786419:WWI786484 Y851955:AA852020 JU851955:JW852020 TQ851955:TS852020 ADM851955:ADO852020 ANI851955:ANK852020 AXE851955:AXG852020 BHA851955:BHC852020 BQW851955:BQY852020 CAS851955:CAU852020 CKO851955:CKQ852020 CUK851955:CUM852020 DEG851955:DEI852020 DOC851955:DOE852020 DXY851955:DYA852020 EHU851955:EHW852020 ERQ851955:ERS852020 FBM851955:FBO852020 FLI851955:FLK852020 FVE851955:FVG852020 GFA851955:GFC852020 GOW851955:GOY852020 GYS851955:GYU852020 HIO851955:HIQ852020 HSK851955:HSM852020 ICG851955:ICI852020 IMC851955:IME852020 IVY851955:IWA852020 JFU851955:JFW852020 JPQ851955:JPS852020 JZM851955:JZO852020 KJI851955:KJK852020 KTE851955:KTG852020 LDA851955:LDC852020 LMW851955:LMY852020 LWS851955:LWU852020 MGO851955:MGQ852020 MQK851955:MQM852020 NAG851955:NAI852020 NKC851955:NKE852020 NTY851955:NUA852020 ODU851955:ODW852020 ONQ851955:ONS852020 OXM851955:OXO852020 PHI851955:PHK852020 PRE851955:PRG852020 QBA851955:QBC852020 QKW851955:QKY852020 QUS851955:QUU852020 REO851955:REQ852020 ROK851955:ROM852020 RYG851955:RYI852020 SIC851955:SIE852020 SRY851955:SSA852020 TBU851955:TBW852020 TLQ851955:TLS852020 TVM851955:TVO852020 UFI851955:UFK852020 UPE851955:UPG852020 UZA851955:UZC852020 VIW851955:VIY852020 VSS851955:VSU852020 WCO851955:WCQ852020 WMK851955:WMM852020 WWG851955:WWI852020 Y917491:AA917556 JU917491:JW917556 TQ917491:TS917556 ADM917491:ADO917556 ANI917491:ANK917556 AXE917491:AXG917556 BHA917491:BHC917556 BQW917491:BQY917556 CAS917491:CAU917556 CKO917491:CKQ917556 CUK917491:CUM917556 DEG917491:DEI917556 DOC917491:DOE917556 DXY917491:DYA917556 EHU917491:EHW917556 ERQ917491:ERS917556 FBM917491:FBO917556 FLI917491:FLK917556 FVE917491:FVG917556 GFA917491:GFC917556 GOW917491:GOY917556 GYS917491:GYU917556 HIO917491:HIQ917556 HSK917491:HSM917556 ICG917491:ICI917556 IMC917491:IME917556 IVY917491:IWA917556 JFU917491:JFW917556 JPQ917491:JPS917556 JZM917491:JZO917556 KJI917491:KJK917556 KTE917491:KTG917556 LDA917491:LDC917556 LMW917491:LMY917556 LWS917491:LWU917556 MGO917491:MGQ917556 MQK917491:MQM917556 NAG917491:NAI917556 NKC917491:NKE917556 NTY917491:NUA917556 ODU917491:ODW917556 ONQ917491:ONS917556 OXM917491:OXO917556 PHI917491:PHK917556 PRE917491:PRG917556 QBA917491:QBC917556 QKW917491:QKY917556 QUS917491:QUU917556 REO917491:REQ917556 ROK917491:ROM917556 RYG917491:RYI917556 SIC917491:SIE917556 SRY917491:SSA917556 TBU917491:TBW917556 TLQ917491:TLS917556 TVM917491:TVO917556 UFI917491:UFK917556 UPE917491:UPG917556 UZA917491:UZC917556 VIW917491:VIY917556 VSS917491:VSU917556 WCO917491:WCQ917556 WMK917491:WMM917556 WWG917491:WWI917556 Y983027:AA983092 JU983027:JW983092 TQ983027:TS983092 ADM983027:ADO983092 ANI983027:ANK983092 AXE983027:AXG983092 BHA983027:BHC983092 BQW983027:BQY983092 CAS983027:CAU983092 CKO983027:CKQ983092 CUK983027:CUM983092 DEG983027:DEI983092 DOC983027:DOE983092 DXY983027:DYA983092 EHU983027:EHW983092 ERQ983027:ERS983092 FBM983027:FBO983092 FLI983027:FLK983092 FVE983027:FVG983092 GFA983027:GFC983092 GOW983027:GOY983092 GYS983027:GYU983092 HIO983027:HIQ983092 HSK983027:HSM983092 ICG983027:ICI983092 IMC983027:IME983092 IVY983027:IWA983092 JFU983027:JFW983092 JPQ983027:JPS983092 JZM983027:JZO983092 KJI983027:KJK983092 KTE983027:KTG983092 LDA983027:LDC983092 LMW983027:LMY983092 LWS983027:LWU983092 MGO983027:MGQ983092 MQK983027:MQM983092 NAG983027:NAI983092 NKC983027:NKE983092 NTY983027:NUA983092 ODU983027:ODW983092 ONQ983027:ONS983092 OXM983027:OXO983092 PHI983027:PHK983092 PRE983027:PRG983092 QBA983027:QBC983092 QKW983027:QKY983092 QUS983027:QUU983092 REO983027:REQ983092 ROK983027:ROM983092 RYG983027:RYI983092 SIC983027:SIE983092 SRY983027:SSA983092 TBU983027:TBW983092 TLQ983027:TLS983092 TVM983027:TVO983092 UFI983027:UFK983092 UPE983027:UPG983092 UZA983027:UZC983092 VIW983027:VIY983092 VSS983027:VSU983092 WCO983027:WCQ983092 WMK983027:WMM983092 WWG2:WWI72 JU2:JW72 TQ2:TS72 ADM2:ADO72 ANI2:ANK72 AXE2:AXG72 BHA2:BHC72 BQW2:BQY72 CAS2:CAU72 CKO2:CKQ72 CUK2:CUM72 DEG2:DEI72 DOC2:DOE72 DXY2:DYA72 EHU2:EHW72 ERQ2:ERS72 FBM2:FBO72 FLI2:FLK72 FVE2:FVG72 GFA2:GFC72 GOW2:GOY72 GYS2:GYU72 HIO2:HIQ72 HSK2:HSM72 ICG2:ICI72 IMC2:IME72 IVY2:IWA72 JFU2:JFW72 JPQ2:JPS72 JZM2:JZO72 KJI2:KJK72 KTE2:KTG72 LDA2:LDC72 LMW2:LMY72 LWS2:LWU72 MGO2:MGQ72 MQK2:MQM72 NAG2:NAI72 NKC2:NKE72 NTY2:NUA72 ODU2:ODW72 ONQ2:ONS72 OXM2:OXO72 PHI2:PHK72 PRE2:PRG72 QBA2:QBC72 QKW2:QKY72 QUS2:QUU72 REO2:REQ72 ROK2:ROM72 RYG2:RYI72 SIC2:SIE72 SRY2:SSA72 TBU2:TBW72 TLQ2:TLS72 TVM2:TVO72 UFI2:UFK72 UPE2:UPG72 UZA2:UZC72 VIW2:VIY72 VSS2:VSU72 WCO2:WCQ72 WMK2:WMM72" xr:uid="{346DA309-47FA-4692-9309-EE2C22F8CFE8}">
      <formula1>$AV$2:$AV$20</formula1>
    </dataValidation>
    <dataValidation type="list" allowBlank="1" showInputMessage="1" showErrorMessage="1" sqref="H64348:H64413 JD64348:JD64413 SZ64348:SZ64413 ACV64348:ACV64413 AMR64348:AMR64413 AWN64348:AWN64413 BGJ64348:BGJ64413 BQF64348:BQF64413 CAB64348:CAB64413 CJX64348:CJX64413 CTT64348:CTT64413 DDP64348:DDP64413 DNL64348:DNL64413 DXH64348:DXH64413 EHD64348:EHD64413 EQZ64348:EQZ64413 FAV64348:FAV64413 FKR64348:FKR64413 FUN64348:FUN64413 GEJ64348:GEJ64413 GOF64348:GOF64413 GYB64348:GYB64413 HHX64348:HHX64413 HRT64348:HRT64413 IBP64348:IBP64413 ILL64348:ILL64413 IVH64348:IVH64413 JFD64348:JFD64413 JOZ64348:JOZ64413 JYV64348:JYV64413 KIR64348:KIR64413 KSN64348:KSN64413 LCJ64348:LCJ64413 LMF64348:LMF64413 LWB64348:LWB64413 MFX64348:MFX64413 MPT64348:MPT64413 MZP64348:MZP64413 NJL64348:NJL64413 NTH64348:NTH64413 ODD64348:ODD64413 OMZ64348:OMZ64413 OWV64348:OWV64413 PGR64348:PGR64413 PQN64348:PQN64413 QAJ64348:QAJ64413 QKF64348:QKF64413 QUB64348:QUB64413 RDX64348:RDX64413 RNT64348:RNT64413 RXP64348:RXP64413 SHL64348:SHL64413 SRH64348:SRH64413 TBD64348:TBD64413 TKZ64348:TKZ64413 TUV64348:TUV64413 UER64348:UER64413 UON64348:UON64413 UYJ64348:UYJ64413 VIF64348:VIF64413 VSB64348:VSB64413 WBX64348:WBX64413 WLT64348:WLT64413 WVP64348:WVP64413 H129884:H129949 JD129884:JD129949 SZ129884:SZ129949 ACV129884:ACV129949 AMR129884:AMR129949 AWN129884:AWN129949 BGJ129884:BGJ129949 BQF129884:BQF129949 CAB129884:CAB129949 CJX129884:CJX129949 CTT129884:CTT129949 DDP129884:DDP129949 DNL129884:DNL129949 DXH129884:DXH129949 EHD129884:EHD129949 EQZ129884:EQZ129949 FAV129884:FAV129949 FKR129884:FKR129949 FUN129884:FUN129949 GEJ129884:GEJ129949 GOF129884:GOF129949 GYB129884:GYB129949 HHX129884:HHX129949 HRT129884:HRT129949 IBP129884:IBP129949 ILL129884:ILL129949 IVH129884:IVH129949 JFD129884:JFD129949 JOZ129884:JOZ129949 JYV129884:JYV129949 KIR129884:KIR129949 KSN129884:KSN129949 LCJ129884:LCJ129949 LMF129884:LMF129949 LWB129884:LWB129949 MFX129884:MFX129949 MPT129884:MPT129949 MZP129884:MZP129949 NJL129884:NJL129949 NTH129884:NTH129949 ODD129884:ODD129949 OMZ129884:OMZ129949 OWV129884:OWV129949 PGR129884:PGR129949 PQN129884:PQN129949 QAJ129884:QAJ129949 QKF129884:QKF129949 QUB129884:QUB129949 RDX129884:RDX129949 RNT129884:RNT129949 RXP129884:RXP129949 SHL129884:SHL129949 SRH129884:SRH129949 TBD129884:TBD129949 TKZ129884:TKZ129949 TUV129884:TUV129949 UER129884:UER129949 UON129884:UON129949 UYJ129884:UYJ129949 VIF129884:VIF129949 VSB129884:VSB129949 WBX129884:WBX129949 WLT129884:WLT129949 WVP129884:WVP129949 H195420:H195485 JD195420:JD195485 SZ195420:SZ195485 ACV195420:ACV195485 AMR195420:AMR195485 AWN195420:AWN195485 BGJ195420:BGJ195485 BQF195420:BQF195485 CAB195420:CAB195485 CJX195420:CJX195485 CTT195420:CTT195485 DDP195420:DDP195485 DNL195420:DNL195485 DXH195420:DXH195485 EHD195420:EHD195485 EQZ195420:EQZ195485 FAV195420:FAV195485 FKR195420:FKR195485 FUN195420:FUN195485 GEJ195420:GEJ195485 GOF195420:GOF195485 GYB195420:GYB195485 HHX195420:HHX195485 HRT195420:HRT195485 IBP195420:IBP195485 ILL195420:ILL195485 IVH195420:IVH195485 JFD195420:JFD195485 JOZ195420:JOZ195485 JYV195420:JYV195485 KIR195420:KIR195485 KSN195420:KSN195485 LCJ195420:LCJ195485 LMF195420:LMF195485 LWB195420:LWB195485 MFX195420:MFX195485 MPT195420:MPT195485 MZP195420:MZP195485 NJL195420:NJL195485 NTH195420:NTH195485 ODD195420:ODD195485 OMZ195420:OMZ195485 OWV195420:OWV195485 PGR195420:PGR195485 PQN195420:PQN195485 QAJ195420:QAJ195485 QKF195420:QKF195485 QUB195420:QUB195485 RDX195420:RDX195485 RNT195420:RNT195485 RXP195420:RXP195485 SHL195420:SHL195485 SRH195420:SRH195485 TBD195420:TBD195485 TKZ195420:TKZ195485 TUV195420:TUV195485 UER195420:UER195485 UON195420:UON195485 UYJ195420:UYJ195485 VIF195420:VIF195485 VSB195420:VSB195485 WBX195420:WBX195485 WLT195420:WLT195485 WVP195420:WVP195485 H260956:H261021 JD260956:JD261021 SZ260956:SZ261021 ACV260956:ACV261021 AMR260956:AMR261021 AWN260956:AWN261021 BGJ260956:BGJ261021 BQF260956:BQF261021 CAB260956:CAB261021 CJX260956:CJX261021 CTT260956:CTT261021 DDP260956:DDP261021 DNL260956:DNL261021 DXH260956:DXH261021 EHD260956:EHD261021 EQZ260956:EQZ261021 FAV260956:FAV261021 FKR260956:FKR261021 FUN260956:FUN261021 GEJ260956:GEJ261021 GOF260956:GOF261021 GYB260956:GYB261021 HHX260956:HHX261021 HRT260956:HRT261021 IBP260956:IBP261021 ILL260956:ILL261021 IVH260956:IVH261021 JFD260956:JFD261021 JOZ260956:JOZ261021 JYV260956:JYV261021 KIR260956:KIR261021 KSN260956:KSN261021 LCJ260956:LCJ261021 LMF260956:LMF261021 LWB260956:LWB261021 MFX260956:MFX261021 MPT260956:MPT261021 MZP260956:MZP261021 NJL260956:NJL261021 NTH260956:NTH261021 ODD260956:ODD261021 OMZ260956:OMZ261021 OWV260956:OWV261021 PGR260956:PGR261021 PQN260956:PQN261021 QAJ260956:QAJ261021 QKF260956:QKF261021 QUB260956:QUB261021 RDX260956:RDX261021 RNT260956:RNT261021 RXP260956:RXP261021 SHL260956:SHL261021 SRH260956:SRH261021 TBD260956:TBD261021 TKZ260956:TKZ261021 TUV260956:TUV261021 UER260956:UER261021 UON260956:UON261021 UYJ260956:UYJ261021 VIF260956:VIF261021 VSB260956:VSB261021 WBX260956:WBX261021 WLT260956:WLT261021 WVP260956:WVP261021 H326492:H326557 JD326492:JD326557 SZ326492:SZ326557 ACV326492:ACV326557 AMR326492:AMR326557 AWN326492:AWN326557 BGJ326492:BGJ326557 BQF326492:BQF326557 CAB326492:CAB326557 CJX326492:CJX326557 CTT326492:CTT326557 DDP326492:DDP326557 DNL326492:DNL326557 DXH326492:DXH326557 EHD326492:EHD326557 EQZ326492:EQZ326557 FAV326492:FAV326557 FKR326492:FKR326557 FUN326492:FUN326557 GEJ326492:GEJ326557 GOF326492:GOF326557 GYB326492:GYB326557 HHX326492:HHX326557 HRT326492:HRT326557 IBP326492:IBP326557 ILL326492:ILL326557 IVH326492:IVH326557 JFD326492:JFD326557 JOZ326492:JOZ326557 JYV326492:JYV326557 KIR326492:KIR326557 KSN326492:KSN326557 LCJ326492:LCJ326557 LMF326492:LMF326557 LWB326492:LWB326557 MFX326492:MFX326557 MPT326492:MPT326557 MZP326492:MZP326557 NJL326492:NJL326557 NTH326492:NTH326557 ODD326492:ODD326557 OMZ326492:OMZ326557 OWV326492:OWV326557 PGR326492:PGR326557 PQN326492:PQN326557 QAJ326492:QAJ326557 QKF326492:QKF326557 QUB326492:QUB326557 RDX326492:RDX326557 RNT326492:RNT326557 RXP326492:RXP326557 SHL326492:SHL326557 SRH326492:SRH326557 TBD326492:TBD326557 TKZ326492:TKZ326557 TUV326492:TUV326557 UER326492:UER326557 UON326492:UON326557 UYJ326492:UYJ326557 VIF326492:VIF326557 VSB326492:VSB326557 WBX326492:WBX326557 WLT326492:WLT326557 WVP326492:WVP326557 H392028:H392093 JD392028:JD392093 SZ392028:SZ392093 ACV392028:ACV392093 AMR392028:AMR392093 AWN392028:AWN392093 BGJ392028:BGJ392093 BQF392028:BQF392093 CAB392028:CAB392093 CJX392028:CJX392093 CTT392028:CTT392093 DDP392028:DDP392093 DNL392028:DNL392093 DXH392028:DXH392093 EHD392028:EHD392093 EQZ392028:EQZ392093 FAV392028:FAV392093 FKR392028:FKR392093 FUN392028:FUN392093 GEJ392028:GEJ392093 GOF392028:GOF392093 GYB392028:GYB392093 HHX392028:HHX392093 HRT392028:HRT392093 IBP392028:IBP392093 ILL392028:ILL392093 IVH392028:IVH392093 JFD392028:JFD392093 JOZ392028:JOZ392093 JYV392028:JYV392093 KIR392028:KIR392093 KSN392028:KSN392093 LCJ392028:LCJ392093 LMF392028:LMF392093 LWB392028:LWB392093 MFX392028:MFX392093 MPT392028:MPT392093 MZP392028:MZP392093 NJL392028:NJL392093 NTH392028:NTH392093 ODD392028:ODD392093 OMZ392028:OMZ392093 OWV392028:OWV392093 PGR392028:PGR392093 PQN392028:PQN392093 QAJ392028:QAJ392093 QKF392028:QKF392093 QUB392028:QUB392093 RDX392028:RDX392093 RNT392028:RNT392093 RXP392028:RXP392093 SHL392028:SHL392093 SRH392028:SRH392093 TBD392028:TBD392093 TKZ392028:TKZ392093 TUV392028:TUV392093 UER392028:UER392093 UON392028:UON392093 UYJ392028:UYJ392093 VIF392028:VIF392093 VSB392028:VSB392093 WBX392028:WBX392093 WLT392028:WLT392093 WVP392028:WVP392093 H457564:H457629 JD457564:JD457629 SZ457564:SZ457629 ACV457564:ACV457629 AMR457564:AMR457629 AWN457564:AWN457629 BGJ457564:BGJ457629 BQF457564:BQF457629 CAB457564:CAB457629 CJX457564:CJX457629 CTT457564:CTT457629 DDP457564:DDP457629 DNL457564:DNL457629 DXH457564:DXH457629 EHD457564:EHD457629 EQZ457564:EQZ457629 FAV457564:FAV457629 FKR457564:FKR457629 FUN457564:FUN457629 GEJ457564:GEJ457629 GOF457564:GOF457629 GYB457564:GYB457629 HHX457564:HHX457629 HRT457564:HRT457629 IBP457564:IBP457629 ILL457564:ILL457629 IVH457564:IVH457629 JFD457564:JFD457629 JOZ457564:JOZ457629 JYV457564:JYV457629 KIR457564:KIR457629 KSN457564:KSN457629 LCJ457564:LCJ457629 LMF457564:LMF457629 LWB457564:LWB457629 MFX457564:MFX457629 MPT457564:MPT457629 MZP457564:MZP457629 NJL457564:NJL457629 NTH457564:NTH457629 ODD457564:ODD457629 OMZ457564:OMZ457629 OWV457564:OWV457629 PGR457564:PGR457629 PQN457564:PQN457629 QAJ457564:QAJ457629 QKF457564:QKF457629 QUB457564:QUB457629 RDX457564:RDX457629 RNT457564:RNT457629 RXP457564:RXP457629 SHL457564:SHL457629 SRH457564:SRH457629 TBD457564:TBD457629 TKZ457564:TKZ457629 TUV457564:TUV457629 UER457564:UER457629 UON457564:UON457629 UYJ457564:UYJ457629 VIF457564:VIF457629 VSB457564:VSB457629 WBX457564:WBX457629 WLT457564:WLT457629 WVP457564:WVP457629 H523100:H523165 JD523100:JD523165 SZ523100:SZ523165 ACV523100:ACV523165 AMR523100:AMR523165 AWN523100:AWN523165 BGJ523100:BGJ523165 BQF523100:BQF523165 CAB523100:CAB523165 CJX523100:CJX523165 CTT523100:CTT523165 DDP523100:DDP523165 DNL523100:DNL523165 DXH523100:DXH523165 EHD523100:EHD523165 EQZ523100:EQZ523165 FAV523100:FAV523165 FKR523100:FKR523165 FUN523100:FUN523165 GEJ523100:GEJ523165 GOF523100:GOF523165 GYB523100:GYB523165 HHX523100:HHX523165 HRT523100:HRT523165 IBP523100:IBP523165 ILL523100:ILL523165 IVH523100:IVH523165 JFD523100:JFD523165 JOZ523100:JOZ523165 JYV523100:JYV523165 KIR523100:KIR523165 KSN523100:KSN523165 LCJ523100:LCJ523165 LMF523100:LMF523165 LWB523100:LWB523165 MFX523100:MFX523165 MPT523100:MPT523165 MZP523100:MZP523165 NJL523100:NJL523165 NTH523100:NTH523165 ODD523100:ODD523165 OMZ523100:OMZ523165 OWV523100:OWV523165 PGR523100:PGR523165 PQN523100:PQN523165 QAJ523100:QAJ523165 QKF523100:QKF523165 QUB523100:QUB523165 RDX523100:RDX523165 RNT523100:RNT523165 RXP523100:RXP523165 SHL523100:SHL523165 SRH523100:SRH523165 TBD523100:TBD523165 TKZ523100:TKZ523165 TUV523100:TUV523165 UER523100:UER523165 UON523100:UON523165 UYJ523100:UYJ523165 VIF523100:VIF523165 VSB523100:VSB523165 WBX523100:WBX523165 WLT523100:WLT523165 WVP523100:WVP523165 H588636:H588701 JD588636:JD588701 SZ588636:SZ588701 ACV588636:ACV588701 AMR588636:AMR588701 AWN588636:AWN588701 BGJ588636:BGJ588701 BQF588636:BQF588701 CAB588636:CAB588701 CJX588636:CJX588701 CTT588636:CTT588701 DDP588636:DDP588701 DNL588636:DNL588701 DXH588636:DXH588701 EHD588636:EHD588701 EQZ588636:EQZ588701 FAV588636:FAV588701 FKR588636:FKR588701 FUN588636:FUN588701 GEJ588636:GEJ588701 GOF588636:GOF588701 GYB588636:GYB588701 HHX588636:HHX588701 HRT588636:HRT588701 IBP588636:IBP588701 ILL588636:ILL588701 IVH588636:IVH588701 JFD588636:JFD588701 JOZ588636:JOZ588701 JYV588636:JYV588701 KIR588636:KIR588701 KSN588636:KSN588701 LCJ588636:LCJ588701 LMF588636:LMF588701 LWB588636:LWB588701 MFX588636:MFX588701 MPT588636:MPT588701 MZP588636:MZP588701 NJL588636:NJL588701 NTH588636:NTH588701 ODD588636:ODD588701 OMZ588636:OMZ588701 OWV588636:OWV588701 PGR588636:PGR588701 PQN588636:PQN588701 QAJ588636:QAJ588701 QKF588636:QKF588701 QUB588636:QUB588701 RDX588636:RDX588701 RNT588636:RNT588701 RXP588636:RXP588701 SHL588636:SHL588701 SRH588636:SRH588701 TBD588636:TBD588701 TKZ588636:TKZ588701 TUV588636:TUV588701 UER588636:UER588701 UON588636:UON588701 UYJ588636:UYJ588701 VIF588636:VIF588701 VSB588636:VSB588701 WBX588636:WBX588701 WLT588636:WLT588701 WVP588636:WVP588701 H654172:H654237 JD654172:JD654237 SZ654172:SZ654237 ACV654172:ACV654237 AMR654172:AMR654237 AWN654172:AWN654237 BGJ654172:BGJ654237 BQF654172:BQF654237 CAB654172:CAB654237 CJX654172:CJX654237 CTT654172:CTT654237 DDP654172:DDP654237 DNL654172:DNL654237 DXH654172:DXH654237 EHD654172:EHD654237 EQZ654172:EQZ654237 FAV654172:FAV654237 FKR654172:FKR654237 FUN654172:FUN654237 GEJ654172:GEJ654237 GOF654172:GOF654237 GYB654172:GYB654237 HHX654172:HHX654237 HRT654172:HRT654237 IBP654172:IBP654237 ILL654172:ILL654237 IVH654172:IVH654237 JFD654172:JFD654237 JOZ654172:JOZ654237 JYV654172:JYV654237 KIR654172:KIR654237 KSN654172:KSN654237 LCJ654172:LCJ654237 LMF654172:LMF654237 LWB654172:LWB654237 MFX654172:MFX654237 MPT654172:MPT654237 MZP654172:MZP654237 NJL654172:NJL654237 NTH654172:NTH654237 ODD654172:ODD654237 OMZ654172:OMZ654237 OWV654172:OWV654237 PGR654172:PGR654237 PQN654172:PQN654237 QAJ654172:QAJ654237 QKF654172:QKF654237 QUB654172:QUB654237 RDX654172:RDX654237 RNT654172:RNT654237 RXP654172:RXP654237 SHL654172:SHL654237 SRH654172:SRH654237 TBD654172:TBD654237 TKZ654172:TKZ654237 TUV654172:TUV654237 UER654172:UER654237 UON654172:UON654237 UYJ654172:UYJ654237 VIF654172:VIF654237 VSB654172:VSB654237 WBX654172:WBX654237 WLT654172:WLT654237 WVP654172:WVP654237 H719708:H719773 JD719708:JD719773 SZ719708:SZ719773 ACV719708:ACV719773 AMR719708:AMR719773 AWN719708:AWN719773 BGJ719708:BGJ719773 BQF719708:BQF719773 CAB719708:CAB719773 CJX719708:CJX719773 CTT719708:CTT719773 DDP719708:DDP719773 DNL719708:DNL719773 DXH719708:DXH719773 EHD719708:EHD719773 EQZ719708:EQZ719773 FAV719708:FAV719773 FKR719708:FKR719773 FUN719708:FUN719773 GEJ719708:GEJ719773 GOF719708:GOF719773 GYB719708:GYB719773 HHX719708:HHX719773 HRT719708:HRT719773 IBP719708:IBP719773 ILL719708:ILL719773 IVH719708:IVH719773 JFD719708:JFD719773 JOZ719708:JOZ719773 JYV719708:JYV719773 KIR719708:KIR719773 KSN719708:KSN719773 LCJ719708:LCJ719773 LMF719708:LMF719773 LWB719708:LWB719773 MFX719708:MFX719773 MPT719708:MPT719773 MZP719708:MZP719773 NJL719708:NJL719773 NTH719708:NTH719773 ODD719708:ODD719773 OMZ719708:OMZ719773 OWV719708:OWV719773 PGR719708:PGR719773 PQN719708:PQN719773 QAJ719708:QAJ719773 QKF719708:QKF719773 QUB719708:QUB719773 RDX719708:RDX719773 RNT719708:RNT719773 RXP719708:RXP719773 SHL719708:SHL719773 SRH719708:SRH719773 TBD719708:TBD719773 TKZ719708:TKZ719773 TUV719708:TUV719773 UER719708:UER719773 UON719708:UON719773 UYJ719708:UYJ719773 VIF719708:VIF719773 VSB719708:VSB719773 WBX719708:WBX719773 WLT719708:WLT719773 WVP719708:WVP719773 H785244:H785309 JD785244:JD785309 SZ785244:SZ785309 ACV785244:ACV785309 AMR785244:AMR785309 AWN785244:AWN785309 BGJ785244:BGJ785309 BQF785244:BQF785309 CAB785244:CAB785309 CJX785244:CJX785309 CTT785244:CTT785309 DDP785244:DDP785309 DNL785244:DNL785309 DXH785244:DXH785309 EHD785244:EHD785309 EQZ785244:EQZ785309 FAV785244:FAV785309 FKR785244:FKR785309 FUN785244:FUN785309 GEJ785244:GEJ785309 GOF785244:GOF785309 GYB785244:GYB785309 HHX785244:HHX785309 HRT785244:HRT785309 IBP785244:IBP785309 ILL785244:ILL785309 IVH785244:IVH785309 JFD785244:JFD785309 JOZ785244:JOZ785309 JYV785244:JYV785309 KIR785244:KIR785309 KSN785244:KSN785309 LCJ785244:LCJ785309 LMF785244:LMF785309 LWB785244:LWB785309 MFX785244:MFX785309 MPT785244:MPT785309 MZP785244:MZP785309 NJL785244:NJL785309 NTH785244:NTH785309 ODD785244:ODD785309 OMZ785244:OMZ785309 OWV785244:OWV785309 PGR785244:PGR785309 PQN785244:PQN785309 QAJ785244:QAJ785309 QKF785244:QKF785309 QUB785244:QUB785309 RDX785244:RDX785309 RNT785244:RNT785309 RXP785244:RXP785309 SHL785244:SHL785309 SRH785244:SRH785309 TBD785244:TBD785309 TKZ785244:TKZ785309 TUV785244:TUV785309 UER785244:UER785309 UON785244:UON785309 UYJ785244:UYJ785309 VIF785244:VIF785309 VSB785244:VSB785309 WBX785244:WBX785309 WLT785244:WLT785309 WVP785244:WVP785309 H850780:H850845 JD850780:JD850845 SZ850780:SZ850845 ACV850780:ACV850845 AMR850780:AMR850845 AWN850780:AWN850845 BGJ850780:BGJ850845 BQF850780:BQF850845 CAB850780:CAB850845 CJX850780:CJX850845 CTT850780:CTT850845 DDP850780:DDP850845 DNL850780:DNL850845 DXH850780:DXH850845 EHD850780:EHD850845 EQZ850780:EQZ850845 FAV850780:FAV850845 FKR850780:FKR850845 FUN850780:FUN850845 GEJ850780:GEJ850845 GOF850780:GOF850845 GYB850780:GYB850845 HHX850780:HHX850845 HRT850780:HRT850845 IBP850780:IBP850845 ILL850780:ILL850845 IVH850780:IVH850845 JFD850780:JFD850845 JOZ850780:JOZ850845 JYV850780:JYV850845 KIR850780:KIR850845 KSN850780:KSN850845 LCJ850780:LCJ850845 LMF850780:LMF850845 LWB850780:LWB850845 MFX850780:MFX850845 MPT850780:MPT850845 MZP850780:MZP850845 NJL850780:NJL850845 NTH850780:NTH850845 ODD850780:ODD850845 OMZ850780:OMZ850845 OWV850780:OWV850845 PGR850780:PGR850845 PQN850780:PQN850845 QAJ850780:QAJ850845 QKF850780:QKF850845 QUB850780:QUB850845 RDX850780:RDX850845 RNT850780:RNT850845 RXP850780:RXP850845 SHL850780:SHL850845 SRH850780:SRH850845 TBD850780:TBD850845 TKZ850780:TKZ850845 TUV850780:TUV850845 UER850780:UER850845 UON850780:UON850845 UYJ850780:UYJ850845 VIF850780:VIF850845 VSB850780:VSB850845 WBX850780:WBX850845 WLT850780:WLT850845 WVP850780:WVP850845 H916316:H916381 JD916316:JD916381 SZ916316:SZ916381 ACV916316:ACV916381 AMR916316:AMR916381 AWN916316:AWN916381 BGJ916316:BGJ916381 BQF916316:BQF916381 CAB916316:CAB916381 CJX916316:CJX916381 CTT916316:CTT916381 DDP916316:DDP916381 DNL916316:DNL916381 DXH916316:DXH916381 EHD916316:EHD916381 EQZ916316:EQZ916381 FAV916316:FAV916381 FKR916316:FKR916381 FUN916316:FUN916381 GEJ916316:GEJ916381 GOF916316:GOF916381 GYB916316:GYB916381 HHX916316:HHX916381 HRT916316:HRT916381 IBP916316:IBP916381 ILL916316:ILL916381 IVH916316:IVH916381 JFD916316:JFD916381 JOZ916316:JOZ916381 JYV916316:JYV916381 KIR916316:KIR916381 KSN916316:KSN916381 LCJ916316:LCJ916381 LMF916316:LMF916381 LWB916316:LWB916381 MFX916316:MFX916381 MPT916316:MPT916381 MZP916316:MZP916381 NJL916316:NJL916381 NTH916316:NTH916381 ODD916316:ODD916381 OMZ916316:OMZ916381 OWV916316:OWV916381 PGR916316:PGR916381 PQN916316:PQN916381 QAJ916316:QAJ916381 QKF916316:QKF916381 QUB916316:QUB916381 RDX916316:RDX916381 RNT916316:RNT916381 RXP916316:RXP916381 SHL916316:SHL916381 SRH916316:SRH916381 TBD916316:TBD916381 TKZ916316:TKZ916381 TUV916316:TUV916381 UER916316:UER916381 UON916316:UON916381 UYJ916316:UYJ916381 VIF916316:VIF916381 VSB916316:VSB916381 WBX916316:WBX916381 WLT916316:WLT916381 WVP916316:WVP916381 H981852:H981917 JD981852:JD981917 SZ981852:SZ981917 ACV981852:ACV981917 AMR981852:AMR981917 AWN981852:AWN981917 BGJ981852:BGJ981917 BQF981852:BQF981917 CAB981852:CAB981917 CJX981852:CJX981917 CTT981852:CTT981917 DDP981852:DDP981917 DNL981852:DNL981917 DXH981852:DXH981917 EHD981852:EHD981917 EQZ981852:EQZ981917 FAV981852:FAV981917 FKR981852:FKR981917 FUN981852:FUN981917 GEJ981852:GEJ981917 GOF981852:GOF981917 GYB981852:GYB981917 HHX981852:HHX981917 HRT981852:HRT981917 IBP981852:IBP981917 ILL981852:ILL981917 IVH981852:IVH981917 JFD981852:JFD981917 JOZ981852:JOZ981917 JYV981852:JYV981917 KIR981852:KIR981917 KSN981852:KSN981917 LCJ981852:LCJ981917 LMF981852:LMF981917 LWB981852:LWB981917 MFX981852:MFX981917 MPT981852:MPT981917 MZP981852:MZP981917 NJL981852:NJL981917 NTH981852:NTH981917 ODD981852:ODD981917 OMZ981852:OMZ981917 OWV981852:OWV981917 PGR981852:PGR981917 PQN981852:PQN981917 QAJ981852:QAJ981917 QKF981852:QKF981917 QUB981852:QUB981917 RDX981852:RDX981917 RNT981852:RNT981917 RXP981852:RXP981917 SHL981852:SHL981917 SRH981852:SRH981917 TBD981852:TBD981917 TKZ981852:TKZ981917 TUV981852:TUV981917 UER981852:UER981917 UON981852:UON981917 UYJ981852:UYJ981917 VIF981852:VIF981917 VSB981852:VSB981917 WBX981852:WBX981917 WLT981852:WLT981917 WVP981852:WVP981917 H1047388:H1047453 JD1047388:JD1047453 SZ1047388:SZ1047453 ACV1047388:ACV1047453 AMR1047388:AMR1047453 AWN1047388:AWN1047453 BGJ1047388:BGJ1047453 BQF1047388:BQF1047453 CAB1047388:CAB1047453 CJX1047388:CJX1047453 CTT1047388:CTT1047453 DDP1047388:DDP1047453 DNL1047388:DNL1047453 DXH1047388:DXH1047453 EHD1047388:EHD1047453 EQZ1047388:EQZ1047453 FAV1047388:FAV1047453 FKR1047388:FKR1047453 FUN1047388:FUN1047453 GEJ1047388:GEJ1047453 GOF1047388:GOF1047453 GYB1047388:GYB1047453 HHX1047388:HHX1047453 HRT1047388:HRT1047453 IBP1047388:IBP1047453 ILL1047388:ILL1047453 IVH1047388:IVH1047453 JFD1047388:JFD1047453 JOZ1047388:JOZ1047453 JYV1047388:JYV1047453 KIR1047388:KIR1047453 KSN1047388:KSN1047453 LCJ1047388:LCJ1047453 LMF1047388:LMF1047453 LWB1047388:LWB1047453 MFX1047388:MFX1047453 MPT1047388:MPT1047453 MZP1047388:MZP1047453 NJL1047388:NJL1047453 NTH1047388:NTH1047453 ODD1047388:ODD1047453 OMZ1047388:OMZ1047453 OWV1047388:OWV1047453 PGR1047388:PGR1047453 PQN1047388:PQN1047453 QAJ1047388:QAJ1047453 QKF1047388:QKF1047453 QUB1047388:QUB1047453 RDX1047388:RDX1047453 RNT1047388:RNT1047453 RXP1047388:RXP1047453 SHL1047388:SHL1047453 SRH1047388:SRH1047453 TBD1047388:TBD1047453 TKZ1047388:TKZ1047453 TUV1047388:TUV1047453 UER1047388:UER1047453 UON1047388:UON1047453 UYJ1047388:UYJ1047453 VIF1047388:VIF1047453 VSB1047388:VSB1047453 WBX1047388:WBX1047453 WLT1047388:WLT1047453 WVP1047388:WVP1047453" xr:uid="{F41709BC-8FF4-4C25-90FF-AFFA13DFA48D}">
      <formula1>$AL$5:$AL$12</formula1>
    </dataValidation>
    <dataValidation type="list" allowBlank="1" showInputMessage="1" showErrorMessage="1" sqref="E64348:F64413 WVM983027:WVN983098 WLQ983027:WLR983098 WBU983027:WBV983098 VRY983027:VRZ983098 VIC983027:VID983098 UYG983027:UYH983098 UOK983027:UOL983098 UEO983027:UEP983098 TUS983027:TUT983098 TKW983027:TKX983098 TBA983027:TBB983098 SRE983027:SRF983098 SHI983027:SHJ983098 RXM983027:RXN983098 RNQ983027:RNR983098 RDU983027:RDV983098 QTY983027:QTZ983098 QKC983027:QKD983098 QAG983027:QAH983098 PQK983027:PQL983098 PGO983027:PGP983098 OWS983027:OWT983098 OMW983027:OMX983098 ODA983027:ODB983098 NTE983027:NTF983098 NJI983027:NJJ983098 MZM983027:MZN983098 MPQ983027:MPR983098 MFU983027:MFV983098 LVY983027:LVZ983098 LMC983027:LMD983098 LCG983027:LCH983098 KSK983027:KSL983098 KIO983027:KIP983098 JYS983027:JYT983098 JOW983027:JOX983098 JFA983027:JFB983098 IVE983027:IVF983098 ILI983027:ILJ983098 IBM983027:IBN983098 HRQ983027:HRR983098 HHU983027:HHV983098 GXY983027:GXZ983098 GOC983027:GOD983098 GEG983027:GEH983098 FUK983027:FUL983098 FKO983027:FKP983098 FAS983027:FAT983098 EQW983027:EQX983098 EHA983027:EHB983098 DXE983027:DXF983098 DNI983027:DNJ983098 DDM983027:DDN983098 CTQ983027:CTR983098 CJU983027:CJV983098 BZY983027:BZZ983098 BQC983027:BQD983098 BGG983027:BGH983098 AWK983027:AWL983098 AMO983027:AMP983098 ACS983027:ACT983098 SW983027:SX983098 JA983027:JB983098 E983027:F983098 WVM917491:WVN917562 WLQ917491:WLR917562 WBU917491:WBV917562 VRY917491:VRZ917562 VIC917491:VID917562 UYG917491:UYH917562 UOK917491:UOL917562 UEO917491:UEP917562 TUS917491:TUT917562 TKW917491:TKX917562 TBA917491:TBB917562 SRE917491:SRF917562 SHI917491:SHJ917562 RXM917491:RXN917562 RNQ917491:RNR917562 RDU917491:RDV917562 QTY917491:QTZ917562 QKC917491:QKD917562 QAG917491:QAH917562 PQK917491:PQL917562 PGO917491:PGP917562 OWS917491:OWT917562 OMW917491:OMX917562 ODA917491:ODB917562 NTE917491:NTF917562 NJI917491:NJJ917562 MZM917491:MZN917562 MPQ917491:MPR917562 MFU917491:MFV917562 LVY917491:LVZ917562 LMC917491:LMD917562 LCG917491:LCH917562 KSK917491:KSL917562 KIO917491:KIP917562 JYS917491:JYT917562 JOW917491:JOX917562 JFA917491:JFB917562 IVE917491:IVF917562 ILI917491:ILJ917562 IBM917491:IBN917562 HRQ917491:HRR917562 HHU917491:HHV917562 GXY917491:GXZ917562 GOC917491:GOD917562 GEG917491:GEH917562 FUK917491:FUL917562 FKO917491:FKP917562 FAS917491:FAT917562 EQW917491:EQX917562 EHA917491:EHB917562 DXE917491:DXF917562 DNI917491:DNJ917562 DDM917491:DDN917562 CTQ917491:CTR917562 CJU917491:CJV917562 BZY917491:BZZ917562 BQC917491:BQD917562 BGG917491:BGH917562 AWK917491:AWL917562 AMO917491:AMP917562 ACS917491:ACT917562 SW917491:SX917562 JA917491:JB917562 E917491:F917562 WVM851955:WVN852026 WLQ851955:WLR852026 WBU851955:WBV852026 VRY851955:VRZ852026 VIC851955:VID852026 UYG851955:UYH852026 UOK851955:UOL852026 UEO851955:UEP852026 TUS851955:TUT852026 TKW851955:TKX852026 TBA851955:TBB852026 SRE851955:SRF852026 SHI851955:SHJ852026 RXM851955:RXN852026 RNQ851955:RNR852026 RDU851955:RDV852026 QTY851955:QTZ852026 QKC851955:QKD852026 QAG851955:QAH852026 PQK851955:PQL852026 PGO851955:PGP852026 OWS851955:OWT852026 OMW851955:OMX852026 ODA851955:ODB852026 NTE851955:NTF852026 NJI851955:NJJ852026 MZM851955:MZN852026 MPQ851955:MPR852026 MFU851955:MFV852026 LVY851955:LVZ852026 LMC851955:LMD852026 LCG851955:LCH852026 KSK851955:KSL852026 KIO851955:KIP852026 JYS851955:JYT852026 JOW851955:JOX852026 JFA851955:JFB852026 IVE851955:IVF852026 ILI851955:ILJ852026 IBM851955:IBN852026 HRQ851955:HRR852026 HHU851955:HHV852026 GXY851955:GXZ852026 GOC851955:GOD852026 GEG851955:GEH852026 FUK851955:FUL852026 FKO851955:FKP852026 FAS851955:FAT852026 EQW851955:EQX852026 EHA851955:EHB852026 DXE851955:DXF852026 DNI851955:DNJ852026 DDM851955:DDN852026 CTQ851955:CTR852026 CJU851955:CJV852026 BZY851955:BZZ852026 BQC851955:BQD852026 BGG851955:BGH852026 AWK851955:AWL852026 AMO851955:AMP852026 ACS851955:ACT852026 SW851955:SX852026 JA851955:JB852026 E851955:F852026 WVM786419:WVN786490 WLQ786419:WLR786490 WBU786419:WBV786490 VRY786419:VRZ786490 VIC786419:VID786490 UYG786419:UYH786490 UOK786419:UOL786490 UEO786419:UEP786490 TUS786419:TUT786490 TKW786419:TKX786490 TBA786419:TBB786490 SRE786419:SRF786490 SHI786419:SHJ786490 RXM786419:RXN786490 RNQ786419:RNR786490 RDU786419:RDV786490 QTY786419:QTZ786490 QKC786419:QKD786490 QAG786419:QAH786490 PQK786419:PQL786490 PGO786419:PGP786490 OWS786419:OWT786490 OMW786419:OMX786490 ODA786419:ODB786490 NTE786419:NTF786490 NJI786419:NJJ786490 MZM786419:MZN786490 MPQ786419:MPR786490 MFU786419:MFV786490 LVY786419:LVZ786490 LMC786419:LMD786490 LCG786419:LCH786490 KSK786419:KSL786490 KIO786419:KIP786490 JYS786419:JYT786490 JOW786419:JOX786490 JFA786419:JFB786490 IVE786419:IVF786490 ILI786419:ILJ786490 IBM786419:IBN786490 HRQ786419:HRR786490 HHU786419:HHV786490 GXY786419:GXZ786490 GOC786419:GOD786490 GEG786419:GEH786490 FUK786419:FUL786490 FKO786419:FKP786490 FAS786419:FAT786490 EQW786419:EQX786490 EHA786419:EHB786490 DXE786419:DXF786490 DNI786419:DNJ786490 DDM786419:DDN786490 CTQ786419:CTR786490 CJU786419:CJV786490 BZY786419:BZZ786490 BQC786419:BQD786490 BGG786419:BGH786490 AWK786419:AWL786490 AMO786419:AMP786490 ACS786419:ACT786490 SW786419:SX786490 JA786419:JB786490 E786419:F786490 WVM720883:WVN720954 WLQ720883:WLR720954 WBU720883:WBV720954 VRY720883:VRZ720954 VIC720883:VID720954 UYG720883:UYH720954 UOK720883:UOL720954 UEO720883:UEP720954 TUS720883:TUT720954 TKW720883:TKX720954 TBA720883:TBB720954 SRE720883:SRF720954 SHI720883:SHJ720954 RXM720883:RXN720954 RNQ720883:RNR720954 RDU720883:RDV720954 QTY720883:QTZ720954 QKC720883:QKD720954 QAG720883:QAH720954 PQK720883:PQL720954 PGO720883:PGP720954 OWS720883:OWT720954 OMW720883:OMX720954 ODA720883:ODB720954 NTE720883:NTF720954 NJI720883:NJJ720954 MZM720883:MZN720954 MPQ720883:MPR720954 MFU720883:MFV720954 LVY720883:LVZ720954 LMC720883:LMD720954 LCG720883:LCH720954 KSK720883:KSL720954 KIO720883:KIP720954 JYS720883:JYT720954 JOW720883:JOX720954 JFA720883:JFB720954 IVE720883:IVF720954 ILI720883:ILJ720954 IBM720883:IBN720954 HRQ720883:HRR720954 HHU720883:HHV720954 GXY720883:GXZ720954 GOC720883:GOD720954 GEG720883:GEH720954 FUK720883:FUL720954 FKO720883:FKP720954 FAS720883:FAT720954 EQW720883:EQX720954 EHA720883:EHB720954 DXE720883:DXF720954 DNI720883:DNJ720954 DDM720883:DDN720954 CTQ720883:CTR720954 CJU720883:CJV720954 BZY720883:BZZ720954 BQC720883:BQD720954 BGG720883:BGH720954 AWK720883:AWL720954 AMO720883:AMP720954 ACS720883:ACT720954 SW720883:SX720954 JA720883:JB720954 E720883:F720954 WVM655347:WVN655418 WLQ655347:WLR655418 WBU655347:WBV655418 VRY655347:VRZ655418 VIC655347:VID655418 UYG655347:UYH655418 UOK655347:UOL655418 UEO655347:UEP655418 TUS655347:TUT655418 TKW655347:TKX655418 TBA655347:TBB655418 SRE655347:SRF655418 SHI655347:SHJ655418 RXM655347:RXN655418 RNQ655347:RNR655418 RDU655347:RDV655418 QTY655347:QTZ655418 QKC655347:QKD655418 QAG655347:QAH655418 PQK655347:PQL655418 PGO655347:PGP655418 OWS655347:OWT655418 OMW655347:OMX655418 ODA655347:ODB655418 NTE655347:NTF655418 NJI655347:NJJ655418 MZM655347:MZN655418 MPQ655347:MPR655418 MFU655347:MFV655418 LVY655347:LVZ655418 LMC655347:LMD655418 LCG655347:LCH655418 KSK655347:KSL655418 KIO655347:KIP655418 JYS655347:JYT655418 JOW655347:JOX655418 JFA655347:JFB655418 IVE655347:IVF655418 ILI655347:ILJ655418 IBM655347:IBN655418 HRQ655347:HRR655418 HHU655347:HHV655418 GXY655347:GXZ655418 GOC655347:GOD655418 GEG655347:GEH655418 FUK655347:FUL655418 FKO655347:FKP655418 FAS655347:FAT655418 EQW655347:EQX655418 EHA655347:EHB655418 DXE655347:DXF655418 DNI655347:DNJ655418 DDM655347:DDN655418 CTQ655347:CTR655418 CJU655347:CJV655418 BZY655347:BZZ655418 BQC655347:BQD655418 BGG655347:BGH655418 AWK655347:AWL655418 AMO655347:AMP655418 ACS655347:ACT655418 SW655347:SX655418 JA655347:JB655418 E655347:F655418 WVM589811:WVN589882 WLQ589811:WLR589882 WBU589811:WBV589882 VRY589811:VRZ589882 VIC589811:VID589882 UYG589811:UYH589882 UOK589811:UOL589882 UEO589811:UEP589882 TUS589811:TUT589882 TKW589811:TKX589882 TBA589811:TBB589882 SRE589811:SRF589882 SHI589811:SHJ589882 RXM589811:RXN589882 RNQ589811:RNR589882 RDU589811:RDV589882 QTY589811:QTZ589882 QKC589811:QKD589882 QAG589811:QAH589882 PQK589811:PQL589882 PGO589811:PGP589882 OWS589811:OWT589882 OMW589811:OMX589882 ODA589811:ODB589882 NTE589811:NTF589882 NJI589811:NJJ589882 MZM589811:MZN589882 MPQ589811:MPR589882 MFU589811:MFV589882 LVY589811:LVZ589882 LMC589811:LMD589882 LCG589811:LCH589882 KSK589811:KSL589882 KIO589811:KIP589882 JYS589811:JYT589882 JOW589811:JOX589882 JFA589811:JFB589882 IVE589811:IVF589882 ILI589811:ILJ589882 IBM589811:IBN589882 HRQ589811:HRR589882 HHU589811:HHV589882 GXY589811:GXZ589882 GOC589811:GOD589882 GEG589811:GEH589882 FUK589811:FUL589882 FKO589811:FKP589882 FAS589811:FAT589882 EQW589811:EQX589882 EHA589811:EHB589882 DXE589811:DXF589882 DNI589811:DNJ589882 DDM589811:DDN589882 CTQ589811:CTR589882 CJU589811:CJV589882 BZY589811:BZZ589882 BQC589811:BQD589882 BGG589811:BGH589882 AWK589811:AWL589882 AMO589811:AMP589882 ACS589811:ACT589882 SW589811:SX589882 JA589811:JB589882 E589811:F589882 WVM524275:WVN524346 WLQ524275:WLR524346 WBU524275:WBV524346 VRY524275:VRZ524346 VIC524275:VID524346 UYG524275:UYH524346 UOK524275:UOL524346 UEO524275:UEP524346 TUS524275:TUT524346 TKW524275:TKX524346 TBA524275:TBB524346 SRE524275:SRF524346 SHI524275:SHJ524346 RXM524275:RXN524346 RNQ524275:RNR524346 RDU524275:RDV524346 QTY524275:QTZ524346 QKC524275:QKD524346 QAG524275:QAH524346 PQK524275:PQL524346 PGO524275:PGP524346 OWS524275:OWT524346 OMW524275:OMX524346 ODA524275:ODB524346 NTE524275:NTF524346 NJI524275:NJJ524346 MZM524275:MZN524346 MPQ524275:MPR524346 MFU524275:MFV524346 LVY524275:LVZ524346 LMC524275:LMD524346 LCG524275:LCH524346 KSK524275:KSL524346 KIO524275:KIP524346 JYS524275:JYT524346 JOW524275:JOX524346 JFA524275:JFB524346 IVE524275:IVF524346 ILI524275:ILJ524346 IBM524275:IBN524346 HRQ524275:HRR524346 HHU524275:HHV524346 GXY524275:GXZ524346 GOC524275:GOD524346 GEG524275:GEH524346 FUK524275:FUL524346 FKO524275:FKP524346 FAS524275:FAT524346 EQW524275:EQX524346 EHA524275:EHB524346 DXE524275:DXF524346 DNI524275:DNJ524346 DDM524275:DDN524346 CTQ524275:CTR524346 CJU524275:CJV524346 BZY524275:BZZ524346 BQC524275:BQD524346 BGG524275:BGH524346 AWK524275:AWL524346 AMO524275:AMP524346 ACS524275:ACT524346 SW524275:SX524346 JA524275:JB524346 E524275:F524346 WVM458739:WVN458810 WLQ458739:WLR458810 WBU458739:WBV458810 VRY458739:VRZ458810 VIC458739:VID458810 UYG458739:UYH458810 UOK458739:UOL458810 UEO458739:UEP458810 TUS458739:TUT458810 TKW458739:TKX458810 TBA458739:TBB458810 SRE458739:SRF458810 SHI458739:SHJ458810 RXM458739:RXN458810 RNQ458739:RNR458810 RDU458739:RDV458810 QTY458739:QTZ458810 QKC458739:QKD458810 QAG458739:QAH458810 PQK458739:PQL458810 PGO458739:PGP458810 OWS458739:OWT458810 OMW458739:OMX458810 ODA458739:ODB458810 NTE458739:NTF458810 NJI458739:NJJ458810 MZM458739:MZN458810 MPQ458739:MPR458810 MFU458739:MFV458810 LVY458739:LVZ458810 LMC458739:LMD458810 LCG458739:LCH458810 KSK458739:KSL458810 KIO458739:KIP458810 JYS458739:JYT458810 JOW458739:JOX458810 JFA458739:JFB458810 IVE458739:IVF458810 ILI458739:ILJ458810 IBM458739:IBN458810 HRQ458739:HRR458810 HHU458739:HHV458810 GXY458739:GXZ458810 GOC458739:GOD458810 GEG458739:GEH458810 FUK458739:FUL458810 FKO458739:FKP458810 FAS458739:FAT458810 EQW458739:EQX458810 EHA458739:EHB458810 DXE458739:DXF458810 DNI458739:DNJ458810 DDM458739:DDN458810 CTQ458739:CTR458810 CJU458739:CJV458810 BZY458739:BZZ458810 BQC458739:BQD458810 BGG458739:BGH458810 AWK458739:AWL458810 AMO458739:AMP458810 ACS458739:ACT458810 SW458739:SX458810 JA458739:JB458810 E458739:F458810 WVM393203:WVN393274 WLQ393203:WLR393274 WBU393203:WBV393274 VRY393203:VRZ393274 VIC393203:VID393274 UYG393203:UYH393274 UOK393203:UOL393274 UEO393203:UEP393274 TUS393203:TUT393274 TKW393203:TKX393274 TBA393203:TBB393274 SRE393203:SRF393274 SHI393203:SHJ393274 RXM393203:RXN393274 RNQ393203:RNR393274 RDU393203:RDV393274 QTY393203:QTZ393274 QKC393203:QKD393274 QAG393203:QAH393274 PQK393203:PQL393274 PGO393203:PGP393274 OWS393203:OWT393274 OMW393203:OMX393274 ODA393203:ODB393274 NTE393203:NTF393274 NJI393203:NJJ393274 MZM393203:MZN393274 MPQ393203:MPR393274 MFU393203:MFV393274 LVY393203:LVZ393274 LMC393203:LMD393274 LCG393203:LCH393274 KSK393203:KSL393274 KIO393203:KIP393274 JYS393203:JYT393274 JOW393203:JOX393274 JFA393203:JFB393274 IVE393203:IVF393274 ILI393203:ILJ393274 IBM393203:IBN393274 HRQ393203:HRR393274 HHU393203:HHV393274 GXY393203:GXZ393274 GOC393203:GOD393274 GEG393203:GEH393274 FUK393203:FUL393274 FKO393203:FKP393274 FAS393203:FAT393274 EQW393203:EQX393274 EHA393203:EHB393274 DXE393203:DXF393274 DNI393203:DNJ393274 DDM393203:DDN393274 CTQ393203:CTR393274 CJU393203:CJV393274 BZY393203:BZZ393274 BQC393203:BQD393274 BGG393203:BGH393274 AWK393203:AWL393274 AMO393203:AMP393274 ACS393203:ACT393274 SW393203:SX393274 JA393203:JB393274 E393203:F393274 WVM327667:WVN327738 WLQ327667:WLR327738 WBU327667:WBV327738 VRY327667:VRZ327738 VIC327667:VID327738 UYG327667:UYH327738 UOK327667:UOL327738 UEO327667:UEP327738 TUS327667:TUT327738 TKW327667:TKX327738 TBA327667:TBB327738 SRE327667:SRF327738 SHI327667:SHJ327738 RXM327667:RXN327738 RNQ327667:RNR327738 RDU327667:RDV327738 QTY327667:QTZ327738 QKC327667:QKD327738 QAG327667:QAH327738 PQK327667:PQL327738 PGO327667:PGP327738 OWS327667:OWT327738 OMW327667:OMX327738 ODA327667:ODB327738 NTE327667:NTF327738 NJI327667:NJJ327738 MZM327667:MZN327738 MPQ327667:MPR327738 MFU327667:MFV327738 LVY327667:LVZ327738 LMC327667:LMD327738 LCG327667:LCH327738 KSK327667:KSL327738 KIO327667:KIP327738 JYS327667:JYT327738 JOW327667:JOX327738 JFA327667:JFB327738 IVE327667:IVF327738 ILI327667:ILJ327738 IBM327667:IBN327738 HRQ327667:HRR327738 HHU327667:HHV327738 GXY327667:GXZ327738 GOC327667:GOD327738 GEG327667:GEH327738 FUK327667:FUL327738 FKO327667:FKP327738 FAS327667:FAT327738 EQW327667:EQX327738 EHA327667:EHB327738 DXE327667:DXF327738 DNI327667:DNJ327738 DDM327667:DDN327738 CTQ327667:CTR327738 CJU327667:CJV327738 BZY327667:BZZ327738 BQC327667:BQD327738 BGG327667:BGH327738 AWK327667:AWL327738 AMO327667:AMP327738 ACS327667:ACT327738 SW327667:SX327738 JA327667:JB327738 E327667:F327738 WVM262131:WVN262202 WLQ262131:WLR262202 WBU262131:WBV262202 VRY262131:VRZ262202 VIC262131:VID262202 UYG262131:UYH262202 UOK262131:UOL262202 UEO262131:UEP262202 TUS262131:TUT262202 TKW262131:TKX262202 TBA262131:TBB262202 SRE262131:SRF262202 SHI262131:SHJ262202 RXM262131:RXN262202 RNQ262131:RNR262202 RDU262131:RDV262202 QTY262131:QTZ262202 QKC262131:QKD262202 QAG262131:QAH262202 PQK262131:PQL262202 PGO262131:PGP262202 OWS262131:OWT262202 OMW262131:OMX262202 ODA262131:ODB262202 NTE262131:NTF262202 NJI262131:NJJ262202 MZM262131:MZN262202 MPQ262131:MPR262202 MFU262131:MFV262202 LVY262131:LVZ262202 LMC262131:LMD262202 LCG262131:LCH262202 KSK262131:KSL262202 KIO262131:KIP262202 JYS262131:JYT262202 JOW262131:JOX262202 JFA262131:JFB262202 IVE262131:IVF262202 ILI262131:ILJ262202 IBM262131:IBN262202 HRQ262131:HRR262202 HHU262131:HHV262202 GXY262131:GXZ262202 GOC262131:GOD262202 GEG262131:GEH262202 FUK262131:FUL262202 FKO262131:FKP262202 FAS262131:FAT262202 EQW262131:EQX262202 EHA262131:EHB262202 DXE262131:DXF262202 DNI262131:DNJ262202 DDM262131:DDN262202 CTQ262131:CTR262202 CJU262131:CJV262202 BZY262131:BZZ262202 BQC262131:BQD262202 BGG262131:BGH262202 AWK262131:AWL262202 AMO262131:AMP262202 ACS262131:ACT262202 SW262131:SX262202 JA262131:JB262202 E262131:F262202 WVM196595:WVN196666 WLQ196595:WLR196666 WBU196595:WBV196666 VRY196595:VRZ196666 VIC196595:VID196666 UYG196595:UYH196666 UOK196595:UOL196666 UEO196595:UEP196666 TUS196595:TUT196666 TKW196595:TKX196666 TBA196595:TBB196666 SRE196595:SRF196666 SHI196595:SHJ196666 RXM196595:RXN196666 RNQ196595:RNR196666 RDU196595:RDV196666 QTY196595:QTZ196666 QKC196595:QKD196666 QAG196595:QAH196666 PQK196595:PQL196666 PGO196595:PGP196666 OWS196595:OWT196666 OMW196595:OMX196666 ODA196595:ODB196666 NTE196595:NTF196666 NJI196595:NJJ196666 MZM196595:MZN196666 MPQ196595:MPR196666 MFU196595:MFV196666 LVY196595:LVZ196666 LMC196595:LMD196666 LCG196595:LCH196666 KSK196595:KSL196666 KIO196595:KIP196666 JYS196595:JYT196666 JOW196595:JOX196666 JFA196595:JFB196666 IVE196595:IVF196666 ILI196595:ILJ196666 IBM196595:IBN196666 HRQ196595:HRR196666 HHU196595:HHV196666 GXY196595:GXZ196666 GOC196595:GOD196666 GEG196595:GEH196666 FUK196595:FUL196666 FKO196595:FKP196666 FAS196595:FAT196666 EQW196595:EQX196666 EHA196595:EHB196666 DXE196595:DXF196666 DNI196595:DNJ196666 DDM196595:DDN196666 CTQ196595:CTR196666 CJU196595:CJV196666 BZY196595:BZZ196666 BQC196595:BQD196666 BGG196595:BGH196666 AWK196595:AWL196666 AMO196595:AMP196666 ACS196595:ACT196666 SW196595:SX196666 JA196595:JB196666 E196595:F196666 WVM131059:WVN131130 WLQ131059:WLR131130 WBU131059:WBV131130 VRY131059:VRZ131130 VIC131059:VID131130 UYG131059:UYH131130 UOK131059:UOL131130 UEO131059:UEP131130 TUS131059:TUT131130 TKW131059:TKX131130 TBA131059:TBB131130 SRE131059:SRF131130 SHI131059:SHJ131130 RXM131059:RXN131130 RNQ131059:RNR131130 RDU131059:RDV131130 QTY131059:QTZ131130 QKC131059:QKD131130 QAG131059:QAH131130 PQK131059:PQL131130 PGO131059:PGP131130 OWS131059:OWT131130 OMW131059:OMX131130 ODA131059:ODB131130 NTE131059:NTF131130 NJI131059:NJJ131130 MZM131059:MZN131130 MPQ131059:MPR131130 MFU131059:MFV131130 LVY131059:LVZ131130 LMC131059:LMD131130 LCG131059:LCH131130 KSK131059:KSL131130 KIO131059:KIP131130 JYS131059:JYT131130 JOW131059:JOX131130 JFA131059:JFB131130 IVE131059:IVF131130 ILI131059:ILJ131130 IBM131059:IBN131130 HRQ131059:HRR131130 HHU131059:HHV131130 GXY131059:GXZ131130 GOC131059:GOD131130 GEG131059:GEH131130 FUK131059:FUL131130 FKO131059:FKP131130 FAS131059:FAT131130 EQW131059:EQX131130 EHA131059:EHB131130 DXE131059:DXF131130 DNI131059:DNJ131130 DDM131059:DDN131130 CTQ131059:CTR131130 CJU131059:CJV131130 BZY131059:BZZ131130 BQC131059:BQD131130 BGG131059:BGH131130 AWK131059:AWL131130 AMO131059:AMP131130 ACS131059:ACT131130 SW131059:SX131130 JA131059:JB131130 E131059:F131130 WVM65523:WVN65594 WLQ65523:WLR65594 WBU65523:WBV65594 VRY65523:VRZ65594 VIC65523:VID65594 UYG65523:UYH65594 UOK65523:UOL65594 UEO65523:UEP65594 TUS65523:TUT65594 TKW65523:TKX65594 TBA65523:TBB65594 SRE65523:SRF65594 SHI65523:SHJ65594 RXM65523:RXN65594 RNQ65523:RNR65594 RDU65523:RDV65594 QTY65523:QTZ65594 QKC65523:QKD65594 QAG65523:QAH65594 PQK65523:PQL65594 PGO65523:PGP65594 OWS65523:OWT65594 OMW65523:OMX65594 ODA65523:ODB65594 NTE65523:NTF65594 NJI65523:NJJ65594 MZM65523:MZN65594 MPQ65523:MPR65594 MFU65523:MFV65594 LVY65523:LVZ65594 LMC65523:LMD65594 LCG65523:LCH65594 KSK65523:KSL65594 KIO65523:KIP65594 JYS65523:JYT65594 JOW65523:JOX65594 JFA65523:JFB65594 IVE65523:IVF65594 ILI65523:ILJ65594 IBM65523:IBN65594 HRQ65523:HRR65594 HHU65523:HHV65594 GXY65523:GXZ65594 GOC65523:GOD65594 GEG65523:GEH65594 FUK65523:FUL65594 FKO65523:FKP65594 FAS65523:FAT65594 EQW65523:EQX65594 EHA65523:EHB65594 DXE65523:DXF65594 DNI65523:DNJ65594 DDM65523:DDN65594 CTQ65523:CTR65594 CJU65523:CJV65594 BZY65523:BZZ65594 BQC65523:BQD65594 BGG65523:BGH65594 AWK65523:AWL65594 AMO65523:AMP65594 ACS65523:ACT65594 SW65523:SX65594 JA65523:JB65594 E65523:F65594 JA64348:JB64413 WVM1047388:WVN1047453 WLQ1047388:WLR1047453 WBU1047388:WBV1047453 VRY1047388:VRZ1047453 VIC1047388:VID1047453 UYG1047388:UYH1047453 UOK1047388:UOL1047453 UEO1047388:UEP1047453 TUS1047388:TUT1047453 TKW1047388:TKX1047453 TBA1047388:TBB1047453 SRE1047388:SRF1047453 SHI1047388:SHJ1047453 RXM1047388:RXN1047453 RNQ1047388:RNR1047453 RDU1047388:RDV1047453 QTY1047388:QTZ1047453 QKC1047388:QKD1047453 QAG1047388:QAH1047453 PQK1047388:PQL1047453 PGO1047388:PGP1047453 OWS1047388:OWT1047453 OMW1047388:OMX1047453 ODA1047388:ODB1047453 NTE1047388:NTF1047453 NJI1047388:NJJ1047453 MZM1047388:MZN1047453 MPQ1047388:MPR1047453 MFU1047388:MFV1047453 LVY1047388:LVZ1047453 LMC1047388:LMD1047453 LCG1047388:LCH1047453 KSK1047388:KSL1047453 KIO1047388:KIP1047453 JYS1047388:JYT1047453 JOW1047388:JOX1047453 JFA1047388:JFB1047453 IVE1047388:IVF1047453 ILI1047388:ILJ1047453 IBM1047388:IBN1047453 HRQ1047388:HRR1047453 HHU1047388:HHV1047453 GXY1047388:GXZ1047453 GOC1047388:GOD1047453 GEG1047388:GEH1047453 FUK1047388:FUL1047453 FKO1047388:FKP1047453 FAS1047388:FAT1047453 EQW1047388:EQX1047453 EHA1047388:EHB1047453 DXE1047388:DXF1047453 DNI1047388:DNJ1047453 DDM1047388:DDN1047453 CTQ1047388:CTR1047453 CJU1047388:CJV1047453 BZY1047388:BZZ1047453 BQC1047388:BQD1047453 BGG1047388:BGH1047453 AWK1047388:AWL1047453 AMO1047388:AMP1047453 ACS1047388:ACT1047453 SW1047388:SX1047453 JA1047388:JB1047453 E1047388:F1047453 WVM981852:WVN981917 WLQ981852:WLR981917 WBU981852:WBV981917 VRY981852:VRZ981917 VIC981852:VID981917 UYG981852:UYH981917 UOK981852:UOL981917 UEO981852:UEP981917 TUS981852:TUT981917 TKW981852:TKX981917 TBA981852:TBB981917 SRE981852:SRF981917 SHI981852:SHJ981917 RXM981852:RXN981917 RNQ981852:RNR981917 RDU981852:RDV981917 QTY981852:QTZ981917 QKC981852:QKD981917 QAG981852:QAH981917 PQK981852:PQL981917 PGO981852:PGP981917 OWS981852:OWT981917 OMW981852:OMX981917 ODA981852:ODB981917 NTE981852:NTF981917 NJI981852:NJJ981917 MZM981852:MZN981917 MPQ981852:MPR981917 MFU981852:MFV981917 LVY981852:LVZ981917 LMC981852:LMD981917 LCG981852:LCH981917 KSK981852:KSL981917 KIO981852:KIP981917 JYS981852:JYT981917 JOW981852:JOX981917 JFA981852:JFB981917 IVE981852:IVF981917 ILI981852:ILJ981917 IBM981852:IBN981917 HRQ981852:HRR981917 HHU981852:HHV981917 GXY981852:GXZ981917 GOC981852:GOD981917 GEG981852:GEH981917 FUK981852:FUL981917 FKO981852:FKP981917 FAS981852:FAT981917 EQW981852:EQX981917 EHA981852:EHB981917 DXE981852:DXF981917 DNI981852:DNJ981917 DDM981852:DDN981917 CTQ981852:CTR981917 CJU981852:CJV981917 BZY981852:BZZ981917 BQC981852:BQD981917 BGG981852:BGH981917 AWK981852:AWL981917 AMO981852:AMP981917 ACS981852:ACT981917 SW981852:SX981917 JA981852:JB981917 E981852:F981917 WVM916316:WVN916381 WLQ916316:WLR916381 WBU916316:WBV916381 VRY916316:VRZ916381 VIC916316:VID916381 UYG916316:UYH916381 UOK916316:UOL916381 UEO916316:UEP916381 TUS916316:TUT916381 TKW916316:TKX916381 TBA916316:TBB916381 SRE916316:SRF916381 SHI916316:SHJ916381 RXM916316:RXN916381 RNQ916316:RNR916381 RDU916316:RDV916381 QTY916316:QTZ916381 QKC916316:QKD916381 QAG916316:QAH916381 PQK916316:PQL916381 PGO916316:PGP916381 OWS916316:OWT916381 OMW916316:OMX916381 ODA916316:ODB916381 NTE916316:NTF916381 NJI916316:NJJ916381 MZM916316:MZN916381 MPQ916316:MPR916381 MFU916316:MFV916381 LVY916316:LVZ916381 LMC916316:LMD916381 LCG916316:LCH916381 KSK916316:KSL916381 KIO916316:KIP916381 JYS916316:JYT916381 JOW916316:JOX916381 JFA916316:JFB916381 IVE916316:IVF916381 ILI916316:ILJ916381 IBM916316:IBN916381 HRQ916316:HRR916381 HHU916316:HHV916381 GXY916316:GXZ916381 GOC916316:GOD916381 GEG916316:GEH916381 FUK916316:FUL916381 FKO916316:FKP916381 FAS916316:FAT916381 EQW916316:EQX916381 EHA916316:EHB916381 DXE916316:DXF916381 DNI916316:DNJ916381 DDM916316:DDN916381 CTQ916316:CTR916381 CJU916316:CJV916381 BZY916316:BZZ916381 BQC916316:BQD916381 BGG916316:BGH916381 AWK916316:AWL916381 AMO916316:AMP916381 ACS916316:ACT916381 SW916316:SX916381 JA916316:JB916381 E916316:F916381 WVM850780:WVN850845 WLQ850780:WLR850845 WBU850780:WBV850845 VRY850780:VRZ850845 VIC850780:VID850845 UYG850780:UYH850845 UOK850780:UOL850845 UEO850780:UEP850845 TUS850780:TUT850845 TKW850780:TKX850845 TBA850780:TBB850845 SRE850780:SRF850845 SHI850780:SHJ850845 RXM850780:RXN850845 RNQ850780:RNR850845 RDU850780:RDV850845 QTY850780:QTZ850845 QKC850780:QKD850845 QAG850780:QAH850845 PQK850780:PQL850845 PGO850780:PGP850845 OWS850780:OWT850845 OMW850780:OMX850845 ODA850780:ODB850845 NTE850780:NTF850845 NJI850780:NJJ850845 MZM850780:MZN850845 MPQ850780:MPR850845 MFU850780:MFV850845 LVY850780:LVZ850845 LMC850780:LMD850845 LCG850780:LCH850845 KSK850780:KSL850845 KIO850780:KIP850845 JYS850780:JYT850845 JOW850780:JOX850845 JFA850780:JFB850845 IVE850780:IVF850845 ILI850780:ILJ850845 IBM850780:IBN850845 HRQ850780:HRR850845 HHU850780:HHV850845 GXY850780:GXZ850845 GOC850780:GOD850845 GEG850780:GEH850845 FUK850780:FUL850845 FKO850780:FKP850845 FAS850780:FAT850845 EQW850780:EQX850845 EHA850780:EHB850845 DXE850780:DXF850845 DNI850780:DNJ850845 DDM850780:DDN850845 CTQ850780:CTR850845 CJU850780:CJV850845 BZY850780:BZZ850845 BQC850780:BQD850845 BGG850780:BGH850845 AWK850780:AWL850845 AMO850780:AMP850845 ACS850780:ACT850845 SW850780:SX850845 JA850780:JB850845 E850780:F850845 WVM785244:WVN785309 WLQ785244:WLR785309 WBU785244:WBV785309 VRY785244:VRZ785309 VIC785244:VID785309 UYG785244:UYH785309 UOK785244:UOL785309 UEO785244:UEP785309 TUS785244:TUT785309 TKW785244:TKX785309 TBA785244:TBB785309 SRE785244:SRF785309 SHI785244:SHJ785309 RXM785244:RXN785309 RNQ785244:RNR785309 RDU785244:RDV785309 QTY785244:QTZ785309 QKC785244:QKD785309 QAG785244:QAH785309 PQK785244:PQL785309 PGO785244:PGP785309 OWS785244:OWT785309 OMW785244:OMX785309 ODA785244:ODB785309 NTE785244:NTF785309 NJI785244:NJJ785309 MZM785244:MZN785309 MPQ785244:MPR785309 MFU785244:MFV785309 LVY785244:LVZ785309 LMC785244:LMD785309 LCG785244:LCH785309 KSK785244:KSL785309 KIO785244:KIP785309 JYS785244:JYT785309 JOW785244:JOX785309 JFA785244:JFB785309 IVE785244:IVF785309 ILI785244:ILJ785309 IBM785244:IBN785309 HRQ785244:HRR785309 HHU785244:HHV785309 GXY785244:GXZ785309 GOC785244:GOD785309 GEG785244:GEH785309 FUK785244:FUL785309 FKO785244:FKP785309 FAS785244:FAT785309 EQW785244:EQX785309 EHA785244:EHB785309 DXE785244:DXF785309 DNI785244:DNJ785309 DDM785244:DDN785309 CTQ785244:CTR785309 CJU785244:CJV785309 BZY785244:BZZ785309 BQC785244:BQD785309 BGG785244:BGH785309 AWK785244:AWL785309 AMO785244:AMP785309 ACS785244:ACT785309 SW785244:SX785309 JA785244:JB785309 E785244:F785309 WVM719708:WVN719773 WLQ719708:WLR719773 WBU719708:WBV719773 VRY719708:VRZ719773 VIC719708:VID719773 UYG719708:UYH719773 UOK719708:UOL719773 UEO719708:UEP719773 TUS719708:TUT719773 TKW719708:TKX719773 TBA719708:TBB719773 SRE719708:SRF719773 SHI719708:SHJ719773 RXM719708:RXN719773 RNQ719708:RNR719773 RDU719708:RDV719773 QTY719708:QTZ719773 QKC719708:QKD719773 QAG719708:QAH719773 PQK719708:PQL719773 PGO719708:PGP719773 OWS719708:OWT719773 OMW719708:OMX719773 ODA719708:ODB719773 NTE719708:NTF719773 NJI719708:NJJ719773 MZM719708:MZN719773 MPQ719708:MPR719773 MFU719708:MFV719773 LVY719708:LVZ719773 LMC719708:LMD719773 LCG719708:LCH719773 KSK719708:KSL719773 KIO719708:KIP719773 JYS719708:JYT719773 JOW719708:JOX719773 JFA719708:JFB719773 IVE719708:IVF719773 ILI719708:ILJ719773 IBM719708:IBN719773 HRQ719708:HRR719773 HHU719708:HHV719773 GXY719708:GXZ719773 GOC719708:GOD719773 GEG719708:GEH719773 FUK719708:FUL719773 FKO719708:FKP719773 FAS719708:FAT719773 EQW719708:EQX719773 EHA719708:EHB719773 DXE719708:DXF719773 DNI719708:DNJ719773 DDM719708:DDN719773 CTQ719708:CTR719773 CJU719708:CJV719773 BZY719708:BZZ719773 BQC719708:BQD719773 BGG719708:BGH719773 AWK719708:AWL719773 AMO719708:AMP719773 ACS719708:ACT719773 SW719708:SX719773 JA719708:JB719773 E719708:F719773 WVM654172:WVN654237 WLQ654172:WLR654237 WBU654172:WBV654237 VRY654172:VRZ654237 VIC654172:VID654237 UYG654172:UYH654237 UOK654172:UOL654237 UEO654172:UEP654237 TUS654172:TUT654237 TKW654172:TKX654237 TBA654172:TBB654237 SRE654172:SRF654237 SHI654172:SHJ654237 RXM654172:RXN654237 RNQ654172:RNR654237 RDU654172:RDV654237 QTY654172:QTZ654237 QKC654172:QKD654237 QAG654172:QAH654237 PQK654172:PQL654237 PGO654172:PGP654237 OWS654172:OWT654237 OMW654172:OMX654237 ODA654172:ODB654237 NTE654172:NTF654237 NJI654172:NJJ654237 MZM654172:MZN654237 MPQ654172:MPR654237 MFU654172:MFV654237 LVY654172:LVZ654237 LMC654172:LMD654237 LCG654172:LCH654237 KSK654172:KSL654237 KIO654172:KIP654237 JYS654172:JYT654237 JOW654172:JOX654237 JFA654172:JFB654237 IVE654172:IVF654237 ILI654172:ILJ654237 IBM654172:IBN654237 HRQ654172:HRR654237 HHU654172:HHV654237 GXY654172:GXZ654237 GOC654172:GOD654237 GEG654172:GEH654237 FUK654172:FUL654237 FKO654172:FKP654237 FAS654172:FAT654237 EQW654172:EQX654237 EHA654172:EHB654237 DXE654172:DXF654237 DNI654172:DNJ654237 DDM654172:DDN654237 CTQ654172:CTR654237 CJU654172:CJV654237 BZY654172:BZZ654237 BQC654172:BQD654237 BGG654172:BGH654237 AWK654172:AWL654237 AMO654172:AMP654237 ACS654172:ACT654237 SW654172:SX654237 JA654172:JB654237 E654172:F654237 WVM588636:WVN588701 WLQ588636:WLR588701 WBU588636:WBV588701 VRY588636:VRZ588701 VIC588636:VID588701 UYG588636:UYH588701 UOK588636:UOL588701 UEO588636:UEP588701 TUS588636:TUT588701 TKW588636:TKX588701 TBA588636:TBB588701 SRE588636:SRF588701 SHI588636:SHJ588701 RXM588636:RXN588701 RNQ588636:RNR588701 RDU588636:RDV588701 QTY588636:QTZ588701 QKC588636:QKD588701 QAG588636:QAH588701 PQK588636:PQL588701 PGO588636:PGP588701 OWS588636:OWT588701 OMW588636:OMX588701 ODA588636:ODB588701 NTE588636:NTF588701 NJI588636:NJJ588701 MZM588636:MZN588701 MPQ588636:MPR588701 MFU588636:MFV588701 LVY588636:LVZ588701 LMC588636:LMD588701 LCG588636:LCH588701 KSK588636:KSL588701 KIO588636:KIP588701 JYS588636:JYT588701 JOW588636:JOX588701 JFA588636:JFB588701 IVE588636:IVF588701 ILI588636:ILJ588701 IBM588636:IBN588701 HRQ588636:HRR588701 HHU588636:HHV588701 GXY588636:GXZ588701 GOC588636:GOD588701 GEG588636:GEH588701 FUK588636:FUL588701 FKO588636:FKP588701 FAS588636:FAT588701 EQW588636:EQX588701 EHA588636:EHB588701 DXE588636:DXF588701 DNI588636:DNJ588701 DDM588636:DDN588701 CTQ588636:CTR588701 CJU588636:CJV588701 BZY588636:BZZ588701 BQC588636:BQD588701 BGG588636:BGH588701 AWK588636:AWL588701 AMO588636:AMP588701 ACS588636:ACT588701 SW588636:SX588701 JA588636:JB588701 E588636:F588701 WVM523100:WVN523165 WLQ523100:WLR523165 WBU523100:WBV523165 VRY523100:VRZ523165 VIC523100:VID523165 UYG523100:UYH523165 UOK523100:UOL523165 UEO523100:UEP523165 TUS523100:TUT523165 TKW523100:TKX523165 TBA523100:TBB523165 SRE523100:SRF523165 SHI523100:SHJ523165 RXM523100:RXN523165 RNQ523100:RNR523165 RDU523100:RDV523165 QTY523100:QTZ523165 QKC523100:QKD523165 QAG523100:QAH523165 PQK523100:PQL523165 PGO523100:PGP523165 OWS523100:OWT523165 OMW523100:OMX523165 ODA523100:ODB523165 NTE523100:NTF523165 NJI523100:NJJ523165 MZM523100:MZN523165 MPQ523100:MPR523165 MFU523100:MFV523165 LVY523100:LVZ523165 LMC523100:LMD523165 LCG523100:LCH523165 KSK523100:KSL523165 KIO523100:KIP523165 JYS523100:JYT523165 JOW523100:JOX523165 JFA523100:JFB523165 IVE523100:IVF523165 ILI523100:ILJ523165 IBM523100:IBN523165 HRQ523100:HRR523165 HHU523100:HHV523165 GXY523100:GXZ523165 GOC523100:GOD523165 GEG523100:GEH523165 FUK523100:FUL523165 FKO523100:FKP523165 FAS523100:FAT523165 EQW523100:EQX523165 EHA523100:EHB523165 DXE523100:DXF523165 DNI523100:DNJ523165 DDM523100:DDN523165 CTQ523100:CTR523165 CJU523100:CJV523165 BZY523100:BZZ523165 BQC523100:BQD523165 BGG523100:BGH523165 AWK523100:AWL523165 AMO523100:AMP523165 ACS523100:ACT523165 SW523100:SX523165 JA523100:JB523165 E523100:F523165 WVM457564:WVN457629 WLQ457564:WLR457629 WBU457564:WBV457629 VRY457564:VRZ457629 VIC457564:VID457629 UYG457564:UYH457629 UOK457564:UOL457629 UEO457564:UEP457629 TUS457564:TUT457629 TKW457564:TKX457629 TBA457564:TBB457629 SRE457564:SRF457629 SHI457564:SHJ457629 RXM457564:RXN457629 RNQ457564:RNR457629 RDU457564:RDV457629 QTY457564:QTZ457629 QKC457564:QKD457629 QAG457564:QAH457629 PQK457564:PQL457629 PGO457564:PGP457629 OWS457564:OWT457629 OMW457564:OMX457629 ODA457564:ODB457629 NTE457564:NTF457629 NJI457564:NJJ457629 MZM457564:MZN457629 MPQ457564:MPR457629 MFU457564:MFV457629 LVY457564:LVZ457629 LMC457564:LMD457629 LCG457564:LCH457629 KSK457564:KSL457629 KIO457564:KIP457629 JYS457564:JYT457629 JOW457564:JOX457629 JFA457564:JFB457629 IVE457564:IVF457629 ILI457564:ILJ457629 IBM457564:IBN457629 HRQ457564:HRR457629 HHU457564:HHV457629 GXY457564:GXZ457629 GOC457564:GOD457629 GEG457564:GEH457629 FUK457564:FUL457629 FKO457564:FKP457629 FAS457564:FAT457629 EQW457564:EQX457629 EHA457564:EHB457629 DXE457564:DXF457629 DNI457564:DNJ457629 DDM457564:DDN457629 CTQ457564:CTR457629 CJU457564:CJV457629 BZY457564:BZZ457629 BQC457564:BQD457629 BGG457564:BGH457629 AWK457564:AWL457629 AMO457564:AMP457629 ACS457564:ACT457629 SW457564:SX457629 JA457564:JB457629 E457564:F457629 WVM392028:WVN392093 WLQ392028:WLR392093 WBU392028:WBV392093 VRY392028:VRZ392093 VIC392028:VID392093 UYG392028:UYH392093 UOK392028:UOL392093 UEO392028:UEP392093 TUS392028:TUT392093 TKW392028:TKX392093 TBA392028:TBB392093 SRE392028:SRF392093 SHI392028:SHJ392093 RXM392028:RXN392093 RNQ392028:RNR392093 RDU392028:RDV392093 QTY392028:QTZ392093 QKC392028:QKD392093 QAG392028:QAH392093 PQK392028:PQL392093 PGO392028:PGP392093 OWS392028:OWT392093 OMW392028:OMX392093 ODA392028:ODB392093 NTE392028:NTF392093 NJI392028:NJJ392093 MZM392028:MZN392093 MPQ392028:MPR392093 MFU392028:MFV392093 LVY392028:LVZ392093 LMC392028:LMD392093 LCG392028:LCH392093 KSK392028:KSL392093 KIO392028:KIP392093 JYS392028:JYT392093 JOW392028:JOX392093 JFA392028:JFB392093 IVE392028:IVF392093 ILI392028:ILJ392093 IBM392028:IBN392093 HRQ392028:HRR392093 HHU392028:HHV392093 GXY392028:GXZ392093 GOC392028:GOD392093 GEG392028:GEH392093 FUK392028:FUL392093 FKO392028:FKP392093 FAS392028:FAT392093 EQW392028:EQX392093 EHA392028:EHB392093 DXE392028:DXF392093 DNI392028:DNJ392093 DDM392028:DDN392093 CTQ392028:CTR392093 CJU392028:CJV392093 BZY392028:BZZ392093 BQC392028:BQD392093 BGG392028:BGH392093 AWK392028:AWL392093 AMO392028:AMP392093 ACS392028:ACT392093 SW392028:SX392093 JA392028:JB392093 E392028:F392093 WVM326492:WVN326557 WLQ326492:WLR326557 WBU326492:WBV326557 VRY326492:VRZ326557 VIC326492:VID326557 UYG326492:UYH326557 UOK326492:UOL326557 UEO326492:UEP326557 TUS326492:TUT326557 TKW326492:TKX326557 TBA326492:TBB326557 SRE326492:SRF326557 SHI326492:SHJ326557 RXM326492:RXN326557 RNQ326492:RNR326557 RDU326492:RDV326557 QTY326492:QTZ326557 QKC326492:QKD326557 QAG326492:QAH326557 PQK326492:PQL326557 PGO326492:PGP326557 OWS326492:OWT326557 OMW326492:OMX326557 ODA326492:ODB326557 NTE326492:NTF326557 NJI326492:NJJ326557 MZM326492:MZN326557 MPQ326492:MPR326557 MFU326492:MFV326557 LVY326492:LVZ326557 LMC326492:LMD326557 LCG326492:LCH326557 KSK326492:KSL326557 KIO326492:KIP326557 JYS326492:JYT326557 JOW326492:JOX326557 JFA326492:JFB326557 IVE326492:IVF326557 ILI326492:ILJ326557 IBM326492:IBN326557 HRQ326492:HRR326557 HHU326492:HHV326557 GXY326492:GXZ326557 GOC326492:GOD326557 GEG326492:GEH326557 FUK326492:FUL326557 FKO326492:FKP326557 FAS326492:FAT326557 EQW326492:EQX326557 EHA326492:EHB326557 DXE326492:DXF326557 DNI326492:DNJ326557 DDM326492:DDN326557 CTQ326492:CTR326557 CJU326492:CJV326557 BZY326492:BZZ326557 BQC326492:BQD326557 BGG326492:BGH326557 AWK326492:AWL326557 AMO326492:AMP326557 ACS326492:ACT326557 SW326492:SX326557 JA326492:JB326557 E326492:F326557 WVM260956:WVN261021 WLQ260956:WLR261021 WBU260956:WBV261021 VRY260956:VRZ261021 VIC260956:VID261021 UYG260956:UYH261021 UOK260956:UOL261021 UEO260956:UEP261021 TUS260956:TUT261021 TKW260956:TKX261021 TBA260956:TBB261021 SRE260956:SRF261021 SHI260956:SHJ261021 RXM260956:RXN261021 RNQ260956:RNR261021 RDU260956:RDV261021 QTY260956:QTZ261021 QKC260956:QKD261021 QAG260956:QAH261021 PQK260956:PQL261021 PGO260956:PGP261021 OWS260956:OWT261021 OMW260956:OMX261021 ODA260956:ODB261021 NTE260956:NTF261021 NJI260956:NJJ261021 MZM260956:MZN261021 MPQ260956:MPR261021 MFU260956:MFV261021 LVY260956:LVZ261021 LMC260956:LMD261021 LCG260956:LCH261021 KSK260956:KSL261021 KIO260956:KIP261021 JYS260956:JYT261021 JOW260956:JOX261021 JFA260956:JFB261021 IVE260956:IVF261021 ILI260956:ILJ261021 IBM260956:IBN261021 HRQ260956:HRR261021 HHU260956:HHV261021 GXY260956:GXZ261021 GOC260956:GOD261021 GEG260956:GEH261021 FUK260956:FUL261021 FKO260956:FKP261021 FAS260956:FAT261021 EQW260956:EQX261021 EHA260956:EHB261021 DXE260956:DXF261021 DNI260956:DNJ261021 DDM260956:DDN261021 CTQ260956:CTR261021 CJU260956:CJV261021 BZY260956:BZZ261021 BQC260956:BQD261021 BGG260956:BGH261021 AWK260956:AWL261021 AMO260956:AMP261021 ACS260956:ACT261021 SW260956:SX261021 JA260956:JB261021 E260956:F261021 WVM195420:WVN195485 WLQ195420:WLR195485 WBU195420:WBV195485 VRY195420:VRZ195485 VIC195420:VID195485 UYG195420:UYH195485 UOK195420:UOL195485 UEO195420:UEP195485 TUS195420:TUT195485 TKW195420:TKX195485 TBA195420:TBB195485 SRE195420:SRF195485 SHI195420:SHJ195485 RXM195420:RXN195485 RNQ195420:RNR195485 RDU195420:RDV195485 QTY195420:QTZ195485 QKC195420:QKD195485 QAG195420:QAH195485 PQK195420:PQL195485 PGO195420:PGP195485 OWS195420:OWT195485 OMW195420:OMX195485 ODA195420:ODB195485 NTE195420:NTF195485 NJI195420:NJJ195485 MZM195420:MZN195485 MPQ195420:MPR195485 MFU195420:MFV195485 LVY195420:LVZ195485 LMC195420:LMD195485 LCG195420:LCH195485 KSK195420:KSL195485 KIO195420:KIP195485 JYS195420:JYT195485 JOW195420:JOX195485 JFA195420:JFB195485 IVE195420:IVF195485 ILI195420:ILJ195485 IBM195420:IBN195485 HRQ195420:HRR195485 HHU195420:HHV195485 GXY195420:GXZ195485 GOC195420:GOD195485 GEG195420:GEH195485 FUK195420:FUL195485 FKO195420:FKP195485 FAS195420:FAT195485 EQW195420:EQX195485 EHA195420:EHB195485 DXE195420:DXF195485 DNI195420:DNJ195485 DDM195420:DDN195485 CTQ195420:CTR195485 CJU195420:CJV195485 BZY195420:BZZ195485 BQC195420:BQD195485 BGG195420:BGH195485 AWK195420:AWL195485 AMO195420:AMP195485 ACS195420:ACT195485 SW195420:SX195485 JA195420:JB195485 E195420:F195485 WVM129884:WVN129949 WLQ129884:WLR129949 WBU129884:WBV129949 VRY129884:VRZ129949 VIC129884:VID129949 UYG129884:UYH129949 UOK129884:UOL129949 UEO129884:UEP129949 TUS129884:TUT129949 TKW129884:TKX129949 TBA129884:TBB129949 SRE129884:SRF129949 SHI129884:SHJ129949 RXM129884:RXN129949 RNQ129884:RNR129949 RDU129884:RDV129949 QTY129884:QTZ129949 QKC129884:QKD129949 QAG129884:QAH129949 PQK129884:PQL129949 PGO129884:PGP129949 OWS129884:OWT129949 OMW129884:OMX129949 ODA129884:ODB129949 NTE129884:NTF129949 NJI129884:NJJ129949 MZM129884:MZN129949 MPQ129884:MPR129949 MFU129884:MFV129949 LVY129884:LVZ129949 LMC129884:LMD129949 LCG129884:LCH129949 KSK129884:KSL129949 KIO129884:KIP129949 JYS129884:JYT129949 JOW129884:JOX129949 JFA129884:JFB129949 IVE129884:IVF129949 ILI129884:ILJ129949 IBM129884:IBN129949 HRQ129884:HRR129949 HHU129884:HHV129949 GXY129884:GXZ129949 GOC129884:GOD129949 GEG129884:GEH129949 FUK129884:FUL129949 FKO129884:FKP129949 FAS129884:FAT129949 EQW129884:EQX129949 EHA129884:EHB129949 DXE129884:DXF129949 DNI129884:DNJ129949 DDM129884:DDN129949 CTQ129884:CTR129949 CJU129884:CJV129949 BZY129884:BZZ129949 BQC129884:BQD129949 BGG129884:BGH129949 AWK129884:AWL129949 AMO129884:AMP129949 ACS129884:ACT129949 SW129884:SX129949 JA129884:JB129949 E129884:F129949 WVM64348:WVN64413 WLQ64348:WLR64413 WBU64348:WBV64413 VRY64348:VRZ64413 VIC64348:VID64413 UYG64348:UYH64413 UOK64348:UOL64413 UEO64348:UEP64413 TUS64348:TUT64413 TKW64348:TKX64413 TBA64348:TBB64413 SRE64348:SRF64413 SHI64348:SHJ64413 RXM64348:RXN64413 RNQ64348:RNR64413 RDU64348:RDV64413 QTY64348:QTZ64413 QKC64348:QKD64413 QAG64348:QAH64413 PQK64348:PQL64413 PGO64348:PGP64413 OWS64348:OWT64413 OMW64348:OMX64413 ODA64348:ODB64413 NTE64348:NTF64413 NJI64348:NJJ64413 MZM64348:MZN64413 MPQ64348:MPR64413 MFU64348:MFV64413 LVY64348:LVZ64413 LMC64348:LMD64413 LCG64348:LCH64413 KSK64348:KSL64413 KIO64348:KIP64413 JYS64348:JYT64413 JOW64348:JOX64413 JFA64348:JFB64413 IVE64348:IVF64413 ILI64348:ILJ64413 IBM64348:IBN64413 HRQ64348:HRR64413 HHU64348:HHV64413 GXY64348:GXZ64413 GOC64348:GOD64413 GEG64348:GEH64413 FUK64348:FUL64413 FKO64348:FKP64413 FAS64348:FAT64413 EQW64348:EQX64413 EHA64348:EHB64413 DXE64348:DXF64413 DNI64348:DNJ64413 DDM64348:DDN64413 CTQ64348:CTR64413 CJU64348:CJV64413 BZY64348:BZZ64413 BQC64348:BQD64413 BGG64348:BGH64413 AWK64348:AWL64413 AMO64348:AMP64413 ACS64348:ACT64413 SW64348:SX64413 WVM2:WVN72 JA2:JB72 SW2:SX72 ACS2:ACT72 AMO2:AMP72 AWK2:AWL72 BGG2:BGH72 BQC2:BQD72 BZY2:BZZ72 CJU2:CJV72 CTQ2:CTR72 DDM2:DDN72 DNI2:DNJ72 DXE2:DXF72 EHA2:EHB72 EQW2:EQX72 FAS2:FAT72 FKO2:FKP72 FUK2:FUL72 GEG2:GEH72 GOC2:GOD72 GXY2:GXZ72 HHU2:HHV72 HRQ2:HRR72 IBM2:IBN72 ILI2:ILJ72 IVE2:IVF72 JFA2:JFB72 JOW2:JOX72 JYS2:JYT72 KIO2:KIP72 KSK2:KSL72 LCG2:LCH72 LMC2:LMD72 LVY2:LVZ72 MFU2:MFV72 MPQ2:MPR72 MZM2:MZN72 NJI2:NJJ72 NTE2:NTF72 ODA2:ODB72 OMW2:OMX72 OWS2:OWT72 PGO2:PGP72 PQK2:PQL72 QAG2:QAH72 QKC2:QKD72 QTY2:QTZ72 RDU2:RDV72 RNQ2:RNR72 RXM2:RXN72 SHI2:SHJ72 SRE2:SRF72 TBA2:TBB72 TKW2:TKX72 TUS2:TUT72 UEO2:UEP72 UOK2:UOL72 UYG2:UYH72 VIC2:VID72 VRY2:VRZ72 WBU2:WBV72 WLQ2:WLR72" xr:uid="{C43D0199-B963-437F-BB8E-C7AB092B31D4}">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726B4-9C39-4ABC-BA9C-0A3D311D7855}">
  <dimension ref="A1:BA443"/>
  <sheetViews>
    <sheetView topLeftCell="A16" zoomScale="70" zoomScaleNormal="70" zoomScaleSheetLayoutView="100" workbookViewId="0">
      <selection activeCell="E63" sqref="E63"/>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10.5" style="53" bestFit="1" customWidth="1"/>
    <col min="22" max="22" width="9" style="16"/>
    <col min="23" max="32" width="9" style="53"/>
    <col min="33" max="33" width="16.875" style="53" bestFit="1" customWidth="1"/>
    <col min="34" max="34" width="15.625" style="53" customWidth="1"/>
    <col min="35" max="39" width="9" style="127"/>
    <col min="40" max="16384" width="9" style="53"/>
  </cols>
  <sheetData>
    <row r="1" spans="1:53" ht="45" x14ac:dyDescent="0.15">
      <c r="A1" s="44" t="s">
        <v>0</v>
      </c>
      <c r="B1" s="55" t="s">
        <v>1</v>
      </c>
      <c r="C1" s="55" t="s">
        <v>2</v>
      </c>
      <c r="D1" s="56" t="s">
        <v>3</v>
      </c>
      <c r="E1" s="45" t="s">
        <v>4</v>
      </c>
      <c r="F1" s="45" t="s">
        <v>5</v>
      </c>
      <c r="G1" s="45" t="s">
        <v>6</v>
      </c>
      <c r="H1" s="45" t="s">
        <v>7</v>
      </c>
      <c r="I1" s="45" t="s">
        <v>8</v>
      </c>
      <c r="J1" s="45" t="s">
        <v>9</v>
      </c>
      <c r="K1" s="142"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43"/>
      <c r="AJ1" s="144" t="s">
        <v>6</v>
      </c>
      <c r="AK1" s="143"/>
      <c r="AL1" s="145" t="s">
        <v>7</v>
      </c>
      <c r="AM1" s="143"/>
      <c r="AN1" s="10" t="s">
        <v>8</v>
      </c>
      <c r="AO1" s="61"/>
      <c r="AP1" s="10" t="s">
        <v>27</v>
      </c>
      <c r="AQ1" s="61"/>
      <c r="AR1" s="10" t="s">
        <v>10</v>
      </c>
      <c r="AS1" s="61"/>
      <c r="AT1" s="11" t="s">
        <v>28</v>
      </c>
      <c r="AU1" s="61"/>
      <c r="AV1" s="10" t="s">
        <v>29</v>
      </c>
      <c r="AX1" s="12" t="s">
        <v>30</v>
      </c>
      <c r="AY1" s="13" t="s">
        <v>31</v>
      </c>
      <c r="AZ1" s="13" t="s">
        <v>32</v>
      </c>
      <c r="BA1" s="14" t="s">
        <v>33</v>
      </c>
    </row>
    <row r="2" spans="1:53" x14ac:dyDescent="0.15">
      <c r="A2" s="146" t="s">
        <v>34</v>
      </c>
      <c r="B2" s="146" t="s">
        <v>232</v>
      </c>
      <c r="C2" s="146">
        <v>2019</v>
      </c>
      <c r="D2" s="147" t="s">
        <v>356</v>
      </c>
      <c r="E2" s="146" t="s">
        <v>357</v>
      </c>
      <c r="F2" s="146" t="s">
        <v>358</v>
      </c>
      <c r="G2" s="148" t="s">
        <v>36</v>
      </c>
      <c r="H2" s="149" t="s">
        <v>164</v>
      </c>
      <c r="I2" s="127" t="s">
        <v>159</v>
      </c>
      <c r="J2" s="150" t="s">
        <v>38</v>
      </c>
      <c r="K2" s="127" t="s">
        <v>161</v>
      </c>
      <c r="L2" s="151">
        <v>1</v>
      </c>
      <c r="M2" s="152"/>
      <c r="N2" s="152">
        <v>1</v>
      </c>
      <c r="O2" s="152">
        <v>0.9</v>
      </c>
      <c r="P2" s="152">
        <v>0.95</v>
      </c>
      <c r="Q2" s="153">
        <f t="shared" ref="Q2:Q65" si="0">IF(OR(O2="",P2=""),"",AVERAGE(O2,P2))</f>
        <v>0.92500000000000004</v>
      </c>
      <c r="R2" s="154">
        <v>14.6</v>
      </c>
      <c r="S2" s="149">
        <v>120</v>
      </c>
      <c r="T2" s="155">
        <f t="shared" ref="T2:T65" si="1">IF(H2="","",IF(OR(H2="GREEN",H2="GK"),IF(S2&gt;=$AX$2,VLOOKUP(S2,$AX$2:$AY$7,2,1),""),IF(S2&gt;=$AZ$2,VLOOKUP(S2,$AZ$2:$BA$7,2,1),"")))</f>
        <v>30</v>
      </c>
      <c r="U2" s="127">
        <v>138</v>
      </c>
      <c r="V2" s="155">
        <f t="shared" ref="V2:V65" si="2">IF(OR(N2="",U2="",T2=""),"",U2/N2*T2)</f>
        <v>4140</v>
      </c>
      <c r="W2" s="156">
        <v>8</v>
      </c>
      <c r="X2" s="157" t="s">
        <v>46</v>
      </c>
      <c r="Y2" s="157" t="s">
        <v>78</v>
      </c>
      <c r="Z2" s="157" t="s">
        <v>90</v>
      </c>
      <c r="AA2" s="157" t="s">
        <v>88</v>
      </c>
      <c r="AB2" s="53" t="s">
        <v>258</v>
      </c>
      <c r="AE2" s="64" t="s">
        <v>35</v>
      </c>
      <c r="AG2" s="67" t="s">
        <v>357</v>
      </c>
      <c r="AH2" s="67" t="s">
        <v>358</v>
      </c>
      <c r="AJ2" s="130" t="s">
        <v>36</v>
      </c>
      <c r="AL2" s="67" t="s">
        <v>127</v>
      </c>
      <c r="AN2" s="67" t="s">
        <v>37</v>
      </c>
      <c r="AP2" s="67" t="s">
        <v>38</v>
      </c>
      <c r="AR2" s="67" t="s">
        <v>120</v>
      </c>
      <c r="AT2" s="67" t="s">
        <v>39</v>
      </c>
      <c r="AV2" s="67" t="s">
        <v>40</v>
      </c>
      <c r="AX2" s="68">
        <v>1</v>
      </c>
      <c r="AY2" s="69">
        <v>50</v>
      </c>
      <c r="AZ2" s="69">
        <v>1</v>
      </c>
      <c r="BA2" s="70">
        <v>50</v>
      </c>
    </row>
    <row r="3" spans="1:53" x14ac:dyDescent="0.15">
      <c r="A3" s="158" t="s">
        <v>34</v>
      </c>
      <c r="B3" s="158" t="s">
        <v>157</v>
      </c>
      <c r="C3" s="159">
        <v>2019</v>
      </c>
      <c r="D3" s="160" t="s">
        <v>359</v>
      </c>
      <c r="E3" s="158" t="s">
        <v>357</v>
      </c>
      <c r="F3" s="158" t="s">
        <v>358</v>
      </c>
      <c r="G3" s="161" t="s">
        <v>36</v>
      </c>
      <c r="H3" s="127" t="s">
        <v>164</v>
      </c>
      <c r="I3" s="127" t="s">
        <v>159</v>
      </c>
      <c r="J3" s="127" t="s">
        <v>38</v>
      </c>
      <c r="K3" s="127" t="s">
        <v>161</v>
      </c>
      <c r="L3" s="53">
        <v>2</v>
      </c>
      <c r="N3" s="53">
        <v>1</v>
      </c>
      <c r="O3" s="53">
        <v>1</v>
      </c>
      <c r="P3" s="34">
        <v>0.9</v>
      </c>
      <c r="Q3" s="162">
        <f t="shared" si="0"/>
        <v>0.95</v>
      </c>
      <c r="R3" s="163">
        <v>14.4</v>
      </c>
      <c r="S3" s="163">
        <v>121</v>
      </c>
      <c r="T3" s="16">
        <f t="shared" si="1"/>
        <v>30</v>
      </c>
      <c r="U3" s="164">
        <v>138</v>
      </c>
      <c r="V3" s="38">
        <f t="shared" si="2"/>
        <v>4140</v>
      </c>
      <c r="W3" s="165">
        <v>8</v>
      </c>
      <c r="X3" s="166" t="s">
        <v>46</v>
      </c>
      <c r="Y3" s="166" t="s">
        <v>78</v>
      </c>
      <c r="Z3" s="166" t="s">
        <v>90</v>
      </c>
      <c r="AA3" s="157" t="s">
        <v>88</v>
      </c>
      <c r="AB3" s="53" t="s">
        <v>158</v>
      </c>
      <c r="AE3" s="22" t="s">
        <v>41</v>
      </c>
      <c r="AG3" s="67" t="s">
        <v>360</v>
      </c>
      <c r="AH3" s="67" t="s">
        <v>361</v>
      </c>
      <c r="AJ3" s="167" t="s">
        <v>42</v>
      </c>
      <c r="AL3" s="23" t="s">
        <v>128</v>
      </c>
      <c r="AN3" s="23" t="s">
        <v>43</v>
      </c>
      <c r="AP3" s="23" t="s">
        <v>44</v>
      </c>
      <c r="AR3" s="23" t="s">
        <v>45</v>
      </c>
      <c r="AT3" s="23" t="s">
        <v>46</v>
      </c>
      <c r="AV3" s="23" t="s">
        <v>47</v>
      </c>
      <c r="AX3" s="24">
        <v>72</v>
      </c>
      <c r="AY3" s="25">
        <v>46</v>
      </c>
      <c r="AZ3" s="25">
        <v>71</v>
      </c>
      <c r="BA3" s="26">
        <v>42</v>
      </c>
    </row>
    <row r="4" spans="1:53" x14ac:dyDescent="0.15">
      <c r="A4" s="158" t="s">
        <v>34</v>
      </c>
      <c r="B4" s="158" t="s">
        <v>157</v>
      </c>
      <c r="C4" s="158">
        <v>2019</v>
      </c>
      <c r="D4" s="160" t="s">
        <v>359</v>
      </c>
      <c r="E4" s="158" t="s">
        <v>357</v>
      </c>
      <c r="F4" s="158" t="s">
        <v>358</v>
      </c>
      <c r="G4" s="161" t="s">
        <v>36</v>
      </c>
      <c r="H4" s="127" t="s">
        <v>164</v>
      </c>
      <c r="I4" s="127" t="s">
        <v>159</v>
      </c>
      <c r="J4" s="127" t="s">
        <v>38</v>
      </c>
      <c r="K4" s="127" t="s">
        <v>161</v>
      </c>
      <c r="L4" s="53">
        <v>3</v>
      </c>
      <c r="N4" s="53">
        <v>1</v>
      </c>
      <c r="O4" s="53">
        <v>0.85</v>
      </c>
      <c r="P4" s="34">
        <v>0.8</v>
      </c>
      <c r="Q4" s="75">
        <f t="shared" si="0"/>
        <v>0.82499999999999996</v>
      </c>
      <c r="R4" s="168">
        <v>14.9</v>
      </c>
      <c r="S4" s="168">
        <v>128</v>
      </c>
      <c r="T4" s="16">
        <f t="shared" si="1"/>
        <v>30</v>
      </c>
      <c r="U4" s="169">
        <v>138</v>
      </c>
      <c r="V4" s="38">
        <f t="shared" si="2"/>
        <v>4140</v>
      </c>
      <c r="W4" s="165">
        <v>8</v>
      </c>
      <c r="X4" s="166" t="s">
        <v>46</v>
      </c>
      <c r="Y4" s="166" t="s">
        <v>78</v>
      </c>
      <c r="Z4" s="166" t="s">
        <v>90</v>
      </c>
      <c r="AA4" s="157" t="s">
        <v>88</v>
      </c>
      <c r="AB4" s="53" t="s">
        <v>158</v>
      </c>
      <c r="AE4" s="22" t="s">
        <v>34</v>
      </c>
      <c r="AG4" s="67" t="s">
        <v>362</v>
      </c>
      <c r="AH4" s="67" t="s">
        <v>361</v>
      </c>
      <c r="AJ4" s="170" t="s">
        <v>48</v>
      </c>
      <c r="AL4" s="27" t="s">
        <v>129</v>
      </c>
      <c r="AN4" s="28" t="s">
        <v>49</v>
      </c>
      <c r="AP4" s="23" t="s">
        <v>93</v>
      </c>
      <c r="AR4" s="23" t="s">
        <v>121</v>
      </c>
      <c r="AT4" s="28"/>
      <c r="AV4" s="23" t="s">
        <v>50</v>
      </c>
      <c r="AX4" s="24">
        <v>75</v>
      </c>
      <c r="AY4" s="25">
        <v>42</v>
      </c>
      <c r="AZ4" s="25">
        <v>76</v>
      </c>
      <c r="BA4" s="26">
        <v>39</v>
      </c>
    </row>
    <row r="5" spans="1:53" x14ac:dyDescent="0.15">
      <c r="A5" s="158" t="s">
        <v>34</v>
      </c>
      <c r="B5" s="158" t="s">
        <v>157</v>
      </c>
      <c r="C5" s="159">
        <v>2019</v>
      </c>
      <c r="D5" s="160" t="s">
        <v>359</v>
      </c>
      <c r="E5" s="158" t="s">
        <v>357</v>
      </c>
      <c r="F5" s="158" t="s">
        <v>358</v>
      </c>
      <c r="G5" s="161" t="s">
        <v>36</v>
      </c>
      <c r="H5" s="127" t="s">
        <v>160</v>
      </c>
      <c r="I5" s="127" t="s">
        <v>159</v>
      </c>
      <c r="J5" s="127" t="s">
        <v>38</v>
      </c>
      <c r="K5" s="127" t="s">
        <v>161</v>
      </c>
      <c r="L5" s="53">
        <v>1</v>
      </c>
      <c r="N5" s="53">
        <v>1</v>
      </c>
      <c r="O5" s="53">
        <v>0.65</v>
      </c>
      <c r="P5" s="53">
        <v>0.6</v>
      </c>
      <c r="Q5" s="75">
        <f t="shared" si="0"/>
        <v>0.625</v>
      </c>
      <c r="R5" s="168">
        <v>16.100000000000001</v>
      </c>
      <c r="S5" s="168">
        <v>121</v>
      </c>
      <c r="T5" s="16">
        <f t="shared" si="1"/>
        <v>30</v>
      </c>
      <c r="U5" s="169">
        <v>138</v>
      </c>
      <c r="V5" s="38">
        <f t="shared" si="2"/>
        <v>4140</v>
      </c>
      <c r="W5" s="165">
        <v>8</v>
      </c>
      <c r="X5" s="166" t="s">
        <v>46</v>
      </c>
      <c r="Y5" s="166" t="s">
        <v>78</v>
      </c>
      <c r="Z5" s="166" t="s">
        <v>90</v>
      </c>
      <c r="AA5" s="157" t="s">
        <v>88</v>
      </c>
      <c r="AB5" s="53" t="s">
        <v>158</v>
      </c>
      <c r="AE5" s="22" t="s">
        <v>51</v>
      </c>
      <c r="AG5" s="67" t="s">
        <v>357</v>
      </c>
      <c r="AH5" s="67" t="s">
        <v>363</v>
      </c>
      <c r="AJ5" s="171"/>
      <c r="AL5" s="73" t="s">
        <v>66</v>
      </c>
      <c r="AN5" s="73" t="s">
        <v>52</v>
      </c>
      <c r="AP5" s="23" t="s">
        <v>119</v>
      </c>
      <c r="AR5" s="23" t="s">
        <v>54</v>
      </c>
      <c r="AV5" s="23" t="s">
        <v>55</v>
      </c>
      <c r="AX5" s="24">
        <v>84</v>
      </c>
      <c r="AY5" s="25">
        <v>39</v>
      </c>
      <c r="AZ5" s="25">
        <v>84</v>
      </c>
      <c r="BA5" s="26">
        <v>36</v>
      </c>
    </row>
    <row r="6" spans="1:53" x14ac:dyDescent="0.15">
      <c r="A6" s="158" t="s">
        <v>34</v>
      </c>
      <c r="B6" s="158" t="s">
        <v>157</v>
      </c>
      <c r="C6" s="158">
        <v>2019</v>
      </c>
      <c r="D6" s="160" t="s">
        <v>359</v>
      </c>
      <c r="E6" s="158" t="s">
        <v>357</v>
      </c>
      <c r="F6" s="158" t="s">
        <v>358</v>
      </c>
      <c r="G6" s="161" t="s">
        <v>36</v>
      </c>
      <c r="H6" s="127" t="s">
        <v>160</v>
      </c>
      <c r="I6" s="127" t="s">
        <v>159</v>
      </c>
      <c r="J6" s="127" t="s">
        <v>38</v>
      </c>
      <c r="K6" s="127" t="s">
        <v>161</v>
      </c>
      <c r="L6" s="53">
        <v>2</v>
      </c>
      <c r="N6" s="53">
        <v>1</v>
      </c>
      <c r="O6" s="53">
        <v>0.7</v>
      </c>
      <c r="P6" s="53">
        <v>0.8</v>
      </c>
      <c r="Q6" s="75">
        <f t="shared" si="0"/>
        <v>0.75</v>
      </c>
      <c r="R6" s="168">
        <v>15.7</v>
      </c>
      <c r="S6" s="168">
        <v>120</v>
      </c>
      <c r="T6" s="16">
        <f t="shared" si="1"/>
        <v>30</v>
      </c>
      <c r="U6" s="169">
        <v>138</v>
      </c>
      <c r="V6" s="38">
        <f t="shared" si="2"/>
        <v>4140</v>
      </c>
      <c r="W6" s="165">
        <v>8</v>
      </c>
      <c r="X6" s="166" t="s">
        <v>46</v>
      </c>
      <c r="Y6" s="166" t="s">
        <v>78</v>
      </c>
      <c r="Z6" s="166" t="s">
        <v>90</v>
      </c>
      <c r="AA6" s="157" t="s">
        <v>88</v>
      </c>
      <c r="AB6" s="53" t="s">
        <v>158</v>
      </c>
      <c r="AE6" s="22" t="s">
        <v>56</v>
      </c>
      <c r="AG6" s="67" t="s">
        <v>210</v>
      </c>
      <c r="AH6" s="67" t="s">
        <v>364</v>
      </c>
      <c r="AL6" s="73" t="s">
        <v>99</v>
      </c>
      <c r="AN6" s="73" t="s">
        <v>57</v>
      </c>
      <c r="AP6" s="23" t="s">
        <v>53</v>
      </c>
      <c r="AR6" s="23" t="s">
        <v>59</v>
      </c>
      <c r="AV6" s="23" t="s">
        <v>60</v>
      </c>
      <c r="AX6" s="24">
        <v>97</v>
      </c>
      <c r="AY6" s="25">
        <v>36</v>
      </c>
      <c r="AZ6" s="25">
        <v>99</v>
      </c>
      <c r="BA6" s="26">
        <v>33</v>
      </c>
    </row>
    <row r="7" spans="1:53" x14ac:dyDescent="0.15">
      <c r="A7" s="158" t="s">
        <v>34</v>
      </c>
      <c r="B7" s="158" t="s">
        <v>157</v>
      </c>
      <c r="C7" s="159">
        <v>2019</v>
      </c>
      <c r="D7" s="160" t="s">
        <v>359</v>
      </c>
      <c r="E7" s="158" t="s">
        <v>357</v>
      </c>
      <c r="F7" s="158" t="s">
        <v>358</v>
      </c>
      <c r="G7" s="161" t="s">
        <v>36</v>
      </c>
      <c r="H7" s="127" t="s">
        <v>160</v>
      </c>
      <c r="I7" s="127" t="s">
        <v>159</v>
      </c>
      <c r="J7" s="127" t="s">
        <v>38</v>
      </c>
      <c r="K7" s="127" t="s">
        <v>161</v>
      </c>
      <c r="L7" s="53">
        <v>3</v>
      </c>
      <c r="N7" s="53">
        <v>1</v>
      </c>
      <c r="O7" s="53">
        <v>0.55000000000000004</v>
      </c>
      <c r="P7" s="53">
        <v>0.6</v>
      </c>
      <c r="Q7" s="75">
        <f t="shared" si="0"/>
        <v>0.57499999999999996</v>
      </c>
      <c r="R7" s="168">
        <v>16.3</v>
      </c>
      <c r="S7" s="168">
        <v>124</v>
      </c>
      <c r="T7" s="16">
        <f t="shared" si="1"/>
        <v>30</v>
      </c>
      <c r="U7" s="169">
        <v>138</v>
      </c>
      <c r="V7" s="38">
        <f t="shared" si="2"/>
        <v>4140</v>
      </c>
      <c r="W7" s="165">
        <v>8</v>
      </c>
      <c r="X7" s="166" t="s">
        <v>46</v>
      </c>
      <c r="Y7" s="166" t="s">
        <v>78</v>
      </c>
      <c r="Z7" s="166" t="s">
        <v>90</v>
      </c>
      <c r="AA7" s="157" t="s">
        <v>88</v>
      </c>
      <c r="AB7" s="53" t="s">
        <v>158</v>
      </c>
      <c r="AE7" s="22" t="s">
        <v>61</v>
      </c>
      <c r="AG7" s="67" t="s">
        <v>365</v>
      </c>
      <c r="AH7" s="67" t="s">
        <v>364</v>
      </c>
      <c r="AL7" s="34" t="s">
        <v>109</v>
      </c>
      <c r="AP7" s="23" t="s">
        <v>58</v>
      </c>
      <c r="AR7" s="23" t="s">
        <v>122</v>
      </c>
      <c r="AV7" s="23" t="s">
        <v>64</v>
      </c>
      <c r="AX7" s="24">
        <v>109</v>
      </c>
      <c r="AY7" s="25">
        <v>33</v>
      </c>
      <c r="AZ7" s="25">
        <v>113</v>
      </c>
      <c r="BA7" s="26">
        <v>30</v>
      </c>
    </row>
    <row r="8" spans="1:53" x14ac:dyDescent="0.15">
      <c r="A8" s="158" t="s">
        <v>34</v>
      </c>
      <c r="B8" s="158" t="s">
        <v>157</v>
      </c>
      <c r="C8" s="158">
        <v>2019</v>
      </c>
      <c r="D8" s="160" t="s">
        <v>359</v>
      </c>
      <c r="E8" s="159" t="s">
        <v>360</v>
      </c>
      <c r="F8" s="158" t="s">
        <v>361</v>
      </c>
      <c r="G8" s="161" t="s">
        <v>36</v>
      </c>
      <c r="H8" s="127" t="s">
        <v>164</v>
      </c>
      <c r="I8" s="127" t="s">
        <v>159</v>
      </c>
      <c r="J8" s="127" t="s">
        <v>38</v>
      </c>
      <c r="K8" s="127" t="s">
        <v>161</v>
      </c>
      <c r="L8" s="53">
        <v>1</v>
      </c>
      <c r="N8" s="53">
        <v>1</v>
      </c>
      <c r="O8" s="53">
        <v>0.85</v>
      </c>
      <c r="P8" s="53">
        <v>0.9</v>
      </c>
      <c r="Q8" s="75">
        <f t="shared" si="0"/>
        <v>0.875</v>
      </c>
      <c r="R8" s="168">
        <v>15.5</v>
      </c>
      <c r="S8" s="168">
        <v>127</v>
      </c>
      <c r="T8" s="16">
        <f t="shared" si="1"/>
        <v>30</v>
      </c>
      <c r="U8" s="164">
        <v>98</v>
      </c>
      <c r="V8" s="38">
        <f t="shared" si="2"/>
        <v>2940</v>
      </c>
      <c r="W8" s="165">
        <v>6</v>
      </c>
      <c r="X8" s="166" t="s">
        <v>46</v>
      </c>
      <c r="Y8" s="172" t="s">
        <v>86</v>
      </c>
      <c r="Z8" s="166" t="s">
        <v>64</v>
      </c>
      <c r="AA8" s="157" t="s">
        <v>88</v>
      </c>
      <c r="AB8" s="53" t="s">
        <v>158</v>
      </c>
      <c r="AE8" s="22" t="s">
        <v>59</v>
      </c>
      <c r="AG8" s="67" t="s">
        <v>210</v>
      </c>
      <c r="AH8" s="67" t="s">
        <v>366</v>
      </c>
      <c r="AL8" s="34" t="s">
        <v>134</v>
      </c>
      <c r="AP8" s="23" t="s">
        <v>62</v>
      </c>
      <c r="AR8" s="23" t="s">
        <v>81</v>
      </c>
      <c r="AV8" s="23" t="s">
        <v>97</v>
      </c>
      <c r="AX8" s="24">
        <v>151</v>
      </c>
      <c r="AY8" s="25">
        <v>22</v>
      </c>
      <c r="AZ8" s="25">
        <v>152</v>
      </c>
      <c r="BA8" s="26">
        <v>18</v>
      </c>
    </row>
    <row r="9" spans="1:53" x14ac:dyDescent="0.15">
      <c r="A9" s="158" t="s">
        <v>34</v>
      </c>
      <c r="B9" s="158" t="s">
        <v>157</v>
      </c>
      <c r="C9" s="159">
        <v>2019</v>
      </c>
      <c r="D9" s="160" t="s">
        <v>359</v>
      </c>
      <c r="E9" s="159" t="s">
        <v>360</v>
      </c>
      <c r="F9" s="158" t="s">
        <v>361</v>
      </c>
      <c r="G9" s="161" t="s">
        <v>36</v>
      </c>
      <c r="H9" s="127" t="s">
        <v>164</v>
      </c>
      <c r="I9" s="127" t="s">
        <v>159</v>
      </c>
      <c r="J9" s="127" t="s">
        <v>38</v>
      </c>
      <c r="K9" s="127" t="s">
        <v>161</v>
      </c>
      <c r="L9" s="53">
        <v>2</v>
      </c>
      <c r="N9" s="53">
        <v>1</v>
      </c>
      <c r="O9" s="53">
        <v>0.7</v>
      </c>
      <c r="P9" s="53">
        <v>0.65</v>
      </c>
      <c r="Q9" s="75">
        <f t="shared" si="0"/>
        <v>0.67500000000000004</v>
      </c>
      <c r="R9" s="168">
        <v>15.8</v>
      </c>
      <c r="S9" s="168">
        <v>121</v>
      </c>
      <c r="T9" s="16">
        <f t="shared" si="1"/>
        <v>30</v>
      </c>
      <c r="U9" s="164">
        <v>98</v>
      </c>
      <c r="V9" s="38">
        <f t="shared" si="2"/>
        <v>2940</v>
      </c>
      <c r="W9" s="165">
        <v>6</v>
      </c>
      <c r="X9" s="166" t="s">
        <v>46</v>
      </c>
      <c r="Y9" s="172" t="s">
        <v>86</v>
      </c>
      <c r="Z9" s="166" t="s">
        <v>64</v>
      </c>
      <c r="AA9" s="157" t="s">
        <v>88</v>
      </c>
      <c r="AB9" s="53" t="s">
        <v>158</v>
      </c>
      <c r="AE9" s="22" t="s">
        <v>98</v>
      </c>
      <c r="AG9" s="67" t="s">
        <v>139</v>
      </c>
      <c r="AH9" s="67" t="s">
        <v>366</v>
      </c>
      <c r="AL9" s="73"/>
      <c r="AP9" s="23" t="s">
        <v>95</v>
      </c>
      <c r="AR9" s="23" t="s">
        <v>89</v>
      </c>
      <c r="AV9" s="23" t="s">
        <v>102</v>
      </c>
      <c r="AX9" s="31">
        <v>180</v>
      </c>
      <c r="AY9" s="32">
        <v>18</v>
      </c>
      <c r="AZ9" s="32">
        <v>181</v>
      </c>
      <c r="BA9" s="33">
        <v>16</v>
      </c>
    </row>
    <row r="10" spans="1:53" x14ac:dyDescent="0.15">
      <c r="A10" s="158" t="s">
        <v>34</v>
      </c>
      <c r="B10" s="158" t="s">
        <v>157</v>
      </c>
      <c r="C10" s="158">
        <v>2019</v>
      </c>
      <c r="D10" s="160" t="s">
        <v>359</v>
      </c>
      <c r="E10" s="159" t="s">
        <v>360</v>
      </c>
      <c r="F10" s="158" t="s">
        <v>361</v>
      </c>
      <c r="G10" s="161" t="s">
        <v>36</v>
      </c>
      <c r="H10" s="127" t="s">
        <v>164</v>
      </c>
      <c r="I10" s="127" t="s">
        <v>159</v>
      </c>
      <c r="J10" s="127" t="s">
        <v>38</v>
      </c>
      <c r="K10" s="127" t="s">
        <v>161</v>
      </c>
      <c r="L10" s="53">
        <v>3</v>
      </c>
      <c r="N10" s="53">
        <v>1</v>
      </c>
      <c r="O10" s="53">
        <v>0.7</v>
      </c>
      <c r="P10" s="53">
        <v>0.6</v>
      </c>
      <c r="Q10" s="75">
        <f t="shared" si="0"/>
        <v>0.64999999999999991</v>
      </c>
      <c r="R10" s="168">
        <v>15.3</v>
      </c>
      <c r="S10" s="168">
        <v>118</v>
      </c>
      <c r="T10" s="16">
        <f t="shared" si="1"/>
        <v>30</v>
      </c>
      <c r="U10" s="164">
        <v>98</v>
      </c>
      <c r="V10" s="38">
        <f t="shared" si="2"/>
        <v>2940</v>
      </c>
      <c r="W10" s="165">
        <v>6</v>
      </c>
      <c r="X10" s="166" t="s">
        <v>46</v>
      </c>
      <c r="Y10" s="172" t="s">
        <v>86</v>
      </c>
      <c r="Z10" s="166" t="s">
        <v>64</v>
      </c>
      <c r="AA10" s="157" t="s">
        <v>88</v>
      </c>
      <c r="AB10" s="53" t="s">
        <v>158</v>
      </c>
      <c r="AE10" s="22" t="s">
        <v>103</v>
      </c>
      <c r="AG10" s="67" t="s">
        <v>133</v>
      </c>
      <c r="AH10" s="67" t="s">
        <v>367</v>
      </c>
      <c r="AL10" s="34"/>
      <c r="AP10" s="23" t="s">
        <v>100</v>
      </c>
      <c r="AR10" s="23" t="s">
        <v>123</v>
      </c>
      <c r="AV10" s="23" t="s">
        <v>106</v>
      </c>
    </row>
    <row r="11" spans="1:53" x14ac:dyDescent="0.15">
      <c r="A11" s="158" t="s">
        <v>34</v>
      </c>
      <c r="B11" s="158" t="s">
        <v>157</v>
      </c>
      <c r="C11" s="159">
        <v>2019</v>
      </c>
      <c r="D11" s="160" t="s">
        <v>359</v>
      </c>
      <c r="E11" s="159" t="s">
        <v>360</v>
      </c>
      <c r="F11" s="158" t="s">
        <v>361</v>
      </c>
      <c r="G11" s="161" t="s">
        <v>36</v>
      </c>
      <c r="H11" s="127" t="s">
        <v>160</v>
      </c>
      <c r="I11" s="127" t="s">
        <v>159</v>
      </c>
      <c r="J11" s="127" t="s">
        <v>38</v>
      </c>
      <c r="K11" s="127" t="s">
        <v>161</v>
      </c>
      <c r="L11" s="53">
        <v>1</v>
      </c>
      <c r="N11" s="53">
        <v>1</v>
      </c>
      <c r="O11" s="53">
        <v>1.1499999999999999</v>
      </c>
      <c r="P11" s="53">
        <v>0.95</v>
      </c>
      <c r="Q11" s="75">
        <f t="shared" si="0"/>
        <v>1.0499999999999998</v>
      </c>
      <c r="R11" s="168">
        <v>17.399999999999999</v>
      </c>
      <c r="S11" s="168">
        <v>124</v>
      </c>
      <c r="T11" s="16">
        <f t="shared" si="1"/>
        <v>30</v>
      </c>
      <c r="U11" s="164">
        <v>98</v>
      </c>
      <c r="V11" s="38">
        <f t="shared" si="2"/>
        <v>2940</v>
      </c>
      <c r="W11" s="165">
        <v>6</v>
      </c>
      <c r="X11" s="166" t="s">
        <v>46</v>
      </c>
      <c r="Y11" s="172" t="s">
        <v>86</v>
      </c>
      <c r="Z11" s="166" t="s">
        <v>64</v>
      </c>
      <c r="AA11" s="172" t="s">
        <v>88</v>
      </c>
      <c r="AB11" s="53" t="s">
        <v>158</v>
      </c>
      <c r="AE11" s="22" t="s">
        <v>65</v>
      </c>
      <c r="AG11" s="23" t="s">
        <v>269</v>
      </c>
      <c r="AH11" s="23" t="s">
        <v>368</v>
      </c>
      <c r="AL11" s="34"/>
      <c r="AP11" s="23" t="s">
        <v>104</v>
      </c>
      <c r="AR11" s="23" t="s">
        <v>87</v>
      </c>
      <c r="AV11" s="23" t="s">
        <v>69</v>
      </c>
    </row>
    <row r="12" spans="1:53" x14ac:dyDescent="0.15">
      <c r="A12" s="158" t="s">
        <v>34</v>
      </c>
      <c r="B12" s="158" t="s">
        <v>157</v>
      </c>
      <c r="C12" s="158">
        <v>2019</v>
      </c>
      <c r="D12" s="160" t="s">
        <v>359</v>
      </c>
      <c r="E12" s="159" t="s">
        <v>360</v>
      </c>
      <c r="F12" s="158" t="s">
        <v>361</v>
      </c>
      <c r="G12" s="161" t="s">
        <v>36</v>
      </c>
      <c r="H12" s="127" t="s">
        <v>160</v>
      </c>
      <c r="I12" s="127" t="s">
        <v>159</v>
      </c>
      <c r="J12" s="127" t="s">
        <v>38</v>
      </c>
      <c r="K12" s="127" t="s">
        <v>161</v>
      </c>
      <c r="L12" s="53">
        <v>2</v>
      </c>
      <c r="N12" s="53">
        <v>1</v>
      </c>
      <c r="O12" s="53">
        <v>0.95</v>
      </c>
      <c r="P12" s="53">
        <v>0.9</v>
      </c>
      <c r="Q12" s="75">
        <f t="shared" si="0"/>
        <v>0.92500000000000004</v>
      </c>
      <c r="R12" s="168">
        <v>16.3</v>
      </c>
      <c r="S12" s="168">
        <v>126</v>
      </c>
      <c r="T12" s="16">
        <f t="shared" si="1"/>
        <v>30</v>
      </c>
      <c r="U12" s="164">
        <v>98</v>
      </c>
      <c r="V12" s="38">
        <f t="shared" si="2"/>
        <v>2940</v>
      </c>
      <c r="W12" s="165">
        <v>6</v>
      </c>
      <c r="X12" s="166" t="s">
        <v>46</v>
      </c>
      <c r="Y12" s="172" t="s">
        <v>86</v>
      </c>
      <c r="Z12" s="166" t="s">
        <v>64</v>
      </c>
      <c r="AA12" s="172" t="s">
        <v>88</v>
      </c>
      <c r="AB12" s="53" t="s">
        <v>158</v>
      </c>
      <c r="AE12" s="22" t="s">
        <v>70</v>
      </c>
      <c r="AG12" s="23"/>
      <c r="AH12" s="23"/>
      <c r="AL12" s="34"/>
      <c r="AP12" s="23" t="s">
        <v>67</v>
      </c>
      <c r="AR12" s="23" t="s">
        <v>124</v>
      </c>
      <c r="AV12" s="23" t="s">
        <v>72</v>
      </c>
    </row>
    <row r="13" spans="1:53" x14ac:dyDescent="0.15">
      <c r="A13" s="158" t="s">
        <v>34</v>
      </c>
      <c r="B13" s="158" t="s">
        <v>157</v>
      </c>
      <c r="C13" s="159">
        <v>2019</v>
      </c>
      <c r="D13" s="160" t="s">
        <v>359</v>
      </c>
      <c r="E13" s="159" t="s">
        <v>360</v>
      </c>
      <c r="F13" s="158" t="s">
        <v>361</v>
      </c>
      <c r="G13" s="161" t="s">
        <v>36</v>
      </c>
      <c r="H13" s="127" t="s">
        <v>160</v>
      </c>
      <c r="I13" s="127" t="s">
        <v>159</v>
      </c>
      <c r="J13" s="127" t="s">
        <v>38</v>
      </c>
      <c r="K13" s="127" t="s">
        <v>161</v>
      </c>
      <c r="L13" s="53">
        <v>3</v>
      </c>
      <c r="N13" s="53">
        <v>1</v>
      </c>
      <c r="O13" s="53">
        <v>0.95</v>
      </c>
      <c r="P13" s="53">
        <v>0.85</v>
      </c>
      <c r="Q13" s="75">
        <f t="shared" si="0"/>
        <v>0.89999999999999991</v>
      </c>
      <c r="R13" s="168">
        <v>16.399999999999999</v>
      </c>
      <c r="S13" s="168">
        <v>123</v>
      </c>
      <c r="T13" s="16">
        <f t="shared" si="1"/>
        <v>30</v>
      </c>
      <c r="U13" s="164">
        <v>98</v>
      </c>
      <c r="V13" s="38">
        <f t="shared" si="2"/>
        <v>2940</v>
      </c>
      <c r="W13" s="165">
        <v>6</v>
      </c>
      <c r="X13" s="166" t="s">
        <v>46</v>
      </c>
      <c r="Y13" s="172" t="s">
        <v>86</v>
      </c>
      <c r="Z13" s="166" t="s">
        <v>64</v>
      </c>
      <c r="AA13" s="172" t="s">
        <v>88</v>
      </c>
      <c r="AB13" s="53" t="s">
        <v>158</v>
      </c>
      <c r="AE13" s="22" t="s">
        <v>73</v>
      </c>
      <c r="AG13" s="28"/>
      <c r="AH13" s="28"/>
      <c r="AP13" s="23" t="s">
        <v>71</v>
      </c>
      <c r="AR13" s="23" t="s">
        <v>103</v>
      </c>
      <c r="AV13" s="23" t="s">
        <v>75</v>
      </c>
    </row>
    <row r="14" spans="1:53" x14ac:dyDescent="0.15">
      <c r="A14" s="158" t="s">
        <v>34</v>
      </c>
      <c r="B14" s="158" t="s">
        <v>157</v>
      </c>
      <c r="C14" s="158">
        <v>2019</v>
      </c>
      <c r="D14" s="160" t="s">
        <v>359</v>
      </c>
      <c r="E14" s="159" t="s">
        <v>362</v>
      </c>
      <c r="F14" s="158" t="s">
        <v>361</v>
      </c>
      <c r="G14" s="161" t="s">
        <v>36</v>
      </c>
      <c r="H14" s="127" t="s">
        <v>164</v>
      </c>
      <c r="I14" s="127" t="s">
        <v>159</v>
      </c>
      <c r="J14" s="127" t="s">
        <v>38</v>
      </c>
      <c r="K14" s="127" t="s">
        <v>161</v>
      </c>
      <c r="L14" s="53">
        <v>1</v>
      </c>
      <c r="N14" s="53">
        <v>1</v>
      </c>
      <c r="O14" s="53">
        <v>1.05</v>
      </c>
      <c r="P14" s="53">
        <v>0.9</v>
      </c>
      <c r="Q14" s="75">
        <f t="shared" si="0"/>
        <v>0.97500000000000009</v>
      </c>
      <c r="R14" s="168">
        <v>15.5</v>
      </c>
      <c r="S14" s="168">
        <v>131</v>
      </c>
      <c r="T14" s="16">
        <f t="shared" si="1"/>
        <v>30</v>
      </c>
      <c r="U14" s="164">
        <v>79</v>
      </c>
      <c r="V14" s="38">
        <f t="shared" si="2"/>
        <v>2370</v>
      </c>
      <c r="W14" s="165">
        <v>6</v>
      </c>
      <c r="X14" s="166" t="s">
        <v>46</v>
      </c>
      <c r="Y14" s="172" t="s">
        <v>97</v>
      </c>
      <c r="Z14" s="172" t="s">
        <v>86</v>
      </c>
      <c r="AA14" s="172" t="s">
        <v>78</v>
      </c>
      <c r="AB14" s="53" t="s">
        <v>158</v>
      </c>
      <c r="AC14" s="34"/>
      <c r="AE14" s="22" t="s">
        <v>76</v>
      </c>
      <c r="AP14" s="23" t="s">
        <v>74</v>
      </c>
      <c r="AR14" s="23" t="s">
        <v>125</v>
      </c>
      <c r="AV14" s="23" t="s">
        <v>78</v>
      </c>
    </row>
    <row r="15" spans="1:53" x14ac:dyDescent="0.15">
      <c r="A15" s="158" t="s">
        <v>34</v>
      </c>
      <c r="B15" s="158" t="s">
        <v>157</v>
      </c>
      <c r="C15" s="159">
        <v>2019</v>
      </c>
      <c r="D15" s="160" t="s">
        <v>359</v>
      </c>
      <c r="E15" s="159" t="s">
        <v>362</v>
      </c>
      <c r="F15" s="158" t="s">
        <v>361</v>
      </c>
      <c r="G15" s="161" t="s">
        <v>36</v>
      </c>
      <c r="H15" s="127" t="s">
        <v>164</v>
      </c>
      <c r="I15" s="127" t="s">
        <v>159</v>
      </c>
      <c r="J15" s="127" t="s">
        <v>38</v>
      </c>
      <c r="K15" s="127" t="s">
        <v>161</v>
      </c>
      <c r="L15" s="53">
        <v>2</v>
      </c>
      <c r="N15" s="53">
        <v>1</v>
      </c>
      <c r="O15" s="53">
        <v>0.95</v>
      </c>
      <c r="P15" s="53">
        <v>1</v>
      </c>
      <c r="Q15" s="75">
        <f t="shared" si="0"/>
        <v>0.97499999999999998</v>
      </c>
      <c r="R15" s="168">
        <v>15.7</v>
      </c>
      <c r="S15" s="168">
        <v>127</v>
      </c>
      <c r="T15" s="16">
        <f t="shared" si="1"/>
        <v>30</v>
      </c>
      <c r="U15" s="164">
        <v>79</v>
      </c>
      <c r="V15" s="38">
        <f t="shared" si="2"/>
        <v>2370</v>
      </c>
      <c r="W15" s="165">
        <v>6</v>
      </c>
      <c r="X15" s="166" t="s">
        <v>46</v>
      </c>
      <c r="Y15" s="172" t="s">
        <v>97</v>
      </c>
      <c r="Z15" s="172" t="s">
        <v>86</v>
      </c>
      <c r="AA15" s="172" t="s">
        <v>78</v>
      </c>
      <c r="AB15" s="53" t="s">
        <v>158</v>
      </c>
      <c r="AC15" s="34"/>
      <c r="AE15" s="22" t="s">
        <v>79</v>
      </c>
      <c r="AP15" s="23" t="s">
        <v>77</v>
      </c>
      <c r="AR15" s="23" t="s">
        <v>94</v>
      </c>
      <c r="AV15" s="23" t="s">
        <v>107</v>
      </c>
    </row>
    <row r="16" spans="1:53" x14ac:dyDescent="0.15">
      <c r="A16" s="158" t="s">
        <v>34</v>
      </c>
      <c r="B16" s="158" t="s">
        <v>157</v>
      </c>
      <c r="C16" s="158">
        <v>2019</v>
      </c>
      <c r="D16" s="160" t="s">
        <v>359</v>
      </c>
      <c r="E16" s="159" t="s">
        <v>362</v>
      </c>
      <c r="F16" s="158" t="s">
        <v>361</v>
      </c>
      <c r="G16" s="161" t="s">
        <v>36</v>
      </c>
      <c r="H16" s="127" t="s">
        <v>164</v>
      </c>
      <c r="I16" s="127" t="s">
        <v>159</v>
      </c>
      <c r="J16" s="127" t="s">
        <v>38</v>
      </c>
      <c r="K16" s="127" t="s">
        <v>161</v>
      </c>
      <c r="L16" s="53">
        <v>3</v>
      </c>
      <c r="N16" s="53">
        <v>1</v>
      </c>
      <c r="O16" s="53">
        <v>0.9</v>
      </c>
      <c r="P16" s="53">
        <v>0.9</v>
      </c>
      <c r="Q16" s="75">
        <f t="shared" si="0"/>
        <v>0.9</v>
      </c>
      <c r="R16" s="168">
        <v>16</v>
      </c>
      <c r="S16" s="168">
        <v>118</v>
      </c>
      <c r="T16" s="16">
        <f t="shared" si="1"/>
        <v>30</v>
      </c>
      <c r="U16" s="164">
        <v>79</v>
      </c>
      <c r="V16" s="38">
        <f t="shared" si="2"/>
        <v>2370</v>
      </c>
      <c r="W16" s="165">
        <v>6</v>
      </c>
      <c r="X16" s="166" t="s">
        <v>46</v>
      </c>
      <c r="Y16" s="172" t="s">
        <v>97</v>
      </c>
      <c r="Z16" s="172" t="s">
        <v>86</v>
      </c>
      <c r="AA16" s="172" t="s">
        <v>78</v>
      </c>
      <c r="AB16" s="53" t="s">
        <v>158</v>
      </c>
      <c r="AC16" s="34"/>
      <c r="AE16" s="22" t="s">
        <v>82</v>
      </c>
      <c r="AP16" s="23" t="s">
        <v>80</v>
      </c>
      <c r="AR16" s="23" t="s">
        <v>63</v>
      </c>
      <c r="AV16" s="23" t="s">
        <v>84</v>
      </c>
    </row>
    <row r="17" spans="1:48" x14ac:dyDescent="0.15">
      <c r="A17" s="158" t="s">
        <v>34</v>
      </c>
      <c r="B17" s="158" t="s">
        <v>157</v>
      </c>
      <c r="C17" s="159">
        <v>2019</v>
      </c>
      <c r="D17" s="160" t="s">
        <v>359</v>
      </c>
      <c r="E17" s="159" t="s">
        <v>362</v>
      </c>
      <c r="F17" s="158" t="s">
        <v>361</v>
      </c>
      <c r="G17" s="161" t="s">
        <v>36</v>
      </c>
      <c r="H17" s="127" t="s">
        <v>160</v>
      </c>
      <c r="I17" s="127" t="s">
        <v>159</v>
      </c>
      <c r="J17" s="127" t="s">
        <v>38</v>
      </c>
      <c r="K17" s="127" t="s">
        <v>161</v>
      </c>
      <c r="L17" s="53">
        <v>1</v>
      </c>
      <c r="N17" s="53">
        <v>1</v>
      </c>
      <c r="O17" s="53">
        <v>0.9</v>
      </c>
      <c r="P17" s="53">
        <v>0.85</v>
      </c>
      <c r="Q17" s="75">
        <f t="shared" si="0"/>
        <v>0.875</v>
      </c>
      <c r="R17" s="168">
        <v>15.5</v>
      </c>
      <c r="S17" s="168">
        <v>110</v>
      </c>
      <c r="T17" s="16">
        <f t="shared" si="1"/>
        <v>33</v>
      </c>
      <c r="U17" s="164">
        <v>98</v>
      </c>
      <c r="V17" s="38">
        <f t="shared" si="2"/>
        <v>3234</v>
      </c>
      <c r="W17" s="165">
        <v>6</v>
      </c>
      <c r="X17" s="166" t="s">
        <v>46</v>
      </c>
      <c r="Y17" s="172" t="s">
        <v>97</v>
      </c>
      <c r="Z17" s="172" t="s">
        <v>86</v>
      </c>
      <c r="AA17" s="172" t="s">
        <v>78</v>
      </c>
      <c r="AB17" s="53" t="s">
        <v>158</v>
      </c>
      <c r="AC17" s="34"/>
      <c r="AE17" s="22" t="s">
        <v>85</v>
      </c>
      <c r="AP17" s="27" t="s">
        <v>110</v>
      </c>
      <c r="AR17" s="23" t="s">
        <v>96</v>
      </c>
      <c r="AV17" s="23" t="s">
        <v>86</v>
      </c>
    </row>
    <row r="18" spans="1:48" x14ac:dyDescent="0.15">
      <c r="A18" s="158" t="s">
        <v>34</v>
      </c>
      <c r="B18" s="158" t="s">
        <v>157</v>
      </c>
      <c r="C18" s="158">
        <v>2019</v>
      </c>
      <c r="D18" s="160" t="s">
        <v>359</v>
      </c>
      <c r="E18" s="159" t="s">
        <v>362</v>
      </c>
      <c r="F18" s="158" t="s">
        <v>361</v>
      </c>
      <c r="G18" s="161" t="s">
        <v>36</v>
      </c>
      <c r="H18" s="127" t="s">
        <v>160</v>
      </c>
      <c r="I18" s="127" t="s">
        <v>159</v>
      </c>
      <c r="J18" s="127" t="s">
        <v>38</v>
      </c>
      <c r="K18" s="127" t="s">
        <v>161</v>
      </c>
      <c r="L18" s="53">
        <v>2</v>
      </c>
      <c r="N18" s="53">
        <v>1</v>
      </c>
      <c r="O18" s="53">
        <v>1.1499999999999999</v>
      </c>
      <c r="P18" s="53">
        <v>1.1000000000000001</v>
      </c>
      <c r="Q18" s="75">
        <f t="shared" si="0"/>
        <v>1.125</v>
      </c>
      <c r="R18" s="168">
        <v>15.3</v>
      </c>
      <c r="S18" s="168">
        <v>116</v>
      </c>
      <c r="T18" s="16">
        <f t="shared" si="1"/>
        <v>30</v>
      </c>
      <c r="U18" s="164">
        <v>98</v>
      </c>
      <c r="V18" s="38">
        <f t="shared" si="2"/>
        <v>2940</v>
      </c>
      <c r="W18" s="165">
        <v>6</v>
      </c>
      <c r="X18" s="166" t="s">
        <v>46</v>
      </c>
      <c r="Y18" s="172" t="s">
        <v>97</v>
      </c>
      <c r="Z18" s="172" t="s">
        <v>86</v>
      </c>
      <c r="AA18" s="172" t="s">
        <v>78</v>
      </c>
      <c r="AB18" s="53" t="s">
        <v>158</v>
      </c>
      <c r="AC18" s="34"/>
      <c r="AE18" s="22" t="s">
        <v>87</v>
      </c>
      <c r="AP18" s="27" t="s">
        <v>111</v>
      </c>
      <c r="AR18" s="23" t="s">
        <v>101</v>
      </c>
      <c r="AV18" s="23" t="s">
        <v>88</v>
      </c>
    </row>
    <row r="19" spans="1:48" x14ac:dyDescent="0.15">
      <c r="A19" s="158" t="s">
        <v>34</v>
      </c>
      <c r="B19" s="158" t="s">
        <v>157</v>
      </c>
      <c r="C19" s="159">
        <v>2019</v>
      </c>
      <c r="D19" s="160" t="s">
        <v>359</v>
      </c>
      <c r="E19" s="159" t="s">
        <v>362</v>
      </c>
      <c r="F19" s="158" t="s">
        <v>361</v>
      </c>
      <c r="G19" s="161" t="s">
        <v>36</v>
      </c>
      <c r="H19" s="127" t="s">
        <v>160</v>
      </c>
      <c r="I19" s="127" t="s">
        <v>159</v>
      </c>
      <c r="J19" s="127" t="s">
        <v>38</v>
      </c>
      <c r="K19" s="127" t="s">
        <v>161</v>
      </c>
      <c r="L19" s="53">
        <v>3</v>
      </c>
      <c r="N19" s="53">
        <v>1</v>
      </c>
      <c r="O19" s="53">
        <v>1</v>
      </c>
      <c r="P19" s="53">
        <v>0.9</v>
      </c>
      <c r="Q19" s="75">
        <f t="shared" si="0"/>
        <v>0.95</v>
      </c>
      <c r="R19" s="168">
        <v>15.6</v>
      </c>
      <c r="S19" s="168">
        <v>119</v>
      </c>
      <c r="T19" s="16">
        <f t="shared" si="1"/>
        <v>30</v>
      </c>
      <c r="U19" s="164">
        <v>98</v>
      </c>
      <c r="V19" s="38">
        <f t="shared" si="2"/>
        <v>2940</v>
      </c>
      <c r="W19" s="165">
        <v>6</v>
      </c>
      <c r="X19" s="166" t="s">
        <v>46</v>
      </c>
      <c r="Y19" s="172" t="s">
        <v>97</v>
      </c>
      <c r="Z19" s="172" t="s">
        <v>86</v>
      </c>
      <c r="AA19" s="172" t="s">
        <v>78</v>
      </c>
      <c r="AB19" s="53" t="s">
        <v>158</v>
      </c>
      <c r="AC19" s="34"/>
      <c r="AE19" s="35" t="s">
        <v>89</v>
      </c>
      <c r="AP19" s="27" t="s">
        <v>112</v>
      </c>
      <c r="AR19" s="23" t="s">
        <v>126</v>
      </c>
      <c r="AV19" s="23" t="s">
        <v>90</v>
      </c>
    </row>
    <row r="20" spans="1:48" x14ac:dyDescent="0.15">
      <c r="A20" s="158" t="s">
        <v>34</v>
      </c>
      <c r="B20" s="158" t="s">
        <v>157</v>
      </c>
      <c r="C20" s="158">
        <v>2019</v>
      </c>
      <c r="D20" s="160" t="s">
        <v>359</v>
      </c>
      <c r="E20" s="159" t="s">
        <v>357</v>
      </c>
      <c r="F20" s="158" t="s">
        <v>363</v>
      </c>
      <c r="G20" s="161" t="s">
        <v>36</v>
      </c>
      <c r="H20" s="127" t="s">
        <v>164</v>
      </c>
      <c r="I20" s="127" t="s">
        <v>159</v>
      </c>
      <c r="J20" s="127" t="s">
        <v>38</v>
      </c>
      <c r="K20" s="127" t="s">
        <v>161</v>
      </c>
      <c r="L20" s="53">
        <v>1</v>
      </c>
      <c r="N20" s="53">
        <v>1</v>
      </c>
      <c r="O20" s="53">
        <v>1.1000000000000001</v>
      </c>
      <c r="P20" s="53">
        <v>0.95</v>
      </c>
      <c r="Q20" s="75">
        <f t="shared" si="0"/>
        <v>1.0249999999999999</v>
      </c>
      <c r="R20" s="168">
        <v>14.2</v>
      </c>
      <c r="S20" s="168">
        <v>124</v>
      </c>
      <c r="T20" s="16">
        <f t="shared" si="1"/>
        <v>30</v>
      </c>
      <c r="U20" s="164">
        <v>78</v>
      </c>
      <c r="V20" s="38">
        <f t="shared" si="2"/>
        <v>2340</v>
      </c>
      <c r="W20" s="165">
        <v>6</v>
      </c>
      <c r="X20" s="166" t="s">
        <v>46</v>
      </c>
      <c r="Y20" s="172" t="s">
        <v>88</v>
      </c>
      <c r="Z20" s="172" t="s">
        <v>78</v>
      </c>
      <c r="AA20" s="172" t="s">
        <v>97</v>
      </c>
      <c r="AB20" s="53" t="s">
        <v>158</v>
      </c>
      <c r="AE20" s="35"/>
      <c r="AP20" s="27" t="s">
        <v>113</v>
      </c>
      <c r="AR20" s="23" t="s">
        <v>105</v>
      </c>
      <c r="AV20" s="27" t="s">
        <v>135</v>
      </c>
    </row>
    <row r="21" spans="1:48" x14ac:dyDescent="0.15">
      <c r="A21" s="158" t="s">
        <v>34</v>
      </c>
      <c r="B21" s="158" t="s">
        <v>157</v>
      </c>
      <c r="C21" s="159">
        <v>2019</v>
      </c>
      <c r="D21" s="160" t="s">
        <v>359</v>
      </c>
      <c r="E21" s="159" t="s">
        <v>357</v>
      </c>
      <c r="F21" s="158" t="s">
        <v>363</v>
      </c>
      <c r="G21" s="161" t="s">
        <v>36</v>
      </c>
      <c r="H21" s="127" t="s">
        <v>164</v>
      </c>
      <c r="I21" s="127" t="s">
        <v>159</v>
      </c>
      <c r="J21" s="127" t="s">
        <v>38</v>
      </c>
      <c r="K21" s="127" t="s">
        <v>161</v>
      </c>
      <c r="L21" s="53">
        <v>2</v>
      </c>
      <c r="N21" s="53">
        <v>1</v>
      </c>
      <c r="O21" s="53">
        <v>0.8</v>
      </c>
      <c r="P21" s="53">
        <v>0.9</v>
      </c>
      <c r="Q21" s="75">
        <f t="shared" si="0"/>
        <v>0.85000000000000009</v>
      </c>
      <c r="R21" s="168">
        <v>14.5</v>
      </c>
      <c r="S21" s="168">
        <v>126</v>
      </c>
      <c r="T21" s="16">
        <f t="shared" si="1"/>
        <v>30</v>
      </c>
      <c r="U21" s="164">
        <v>78</v>
      </c>
      <c r="V21" s="38">
        <f t="shared" si="2"/>
        <v>2340</v>
      </c>
      <c r="W21" s="165">
        <v>6</v>
      </c>
      <c r="X21" s="166" t="s">
        <v>46</v>
      </c>
      <c r="Y21" s="172" t="s">
        <v>88</v>
      </c>
      <c r="Z21" s="172" t="s">
        <v>78</v>
      </c>
      <c r="AA21" s="172" t="s">
        <v>97</v>
      </c>
      <c r="AB21" s="53" t="s">
        <v>158</v>
      </c>
      <c r="AE21" s="28"/>
      <c r="AP21" s="27" t="s">
        <v>114</v>
      </c>
      <c r="AR21" s="23" t="s">
        <v>68</v>
      </c>
      <c r="AV21" s="27" t="s">
        <v>136</v>
      </c>
    </row>
    <row r="22" spans="1:48" x14ac:dyDescent="0.15">
      <c r="A22" s="158" t="s">
        <v>34</v>
      </c>
      <c r="B22" s="158" t="s">
        <v>157</v>
      </c>
      <c r="C22" s="158">
        <v>2019</v>
      </c>
      <c r="D22" s="160" t="s">
        <v>359</v>
      </c>
      <c r="E22" s="159" t="s">
        <v>357</v>
      </c>
      <c r="F22" s="158" t="s">
        <v>363</v>
      </c>
      <c r="G22" s="161" t="s">
        <v>36</v>
      </c>
      <c r="H22" s="127" t="s">
        <v>164</v>
      </c>
      <c r="I22" s="127" t="s">
        <v>159</v>
      </c>
      <c r="J22" s="127" t="s">
        <v>38</v>
      </c>
      <c r="K22" s="127" t="s">
        <v>161</v>
      </c>
      <c r="L22" s="53">
        <v>3</v>
      </c>
      <c r="N22" s="53">
        <v>1</v>
      </c>
      <c r="O22" s="53">
        <v>0.9</v>
      </c>
      <c r="P22" s="34">
        <v>0.8</v>
      </c>
      <c r="Q22" s="75">
        <f t="shared" si="0"/>
        <v>0.85000000000000009</v>
      </c>
      <c r="R22" s="168">
        <v>14.7</v>
      </c>
      <c r="S22" s="168">
        <v>119</v>
      </c>
      <c r="T22" s="16">
        <f t="shared" si="1"/>
        <v>30</v>
      </c>
      <c r="U22" s="164">
        <v>78</v>
      </c>
      <c r="V22" s="38">
        <f t="shared" si="2"/>
        <v>2340</v>
      </c>
      <c r="W22" s="165">
        <v>6</v>
      </c>
      <c r="X22" s="166" t="s">
        <v>46</v>
      </c>
      <c r="Y22" s="172" t="s">
        <v>88</v>
      </c>
      <c r="Z22" s="172" t="s">
        <v>78</v>
      </c>
      <c r="AA22" s="172" t="s">
        <v>97</v>
      </c>
      <c r="AB22" s="53" t="s">
        <v>158</v>
      </c>
      <c r="AP22" s="27" t="s">
        <v>115</v>
      </c>
      <c r="AR22" s="23" t="s">
        <v>83</v>
      </c>
      <c r="AV22" s="23"/>
    </row>
    <row r="23" spans="1:48" x14ac:dyDescent="0.15">
      <c r="A23" s="158" t="s">
        <v>34</v>
      </c>
      <c r="B23" s="158" t="s">
        <v>157</v>
      </c>
      <c r="C23" s="159">
        <v>2019</v>
      </c>
      <c r="D23" s="160" t="s">
        <v>359</v>
      </c>
      <c r="E23" s="159" t="s">
        <v>357</v>
      </c>
      <c r="F23" s="158" t="s">
        <v>363</v>
      </c>
      <c r="G23" s="161" t="s">
        <v>36</v>
      </c>
      <c r="H23" s="127" t="s">
        <v>160</v>
      </c>
      <c r="I23" s="127" t="s">
        <v>159</v>
      </c>
      <c r="J23" s="127" t="s">
        <v>38</v>
      </c>
      <c r="K23" s="127" t="s">
        <v>161</v>
      </c>
      <c r="L23" s="53">
        <v>1</v>
      </c>
      <c r="N23" s="53">
        <v>1</v>
      </c>
      <c r="O23" s="53">
        <v>0.65</v>
      </c>
      <c r="P23" s="34">
        <v>0.6</v>
      </c>
      <c r="Q23" s="75">
        <f t="shared" si="0"/>
        <v>0.625</v>
      </c>
      <c r="R23" s="168">
        <v>16.3</v>
      </c>
      <c r="S23" s="168">
        <v>118</v>
      </c>
      <c r="T23" s="16">
        <f t="shared" si="1"/>
        <v>30</v>
      </c>
      <c r="U23" s="164">
        <v>108</v>
      </c>
      <c r="V23" s="38">
        <f t="shared" si="2"/>
        <v>3240</v>
      </c>
      <c r="W23" s="165">
        <v>6</v>
      </c>
      <c r="X23" s="166" t="s">
        <v>46</v>
      </c>
      <c r="Y23" s="172" t="s">
        <v>88</v>
      </c>
      <c r="Z23" s="172" t="s">
        <v>78</v>
      </c>
      <c r="AA23" s="172" t="s">
        <v>97</v>
      </c>
      <c r="AB23" s="53" t="s">
        <v>158</v>
      </c>
      <c r="AP23" s="27" t="s">
        <v>137</v>
      </c>
      <c r="AR23" s="23" t="s">
        <v>61</v>
      </c>
      <c r="AV23" s="23"/>
    </row>
    <row r="24" spans="1:48" x14ac:dyDescent="0.15">
      <c r="A24" s="158" t="s">
        <v>34</v>
      </c>
      <c r="B24" s="158" t="s">
        <v>157</v>
      </c>
      <c r="C24" s="158">
        <v>2019</v>
      </c>
      <c r="D24" s="160" t="s">
        <v>359</v>
      </c>
      <c r="E24" s="159" t="s">
        <v>357</v>
      </c>
      <c r="F24" s="158" t="s">
        <v>363</v>
      </c>
      <c r="G24" s="161" t="s">
        <v>36</v>
      </c>
      <c r="H24" s="127" t="s">
        <v>160</v>
      </c>
      <c r="I24" s="127" t="s">
        <v>159</v>
      </c>
      <c r="J24" s="127" t="s">
        <v>38</v>
      </c>
      <c r="K24" s="127" t="s">
        <v>161</v>
      </c>
      <c r="L24" s="53">
        <v>2</v>
      </c>
      <c r="N24" s="53">
        <v>1</v>
      </c>
      <c r="O24" s="53">
        <v>0.65</v>
      </c>
      <c r="P24" s="34">
        <v>0.6</v>
      </c>
      <c r="Q24" s="75">
        <f t="shared" si="0"/>
        <v>0.625</v>
      </c>
      <c r="R24" s="168">
        <v>16.2</v>
      </c>
      <c r="S24" s="168">
        <v>118</v>
      </c>
      <c r="T24" s="16">
        <f t="shared" si="1"/>
        <v>30</v>
      </c>
      <c r="U24" s="164">
        <v>108</v>
      </c>
      <c r="V24" s="38">
        <f t="shared" si="2"/>
        <v>3240</v>
      </c>
      <c r="W24" s="165">
        <v>6</v>
      </c>
      <c r="X24" s="166" t="s">
        <v>46</v>
      </c>
      <c r="Y24" s="172" t="s">
        <v>88</v>
      </c>
      <c r="Z24" s="172" t="s">
        <v>78</v>
      </c>
      <c r="AA24" s="172" t="s">
        <v>97</v>
      </c>
      <c r="AB24" s="53" t="s">
        <v>158</v>
      </c>
      <c r="AP24" s="27" t="s">
        <v>138</v>
      </c>
      <c r="AR24" s="23" t="s">
        <v>91</v>
      </c>
      <c r="AV24" s="23"/>
    </row>
    <row r="25" spans="1:48" x14ac:dyDescent="0.15">
      <c r="A25" s="158" t="s">
        <v>34</v>
      </c>
      <c r="B25" s="158" t="s">
        <v>157</v>
      </c>
      <c r="C25" s="159">
        <v>2019</v>
      </c>
      <c r="D25" s="160" t="s">
        <v>359</v>
      </c>
      <c r="E25" s="159" t="s">
        <v>357</v>
      </c>
      <c r="F25" s="158" t="s">
        <v>363</v>
      </c>
      <c r="G25" s="161" t="s">
        <v>36</v>
      </c>
      <c r="H25" s="127" t="s">
        <v>160</v>
      </c>
      <c r="I25" s="127" t="s">
        <v>159</v>
      </c>
      <c r="J25" s="127" t="s">
        <v>38</v>
      </c>
      <c r="K25" s="127" t="s">
        <v>161</v>
      </c>
      <c r="L25" s="53">
        <v>3</v>
      </c>
      <c r="N25" s="53">
        <v>1</v>
      </c>
      <c r="O25" s="53">
        <v>0.55000000000000004</v>
      </c>
      <c r="P25" s="34">
        <v>0.65</v>
      </c>
      <c r="Q25" s="75">
        <f t="shared" si="0"/>
        <v>0.60000000000000009</v>
      </c>
      <c r="R25" s="168">
        <v>16.5</v>
      </c>
      <c r="S25" s="168">
        <v>123</v>
      </c>
      <c r="T25" s="16">
        <f t="shared" si="1"/>
        <v>30</v>
      </c>
      <c r="U25" s="164">
        <v>108</v>
      </c>
      <c r="V25" s="38">
        <f t="shared" si="2"/>
        <v>3240</v>
      </c>
      <c r="W25" s="165">
        <v>6</v>
      </c>
      <c r="X25" s="166" t="s">
        <v>46</v>
      </c>
      <c r="Y25" s="172" t="s">
        <v>88</v>
      </c>
      <c r="Z25" s="172" t="s">
        <v>78</v>
      </c>
      <c r="AA25" s="172" t="s">
        <v>97</v>
      </c>
      <c r="AB25" s="53" t="s">
        <v>158</v>
      </c>
      <c r="AP25" s="27" t="s">
        <v>116</v>
      </c>
      <c r="AR25" s="27" t="s">
        <v>92</v>
      </c>
      <c r="AV25" s="23"/>
    </row>
    <row r="26" spans="1:48" x14ac:dyDescent="0.15">
      <c r="A26" s="158" t="s">
        <v>34</v>
      </c>
      <c r="B26" s="158" t="s">
        <v>157</v>
      </c>
      <c r="C26" s="158">
        <v>2019</v>
      </c>
      <c r="D26" s="160" t="s">
        <v>359</v>
      </c>
      <c r="E26" s="159" t="s">
        <v>210</v>
      </c>
      <c r="F26" s="158" t="s">
        <v>364</v>
      </c>
      <c r="G26" s="161" t="s">
        <v>42</v>
      </c>
      <c r="H26" s="127" t="s">
        <v>164</v>
      </c>
      <c r="I26" s="127" t="s">
        <v>159</v>
      </c>
      <c r="J26" s="127" t="s">
        <v>38</v>
      </c>
      <c r="K26" s="127" t="s">
        <v>161</v>
      </c>
      <c r="L26" s="53">
        <v>1</v>
      </c>
      <c r="N26" s="53">
        <v>1</v>
      </c>
      <c r="O26" s="53">
        <v>1.1000000000000001</v>
      </c>
      <c r="P26" s="53">
        <v>0.95</v>
      </c>
      <c r="Q26" s="75">
        <f t="shared" si="0"/>
        <v>1.0249999999999999</v>
      </c>
      <c r="R26" s="168">
        <v>14.1</v>
      </c>
      <c r="S26" s="168">
        <v>107</v>
      </c>
      <c r="T26" s="16">
        <f t="shared" si="1"/>
        <v>33</v>
      </c>
      <c r="U26" s="164">
        <v>89</v>
      </c>
      <c r="V26" s="38">
        <f t="shared" si="2"/>
        <v>2937</v>
      </c>
      <c r="W26" s="165">
        <v>12</v>
      </c>
      <c r="X26" s="166" t="s">
        <v>46</v>
      </c>
      <c r="Y26" s="172" t="s">
        <v>64</v>
      </c>
      <c r="Z26" s="172" t="s">
        <v>86</v>
      </c>
      <c r="AA26" s="172" t="s">
        <v>69</v>
      </c>
      <c r="AB26" s="53" t="s">
        <v>158</v>
      </c>
      <c r="AP26" s="27" t="s">
        <v>117</v>
      </c>
      <c r="AR26" s="23" t="s">
        <v>153</v>
      </c>
      <c r="AV26" s="27"/>
    </row>
    <row r="27" spans="1:48" x14ac:dyDescent="0.15">
      <c r="A27" s="158" t="s">
        <v>34</v>
      </c>
      <c r="B27" s="158" t="s">
        <v>157</v>
      </c>
      <c r="C27" s="159">
        <v>2019</v>
      </c>
      <c r="D27" s="160" t="s">
        <v>359</v>
      </c>
      <c r="E27" s="159" t="s">
        <v>210</v>
      </c>
      <c r="F27" s="158" t="s">
        <v>364</v>
      </c>
      <c r="G27" s="161" t="s">
        <v>42</v>
      </c>
      <c r="H27" s="127" t="s">
        <v>164</v>
      </c>
      <c r="I27" s="127" t="s">
        <v>159</v>
      </c>
      <c r="J27" s="127" t="s">
        <v>38</v>
      </c>
      <c r="K27" s="127" t="s">
        <v>161</v>
      </c>
      <c r="L27" s="53">
        <v>2</v>
      </c>
      <c r="N27" s="53">
        <v>1</v>
      </c>
      <c r="O27" s="34">
        <v>0.8</v>
      </c>
      <c r="P27" s="53">
        <v>0.9</v>
      </c>
      <c r="Q27" s="75">
        <f t="shared" si="0"/>
        <v>0.85000000000000009</v>
      </c>
      <c r="R27" s="168">
        <v>15.2</v>
      </c>
      <c r="S27" s="168">
        <v>107</v>
      </c>
      <c r="T27" s="16">
        <f t="shared" si="1"/>
        <v>33</v>
      </c>
      <c r="U27" s="164">
        <v>89</v>
      </c>
      <c r="V27" s="38">
        <f t="shared" si="2"/>
        <v>2937</v>
      </c>
      <c r="W27" s="165">
        <v>12</v>
      </c>
      <c r="X27" s="166" t="s">
        <v>46</v>
      </c>
      <c r="Y27" s="172" t="s">
        <v>64</v>
      </c>
      <c r="Z27" s="172" t="s">
        <v>86</v>
      </c>
      <c r="AA27" s="172" t="s">
        <v>69</v>
      </c>
      <c r="AB27" s="53" t="s">
        <v>158</v>
      </c>
      <c r="AP27" s="27" t="s">
        <v>118</v>
      </c>
      <c r="AR27" s="23"/>
    </row>
    <row r="28" spans="1:48" x14ac:dyDescent="0.15">
      <c r="A28" s="158" t="s">
        <v>34</v>
      </c>
      <c r="B28" s="158" t="s">
        <v>157</v>
      </c>
      <c r="C28" s="158">
        <v>2019</v>
      </c>
      <c r="D28" s="160" t="s">
        <v>359</v>
      </c>
      <c r="E28" s="159" t="s">
        <v>210</v>
      </c>
      <c r="F28" s="158" t="s">
        <v>364</v>
      </c>
      <c r="G28" s="161" t="s">
        <v>42</v>
      </c>
      <c r="H28" s="127" t="s">
        <v>164</v>
      </c>
      <c r="I28" s="127" t="s">
        <v>159</v>
      </c>
      <c r="J28" s="127" t="s">
        <v>38</v>
      </c>
      <c r="K28" s="127" t="s">
        <v>161</v>
      </c>
      <c r="L28" s="53">
        <v>3</v>
      </c>
      <c r="N28" s="53">
        <v>1</v>
      </c>
      <c r="O28" s="34">
        <v>0.85</v>
      </c>
      <c r="P28" s="53">
        <v>0.85</v>
      </c>
      <c r="Q28" s="75">
        <f t="shared" si="0"/>
        <v>0.85</v>
      </c>
      <c r="R28" s="168">
        <v>14.8</v>
      </c>
      <c r="S28" s="168">
        <v>110</v>
      </c>
      <c r="T28" s="16">
        <f t="shared" si="1"/>
        <v>33</v>
      </c>
      <c r="U28" s="164">
        <v>89</v>
      </c>
      <c r="V28" s="38">
        <f t="shared" si="2"/>
        <v>2937</v>
      </c>
      <c r="W28" s="165">
        <v>12</v>
      </c>
      <c r="X28" s="166" t="s">
        <v>46</v>
      </c>
      <c r="Y28" s="172" t="s">
        <v>64</v>
      </c>
      <c r="Z28" s="172" t="s">
        <v>86</v>
      </c>
      <c r="AA28" s="172" t="s">
        <v>69</v>
      </c>
      <c r="AB28" s="53" t="s">
        <v>158</v>
      </c>
      <c r="AR28" s="23"/>
    </row>
    <row r="29" spans="1:48" x14ac:dyDescent="0.15">
      <c r="A29" s="158" t="s">
        <v>34</v>
      </c>
      <c r="B29" s="158" t="s">
        <v>157</v>
      </c>
      <c r="C29" s="158">
        <v>2019</v>
      </c>
      <c r="D29" s="160" t="s">
        <v>359</v>
      </c>
      <c r="E29" s="159" t="s">
        <v>210</v>
      </c>
      <c r="F29" s="158" t="s">
        <v>364</v>
      </c>
      <c r="G29" s="161" t="s">
        <v>42</v>
      </c>
      <c r="H29" s="127" t="s">
        <v>160</v>
      </c>
      <c r="I29" s="127" t="s">
        <v>159</v>
      </c>
      <c r="J29" s="127" t="s">
        <v>38</v>
      </c>
      <c r="K29" s="127" t="s">
        <v>161</v>
      </c>
      <c r="L29" s="53">
        <v>1</v>
      </c>
      <c r="N29" s="53">
        <v>1</v>
      </c>
      <c r="O29" s="53">
        <v>0.7</v>
      </c>
      <c r="P29" s="53">
        <v>0.65</v>
      </c>
      <c r="Q29" s="75">
        <f t="shared" si="0"/>
        <v>0.67500000000000004</v>
      </c>
      <c r="R29" s="168">
        <v>16.7</v>
      </c>
      <c r="S29" s="168">
        <v>122</v>
      </c>
      <c r="T29" s="16">
        <f t="shared" si="1"/>
        <v>30</v>
      </c>
      <c r="U29" s="164">
        <v>89</v>
      </c>
      <c r="V29" s="38">
        <f t="shared" si="2"/>
        <v>2670</v>
      </c>
      <c r="W29" s="165">
        <v>12</v>
      </c>
      <c r="X29" s="166" t="s">
        <v>39</v>
      </c>
      <c r="Y29" s="172" t="s">
        <v>64</v>
      </c>
      <c r="Z29" s="172" t="s">
        <v>86</v>
      </c>
      <c r="AA29" s="172" t="s">
        <v>69</v>
      </c>
      <c r="AB29" s="53" t="s">
        <v>158</v>
      </c>
      <c r="AR29" s="28"/>
    </row>
    <row r="30" spans="1:48" x14ac:dyDescent="0.15">
      <c r="A30" s="158" t="s">
        <v>34</v>
      </c>
      <c r="B30" s="158" t="s">
        <v>157</v>
      </c>
      <c r="C30" s="159">
        <v>2019</v>
      </c>
      <c r="D30" s="160" t="s">
        <v>359</v>
      </c>
      <c r="E30" s="159" t="s">
        <v>210</v>
      </c>
      <c r="F30" s="158" t="s">
        <v>364</v>
      </c>
      <c r="G30" s="161" t="s">
        <v>42</v>
      </c>
      <c r="H30" s="127" t="s">
        <v>160</v>
      </c>
      <c r="I30" s="127" t="s">
        <v>159</v>
      </c>
      <c r="J30" s="127" t="s">
        <v>38</v>
      </c>
      <c r="K30" s="127" t="s">
        <v>161</v>
      </c>
      <c r="L30" s="53">
        <v>2</v>
      </c>
      <c r="N30" s="53">
        <v>1</v>
      </c>
      <c r="O30" s="53">
        <v>0.65</v>
      </c>
      <c r="P30" s="53">
        <v>0.7</v>
      </c>
      <c r="Q30" s="75">
        <f t="shared" si="0"/>
        <v>0.67500000000000004</v>
      </c>
      <c r="R30" s="168">
        <v>16.5</v>
      </c>
      <c r="S30" s="168">
        <v>118</v>
      </c>
      <c r="T30" s="16">
        <f t="shared" si="1"/>
        <v>30</v>
      </c>
      <c r="U30" s="164">
        <v>89</v>
      </c>
      <c r="V30" s="38">
        <f t="shared" si="2"/>
        <v>2670</v>
      </c>
      <c r="W30" s="165">
        <v>12</v>
      </c>
      <c r="X30" s="166" t="s">
        <v>39</v>
      </c>
      <c r="Y30" s="172" t="s">
        <v>64</v>
      </c>
      <c r="Z30" s="172" t="s">
        <v>86</v>
      </c>
      <c r="AA30" s="172" t="s">
        <v>69</v>
      </c>
      <c r="AB30" s="53" t="s">
        <v>158</v>
      </c>
    </row>
    <row r="31" spans="1:48" x14ac:dyDescent="0.15">
      <c r="A31" s="158" t="s">
        <v>34</v>
      </c>
      <c r="B31" s="158" t="s">
        <v>157</v>
      </c>
      <c r="C31" s="158">
        <v>2019</v>
      </c>
      <c r="D31" s="160" t="s">
        <v>359</v>
      </c>
      <c r="E31" s="159" t="s">
        <v>210</v>
      </c>
      <c r="F31" s="158" t="s">
        <v>364</v>
      </c>
      <c r="G31" s="161" t="s">
        <v>42</v>
      </c>
      <c r="H31" s="127" t="s">
        <v>160</v>
      </c>
      <c r="I31" s="127" t="s">
        <v>159</v>
      </c>
      <c r="J31" s="127" t="s">
        <v>38</v>
      </c>
      <c r="K31" s="127" t="s">
        <v>161</v>
      </c>
      <c r="L31" s="53">
        <v>3</v>
      </c>
      <c r="N31" s="53">
        <v>1</v>
      </c>
      <c r="O31" s="53">
        <v>0.65</v>
      </c>
      <c r="P31" s="53">
        <v>0.6</v>
      </c>
      <c r="Q31" s="75">
        <f t="shared" si="0"/>
        <v>0.625</v>
      </c>
      <c r="R31" s="168">
        <v>16.8</v>
      </c>
      <c r="S31" s="168">
        <v>121</v>
      </c>
      <c r="T31" s="16">
        <f t="shared" si="1"/>
        <v>30</v>
      </c>
      <c r="U31" s="164">
        <v>89</v>
      </c>
      <c r="V31" s="38">
        <f t="shared" si="2"/>
        <v>2670</v>
      </c>
      <c r="W31" s="165">
        <v>12</v>
      </c>
      <c r="X31" s="166" t="s">
        <v>39</v>
      </c>
      <c r="Y31" s="172" t="s">
        <v>64</v>
      </c>
      <c r="Z31" s="172" t="s">
        <v>86</v>
      </c>
      <c r="AA31" s="172" t="s">
        <v>69</v>
      </c>
      <c r="AB31" s="53" t="s">
        <v>158</v>
      </c>
    </row>
    <row r="32" spans="1:48" ht="14.25" customHeight="1" x14ac:dyDescent="0.15">
      <c r="A32" s="158" t="s">
        <v>34</v>
      </c>
      <c r="B32" s="158" t="s">
        <v>157</v>
      </c>
      <c r="C32" s="159">
        <v>2019</v>
      </c>
      <c r="D32" s="160" t="s">
        <v>359</v>
      </c>
      <c r="E32" s="159" t="s">
        <v>269</v>
      </c>
      <c r="F32" s="158" t="s">
        <v>364</v>
      </c>
      <c r="G32" s="161" t="s">
        <v>42</v>
      </c>
      <c r="H32" s="127" t="s">
        <v>164</v>
      </c>
      <c r="I32" s="127" t="s">
        <v>159</v>
      </c>
      <c r="J32" s="127" t="s">
        <v>38</v>
      </c>
      <c r="K32" s="127" t="s">
        <v>161</v>
      </c>
      <c r="L32" s="53">
        <v>1</v>
      </c>
      <c r="N32" s="53">
        <v>5</v>
      </c>
      <c r="O32" s="53">
        <v>0.7</v>
      </c>
      <c r="P32" s="53">
        <v>0.6</v>
      </c>
      <c r="Q32" s="75">
        <f t="shared" si="0"/>
        <v>0.64999999999999991</v>
      </c>
      <c r="R32" s="168">
        <v>12.6</v>
      </c>
      <c r="S32" s="168">
        <v>82</v>
      </c>
      <c r="T32" s="16">
        <f t="shared" si="1"/>
        <v>39</v>
      </c>
      <c r="U32" s="164">
        <v>358</v>
      </c>
      <c r="V32" s="38">
        <f t="shared" si="2"/>
        <v>2792.3999999999996</v>
      </c>
      <c r="W32" s="165">
        <v>8</v>
      </c>
      <c r="X32" s="166" t="s">
        <v>39</v>
      </c>
      <c r="Y32" s="172" t="s">
        <v>88</v>
      </c>
      <c r="Z32" s="172" t="s">
        <v>69</v>
      </c>
      <c r="AA32" s="172" t="s">
        <v>64</v>
      </c>
      <c r="AB32" s="53" t="s">
        <v>158</v>
      </c>
    </row>
    <row r="33" spans="1:28" x14ac:dyDescent="0.15">
      <c r="A33" s="158" t="s">
        <v>34</v>
      </c>
      <c r="B33" s="158" t="s">
        <v>157</v>
      </c>
      <c r="C33" s="158">
        <v>2019</v>
      </c>
      <c r="D33" s="160" t="s">
        <v>359</v>
      </c>
      <c r="E33" s="159" t="s">
        <v>269</v>
      </c>
      <c r="F33" s="158" t="s">
        <v>364</v>
      </c>
      <c r="G33" s="161" t="s">
        <v>42</v>
      </c>
      <c r="H33" s="127" t="s">
        <v>164</v>
      </c>
      <c r="I33" s="127" t="s">
        <v>159</v>
      </c>
      <c r="J33" s="127" t="s">
        <v>38</v>
      </c>
      <c r="K33" s="127" t="s">
        <v>161</v>
      </c>
      <c r="L33" s="53">
        <v>2</v>
      </c>
      <c r="N33" s="53">
        <v>5</v>
      </c>
      <c r="O33" s="53">
        <v>0.55000000000000004</v>
      </c>
      <c r="P33" s="53">
        <v>0.6</v>
      </c>
      <c r="Q33" s="75">
        <f t="shared" si="0"/>
        <v>0.57499999999999996</v>
      </c>
      <c r="R33" s="168">
        <v>11.7</v>
      </c>
      <c r="S33" s="168">
        <v>79</v>
      </c>
      <c r="T33" s="16">
        <f t="shared" si="1"/>
        <v>39</v>
      </c>
      <c r="U33" s="164">
        <v>358</v>
      </c>
      <c r="V33" s="38">
        <f t="shared" si="2"/>
        <v>2792.3999999999996</v>
      </c>
      <c r="W33" s="165">
        <v>8</v>
      </c>
      <c r="X33" s="166" t="s">
        <v>39</v>
      </c>
      <c r="Y33" s="172" t="s">
        <v>88</v>
      </c>
      <c r="Z33" s="172" t="s">
        <v>69</v>
      </c>
      <c r="AA33" s="172" t="s">
        <v>64</v>
      </c>
      <c r="AB33" s="53" t="s">
        <v>158</v>
      </c>
    </row>
    <row r="34" spans="1:28" x14ac:dyDescent="0.15">
      <c r="A34" s="158" t="s">
        <v>34</v>
      </c>
      <c r="B34" s="158" t="s">
        <v>157</v>
      </c>
      <c r="C34" s="159">
        <v>2019</v>
      </c>
      <c r="D34" s="160" t="s">
        <v>359</v>
      </c>
      <c r="E34" s="159" t="s">
        <v>269</v>
      </c>
      <c r="F34" s="158" t="s">
        <v>364</v>
      </c>
      <c r="G34" s="161" t="s">
        <v>42</v>
      </c>
      <c r="H34" s="127" t="s">
        <v>164</v>
      </c>
      <c r="I34" s="127" t="s">
        <v>159</v>
      </c>
      <c r="J34" s="127" t="s">
        <v>38</v>
      </c>
      <c r="K34" s="127" t="s">
        <v>161</v>
      </c>
      <c r="L34" s="53">
        <v>3</v>
      </c>
      <c r="N34" s="53">
        <v>5</v>
      </c>
      <c r="O34" s="53">
        <v>0.6</v>
      </c>
      <c r="P34" s="34">
        <v>0.55000000000000004</v>
      </c>
      <c r="Q34" s="75">
        <f t="shared" si="0"/>
        <v>0.57499999999999996</v>
      </c>
      <c r="R34" s="168">
        <v>12.2</v>
      </c>
      <c r="S34" s="168">
        <v>74</v>
      </c>
      <c r="T34" s="16">
        <f t="shared" si="1"/>
        <v>42</v>
      </c>
      <c r="U34" s="164">
        <v>358</v>
      </c>
      <c r="V34" s="38">
        <f t="shared" si="2"/>
        <v>3007.2</v>
      </c>
      <c r="W34" s="165">
        <v>8</v>
      </c>
      <c r="X34" s="166" t="s">
        <v>39</v>
      </c>
      <c r="Y34" s="172" t="s">
        <v>88</v>
      </c>
      <c r="Z34" s="172" t="s">
        <v>69</v>
      </c>
      <c r="AA34" s="172" t="s">
        <v>64</v>
      </c>
      <c r="AB34" s="53" t="s">
        <v>158</v>
      </c>
    </row>
    <row r="35" spans="1:28" x14ac:dyDescent="0.15">
      <c r="A35" s="158" t="s">
        <v>34</v>
      </c>
      <c r="B35" s="158" t="s">
        <v>157</v>
      </c>
      <c r="C35" s="158">
        <v>2019</v>
      </c>
      <c r="D35" s="160" t="s">
        <v>359</v>
      </c>
      <c r="E35" s="159" t="s">
        <v>269</v>
      </c>
      <c r="F35" s="158" t="s">
        <v>364</v>
      </c>
      <c r="G35" s="161" t="s">
        <v>42</v>
      </c>
      <c r="H35" s="127" t="s">
        <v>160</v>
      </c>
      <c r="I35" s="127" t="s">
        <v>159</v>
      </c>
      <c r="J35" s="127" t="s">
        <v>38</v>
      </c>
      <c r="K35" s="127" t="s">
        <v>161</v>
      </c>
      <c r="L35" s="53">
        <v>1</v>
      </c>
      <c r="N35" s="53">
        <v>4</v>
      </c>
      <c r="O35" s="53">
        <v>0.65</v>
      </c>
      <c r="P35" s="53">
        <v>0.6</v>
      </c>
      <c r="Q35" s="75">
        <f t="shared" si="0"/>
        <v>0.625</v>
      </c>
      <c r="R35" s="168">
        <v>15.7</v>
      </c>
      <c r="S35" s="168">
        <v>95</v>
      </c>
      <c r="T35" s="16">
        <f t="shared" si="1"/>
        <v>36</v>
      </c>
      <c r="U35" s="164">
        <v>480</v>
      </c>
      <c r="V35" s="38">
        <f t="shared" si="2"/>
        <v>4320</v>
      </c>
      <c r="W35" s="165">
        <v>8</v>
      </c>
      <c r="X35" s="166" t="s">
        <v>39</v>
      </c>
      <c r="Y35" s="172" t="s">
        <v>88</v>
      </c>
      <c r="Z35" s="172" t="s">
        <v>69</v>
      </c>
      <c r="AA35" s="172" t="s">
        <v>64</v>
      </c>
      <c r="AB35" s="53" t="s">
        <v>158</v>
      </c>
    </row>
    <row r="36" spans="1:28" x14ac:dyDescent="0.15">
      <c r="A36" s="158" t="s">
        <v>34</v>
      </c>
      <c r="B36" s="158" t="s">
        <v>157</v>
      </c>
      <c r="C36" s="159">
        <v>2019</v>
      </c>
      <c r="D36" s="160" t="s">
        <v>359</v>
      </c>
      <c r="E36" s="159" t="s">
        <v>269</v>
      </c>
      <c r="F36" s="158" t="s">
        <v>364</v>
      </c>
      <c r="G36" s="161" t="s">
        <v>42</v>
      </c>
      <c r="H36" s="127" t="s">
        <v>160</v>
      </c>
      <c r="I36" s="127" t="s">
        <v>159</v>
      </c>
      <c r="J36" s="127" t="s">
        <v>38</v>
      </c>
      <c r="K36" s="127" t="s">
        <v>161</v>
      </c>
      <c r="L36" s="53">
        <v>2</v>
      </c>
      <c r="N36" s="53">
        <v>4</v>
      </c>
      <c r="O36" s="53">
        <v>0.7</v>
      </c>
      <c r="P36" s="53">
        <v>0.65</v>
      </c>
      <c r="Q36" s="75">
        <f t="shared" si="0"/>
        <v>0.67500000000000004</v>
      </c>
      <c r="R36" s="168">
        <v>15.4</v>
      </c>
      <c r="S36" s="168">
        <v>91</v>
      </c>
      <c r="T36" s="16">
        <f t="shared" si="1"/>
        <v>36</v>
      </c>
      <c r="U36" s="164">
        <v>480</v>
      </c>
      <c r="V36" s="38">
        <f t="shared" si="2"/>
        <v>4320</v>
      </c>
      <c r="W36" s="165">
        <v>8</v>
      </c>
      <c r="X36" s="166" t="s">
        <v>39</v>
      </c>
      <c r="Y36" s="172" t="s">
        <v>88</v>
      </c>
      <c r="Z36" s="172" t="s">
        <v>69</v>
      </c>
      <c r="AA36" s="172" t="s">
        <v>64</v>
      </c>
      <c r="AB36" s="53" t="s">
        <v>158</v>
      </c>
    </row>
    <row r="37" spans="1:28" x14ac:dyDescent="0.15">
      <c r="A37" s="158" t="s">
        <v>34</v>
      </c>
      <c r="B37" s="158" t="s">
        <v>157</v>
      </c>
      <c r="C37" s="158">
        <v>2019</v>
      </c>
      <c r="D37" s="160" t="s">
        <v>359</v>
      </c>
      <c r="E37" s="159" t="s">
        <v>269</v>
      </c>
      <c r="F37" s="158" t="s">
        <v>364</v>
      </c>
      <c r="G37" s="161" t="s">
        <v>42</v>
      </c>
      <c r="H37" s="127" t="s">
        <v>160</v>
      </c>
      <c r="I37" s="127" t="s">
        <v>159</v>
      </c>
      <c r="J37" s="127" t="s">
        <v>38</v>
      </c>
      <c r="K37" s="127" t="s">
        <v>161</v>
      </c>
      <c r="L37" s="53">
        <v>3</v>
      </c>
      <c r="N37" s="53">
        <v>4</v>
      </c>
      <c r="O37" s="53">
        <v>0.6</v>
      </c>
      <c r="P37" s="53">
        <v>0.65</v>
      </c>
      <c r="Q37" s="75">
        <f t="shared" si="0"/>
        <v>0.625</v>
      </c>
      <c r="R37" s="168">
        <v>15.8</v>
      </c>
      <c r="S37" s="168">
        <v>86</v>
      </c>
      <c r="T37" s="16">
        <f t="shared" si="1"/>
        <v>36</v>
      </c>
      <c r="U37" s="164">
        <v>480</v>
      </c>
      <c r="V37" s="38">
        <f t="shared" si="2"/>
        <v>4320</v>
      </c>
      <c r="W37" s="165">
        <v>8</v>
      </c>
      <c r="X37" s="166" t="s">
        <v>39</v>
      </c>
      <c r="Y37" s="172" t="s">
        <v>88</v>
      </c>
      <c r="Z37" s="172" t="s">
        <v>69</v>
      </c>
      <c r="AA37" s="172" t="s">
        <v>64</v>
      </c>
      <c r="AB37" s="53" t="s">
        <v>158</v>
      </c>
    </row>
    <row r="38" spans="1:28" x14ac:dyDescent="0.15">
      <c r="A38" s="158" t="s">
        <v>34</v>
      </c>
      <c r="B38" s="158" t="s">
        <v>157</v>
      </c>
      <c r="C38" s="159">
        <v>2019</v>
      </c>
      <c r="D38" s="160" t="s">
        <v>359</v>
      </c>
      <c r="E38" s="159" t="s">
        <v>210</v>
      </c>
      <c r="F38" s="158" t="s">
        <v>366</v>
      </c>
      <c r="G38" s="161" t="s">
        <v>42</v>
      </c>
      <c r="H38" s="127" t="s">
        <v>164</v>
      </c>
      <c r="I38" s="127" t="s">
        <v>159</v>
      </c>
      <c r="J38" s="127" t="s">
        <v>38</v>
      </c>
      <c r="K38" s="127" t="s">
        <v>161</v>
      </c>
      <c r="L38" s="53">
        <v>1</v>
      </c>
      <c r="N38" s="53">
        <v>1</v>
      </c>
      <c r="O38" s="53">
        <v>0.8</v>
      </c>
      <c r="P38" s="53">
        <v>0.95</v>
      </c>
      <c r="Q38" s="75">
        <f t="shared" si="0"/>
        <v>0.875</v>
      </c>
      <c r="R38" s="168">
        <v>15.3</v>
      </c>
      <c r="S38" s="168">
        <v>110</v>
      </c>
      <c r="T38" s="16">
        <f t="shared" si="1"/>
        <v>33</v>
      </c>
      <c r="U38" s="164">
        <v>89</v>
      </c>
      <c r="V38" s="38">
        <f t="shared" si="2"/>
        <v>2937</v>
      </c>
      <c r="W38" s="165">
        <v>8</v>
      </c>
      <c r="X38" s="166" t="s">
        <v>46</v>
      </c>
      <c r="Y38" s="172" t="s">
        <v>64</v>
      </c>
      <c r="Z38" s="172" t="s">
        <v>88</v>
      </c>
      <c r="AA38" s="172" t="s">
        <v>97</v>
      </c>
      <c r="AB38" s="53" t="s">
        <v>158</v>
      </c>
    </row>
    <row r="39" spans="1:28" x14ac:dyDescent="0.15">
      <c r="A39" s="158" t="s">
        <v>34</v>
      </c>
      <c r="B39" s="158" t="s">
        <v>157</v>
      </c>
      <c r="C39" s="158">
        <v>2019</v>
      </c>
      <c r="D39" s="160" t="s">
        <v>359</v>
      </c>
      <c r="E39" s="159" t="s">
        <v>210</v>
      </c>
      <c r="F39" s="158" t="s">
        <v>366</v>
      </c>
      <c r="G39" s="161" t="s">
        <v>42</v>
      </c>
      <c r="H39" s="127" t="s">
        <v>164</v>
      </c>
      <c r="I39" s="127" t="s">
        <v>159</v>
      </c>
      <c r="J39" s="127" t="s">
        <v>38</v>
      </c>
      <c r="K39" s="127" t="s">
        <v>161</v>
      </c>
      <c r="L39" s="53">
        <v>2</v>
      </c>
      <c r="N39" s="53">
        <v>1</v>
      </c>
      <c r="O39" s="53">
        <v>0.9</v>
      </c>
      <c r="P39" s="53">
        <v>1</v>
      </c>
      <c r="Q39" s="75">
        <f t="shared" si="0"/>
        <v>0.95</v>
      </c>
      <c r="R39" s="168">
        <v>14.2</v>
      </c>
      <c r="S39" s="168">
        <v>110</v>
      </c>
      <c r="T39" s="16">
        <f t="shared" si="1"/>
        <v>33</v>
      </c>
      <c r="U39" s="164">
        <v>89</v>
      </c>
      <c r="V39" s="38">
        <f t="shared" si="2"/>
        <v>2937</v>
      </c>
      <c r="W39" s="165">
        <v>8</v>
      </c>
      <c r="X39" s="166" t="s">
        <v>46</v>
      </c>
      <c r="Y39" s="172" t="s">
        <v>64</v>
      </c>
      <c r="Z39" s="172" t="s">
        <v>88</v>
      </c>
      <c r="AA39" s="172" t="s">
        <v>97</v>
      </c>
      <c r="AB39" s="53" t="s">
        <v>158</v>
      </c>
    </row>
    <row r="40" spans="1:28" ht="12.75" customHeight="1" x14ac:dyDescent="0.15">
      <c r="A40" s="158" t="s">
        <v>34</v>
      </c>
      <c r="B40" s="158" t="s">
        <v>157</v>
      </c>
      <c r="C40" s="159">
        <v>2019</v>
      </c>
      <c r="D40" s="160" t="s">
        <v>359</v>
      </c>
      <c r="E40" s="159" t="s">
        <v>210</v>
      </c>
      <c r="F40" s="158" t="s">
        <v>366</v>
      </c>
      <c r="G40" s="161" t="s">
        <v>42</v>
      </c>
      <c r="H40" s="127" t="s">
        <v>164</v>
      </c>
      <c r="I40" s="127" t="s">
        <v>159</v>
      </c>
      <c r="J40" s="127" t="s">
        <v>38</v>
      </c>
      <c r="K40" s="127" t="s">
        <v>161</v>
      </c>
      <c r="L40" s="53">
        <v>3</v>
      </c>
      <c r="N40" s="53">
        <v>1</v>
      </c>
      <c r="O40" s="53">
        <v>0.85</v>
      </c>
      <c r="P40" s="53">
        <v>0.85</v>
      </c>
      <c r="Q40" s="75">
        <f t="shared" si="0"/>
        <v>0.85</v>
      </c>
      <c r="R40" s="168">
        <v>14.6</v>
      </c>
      <c r="S40" s="168">
        <v>112</v>
      </c>
      <c r="T40" s="16">
        <f t="shared" si="1"/>
        <v>33</v>
      </c>
      <c r="U40" s="164">
        <v>89</v>
      </c>
      <c r="V40" s="38">
        <f t="shared" si="2"/>
        <v>2937</v>
      </c>
      <c r="W40" s="165">
        <v>8</v>
      </c>
      <c r="X40" s="166" t="s">
        <v>46</v>
      </c>
      <c r="Y40" s="172" t="s">
        <v>64</v>
      </c>
      <c r="Z40" s="172" t="s">
        <v>88</v>
      </c>
      <c r="AA40" s="172" t="s">
        <v>97</v>
      </c>
      <c r="AB40" s="53" t="s">
        <v>158</v>
      </c>
    </row>
    <row r="41" spans="1:28" ht="12.75" customHeight="1" x14ac:dyDescent="0.15">
      <c r="A41" s="127" t="s">
        <v>34</v>
      </c>
      <c r="B41" s="158" t="s">
        <v>157</v>
      </c>
      <c r="C41" s="159">
        <v>2019</v>
      </c>
      <c r="D41" s="160" t="s">
        <v>359</v>
      </c>
      <c r="E41" s="159" t="s">
        <v>210</v>
      </c>
      <c r="F41" s="158" t="s">
        <v>366</v>
      </c>
      <c r="G41" s="161" t="s">
        <v>42</v>
      </c>
      <c r="H41" s="127" t="s">
        <v>160</v>
      </c>
      <c r="I41" s="127" t="s">
        <v>159</v>
      </c>
      <c r="J41" s="127" t="s">
        <v>38</v>
      </c>
      <c r="K41" s="127" t="s">
        <v>161</v>
      </c>
      <c r="L41" s="53">
        <v>1</v>
      </c>
      <c r="N41" s="53">
        <v>1</v>
      </c>
      <c r="O41" s="53">
        <v>0.6</v>
      </c>
      <c r="P41" s="53">
        <v>0.65</v>
      </c>
      <c r="Q41" s="75">
        <f t="shared" si="0"/>
        <v>0.625</v>
      </c>
      <c r="R41" s="168">
        <v>16.600000000000001</v>
      </c>
      <c r="S41" s="168">
        <v>121</v>
      </c>
      <c r="T41" s="16">
        <f t="shared" si="1"/>
        <v>30</v>
      </c>
      <c r="U41" s="164">
        <v>89</v>
      </c>
      <c r="V41" s="38">
        <f t="shared" si="2"/>
        <v>2670</v>
      </c>
      <c r="W41" s="53">
        <v>8</v>
      </c>
      <c r="X41" s="166" t="s">
        <v>46</v>
      </c>
      <c r="Y41" s="173" t="s">
        <v>64</v>
      </c>
      <c r="Z41" s="173" t="s">
        <v>88</v>
      </c>
      <c r="AA41" s="173" t="s">
        <v>97</v>
      </c>
      <c r="AB41" s="53" t="s">
        <v>158</v>
      </c>
    </row>
    <row r="42" spans="1:28" ht="12.75" customHeight="1" x14ac:dyDescent="0.15">
      <c r="A42" s="127" t="s">
        <v>34</v>
      </c>
      <c r="B42" s="158" t="s">
        <v>157</v>
      </c>
      <c r="C42" s="159">
        <v>2019</v>
      </c>
      <c r="D42" s="160" t="s">
        <v>359</v>
      </c>
      <c r="E42" s="159" t="s">
        <v>210</v>
      </c>
      <c r="F42" s="158" t="s">
        <v>366</v>
      </c>
      <c r="G42" s="161" t="s">
        <v>42</v>
      </c>
      <c r="H42" s="127" t="s">
        <v>160</v>
      </c>
      <c r="I42" s="127" t="s">
        <v>159</v>
      </c>
      <c r="J42" s="127" t="s">
        <v>38</v>
      </c>
      <c r="K42" s="127" t="s">
        <v>161</v>
      </c>
      <c r="L42" s="53">
        <v>2</v>
      </c>
      <c r="N42" s="53">
        <v>1</v>
      </c>
      <c r="O42" s="53">
        <v>0.8</v>
      </c>
      <c r="P42" s="53">
        <v>0.7</v>
      </c>
      <c r="Q42" s="75">
        <f t="shared" si="0"/>
        <v>0.75</v>
      </c>
      <c r="R42" s="168">
        <v>15.5</v>
      </c>
      <c r="S42" s="168">
        <v>123</v>
      </c>
      <c r="T42" s="16">
        <f t="shared" si="1"/>
        <v>30</v>
      </c>
      <c r="U42" s="164">
        <v>89</v>
      </c>
      <c r="V42" s="38">
        <f t="shared" si="2"/>
        <v>2670</v>
      </c>
      <c r="W42" s="53">
        <v>8</v>
      </c>
      <c r="X42" s="166" t="s">
        <v>46</v>
      </c>
      <c r="Y42" s="173" t="s">
        <v>64</v>
      </c>
      <c r="Z42" s="173" t="s">
        <v>88</v>
      </c>
      <c r="AA42" s="173" t="s">
        <v>97</v>
      </c>
      <c r="AB42" s="53" t="s">
        <v>158</v>
      </c>
    </row>
    <row r="43" spans="1:28" ht="12.75" customHeight="1" x14ac:dyDescent="0.15">
      <c r="A43" s="127" t="s">
        <v>34</v>
      </c>
      <c r="B43" s="158" t="s">
        <v>157</v>
      </c>
      <c r="C43" s="159">
        <v>2019</v>
      </c>
      <c r="D43" s="160" t="s">
        <v>359</v>
      </c>
      <c r="E43" s="159" t="s">
        <v>210</v>
      </c>
      <c r="F43" s="158" t="s">
        <v>366</v>
      </c>
      <c r="G43" s="161" t="s">
        <v>42</v>
      </c>
      <c r="H43" s="127" t="s">
        <v>160</v>
      </c>
      <c r="I43" s="127" t="s">
        <v>159</v>
      </c>
      <c r="J43" s="127" t="s">
        <v>38</v>
      </c>
      <c r="K43" s="127" t="s">
        <v>161</v>
      </c>
      <c r="L43" s="53">
        <v>3</v>
      </c>
      <c r="N43" s="53">
        <v>1</v>
      </c>
      <c r="O43" s="53">
        <v>0.65</v>
      </c>
      <c r="P43" s="53">
        <v>0.6</v>
      </c>
      <c r="Q43" s="75">
        <f t="shared" si="0"/>
        <v>0.625</v>
      </c>
      <c r="R43" s="168">
        <v>16.7</v>
      </c>
      <c r="S43" s="168">
        <v>122</v>
      </c>
      <c r="T43" s="16">
        <f t="shared" si="1"/>
        <v>30</v>
      </c>
      <c r="U43" s="164">
        <v>89</v>
      </c>
      <c r="V43" s="38">
        <f t="shared" si="2"/>
        <v>2670</v>
      </c>
      <c r="W43" s="53">
        <v>8</v>
      </c>
      <c r="X43" s="166" t="s">
        <v>46</v>
      </c>
      <c r="Y43" s="173" t="s">
        <v>64</v>
      </c>
      <c r="Z43" s="173" t="s">
        <v>88</v>
      </c>
      <c r="AA43" s="173" t="s">
        <v>97</v>
      </c>
      <c r="AB43" s="53" t="s">
        <v>158</v>
      </c>
    </row>
    <row r="44" spans="1:28" x14ac:dyDescent="0.15">
      <c r="A44" s="53" t="s">
        <v>34</v>
      </c>
      <c r="B44" s="158" t="s">
        <v>157</v>
      </c>
      <c r="C44" s="159">
        <v>2019</v>
      </c>
      <c r="D44" s="160" t="s">
        <v>359</v>
      </c>
      <c r="E44" s="159" t="s">
        <v>139</v>
      </c>
      <c r="F44" s="158" t="s">
        <v>366</v>
      </c>
      <c r="G44" s="161" t="s">
        <v>36</v>
      </c>
      <c r="H44" s="127" t="s">
        <v>164</v>
      </c>
      <c r="I44" s="127" t="s">
        <v>159</v>
      </c>
      <c r="J44" s="53" t="s">
        <v>38</v>
      </c>
      <c r="K44" s="127" t="s">
        <v>161</v>
      </c>
      <c r="L44" s="53">
        <v>1</v>
      </c>
      <c r="N44" s="53">
        <v>5</v>
      </c>
      <c r="O44" s="53">
        <v>0.7</v>
      </c>
      <c r="P44" s="53">
        <v>0.75</v>
      </c>
      <c r="Q44" s="75">
        <f t="shared" si="0"/>
        <v>0.72499999999999998</v>
      </c>
      <c r="R44" s="168">
        <v>14.8</v>
      </c>
      <c r="S44" s="168">
        <v>100</v>
      </c>
      <c r="T44" s="16">
        <f t="shared" si="1"/>
        <v>33</v>
      </c>
      <c r="U44" s="164">
        <v>321</v>
      </c>
      <c r="V44" s="16">
        <f t="shared" si="2"/>
        <v>2118.6</v>
      </c>
      <c r="W44" s="53">
        <v>18</v>
      </c>
      <c r="X44" s="166" t="s">
        <v>46</v>
      </c>
      <c r="Y44" s="173" t="s">
        <v>88</v>
      </c>
      <c r="Z44" s="173" t="s">
        <v>97</v>
      </c>
      <c r="AA44" s="173" t="s">
        <v>86</v>
      </c>
      <c r="AB44" s="53" t="s">
        <v>158</v>
      </c>
    </row>
    <row r="45" spans="1:28" x14ac:dyDescent="0.15">
      <c r="A45" s="53" t="s">
        <v>34</v>
      </c>
      <c r="B45" s="158" t="s">
        <v>157</v>
      </c>
      <c r="C45" s="158">
        <v>2019</v>
      </c>
      <c r="D45" s="160" t="s">
        <v>359</v>
      </c>
      <c r="E45" s="159" t="s">
        <v>139</v>
      </c>
      <c r="F45" s="158" t="s">
        <v>366</v>
      </c>
      <c r="G45" s="161" t="s">
        <v>36</v>
      </c>
      <c r="H45" s="127" t="s">
        <v>164</v>
      </c>
      <c r="I45" s="127" t="s">
        <v>159</v>
      </c>
      <c r="J45" s="53" t="s">
        <v>38</v>
      </c>
      <c r="K45" s="127" t="s">
        <v>161</v>
      </c>
      <c r="L45" s="53">
        <v>2</v>
      </c>
      <c r="N45" s="53">
        <v>5</v>
      </c>
      <c r="O45" s="53">
        <v>0.6</v>
      </c>
      <c r="P45" s="53">
        <v>0.7</v>
      </c>
      <c r="Q45" s="75">
        <f t="shared" si="0"/>
        <v>0.64999999999999991</v>
      </c>
      <c r="R45" s="168">
        <v>15.3</v>
      </c>
      <c r="S45" s="168">
        <v>101</v>
      </c>
      <c r="T45" s="16">
        <f t="shared" si="1"/>
        <v>33</v>
      </c>
      <c r="U45" s="164">
        <v>321</v>
      </c>
      <c r="V45" s="16">
        <f t="shared" si="2"/>
        <v>2118.6</v>
      </c>
      <c r="W45" s="53">
        <v>18</v>
      </c>
      <c r="X45" s="166" t="s">
        <v>46</v>
      </c>
      <c r="Y45" s="173" t="s">
        <v>88</v>
      </c>
      <c r="Z45" s="173" t="s">
        <v>97</v>
      </c>
      <c r="AA45" s="173" t="s">
        <v>86</v>
      </c>
      <c r="AB45" s="53" t="s">
        <v>158</v>
      </c>
    </row>
    <row r="46" spans="1:28" x14ac:dyDescent="0.15">
      <c r="A46" s="53" t="s">
        <v>34</v>
      </c>
      <c r="B46" s="158" t="s">
        <v>157</v>
      </c>
      <c r="C46" s="159">
        <v>2019</v>
      </c>
      <c r="D46" s="160" t="s">
        <v>359</v>
      </c>
      <c r="E46" s="159" t="s">
        <v>139</v>
      </c>
      <c r="F46" s="158" t="s">
        <v>366</v>
      </c>
      <c r="G46" s="161" t="s">
        <v>36</v>
      </c>
      <c r="H46" s="127" t="s">
        <v>164</v>
      </c>
      <c r="I46" s="127" t="s">
        <v>159</v>
      </c>
      <c r="J46" s="53" t="s">
        <v>38</v>
      </c>
      <c r="K46" s="127" t="s">
        <v>161</v>
      </c>
      <c r="L46" s="53">
        <v>3</v>
      </c>
      <c r="N46" s="53">
        <v>5</v>
      </c>
      <c r="O46" s="53">
        <v>0.6</v>
      </c>
      <c r="P46" s="53">
        <v>0.65</v>
      </c>
      <c r="Q46" s="75">
        <f t="shared" si="0"/>
        <v>0.625</v>
      </c>
      <c r="R46" s="168">
        <v>15.5</v>
      </c>
      <c r="S46" s="168">
        <v>99</v>
      </c>
      <c r="T46" s="16">
        <f t="shared" si="1"/>
        <v>33</v>
      </c>
      <c r="U46" s="164">
        <v>321</v>
      </c>
      <c r="V46" s="16">
        <f t="shared" si="2"/>
        <v>2118.6</v>
      </c>
      <c r="W46" s="53">
        <v>18</v>
      </c>
      <c r="X46" s="166" t="s">
        <v>46</v>
      </c>
      <c r="Y46" s="173" t="s">
        <v>88</v>
      </c>
      <c r="Z46" s="173" t="s">
        <v>97</v>
      </c>
      <c r="AA46" s="173" t="s">
        <v>86</v>
      </c>
      <c r="AB46" s="53" t="s">
        <v>158</v>
      </c>
    </row>
    <row r="47" spans="1:28" x14ac:dyDescent="0.15">
      <c r="A47" s="53" t="s">
        <v>34</v>
      </c>
      <c r="B47" s="34" t="s">
        <v>157</v>
      </c>
      <c r="C47" s="53">
        <v>2019</v>
      </c>
      <c r="D47" s="174" t="s">
        <v>359</v>
      </c>
      <c r="E47" s="53" t="s">
        <v>139</v>
      </c>
      <c r="F47" s="158" t="s">
        <v>366</v>
      </c>
      <c r="G47" s="161" t="s">
        <v>36</v>
      </c>
      <c r="H47" s="127" t="s">
        <v>160</v>
      </c>
      <c r="I47" s="127" t="s">
        <v>159</v>
      </c>
      <c r="J47" s="53" t="s">
        <v>38</v>
      </c>
      <c r="K47" s="127" t="s">
        <v>161</v>
      </c>
      <c r="L47" s="53">
        <v>1</v>
      </c>
      <c r="N47" s="53">
        <v>4</v>
      </c>
      <c r="O47" s="53">
        <v>0.55000000000000004</v>
      </c>
      <c r="P47" s="53">
        <v>0.5</v>
      </c>
      <c r="Q47" s="75">
        <f t="shared" si="0"/>
        <v>0.52500000000000002</v>
      </c>
      <c r="R47" s="168">
        <v>16.100000000000001</v>
      </c>
      <c r="S47" s="168">
        <v>100</v>
      </c>
      <c r="T47" s="16">
        <f t="shared" si="1"/>
        <v>33</v>
      </c>
      <c r="U47" s="53">
        <v>599</v>
      </c>
      <c r="V47" s="16">
        <f t="shared" si="2"/>
        <v>4941.75</v>
      </c>
      <c r="W47" s="53">
        <v>18</v>
      </c>
      <c r="X47" s="166" t="s">
        <v>46</v>
      </c>
      <c r="Y47" s="53" t="s">
        <v>88</v>
      </c>
      <c r="Z47" s="53" t="s">
        <v>97</v>
      </c>
      <c r="AA47" s="53" t="s">
        <v>86</v>
      </c>
      <c r="AB47" s="53" t="s">
        <v>158</v>
      </c>
    </row>
    <row r="48" spans="1:28" x14ac:dyDescent="0.15">
      <c r="A48" s="53" t="s">
        <v>34</v>
      </c>
      <c r="B48" s="34" t="s">
        <v>157</v>
      </c>
      <c r="C48" s="53">
        <v>2019</v>
      </c>
      <c r="D48" s="174" t="s">
        <v>359</v>
      </c>
      <c r="E48" s="53" t="s">
        <v>139</v>
      </c>
      <c r="F48" s="158" t="s">
        <v>366</v>
      </c>
      <c r="G48" s="161" t="s">
        <v>36</v>
      </c>
      <c r="H48" s="127" t="s">
        <v>160</v>
      </c>
      <c r="I48" s="127" t="s">
        <v>159</v>
      </c>
      <c r="J48" s="53" t="s">
        <v>38</v>
      </c>
      <c r="K48" s="127" t="s">
        <v>161</v>
      </c>
      <c r="L48" s="53">
        <v>2</v>
      </c>
      <c r="N48" s="53">
        <v>4</v>
      </c>
      <c r="O48" s="53">
        <v>0.5</v>
      </c>
      <c r="P48" s="53">
        <v>0.6</v>
      </c>
      <c r="Q48" s="75">
        <f t="shared" si="0"/>
        <v>0.55000000000000004</v>
      </c>
      <c r="R48" s="168">
        <v>15.9</v>
      </c>
      <c r="S48" s="168">
        <v>95</v>
      </c>
      <c r="T48" s="16">
        <f t="shared" si="1"/>
        <v>36</v>
      </c>
      <c r="U48" s="53">
        <v>599</v>
      </c>
      <c r="V48" s="16">
        <f t="shared" si="2"/>
        <v>5391</v>
      </c>
      <c r="W48" s="53">
        <v>18</v>
      </c>
      <c r="X48" s="166" t="s">
        <v>46</v>
      </c>
      <c r="Y48" s="53" t="s">
        <v>88</v>
      </c>
      <c r="Z48" s="53" t="s">
        <v>97</v>
      </c>
      <c r="AA48" s="53" t="s">
        <v>86</v>
      </c>
      <c r="AB48" s="53" t="s">
        <v>158</v>
      </c>
    </row>
    <row r="49" spans="1:28" x14ac:dyDescent="0.15">
      <c r="A49" s="53" t="s">
        <v>34</v>
      </c>
      <c r="B49" s="34" t="s">
        <v>157</v>
      </c>
      <c r="C49" s="53">
        <v>2019</v>
      </c>
      <c r="D49" s="174" t="s">
        <v>359</v>
      </c>
      <c r="E49" s="53" t="s">
        <v>139</v>
      </c>
      <c r="F49" s="158" t="s">
        <v>366</v>
      </c>
      <c r="G49" s="161" t="s">
        <v>36</v>
      </c>
      <c r="H49" s="127" t="s">
        <v>160</v>
      </c>
      <c r="I49" s="127" t="s">
        <v>159</v>
      </c>
      <c r="J49" s="53" t="s">
        <v>38</v>
      </c>
      <c r="K49" s="127" t="s">
        <v>161</v>
      </c>
      <c r="L49" s="53">
        <v>3</v>
      </c>
      <c r="N49" s="53">
        <v>4</v>
      </c>
      <c r="O49" s="53">
        <v>0.55000000000000004</v>
      </c>
      <c r="P49" s="53">
        <v>0.5</v>
      </c>
      <c r="Q49" s="75">
        <f t="shared" si="0"/>
        <v>0.52500000000000002</v>
      </c>
      <c r="R49" s="168">
        <v>15.6</v>
      </c>
      <c r="S49" s="168">
        <v>93</v>
      </c>
      <c r="T49" s="16">
        <f t="shared" si="1"/>
        <v>36</v>
      </c>
      <c r="U49" s="53">
        <v>599</v>
      </c>
      <c r="V49" s="16">
        <f t="shared" si="2"/>
        <v>5391</v>
      </c>
      <c r="W49" s="53">
        <v>18</v>
      </c>
      <c r="X49" s="166" t="s">
        <v>46</v>
      </c>
      <c r="Y49" s="53" t="s">
        <v>88</v>
      </c>
      <c r="Z49" s="53" t="s">
        <v>97</v>
      </c>
      <c r="AA49" s="53" t="s">
        <v>86</v>
      </c>
      <c r="AB49" s="53" t="s">
        <v>158</v>
      </c>
    </row>
    <row r="50" spans="1:28" x14ac:dyDescent="0.15">
      <c r="A50" s="53" t="s">
        <v>34</v>
      </c>
      <c r="B50" s="53" t="s">
        <v>157</v>
      </c>
      <c r="C50" s="53">
        <v>2019</v>
      </c>
      <c r="D50" s="174" t="s">
        <v>359</v>
      </c>
      <c r="E50" s="53" t="s">
        <v>133</v>
      </c>
      <c r="F50" s="158" t="s">
        <v>367</v>
      </c>
      <c r="G50" s="161" t="s">
        <v>36</v>
      </c>
      <c r="H50" s="53" t="s">
        <v>164</v>
      </c>
      <c r="I50" s="53" t="s">
        <v>159</v>
      </c>
      <c r="J50" s="53" t="s">
        <v>38</v>
      </c>
      <c r="K50" s="127" t="s">
        <v>161</v>
      </c>
      <c r="L50" s="53">
        <v>1</v>
      </c>
      <c r="N50" s="53">
        <v>1</v>
      </c>
      <c r="O50" s="53">
        <v>1.05</v>
      </c>
      <c r="P50" s="53">
        <v>1</v>
      </c>
      <c r="Q50" s="75">
        <f t="shared" si="0"/>
        <v>1.0249999999999999</v>
      </c>
      <c r="R50" s="53">
        <v>14.3</v>
      </c>
      <c r="S50" s="53">
        <v>118</v>
      </c>
      <c r="T50" s="16">
        <f t="shared" si="1"/>
        <v>30</v>
      </c>
      <c r="U50" s="53">
        <v>98</v>
      </c>
      <c r="V50" s="16">
        <f t="shared" si="2"/>
        <v>2940</v>
      </c>
      <c r="W50" s="53">
        <v>26</v>
      </c>
      <c r="X50" s="166" t="s">
        <v>46</v>
      </c>
      <c r="Y50" s="53" t="s">
        <v>97</v>
      </c>
      <c r="Z50" s="53" t="s">
        <v>90</v>
      </c>
      <c r="AA50" s="53" t="s">
        <v>86</v>
      </c>
      <c r="AB50" s="53" t="s">
        <v>158</v>
      </c>
    </row>
    <row r="51" spans="1:28" x14ac:dyDescent="0.15">
      <c r="A51" s="53" t="s">
        <v>34</v>
      </c>
      <c r="B51" s="53" t="s">
        <v>157</v>
      </c>
      <c r="C51" s="53">
        <v>2019</v>
      </c>
      <c r="D51" s="174" t="s">
        <v>359</v>
      </c>
      <c r="E51" s="53" t="s">
        <v>133</v>
      </c>
      <c r="F51" s="158" t="s">
        <v>367</v>
      </c>
      <c r="G51" s="161" t="s">
        <v>36</v>
      </c>
      <c r="H51" s="53" t="s">
        <v>164</v>
      </c>
      <c r="I51" s="53" t="s">
        <v>159</v>
      </c>
      <c r="J51" s="53" t="s">
        <v>38</v>
      </c>
      <c r="K51" s="127" t="s">
        <v>161</v>
      </c>
      <c r="L51" s="53">
        <v>2</v>
      </c>
      <c r="N51" s="53">
        <v>1</v>
      </c>
      <c r="O51" s="53">
        <v>0.9</v>
      </c>
      <c r="P51" s="53">
        <v>0.95</v>
      </c>
      <c r="Q51" s="75">
        <f t="shared" si="0"/>
        <v>0.92500000000000004</v>
      </c>
      <c r="R51" s="53">
        <v>14.7</v>
      </c>
      <c r="S51" s="53">
        <v>120</v>
      </c>
      <c r="T51" s="16">
        <f t="shared" si="1"/>
        <v>30</v>
      </c>
      <c r="U51" s="53">
        <v>98</v>
      </c>
      <c r="V51" s="16">
        <f t="shared" si="2"/>
        <v>2940</v>
      </c>
      <c r="W51" s="53">
        <v>26</v>
      </c>
      <c r="X51" s="166" t="s">
        <v>46</v>
      </c>
      <c r="Y51" s="53" t="s">
        <v>97</v>
      </c>
      <c r="Z51" s="53" t="s">
        <v>90</v>
      </c>
      <c r="AA51" s="53" t="s">
        <v>86</v>
      </c>
      <c r="AB51" s="53" t="s">
        <v>158</v>
      </c>
    </row>
    <row r="52" spans="1:28" x14ac:dyDescent="0.15">
      <c r="A52" s="53" t="s">
        <v>34</v>
      </c>
      <c r="B52" s="53" t="s">
        <v>157</v>
      </c>
      <c r="C52" s="53">
        <v>2019</v>
      </c>
      <c r="D52" s="174" t="s">
        <v>359</v>
      </c>
      <c r="E52" s="53" t="s">
        <v>133</v>
      </c>
      <c r="F52" s="158" t="s">
        <v>367</v>
      </c>
      <c r="G52" s="161" t="s">
        <v>36</v>
      </c>
      <c r="H52" s="53" t="s">
        <v>164</v>
      </c>
      <c r="I52" s="53" t="s">
        <v>159</v>
      </c>
      <c r="J52" s="53" t="s">
        <v>38</v>
      </c>
      <c r="K52" s="127" t="s">
        <v>161</v>
      </c>
      <c r="L52" s="53">
        <v>3</v>
      </c>
      <c r="N52" s="53">
        <v>1</v>
      </c>
      <c r="O52" s="53">
        <v>0.95</v>
      </c>
      <c r="P52" s="53">
        <v>0.8</v>
      </c>
      <c r="Q52" s="75">
        <f t="shared" si="0"/>
        <v>0.875</v>
      </c>
      <c r="R52" s="53">
        <v>14.8</v>
      </c>
      <c r="S52" s="53">
        <v>117</v>
      </c>
      <c r="T52" s="16">
        <f t="shared" si="1"/>
        <v>30</v>
      </c>
      <c r="U52" s="53">
        <v>98</v>
      </c>
      <c r="V52" s="16">
        <f t="shared" si="2"/>
        <v>2940</v>
      </c>
      <c r="W52" s="53">
        <v>26</v>
      </c>
      <c r="X52" s="166" t="s">
        <v>46</v>
      </c>
      <c r="Y52" s="53" t="s">
        <v>97</v>
      </c>
      <c r="Z52" s="53" t="s">
        <v>90</v>
      </c>
      <c r="AA52" s="53" t="s">
        <v>86</v>
      </c>
      <c r="AB52" s="53" t="s">
        <v>158</v>
      </c>
    </row>
    <row r="53" spans="1:28" x14ac:dyDescent="0.15">
      <c r="A53" s="53" t="s">
        <v>34</v>
      </c>
      <c r="B53" s="53" t="s">
        <v>157</v>
      </c>
      <c r="C53" s="53">
        <v>2019</v>
      </c>
      <c r="D53" s="174" t="s">
        <v>359</v>
      </c>
      <c r="E53" s="53" t="s">
        <v>133</v>
      </c>
      <c r="F53" s="158" t="s">
        <v>367</v>
      </c>
      <c r="G53" s="161" t="s">
        <v>36</v>
      </c>
      <c r="H53" s="53" t="s">
        <v>160</v>
      </c>
      <c r="I53" s="53" t="s">
        <v>159</v>
      </c>
      <c r="J53" s="53" t="s">
        <v>38</v>
      </c>
      <c r="K53" s="127" t="s">
        <v>161</v>
      </c>
      <c r="L53" s="53">
        <v>1</v>
      </c>
      <c r="N53" s="53">
        <v>1</v>
      </c>
      <c r="O53" s="53">
        <v>0.6</v>
      </c>
      <c r="P53" s="53">
        <v>0.75</v>
      </c>
      <c r="Q53" s="75">
        <f t="shared" si="0"/>
        <v>0.67500000000000004</v>
      </c>
      <c r="R53" s="53">
        <v>19.600000000000001</v>
      </c>
      <c r="S53" s="53">
        <v>142</v>
      </c>
      <c r="T53" s="16">
        <f t="shared" si="1"/>
        <v>30</v>
      </c>
      <c r="U53" s="53">
        <v>138</v>
      </c>
      <c r="V53" s="16">
        <f t="shared" si="2"/>
        <v>4140</v>
      </c>
      <c r="W53" s="53">
        <v>26</v>
      </c>
      <c r="X53" s="166" t="s">
        <v>46</v>
      </c>
      <c r="Y53" s="53" t="s">
        <v>97</v>
      </c>
      <c r="Z53" s="53" t="s">
        <v>90</v>
      </c>
      <c r="AA53" s="53" t="s">
        <v>86</v>
      </c>
      <c r="AB53" s="53" t="s">
        <v>158</v>
      </c>
    </row>
    <row r="54" spans="1:28" x14ac:dyDescent="0.15">
      <c r="A54" s="53" t="s">
        <v>34</v>
      </c>
      <c r="B54" s="53" t="s">
        <v>157</v>
      </c>
      <c r="C54" s="53">
        <v>2019</v>
      </c>
      <c r="D54" s="174" t="s">
        <v>359</v>
      </c>
      <c r="E54" s="53" t="s">
        <v>133</v>
      </c>
      <c r="F54" s="158" t="s">
        <v>367</v>
      </c>
      <c r="G54" s="161" t="s">
        <v>36</v>
      </c>
      <c r="H54" s="53" t="s">
        <v>160</v>
      </c>
      <c r="I54" s="53" t="s">
        <v>159</v>
      </c>
      <c r="J54" s="53" t="s">
        <v>38</v>
      </c>
      <c r="K54" s="127" t="s">
        <v>161</v>
      </c>
      <c r="L54" s="53">
        <v>2</v>
      </c>
      <c r="N54" s="53">
        <v>1</v>
      </c>
      <c r="O54" s="53">
        <v>0.65</v>
      </c>
      <c r="P54" s="53">
        <v>0.7</v>
      </c>
      <c r="Q54" s="75">
        <f t="shared" si="0"/>
        <v>0.67500000000000004</v>
      </c>
      <c r="R54" s="53">
        <v>20.100000000000001</v>
      </c>
      <c r="S54" s="53">
        <v>148</v>
      </c>
      <c r="T54" s="16">
        <f t="shared" si="1"/>
        <v>30</v>
      </c>
      <c r="U54" s="53">
        <v>138</v>
      </c>
      <c r="V54" s="16">
        <f t="shared" si="2"/>
        <v>4140</v>
      </c>
      <c r="W54" s="53">
        <v>26</v>
      </c>
      <c r="X54" s="166" t="s">
        <v>46</v>
      </c>
      <c r="Y54" s="53" t="s">
        <v>97</v>
      </c>
      <c r="Z54" s="53" t="s">
        <v>90</v>
      </c>
      <c r="AA54" s="53" t="s">
        <v>86</v>
      </c>
      <c r="AB54" s="53" t="s">
        <v>158</v>
      </c>
    </row>
    <row r="55" spans="1:28" x14ac:dyDescent="0.15">
      <c r="A55" s="53" t="s">
        <v>34</v>
      </c>
      <c r="B55" s="53" t="s">
        <v>157</v>
      </c>
      <c r="C55" s="53">
        <v>2019</v>
      </c>
      <c r="D55" s="174" t="s">
        <v>359</v>
      </c>
      <c r="E55" s="53" t="s">
        <v>133</v>
      </c>
      <c r="F55" s="158" t="s">
        <v>367</v>
      </c>
      <c r="G55" s="161" t="s">
        <v>36</v>
      </c>
      <c r="H55" s="53" t="s">
        <v>160</v>
      </c>
      <c r="I55" s="53" t="s">
        <v>159</v>
      </c>
      <c r="J55" s="53" t="s">
        <v>38</v>
      </c>
      <c r="K55" s="127" t="s">
        <v>161</v>
      </c>
      <c r="L55" s="53">
        <v>3</v>
      </c>
      <c r="N55" s="53">
        <v>1</v>
      </c>
      <c r="O55" s="53">
        <v>0.55000000000000004</v>
      </c>
      <c r="P55" s="53">
        <v>0.6</v>
      </c>
      <c r="Q55" s="75">
        <f t="shared" si="0"/>
        <v>0.57499999999999996</v>
      </c>
      <c r="R55" s="53">
        <v>17.2</v>
      </c>
      <c r="S55" s="53">
        <v>141</v>
      </c>
      <c r="T55" s="16">
        <f t="shared" si="1"/>
        <v>30</v>
      </c>
      <c r="U55" s="53">
        <v>138</v>
      </c>
      <c r="V55" s="16">
        <f t="shared" si="2"/>
        <v>4140</v>
      </c>
      <c r="W55" s="53">
        <v>26</v>
      </c>
      <c r="X55" s="166" t="s">
        <v>46</v>
      </c>
      <c r="Y55" s="53" t="s">
        <v>97</v>
      </c>
      <c r="Z55" s="53" t="s">
        <v>90</v>
      </c>
      <c r="AA55" s="53" t="s">
        <v>86</v>
      </c>
      <c r="AB55" s="53" t="s">
        <v>158</v>
      </c>
    </row>
    <row r="56" spans="1:28" x14ac:dyDescent="0.15">
      <c r="A56" s="53" t="s">
        <v>34</v>
      </c>
      <c r="B56" s="53" t="s">
        <v>157</v>
      </c>
      <c r="C56" s="53">
        <v>2019</v>
      </c>
      <c r="D56" s="174" t="s">
        <v>359</v>
      </c>
      <c r="E56" s="53" t="s">
        <v>269</v>
      </c>
      <c r="F56" s="158" t="s">
        <v>368</v>
      </c>
      <c r="G56" s="161" t="s">
        <v>36</v>
      </c>
      <c r="H56" s="53" t="s">
        <v>164</v>
      </c>
      <c r="I56" s="53" t="s">
        <v>159</v>
      </c>
      <c r="J56" s="53" t="s">
        <v>38</v>
      </c>
      <c r="K56" s="127" t="s">
        <v>161</v>
      </c>
      <c r="L56" s="53">
        <v>1</v>
      </c>
      <c r="N56" s="53">
        <v>5</v>
      </c>
      <c r="O56" s="53">
        <v>0.6</v>
      </c>
      <c r="P56" s="53">
        <v>0.55000000000000004</v>
      </c>
      <c r="Q56" s="75">
        <f t="shared" si="0"/>
        <v>0.57499999999999996</v>
      </c>
      <c r="R56" s="53">
        <v>13.2</v>
      </c>
      <c r="S56" s="53">
        <v>76</v>
      </c>
      <c r="T56" s="16">
        <f t="shared" si="1"/>
        <v>39</v>
      </c>
      <c r="U56" s="53">
        <v>398</v>
      </c>
      <c r="V56" s="16">
        <f t="shared" si="2"/>
        <v>3104.3999999999996</v>
      </c>
      <c r="W56" s="53">
        <v>4</v>
      </c>
      <c r="X56" s="166" t="s">
        <v>46</v>
      </c>
      <c r="Y56" s="53" t="s">
        <v>78</v>
      </c>
      <c r="Z56" s="53" t="s">
        <v>64</v>
      </c>
      <c r="AA56" s="53" t="s">
        <v>88</v>
      </c>
      <c r="AB56" s="53" t="s">
        <v>158</v>
      </c>
    </row>
    <row r="57" spans="1:28" x14ac:dyDescent="0.15">
      <c r="A57" s="53" t="s">
        <v>34</v>
      </c>
      <c r="B57" s="53" t="s">
        <v>157</v>
      </c>
      <c r="C57" s="53">
        <v>2019</v>
      </c>
      <c r="D57" s="174" t="s">
        <v>359</v>
      </c>
      <c r="E57" s="53" t="s">
        <v>269</v>
      </c>
      <c r="F57" s="158" t="s">
        <v>368</v>
      </c>
      <c r="G57" s="161" t="s">
        <v>36</v>
      </c>
      <c r="H57" s="53" t="s">
        <v>164</v>
      </c>
      <c r="I57" s="53" t="s">
        <v>159</v>
      </c>
      <c r="J57" s="53" t="s">
        <v>38</v>
      </c>
      <c r="K57" s="127" t="s">
        <v>161</v>
      </c>
      <c r="L57" s="53">
        <v>2</v>
      </c>
      <c r="N57" s="53">
        <v>5</v>
      </c>
      <c r="O57" s="53">
        <v>0.65</v>
      </c>
      <c r="P57" s="53">
        <v>0.65</v>
      </c>
      <c r="Q57" s="75">
        <f t="shared" si="0"/>
        <v>0.65</v>
      </c>
      <c r="R57" s="53">
        <v>12.1</v>
      </c>
      <c r="S57" s="53">
        <v>75</v>
      </c>
      <c r="T57" s="16">
        <f t="shared" si="1"/>
        <v>42</v>
      </c>
      <c r="U57" s="53">
        <v>398</v>
      </c>
      <c r="V57" s="16">
        <f t="shared" si="2"/>
        <v>3343.2</v>
      </c>
      <c r="W57" s="53">
        <v>4</v>
      </c>
      <c r="X57" s="166" t="s">
        <v>46</v>
      </c>
      <c r="Y57" s="53" t="s">
        <v>78</v>
      </c>
      <c r="Z57" s="53" t="s">
        <v>64</v>
      </c>
      <c r="AA57" s="53" t="s">
        <v>88</v>
      </c>
      <c r="AB57" s="53" t="s">
        <v>158</v>
      </c>
    </row>
    <row r="58" spans="1:28" x14ac:dyDescent="0.15">
      <c r="A58" s="53" t="s">
        <v>34</v>
      </c>
      <c r="B58" s="53" t="s">
        <v>157</v>
      </c>
      <c r="C58" s="53">
        <v>2019</v>
      </c>
      <c r="D58" s="174" t="s">
        <v>359</v>
      </c>
      <c r="E58" s="53" t="s">
        <v>269</v>
      </c>
      <c r="F58" s="158" t="s">
        <v>368</v>
      </c>
      <c r="G58" s="161" t="s">
        <v>36</v>
      </c>
      <c r="H58" s="53" t="s">
        <v>164</v>
      </c>
      <c r="I58" s="53" t="s">
        <v>159</v>
      </c>
      <c r="J58" s="53" t="s">
        <v>38</v>
      </c>
      <c r="K58" s="127" t="s">
        <v>161</v>
      </c>
      <c r="L58" s="53">
        <v>3</v>
      </c>
      <c r="N58" s="53">
        <v>5</v>
      </c>
      <c r="O58" s="53">
        <v>0.6</v>
      </c>
      <c r="P58" s="53">
        <v>0.6</v>
      </c>
      <c r="Q58" s="75">
        <f t="shared" si="0"/>
        <v>0.6</v>
      </c>
      <c r="R58" s="53">
        <v>14.3</v>
      </c>
      <c r="S58" s="53">
        <v>81</v>
      </c>
      <c r="T58" s="16">
        <f t="shared" si="1"/>
        <v>39</v>
      </c>
      <c r="U58" s="53">
        <v>398</v>
      </c>
      <c r="V58" s="16">
        <f t="shared" si="2"/>
        <v>3104.3999999999996</v>
      </c>
      <c r="W58" s="53">
        <v>4</v>
      </c>
      <c r="X58" s="166" t="s">
        <v>46</v>
      </c>
      <c r="Y58" s="53" t="s">
        <v>78</v>
      </c>
      <c r="Z58" s="53" t="s">
        <v>64</v>
      </c>
      <c r="AA58" s="53" t="s">
        <v>88</v>
      </c>
      <c r="AB58" s="53" t="s">
        <v>158</v>
      </c>
    </row>
    <row r="59" spans="1:28" x14ac:dyDescent="0.15">
      <c r="A59" s="53" t="s">
        <v>34</v>
      </c>
      <c r="B59" s="53" t="s">
        <v>157</v>
      </c>
      <c r="C59" s="53">
        <v>2019</v>
      </c>
      <c r="D59" s="174" t="s">
        <v>359</v>
      </c>
      <c r="E59" s="53" t="s">
        <v>269</v>
      </c>
      <c r="F59" s="158" t="s">
        <v>368</v>
      </c>
      <c r="G59" s="161" t="s">
        <v>36</v>
      </c>
      <c r="H59" s="53" t="s">
        <v>160</v>
      </c>
      <c r="I59" s="53" t="s">
        <v>159</v>
      </c>
      <c r="J59" s="53" t="s">
        <v>38</v>
      </c>
      <c r="K59" s="127" t="s">
        <v>161</v>
      </c>
      <c r="L59" s="53">
        <v>1</v>
      </c>
      <c r="N59" s="53">
        <v>4</v>
      </c>
      <c r="O59" s="53">
        <v>0.55000000000000004</v>
      </c>
      <c r="P59" s="53">
        <v>0.5</v>
      </c>
      <c r="Q59" s="75">
        <f t="shared" si="0"/>
        <v>0.52500000000000002</v>
      </c>
      <c r="R59" s="53">
        <v>16.7</v>
      </c>
      <c r="S59" s="53">
        <v>92</v>
      </c>
      <c r="T59" s="16">
        <f t="shared" si="1"/>
        <v>36</v>
      </c>
      <c r="U59" s="53">
        <v>398</v>
      </c>
      <c r="V59" s="16">
        <f t="shared" si="2"/>
        <v>3582</v>
      </c>
      <c r="W59" s="53">
        <v>4</v>
      </c>
      <c r="X59" s="166" t="s">
        <v>46</v>
      </c>
      <c r="Y59" s="53" t="s">
        <v>78</v>
      </c>
      <c r="Z59" s="53" t="s">
        <v>64</v>
      </c>
      <c r="AA59" s="53" t="s">
        <v>88</v>
      </c>
      <c r="AB59" s="53" t="s">
        <v>158</v>
      </c>
    </row>
    <row r="60" spans="1:28" x14ac:dyDescent="0.15">
      <c r="A60" s="53" t="s">
        <v>34</v>
      </c>
      <c r="B60" s="53" t="s">
        <v>157</v>
      </c>
      <c r="C60" s="53">
        <v>2019</v>
      </c>
      <c r="D60" s="174" t="s">
        <v>359</v>
      </c>
      <c r="E60" s="53" t="s">
        <v>269</v>
      </c>
      <c r="F60" s="158" t="s">
        <v>368</v>
      </c>
      <c r="G60" s="161" t="s">
        <v>36</v>
      </c>
      <c r="H60" s="53" t="s">
        <v>160</v>
      </c>
      <c r="I60" s="53" t="s">
        <v>159</v>
      </c>
      <c r="J60" s="53" t="s">
        <v>38</v>
      </c>
      <c r="K60" s="127" t="s">
        <v>161</v>
      </c>
      <c r="L60" s="53">
        <v>2</v>
      </c>
      <c r="N60" s="53">
        <v>4</v>
      </c>
      <c r="O60" s="53">
        <v>0.6</v>
      </c>
      <c r="P60" s="53">
        <v>0.5</v>
      </c>
      <c r="Q60" s="75">
        <f t="shared" si="0"/>
        <v>0.55000000000000004</v>
      </c>
      <c r="R60" s="53">
        <v>15.7</v>
      </c>
      <c r="S60" s="53">
        <v>83</v>
      </c>
      <c r="T60" s="16">
        <f t="shared" si="1"/>
        <v>39</v>
      </c>
      <c r="U60" s="53">
        <v>398</v>
      </c>
      <c r="V60" s="16">
        <f t="shared" si="2"/>
        <v>3880.5</v>
      </c>
      <c r="W60" s="53">
        <v>4</v>
      </c>
      <c r="X60" s="166" t="s">
        <v>46</v>
      </c>
      <c r="Y60" s="53" t="s">
        <v>78</v>
      </c>
      <c r="Z60" s="53" t="s">
        <v>64</v>
      </c>
      <c r="AA60" s="53" t="s">
        <v>88</v>
      </c>
      <c r="AB60" s="53" t="s">
        <v>158</v>
      </c>
    </row>
    <row r="61" spans="1:28" x14ac:dyDescent="0.15">
      <c r="A61" s="53" t="s">
        <v>34</v>
      </c>
      <c r="B61" s="53" t="s">
        <v>157</v>
      </c>
      <c r="C61" s="53">
        <v>2019</v>
      </c>
      <c r="D61" s="174" t="s">
        <v>359</v>
      </c>
      <c r="E61" s="53" t="s">
        <v>269</v>
      </c>
      <c r="F61" s="158" t="s">
        <v>368</v>
      </c>
      <c r="G61" s="161" t="s">
        <v>36</v>
      </c>
      <c r="H61" s="53" t="s">
        <v>160</v>
      </c>
      <c r="I61" s="53" t="s">
        <v>159</v>
      </c>
      <c r="J61" s="53" t="s">
        <v>38</v>
      </c>
      <c r="K61" s="127" t="s">
        <v>161</v>
      </c>
      <c r="L61" s="53">
        <v>3</v>
      </c>
      <c r="N61" s="53">
        <v>4</v>
      </c>
      <c r="O61" s="53">
        <v>0.6</v>
      </c>
      <c r="P61" s="53">
        <v>0.6</v>
      </c>
      <c r="Q61" s="75">
        <f t="shared" si="0"/>
        <v>0.6</v>
      </c>
      <c r="R61" s="53">
        <v>15.8</v>
      </c>
      <c r="S61" s="53">
        <v>88</v>
      </c>
      <c r="T61" s="16">
        <f t="shared" si="1"/>
        <v>36</v>
      </c>
      <c r="U61" s="53">
        <v>398</v>
      </c>
      <c r="V61" s="16">
        <f t="shared" si="2"/>
        <v>3582</v>
      </c>
      <c r="W61" s="53">
        <v>4</v>
      </c>
      <c r="X61" s="166" t="s">
        <v>46</v>
      </c>
      <c r="Y61" s="53" t="s">
        <v>78</v>
      </c>
      <c r="Z61" s="53" t="s">
        <v>64</v>
      </c>
      <c r="AA61" s="53" t="s">
        <v>88</v>
      </c>
      <c r="AB61" s="53" t="s">
        <v>158</v>
      </c>
    </row>
    <row r="62" spans="1:28" x14ac:dyDescent="0.15">
      <c r="D62" s="174"/>
      <c r="F62" s="158"/>
      <c r="G62" s="161"/>
      <c r="K62" s="127"/>
      <c r="Q62" s="75" t="str">
        <f t="shared" si="0"/>
        <v/>
      </c>
      <c r="T62" s="16" t="str">
        <f t="shared" si="1"/>
        <v/>
      </c>
      <c r="V62" s="16" t="str">
        <f t="shared" si="2"/>
        <v/>
      </c>
      <c r="X62" s="166"/>
    </row>
    <row r="63" spans="1:28" x14ac:dyDescent="0.15">
      <c r="D63" s="174"/>
      <c r="F63" s="158"/>
      <c r="G63" s="161"/>
      <c r="K63" s="127"/>
      <c r="Q63" s="75" t="str">
        <f t="shared" si="0"/>
        <v/>
      </c>
      <c r="T63" s="16" t="str">
        <f t="shared" si="1"/>
        <v/>
      </c>
      <c r="V63" s="16" t="str">
        <f t="shared" si="2"/>
        <v/>
      </c>
      <c r="X63" s="166"/>
    </row>
    <row r="64" spans="1:28" x14ac:dyDescent="0.15">
      <c r="D64" s="174"/>
      <c r="F64" s="158"/>
      <c r="G64" s="161"/>
      <c r="K64" s="127"/>
      <c r="Q64" s="75" t="str">
        <f t="shared" si="0"/>
        <v/>
      </c>
      <c r="T64" s="16" t="str">
        <f t="shared" si="1"/>
        <v/>
      </c>
      <c r="V64" s="16" t="str">
        <f t="shared" si="2"/>
        <v/>
      </c>
      <c r="X64" s="166"/>
    </row>
    <row r="65" spans="4:24" x14ac:dyDescent="0.15">
      <c r="D65" s="174"/>
      <c r="F65" s="158"/>
      <c r="G65" s="161"/>
      <c r="K65" s="127"/>
      <c r="Q65" s="75" t="str">
        <f t="shared" si="0"/>
        <v/>
      </c>
      <c r="T65" s="16" t="str">
        <f t="shared" si="1"/>
        <v/>
      </c>
      <c r="V65" s="16" t="str">
        <f t="shared" si="2"/>
        <v/>
      </c>
      <c r="X65" s="166"/>
    </row>
    <row r="66" spans="4:24" x14ac:dyDescent="0.15">
      <c r="D66" s="174"/>
      <c r="F66" s="158"/>
      <c r="G66" s="161"/>
      <c r="K66" s="127"/>
      <c r="Q66" s="75" t="str">
        <f t="shared" ref="Q66:Q91" si="3">IF(OR(O66="",P66=""),"",AVERAGE(O66,P66))</f>
        <v/>
      </c>
      <c r="T66" s="16" t="str">
        <f t="shared" ref="T66:T91" si="4">IF(H66="","",IF(OR(H66="GREEN",H66="GK"),IF(S66&gt;=$AX$2,VLOOKUP(S66,$AX$2:$AY$7,2,1),""),IF(S66&gt;=$AZ$2,VLOOKUP(S66,$AZ$2:$BA$7,2,1),"")))</f>
        <v/>
      </c>
      <c r="V66" s="16" t="str">
        <f t="shared" ref="V66:V91" si="5">IF(OR(N66="",U66="",T66=""),"",U66/N66*T66)</f>
        <v/>
      </c>
      <c r="X66" s="166"/>
    </row>
    <row r="67" spans="4:24" x14ac:dyDescent="0.15">
      <c r="D67" s="174"/>
      <c r="F67" s="158"/>
      <c r="G67" s="161"/>
      <c r="K67" s="127"/>
      <c r="Q67" s="75" t="str">
        <f t="shared" si="3"/>
        <v/>
      </c>
      <c r="T67" s="16" t="str">
        <f t="shared" si="4"/>
        <v/>
      </c>
      <c r="V67" s="16" t="str">
        <f t="shared" si="5"/>
        <v/>
      </c>
      <c r="X67" s="166"/>
    </row>
    <row r="68" spans="4:24" x14ac:dyDescent="0.15">
      <c r="D68" s="174"/>
      <c r="F68" s="158"/>
      <c r="G68" s="161"/>
      <c r="K68" s="127"/>
      <c r="Q68" s="75" t="str">
        <f t="shared" si="3"/>
        <v/>
      </c>
      <c r="T68" s="16" t="str">
        <f t="shared" si="4"/>
        <v/>
      </c>
      <c r="V68" s="16" t="str">
        <f t="shared" si="5"/>
        <v/>
      </c>
      <c r="X68" s="166"/>
    </row>
    <row r="69" spans="4:24" x14ac:dyDescent="0.15">
      <c r="D69" s="174"/>
      <c r="F69" s="158"/>
      <c r="G69" s="161"/>
      <c r="K69" s="127"/>
      <c r="Q69" s="75" t="str">
        <f t="shared" si="3"/>
        <v/>
      </c>
      <c r="T69" s="16" t="str">
        <f t="shared" si="4"/>
        <v/>
      </c>
      <c r="V69" s="16" t="str">
        <f t="shared" si="5"/>
        <v/>
      </c>
      <c r="X69" s="166"/>
    </row>
    <row r="70" spans="4:24" x14ac:dyDescent="0.15">
      <c r="D70" s="174"/>
      <c r="F70" s="158"/>
      <c r="G70" s="161"/>
      <c r="K70" s="127"/>
      <c r="Q70" s="75" t="str">
        <f t="shared" si="3"/>
        <v/>
      </c>
      <c r="T70" s="16" t="str">
        <f t="shared" si="4"/>
        <v/>
      </c>
      <c r="V70" s="16" t="str">
        <f t="shared" si="5"/>
        <v/>
      </c>
      <c r="X70" s="166"/>
    </row>
    <row r="71" spans="4:24" x14ac:dyDescent="0.15">
      <c r="D71" s="174"/>
      <c r="F71" s="158"/>
      <c r="G71" s="161"/>
      <c r="K71" s="127"/>
      <c r="Q71" s="75" t="str">
        <f t="shared" si="3"/>
        <v/>
      </c>
      <c r="T71" s="16" t="str">
        <f t="shared" si="4"/>
        <v/>
      </c>
      <c r="V71" s="16" t="str">
        <f t="shared" si="5"/>
        <v/>
      </c>
      <c r="X71" s="166"/>
    </row>
    <row r="72" spans="4:24" x14ac:dyDescent="0.15">
      <c r="D72" s="174"/>
      <c r="F72" s="158"/>
      <c r="G72" s="161"/>
      <c r="K72" s="127"/>
      <c r="Q72" s="75" t="str">
        <f t="shared" si="3"/>
        <v/>
      </c>
      <c r="T72" s="16" t="str">
        <f t="shared" si="4"/>
        <v/>
      </c>
      <c r="V72" s="16" t="str">
        <f t="shared" si="5"/>
        <v/>
      </c>
      <c r="X72" s="166"/>
    </row>
    <row r="73" spans="4:24" x14ac:dyDescent="0.15">
      <c r="D73" s="174"/>
      <c r="F73" s="158"/>
      <c r="G73" s="161"/>
      <c r="K73" s="127"/>
      <c r="Q73" s="75" t="str">
        <f t="shared" si="3"/>
        <v/>
      </c>
      <c r="T73" s="16" t="str">
        <f t="shared" si="4"/>
        <v/>
      </c>
      <c r="V73" s="16" t="str">
        <f t="shared" si="5"/>
        <v/>
      </c>
      <c r="X73" s="166"/>
    </row>
    <row r="74" spans="4:24" x14ac:dyDescent="0.15">
      <c r="D74" s="174"/>
      <c r="F74" s="158"/>
      <c r="G74" s="161"/>
      <c r="K74" s="127"/>
      <c r="Q74" s="75" t="str">
        <f t="shared" si="3"/>
        <v/>
      </c>
      <c r="T74" s="16" t="str">
        <f t="shared" si="4"/>
        <v/>
      </c>
      <c r="V74" s="16" t="str">
        <f t="shared" si="5"/>
        <v/>
      </c>
      <c r="X74" s="166"/>
    </row>
    <row r="75" spans="4:24" x14ac:dyDescent="0.15">
      <c r="D75" s="174"/>
      <c r="F75" s="158"/>
      <c r="G75" s="161"/>
      <c r="K75" s="127"/>
      <c r="Q75" s="75" t="str">
        <f t="shared" si="3"/>
        <v/>
      </c>
      <c r="T75" s="16" t="str">
        <f t="shared" si="4"/>
        <v/>
      </c>
      <c r="V75" s="16" t="str">
        <f t="shared" si="5"/>
        <v/>
      </c>
      <c r="X75" s="166"/>
    </row>
    <row r="76" spans="4:24" x14ac:dyDescent="0.15">
      <c r="D76" s="174"/>
      <c r="F76" s="158"/>
      <c r="G76" s="161"/>
      <c r="K76" s="127"/>
      <c r="Q76" s="75" t="str">
        <f t="shared" si="3"/>
        <v/>
      </c>
      <c r="T76" s="16" t="str">
        <f t="shared" si="4"/>
        <v/>
      </c>
      <c r="V76" s="16" t="str">
        <f t="shared" si="5"/>
        <v/>
      </c>
      <c r="X76" s="166"/>
    </row>
    <row r="77" spans="4:24" x14ac:dyDescent="0.15">
      <c r="D77" s="174"/>
      <c r="F77" s="158"/>
      <c r="G77" s="161"/>
      <c r="K77" s="127"/>
      <c r="Q77" s="75" t="str">
        <f t="shared" si="3"/>
        <v/>
      </c>
      <c r="T77" s="16" t="str">
        <f t="shared" si="4"/>
        <v/>
      </c>
      <c r="V77" s="16" t="str">
        <f t="shared" si="5"/>
        <v/>
      </c>
      <c r="X77" s="166"/>
    </row>
    <row r="78" spans="4:24" x14ac:dyDescent="0.15">
      <c r="D78" s="174"/>
      <c r="F78" s="158"/>
      <c r="G78" s="161"/>
      <c r="K78" s="127"/>
      <c r="Q78" s="75" t="str">
        <f t="shared" si="3"/>
        <v/>
      </c>
      <c r="T78" s="16" t="str">
        <f t="shared" si="4"/>
        <v/>
      </c>
      <c r="V78" s="16" t="str">
        <f t="shared" si="5"/>
        <v/>
      </c>
      <c r="X78" s="166"/>
    </row>
    <row r="79" spans="4:24" x14ac:dyDescent="0.15">
      <c r="D79" s="174"/>
      <c r="F79" s="158"/>
      <c r="G79" s="161"/>
      <c r="K79" s="127"/>
      <c r="Q79" s="75" t="str">
        <f t="shared" si="3"/>
        <v/>
      </c>
      <c r="T79" s="16" t="str">
        <f t="shared" si="4"/>
        <v/>
      </c>
      <c r="V79" s="16" t="str">
        <f t="shared" si="5"/>
        <v/>
      </c>
      <c r="X79" s="166"/>
    </row>
    <row r="80" spans="4:24" x14ac:dyDescent="0.15">
      <c r="K80" s="127"/>
      <c r="Q80" s="75" t="str">
        <f t="shared" si="3"/>
        <v/>
      </c>
      <c r="T80" s="16" t="str">
        <f t="shared" si="4"/>
        <v/>
      </c>
      <c r="V80" s="16" t="str">
        <f t="shared" si="5"/>
        <v/>
      </c>
    </row>
    <row r="81" spans="11:22" x14ac:dyDescent="0.15">
      <c r="K81" s="127"/>
      <c r="Q81" s="75" t="str">
        <f t="shared" si="3"/>
        <v/>
      </c>
      <c r="T81" s="16" t="str">
        <f t="shared" si="4"/>
        <v/>
      </c>
      <c r="V81" s="16" t="str">
        <f t="shared" si="5"/>
        <v/>
      </c>
    </row>
    <row r="82" spans="11:22" x14ac:dyDescent="0.15">
      <c r="K82" s="127"/>
      <c r="Q82" s="75" t="str">
        <f t="shared" si="3"/>
        <v/>
      </c>
      <c r="T82" s="16" t="str">
        <f t="shared" si="4"/>
        <v/>
      </c>
      <c r="V82" s="16" t="str">
        <f t="shared" si="5"/>
        <v/>
      </c>
    </row>
    <row r="83" spans="11:22" x14ac:dyDescent="0.15">
      <c r="K83" s="127"/>
      <c r="Q83" s="75" t="str">
        <f t="shared" si="3"/>
        <v/>
      </c>
      <c r="T83" s="16" t="str">
        <f t="shared" si="4"/>
        <v/>
      </c>
      <c r="V83" s="16" t="str">
        <f t="shared" si="5"/>
        <v/>
      </c>
    </row>
    <row r="84" spans="11:22" x14ac:dyDescent="0.15">
      <c r="K84" s="127"/>
      <c r="Q84" s="75" t="str">
        <f t="shared" si="3"/>
        <v/>
      </c>
      <c r="T84" s="16" t="str">
        <f t="shared" si="4"/>
        <v/>
      </c>
      <c r="V84" s="16" t="str">
        <f t="shared" si="5"/>
        <v/>
      </c>
    </row>
    <row r="85" spans="11:22" x14ac:dyDescent="0.15">
      <c r="K85" s="127"/>
      <c r="Q85" s="75" t="str">
        <f t="shared" si="3"/>
        <v/>
      </c>
      <c r="T85" s="16" t="str">
        <f t="shared" si="4"/>
        <v/>
      </c>
      <c r="V85" s="16" t="str">
        <f t="shared" si="5"/>
        <v/>
      </c>
    </row>
    <row r="86" spans="11:22" x14ac:dyDescent="0.15">
      <c r="K86" s="127"/>
      <c r="Q86" s="75" t="str">
        <f t="shared" si="3"/>
        <v/>
      </c>
      <c r="T86" s="16" t="str">
        <f t="shared" si="4"/>
        <v/>
      </c>
      <c r="V86" s="16" t="str">
        <f t="shared" si="5"/>
        <v/>
      </c>
    </row>
    <row r="87" spans="11:22" x14ac:dyDescent="0.15">
      <c r="K87" s="127"/>
      <c r="Q87" s="75" t="str">
        <f t="shared" si="3"/>
        <v/>
      </c>
      <c r="T87" s="16" t="str">
        <f t="shared" si="4"/>
        <v/>
      </c>
      <c r="V87" s="16" t="str">
        <f t="shared" si="5"/>
        <v/>
      </c>
    </row>
    <row r="88" spans="11:22" x14ac:dyDescent="0.15">
      <c r="K88" s="127"/>
      <c r="Q88" s="75" t="str">
        <f t="shared" si="3"/>
        <v/>
      </c>
      <c r="T88" s="16" t="str">
        <f t="shared" si="4"/>
        <v/>
      </c>
      <c r="V88" s="16" t="str">
        <f t="shared" si="5"/>
        <v/>
      </c>
    </row>
    <row r="89" spans="11:22" x14ac:dyDescent="0.15">
      <c r="K89" s="127"/>
      <c r="Q89" s="75" t="str">
        <f t="shared" si="3"/>
        <v/>
      </c>
      <c r="T89" s="16" t="str">
        <f t="shared" si="4"/>
        <v/>
      </c>
      <c r="V89" s="16" t="str">
        <f t="shared" si="5"/>
        <v/>
      </c>
    </row>
    <row r="90" spans="11:22" x14ac:dyDescent="0.15">
      <c r="K90" s="127"/>
      <c r="Q90" s="75" t="str">
        <f t="shared" si="3"/>
        <v/>
      </c>
      <c r="T90" s="16" t="str">
        <f t="shared" si="4"/>
        <v/>
      </c>
      <c r="V90" s="16" t="str">
        <f t="shared" si="5"/>
        <v/>
      </c>
    </row>
    <row r="91" spans="11:22" x14ac:dyDescent="0.15">
      <c r="K91" s="127"/>
      <c r="Q91" s="75" t="str">
        <f t="shared" si="3"/>
        <v/>
      </c>
      <c r="T91" s="16" t="str">
        <f t="shared" si="4"/>
        <v/>
      </c>
      <c r="V91" s="16" t="str">
        <f t="shared" si="5"/>
        <v/>
      </c>
    </row>
    <row r="92" spans="11:22" x14ac:dyDescent="0.15">
      <c r="K92" s="127"/>
      <c r="Q92" s="75"/>
    </row>
    <row r="93" spans="11:22" x14ac:dyDescent="0.15">
      <c r="K93" s="127"/>
      <c r="Q93" s="75"/>
    </row>
    <row r="94" spans="11:22" x14ac:dyDescent="0.15">
      <c r="K94" s="127"/>
      <c r="Q94" s="75"/>
    </row>
    <row r="95" spans="11:22" x14ac:dyDescent="0.15">
      <c r="K95" s="127"/>
      <c r="Q95" s="75"/>
    </row>
    <row r="96" spans="11:22" x14ac:dyDescent="0.15">
      <c r="K96" s="127"/>
      <c r="Q96" s="75"/>
    </row>
    <row r="97" spans="11:17" x14ac:dyDescent="0.15">
      <c r="K97" s="127"/>
      <c r="Q97" s="75"/>
    </row>
    <row r="98" spans="11:17" x14ac:dyDescent="0.15">
      <c r="K98" s="127"/>
      <c r="Q98" s="75"/>
    </row>
    <row r="99" spans="11:17" x14ac:dyDescent="0.15">
      <c r="K99" s="127"/>
      <c r="Q99" s="75"/>
    </row>
    <row r="100" spans="11:17" x14ac:dyDescent="0.15">
      <c r="K100" s="127"/>
      <c r="Q100" s="75"/>
    </row>
    <row r="101" spans="11:17" x14ac:dyDescent="0.15">
      <c r="K101" s="127"/>
      <c r="Q101" s="75"/>
    </row>
    <row r="102" spans="11:17" x14ac:dyDescent="0.15">
      <c r="K102" s="127"/>
      <c r="Q102" s="75"/>
    </row>
    <row r="103" spans="11:17" x14ac:dyDescent="0.15">
      <c r="K103" s="127"/>
      <c r="Q103" s="75"/>
    </row>
    <row r="104" spans="11:17" x14ac:dyDescent="0.15">
      <c r="K104" s="127"/>
      <c r="Q104" s="75"/>
    </row>
    <row r="105" spans="11:17" x14ac:dyDescent="0.15">
      <c r="K105" s="127"/>
      <c r="Q105" s="75"/>
    </row>
    <row r="106" spans="11:17" x14ac:dyDescent="0.15">
      <c r="K106" s="127"/>
      <c r="Q106" s="75"/>
    </row>
    <row r="107" spans="11:17" x14ac:dyDescent="0.15">
      <c r="K107" s="127"/>
      <c r="Q107" s="75"/>
    </row>
    <row r="108" spans="11:17" x14ac:dyDescent="0.15">
      <c r="K108" s="127"/>
      <c r="Q108" s="75"/>
    </row>
    <row r="109" spans="11:17" x14ac:dyDescent="0.15">
      <c r="K109" s="127"/>
      <c r="Q109" s="75"/>
    </row>
    <row r="110" spans="11:17" x14ac:dyDescent="0.15">
      <c r="K110" s="127"/>
      <c r="Q110" s="75"/>
    </row>
    <row r="111" spans="11:17" x14ac:dyDescent="0.15">
      <c r="K111" s="127"/>
      <c r="Q111" s="75"/>
    </row>
    <row r="112" spans="11:17" x14ac:dyDescent="0.15">
      <c r="K112" s="127"/>
      <c r="Q112" s="75"/>
    </row>
    <row r="113" spans="11:17" x14ac:dyDescent="0.15">
      <c r="K113" s="127"/>
      <c r="Q113" s="75"/>
    </row>
    <row r="114" spans="11:17" x14ac:dyDescent="0.15">
      <c r="K114" s="127"/>
      <c r="Q114" s="75"/>
    </row>
    <row r="115" spans="11:17" x14ac:dyDescent="0.15">
      <c r="K115" s="127"/>
      <c r="Q115" s="75"/>
    </row>
    <row r="116" spans="11:17" x14ac:dyDescent="0.15">
      <c r="K116" s="127"/>
      <c r="Q116" s="75"/>
    </row>
    <row r="117" spans="11:17" x14ac:dyDescent="0.15">
      <c r="K117" s="127"/>
      <c r="Q117" s="75"/>
    </row>
    <row r="118" spans="11:17" x14ac:dyDescent="0.15">
      <c r="K118" s="127"/>
      <c r="Q118" s="75"/>
    </row>
    <row r="119" spans="11:17" x14ac:dyDescent="0.15">
      <c r="K119" s="127"/>
      <c r="Q119" s="75"/>
    </row>
    <row r="120" spans="11:17" x14ac:dyDescent="0.15">
      <c r="K120" s="127"/>
      <c r="Q120" s="75"/>
    </row>
    <row r="121" spans="11:17" x14ac:dyDescent="0.15">
      <c r="K121" s="127"/>
      <c r="Q121" s="75"/>
    </row>
    <row r="122" spans="11:17" x14ac:dyDescent="0.15">
      <c r="K122" s="127"/>
      <c r="Q122" s="75"/>
    </row>
    <row r="123" spans="11:17" x14ac:dyDescent="0.15">
      <c r="K123" s="127"/>
      <c r="Q123" s="75"/>
    </row>
    <row r="124" spans="11:17" x14ac:dyDescent="0.15">
      <c r="K124" s="127"/>
      <c r="Q124" s="75"/>
    </row>
    <row r="125" spans="11:17" x14ac:dyDescent="0.15">
      <c r="K125" s="127"/>
      <c r="Q125" s="75"/>
    </row>
    <row r="126" spans="11:17" x14ac:dyDescent="0.15">
      <c r="K126" s="127"/>
      <c r="Q126" s="75"/>
    </row>
    <row r="127" spans="11:17" x14ac:dyDescent="0.15">
      <c r="K127" s="127"/>
      <c r="Q127" s="75"/>
    </row>
    <row r="128" spans="11:17" x14ac:dyDescent="0.15">
      <c r="K128" s="127"/>
      <c r="Q128" s="75"/>
    </row>
    <row r="129" spans="11:17" x14ac:dyDescent="0.15">
      <c r="K129" s="127"/>
      <c r="Q129" s="75"/>
    </row>
    <row r="130" spans="11:17" x14ac:dyDescent="0.15">
      <c r="K130" s="127"/>
      <c r="Q130" s="75"/>
    </row>
    <row r="131" spans="11:17" x14ac:dyDescent="0.15">
      <c r="K131" s="127"/>
      <c r="Q131" s="75"/>
    </row>
    <row r="132" spans="11:17" x14ac:dyDescent="0.15">
      <c r="K132" s="127"/>
      <c r="Q132" s="75"/>
    </row>
    <row r="133" spans="11:17" x14ac:dyDescent="0.15">
      <c r="K133" s="127"/>
      <c r="Q133" s="75"/>
    </row>
    <row r="134" spans="11:17" x14ac:dyDescent="0.15">
      <c r="K134" s="127"/>
      <c r="Q134" s="75"/>
    </row>
    <row r="135" spans="11:17" x14ac:dyDescent="0.15">
      <c r="K135" s="127"/>
      <c r="Q135" s="75"/>
    </row>
    <row r="136" spans="11:17" x14ac:dyDescent="0.15">
      <c r="K136" s="127"/>
      <c r="Q136" s="75"/>
    </row>
    <row r="137" spans="11:17" x14ac:dyDescent="0.15">
      <c r="K137" s="127"/>
      <c r="Q137" s="75"/>
    </row>
    <row r="138" spans="11:17" x14ac:dyDescent="0.15">
      <c r="K138" s="127"/>
      <c r="Q138" s="75"/>
    </row>
    <row r="139" spans="11:17" x14ac:dyDescent="0.15">
      <c r="K139" s="127"/>
      <c r="Q139" s="75"/>
    </row>
    <row r="140" spans="11:17" x14ac:dyDescent="0.15">
      <c r="K140" s="127"/>
      <c r="Q140" s="75"/>
    </row>
    <row r="141" spans="11:17" x14ac:dyDescent="0.15">
      <c r="K141" s="127"/>
      <c r="Q141" s="75"/>
    </row>
    <row r="142" spans="11:17" x14ac:dyDescent="0.15">
      <c r="K142" s="127"/>
      <c r="Q142" s="75"/>
    </row>
    <row r="143" spans="11:17" x14ac:dyDescent="0.15">
      <c r="K143" s="127"/>
      <c r="Q143" s="75"/>
    </row>
    <row r="144" spans="11:17" x14ac:dyDescent="0.15">
      <c r="K144" s="127"/>
      <c r="Q144" s="75"/>
    </row>
    <row r="145" spans="11:17" x14ac:dyDescent="0.15">
      <c r="K145" s="127"/>
      <c r="Q145" s="75"/>
    </row>
    <row r="146" spans="11:17" x14ac:dyDescent="0.15">
      <c r="K146" s="127"/>
      <c r="Q146" s="75"/>
    </row>
    <row r="147" spans="11:17" x14ac:dyDescent="0.15">
      <c r="K147" s="127"/>
      <c r="Q147" s="75"/>
    </row>
    <row r="148" spans="11:17" x14ac:dyDescent="0.15">
      <c r="K148" s="127"/>
      <c r="Q148" s="75"/>
    </row>
    <row r="149" spans="11:17" x14ac:dyDescent="0.15">
      <c r="K149" s="127"/>
      <c r="Q149" s="75"/>
    </row>
    <row r="150" spans="11:17" x14ac:dyDescent="0.15">
      <c r="K150" s="127"/>
      <c r="Q150" s="75"/>
    </row>
    <row r="151" spans="11:17" x14ac:dyDescent="0.15">
      <c r="K151" s="127"/>
      <c r="Q151" s="75"/>
    </row>
    <row r="152" spans="11:17" x14ac:dyDescent="0.15">
      <c r="K152" s="127"/>
      <c r="Q152" s="75"/>
    </row>
    <row r="153" spans="11:17" x14ac:dyDescent="0.15">
      <c r="K153" s="127"/>
      <c r="Q153" s="75"/>
    </row>
    <row r="154" spans="11:17" x14ac:dyDescent="0.15">
      <c r="K154" s="127"/>
      <c r="Q154" s="75"/>
    </row>
    <row r="155" spans="11:17" x14ac:dyDescent="0.15">
      <c r="K155" s="127"/>
      <c r="Q155" s="75"/>
    </row>
    <row r="156" spans="11:17" x14ac:dyDescent="0.15">
      <c r="K156" s="127"/>
      <c r="Q156" s="75"/>
    </row>
    <row r="157" spans="11:17" x14ac:dyDescent="0.15">
      <c r="K157" s="127"/>
      <c r="Q157" s="75"/>
    </row>
    <row r="158" spans="11:17" x14ac:dyDescent="0.15">
      <c r="K158" s="127"/>
      <c r="Q158" s="75"/>
    </row>
    <row r="159" spans="11:17" x14ac:dyDescent="0.15">
      <c r="K159" s="127"/>
      <c r="Q159" s="75"/>
    </row>
    <row r="160" spans="11:17" x14ac:dyDescent="0.15">
      <c r="K160" s="127"/>
      <c r="Q160" s="75"/>
    </row>
    <row r="161" spans="11:17" x14ac:dyDescent="0.15">
      <c r="K161" s="127"/>
      <c r="Q161" s="75"/>
    </row>
    <row r="162" spans="11:17" x14ac:dyDescent="0.15">
      <c r="K162" s="127"/>
      <c r="Q162" s="75"/>
    </row>
    <row r="163" spans="11:17" x14ac:dyDescent="0.15">
      <c r="K163" s="127"/>
      <c r="Q163" s="75"/>
    </row>
    <row r="164" spans="11:17" x14ac:dyDescent="0.15">
      <c r="K164" s="127"/>
      <c r="Q164" s="75"/>
    </row>
    <row r="165" spans="11:17" x14ac:dyDescent="0.15">
      <c r="K165" s="127"/>
      <c r="Q165" s="75"/>
    </row>
    <row r="166" spans="11:17" x14ac:dyDescent="0.15">
      <c r="K166" s="127"/>
      <c r="Q166" s="75"/>
    </row>
    <row r="167" spans="11:17" x14ac:dyDescent="0.15">
      <c r="K167" s="127"/>
      <c r="Q167" s="75"/>
    </row>
    <row r="168" spans="11:17" x14ac:dyDescent="0.15">
      <c r="K168" s="127"/>
      <c r="Q168" s="75"/>
    </row>
    <row r="169" spans="11:17" x14ac:dyDescent="0.15">
      <c r="K169" s="127"/>
      <c r="Q169" s="75"/>
    </row>
    <row r="170" spans="11:17" x14ac:dyDescent="0.15">
      <c r="K170" s="127"/>
      <c r="Q170" s="75"/>
    </row>
    <row r="171" spans="11:17" x14ac:dyDescent="0.15">
      <c r="K171" s="127"/>
      <c r="Q171" s="75"/>
    </row>
    <row r="172" spans="11:17" x14ac:dyDescent="0.15">
      <c r="K172" s="127"/>
      <c r="Q172" s="75"/>
    </row>
    <row r="173" spans="11:17" x14ac:dyDescent="0.15">
      <c r="K173" s="127"/>
      <c r="Q173" s="75"/>
    </row>
    <row r="174" spans="11:17" x14ac:dyDescent="0.15">
      <c r="K174" s="127"/>
      <c r="Q174" s="75"/>
    </row>
    <row r="175" spans="11:17" x14ac:dyDescent="0.15">
      <c r="K175" s="127"/>
      <c r="Q175" s="75"/>
    </row>
    <row r="176" spans="11:17" x14ac:dyDescent="0.15">
      <c r="K176" s="127"/>
      <c r="Q176" s="75"/>
    </row>
    <row r="177" spans="11:17" x14ac:dyDescent="0.15">
      <c r="K177" s="127"/>
      <c r="Q177" s="75"/>
    </row>
    <row r="178" spans="11:17" x14ac:dyDescent="0.15">
      <c r="K178" s="127"/>
      <c r="Q178" s="75"/>
    </row>
    <row r="179" spans="11:17" x14ac:dyDescent="0.15">
      <c r="K179" s="127"/>
      <c r="Q179" s="75"/>
    </row>
    <row r="180" spans="11:17" x14ac:dyDescent="0.15">
      <c r="K180" s="127"/>
      <c r="Q180" s="75"/>
    </row>
    <row r="181" spans="11:17" x14ac:dyDescent="0.15">
      <c r="K181" s="127"/>
      <c r="Q181" s="75"/>
    </row>
    <row r="182" spans="11:17" x14ac:dyDescent="0.15">
      <c r="K182" s="127"/>
      <c r="Q182" s="75"/>
    </row>
    <row r="183" spans="11:17" x14ac:dyDescent="0.15">
      <c r="K183" s="127"/>
      <c r="Q183" s="75"/>
    </row>
    <row r="184" spans="11:17" x14ac:dyDescent="0.15">
      <c r="K184" s="127"/>
      <c r="Q184" s="75"/>
    </row>
    <row r="185" spans="11:17" x14ac:dyDescent="0.15">
      <c r="K185" s="127"/>
      <c r="Q185" s="75"/>
    </row>
    <row r="186" spans="11:17" x14ac:dyDescent="0.15">
      <c r="K186" s="127"/>
      <c r="Q186" s="75"/>
    </row>
    <row r="187" spans="11:17" x14ac:dyDescent="0.15">
      <c r="K187" s="127"/>
      <c r="Q187" s="75"/>
    </row>
    <row r="188" spans="11:17" x14ac:dyDescent="0.15">
      <c r="K188" s="127"/>
      <c r="Q188" s="75"/>
    </row>
    <row r="189" spans="11:17" x14ac:dyDescent="0.15">
      <c r="K189" s="127"/>
      <c r="Q189" s="75"/>
    </row>
    <row r="190" spans="11:17" x14ac:dyDescent="0.15">
      <c r="K190" s="127"/>
      <c r="Q190" s="75"/>
    </row>
    <row r="191" spans="11:17" x14ac:dyDescent="0.15">
      <c r="K191" s="127"/>
      <c r="Q191" s="75"/>
    </row>
    <row r="192" spans="11:17" x14ac:dyDescent="0.15">
      <c r="K192" s="127"/>
      <c r="Q192" s="75"/>
    </row>
    <row r="193" spans="11:17" x14ac:dyDescent="0.15">
      <c r="K193" s="127"/>
      <c r="Q193" s="75"/>
    </row>
    <row r="194" spans="11:17" x14ac:dyDescent="0.15">
      <c r="K194" s="127"/>
      <c r="Q194" s="75"/>
    </row>
    <row r="195" spans="11:17" x14ac:dyDescent="0.15">
      <c r="K195" s="127"/>
      <c r="Q195" s="75"/>
    </row>
    <row r="196" spans="11:17" x14ac:dyDescent="0.15">
      <c r="K196" s="127"/>
      <c r="Q196" s="75"/>
    </row>
    <row r="197" spans="11:17" x14ac:dyDescent="0.15">
      <c r="K197" s="127"/>
      <c r="Q197" s="75"/>
    </row>
    <row r="198" spans="11:17" x14ac:dyDescent="0.15">
      <c r="K198" s="127"/>
      <c r="Q198" s="75"/>
    </row>
    <row r="199" spans="11:17" x14ac:dyDescent="0.15">
      <c r="K199" s="127"/>
      <c r="Q199" s="75"/>
    </row>
    <row r="200" spans="11:17" x14ac:dyDescent="0.15">
      <c r="K200" s="127"/>
      <c r="Q200" s="75"/>
    </row>
    <row r="201" spans="11:17" x14ac:dyDescent="0.15">
      <c r="K201" s="127"/>
      <c r="Q201" s="75"/>
    </row>
    <row r="202" spans="11:17" x14ac:dyDescent="0.15">
      <c r="K202" s="127"/>
      <c r="Q202" s="75"/>
    </row>
    <row r="203" spans="11:17" x14ac:dyDescent="0.15">
      <c r="K203" s="127"/>
      <c r="Q203" s="75"/>
    </row>
    <row r="204" spans="11:17" x14ac:dyDescent="0.15">
      <c r="K204" s="127"/>
      <c r="Q204" s="75"/>
    </row>
    <row r="205" spans="11:17" x14ac:dyDescent="0.15">
      <c r="K205" s="127"/>
      <c r="Q205" s="75"/>
    </row>
    <row r="206" spans="11:17" x14ac:dyDescent="0.15">
      <c r="K206" s="127"/>
      <c r="Q206" s="75"/>
    </row>
    <row r="207" spans="11:17" x14ac:dyDescent="0.15">
      <c r="K207" s="127"/>
      <c r="Q207" s="75"/>
    </row>
    <row r="208" spans="11:17" x14ac:dyDescent="0.15">
      <c r="K208" s="127"/>
      <c r="Q208" s="75"/>
    </row>
    <row r="209" spans="11:17" x14ac:dyDescent="0.15">
      <c r="K209" s="127"/>
      <c r="Q209" s="75"/>
    </row>
    <row r="210" spans="11:17" x14ac:dyDescent="0.15">
      <c r="K210" s="127"/>
      <c r="Q210" s="75"/>
    </row>
    <row r="211" spans="11:17" x14ac:dyDescent="0.15">
      <c r="K211" s="127"/>
      <c r="Q211" s="75"/>
    </row>
    <row r="212" spans="11:17" x14ac:dyDescent="0.15">
      <c r="K212" s="127"/>
      <c r="Q212" s="75"/>
    </row>
    <row r="213" spans="11:17" x14ac:dyDescent="0.15">
      <c r="K213" s="127"/>
      <c r="Q213" s="75"/>
    </row>
    <row r="214" spans="11:17" x14ac:dyDescent="0.15">
      <c r="K214" s="127"/>
      <c r="Q214" s="75"/>
    </row>
    <row r="215" spans="11:17" x14ac:dyDescent="0.15">
      <c r="K215" s="127"/>
      <c r="Q215" s="75"/>
    </row>
    <row r="216" spans="11:17" x14ac:dyDescent="0.15">
      <c r="K216" s="127"/>
      <c r="Q216" s="75"/>
    </row>
    <row r="217" spans="11:17" x14ac:dyDescent="0.15">
      <c r="K217" s="127"/>
      <c r="Q217" s="75"/>
    </row>
    <row r="218" spans="11:17" x14ac:dyDescent="0.15">
      <c r="K218" s="127"/>
      <c r="Q218" s="75"/>
    </row>
    <row r="219" spans="11:17" x14ac:dyDescent="0.15">
      <c r="K219" s="127"/>
      <c r="Q219" s="75"/>
    </row>
    <row r="220" spans="11:17" x14ac:dyDescent="0.15">
      <c r="K220" s="127"/>
      <c r="Q220" s="75"/>
    </row>
    <row r="221" spans="11:17" x14ac:dyDescent="0.15">
      <c r="K221" s="127"/>
      <c r="Q221" s="75"/>
    </row>
    <row r="222" spans="11:17" x14ac:dyDescent="0.15">
      <c r="K222" s="127"/>
      <c r="Q222" s="75"/>
    </row>
    <row r="223" spans="11:17" x14ac:dyDescent="0.15">
      <c r="K223" s="127"/>
      <c r="Q223" s="75"/>
    </row>
    <row r="224" spans="11:17" x14ac:dyDescent="0.15">
      <c r="K224" s="127"/>
      <c r="Q224" s="75"/>
    </row>
    <row r="225" spans="11:17" x14ac:dyDescent="0.15">
      <c r="K225" s="127"/>
      <c r="Q225" s="75"/>
    </row>
    <row r="226" spans="11:17" x14ac:dyDescent="0.15">
      <c r="K226" s="127"/>
      <c r="Q226" s="75"/>
    </row>
    <row r="227" spans="11:17" x14ac:dyDescent="0.15">
      <c r="K227" s="127"/>
      <c r="Q227" s="75"/>
    </row>
    <row r="228" spans="11:17" x14ac:dyDescent="0.15">
      <c r="K228" s="127"/>
      <c r="Q228" s="75"/>
    </row>
    <row r="229" spans="11:17" x14ac:dyDescent="0.15">
      <c r="K229" s="127"/>
      <c r="Q229" s="75"/>
    </row>
    <row r="230" spans="11:17" x14ac:dyDescent="0.15">
      <c r="K230" s="127"/>
      <c r="Q230" s="75"/>
    </row>
    <row r="231" spans="11:17" x14ac:dyDescent="0.15">
      <c r="K231" s="127"/>
      <c r="Q231" s="75"/>
    </row>
    <row r="232" spans="11:17" x14ac:dyDescent="0.15">
      <c r="K232" s="127"/>
      <c r="Q232" s="75"/>
    </row>
    <row r="233" spans="11:17" x14ac:dyDescent="0.15">
      <c r="K233" s="127"/>
      <c r="Q233" s="75"/>
    </row>
    <row r="234" spans="11:17" x14ac:dyDescent="0.15">
      <c r="K234" s="127"/>
      <c r="Q234" s="75"/>
    </row>
    <row r="235" spans="11:17" x14ac:dyDescent="0.15">
      <c r="K235" s="127"/>
      <c r="Q235" s="75"/>
    </row>
    <row r="236" spans="11:17" x14ac:dyDescent="0.15">
      <c r="K236" s="127"/>
      <c r="Q236" s="75"/>
    </row>
    <row r="237" spans="11:17" x14ac:dyDescent="0.15">
      <c r="K237" s="127"/>
      <c r="Q237" s="75"/>
    </row>
    <row r="238" spans="11:17" x14ac:dyDescent="0.15">
      <c r="K238" s="127"/>
      <c r="Q238" s="75"/>
    </row>
    <row r="239" spans="11:17" x14ac:dyDescent="0.15">
      <c r="K239" s="127"/>
      <c r="Q239" s="75"/>
    </row>
    <row r="240" spans="11:17" x14ac:dyDescent="0.15">
      <c r="K240" s="127"/>
      <c r="Q240" s="75"/>
    </row>
    <row r="241" spans="11:17" x14ac:dyDescent="0.15">
      <c r="K241" s="127"/>
      <c r="Q241" s="75"/>
    </row>
    <row r="242" spans="11:17" x14ac:dyDescent="0.15">
      <c r="K242" s="127"/>
      <c r="Q242" s="75"/>
    </row>
    <row r="243" spans="11:17" x14ac:dyDescent="0.15">
      <c r="K243" s="127"/>
      <c r="Q243" s="75"/>
    </row>
    <row r="244" spans="11:17" x14ac:dyDescent="0.15">
      <c r="K244" s="127"/>
      <c r="Q244" s="75"/>
    </row>
    <row r="245" spans="11:17" x14ac:dyDescent="0.15">
      <c r="K245" s="127"/>
      <c r="Q245" s="75"/>
    </row>
    <row r="246" spans="11:17" x14ac:dyDescent="0.15">
      <c r="K246" s="127"/>
      <c r="Q246" s="75"/>
    </row>
    <row r="247" spans="11:17" x14ac:dyDescent="0.15">
      <c r="K247" s="127"/>
      <c r="Q247" s="75"/>
    </row>
    <row r="248" spans="11:17" x14ac:dyDescent="0.15">
      <c r="K248" s="127"/>
      <c r="Q248" s="75"/>
    </row>
    <row r="249" spans="11:17" x14ac:dyDescent="0.15">
      <c r="K249" s="127"/>
      <c r="Q249" s="75"/>
    </row>
    <row r="250" spans="11:17" x14ac:dyDescent="0.15">
      <c r="K250" s="127"/>
      <c r="Q250" s="75"/>
    </row>
    <row r="251" spans="11:17" x14ac:dyDescent="0.15">
      <c r="K251" s="127"/>
      <c r="Q251" s="75"/>
    </row>
    <row r="252" spans="11:17" x14ac:dyDescent="0.15">
      <c r="K252" s="127"/>
      <c r="Q252" s="75"/>
    </row>
    <row r="253" spans="11:17" x14ac:dyDescent="0.15">
      <c r="K253" s="127"/>
      <c r="Q253" s="75"/>
    </row>
    <row r="254" spans="11:17" x14ac:dyDescent="0.15">
      <c r="K254" s="127"/>
      <c r="Q254" s="75"/>
    </row>
    <row r="255" spans="11:17" x14ac:dyDescent="0.15">
      <c r="K255" s="127"/>
      <c r="Q255" s="75"/>
    </row>
    <row r="256" spans="11:17" x14ac:dyDescent="0.15">
      <c r="K256" s="127"/>
      <c r="Q256" s="75"/>
    </row>
    <row r="257" spans="11:17" x14ac:dyDescent="0.15">
      <c r="K257" s="127"/>
      <c r="Q257" s="75"/>
    </row>
    <row r="258" spans="11:17" x14ac:dyDescent="0.15">
      <c r="K258" s="127"/>
      <c r="Q258" s="75"/>
    </row>
    <row r="259" spans="11:17" x14ac:dyDescent="0.15">
      <c r="K259" s="127"/>
      <c r="Q259" s="75"/>
    </row>
    <row r="260" spans="11:17" x14ac:dyDescent="0.15">
      <c r="K260" s="127"/>
      <c r="Q260" s="75"/>
    </row>
    <row r="261" spans="11:17" x14ac:dyDescent="0.15">
      <c r="K261" s="127"/>
      <c r="Q261" s="75"/>
    </row>
    <row r="262" spans="11:17" x14ac:dyDescent="0.15">
      <c r="K262" s="127"/>
      <c r="Q262" s="75"/>
    </row>
    <row r="263" spans="11:17" x14ac:dyDescent="0.15">
      <c r="K263" s="127"/>
      <c r="Q263" s="75"/>
    </row>
    <row r="264" spans="11:17" x14ac:dyDescent="0.15">
      <c r="K264" s="127"/>
      <c r="Q264" s="75"/>
    </row>
    <row r="265" spans="11:17" x14ac:dyDescent="0.15">
      <c r="K265" s="127"/>
      <c r="Q265" s="75"/>
    </row>
    <row r="266" spans="11:17" x14ac:dyDescent="0.15">
      <c r="K266" s="127"/>
      <c r="Q266" s="75"/>
    </row>
    <row r="267" spans="11:17" x14ac:dyDescent="0.15">
      <c r="K267" s="127"/>
      <c r="Q267" s="75"/>
    </row>
    <row r="268" spans="11:17" x14ac:dyDescent="0.15">
      <c r="K268" s="127"/>
      <c r="Q268" s="75"/>
    </row>
    <row r="269" spans="11:17" x14ac:dyDescent="0.15">
      <c r="K269" s="127"/>
      <c r="Q269" s="75"/>
    </row>
    <row r="270" spans="11:17" x14ac:dyDescent="0.15">
      <c r="K270" s="127"/>
      <c r="Q270" s="75"/>
    </row>
    <row r="271" spans="11:17" x14ac:dyDescent="0.15">
      <c r="K271" s="127"/>
      <c r="Q271" s="75"/>
    </row>
    <row r="272" spans="11:17" x14ac:dyDescent="0.15">
      <c r="K272" s="127"/>
      <c r="Q272" s="75"/>
    </row>
    <row r="273" spans="11:17" x14ac:dyDescent="0.15">
      <c r="K273" s="127"/>
      <c r="Q273" s="75"/>
    </row>
    <row r="274" spans="11:17" x14ac:dyDescent="0.15">
      <c r="K274" s="127"/>
      <c r="Q274" s="75"/>
    </row>
    <row r="275" spans="11:17" x14ac:dyDescent="0.15">
      <c r="K275" s="127"/>
      <c r="Q275" s="75"/>
    </row>
    <row r="276" spans="11:17" x14ac:dyDescent="0.15">
      <c r="K276" s="127"/>
      <c r="Q276" s="75"/>
    </row>
    <row r="277" spans="11:17" x14ac:dyDescent="0.15">
      <c r="K277" s="127"/>
      <c r="Q277" s="75"/>
    </row>
    <row r="278" spans="11:17" x14ac:dyDescent="0.15">
      <c r="K278" s="127"/>
      <c r="Q278" s="75"/>
    </row>
    <row r="279" spans="11:17" x14ac:dyDescent="0.15">
      <c r="K279" s="127"/>
      <c r="Q279" s="75"/>
    </row>
    <row r="280" spans="11:17" x14ac:dyDescent="0.15">
      <c r="K280" s="127"/>
      <c r="Q280" s="75"/>
    </row>
    <row r="281" spans="11:17" x14ac:dyDescent="0.15">
      <c r="K281" s="127"/>
      <c r="Q281" s="75"/>
    </row>
    <row r="282" spans="11:17" x14ac:dyDescent="0.15">
      <c r="K282" s="127"/>
      <c r="Q282" s="75"/>
    </row>
    <row r="283" spans="11:17" x14ac:dyDescent="0.15">
      <c r="K283" s="127"/>
      <c r="Q283" s="75"/>
    </row>
    <row r="284" spans="11:17" x14ac:dyDescent="0.15">
      <c r="K284" s="127"/>
      <c r="Q284" s="75"/>
    </row>
    <row r="285" spans="11:17" x14ac:dyDescent="0.15">
      <c r="K285" s="127"/>
      <c r="Q285" s="75"/>
    </row>
    <row r="286" spans="11:17" x14ac:dyDescent="0.15">
      <c r="K286" s="127"/>
      <c r="Q286" s="75"/>
    </row>
    <row r="287" spans="11:17" x14ac:dyDescent="0.15">
      <c r="K287" s="127"/>
      <c r="Q287" s="75"/>
    </row>
    <row r="288" spans="11:17" x14ac:dyDescent="0.15">
      <c r="K288" s="127"/>
      <c r="Q288" s="75"/>
    </row>
    <row r="289" spans="11:17" x14ac:dyDescent="0.15">
      <c r="K289" s="127"/>
      <c r="Q289" s="75"/>
    </row>
    <row r="290" spans="11:17" x14ac:dyDescent="0.15">
      <c r="K290" s="127"/>
      <c r="Q290" s="75"/>
    </row>
    <row r="291" spans="11:17" x14ac:dyDescent="0.15">
      <c r="K291" s="127"/>
      <c r="Q291" s="75"/>
    </row>
    <row r="292" spans="11:17" x14ac:dyDescent="0.15">
      <c r="K292" s="127"/>
    </row>
    <row r="293" spans="11:17" x14ac:dyDescent="0.15">
      <c r="K293" s="127"/>
    </row>
    <row r="294" spans="11:17" x14ac:dyDescent="0.15">
      <c r="K294" s="127"/>
    </row>
    <row r="295" spans="11:17" x14ac:dyDescent="0.15">
      <c r="K295" s="127"/>
    </row>
    <row r="296" spans="11:17" x14ac:dyDescent="0.15">
      <c r="K296" s="127"/>
    </row>
    <row r="297" spans="11:17" x14ac:dyDescent="0.15">
      <c r="K297" s="127"/>
    </row>
    <row r="298" spans="11:17" x14ac:dyDescent="0.15">
      <c r="K298" s="127"/>
    </row>
    <row r="299" spans="11:17" x14ac:dyDescent="0.15">
      <c r="K299" s="127"/>
    </row>
    <row r="300" spans="11:17" x14ac:dyDescent="0.15">
      <c r="K300" s="127"/>
    </row>
    <row r="301" spans="11:17" x14ac:dyDescent="0.15">
      <c r="K301" s="127"/>
    </row>
    <row r="302" spans="11:17" x14ac:dyDescent="0.15">
      <c r="K302" s="127"/>
    </row>
    <row r="303" spans="11:17" x14ac:dyDescent="0.15">
      <c r="K303" s="127"/>
    </row>
    <row r="304" spans="11:17" x14ac:dyDescent="0.15">
      <c r="K304" s="127"/>
    </row>
    <row r="305" spans="11:11" x14ac:dyDescent="0.15">
      <c r="K305" s="127"/>
    </row>
    <row r="306" spans="11:11" x14ac:dyDescent="0.15">
      <c r="K306" s="127"/>
    </row>
    <row r="307" spans="11:11" x14ac:dyDescent="0.15">
      <c r="K307" s="127"/>
    </row>
    <row r="308" spans="11:11" x14ac:dyDescent="0.15">
      <c r="K308" s="127"/>
    </row>
    <row r="309" spans="11:11" x14ac:dyDescent="0.15">
      <c r="K309" s="127"/>
    </row>
    <row r="310" spans="11:11" x14ac:dyDescent="0.15">
      <c r="K310" s="127"/>
    </row>
    <row r="311" spans="11:11" x14ac:dyDescent="0.15">
      <c r="K311" s="127"/>
    </row>
    <row r="312" spans="11:11" x14ac:dyDescent="0.15">
      <c r="K312" s="127"/>
    </row>
    <row r="313" spans="11:11" x14ac:dyDescent="0.15">
      <c r="K313" s="127"/>
    </row>
    <row r="314" spans="11:11" x14ac:dyDescent="0.15">
      <c r="K314" s="127"/>
    </row>
    <row r="315" spans="11:11" x14ac:dyDescent="0.15">
      <c r="K315" s="127"/>
    </row>
    <row r="316" spans="11:11" x14ac:dyDescent="0.15">
      <c r="K316" s="127"/>
    </row>
    <row r="317" spans="11:11" x14ac:dyDescent="0.15">
      <c r="K317" s="127"/>
    </row>
    <row r="318" spans="11:11" x14ac:dyDescent="0.15">
      <c r="K318" s="127"/>
    </row>
    <row r="319" spans="11:11" x14ac:dyDescent="0.15">
      <c r="K319" s="127"/>
    </row>
    <row r="320" spans="11:11" x14ac:dyDescent="0.15">
      <c r="K320" s="127"/>
    </row>
    <row r="321" spans="11:11" x14ac:dyDescent="0.15">
      <c r="K321" s="127"/>
    </row>
    <row r="322" spans="11:11" x14ac:dyDescent="0.15">
      <c r="K322" s="127"/>
    </row>
    <row r="323" spans="11:11" x14ac:dyDescent="0.15">
      <c r="K323" s="127"/>
    </row>
    <row r="324" spans="11:11" x14ac:dyDescent="0.15">
      <c r="K324" s="127"/>
    </row>
    <row r="325" spans="11:11" x14ac:dyDescent="0.15">
      <c r="K325" s="127"/>
    </row>
    <row r="326" spans="11:11" x14ac:dyDescent="0.15">
      <c r="K326" s="127"/>
    </row>
    <row r="327" spans="11:11" x14ac:dyDescent="0.15">
      <c r="K327" s="127"/>
    </row>
    <row r="328" spans="11:11" x14ac:dyDescent="0.15">
      <c r="K328" s="127"/>
    </row>
    <row r="329" spans="11:11" x14ac:dyDescent="0.15">
      <c r="K329" s="127"/>
    </row>
    <row r="330" spans="11:11" x14ac:dyDescent="0.15">
      <c r="K330" s="127"/>
    </row>
    <row r="331" spans="11:11" x14ac:dyDescent="0.15">
      <c r="K331" s="127"/>
    </row>
    <row r="332" spans="11:11" x14ac:dyDescent="0.15">
      <c r="K332" s="127"/>
    </row>
    <row r="333" spans="11:11" x14ac:dyDescent="0.15">
      <c r="K333" s="127"/>
    </row>
    <row r="334" spans="11:11" x14ac:dyDescent="0.15">
      <c r="K334" s="127"/>
    </row>
    <row r="335" spans="11:11" x14ac:dyDescent="0.15">
      <c r="K335" s="127"/>
    </row>
    <row r="336" spans="11:11" x14ac:dyDescent="0.15">
      <c r="K336" s="127"/>
    </row>
    <row r="337" spans="11:11" x14ac:dyDescent="0.15">
      <c r="K337" s="127"/>
    </row>
    <row r="338" spans="11:11" x14ac:dyDescent="0.15">
      <c r="K338" s="127"/>
    </row>
    <row r="339" spans="11:11" x14ac:dyDescent="0.15">
      <c r="K339" s="127"/>
    </row>
    <row r="340" spans="11:11" x14ac:dyDescent="0.15">
      <c r="K340" s="127"/>
    </row>
    <row r="341" spans="11:11" x14ac:dyDescent="0.15">
      <c r="K341" s="127"/>
    </row>
    <row r="342" spans="11:11" x14ac:dyDescent="0.15">
      <c r="K342" s="127"/>
    </row>
    <row r="343" spans="11:11" x14ac:dyDescent="0.15">
      <c r="K343" s="127"/>
    </row>
    <row r="344" spans="11:11" x14ac:dyDescent="0.15">
      <c r="K344" s="127"/>
    </row>
    <row r="345" spans="11:11" x14ac:dyDescent="0.15">
      <c r="K345" s="127"/>
    </row>
    <row r="346" spans="11:11" x14ac:dyDescent="0.15">
      <c r="K346" s="127"/>
    </row>
    <row r="347" spans="11:11" x14ac:dyDescent="0.15">
      <c r="K347" s="127"/>
    </row>
    <row r="348" spans="11:11" x14ac:dyDescent="0.15">
      <c r="K348" s="127"/>
    </row>
    <row r="349" spans="11:11" x14ac:dyDescent="0.15">
      <c r="K349" s="127"/>
    </row>
    <row r="350" spans="11:11" x14ac:dyDescent="0.15">
      <c r="K350" s="127"/>
    </row>
    <row r="351" spans="11:11" x14ac:dyDescent="0.15">
      <c r="K351" s="127"/>
    </row>
    <row r="352" spans="11:11" x14ac:dyDescent="0.15">
      <c r="K352" s="127"/>
    </row>
    <row r="353" spans="11:11" x14ac:dyDescent="0.15">
      <c r="K353" s="127"/>
    </row>
    <row r="354" spans="11:11" x14ac:dyDescent="0.15">
      <c r="K354" s="127"/>
    </row>
    <row r="355" spans="11:11" x14ac:dyDescent="0.15">
      <c r="K355" s="127"/>
    </row>
    <row r="356" spans="11:11" x14ac:dyDescent="0.15">
      <c r="K356" s="127"/>
    </row>
    <row r="357" spans="11:11" x14ac:dyDescent="0.15">
      <c r="K357" s="127"/>
    </row>
    <row r="358" spans="11:11" x14ac:dyDescent="0.15">
      <c r="K358" s="127"/>
    </row>
    <row r="359" spans="11:11" x14ac:dyDescent="0.15">
      <c r="K359" s="127"/>
    </row>
    <row r="360" spans="11:11" x14ac:dyDescent="0.15">
      <c r="K360" s="127"/>
    </row>
    <row r="361" spans="11:11" x14ac:dyDescent="0.15">
      <c r="K361" s="127"/>
    </row>
    <row r="362" spans="11:11" x14ac:dyDescent="0.15">
      <c r="K362" s="127"/>
    </row>
    <row r="363" spans="11:11" x14ac:dyDescent="0.15">
      <c r="K363" s="127"/>
    </row>
    <row r="364" spans="11:11" x14ac:dyDescent="0.15">
      <c r="K364" s="127"/>
    </row>
    <row r="365" spans="11:11" x14ac:dyDescent="0.15">
      <c r="K365" s="127"/>
    </row>
    <row r="366" spans="11:11" x14ac:dyDescent="0.15">
      <c r="K366" s="127"/>
    </row>
    <row r="367" spans="11:11" x14ac:dyDescent="0.15">
      <c r="K367" s="127"/>
    </row>
    <row r="368" spans="11:11" x14ac:dyDescent="0.15">
      <c r="K368" s="127"/>
    </row>
    <row r="369" spans="11:11" x14ac:dyDescent="0.15">
      <c r="K369" s="127"/>
    </row>
    <row r="370" spans="11:11" x14ac:dyDescent="0.15">
      <c r="K370" s="127"/>
    </row>
    <row r="371" spans="11:11" x14ac:dyDescent="0.15">
      <c r="K371" s="127"/>
    </row>
    <row r="372" spans="11:11" x14ac:dyDescent="0.15">
      <c r="K372" s="127"/>
    </row>
    <row r="373" spans="11:11" x14ac:dyDescent="0.15">
      <c r="K373" s="127"/>
    </row>
    <row r="374" spans="11:11" x14ac:dyDescent="0.15">
      <c r="K374" s="127"/>
    </row>
    <row r="375" spans="11:11" x14ac:dyDescent="0.15">
      <c r="K375" s="127"/>
    </row>
    <row r="376" spans="11:11" x14ac:dyDescent="0.15">
      <c r="K376" s="127"/>
    </row>
    <row r="377" spans="11:11" x14ac:dyDescent="0.15">
      <c r="K377" s="127"/>
    </row>
    <row r="378" spans="11:11" x14ac:dyDescent="0.15">
      <c r="K378" s="127"/>
    </row>
    <row r="379" spans="11:11" x14ac:dyDescent="0.15">
      <c r="K379" s="127"/>
    </row>
    <row r="380" spans="11:11" x14ac:dyDescent="0.15">
      <c r="K380" s="127"/>
    </row>
    <row r="381" spans="11:11" x14ac:dyDescent="0.15">
      <c r="K381" s="127"/>
    </row>
    <row r="382" spans="11:11" x14ac:dyDescent="0.15">
      <c r="K382" s="127"/>
    </row>
    <row r="383" spans="11:11" x14ac:dyDescent="0.15">
      <c r="K383" s="127"/>
    </row>
    <row r="384" spans="11:11" x14ac:dyDescent="0.15">
      <c r="K384" s="127"/>
    </row>
    <row r="385" spans="11:11" x14ac:dyDescent="0.15">
      <c r="K385" s="127"/>
    </row>
    <row r="386" spans="11:11" x14ac:dyDescent="0.15">
      <c r="K386" s="127"/>
    </row>
    <row r="387" spans="11:11" x14ac:dyDescent="0.15">
      <c r="K387" s="127"/>
    </row>
    <row r="388" spans="11:11" x14ac:dyDescent="0.15">
      <c r="K388" s="127"/>
    </row>
    <row r="389" spans="11:11" x14ac:dyDescent="0.15">
      <c r="K389" s="127"/>
    </row>
    <row r="390" spans="11:11" x14ac:dyDescent="0.15">
      <c r="K390" s="127"/>
    </row>
    <row r="391" spans="11:11" x14ac:dyDescent="0.15">
      <c r="K391" s="127"/>
    </row>
    <row r="392" spans="11:11" x14ac:dyDescent="0.15">
      <c r="K392" s="127"/>
    </row>
    <row r="393" spans="11:11" x14ac:dyDescent="0.15">
      <c r="K393" s="127"/>
    </row>
    <row r="394" spans="11:11" x14ac:dyDescent="0.15">
      <c r="K394" s="127"/>
    </row>
    <row r="395" spans="11:11" x14ac:dyDescent="0.15">
      <c r="K395" s="127"/>
    </row>
    <row r="396" spans="11:11" x14ac:dyDescent="0.15">
      <c r="K396" s="127"/>
    </row>
    <row r="397" spans="11:11" x14ac:dyDescent="0.15">
      <c r="K397" s="127"/>
    </row>
    <row r="398" spans="11:11" x14ac:dyDescent="0.15">
      <c r="K398" s="127"/>
    </row>
    <row r="399" spans="11:11" x14ac:dyDescent="0.15">
      <c r="K399" s="127"/>
    </row>
    <row r="400" spans="11:11" x14ac:dyDescent="0.15">
      <c r="K400" s="127"/>
    </row>
    <row r="401" spans="11:11" x14ac:dyDescent="0.15">
      <c r="K401" s="127"/>
    </row>
    <row r="402" spans="11:11" x14ac:dyDescent="0.15">
      <c r="K402" s="127"/>
    </row>
    <row r="403" spans="11:11" x14ac:dyDescent="0.15">
      <c r="K403" s="127"/>
    </row>
    <row r="404" spans="11:11" x14ac:dyDescent="0.15">
      <c r="K404" s="127"/>
    </row>
    <row r="405" spans="11:11" x14ac:dyDescent="0.15">
      <c r="K405" s="127"/>
    </row>
    <row r="406" spans="11:11" x14ac:dyDescent="0.15">
      <c r="K406" s="127"/>
    </row>
    <row r="407" spans="11:11" x14ac:dyDescent="0.15">
      <c r="K407" s="127"/>
    </row>
    <row r="408" spans="11:11" x14ac:dyDescent="0.15">
      <c r="K408" s="127"/>
    </row>
    <row r="409" spans="11:11" x14ac:dyDescent="0.15">
      <c r="K409" s="127"/>
    </row>
    <row r="410" spans="11:11" x14ac:dyDescent="0.15">
      <c r="K410" s="127"/>
    </row>
    <row r="411" spans="11:11" x14ac:dyDescent="0.15">
      <c r="K411" s="127"/>
    </row>
    <row r="412" spans="11:11" x14ac:dyDescent="0.15">
      <c r="K412" s="127"/>
    </row>
    <row r="413" spans="11:11" x14ac:dyDescent="0.15">
      <c r="K413" s="127"/>
    </row>
    <row r="414" spans="11:11" x14ac:dyDescent="0.15">
      <c r="K414" s="127"/>
    </row>
    <row r="415" spans="11:11" x14ac:dyDescent="0.15">
      <c r="K415" s="127"/>
    </row>
    <row r="416" spans="11:11" x14ac:dyDescent="0.15">
      <c r="K416" s="127"/>
    </row>
    <row r="417" spans="11:11" x14ac:dyDescent="0.15">
      <c r="K417" s="127"/>
    </row>
    <row r="418" spans="11:11" x14ac:dyDescent="0.15">
      <c r="K418" s="127"/>
    </row>
    <row r="419" spans="11:11" x14ac:dyDescent="0.15">
      <c r="K419" s="127"/>
    </row>
    <row r="420" spans="11:11" x14ac:dyDescent="0.15">
      <c r="K420" s="127"/>
    </row>
    <row r="421" spans="11:11" x14ac:dyDescent="0.15">
      <c r="K421" s="127"/>
    </row>
    <row r="422" spans="11:11" x14ac:dyDescent="0.15">
      <c r="K422" s="127"/>
    </row>
    <row r="423" spans="11:11" x14ac:dyDescent="0.15">
      <c r="K423" s="127"/>
    </row>
    <row r="424" spans="11:11" x14ac:dyDescent="0.15">
      <c r="K424" s="127"/>
    </row>
    <row r="425" spans="11:11" x14ac:dyDescent="0.15">
      <c r="K425" s="127"/>
    </row>
    <row r="426" spans="11:11" x14ac:dyDescent="0.15">
      <c r="K426" s="127"/>
    </row>
    <row r="427" spans="11:11" x14ac:dyDescent="0.15">
      <c r="K427" s="127"/>
    </row>
    <row r="428" spans="11:11" x14ac:dyDescent="0.15">
      <c r="K428" s="127"/>
    </row>
    <row r="429" spans="11:11" x14ac:dyDescent="0.15">
      <c r="K429" s="127"/>
    </row>
    <row r="430" spans="11:11" x14ac:dyDescent="0.15">
      <c r="K430" s="127"/>
    </row>
    <row r="431" spans="11:11" x14ac:dyDescent="0.15">
      <c r="K431" s="127"/>
    </row>
    <row r="432" spans="11:11" x14ac:dyDescent="0.15">
      <c r="K432" s="127"/>
    </row>
    <row r="433" spans="11:11" x14ac:dyDescent="0.15">
      <c r="K433" s="127"/>
    </row>
    <row r="434" spans="11:11" x14ac:dyDescent="0.15">
      <c r="K434" s="127"/>
    </row>
    <row r="435" spans="11:11" x14ac:dyDescent="0.15">
      <c r="K435" s="127"/>
    </row>
    <row r="436" spans="11:11" x14ac:dyDescent="0.15">
      <c r="K436" s="127"/>
    </row>
    <row r="437" spans="11:11" x14ac:dyDescent="0.15">
      <c r="K437" s="127"/>
    </row>
    <row r="438" spans="11:11" x14ac:dyDescent="0.15">
      <c r="K438" s="127"/>
    </row>
    <row r="439" spans="11:11" x14ac:dyDescent="0.15">
      <c r="K439" s="127"/>
    </row>
    <row r="440" spans="11:11" x14ac:dyDescent="0.15">
      <c r="K440" s="127"/>
    </row>
    <row r="441" spans="11:11" x14ac:dyDescent="0.15">
      <c r="K441" s="127"/>
    </row>
    <row r="442" spans="11:11" x14ac:dyDescent="0.15">
      <c r="K442" s="127"/>
    </row>
    <row r="443" spans="11:11" x14ac:dyDescent="0.15">
      <c r="K443" s="127"/>
    </row>
  </sheetData>
  <autoFilter ref="A1:BA1" xr:uid="{00000000-0009-0000-0000-000000000000}"/>
  <phoneticPr fontId="3"/>
  <dataValidations count="20">
    <dataValidation type="list" allowBlank="1" showInputMessage="1" showErrorMessage="1" sqref="F2:F491" xr:uid="{D6735D55-06A1-406C-9EEF-F95A347DADD6}">
      <formula1>$AH$2:$AH$11</formula1>
    </dataValidation>
    <dataValidation type="list" allowBlank="1" showInputMessage="1" showErrorMessage="1" sqref="E2:E491" xr:uid="{37C17A9D-79A2-4D70-9A2C-6DDB8C42607B}">
      <formula1>$AG$2:$AG$11</formula1>
    </dataValidation>
    <dataValidation type="decimal" allowBlank="1" showInputMessage="1" showErrorMessage="1" error="硬度を正しく入力して下さい。" sqref="O2:P491" xr:uid="{BC614070-F4D1-4D18-86F3-B0DA65FD3727}">
      <formula1>0</formula1>
      <formula2>7</formula2>
    </dataValidation>
    <dataValidation type="list" allowBlank="1" showInputMessage="1" showErrorMessage="1" sqref="Y2:AA491" xr:uid="{26D4107E-840F-4F59-BF15-C00D5D482AA1}">
      <formula1>$AV$2:$AV$21</formula1>
    </dataValidation>
    <dataValidation type="list" allowBlank="1" showInputMessage="1" showErrorMessage="1" sqref="K444:K491" xr:uid="{FFE227E4-2DE7-4E02-A24A-28959418410A}">
      <formula1>$AR$2:$AR$25</formula1>
    </dataValidation>
    <dataValidation type="list" allowBlank="1" showInputMessage="1" showErrorMessage="1" sqref="I2:I491" xr:uid="{A44D68FB-4FEE-40F6-A339-D50599C24D4C}">
      <formula1>$AN$5:$AN$6</formula1>
    </dataValidation>
    <dataValidation type="list" allowBlank="1" showInputMessage="1" showErrorMessage="1" sqref="H2:H491" xr:uid="{DECBDC8D-1E7E-4784-87B5-896496E42D35}">
      <formula1>$AL$2:$AL$8</formula1>
    </dataValidation>
    <dataValidation type="list" allowBlank="1" showInputMessage="1" showErrorMessage="1" sqref="A2:A491" xr:uid="{B026D6BB-681E-42CC-BA5D-EE8A0CE34703}">
      <formula1>$AE$2:$AE$19</formula1>
    </dataValidation>
    <dataValidation type="list" allowBlank="1" showInputMessage="1" showErrorMessage="1" sqref="X2:X491" xr:uid="{8F1A408E-3D71-403F-9664-460E2FCFF84B}">
      <formula1>$AT$2:$AT$3</formula1>
    </dataValidation>
    <dataValidation type="list" allowBlank="1" showInputMessage="1" showErrorMessage="1" sqref="G2:G491" xr:uid="{BA54B0B6-AED2-48A7-83DE-10D52446B340}">
      <formula1>$AJ$2:$AJ$4</formula1>
    </dataValidation>
    <dataValidation type="list" allowBlank="1" showInputMessage="1" showErrorMessage="1" sqref="J2:J491" xr:uid="{F0D88123-1FCC-484A-8358-23E386C10829}">
      <formula1>$AP$2:$AP$27</formula1>
    </dataValidation>
    <dataValidation operator="equal" allowBlank="1" showInputMessage="1" showErrorMessage="1" sqref="B2:B46" xr:uid="{DE1E07E7-620A-4685-AB83-42BAE5AF1319}"/>
    <dataValidation type="list" allowBlank="1" showInputMessage="1" showErrorMessage="1" sqref="F492:F64242" xr:uid="{6CE51FC1-3090-4F97-A526-9B28D827ADA3}">
      <formula1>$AH$2:$AH$8</formula1>
    </dataValidation>
    <dataValidation type="list" allowBlank="1" showInputMessage="1" showErrorMessage="1" sqref="E492:E64242" xr:uid="{D496D1D4-59BE-4816-84EC-A959036B79D4}">
      <formula1>$AG$2:$AG$9</formula1>
    </dataValidation>
    <dataValidation type="list" allowBlank="1" showInputMessage="1" showErrorMessage="1" sqref="H492:H64242" xr:uid="{AA609F0E-B4DC-4136-BDE9-3EB52D2BB617}">
      <formula1>$AL$2:$AL$10</formula1>
    </dataValidation>
    <dataValidation type="list" allowBlank="1" showInputMessage="1" showErrorMessage="1" sqref="K492:K64242" xr:uid="{D157F273-E339-424C-9641-0584801424D8}">
      <formula1>$AR$2:$AR$28</formula1>
    </dataValidation>
    <dataValidation type="list" allowBlank="1" showInputMessage="1" showErrorMessage="1" sqref="Y492:AA64242" xr:uid="{92BA2128-9FE8-426B-A66C-E18EFB06BCEF}">
      <formula1>$AV$2:$AV$26</formula1>
    </dataValidation>
    <dataValidation type="list" allowBlank="1" showInputMessage="1" showErrorMessage="1" sqref="I492:I64242" xr:uid="{BD01C021-44AA-49E5-BA28-BC9E162588BC}">
      <formula1>$AN$2:$AN$6</formula1>
    </dataValidation>
    <dataValidation type="list" allowBlank="1" showInputMessage="1" showErrorMessage="1" sqref="J492:J64242" xr:uid="{49744880-33D0-4411-A181-A2DD2C4A259C}">
      <formula1>$AP$2:$AP$16</formula1>
    </dataValidation>
    <dataValidation type="list" allowBlank="1" showInputMessage="1" showErrorMessage="1" sqref="K2:K443" xr:uid="{37626277-464B-4D8B-A9FC-FF8449FFEEDE}">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EA36B-A416-4AA8-A2BD-966476573114}">
  <dimension ref="A1:BA130"/>
  <sheetViews>
    <sheetView topLeftCell="A91" zoomScale="85" zoomScaleNormal="85" workbookViewId="0">
      <selection activeCell="J103" sqref="J103:J106"/>
    </sheetView>
  </sheetViews>
  <sheetFormatPr defaultColWidth="9" defaultRowHeight="13.5" x14ac:dyDescent="0.15"/>
  <cols>
    <col min="1" max="3" width="9" style="53"/>
    <col min="4" max="4" width="10.5" style="53" bestFit="1" customWidth="1"/>
    <col min="5" max="5" width="10.875" style="53" bestFit="1" customWidth="1"/>
    <col min="6" max="6" width="18.875" style="53" bestFit="1" customWidth="1"/>
    <col min="7" max="9" width="9" style="53"/>
    <col min="10" max="10" width="9.25" style="53" customWidth="1"/>
    <col min="11"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314</v>
      </c>
      <c r="V1" s="5" t="s">
        <v>20</v>
      </c>
      <c r="W1" s="56" t="s">
        <v>21</v>
      </c>
      <c r="X1" s="45" t="s">
        <v>22</v>
      </c>
      <c r="Y1" s="45" t="s">
        <v>23</v>
      </c>
      <c r="Z1" s="45" t="s">
        <v>369</v>
      </c>
      <c r="AA1" s="46" t="s">
        <v>25</v>
      </c>
      <c r="AB1" s="80" t="s">
        <v>26</v>
      </c>
      <c r="AE1" s="60" t="s">
        <v>0</v>
      </c>
      <c r="AF1" s="61"/>
      <c r="AG1" s="175"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232</v>
      </c>
      <c r="C2" s="53">
        <v>2019</v>
      </c>
      <c r="D2" s="176" t="s">
        <v>356</v>
      </c>
      <c r="E2" s="53" t="s">
        <v>370</v>
      </c>
      <c r="F2" s="53" t="s">
        <v>371</v>
      </c>
      <c r="G2" s="53" t="s">
        <v>36</v>
      </c>
      <c r="H2" s="53" t="s">
        <v>164</v>
      </c>
      <c r="I2" s="53" t="s">
        <v>159</v>
      </c>
      <c r="J2" s="53" t="s">
        <v>38</v>
      </c>
      <c r="K2" s="53" t="s">
        <v>161</v>
      </c>
      <c r="L2" s="53">
        <v>1</v>
      </c>
      <c r="N2" s="53">
        <v>1</v>
      </c>
      <c r="O2" s="53">
        <v>0.7</v>
      </c>
      <c r="P2" s="53">
        <v>0.75</v>
      </c>
      <c r="Q2" s="75">
        <f t="shared" ref="Q2:Q82" si="0">IF(OR(O2="",P2=""),"",AVERAGE(O2,P2))</f>
        <v>0.72499999999999998</v>
      </c>
      <c r="R2" s="53">
        <v>17.399999999999999</v>
      </c>
      <c r="S2" s="53">
        <v>104</v>
      </c>
      <c r="T2" s="16">
        <f t="shared" ref="T2:T82" si="1">IF(H2="","",IF(OR(H2="GREEN",H2="GK"),IF(S2&gt;=$AX$2,VLOOKUP(S2,$AX$2:$AY$9,2,1),""),IF(S2&gt;=$AZ$2,VLOOKUP(S2,$AZ$2:$BA$9,2,1),"")))</f>
        <v>33</v>
      </c>
      <c r="U2" s="53">
        <v>100</v>
      </c>
      <c r="V2" s="16">
        <f t="shared" ref="V2:V82" si="2">IF(OR(N2="",U2="",T2=""),"",U2/N2*T2)</f>
        <v>3300</v>
      </c>
      <c r="W2" s="53">
        <v>2</v>
      </c>
      <c r="X2" s="53" t="s">
        <v>46</v>
      </c>
      <c r="Y2" s="53" t="s">
        <v>69</v>
      </c>
      <c r="Z2" s="53" t="s">
        <v>55</v>
      </c>
      <c r="AA2" s="53" t="s">
        <v>60</v>
      </c>
      <c r="AB2" s="53" t="s">
        <v>258</v>
      </c>
      <c r="AE2" s="64" t="s">
        <v>35</v>
      </c>
      <c r="AG2" s="177" t="s">
        <v>362</v>
      </c>
      <c r="AH2" s="67" t="s">
        <v>372</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232</v>
      </c>
      <c r="C3" s="53">
        <v>2019</v>
      </c>
      <c r="D3" s="176" t="s">
        <v>356</v>
      </c>
      <c r="E3" s="53" t="s">
        <v>370</v>
      </c>
      <c r="F3" s="53" t="s">
        <v>371</v>
      </c>
      <c r="G3" s="53" t="s">
        <v>36</v>
      </c>
      <c r="H3" s="53" t="s">
        <v>164</v>
      </c>
      <c r="I3" s="53" t="s">
        <v>159</v>
      </c>
      <c r="J3" s="53" t="s">
        <v>38</v>
      </c>
      <c r="K3" s="53" t="s">
        <v>161</v>
      </c>
      <c r="L3" s="53">
        <v>2</v>
      </c>
      <c r="N3" s="53">
        <v>1</v>
      </c>
      <c r="O3" s="53">
        <v>0.7</v>
      </c>
      <c r="P3" s="53">
        <v>0.7</v>
      </c>
      <c r="Q3" s="75">
        <f t="shared" si="0"/>
        <v>0.7</v>
      </c>
      <c r="R3" s="53">
        <v>17.8</v>
      </c>
      <c r="S3" s="53">
        <v>110</v>
      </c>
      <c r="T3" s="16">
        <f t="shared" si="1"/>
        <v>33</v>
      </c>
      <c r="U3" s="53">
        <v>100</v>
      </c>
      <c r="V3" s="16">
        <f t="shared" si="2"/>
        <v>3300</v>
      </c>
      <c r="W3" s="53">
        <v>2</v>
      </c>
      <c r="X3" s="53" t="s">
        <v>46</v>
      </c>
      <c r="Y3" s="53" t="s">
        <v>69</v>
      </c>
      <c r="Z3" s="53" t="s">
        <v>55</v>
      </c>
      <c r="AA3" s="53" t="s">
        <v>60</v>
      </c>
      <c r="AB3" s="53" t="s">
        <v>258</v>
      </c>
      <c r="AE3" s="22" t="s">
        <v>41</v>
      </c>
      <c r="AG3" s="178" t="s">
        <v>373</v>
      </c>
      <c r="AH3" s="67" t="s">
        <v>372</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232</v>
      </c>
      <c r="C4" s="53">
        <v>2019</v>
      </c>
      <c r="D4" s="176" t="s">
        <v>356</v>
      </c>
      <c r="E4" s="53" t="s">
        <v>370</v>
      </c>
      <c r="F4" s="53" t="s">
        <v>371</v>
      </c>
      <c r="G4" s="53" t="s">
        <v>36</v>
      </c>
      <c r="H4" s="53" t="s">
        <v>164</v>
      </c>
      <c r="I4" s="53" t="s">
        <v>159</v>
      </c>
      <c r="J4" s="53" t="s">
        <v>38</v>
      </c>
      <c r="K4" s="53" t="s">
        <v>161</v>
      </c>
      <c r="L4" s="53">
        <v>3</v>
      </c>
      <c r="N4" s="53">
        <v>1</v>
      </c>
      <c r="O4" s="53">
        <v>0.6</v>
      </c>
      <c r="P4" s="53">
        <v>0.6</v>
      </c>
      <c r="Q4" s="75">
        <f t="shared" si="0"/>
        <v>0.6</v>
      </c>
      <c r="R4" s="53">
        <v>18.100000000000001</v>
      </c>
      <c r="S4" s="53">
        <v>101</v>
      </c>
      <c r="T4" s="16">
        <f t="shared" si="1"/>
        <v>33</v>
      </c>
      <c r="U4" s="53">
        <v>100</v>
      </c>
      <c r="V4" s="16">
        <f t="shared" si="2"/>
        <v>3300</v>
      </c>
      <c r="W4" s="53">
        <v>2</v>
      </c>
      <c r="X4" s="53" t="s">
        <v>46</v>
      </c>
      <c r="Y4" s="53" t="s">
        <v>69</v>
      </c>
      <c r="Z4" s="53" t="s">
        <v>55</v>
      </c>
      <c r="AA4" s="53" t="s">
        <v>60</v>
      </c>
      <c r="AB4" s="53" t="s">
        <v>258</v>
      </c>
      <c r="AE4" s="22" t="s">
        <v>34</v>
      </c>
      <c r="AG4" s="178" t="s">
        <v>374</v>
      </c>
      <c r="AH4" s="67" t="s">
        <v>375</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232</v>
      </c>
      <c r="C5" s="53">
        <v>2019</v>
      </c>
      <c r="D5" s="176" t="s">
        <v>356</v>
      </c>
      <c r="E5" s="53" t="s">
        <v>370</v>
      </c>
      <c r="F5" s="53" t="s">
        <v>371</v>
      </c>
      <c r="G5" s="53" t="s">
        <v>36</v>
      </c>
      <c r="H5" s="53" t="s">
        <v>164</v>
      </c>
      <c r="I5" s="53" t="s">
        <v>159</v>
      </c>
      <c r="J5" s="53" t="s">
        <v>38</v>
      </c>
      <c r="K5" s="53" t="s">
        <v>161</v>
      </c>
      <c r="L5" s="53">
        <v>1</v>
      </c>
      <c r="N5" s="53">
        <v>4</v>
      </c>
      <c r="O5" s="53">
        <v>0.2</v>
      </c>
      <c r="P5" s="53">
        <v>0.45</v>
      </c>
      <c r="Q5" s="75">
        <f t="shared" si="0"/>
        <v>0.32500000000000001</v>
      </c>
      <c r="R5" s="53">
        <v>16.899999999999999</v>
      </c>
      <c r="S5" s="53">
        <v>79</v>
      </c>
      <c r="T5" s="16">
        <f t="shared" si="1"/>
        <v>39</v>
      </c>
      <c r="U5" s="53">
        <v>298</v>
      </c>
      <c r="V5" s="16">
        <f t="shared" si="2"/>
        <v>2905.5</v>
      </c>
      <c r="W5" s="53">
        <v>2</v>
      </c>
      <c r="X5" s="53" t="s">
        <v>46</v>
      </c>
      <c r="Y5" s="53" t="s">
        <v>69</v>
      </c>
      <c r="Z5" s="53" t="s">
        <v>55</v>
      </c>
      <c r="AA5" s="53" t="s">
        <v>60</v>
      </c>
      <c r="AB5" s="53" t="s">
        <v>258</v>
      </c>
      <c r="AE5" s="22" t="s">
        <v>51</v>
      </c>
      <c r="AG5" s="178" t="s">
        <v>376</v>
      </c>
      <c r="AH5" s="67" t="s">
        <v>377</v>
      </c>
      <c r="AJ5" s="28"/>
      <c r="AL5" s="73" t="s">
        <v>66</v>
      </c>
      <c r="AN5" s="73" t="s">
        <v>52</v>
      </c>
      <c r="AP5" s="23" t="s">
        <v>119</v>
      </c>
      <c r="AR5" s="23" t="s">
        <v>54</v>
      </c>
      <c r="AV5" s="23" t="s">
        <v>55</v>
      </c>
      <c r="AX5" s="24">
        <v>84</v>
      </c>
      <c r="AY5" s="25">
        <v>39</v>
      </c>
      <c r="AZ5" s="25">
        <v>84</v>
      </c>
      <c r="BA5" s="26">
        <v>36</v>
      </c>
    </row>
    <row r="6" spans="1:53" x14ac:dyDescent="0.15">
      <c r="A6" s="53" t="s">
        <v>34</v>
      </c>
      <c r="B6" s="53" t="s">
        <v>232</v>
      </c>
      <c r="C6" s="53">
        <v>2019</v>
      </c>
      <c r="D6" s="176" t="s">
        <v>356</v>
      </c>
      <c r="E6" s="53" t="s">
        <v>370</v>
      </c>
      <c r="F6" s="53" t="s">
        <v>371</v>
      </c>
      <c r="G6" s="53" t="s">
        <v>36</v>
      </c>
      <c r="H6" s="53" t="s">
        <v>164</v>
      </c>
      <c r="I6" s="53" t="s">
        <v>159</v>
      </c>
      <c r="J6" s="53" t="s">
        <v>38</v>
      </c>
      <c r="K6" s="53" t="s">
        <v>161</v>
      </c>
      <c r="L6" s="53">
        <v>2</v>
      </c>
      <c r="N6" s="53">
        <v>4</v>
      </c>
      <c r="O6" s="53">
        <v>0.5</v>
      </c>
      <c r="P6" s="53">
        <v>0.55000000000000004</v>
      </c>
      <c r="Q6" s="75">
        <f t="shared" si="0"/>
        <v>0.52500000000000002</v>
      </c>
      <c r="R6" s="53">
        <v>17</v>
      </c>
      <c r="S6" s="53">
        <v>77</v>
      </c>
      <c r="T6" s="16">
        <f t="shared" si="1"/>
        <v>39</v>
      </c>
      <c r="U6" s="53">
        <v>298</v>
      </c>
      <c r="V6" s="16">
        <f t="shared" si="2"/>
        <v>2905.5</v>
      </c>
      <c r="W6" s="53">
        <v>2</v>
      </c>
      <c r="X6" s="53" t="s">
        <v>46</v>
      </c>
      <c r="Y6" s="53" t="s">
        <v>69</v>
      </c>
      <c r="Z6" s="53" t="s">
        <v>55</v>
      </c>
      <c r="AA6" s="53" t="s">
        <v>60</v>
      </c>
      <c r="AB6" s="53" t="s">
        <v>258</v>
      </c>
      <c r="AE6" s="22" t="s">
        <v>56</v>
      </c>
      <c r="AG6" s="178" t="s">
        <v>378</v>
      </c>
      <c r="AH6" s="67" t="s">
        <v>379</v>
      </c>
      <c r="AL6" s="73" t="s">
        <v>99</v>
      </c>
      <c r="AN6" s="73" t="s">
        <v>57</v>
      </c>
      <c r="AP6" s="23" t="s">
        <v>53</v>
      </c>
      <c r="AR6" s="23" t="s">
        <v>59</v>
      </c>
      <c r="AV6" s="23" t="s">
        <v>60</v>
      </c>
      <c r="AX6" s="24">
        <v>97</v>
      </c>
      <c r="AY6" s="25">
        <v>36</v>
      </c>
      <c r="AZ6" s="25">
        <v>99</v>
      </c>
      <c r="BA6" s="26">
        <v>33</v>
      </c>
    </row>
    <row r="7" spans="1:53" x14ac:dyDescent="0.15">
      <c r="A7" s="53" t="s">
        <v>34</v>
      </c>
      <c r="B7" s="53" t="s">
        <v>232</v>
      </c>
      <c r="C7" s="53">
        <v>2019</v>
      </c>
      <c r="D7" s="176" t="s">
        <v>356</v>
      </c>
      <c r="E7" s="53" t="s">
        <v>370</v>
      </c>
      <c r="F7" s="53" t="s">
        <v>371</v>
      </c>
      <c r="G7" s="53" t="s">
        <v>36</v>
      </c>
      <c r="H7" s="53" t="s">
        <v>164</v>
      </c>
      <c r="I7" s="53" t="s">
        <v>159</v>
      </c>
      <c r="J7" s="53" t="s">
        <v>38</v>
      </c>
      <c r="K7" s="53" t="s">
        <v>161</v>
      </c>
      <c r="L7" s="53">
        <v>3</v>
      </c>
      <c r="N7" s="53">
        <v>4</v>
      </c>
      <c r="O7" s="53">
        <v>0.7</v>
      </c>
      <c r="P7" s="53">
        <v>0.75</v>
      </c>
      <c r="Q7" s="75">
        <f t="shared" si="0"/>
        <v>0.72499999999999998</v>
      </c>
      <c r="R7" s="53">
        <v>16.8</v>
      </c>
      <c r="S7" s="53">
        <v>78</v>
      </c>
      <c r="T7" s="16">
        <f t="shared" si="1"/>
        <v>39</v>
      </c>
      <c r="U7" s="53">
        <v>298</v>
      </c>
      <c r="V7" s="16">
        <f t="shared" si="2"/>
        <v>2905.5</v>
      </c>
      <c r="W7" s="53">
        <v>2</v>
      </c>
      <c r="X7" s="53" t="s">
        <v>46</v>
      </c>
      <c r="Y7" s="53" t="s">
        <v>69</v>
      </c>
      <c r="Z7" s="53" t="s">
        <v>55</v>
      </c>
      <c r="AA7" s="53" t="s">
        <v>60</v>
      </c>
      <c r="AB7" s="53" t="s">
        <v>258</v>
      </c>
      <c r="AE7" s="22" t="s">
        <v>61</v>
      </c>
      <c r="AG7" s="178" t="s">
        <v>269</v>
      </c>
      <c r="AH7" s="67" t="s">
        <v>380</v>
      </c>
      <c r="AL7" s="34" t="s">
        <v>109</v>
      </c>
      <c r="AP7" s="23" t="s">
        <v>58</v>
      </c>
      <c r="AR7" s="23" t="s">
        <v>122</v>
      </c>
      <c r="AV7" s="23" t="s">
        <v>64</v>
      </c>
      <c r="AX7" s="24">
        <v>109</v>
      </c>
      <c r="AY7" s="25">
        <v>33</v>
      </c>
      <c r="AZ7" s="25">
        <v>113</v>
      </c>
      <c r="BA7" s="26">
        <v>30</v>
      </c>
    </row>
    <row r="8" spans="1:53" x14ac:dyDescent="0.15">
      <c r="A8" s="53" t="s">
        <v>34</v>
      </c>
      <c r="B8" s="53" t="s">
        <v>232</v>
      </c>
      <c r="C8" s="53">
        <v>2019</v>
      </c>
      <c r="D8" s="176" t="s">
        <v>356</v>
      </c>
      <c r="E8" s="53" t="s">
        <v>370</v>
      </c>
      <c r="F8" s="53" t="s">
        <v>371</v>
      </c>
      <c r="G8" s="53" t="s">
        <v>36</v>
      </c>
      <c r="H8" s="53" t="s">
        <v>160</v>
      </c>
      <c r="I8" s="53" t="s">
        <v>159</v>
      </c>
      <c r="J8" s="53" t="s">
        <v>38</v>
      </c>
      <c r="K8" s="53" t="s">
        <v>161</v>
      </c>
      <c r="L8" s="53">
        <v>1</v>
      </c>
      <c r="N8" s="53">
        <v>1</v>
      </c>
      <c r="O8" s="53">
        <v>0.8</v>
      </c>
      <c r="P8" s="53">
        <v>0.7</v>
      </c>
      <c r="Q8" s="75">
        <f t="shared" si="0"/>
        <v>0.75</v>
      </c>
      <c r="R8" s="53">
        <v>17.3</v>
      </c>
      <c r="S8" s="53">
        <v>98</v>
      </c>
      <c r="T8" s="16">
        <f t="shared" si="1"/>
        <v>36</v>
      </c>
      <c r="U8" s="53">
        <v>82</v>
      </c>
      <c r="V8" s="16">
        <f t="shared" si="2"/>
        <v>2952</v>
      </c>
      <c r="W8" s="53">
        <v>5</v>
      </c>
      <c r="X8" s="53" t="s">
        <v>46</v>
      </c>
      <c r="Y8" s="53" t="s">
        <v>69</v>
      </c>
      <c r="Z8" s="53" t="s">
        <v>55</v>
      </c>
      <c r="AA8" s="53" t="s">
        <v>60</v>
      </c>
      <c r="AB8" s="53" t="s">
        <v>258</v>
      </c>
      <c r="AE8" s="22" t="s">
        <v>59</v>
      </c>
      <c r="AG8" s="178" t="s">
        <v>381</v>
      </c>
      <c r="AH8" s="67" t="s">
        <v>382</v>
      </c>
      <c r="AL8" s="34" t="s">
        <v>134</v>
      </c>
      <c r="AP8" s="23" t="s">
        <v>62</v>
      </c>
      <c r="AR8" s="23" t="s">
        <v>81</v>
      </c>
      <c r="AV8" s="23" t="s">
        <v>97</v>
      </c>
      <c r="AX8" s="24">
        <v>151</v>
      </c>
      <c r="AY8" s="25">
        <v>22</v>
      </c>
      <c r="AZ8" s="25">
        <v>152</v>
      </c>
      <c r="BA8" s="26">
        <v>18</v>
      </c>
    </row>
    <row r="9" spans="1:53" x14ac:dyDescent="0.15">
      <c r="A9" s="53" t="s">
        <v>34</v>
      </c>
      <c r="B9" s="53" t="s">
        <v>232</v>
      </c>
      <c r="C9" s="53">
        <v>2019</v>
      </c>
      <c r="D9" s="176" t="s">
        <v>356</v>
      </c>
      <c r="E9" s="53" t="s">
        <v>370</v>
      </c>
      <c r="F9" s="53" t="s">
        <v>371</v>
      </c>
      <c r="G9" s="53" t="s">
        <v>36</v>
      </c>
      <c r="H9" s="53" t="s">
        <v>160</v>
      </c>
      <c r="I9" s="53" t="s">
        <v>159</v>
      </c>
      <c r="J9" s="53" t="s">
        <v>38</v>
      </c>
      <c r="K9" s="53" t="s">
        <v>161</v>
      </c>
      <c r="L9" s="53">
        <v>2</v>
      </c>
      <c r="N9" s="53">
        <v>1</v>
      </c>
      <c r="O9" s="53">
        <v>0.9</v>
      </c>
      <c r="P9" s="53">
        <v>0.9</v>
      </c>
      <c r="Q9" s="75">
        <f t="shared" si="0"/>
        <v>0.9</v>
      </c>
      <c r="R9" s="53">
        <v>17.399999999999999</v>
      </c>
      <c r="S9" s="53">
        <v>97</v>
      </c>
      <c r="T9" s="16">
        <f t="shared" si="1"/>
        <v>36</v>
      </c>
      <c r="U9" s="53">
        <v>82</v>
      </c>
      <c r="V9" s="16">
        <f t="shared" si="2"/>
        <v>2952</v>
      </c>
      <c r="W9" s="53">
        <v>5</v>
      </c>
      <c r="X9" s="53" t="s">
        <v>46</v>
      </c>
      <c r="Y9" s="53" t="s">
        <v>69</v>
      </c>
      <c r="Z9" s="53" t="s">
        <v>55</v>
      </c>
      <c r="AA9" s="53" t="s">
        <v>60</v>
      </c>
      <c r="AB9" s="53" t="s">
        <v>258</v>
      </c>
      <c r="AE9" s="22" t="s">
        <v>98</v>
      </c>
      <c r="AG9" s="178" t="s">
        <v>383</v>
      </c>
      <c r="AH9" s="67" t="s">
        <v>384</v>
      </c>
      <c r="AL9" s="73"/>
      <c r="AP9" s="23" t="s">
        <v>95</v>
      </c>
      <c r="AR9" s="23" t="s">
        <v>89</v>
      </c>
      <c r="AV9" s="23" t="s">
        <v>102</v>
      </c>
      <c r="AX9" s="31">
        <v>180</v>
      </c>
      <c r="AY9" s="32">
        <v>18</v>
      </c>
      <c r="AZ9" s="32">
        <v>181</v>
      </c>
      <c r="BA9" s="33">
        <v>16</v>
      </c>
    </row>
    <row r="10" spans="1:53" x14ac:dyDescent="0.15">
      <c r="A10" s="53" t="s">
        <v>34</v>
      </c>
      <c r="B10" s="53" t="s">
        <v>232</v>
      </c>
      <c r="C10" s="53">
        <v>2019</v>
      </c>
      <c r="D10" s="176" t="s">
        <v>356</v>
      </c>
      <c r="E10" s="53" t="s">
        <v>370</v>
      </c>
      <c r="F10" s="53" t="s">
        <v>371</v>
      </c>
      <c r="G10" s="53" t="s">
        <v>36</v>
      </c>
      <c r="H10" s="53" t="s">
        <v>160</v>
      </c>
      <c r="I10" s="53" t="s">
        <v>159</v>
      </c>
      <c r="J10" s="53" t="s">
        <v>38</v>
      </c>
      <c r="K10" s="53" t="s">
        <v>161</v>
      </c>
      <c r="L10" s="53">
        <v>3</v>
      </c>
      <c r="N10" s="53">
        <v>1</v>
      </c>
      <c r="O10" s="53">
        <v>1.05</v>
      </c>
      <c r="P10" s="53">
        <v>1.05</v>
      </c>
      <c r="Q10" s="75">
        <f t="shared" si="0"/>
        <v>1.05</v>
      </c>
      <c r="R10" s="53">
        <v>17.600000000000001</v>
      </c>
      <c r="S10" s="53">
        <v>94</v>
      </c>
      <c r="T10" s="16">
        <f t="shared" si="1"/>
        <v>36</v>
      </c>
      <c r="U10" s="53">
        <v>82</v>
      </c>
      <c r="V10" s="16">
        <f t="shared" si="2"/>
        <v>2952</v>
      </c>
      <c r="W10" s="53">
        <v>5</v>
      </c>
      <c r="X10" s="53" t="s">
        <v>46</v>
      </c>
      <c r="Y10" s="53" t="s">
        <v>69</v>
      </c>
      <c r="Z10" s="53" t="s">
        <v>55</v>
      </c>
      <c r="AA10" s="53" t="s">
        <v>60</v>
      </c>
      <c r="AB10" s="53" t="s">
        <v>258</v>
      </c>
      <c r="AE10" s="22" t="s">
        <v>103</v>
      </c>
      <c r="AG10" s="178" t="s">
        <v>370</v>
      </c>
      <c r="AH10" s="67" t="s">
        <v>371</v>
      </c>
      <c r="AL10" s="34"/>
      <c r="AP10" s="23" t="s">
        <v>100</v>
      </c>
      <c r="AR10" s="23" t="s">
        <v>123</v>
      </c>
      <c r="AV10" s="23" t="s">
        <v>106</v>
      </c>
    </row>
    <row r="11" spans="1:53" x14ac:dyDescent="0.15">
      <c r="A11" s="53" t="s">
        <v>34</v>
      </c>
      <c r="B11" s="53" t="s">
        <v>232</v>
      </c>
      <c r="C11" s="53">
        <v>2019</v>
      </c>
      <c r="D11" s="176" t="s">
        <v>356</v>
      </c>
      <c r="E11" s="53" t="s">
        <v>370</v>
      </c>
      <c r="F11" s="53" t="s">
        <v>371</v>
      </c>
      <c r="G11" s="53" t="s">
        <v>36</v>
      </c>
      <c r="H11" s="53" t="s">
        <v>160</v>
      </c>
      <c r="I11" s="53" t="s">
        <v>159</v>
      </c>
      <c r="J11" s="53" t="s">
        <v>38</v>
      </c>
      <c r="K11" s="53" t="s">
        <v>161</v>
      </c>
      <c r="L11" s="53">
        <v>1</v>
      </c>
      <c r="N11" s="53">
        <v>4</v>
      </c>
      <c r="O11" s="53">
        <v>0.45</v>
      </c>
      <c r="P11" s="53">
        <v>0.45</v>
      </c>
      <c r="Q11" s="75">
        <f t="shared" si="0"/>
        <v>0.45</v>
      </c>
      <c r="R11" s="53">
        <v>19.899999999999999</v>
      </c>
      <c r="S11" s="53">
        <v>84</v>
      </c>
      <c r="T11" s="16">
        <f t="shared" si="1"/>
        <v>36</v>
      </c>
      <c r="U11" s="53">
        <v>427</v>
      </c>
      <c r="V11" s="16">
        <f t="shared" si="2"/>
        <v>3843</v>
      </c>
      <c r="W11" s="53">
        <v>5</v>
      </c>
      <c r="X11" s="53" t="s">
        <v>46</v>
      </c>
      <c r="Y11" s="53" t="s">
        <v>69</v>
      </c>
      <c r="Z11" s="53" t="s">
        <v>55</v>
      </c>
      <c r="AA11" s="53" t="s">
        <v>60</v>
      </c>
      <c r="AB11" s="53" t="s">
        <v>258</v>
      </c>
      <c r="AE11" s="22" t="s">
        <v>65</v>
      </c>
      <c r="AG11" s="178" t="s">
        <v>210</v>
      </c>
      <c r="AH11" s="67" t="s">
        <v>385</v>
      </c>
      <c r="AL11" s="34"/>
      <c r="AP11" s="23" t="s">
        <v>104</v>
      </c>
      <c r="AR11" s="23" t="s">
        <v>87</v>
      </c>
      <c r="AV11" s="23" t="s">
        <v>69</v>
      </c>
    </row>
    <row r="12" spans="1:53" x14ac:dyDescent="0.15">
      <c r="A12" s="53" t="s">
        <v>34</v>
      </c>
      <c r="B12" s="53" t="s">
        <v>232</v>
      </c>
      <c r="C12" s="53">
        <v>2019</v>
      </c>
      <c r="D12" s="176" t="s">
        <v>356</v>
      </c>
      <c r="E12" s="53" t="s">
        <v>370</v>
      </c>
      <c r="F12" s="53" t="s">
        <v>371</v>
      </c>
      <c r="G12" s="53" t="s">
        <v>36</v>
      </c>
      <c r="H12" s="53" t="s">
        <v>160</v>
      </c>
      <c r="I12" s="53" t="s">
        <v>159</v>
      </c>
      <c r="J12" s="53" t="s">
        <v>38</v>
      </c>
      <c r="K12" s="53" t="s">
        <v>161</v>
      </c>
      <c r="L12" s="53">
        <v>2</v>
      </c>
      <c r="N12" s="53">
        <v>4</v>
      </c>
      <c r="O12" s="53">
        <v>0.75</v>
      </c>
      <c r="P12" s="53">
        <v>0.65</v>
      </c>
      <c r="Q12" s="75">
        <f t="shared" si="0"/>
        <v>0.7</v>
      </c>
      <c r="R12" s="53">
        <v>17.8</v>
      </c>
      <c r="S12" s="53">
        <v>86</v>
      </c>
      <c r="T12" s="16">
        <f t="shared" si="1"/>
        <v>36</v>
      </c>
      <c r="U12" s="53">
        <v>427</v>
      </c>
      <c r="V12" s="16">
        <f t="shared" si="2"/>
        <v>3843</v>
      </c>
      <c r="W12" s="53">
        <v>5</v>
      </c>
      <c r="X12" s="53" t="s">
        <v>46</v>
      </c>
      <c r="Y12" s="53" t="s">
        <v>69</v>
      </c>
      <c r="Z12" s="53" t="s">
        <v>55</v>
      </c>
      <c r="AA12" s="53" t="s">
        <v>60</v>
      </c>
      <c r="AB12" s="53" t="s">
        <v>258</v>
      </c>
      <c r="AE12" s="22" t="s">
        <v>70</v>
      </c>
      <c r="AG12" s="28"/>
      <c r="AH12" s="23"/>
      <c r="AL12" s="34"/>
      <c r="AP12" s="23" t="s">
        <v>67</v>
      </c>
      <c r="AR12" s="23" t="s">
        <v>124</v>
      </c>
      <c r="AV12" s="23" t="s">
        <v>72</v>
      </c>
    </row>
    <row r="13" spans="1:53" x14ac:dyDescent="0.15">
      <c r="A13" s="53" t="s">
        <v>34</v>
      </c>
      <c r="B13" s="53" t="s">
        <v>232</v>
      </c>
      <c r="C13" s="53">
        <v>2019</v>
      </c>
      <c r="D13" s="176" t="s">
        <v>356</v>
      </c>
      <c r="E13" s="53" t="s">
        <v>370</v>
      </c>
      <c r="F13" s="53" t="s">
        <v>371</v>
      </c>
      <c r="G13" s="53" t="s">
        <v>36</v>
      </c>
      <c r="H13" s="53" t="s">
        <v>160</v>
      </c>
      <c r="I13" s="53" t="s">
        <v>159</v>
      </c>
      <c r="J13" s="53" t="s">
        <v>38</v>
      </c>
      <c r="K13" s="53" t="s">
        <v>161</v>
      </c>
      <c r="L13" s="53">
        <v>3</v>
      </c>
      <c r="N13" s="53">
        <v>4</v>
      </c>
      <c r="O13" s="53">
        <v>0.6</v>
      </c>
      <c r="P13" s="53">
        <v>0.7</v>
      </c>
      <c r="Q13" s="75">
        <f t="shared" si="0"/>
        <v>0.64999999999999991</v>
      </c>
      <c r="R13" s="53">
        <v>20.399999999999999</v>
      </c>
      <c r="S13" s="53">
        <v>83</v>
      </c>
      <c r="T13" s="16">
        <f t="shared" si="1"/>
        <v>39</v>
      </c>
      <c r="U13" s="53">
        <v>427</v>
      </c>
      <c r="V13" s="16">
        <f t="shared" si="2"/>
        <v>4163.25</v>
      </c>
      <c r="W13" s="53">
        <v>5</v>
      </c>
      <c r="X13" s="53" t="s">
        <v>46</v>
      </c>
      <c r="Y13" s="53" t="s">
        <v>69</v>
      </c>
      <c r="Z13" s="53" t="s">
        <v>55</v>
      </c>
      <c r="AA13" s="53" t="s">
        <v>60</v>
      </c>
      <c r="AB13" s="53" t="s">
        <v>258</v>
      </c>
      <c r="AE13" s="22" t="s">
        <v>73</v>
      </c>
      <c r="AH13" s="28"/>
      <c r="AP13" s="23" t="s">
        <v>71</v>
      </c>
      <c r="AR13" s="23" t="s">
        <v>103</v>
      </c>
      <c r="AV13" s="23" t="s">
        <v>75</v>
      </c>
    </row>
    <row r="14" spans="1:53" x14ac:dyDescent="0.15">
      <c r="A14" s="53" t="s">
        <v>34</v>
      </c>
      <c r="B14" s="53" t="s">
        <v>232</v>
      </c>
      <c r="C14" s="53">
        <v>2019</v>
      </c>
      <c r="D14" s="176" t="s">
        <v>356</v>
      </c>
      <c r="E14" s="53" t="s">
        <v>381</v>
      </c>
      <c r="F14" s="53" t="s">
        <v>382</v>
      </c>
      <c r="G14" s="53" t="s">
        <v>36</v>
      </c>
      <c r="H14" s="53" t="s">
        <v>164</v>
      </c>
      <c r="I14" s="53" t="s">
        <v>159</v>
      </c>
      <c r="J14" s="53" t="s">
        <v>38</v>
      </c>
      <c r="K14" s="53" t="s">
        <v>161</v>
      </c>
      <c r="L14" s="53">
        <v>1</v>
      </c>
      <c r="N14" s="53">
        <v>8</v>
      </c>
      <c r="O14" s="53">
        <v>0.8</v>
      </c>
      <c r="P14" s="53">
        <v>0.75</v>
      </c>
      <c r="Q14" s="75">
        <f t="shared" si="0"/>
        <v>0.77500000000000002</v>
      </c>
      <c r="R14" s="53">
        <v>17.399999999999999</v>
      </c>
      <c r="S14" s="53">
        <v>100</v>
      </c>
      <c r="T14" s="16">
        <f t="shared" si="1"/>
        <v>33</v>
      </c>
      <c r="U14" s="53">
        <v>410</v>
      </c>
      <c r="V14" s="16">
        <f t="shared" si="2"/>
        <v>1691.25</v>
      </c>
      <c r="W14" s="53">
        <v>3</v>
      </c>
      <c r="X14" s="53" t="s">
        <v>39</v>
      </c>
      <c r="Y14" s="53" t="s">
        <v>69</v>
      </c>
      <c r="Z14" s="53" t="s">
        <v>64</v>
      </c>
      <c r="AA14" s="53" t="s">
        <v>88</v>
      </c>
      <c r="AB14" s="53" t="s">
        <v>258</v>
      </c>
      <c r="AE14" s="22" t="s">
        <v>76</v>
      </c>
      <c r="AG14" s="179"/>
      <c r="AP14" s="23" t="s">
        <v>74</v>
      </c>
      <c r="AR14" s="23" t="s">
        <v>125</v>
      </c>
      <c r="AV14" s="23" t="s">
        <v>78</v>
      </c>
    </row>
    <row r="15" spans="1:53" x14ac:dyDescent="0.15">
      <c r="A15" s="53" t="s">
        <v>34</v>
      </c>
      <c r="B15" s="53" t="s">
        <v>232</v>
      </c>
      <c r="C15" s="53">
        <v>2019</v>
      </c>
      <c r="D15" s="176" t="s">
        <v>356</v>
      </c>
      <c r="E15" s="53" t="s">
        <v>381</v>
      </c>
      <c r="F15" s="53" t="s">
        <v>382</v>
      </c>
      <c r="G15" s="53" t="s">
        <v>36</v>
      </c>
      <c r="H15" s="53" t="s">
        <v>164</v>
      </c>
      <c r="I15" s="53" t="s">
        <v>159</v>
      </c>
      <c r="J15" s="53" t="s">
        <v>38</v>
      </c>
      <c r="K15" s="53" t="s">
        <v>161</v>
      </c>
      <c r="L15" s="53">
        <v>2</v>
      </c>
      <c r="N15" s="53">
        <v>8</v>
      </c>
      <c r="O15" s="53">
        <v>0.65</v>
      </c>
      <c r="P15" s="53">
        <v>0.65</v>
      </c>
      <c r="Q15" s="75">
        <f t="shared" si="0"/>
        <v>0.65</v>
      </c>
      <c r="R15" s="53">
        <v>17.2</v>
      </c>
      <c r="S15" s="53">
        <v>97</v>
      </c>
      <c r="T15" s="16">
        <f t="shared" si="1"/>
        <v>36</v>
      </c>
      <c r="U15" s="53">
        <v>410</v>
      </c>
      <c r="V15" s="16">
        <f t="shared" si="2"/>
        <v>1845</v>
      </c>
      <c r="W15" s="53">
        <v>3</v>
      </c>
      <c r="X15" s="53" t="s">
        <v>39</v>
      </c>
      <c r="Y15" s="53" t="s">
        <v>69</v>
      </c>
      <c r="Z15" s="53" t="s">
        <v>64</v>
      </c>
      <c r="AA15" s="53" t="s">
        <v>88</v>
      </c>
      <c r="AB15" s="53" t="s">
        <v>258</v>
      </c>
      <c r="AE15" s="22" t="s">
        <v>79</v>
      </c>
      <c r="AP15" s="23" t="s">
        <v>77</v>
      </c>
      <c r="AR15" s="23" t="s">
        <v>94</v>
      </c>
      <c r="AV15" s="23" t="s">
        <v>107</v>
      </c>
    </row>
    <row r="16" spans="1:53" x14ac:dyDescent="0.15">
      <c r="A16" s="53" t="s">
        <v>34</v>
      </c>
      <c r="B16" s="53" t="s">
        <v>232</v>
      </c>
      <c r="C16" s="53">
        <v>2019</v>
      </c>
      <c r="D16" s="176" t="s">
        <v>356</v>
      </c>
      <c r="E16" s="53" t="s">
        <v>381</v>
      </c>
      <c r="F16" s="53" t="s">
        <v>382</v>
      </c>
      <c r="G16" s="53" t="s">
        <v>36</v>
      </c>
      <c r="H16" s="53" t="s">
        <v>164</v>
      </c>
      <c r="I16" s="53" t="s">
        <v>159</v>
      </c>
      <c r="J16" s="53" t="s">
        <v>38</v>
      </c>
      <c r="K16" s="53" t="s">
        <v>161</v>
      </c>
      <c r="L16" s="53">
        <v>3</v>
      </c>
      <c r="N16" s="53">
        <v>8</v>
      </c>
      <c r="O16" s="53">
        <v>0.65</v>
      </c>
      <c r="P16" s="53">
        <v>0.7</v>
      </c>
      <c r="Q16" s="75">
        <f t="shared" si="0"/>
        <v>0.67500000000000004</v>
      </c>
      <c r="R16" s="53">
        <v>19.399999999999999</v>
      </c>
      <c r="S16" s="53">
        <v>100</v>
      </c>
      <c r="T16" s="16">
        <f t="shared" si="1"/>
        <v>33</v>
      </c>
      <c r="U16" s="53">
        <v>410</v>
      </c>
      <c r="V16" s="16">
        <f t="shared" si="2"/>
        <v>1691.25</v>
      </c>
      <c r="W16" s="53">
        <v>3</v>
      </c>
      <c r="X16" s="53" t="s">
        <v>39</v>
      </c>
      <c r="Y16" s="53" t="s">
        <v>69</v>
      </c>
      <c r="Z16" s="53" t="s">
        <v>64</v>
      </c>
      <c r="AA16" s="53" t="s">
        <v>88</v>
      </c>
      <c r="AB16" s="53" t="s">
        <v>258</v>
      </c>
      <c r="AE16" s="22" t="s">
        <v>82</v>
      </c>
      <c r="AP16" s="23" t="s">
        <v>80</v>
      </c>
      <c r="AR16" s="23" t="s">
        <v>63</v>
      </c>
      <c r="AV16" s="23" t="s">
        <v>84</v>
      </c>
    </row>
    <row r="17" spans="1:48" x14ac:dyDescent="0.15">
      <c r="A17" s="53" t="s">
        <v>34</v>
      </c>
      <c r="B17" s="53" t="s">
        <v>232</v>
      </c>
      <c r="C17" s="53">
        <v>2019</v>
      </c>
      <c r="D17" s="176" t="s">
        <v>356</v>
      </c>
      <c r="E17" s="53" t="s">
        <v>381</v>
      </c>
      <c r="F17" s="53" t="s">
        <v>382</v>
      </c>
      <c r="G17" s="53" t="s">
        <v>36</v>
      </c>
      <c r="H17" s="53" t="s">
        <v>164</v>
      </c>
      <c r="I17" s="53" t="s">
        <v>159</v>
      </c>
      <c r="J17" s="53" t="s">
        <v>38</v>
      </c>
      <c r="K17" s="53" t="s">
        <v>161</v>
      </c>
      <c r="L17" s="53">
        <v>1</v>
      </c>
      <c r="N17" s="53">
        <v>1</v>
      </c>
      <c r="O17" s="53">
        <v>0.6</v>
      </c>
      <c r="P17" s="53">
        <v>0.65</v>
      </c>
      <c r="Q17" s="75">
        <f t="shared" si="0"/>
        <v>0.625</v>
      </c>
      <c r="R17" s="53">
        <v>18</v>
      </c>
      <c r="S17" s="53">
        <v>126</v>
      </c>
      <c r="T17" s="16">
        <f t="shared" si="1"/>
        <v>30</v>
      </c>
      <c r="U17" s="53">
        <v>105</v>
      </c>
      <c r="V17" s="16">
        <f t="shared" si="2"/>
        <v>3150</v>
      </c>
      <c r="W17" s="53">
        <v>3</v>
      </c>
      <c r="X17" s="53" t="s">
        <v>39</v>
      </c>
      <c r="Y17" s="53" t="s">
        <v>69</v>
      </c>
      <c r="Z17" s="53" t="s">
        <v>64</v>
      </c>
      <c r="AA17" s="53" t="s">
        <v>88</v>
      </c>
      <c r="AB17" s="53" t="s">
        <v>258</v>
      </c>
      <c r="AE17" s="22" t="s">
        <v>85</v>
      </c>
      <c r="AP17" s="27" t="s">
        <v>110</v>
      </c>
      <c r="AR17" s="23" t="s">
        <v>96</v>
      </c>
      <c r="AV17" s="23" t="s">
        <v>86</v>
      </c>
    </row>
    <row r="18" spans="1:48" x14ac:dyDescent="0.15">
      <c r="A18" s="53" t="s">
        <v>34</v>
      </c>
      <c r="B18" s="53" t="s">
        <v>232</v>
      </c>
      <c r="C18" s="53">
        <v>2019</v>
      </c>
      <c r="D18" s="176" t="s">
        <v>356</v>
      </c>
      <c r="E18" s="53" t="s">
        <v>381</v>
      </c>
      <c r="F18" s="53" t="s">
        <v>382</v>
      </c>
      <c r="G18" s="53" t="s">
        <v>36</v>
      </c>
      <c r="H18" s="53" t="s">
        <v>164</v>
      </c>
      <c r="I18" s="53" t="s">
        <v>159</v>
      </c>
      <c r="J18" s="53" t="s">
        <v>38</v>
      </c>
      <c r="K18" s="53" t="s">
        <v>161</v>
      </c>
      <c r="L18" s="53">
        <v>2</v>
      </c>
      <c r="N18" s="53">
        <v>1</v>
      </c>
      <c r="O18" s="53">
        <v>0.7</v>
      </c>
      <c r="P18" s="53">
        <v>0.75</v>
      </c>
      <c r="Q18" s="75">
        <f t="shared" si="0"/>
        <v>0.72499999999999998</v>
      </c>
      <c r="R18" s="53">
        <v>17.600000000000001</v>
      </c>
      <c r="S18" s="53">
        <v>130</v>
      </c>
      <c r="T18" s="16">
        <f t="shared" si="1"/>
        <v>30</v>
      </c>
      <c r="U18" s="53">
        <v>105</v>
      </c>
      <c r="V18" s="16">
        <f t="shared" si="2"/>
        <v>3150</v>
      </c>
      <c r="W18" s="53">
        <v>3</v>
      </c>
      <c r="X18" s="53" t="s">
        <v>39</v>
      </c>
      <c r="Y18" s="53" t="s">
        <v>69</v>
      </c>
      <c r="Z18" s="53" t="s">
        <v>64</v>
      </c>
      <c r="AA18" s="53" t="s">
        <v>88</v>
      </c>
      <c r="AB18" s="53" t="s">
        <v>258</v>
      </c>
      <c r="AE18" s="22" t="s">
        <v>87</v>
      </c>
      <c r="AP18" s="27" t="s">
        <v>111</v>
      </c>
      <c r="AR18" s="23" t="s">
        <v>101</v>
      </c>
      <c r="AV18" s="23" t="s">
        <v>88</v>
      </c>
    </row>
    <row r="19" spans="1:48" x14ac:dyDescent="0.15">
      <c r="A19" s="53" t="s">
        <v>34</v>
      </c>
      <c r="B19" s="53" t="s">
        <v>232</v>
      </c>
      <c r="C19" s="53">
        <v>2019</v>
      </c>
      <c r="D19" s="176" t="s">
        <v>356</v>
      </c>
      <c r="E19" s="53" t="s">
        <v>381</v>
      </c>
      <c r="F19" s="53" t="s">
        <v>382</v>
      </c>
      <c r="G19" s="53" t="s">
        <v>36</v>
      </c>
      <c r="H19" s="53" t="s">
        <v>164</v>
      </c>
      <c r="I19" s="53" t="s">
        <v>159</v>
      </c>
      <c r="J19" s="53" t="s">
        <v>38</v>
      </c>
      <c r="K19" s="53" t="s">
        <v>161</v>
      </c>
      <c r="L19" s="53">
        <v>3</v>
      </c>
      <c r="N19" s="53">
        <v>1</v>
      </c>
      <c r="O19" s="53">
        <v>0.7</v>
      </c>
      <c r="P19" s="53">
        <v>0.8</v>
      </c>
      <c r="Q19" s="75">
        <f t="shared" si="0"/>
        <v>0.75</v>
      </c>
      <c r="R19" s="53">
        <v>17.600000000000001</v>
      </c>
      <c r="S19" s="53">
        <v>129</v>
      </c>
      <c r="T19" s="16">
        <f t="shared" si="1"/>
        <v>30</v>
      </c>
      <c r="U19" s="53">
        <v>105</v>
      </c>
      <c r="V19" s="16">
        <f t="shared" si="2"/>
        <v>3150</v>
      </c>
      <c r="W19" s="53">
        <v>3</v>
      </c>
      <c r="X19" s="53" t="s">
        <v>39</v>
      </c>
      <c r="Y19" s="53" t="s">
        <v>69</v>
      </c>
      <c r="Z19" s="53" t="s">
        <v>64</v>
      </c>
      <c r="AA19" s="53" t="s">
        <v>88</v>
      </c>
      <c r="AB19" s="53" t="s">
        <v>258</v>
      </c>
      <c r="AE19" s="35" t="s">
        <v>89</v>
      </c>
      <c r="AP19" s="27" t="s">
        <v>112</v>
      </c>
      <c r="AR19" s="23" t="s">
        <v>126</v>
      </c>
      <c r="AV19" s="23" t="s">
        <v>90</v>
      </c>
    </row>
    <row r="20" spans="1:48" x14ac:dyDescent="0.15">
      <c r="A20" s="53" t="s">
        <v>34</v>
      </c>
      <c r="B20" s="53" t="s">
        <v>232</v>
      </c>
      <c r="C20" s="53">
        <v>2019</v>
      </c>
      <c r="D20" s="176" t="s">
        <v>356</v>
      </c>
      <c r="E20" s="53" t="s">
        <v>381</v>
      </c>
      <c r="F20" s="53" t="s">
        <v>382</v>
      </c>
      <c r="G20" s="53" t="s">
        <v>36</v>
      </c>
      <c r="H20" s="53" t="s">
        <v>160</v>
      </c>
      <c r="I20" s="53" t="s">
        <v>159</v>
      </c>
      <c r="J20" s="53" t="s">
        <v>38</v>
      </c>
      <c r="K20" s="53" t="s">
        <v>161</v>
      </c>
      <c r="L20" s="53">
        <v>1</v>
      </c>
      <c r="N20" s="53">
        <v>1</v>
      </c>
      <c r="O20" s="53">
        <v>0.45</v>
      </c>
      <c r="P20" s="53">
        <v>0.5</v>
      </c>
      <c r="Q20" s="75">
        <f t="shared" si="0"/>
        <v>0.47499999999999998</v>
      </c>
      <c r="R20" s="53">
        <v>19.100000000000001</v>
      </c>
      <c r="S20" s="53">
        <v>131</v>
      </c>
      <c r="T20" s="16">
        <f t="shared" si="1"/>
        <v>30</v>
      </c>
      <c r="U20" s="53">
        <v>105</v>
      </c>
      <c r="V20" s="16">
        <f t="shared" si="2"/>
        <v>3150</v>
      </c>
      <c r="W20" s="53">
        <v>2</v>
      </c>
      <c r="X20" s="53" t="s">
        <v>46</v>
      </c>
      <c r="Y20" s="53" t="s">
        <v>69</v>
      </c>
      <c r="Z20" s="53" t="s">
        <v>64</v>
      </c>
      <c r="AA20" s="53" t="s">
        <v>88</v>
      </c>
      <c r="AB20" s="53" t="s">
        <v>258</v>
      </c>
      <c r="AP20" s="27" t="s">
        <v>113</v>
      </c>
      <c r="AR20" s="23" t="s">
        <v>105</v>
      </c>
      <c r="AV20" s="27" t="s">
        <v>135</v>
      </c>
    </row>
    <row r="21" spans="1:48" x14ac:dyDescent="0.15">
      <c r="A21" s="53" t="s">
        <v>34</v>
      </c>
      <c r="B21" s="53" t="s">
        <v>232</v>
      </c>
      <c r="C21" s="53">
        <v>2019</v>
      </c>
      <c r="D21" s="176" t="s">
        <v>356</v>
      </c>
      <c r="E21" s="53" t="s">
        <v>381</v>
      </c>
      <c r="F21" s="53" t="s">
        <v>382</v>
      </c>
      <c r="G21" s="53" t="s">
        <v>36</v>
      </c>
      <c r="H21" s="53" t="s">
        <v>160</v>
      </c>
      <c r="I21" s="53" t="s">
        <v>159</v>
      </c>
      <c r="J21" s="53" t="s">
        <v>38</v>
      </c>
      <c r="K21" s="53" t="s">
        <v>161</v>
      </c>
      <c r="L21" s="53">
        <v>2</v>
      </c>
      <c r="N21" s="53">
        <v>1</v>
      </c>
      <c r="O21" s="53">
        <v>0.55000000000000004</v>
      </c>
      <c r="P21" s="53">
        <v>0.65</v>
      </c>
      <c r="Q21" s="75">
        <f t="shared" si="0"/>
        <v>0.60000000000000009</v>
      </c>
      <c r="R21" s="53">
        <v>19.3</v>
      </c>
      <c r="S21" s="53">
        <v>132</v>
      </c>
      <c r="T21" s="16">
        <f t="shared" si="1"/>
        <v>30</v>
      </c>
      <c r="U21" s="53">
        <v>105</v>
      </c>
      <c r="V21" s="16">
        <f t="shared" si="2"/>
        <v>3150</v>
      </c>
      <c r="W21" s="53">
        <v>2</v>
      </c>
      <c r="X21" s="53" t="s">
        <v>46</v>
      </c>
      <c r="Y21" s="53" t="s">
        <v>69</v>
      </c>
      <c r="Z21" s="53" t="s">
        <v>64</v>
      </c>
      <c r="AA21" s="53" t="s">
        <v>88</v>
      </c>
      <c r="AB21" s="53" t="s">
        <v>258</v>
      </c>
      <c r="AP21" s="27" t="s">
        <v>114</v>
      </c>
      <c r="AR21" s="23" t="s">
        <v>68</v>
      </c>
      <c r="AV21" s="27" t="s">
        <v>136</v>
      </c>
    </row>
    <row r="22" spans="1:48" x14ac:dyDescent="0.15">
      <c r="A22" s="53" t="s">
        <v>34</v>
      </c>
      <c r="B22" s="53" t="s">
        <v>232</v>
      </c>
      <c r="C22" s="53">
        <v>2019</v>
      </c>
      <c r="D22" s="176" t="s">
        <v>356</v>
      </c>
      <c r="E22" s="53" t="s">
        <v>381</v>
      </c>
      <c r="F22" s="53" t="s">
        <v>382</v>
      </c>
      <c r="G22" s="53" t="s">
        <v>36</v>
      </c>
      <c r="H22" s="53" t="s">
        <v>386</v>
      </c>
      <c r="I22" s="53" t="s">
        <v>159</v>
      </c>
      <c r="J22" s="53" t="s">
        <v>38</v>
      </c>
      <c r="K22" s="53" t="s">
        <v>161</v>
      </c>
      <c r="L22" s="53">
        <v>3</v>
      </c>
      <c r="N22" s="53">
        <v>1</v>
      </c>
      <c r="O22" s="53">
        <v>0.55000000000000004</v>
      </c>
      <c r="P22" s="53">
        <v>0.5</v>
      </c>
      <c r="Q22" s="75">
        <f t="shared" si="0"/>
        <v>0.52500000000000002</v>
      </c>
      <c r="R22" s="53">
        <v>19.7</v>
      </c>
      <c r="S22" s="53">
        <v>129</v>
      </c>
      <c r="T22" s="16">
        <f t="shared" si="1"/>
        <v>30</v>
      </c>
      <c r="U22" s="53">
        <v>105</v>
      </c>
      <c r="V22" s="16">
        <f t="shared" si="2"/>
        <v>3150</v>
      </c>
      <c r="W22" s="53">
        <v>2</v>
      </c>
      <c r="X22" s="53" t="s">
        <v>46</v>
      </c>
      <c r="Y22" s="53" t="s">
        <v>69</v>
      </c>
      <c r="Z22" s="53" t="s">
        <v>64</v>
      </c>
      <c r="AA22" s="53" t="s">
        <v>88</v>
      </c>
      <c r="AB22" s="53" t="s">
        <v>258</v>
      </c>
      <c r="AP22" s="27" t="s">
        <v>115</v>
      </c>
      <c r="AR22" s="23" t="s">
        <v>83</v>
      </c>
      <c r="AV22" s="27"/>
    </row>
    <row r="23" spans="1:48" x14ac:dyDescent="0.15">
      <c r="A23" s="53" t="s">
        <v>34</v>
      </c>
      <c r="B23" s="53" t="s">
        <v>232</v>
      </c>
      <c r="C23" s="53">
        <v>2019</v>
      </c>
      <c r="D23" s="176" t="s">
        <v>356</v>
      </c>
      <c r="E23" s="53" t="s">
        <v>381</v>
      </c>
      <c r="F23" s="53" t="s">
        <v>382</v>
      </c>
      <c r="G23" s="53" t="s">
        <v>36</v>
      </c>
      <c r="H23" s="53" t="s">
        <v>386</v>
      </c>
      <c r="I23" s="53" t="s">
        <v>159</v>
      </c>
      <c r="J23" s="53" t="s">
        <v>38</v>
      </c>
      <c r="K23" s="53" t="s">
        <v>161</v>
      </c>
      <c r="L23" s="53">
        <v>1</v>
      </c>
      <c r="N23" s="53">
        <v>5</v>
      </c>
      <c r="O23" s="53">
        <v>0.5</v>
      </c>
      <c r="P23" s="53">
        <v>0.5</v>
      </c>
      <c r="Q23" s="75">
        <f t="shared" si="0"/>
        <v>0.5</v>
      </c>
      <c r="R23" s="53">
        <v>19.8</v>
      </c>
      <c r="S23" s="53">
        <v>92</v>
      </c>
      <c r="T23" s="16">
        <f t="shared" si="1"/>
        <v>36</v>
      </c>
      <c r="U23" s="53">
        <v>429</v>
      </c>
      <c r="V23" s="16">
        <f t="shared" si="2"/>
        <v>3088.7999999999997</v>
      </c>
      <c r="W23" s="53">
        <v>2</v>
      </c>
      <c r="X23" s="53" t="s">
        <v>46</v>
      </c>
      <c r="Y23" s="53" t="s">
        <v>69</v>
      </c>
      <c r="Z23" s="53" t="s">
        <v>64</v>
      </c>
      <c r="AA23" s="53" t="s">
        <v>88</v>
      </c>
      <c r="AB23" s="53" t="s">
        <v>258</v>
      </c>
      <c r="AP23" s="27" t="s">
        <v>117</v>
      </c>
      <c r="AR23" s="23" t="s">
        <v>153</v>
      </c>
    </row>
    <row r="24" spans="1:48" x14ac:dyDescent="0.15">
      <c r="A24" s="53" t="s">
        <v>34</v>
      </c>
      <c r="B24" s="53" t="s">
        <v>232</v>
      </c>
      <c r="C24" s="53">
        <v>2019</v>
      </c>
      <c r="D24" s="176" t="s">
        <v>356</v>
      </c>
      <c r="E24" s="53" t="s">
        <v>381</v>
      </c>
      <c r="F24" s="53" t="s">
        <v>382</v>
      </c>
      <c r="G24" s="53" t="s">
        <v>36</v>
      </c>
      <c r="H24" s="53" t="s">
        <v>386</v>
      </c>
      <c r="I24" s="53" t="s">
        <v>159</v>
      </c>
      <c r="J24" s="53" t="s">
        <v>38</v>
      </c>
      <c r="K24" s="53" t="s">
        <v>161</v>
      </c>
      <c r="L24" s="53">
        <v>2</v>
      </c>
      <c r="N24" s="53">
        <v>5</v>
      </c>
      <c r="O24" s="53">
        <v>0.5</v>
      </c>
      <c r="P24" s="53">
        <v>0.5</v>
      </c>
      <c r="Q24" s="75">
        <f t="shared" si="0"/>
        <v>0.5</v>
      </c>
      <c r="R24" s="53">
        <v>20.5</v>
      </c>
      <c r="S24" s="53">
        <v>87</v>
      </c>
      <c r="T24" s="16">
        <f t="shared" si="1"/>
        <v>36</v>
      </c>
      <c r="U24" s="53">
        <v>429</v>
      </c>
      <c r="V24" s="16">
        <f t="shared" si="2"/>
        <v>3088.7999999999997</v>
      </c>
      <c r="W24" s="53">
        <v>2</v>
      </c>
      <c r="X24" s="53" t="s">
        <v>46</v>
      </c>
      <c r="Y24" s="53" t="s">
        <v>69</v>
      </c>
      <c r="Z24" s="53" t="s">
        <v>64</v>
      </c>
      <c r="AA24" s="53" t="s">
        <v>88</v>
      </c>
      <c r="AB24" s="53" t="s">
        <v>258</v>
      </c>
      <c r="AP24" s="27" t="s">
        <v>118</v>
      </c>
    </row>
    <row r="25" spans="1:48" x14ac:dyDescent="0.15">
      <c r="A25" s="53" t="s">
        <v>34</v>
      </c>
      <c r="B25" s="53" t="s">
        <v>232</v>
      </c>
      <c r="C25" s="53">
        <v>2019</v>
      </c>
      <c r="D25" s="176" t="s">
        <v>356</v>
      </c>
      <c r="E25" s="53" t="s">
        <v>381</v>
      </c>
      <c r="F25" s="53" t="s">
        <v>382</v>
      </c>
      <c r="G25" s="53" t="s">
        <v>36</v>
      </c>
      <c r="H25" s="53" t="s">
        <v>386</v>
      </c>
      <c r="I25" s="53" t="s">
        <v>159</v>
      </c>
      <c r="J25" s="53" t="s">
        <v>38</v>
      </c>
      <c r="K25" s="53" t="s">
        <v>161</v>
      </c>
      <c r="L25" s="53">
        <v>3</v>
      </c>
      <c r="N25" s="53">
        <v>5</v>
      </c>
      <c r="O25" s="53">
        <v>0.5</v>
      </c>
      <c r="P25" s="53">
        <v>0.45</v>
      </c>
      <c r="Q25" s="75">
        <f t="shared" si="0"/>
        <v>0.47499999999999998</v>
      </c>
      <c r="R25" s="53">
        <v>19.7</v>
      </c>
      <c r="S25" s="53">
        <v>90</v>
      </c>
      <c r="T25" s="16">
        <f t="shared" si="1"/>
        <v>36</v>
      </c>
      <c r="U25" s="53">
        <v>429</v>
      </c>
      <c r="V25" s="16">
        <f t="shared" si="2"/>
        <v>3088.7999999999997</v>
      </c>
      <c r="W25" s="53">
        <v>2</v>
      </c>
      <c r="X25" s="53" t="s">
        <v>46</v>
      </c>
      <c r="Y25" s="53" t="s">
        <v>69</v>
      </c>
      <c r="Z25" s="53" t="s">
        <v>64</v>
      </c>
      <c r="AA25" s="53" t="s">
        <v>88</v>
      </c>
      <c r="AB25" s="53" t="s">
        <v>258</v>
      </c>
    </row>
    <row r="26" spans="1:48" x14ac:dyDescent="0.15">
      <c r="A26" s="53" t="s">
        <v>34</v>
      </c>
      <c r="B26" s="53" t="s">
        <v>232</v>
      </c>
      <c r="C26" s="53">
        <v>2019</v>
      </c>
      <c r="D26" s="176" t="s">
        <v>356</v>
      </c>
      <c r="E26" s="53" t="s">
        <v>210</v>
      </c>
      <c r="F26" s="53" t="s">
        <v>385</v>
      </c>
      <c r="G26" s="53" t="s">
        <v>36</v>
      </c>
      <c r="H26" s="53" t="s">
        <v>164</v>
      </c>
      <c r="I26" s="53" t="s">
        <v>159</v>
      </c>
      <c r="J26" s="53" t="s">
        <v>38</v>
      </c>
      <c r="K26" s="53" t="s">
        <v>161</v>
      </c>
      <c r="L26" s="53">
        <v>1</v>
      </c>
      <c r="N26" s="53">
        <v>1</v>
      </c>
      <c r="O26" s="53">
        <v>0.65</v>
      </c>
      <c r="P26" s="53">
        <v>0.55000000000000004</v>
      </c>
      <c r="Q26" s="75">
        <f t="shared" si="0"/>
        <v>0.60000000000000009</v>
      </c>
      <c r="R26" s="53">
        <v>14</v>
      </c>
      <c r="S26" s="53">
        <v>106</v>
      </c>
      <c r="T26" s="16">
        <f t="shared" si="1"/>
        <v>33</v>
      </c>
      <c r="U26" s="53">
        <v>96</v>
      </c>
      <c r="V26" s="16">
        <f t="shared" si="2"/>
        <v>3168</v>
      </c>
      <c r="W26" s="53">
        <v>3</v>
      </c>
      <c r="X26" s="53" t="s">
        <v>46</v>
      </c>
      <c r="Y26" s="53" t="s">
        <v>55</v>
      </c>
      <c r="Z26" s="53" t="s">
        <v>97</v>
      </c>
      <c r="AA26" s="53" t="s">
        <v>86</v>
      </c>
      <c r="AB26" s="53" t="s">
        <v>258</v>
      </c>
    </row>
    <row r="27" spans="1:48" x14ac:dyDescent="0.15">
      <c r="A27" s="53" t="s">
        <v>34</v>
      </c>
      <c r="B27" s="53" t="s">
        <v>232</v>
      </c>
      <c r="C27" s="53">
        <v>2019</v>
      </c>
      <c r="D27" s="176" t="s">
        <v>356</v>
      </c>
      <c r="E27" s="53" t="s">
        <v>210</v>
      </c>
      <c r="F27" s="53" t="s">
        <v>385</v>
      </c>
      <c r="G27" s="53" t="s">
        <v>36</v>
      </c>
      <c r="H27" s="53" t="s">
        <v>164</v>
      </c>
      <c r="I27" s="53" t="s">
        <v>159</v>
      </c>
      <c r="J27" s="53" t="s">
        <v>38</v>
      </c>
      <c r="K27" s="53" t="s">
        <v>161</v>
      </c>
      <c r="L27" s="53">
        <v>2</v>
      </c>
      <c r="N27" s="53">
        <v>1</v>
      </c>
      <c r="O27" s="53">
        <v>0.5</v>
      </c>
      <c r="P27" s="53">
        <v>0.5</v>
      </c>
      <c r="Q27" s="75">
        <f t="shared" si="0"/>
        <v>0.5</v>
      </c>
      <c r="R27" s="53">
        <v>15.7</v>
      </c>
      <c r="S27" s="53">
        <v>108</v>
      </c>
      <c r="T27" s="16">
        <f t="shared" si="1"/>
        <v>33</v>
      </c>
      <c r="U27" s="53">
        <v>96</v>
      </c>
      <c r="V27" s="16">
        <f t="shared" si="2"/>
        <v>3168</v>
      </c>
      <c r="W27" s="53">
        <v>3</v>
      </c>
      <c r="X27" s="53" t="s">
        <v>46</v>
      </c>
      <c r="Y27" s="53" t="s">
        <v>55</v>
      </c>
      <c r="Z27" s="53" t="s">
        <v>97</v>
      </c>
      <c r="AA27" s="53" t="s">
        <v>86</v>
      </c>
      <c r="AB27" s="53" t="s">
        <v>258</v>
      </c>
    </row>
    <row r="28" spans="1:48" x14ac:dyDescent="0.15">
      <c r="A28" s="53" t="s">
        <v>34</v>
      </c>
      <c r="B28" s="53" t="s">
        <v>232</v>
      </c>
      <c r="C28" s="53">
        <v>2019</v>
      </c>
      <c r="D28" s="176" t="s">
        <v>356</v>
      </c>
      <c r="E28" s="53" t="s">
        <v>210</v>
      </c>
      <c r="F28" s="53" t="s">
        <v>385</v>
      </c>
      <c r="G28" s="53" t="s">
        <v>36</v>
      </c>
      <c r="H28" s="53" t="s">
        <v>164</v>
      </c>
      <c r="I28" s="53" t="s">
        <v>159</v>
      </c>
      <c r="J28" s="53" t="s">
        <v>38</v>
      </c>
      <c r="K28" s="53" t="s">
        <v>161</v>
      </c>
      <c r="L28" s="53">
        <v>3</v>
      </c>
      <c r="N28" s="53">
        <v>1</v>
      </c>
      <c r="O28" s="53">
        <v>0.6</v>
      </c>
      <c r="P28" s="53">
        <v>0.65</v>
      </c>
      <c r="Q28" s="75">
        <f>IF(OR(O28="",P28=""),"",AVERAGE(O28,P28))</f>
        <v>0.625</v>
      </c>
      <c r="R28" s="53">
        <v>18.100000000000001</v>
      </c>
      <c r="S28" s="53">
        <v>108</v>
      </c>
      <c r="T28" s="16">
        <f t="shared" si="1"/>
        <v>33</v>
      </c>
      <c r="U28" s="53">
        <v>9</v>
      </c>
      <c r="V28" s="16">
        <f t="shared" si="2"/>
        <v>297</v>
      </c>
      <c r="W28" s="53">
        <v>3</v>
      </c>
      <c r="X28" s="53" t="s">
        <v>46</v>
      </c>
      <c r="Y28" s="53" t="s">
        <v>55</v>
      </c>
      <c r="Z28" s="53" t="s">
        <v>97</v>
      </c>
      <c r="AA28" s="53" t="s">
        <v>86</v>
      </c>
      <c r="AB28" s="53" t="s">
        <v>258</v>
      </c>
    </row>
    <row r="29" spans="1:48" x14ac:dyDescent="0.15">
      <c r="A29" s="53" t="s">
        <v>34</v>
      </c>
      <c r="B29" s="53" t="s">
        <v>232</v>
      </c>
      <c r="C29" s="53">
        <v>2019</v>
      </c>
      <c r="D29" s="176" t="s">
        <v>356</v>
      </c>
      <c r="E29" s="53" t="s">
        <v>210</v>
      </c>
      <c r="F29" s="53" t="s">
        <v>385</v>
      </c>
      <c r="G29" s="53" t="s">
        <v>36</v>
      </c>
      <c r="H29" s="53" t="s">
        <v>160</v>
      </c>
      <c r="I29" s="53" t="s">
        <v>159</v>
      </c>
      <c r="J29" s="53" t="s">
        <v>38</v>
      </c>
      <c r="K29" s="53" t="s">
        <v>161</v>
      </c>
      <c r="L29" s="53">
        <v>1</v>
      </c>
      <c r="N29" s="53">
        <v>4</v>
      </c>
      <c r="O29" s="53">
        <v>0.5</v>
      </c>
      <c r="P29" s="53">
        <v>0.5</v>
      </c>
      <c r="Q29" s="75">
        <f t="shared" si="0"/>
        <v>0.5</v>
      </c>
      <c r="R29" s="53">
        <v>19.600000000000001</v>
      </c>
      <c r="S29" s="53">
        <v>117</v>
      </c>
      <c r="T29" s="16">
        <f t="shared" si="1"/>
        <v>30</v>
      </c>
      <c r="U29" s="53">
        <v>320</v>
      </c>
      <c r="V29" s="16">
        <f t="shared" si="2"/>
        <v>2400</v>
      </c>
      <c r="W29" s="53">
        <v>3</v>
      </c>
      <c r="X29" s="53" t="s">
        <v>46</v>
      </c>
      <c r="Y29" s="53" t="s">
        <v>55</v>
      </c>
      <c r="Z29" s="53" t="s">
        <v>97</v>
      </c>
      <c r="AA29" s="53" t="s">
        <v>86</v>
      </c>
      <c r="AB29" s="53" t="s">
        <v>258</v>
      </c>
    </row>
    <row r="30" spans="1:48" x14ac:dyDescent="0.15">
      <c r="A30" s="53" t="s">
        <v>34</v>
      </c>
      <c r="B30" s="53" t="s">
        <v>232</v>
      </c>
      <c r="C30" s="53">
        <v>2019</v>
      </c>
      <c r="D30" s="176" t="s">
        <v>356</v>
      </c>
      <c r="E30" s="53" t="s">
        <v>210</v>
      </c>
      <c r="F30" s="53" t="s">
        <v>385</v>
      </c>
      <c r="G30" s="53" t="s">
        <v>36</v>
      </c>
      <c r="H30" s="53" t="s">
        <v>160</v>
      </c>
      <c r="I30" s="53" t="s">
        <v>159</v>
      </c>
      <c r="J30" s="53" t="s">
        <v>38</v>
      </c>
      <c r="K30" s="53" t="s">
        <v>161</v>
      </c>
      <c r="L30" s="53">
        <v>2</v>
      </c>
      <c r="N30" s="53">
        <v>4</v>
      </c>
      <c r="O30" s="53">
        <v>0.8</v>
      </c>
      <c r="P30" s="53">
        <v>0.65</v>
      </c>
      <c r="Q30" s="75">
        <f t="shared" si="0"/>
        <v>0.72500000000000009</v>
      </c>
      <c r="R30" s="53">
        <v>18.399999999999999</v>
      </c>
      <c r="S30" s="53">
        <v>114</v>
      </c>
      <c r="T30" s="16">
        <f t="shared" si="1"/>
        <v>30</v>
      </c>
      <c r="U30" s="53">
        <v>320</v>
      </c>
      <c r="V30" s="16">
        <f t="shared" si="2"/>
        <v>2400</v>
      </c>
      <c r="W30" s="53">
        <v>3</v>
      </c>
      <c r="X30" s="53" t="s">
        <v>46</v>
      </c>
      <c r="Y30" s="53" t="s">
        <v>55</v>
      </c>
      <c r="Z30" s="53" t="s">
        <v>97</v>
      </c>
      <c r="AA30" s="53" t="s">
        <v>86</v>
      </c>
      <c r="AB30" s="53" t="s">
        <v>258</v>
      </c>
    </row>
    <row r="31" spans="1:48" x14ac:dyDescent="0.15">
      <c r="A31" s="53" t="s">
        <v>34</v>
      </c>
      <c r="B31" s="53" t="s">
        <v>232</v>
      </c>
      <c r="C31" s="53">
        <v>2019</v>
      </c>
      <c r="D31" s="176" t="s">
        <v>356</v>
      </c>
      <c r="E31" s="53" t="s">
        <v>210</v>
      </c>
      <c r="F31" s="53" t="s">
        <v>385</v>
      </c>
      <c r="G31" s="53" t="s">
        <v>36</v>
      </c>
      <c r="H31" s="53" t="s">
        <v>160</v>
      </c>
      <c r="I31" s="53" t="s">
        <v>159</v>
      </c>
      <c r="J31" s="53" t="s">
        <v>38</v>
      </c>
      <c r="K31" s="53" t="s">
        <v>161</v>
      </c>
      <c r="L31" s="53">
        <v>3</v>
      </c>
      <c r="N31" s="53">
        <v>4</v>
      </c>
      <c r="O31" s="53">
        <v>0.7</v>
      </c>
      <c r="P31" s="53">
        <v>0.75</v>
      </c>
      <c r="Q31" s="75">
        <f t="shared" si="0"/>
        <v>0.72499999999999998</v>
      </c>
      <c r="R31" s="53">
        <v>18.5</v>
      </c>
      <c r="S31" s="53">
        <v>107</v>
      </c>
      <c r="T31" s="16">
        <f t="shared" si="1"/>
        <v>33</v>
      </c>
      <c r="U31" s="53">
        <v>320</v>
      </c>
      <c r="V31" s="16">
        <f t="shared" si="2"/>
        <v>2640</v>
      </c>
      <c r="W31" s="53">
        <v>3</v>
      </c>
      <c r="X31" s="53" t="s">
        <v>46</v>
      </c>
      <c r="Y31" s="53" t="s">
        <v>55</v>
      </c>
      <c r="Z31" s="53" t="s">
        <v>97</v>
      </c>
      <c r="AA31" s="53" t="s">
        <v>86</v>
      </c>
      <c r="AB31" s="53" t="s">
        <v>258</v>
      </c>
    </row>
    <row r="32" spans="1:48" x14ac:dyDescent="0.15">
      <c r="A32" s="53" t="s">
        <v>34</v>
      </c>
      <c r="B32" s="53" t="s">
        <v>232</v>
      </c>
      <c r="C32" s="53">
        <v>2019</v>
      </c>
      <c r="D32" s="176" t="s">
        <v>356</v>
      </c>
      <c r="E32" s="53" t="s">
        <v>210</v>
      </c>
      <c r="F32" s="53" t="s">
        <v>385</v>
      </c>
      <c r="G32" s="53" t="s">
        <v>36</v>
      </c>
      <c r="H32" s="53" t="s">
        <v>160</v>
      </c>
      <c r="I32" s="53" t="s">
        <v>159</v>
      </c>
      <c r="J32" s="53" t="s">
        <v>38</v>
      </c>
      <c r="K32" s="53" t="s">
        <v>161</v>
      </c>
      <c r="L32" s="53">
        <v>1</v>
      </c>
      <c r="N32" s="53">
        <v>1</v>
      </c>
      <c r="O32" s="53">
        <v>0.55000000000000004</v>
      </c>
      <c r="P32" s="53">
        <v>0.45</v>
      </c>
      <c r="Q32" s="75">
        <f t="shared" si="0"/>
        <v>0.5</v>
      </c>
      <c r="R32" s="53">
        <v>18.5</v>
      </c>
      <c r="S32" s="53">
        <v>124</v>
      </c>
      <c r="T32" s="16">
        <f t="shared" si="1"/>
        <v>30</v>
      </c>
      <c r="U32" s="53">
        <v>96</v>
      </c>
      <c r="V32" s="16">
        <f t="shared" si="2"/>
        <v>2880</v>
      </c>
      <c r="W32" s="53">
        <v>5</v>
      </c>
      <c r="X32" s="53" t="s">
        <v>46</v>
      </c>
      <c r="Y32" s="53" t="s">
        <v>55</v>
      </c>
      <c r="Z32" s="53" t="s">
        <v>97</v>
      </c>
      <c r="AA32" s="53" t="s">
        <v>86</v>
      </c>
      <c r="AB32" s="53" t="s">
        <v>258</v>
      </c>
    </row>
    <row r="33" spans="1:28" x14ac:dyDescent="0.15">
      <c r="A33" s="53" t="s">
        <v>34</v>
      </c>
      <c r="B33" s="53" t="s">
        <v>232</v>
      </c>
      <c r="C33" s="53">
        <v>2019</v>
      </c>
      <c r="D33" s="176" t="s">
        <v>356</v>
      </c>
      <c r="E33" s="53" t="s">
        <v>210</v>
      </c>
      <c r="F33" s="53" t="s">
        <v>385</v>
      </c>
      <c r="G33" s="53" t="s">
        <v>36</v>
      </c>
      <c r="H33" s="53" t="s">
        <v>160</v>
      </c>
      <c r="I33" s="53" t="s">
        <v>159</v>
      </c>
      <c r="J33" s="53" t="s">
        <v>38</v>
      </c>
      <c r="K33" s="53" t="s">
        <v>161</v>
      </c>
      <c r="L33" s="53">
        <v>2</v>
      </c>
      <c r="N33" s="53">
        <v>1</v>
      </c>
      <c r="O33" s="53">
        <v>0.65</v>
      </c>
      <c r="P33" s="53">
        <v>0.55000000000000004</v>
      </c>
      <c r="Q33" s="75">
        <f t="shared" si="0"/>
        <v>0.60000000000000009</v>
      </c>
      <c r="R33" s="53">
        <v>17.7</v>
      </c>
      <c r="S33" s="53">
        <v>125</v>
      </c>
      <c r="T33" s="16">
        <f t="shared" si="1"/>
        <v>30</v>
      </c>
      <c r="U33" s="53">
        <v>96</v>
      </c>
      <c r="V33" s="16">
        <f t="shared" si="2"/>
        <v>2880</v>
      </c>
      <c r="W33" s="53">
        <v>5</v>
      </c>
      <c r="X33" s="53" t="s">
        <v>46</v>
      </c>
      <c r="Y33" s="53" t="s">
        <v>55</v>
      </c>
      <c r="Z33" s="53" t="s">
        <v>97</v>
      </c>
      <c r="AA33" s="53" t="s">
        <v>86</v>
      </c>
      <c r="AB33" s="53" t="s">
        <v>258</v>
      </c>
    </row>
    <row r="34" spans="1:28" x14ac:dyDescent="0.15">
      <c r="A34" s="53" t="s">
        <v>34</v>
      </c>
      <c r="B34" s="53" t="s">
        <v>232</v>
      </c>
      <c r="C34" s="53">
        <v>2019</v>
      </c>
      <c r="D34" s="176" t="s">
        <v>356</v>
      </c>
      <c r="E34" s="53" t="s">
        <v>210</v>
      </c>
      <c r="F34" s="53" t="s">
        <v>385</v>
      </c>
      <c r="G34" s="53" t="s">
        <v>36</v>
      </c>
      <c r="H34" s="53" t="s">
        <v>160</v>
      </c>
      <c r="I34" s="53" t="s">
        <v>159</v>
      </c>
      <c r="J34" s="53" t="s">
        <v>38</v>
      </c>
      <c r="K34" s="53" t="s">
        <v>161</v>
      </c>
      <c r="L34" s="53">
        <v>3</v>
      </c>
      <c r="N34" s="53">
        <v>1</v>
      </c>
      <c r="O34" s="53">
        <v>0.5</v>
      </c>
      <c r="P34" s="53">
        <v>0.2</v>
      </c>
      <c r="Q34" s="75">
        <f>IF(OR(O34="",P34=""),"",AVERAGE(O34,P34))</f>
        <v>0.35</v>
      </c>
      <c r="R34" s="53">
        <v>19.2</v>
      </c>
      <c r="S34" s="53">
        <v>122</v>
      </c>
      <c r="T34" s="16">
        <f t="shared" si="1"/>
        <v>30</v>
      </c>
      <c r="U34" s="53">
        <v>96</v>
      </c>
      <c r="V34" s="16">
        <f t="shared" si="2"/>
        <v>2880</v>
      </c>
      <c r="W34" s="53">
        <v>5</v>
      </c>
      <c r="X34" s="53" t="s">
        <v>46</v>
      </c>
      <c r="Y34" s="53" t="s">
        <v>55</v>
      </c>
      <c r="Z34" s="53" t="s">
        <v>97</v>
      </c>
      <c r="AA34" s="53" t="s">
        <v>86</v>
      </c>
      <c r="AB34" s="53" t="s">
        <v>258</v>
      </c>
    </row>
    <row r="35" spans="1:28" x14ac:dyDescent="0.15">
      <c r="A35" s="53" t="s">
        <v>34</v>
      </c>
      <c r="B35" s="53" t="s">
        <v>232</v>
      </c>
      <c r="C35" s="53">
        <v>2019</v>
      </c>
      <c r="D35" s="176" t="s">
        <v>356</v>
      </c>
      <c r="E35" s="53" t="s">
        <v>210</v>
      </c>
      <c r="F35" s="53" t="s">
        <v>385</v>
      </c>
      <c r="G35" s="53" t="s">
        <v>36</v>
      </c>
      <c r="H35" s="53" t="s">
        <v>164</v>
      </c>
      <c r="I35" s="53" t="s">
        <v>159</v>
      </c>
      <c r="J35" s="53" t="s">
        <v>38</v>
      </c>
      <c r="K35" s="53" t="s">
        <v>161</v>
      </c>
      <c r="L35" s="53">
        <v>1</v>
      </c>
      <c r="N35" s="53">
        <v>4</v>
      </c>
      <c r="O35" s="53">
        <v>0.6</v>
      </c>
      <c r="P35" s="53">
        <v>0.65</v>
      </c>
      <c r="Q35" s="75">
        <f t="shared" ref="Q35:Q36" si="3">IF(OR(O35="",P35=""),"",AVERAGE(O35,P35))</f>
        <v>0.625</v>
      </c>
      <c r="R35" s="53">
        <v>13.4</v>
      </c>
      <c r="S35" s="53">
        <v>95</v>
      </c>
      <c r="T35" s="16">
        <f t="shared" si="1"/>
        <v>36</v>
      </c>
      <c r="U35" s="53">
        <v>320</v>
      </c>
      <c r="V35" s="16">
        <f t="shared" si="2"/>
        <v>2880</v>
      </c>
      <c r="W35" s="53">
        <v>5</v>
      </c>
      <c r="X35" s="53" t="s">
        <v>46</v>
      </c>
      <c r="Y35" s="53" t="s">
        <v>55</v>
      </c>
      <c r="Z35" s="53" t="s">
        <v>97</v>
      </c>
      <c r="AA35" s="53" t="s">
        <v>86</v>
      </c>
      <c r="AB35" s="53" t="s">
        <v>258</v>
      </c>
    </row>
    <row r="36" spans="1:28" x14ac:dyDescent="0.15">
      <c r="A36" s="53" t="s">
        <v>34</v>
      </c>
      <c r="B36" s="53" t="s">
        <v>232</v>
      </c>
      <c r="C36" s="53">
        <v>2019</v>
      </c>
      <c r="D36" s="176" t="s">
        <v>356</v>
      </c>
      <c r="E36" s="53" t="s">
        <v>210</v>
      </c>
      <c r="F36" s="53" t="s">
        <v>385</v>
      </c>
      <c r="G36" s="53" t="s">
        <v>36</v>
      </c>
      <c r="H36" s="53" t="s">
        <v>164</v>
      </c>
      <c r="I36" s="53" t="s">
        <v>159</v>
      </c>
      <c r="J36" s="53" t="s">
        <v>38</v>
      </c>
      <c r="K36" s="53" t="s">
        <v>161</v>
      </c>
      <c r="L36" s="53">
        <v>2</v>
      </c>
      <c r="N36" s="53">
        <v>4</v>
      </c>
      <c r="O36" s="53">
        <v>0.7</v>
      </c>
      <c r="P36" s="53">
        <v>0.65</v>
      </c>
      <c r="Q36" s="75">
        <f t="shared" si="3"/>
        <v>0.67500000000000004</v>
      </c>
      <c r="R36" s="53">
        <v>17.100000000000001</v>
      </c>
      <c r="S36" s="53">
        <v>103</v>
      </c>
      <c r="T36" s="16">
        <f t="shared" si="1"/>
        <v>33</v>
      </c>
      <c r="U36" s="53">
        <v>320</v>
      </c>
      <c r="V36" s="16">
        <f t="shared" si="2"/>
        <v>2640</v>
      </c>
      <c r="W36" s="53">
        <v>5</v>
      </c>
      <c r="X36" s="53" t="s">
        <v>46</v>
      </c>
      <c r="Y36" s="53" t="s">
        <v>55</v>
      </c>
      <c r="Z36" s="53" t="s">
        <v>97</v>
      </c>
      <c r="AA36" s="53" t="s">
        <v>86</v>
      </c>
      <c r="AB36" s="53" t="s">
        <v>258</v>
      </c>
    </row>
    <row r="37" spans="1:28" x14ac:dyDescent="0.15">
      <c r="A37" s="53" t="s">
        <v>34</v>
      </c>
      <c r="B37" s="53" t="s">
        <v>232</v>
      </c>
      <c r="C37" s="53">
        <v>2019</v>
      </c>
      <c r="D37" s="176" t="s">
        <v>356</v>
      </c>
      <c r="E37" s="53" t="s">
        <v>210</v>
      </c>
      <c r="F37" s="53" t="s">
        <v>385</v>
      </c>
      <c r="G37" s="53" t="s">
        <v>36</v>
      </c>
      <c r="H37" s="53" t="s">
        <v>164</v>
      </c>
      <c r="I37" s="53" t="s">
        <v>159</v>
      </c>
      <c r="J37" s="53" t="s">
        <v>38</v>
      </c>
      <c r="K37" s="53" t="s">
        <v>161</v>
      </c>
      <c r="L37" s="53">
        <v>3</v>
      </c>
      <c r="N37" s="53">
        <v>4</v>
      </c>
      <c r="O37" s="53">
        <v>0.55000000000000004</v>
      </c>
      <c r="P37" s="53">
        <v>0.6</v>
      </c>
      <c r="Q37" s="75">
        <f>IF(OR(O37="",P37=""),"",AVERAGE(O37,P37))</f>
        <v>0.57499999999999996</v>
      </c>
      <c r="R37" s="53">
        <v>16.7</v>
      </c>
      <c r="S37" s="53">
        <v>94</v>
      </c>
      <c r="T37" s="16">
        <f t="shared" si="1"/>
        <v>36</v>
      </c>
      <c r="U37" s="53">
        <v>320</v>
      </c>
      <c r="V37" s="16">
        <f t="shared" si="2"/>
        <v>2880</v>
      </c>
      <c r="W37" s="53">
        <v>5</v>
      </c>
      <c r="X37" s="53" t="s">
        <v>46</v>
      </c>
      <c r="Y37" s="53" t="s">
        <v>55</v>
      </c>
      <c r="Z37" s="53" t="s">
        <v>97</v>
      </c>
      <c r="AA37" s="53" t="s">
        <v>86</v>
      </c>
      <c r="AB37" s="53" t="s">
        <v>258</v>
      </c>
    </row>
    <row r="38" spans="1:28" x14ac:dyDescent="0.15">
      <c r="A38" s="53" t="s">
        <v>34</v>
      </c>
      <c r="B38" s="53" t="s">
        <v>232</v>
      </c>
      <c r="C38" s="53">
        <v>2019</v>
      </c>
      <c r="D38" s="176" t="s">
        <v>356</v>
      </c>
      <c r="E38" s="53" t="s">
        <v>374</v>
      </c>
      <c r="F38" s="53" t="s">
        <v>375</v>
      </c>
      <c r="G38" s="53" t="s">
        <v>36</v>
      </c>
      <c r="H38" s="53" t="s">
        <v>164</v>
      </c>
      <c r="I38" s="53" t="s">
        <v>159</v>
      </c>
      <c r="J38" s="53" t="s">
        <v>38</v>
      </c>
      <c r="K38" s="53" t="s">
        <v>161</v>
      </c>
      <c r="L38" s="53">
        <v>1</v>
      </c>
      <c r="N38" s="53">
        <v>1</v>
      </c>
      <c r="O38" s="53">
        <v>0.5</v>
      </c>
      <c r="P38" s="53">
        <v>0.6</v>
      </c>
      <c r="Q38" s="75">
        <f t="shared" ref="Q38:Q39" si="4">IF(OR(O38="",P38=""),"",AVERAGE(O38,P38))</f>
        <v>0.55000000000000004</v>
      </c>
      <c r="R38" s="53">
        <v>20.399999999999999</v>
      </c>
      <c r="S38" s="53">
        <v>132</v>
      </c>
      <c r="T38" s="16">
        <f t="shared" si="1"/>
        <v>30</v>
      </c>
      <c r="U38" s="53">
        <v>108</v>
      </c>
      <c r="V38" s="16">
        <f t="shared" si="2"/>
        <v>3240</v>
      </c>
      <c r="W38" s="53">
        <v>5</v>
      </c>
      <c r="X38" s="53" t="s">
        <v>46</v>
      </c>
      <c r="Y38" s="53" t="s">
        <v>88</v>
      </c>
      <c r="Z38" s="53" t="s">
        <v>55</v>
      </c>
      <c r="AA38" s="53" t="s">
        <v>97</v>
      </c>
      <c r="AB38" s="53" t="s">
        <v>258</v>
      </c>
    </row>
    <row r="39" spans="1:28" x14ac:dyDescent="0.15">
      <c r="A39" s="53" t="s">
        <v>34</v>
      </c>
      <c r="B39" s="53" t="s">
        <v>232</v>
      </c>
      <c r="C39" s="53">
        <v>2019</v>
      </c>
      <c r="D39" s="176" t="s">
        <v>356</v>
      </c>
      <c r="E39" s="53" t="s">
        <v>374</v>
      </c>
      <c r="F39" s="53" t="s">
        <v>375</v>
      </c>
      <c r="G39" s="53" t="s">
        <v>36</v>
      </c>
      <c r="H39" s="53" t="s">
        <v>164</v>
      </c>
      <c r="I39" s="53" t="s">
        <v>159</v>
      </c>
      <c r="J39" s="53" t="s">
        <v>38</v>
      </c>
      <c r="K39" s="53" t="s">
        <v>161</v>
      </c>
      <c r="L39" s="53">
        <v>2</v>
      </c>
      <c r="N39" s="53">
        <v>1</v>
      </c>
      <c r="O39" s="53">
        <v>0.8</v>
      </c>
      <c r="P39" s="53">
        <v>0.75</v>
      </c>
      <c r="Q39" s="75">
        <f t="shared" si="4"/>
        <v>0.77500000000000002</v>
      </c>
      <c r="R39" s="53">
        <v>17.2</v>
      </c>
      <c r="S39" s="53">
        <v>141</v>
      </c>
      <c r="T39" s="16">
        <f t="shared" si="1"/>
        <v>30</v>
      </c>
      <c r="U39" s="53">
        <v>108</v>
      </c>
      <c r="V39" s="16">
        <f t="shared" si="2"/>
        <v>3240</v>
      </c>
      <c r="W39" s="53">
        <v>5</v>
      </c>
      <c r="X39" s="53" t="s">
        <v>46</v>
      </c>
      <c r="Y39" s="53" t="s">
        <v>88</v>
      </c>
      <c r="Z39" s="53" t="s">
        <v>55</v>
      </c>
      <c r="AA39" s="53" t="s">
        <v>97</v>
      </c>
      <c r="AB39" s="53" t="s">
        <v>258</v>
      </c>
    </row>
    <row r="40" spans="1:28" x14ac:dyDescent="0.15">
      <c r="A40" s="53" t="s">
        <v>34</v>
      </c>
      <c r="B40" s="53" t="s">
        <v>232</v>
      </c>
      <c r="C40" s="53">
        <v>2019</v>
      </c>
      <c r="D40" s="176" t="s">
        <v>356</v>
      </c>
      <c r="E40" s="53" t="s">
        <v>374</v>
      </c>
      <c r="F40" s="53" t="s">
        <v>375</v>
      </c>
      <c r="G40" s="53" t="s">
        <v>36</v>
      </c>
      <c r="H40" s="53" t="s">
        <v>164</v>
      </c>
      <c r="I40" s="53" t="s">
        <v>159</v>
      </c>
      <c r="J40" s="53" t="s">
        <v>38</v>
      </c>
      <c r="K40" s="53" t="s">
        <v>161</v>
      </c>
      <c r="L40" s="53">
        <v>3</v>
      </c>
      <c r="N40" s="53">
        <v>1</v>
      </c>
      <c r="O40" s="53">
        <v>0.7</v>
      </c>
      <c r="P40" s="53">
        <v>0.75</v>
      </c>
      <c r="Q40" s="75">
        <f>IF(OR(O40="",P40=""),"",AVERAGE(O40,P40))</f>
        <v>0.72499999999999998</v>
      </c>
      <c r="R40" s="53">
        <v>18.399999999999999</v>
      </c>
      <c r="S40" s="53">
        <v>145</v>
      </c>
      <c r="T40" s="16">
        <f t="shared" si="1"/>
        <v>30</v>
      </c>
      <c r="U40" s="53">
        <v>108</v>
      </c>
      <c r="V40" s="16">
        <f t="shared" si="2"/>
        <v>3240</v>
      </c>
      <c r="W40" s="53">
        <v>5</v>
      </c>
      <c r="X40" s="53" t="s">
        <v>46</v>
      </c>
      <c r="Y40" s="53" t="s">
        <v>88</v>
      </c>
      <c r="Z40" s="53" t="s">
        <v>55</v>
      </c>
      <c r="AA40" s="53" t="s">
        <v>97</v>
      </c>
      <c r="AB40" s="53" t="s">
        <v>258</v>
      </c>
    </row>
    <row r="41" spans="1:28" x14ac:dyDescent="0.15">
      <c r="A41" s="53" t="s">
        <v>34</v>
      </c>
      <c r="B41" s="53" t="s">
        <v>232</v>
      </c>
      <c r="C41" s="53">
        <v>2019</v>
      </c>
      <c r="D41" s="176" t="s">
        <v>356</v>
      </c>
      <c r="E41" s="53" t="s">
        <v>374</v>
      </c>
      <c r="F41" s="53" t="s">
        <v>375</v>
      </c>
      <c r="G41" s="53" t="s">
        <v>36</v>
      </c>
      <c r="H41" s="53" t="s">
        <v>164</v>
      </c>
      <c r="I41" s="53" t="s">
        <v>159</v>
      </c>
      <c r="J41" s="53" t="s">
        <v>38</v>
      </c>
      <c r="K41" s="53" t="s">
        <v>161</v>
      </c>
      <c r="L41" s="53">
        <v>1</v>
      </c>
      <c r="N41" s="53">
        <v>4</v>
      </c>
      <c r="O41" s="53">
        <v>0.2</v>
      </c>
      <c r="P41" s="53">
        <v>0.2</v>
      </c>
      <c r="Q41" s="75">
        <f t="shared" si="0"/>
        <v>0.2</v>
      </c>
      <c r="R41" s="53">
        <v>17.100000000000001</v>
      </c>
      <c r="S41" s="53">
        <v>103</v>
      </c>
      <c r="T41" s="16">
        <f t="shared" si="1"/>
        <v>33</v>
      </c>
      <c r="U41" s="53">
        <v>321</v>
      </c>
      <c r="V41" s="16">
        <f t="shared" si="2"/>
        <v>2648.25</v>
      </c>
      <c r="W41" s="53">
        <v>5</v>
      </c>
      <c r="X41" s="53" t="s">
        <v>46</v>
      </c>
      <c r="Y41" s="53" t="s">
        <v>88</v>
      </c>
      <c r="Z41" s="53" t="s">
        <v>55</v>
      </c>
      <c r="AA41" s="53" t="s">
        <v>97</v>
      </c>
      <c r="AB41" s="53" t="s">
        <v>258</v>
      </c>
    </row>
    <row r="42" spans="1:28" x14ac:dyDescent="0.15">
      <c r="A42" s="53" t="s">
        <v>34</v>
      </c>
      <c r="B42" s="53" t="s">
        <v>232</v>
      </c>
      <c r="C42" s="53">
        <v>2019</v>
      </c>
      <c r="D42" s="176" t="s">
        <v>356</v>
      </c>
      <c r="E42" s="53" t="s">
        <v>374</v>
      </c>
      <c r="F42" s="53" t="s">
        <v>375</v>
      </c>
      <c r="G42" s="53" t="s">
        <v>36</v>
      </c>
      <c r="H42" s="53" t="s">
        <v>164</v>
      </c>
      <c r="I42" s="53" t="s">
        <v>159</v>
      </c>
      <c r="J42" s="53" t="s">
        <v>38</v>
      </c>
      <c r="K42" s="53" t="s">
        <v>161</v>
      </c>
      <c r="L42" s="53">
        <v>2</v>
      </c>
      <c r="N42" s="53">
        <v>4</v>
      </c>
      <c r="O42" s="53">
        <v>0.55000000000000004</v>
      </c>
      <c r="P42" s="53">
        <v>0.5</v>
      </c>
      <c r="Q42" s="75">
        <f t="shared" si="0"/>
        <v>0.52500000000000002</v>
      </c>
      <c r="R42" s="53">
        <v>17</v>
      </c>
      <c r="S42" s="53">
        <v>101</v>
      </c>
      <c r="T42" s="16">
        <f t="shared" si="1"/>
        <v>33</v>
      </c>
      <c r="U42" s="53">
        <v>321</v>
      </c>
      <c r="V42" s="16">
        <f t="shared" si="2"/>
        <v>2648.25</v>
      </c>
      <c r="W42" s="53">
        <v>5</v>
      </c>
      <c r="X42" s="53" t="s">
        <v>46</v>
      </c>
      <c r="Y42" s="53" t="s">
        <v>88</v>
      </c>
      <c r="Z42" s="53" t="s">
        <v>55</v>
      </c>
      <c r="AA42" s="53" t="s">
        <v>97</v>
      </c>
      <c r="AB42" s="53" t="s">
        <v>258</v>
      </c>
    </row>
    <row r="43" spans="1:28" x14ac:dyDescent="0.15">
      <c r="A43" s="53" t="s">
        <v>34</v>
      </c>
      <c r="B43" s="53" t="s">
        <v>232</v>
      </c>
      <c r="C43" s="53">
        <v>2019</v>
      </c>
      <c r="D43" s="176" t="s">
        <v>356</v>
      </c>
      <c r="E43" s="53" t="s">
        <v>374</v>
      </c>
      <c r="F43" s="53" t="s">
        <v>375</v>
      </c>
      <c r="G43" s="53" t="s">
        <v>36</v>
      </c>
      <c r="H43" s="53" t="s">
        <v>164</v>
      </c>
      <c r="I43" s="53" t="s">
        <v>159</v>
      </c>
      <c r="J43" s="53" t="s">
        <v>38</v>
      </c>
      <c r="K43" s="53" t="s">
        <v>161</v>
      </c>
      <c r="L43" s="53">
        <v>3</v>
      </c>
      <c r="N43" s="53">
        <v>4</v>
      </c>
      <c r="O43" s="53">
        <v>0.2</v>
      </c>
      <c r="P43" s="53">
        <v>0.2</v>
      </c>
      <c r="Q43" s="75">
        <f t="shared" si="0"/>
        <v>0.2</v>
      </c>
      <c r="R43" s="53">
        <v>17.5</v>
      </c>
      <c r="S43" s="53">
        <v>102</v>
      </c>
      <c r="T43" s="16">
        <f t="shared" si="1"/>
        <v>33</v>
      </c>
      <c r="U43" s="53">
        <v>321</v>
      </c>
      <c r="V43" s="16">
        <f t="shared" si="2"/>
        <v>2648.25</v>
      </c>
      <c r="W43" s="53">
        <v>5</v>
      </c>
      <c r="X43" s="53" t="s">
        <v>46</v>
      </c>
      <c r="Y43" s="53" t="s">
        <v>88</v>
      </c>
      <c r="Z43" s="53" t="s">
        <v>55</v>
      </c>
      <c r="AA43" s="53" t="s">
        <v>97</v>
      </c>
      <c r="AB43" s="53" t="s">
        <v>258</v>
      </c>
    </row>
    <row r="44" spans="1:28" x14ac:dyDescent="0.15">
      <c r="A44" s="53" t="s">
        <v>34</v>
      </c>
      <c r="B44" s="53" t="s">
        <v>232</v>
      </c>
      <c r="C44" s="53">
        <v>2019</v>
      </c>
      <c r="D44" s="176" t="s">
        <v>356</v>
      </c>
      <c r="E44" s="53" t="s">
        <v>374</v>
      </c>
      <c r="F44" s="53" t="s">
        <v>375</v>
      </c>
      <c r="G44" s="53" t="s">
        <v>36</v>
      </c>
      <c r="H44" s="53" t="s">
        <v>160</v>
      </c>
      <c r="I44" s="53" t="s">
        <v>159</v>
      </c>
      <c r="J44" s="53" t="s">
        <v>38</v>
      </c>
      <c r="K44" s="53" t="s">
        <v>161</v>
      </c>
      <c r="L44" s="53">
        <v>1</v>
      </c>
      <c r="N44" s="53">
        <v>1</v>
      </c>
      <c r="O44" s="53">
        <v>0.55000000000000004</v>
      </c>
      <c r="P44" s="53">
        <v>0.55000000000000004</v>
      </c>
      <c r="Q44" s="75">
        <f t="shared" si="0"/>
        <v>0.55000000000000004</v>
      </c>
      <c r="R44" s="53">
        <v>21.2</v>
      </c>
      <c r="S44" s="53">
        <v>143</v>
      </c>
      <c r="T44" s="16">
        <f t="shared" si="1"/>
        <v>30</v>
      </c>
      <c r="U44" s="53">
        <v>138</v>
      </c>
      <c r="V44" s="16">
        <f t="shared" si="2"/>
        <v>4140</v>
      </c>
      <c r="W44" s="53">
        <v>5</v>
      </c>
      <c r="X44" s="53" t="s">
        <v>46</v>
      </c>
      <c r="Y44" s="53" t="s">
        <v>88</v>
      </c>
      <c r="Z44" s="53" t="s">
        <v>55</v>
      </c>
      <c r="AA44" s="53" t="s">
        <v>97</v>
      </c>
      <c r="AB44" s="53" t="s">
        <v>258</v>
      </c>
    </row>
    <row r="45" spans="1:28" x14ac:dyDescent="0.15">
      <c r="A45" s="53" t="s">
        <v>34</v>
      </c>
      <c r="B45" s="53" t="s">
        <v>232</v>
      </c>
      <c r="C45" s="53">
        <v>2019</v>
      </c>
      <c r="D45" s="176" t="s">
        <v>356</v>
      </c>
      <c r="E45" s="53" t="s">
        <v>374</v>
      </c>
      <c r="F45" s="53" t="s">
        <v>375</v>
      </c>
      <c r="G45" s="53" t="s">
        <v>36</v>
      </c>
      <c r="H45" s="53" t="s">
        <v>160</v>
      </c>
      <c r="I45" s="53" t="s">
        <v>159</v>
      </c>
      <c r="J45" s="53" t="s">
        <v>38</v>
      </c>
      <c r="K45" s="53" t="s">
        <v>161</v>
      </c>
      <c r="L45" s="53">
        <v>2</v>
      </c>
      <c r="N45" s="53">
        <v>1</v>
      </c>
      <c r="O45" s="53">
        <v>0.45</v>
      </c>
      <c r="P45" s="53">
        <v>0.55000000000000004</v>
      </c>
      <c r="Q45" s="75">
        <f t="shared" si="0"/>
        <v>0.5</v>
      </c>
      <c r="R45" s="53">
        <v>20.9</v>
      </c>
      <c r="S45" s="53">
        <v>138</v>
      </c>
      <c r="T45" s="16">
        <f t="shared" si="1"/>
        <v>30</v>
      </c>
      <c r="U45" s="53">
        <v>138</v>
      </c>
      <c r="V45" s="16">
        <f t="shared" si="2"/>
        <v>4140</v>
      </c>
      <c r="W45" s="53">
        <v>5</v>
      </c>
      <c r="X45" s="53" t="s">
        <v>46</v>
      </c>
      <c r="Y45" s="53" t="s">
        <v>88</v>
      </c>
      <c r="Z45" s="53" t="s">
        <v>55</v>
      </c>
      <c r="AA45" s="53" t="s">
        <v>97</v>
      </c>
      <c r="AB45" s="53" t="s">
        <v>258</v>
      </c>
    </row>
    <row r="46" spans="1:28" x14ac:dyDescent="0.15">
      <c r="A46" s="53" t="s">
        <v>34</v>
      </c>
      <c r="B46" s="53" t="s">
        <v>232</v>
      </c>
      <c r="C46" s="53">
        <v>2019</v>
      </c>
      <c r="D46" s="176" t="s">
        <v>356</v>
      </c>
      <c r="E46" s="53" t="s">
        <v>374</v>
      </c>
      <c r="F46" s="53" t="s">
        <v>375</v>
      </c>
      <c r="G46" s="53" t="s">
        <v>36</v>
      </c>
      <c r="H46" s="53" t="s">
        <v>160</v>
      </c>
      <c r="I46" s="53" t="s">
        <v>159</v>
      </c>
      <c r="J46" s="53" t="s">
        <v>38</v>
      </c>
      <c r="K46" s="53" t="s">
        <v>161</v>
      </c>
      <c r="L46" s="53">
        <v>3</v>
      </c>
      <c r="N46" s="53">
        <v>1</v>
      </c>
      <c r="O46" s="53">
        <v>0.45</v>
      </c>
      <c r="P46" s="53">
        <v>0.5</v>
      </c>
      <c r="Q46" s="75">
        <f t="shared" si="0"/>
        <v>0.47499999999999998</v>
      </c>
      <c r="R46" s="53">
        <v>21.4</v>
      </c>
      <c r="S46" s="53">
        <v>138</v>
      </c>
      <c r="T46" s="16">
        <f t="shared" si="1"/>
        <v>30</v>
      </c>
      <c r="U46" s="53">
        <v>138</v>
      </c>
      <c r="V46" s="16">
        <f t="shared" si="2"/>
        <v>4140</v>
      </c>
      <c r="W46" s="53">
        <v>5</v>
      </c>
      <c r="X46" s="53" t="s">
        <v>46</v>
      </c>
      <c r="Y46" s="53" t="s">
        <v>88</v>
      </c>
      <c r="Z46" s="53" t="s">
        <v>55</v>
      </c>
      <c r="AA46" s="53" t="s">
        <v>97</v>
      </c>
      <c r="AB46" s="53" t="s">
        <v>258</v>
      </c>
    </row>
    <row r="47" spans="1:28" x14ac:dyDescent="0.15">
      <c r="A47" s="53" t="s">
        <v>34</v>
      </c>
      <c r="B47" s="53" t="s">
        <v>232</v>
      </c>
      <c r="C47" s="53">
        <v>2019</v>
      </c>
      <c r="D47" s="176" t="s">
        <v>356</v>
      </c>
      <c r="E47" s="53" t="s">
        <v>374</v>
      </c>
      <c r="F47" s="53" t="s">
        <v>375</v>
      </c>
      <c r="G47" s="53" t="s">
        <v>36</v>
      </c>
      <c r="H47" s="53" t="s">
        <v>160</v>
      </c>
      <c r="I47" s="53" t="s">
        <v>159</v>
      </c>
      <c r="J47" s="53" t="s">
        <v>38</v>
      </c>
      <c r="K47" s="53" t="s">
        <v>161</v>
      </c>
      <c r="L47" s="53">
        <v>1</v>
      </c>
      <c r="N47" s="53">
        <v>4</v>
      </c>
      <c r="O47" s="53">
        <v>0.6</v>
      </c>
      <c r="P47" s="53">
        <v>0.65</v>
      </c>
      <c r="Q47" s="75">
        <f t="shared" si="0"/>
        <v>0.625</v>
      </c>
      <c r="R47" s="53">
        <v>17.600000000000001</v>
      </c>
      <c r="S47" s="53">
        <v>110</v>
      </c>
      <c r="T47" s="16">
        <f t="shared" si="1"/>
        <v>33</v>
      </c>
      <c r="U47" s="53">
        <v>429</v>
      </c>
      <c r="V47" s="16">
        <f t="shared" si="2"/>
        <v>3539.25</v>
      </c>
      <c r="W47" s="53">
        <v>5</v>
      </c>
      <c r="X47" s="53" t="s">
        <v>46</v>
      </c>
      <c r="Y47" s="53" t="s">
        <v>88</v>
      </c>
      <c r="Z47" s="53" t="s">
        <v>55</v>
      </c>
      <c r="AA47" s="53" t="s">
        <v>97</v>
      </c>
      <c r="AB47" s="53" t="s">
        <v>258</v>
      </c>
    </row>
    <row r="48" spans="1:28" x14ac:dyDescent="0.15">
      <c r="A48" s="53" t="s">
        <v>34</v>
      </c>
      <c r="B48" s="53" t="s">
        <v>232</v>
      </c>
      <c r="C48" s="53">
        <v>2019</v>
      </c>
      <c r="D48" s="176" t="s">
        <v>356</v>
      </c>
      <c r="E48" s="53" t="s">
        <v>374</v>
      </c>
      <c r="F48" s="53" t="s">
        <v>375</v>
      </c>
      <c r="G48" s="53" t="s">
        <v>36</v>
      </c>
      <c r="H48" s="53" t="s">
        <v>160</v>
      </c>
      <c r="I48" s="53" t="s">
        <v>159</v>
      </c>
      <c r="J48" s="53" t="s">
        <v>38</v>
      </c>
      <c r="K48" s="53" t="s">
        <v>161</v>
      </c>
      <c r="L48" s="53">
        <v>2</v>
      </c>
      <c r="N48" s="53">
        <v>4</v>
      </c>
      <c r="O48" s="53">
        <v>0.55000000000000004</v>
      </c>
      <c r="P48" s="53">
        <v>0.55000000000000004</v>
      </c>
      <c r="Q48" s="75">
        <f t="shared" si="0"/>
        <v>0.55000000000000004</v>
      </c>
      <c r="R48" s="53">
        <v>17.3</v>
      </c>
      <c r="S48" s="53">
        <v>116</v>
      </c>
      <c r="T48" s="16">
        <f t="shared" si="1"/>
        <v>30</v>
      </c>
      <c r="U48" s="53">
        <v>429</v>
      </c>
      <c r="V48" s="16">
        <f t="shared" si="2"/>
        <v>3217.5</v>
      </c>
      <c r="W48" s="53">
        <v>5</v>
      </c>
      <c r="X48" s="53" t="s">
        <v>46</v>
      </c>
      <c r="Y48" s="53" t="s">
        <v>88</v>
      </c>
      <c r="Z48" s="53" t="s">
        <v>55</v>
      </c>
      <c r="AA48" s="53" t="s">
        <v>97</v>
      </c>
      <c r="AB48" s="53" t="s">
        <v>258</v>
      </c>
    </row>
    <row r="49" spans="1:28" x14ac:dyDescent="0.15">
      <c r="A49" s="53" t="s">
        <v>34</v>
      </c>
      <c r="B49" s="53" t="s">
        <v>232</v>
      </c>
      <c r="C49" s="53">
        <v>2019</v>
      </c>
      <c r="D49" s="176" t="s">
        <v>356</v>
      </c>
      <c r="E49" s="53" t="s">
        <v>374</v>
      </c>
      <c r="F49" s="53" t="s">
        <v>375</v>
      </c>
      <c r="G49" s="53" t="s">
        <v>36</v>
      </c>
      <c r="H49" s="53" t="s">
        <v>160</v>
      </c>
      <c r="I49" s="53" t="s">
        <v>159</v>
      </c>
      <c r="J49" s="53" t="s">
        <v>38</v>
      </c>
      <c r="K49" s="53" t="s">
        <v>161</v>
      </c>
      <c r="L49" s="53">
        <v>3</v>
      </c>
      <c r="N49" s="53">
        <v>4</v>
      </c>
      <c r="O49" s="53">
        <v>0.5</v>
      </c>
      <c r="P49" s="53">
        <v>0.45</v>
      </c>
      <c r="Q49" s="75">
        <f t="shared" si="0"/>
        <v>0.47499999999999998</v>
      </c>
      <c r="R49" s="53">
        <v>17.399999999999999</v>
      </c>
      <c r="S49" s="53">
        <v>110</v>
      </c>
      <c r="T49" s="16">
        <f t="shared" si="1"/>
        <v>33</v>
      </c>
      <c r="U49" s="53">
        <v>429</v>
      </c>
      <c r="V49" s="16">
        <f t="shared" si="2"/>
        <v>3539.25</v>
      </c>
      <c r="W49" s="53">
        <v>5</v>
      </c>
      <c r="X49" s="53" t="s">
        <v>46</v>
      </c>
      <c r="Y49" s="53" t="s">
        <v>88</v>
      </c>
      <c r="Z49" s="53" t="s">
        <v>55</v>
      </c>
      <c r="AA49" s="53" t="s">
        <v>97</v>
      </c>
      <c r="AB49" s="53" t="s">
        <v>258</v>
      </c>
    </row>
    <row r="50" spans="1:28" x14ac:dyDescent="0.15">
      <c r="A50" s="53" t="s">
        <v>34</v>
      </c>
      <c r="B50" s="53" t="s">
        <v>232</v>
      </c>
      <c r="C50" s="53">
        <v>2019</v>
      </c>
      <c r="D50" s="176" t="s">
        <v>356</v>
      </c>
      <c r="E50" s="53" t="s">
        <v>383</v>
      </c>
      <c r="F50" s="53" t="s">
        <v>384</v>
      </c>
      <c r="G50" s="53" t="s">
        <v>36</v>
      </c>
      <c r="H50" s="53" t="s">
        <v>164</v>
      </c>
      <c r="I50" s="53" t="s">
        <v>159</v>
      </c>
      <c r="J50" s="53" t="s">
        <v>38</v>
      </c>
      <c r="K50" s="53" t="s">
        <v>161</v>
      </c>
      <c r="L50" s="53">
        <v>1</v>
      </c>
      <c r="N50" s="53">
        <v>1</v>
      </c>
      <c r="O50" s="53">
        <v>1</v>
      </c>
      <c r="P50" s="53">
        <v>0.9</v>
      </c>
      <c r="Q50" s="75">
        <f t="shared" si="0"/>
        <v>0.95</v>
      </c>
      <c r="R50" s="53">
        <v>16.899999999999999</v>
      </c>
      <c r="S50" s="53">
        <v>117</v>
      </c>
      <c r="T50" s="16">
        <f t="shared" si="1"/>
        <v>30</v>
      </c>
      <c r="U50" s="53">
        <v>84</v>
      </c>
      <c r="V50" s="16">
        <f t="shared" si="2"/>
        <v>2520</v>
      </c>
      <c r="W50" s="53">
        <v>8</v>
      </c>
      <c r="X50" s="53" t="s">
        <v>46</v>
      </c>
      <c r="Y50" s="53" t="s">
        <v>78</v>
      </c>
      <c r="Z50" s="53" t="s">
        <v>88</v>
      </c>
      <c r="AA50" s="53" t="s">
        <v>64</v>
      </c>
      <c r="AB50" s="53" t="s">
        <v>258</v>
      </c>
    </row>
    <row r="51" spans="1:28" x14ac:dyDescent="0.15">
      <c r="A51" s="53" t="s">
        <v>34</v>
      </c>
      <c r="B51" s="53" t="s">
        <v>232</v>
      </c>
      <c r="C51" s="53">
        <v>2019</v>
      </c>
      <c r="D51" s="176" t="s">
        <v>356</v>
      </c>
      <c r="E51" s="53" t="s">
        <v>383</v>
      </c>
      <c r="F51" s="53" t="s">
        <v>384</v>
      </c>
      <c r="G51" s="53" t="s">
        <v>36</v>
      </c>
      <c r="H51" s="53" t="s">
        <v>164</v>
      </c>
      <c r="I51" s="53" t="s">
        <v>159</v>
      </c>
      <c r="J51" s="53" t="s">
        <v>38</v>
      </c>
      <c r="K51" s="53" t="s">
        <v>161</v>
      </c>
      <c r="L51" s="53">
        <v>2</v>
      </c>
      <c r="N51" s="53">
        <v>1</v>
      </c>
      <c r="O51" s="53">
        <v>0.85</v>
      </c>
      <c r="P51" s="53">
        <v>1.05</v>
      </c>
      <c r="Q51" s="75">
        <f t="shared" si="0"/>
        <v>0.95</v>
      </c>
      <c r="R51" s="53">
        <v>17.7</v>
      </c>
      <c r="S51" s="53">
        <v>116</v>
      </c>
      <c r="T51" s="16">
        <f t="shared" si="1"/>
        <v>30</v>
      </c>
      <c r="U51" s="53">
        <v>84</v>
      </c>
      <c r="V51" s="16">
        <f t="shared" si="2"/>
        <v>2520</v>
      </c>
      <c r="W51" s="53">
        <v>8</v>
      </c>
      <c r="X51" s="53" t="s">
        <v>46</v>
      </c>
      <c r="Y51" s="53" t="s">
        <v>78</v>
      </c>
      <c r="Z51" s="53" t="s">
        <v>88</v>
      </c>
      <c r="AA51" s="53" t="s">
        <v>64</v>
      </c>
      <c r="AB51" s="53" t="s">
        <v>258</v>
      </c>
    </row>
    <row r="52" spans="1:28" x14ac:dyDescent="0.15">
      <c r="A52" s="53" t="s">
        <v>34</v>
      </c>
      <c r="B52" s="53" t="s">
        <v>232</v>
      </c>
      <c r="C52" s="53">
        <v>2019</v>
      </c>
      <c r="D52" s="176" t="s">
        <v>356</v>
      </c>
      <c r="E52" s="53" t="s">
        <v>383</v>
      </c>
      <c r="F52" s="53" t="s">
        <v>384</v>
      </c>
      <c r="G52" s="53" t="s">
        <v>36</v>
      </c>
      <c r="H52" s="53" t="s">
        <v>164</v>
      </c>
      <c r="I52" s="53" t="s">
        <v>159</v>
      </c>
      <c r="J52" s="53" t="s">
        <v>38</v>
      </c>
      <c r="K52" s="53" t="s">
        <v>161</v>
      </c>
      <c r="L52" s="53">
        <v>3</v>
      </c>
      <c r="N52" s="53">
        <v>1</v>
      </c>
      <c r="O52" s="53">
        <v>0.8</v>
      </c>
      <c r="P52" s="53">
        <v>1.25</v>
      </c>
      <c r="Q52" s="75">
        <f t="shared" si="0"/>
        <v>1.0249999999999999</v>
      </c>
      <c r="R52" s="53">
        <v>18.100000000000001</v>
      </c>
      <c r="S52" s="53">
        <v>118</v>
      </c>
      <c r="T52" s="16">
        <f t="shared" si="1"/>
        <v>30</v>
      </c>
      <c r="U52" s="53">
        <v>84</v>
      </c>
      <c r="V52" s="16">
        <f t="shared" si="2"/>
        <v>2520</v>
      </c>
      <c r="W52" s="53">
        <v>8</v>
      </c>
      <c r="X52" s="53" t="s">
        <v>46</v>
      </c>
      <c r="Y52" s="53" t="s">
        <v>78</v>
      </c>
      <c r="Z52" s="53" t="s">
        <v>88</v>
      </c>
      <c r="AA52" s="53" t="s">
        <v>64</v>
      </c>
      <c r="AB52" s="53" t="s">
        <v>258</v>
      </c>
    </row>
    <row r="53" spans="1:28" x14ac:dyDescent="0.15">
      <c r="A53" s="53" t="s">
        <v>34</v>
      </c>
      <c r="B53" s="53" t="s">
        <v>232</v>
      </c>
      <c r="C53" s="53">
        <v>2019</v>
      </c>
      <c r="D53" s="176" t="s">
        <v>356</v>
      </c>
      <c r="E53" s="53" t="s">
        <v>383</v>
      </c>
      <c r="F53" s="53" t="s">
        <v>384</v>
      </c>
      <c r="G53" s="53" t="s">
        <v>36</v>
      </c>
      <c r="H53" s="53" t="s">
        <v>164</v>
      </c>
      <c r="I53" s="53" t="s">
        <v>159</v>
      </c>
      <c r="J53" s="53" t="s">
        <v>38</v>
      </c>
      <c r="K53" s="53" t="s">
        <v>161</v>
      </c>
      <c r="L53" s="53">
        <v>1</v>
      </c>
      <c r="N53" s="53">
        <v>4</v>
      </c>
      <c r="O53" s="53">
        <v>0.65</v>
      </c>
      <c r="P53" s="53">
        <v>0.6</v>
      </c>
      <c r="Q53" s="75">
        <f t="shared" si="0"/>
        <v>0.625</v>
      </c>
      <c r="R53" s="53">
        <v>17.399999999999999</v>
      </c>
      <c r="S53" s="53">
        <v>86</v>
      </c>
      <c r="T53" s="16">
        <f t="shared" si="1"/>
        <v>36</v>
      </c>
      <c r="U53" s="53">
        <v>321</v>
      </c>
      <c r="V53" s="16">
        <f t="shared" si="2"/>
        <v>2889</v>
      </c>
      <c r="W53" s="53">
        <v>8</v>
      </c>
      <c r="X53" s="53" t="s">
        <v>46</v>
      </c>
      <c r="Y53" s="53" t="s">
        <v>78</v>
      </c>
      <c r="Z53" s="53" t="s">
        <v>88</v>
      </c>
      <c r="AA53" s="53" t="s">
        <v>64</v>
      </c>
      <c r="AB53" s="53" t="s">
        <v>258</v>
      </c>
    </row>
    <row r="54" spans="1:28" x14ac:dyDescent="0.15">
      <c r="A54" s="53" t="s">
        <v>34</v>
      </c>
      <c r="B54" s="53" t="s">
        <v>232</v>
      </c>
      <c r="C54" s="53">
        <v>2019</v>
      </c>
      <c r="D54" s="176" t="s">
        <v>356</v>
      </c>
      <c r="E54" s="53" t="s">
        <v>383</v>
      </c>
      <c r="F54" s="53" t="s">
        <v>384</v>
      </c>
      <c r="G54" s="53" t="s">
        <v>36</v>
      </c>
      <c r="H54" s="53" t="s">
        <v>164</v>
      </c>
      <c r="I54" s="53" t="s">
        <v>159</v>
      </c>
      <c r="J54" s="53" t="s">
        <v>38</v>
      </c>
      <c r="K54" s="53" t="s">
        <v>161</v>
      </c>
      <c r="L54" s="53">
        <v>2</v>
      </c>
      <c r="N54" s="53">
        <v>4</v>
      </c>
      <c r="O54" s="53">
        <v>0.85</v>
      </c>
      <c r="P54" s="53">
        <v>0.9</v>
      </c>
      <c r="Q54" s="75">
        <f t="shared" si="0"/>
        <v>0.875</v>
      </c>
      <c r="R54" s="53">
        <v>17</v>
      </c>
      <c r="S54" s="53">
        <v>89</v>
      </c>
      <c r="T54" s="16">
        <f t="shared" si="1"/>
        <v>36</v>
      </c>
      <c r="U54" s="53">
        <v>321</v>
      </c>
      <c r="V54" s="16">
        <f t="shared" si="2"/>
        <v>2889</v>
      </c>
      <c r="W54" s="53">
        <v>8</v>
      </c>
      <c r="X54" s="53" t="s">
        <v>46</v>
      </c>
      <c r="Y54" s="53" t="s">
        <v>78</v>
      </c>
      <c r="Z54" s="53" t="s">
        <v>88</v>
      </c>
      <c r="AA54" s="53" t="s">
        <v>64</v>
      </c>
      <c r="AB54" s="53" t="s">
        <v>258</v>
      </c>
    </row>
    <row r="55" spans="1:28" x14ac:dyDescent="0.15">
      <c r="A55" s="53" t="s">
        <v>34</v>
      </c>
      <c r="B55" s="53" t="s">
        <v>232</v>
      </c>
      <c r="C55" s="53">
        <v>2019</v>
      </c>
      <c r="D55" s="176" t="s">
        <v>356</v>
      </c>
      <c r="E55" s="53" t="s">
        <v>383</v>
      </c>
      <c r="F55" s="53" t="s">
        <v>384</v>
      </c>
      <c r="G55" s="53" t="s">
        <v>36</v>
      </c>
      <c r="H55" s="53" t="s">
        <v>164</v>
      </c>
      <c r="I55" s="53" t="s">
        <v>159</v>
      </c>
      <c r="J55" s="53" t="s">
        <v>38</v>
      </c>
      <c r="K55" s="53" t="s">
        <v>161</v>
      </c>
      <c r="L55" s="53">
        <v>3</v>
      </c>
      <c r="N55" s="53">
        <v>4</v>
      </c>
      <c r="O55" s="53">
        <v>0.45</v>
      </c>
      <c r="P55" s="53">
        <v>0.5</v>
      </c>
      <c r="Q55" s="75">
        <f t="shared" si="0"/>
        <v>0.47499999999999998</v>
      </c>
      <c r="R55" s="53">
        <v>17.2</v>
      </c>
      <c r="S55" s="53">
        <v>92</v>
      </c>
      <c r="T55" s="16">
        <f t="shared" si="1"/>
        <v>36</v>
      </c>
      <c r="U55" s="53">
        <v>321</v>
      </c>
      <c r="V55" s="16">
        <f t="shared" si="2"/>
        <v>2889</v>
      </c>
      <c r="W55" s="53">
        <v>8</v>
      </c>
      <c r="X55" s="53" t="s">
        <v>46</v>
      </c>
      <c r="Y55" s="53" t="s">
        <v>78</v>
      </c>
      <c r="Z55" s="53" t="s">
        <v>88</v>
      </c>
      <c r="AA55" s="53" t="s">
        <v>64</v>
      </c>
      <c r="AB55" s="53" t="s">
        <v>258</v>
      </c>
    </row>
    <row r="56" spans="1:28" x14ac:dyDescent="0.15">
      <c r="A56" s="53" t="s">
        <v>34</v>
      </c>
      <c r="B56" s="53" t="s">
        <v>232</v>
      </c>
      <c r="C56" s="53">
        <v>2019</v>
      </c>
      <c r="D56" s="176" t="s">
        <v>356</v>
      </c>
      <c r="E56" s="53" t="s">
        <v>383</v>
      </c>
      <c r="F56" s="53" t="s">
        <v>384</v>
      </c>
      <c r="G56" s="53" t="s">
        <v>36</v>
      </c>
      <c r="H56" s="53" t="s">
        <v>164</v>
      </c>
      <c r="I56" s="53" t="s">
        <v>159</v>
      </c>
      <c r="J56" s="53" t="s">
        <v>38</v>
      </c>
      <c r="K56" s="53" t="s">
        <v>161</v>
      </c>
      <c r="L56" s="53">
        <v>1</v>
      </c>
      <c r="N56" s="53">
        <v>8</v>
      </c>
      <c r="O56" s="53">
        <v>0.9</v>
      </c>
      <c r="P56" s="53">
        <v>0.8</v>
      </c>
      <c r="Q56" s="75">
        <f t="shared" si="0"/>
        <v>0.85000000000000009</v>
      </c>
      <c r="R56" s="53">
        <v>13.4</v>
      </c>
      <c r="S56" s="53">
        <v>92</v>
      </c>
      <c r="T56" s="16">
        <f t="shared" si="1"/>
        <v>36</v>
      </c>
      <c r="U56" s="53">
        <v>429</v>
      </c>
      <c r="V56" s="16">
        <f t="shared" si="2"/>
        <v>1930.5</v>
      </c>
      <c r="W56" s="53">
        <v>8</v>
      </c>
      <c r="X56" s="53" t="s">
        <v>46</v>
      </c>
      <c r="Y56" s="53" t="s">
        <v>78</v>
      </c>
      <c r="Z56" s="53" t="s">
        <v>88</v>
      </c>
      <c r="AA56" s="53" t="s">
        <v>64</v>
      </c>
      <c r="AB56" s="53" t="s">
        <v>258</v>
      </c>
    </row>
    <row r="57" spans="1:28" x14ac:dyDescent="0.15">
      <c r="A57" s="53" t="s">
        <v>34</v>
      </c>
      <c r="B57" s="53" t="s">
        <v>232</v>
      </c>
      <c r="C57" s="53">
        <v>2019</v>
      </c>
      <c r="D57" s="176" t="s">
        <v>356</v>
      </c>
      <c r="E57" s="53" t="s">
        <v>383</v>
      </c>
      <c r="F57" s="53" t="s">
        <v>384</v>
      </c>
      <c r="G57" s="53" t="s">
        <v>36</v>
      </c>
      <c r="H57" s="53" t="s">
        <v>164</v>
      </c>
      <c r="I57" s="53" t="s">
        <v>159</v>
      </c>
      <c r="J57" s="53" t="s">
        <v>38</v>
      </c>
      <c r="K57" s="53" t="s">
        <v>161</v>
      </c>
      <c r="L57" s="53">
        <v>2</v>
      </c>
      <c r="N57" s="53">
        <v>8</v>
      </c>
      <c r="O57" s="53">
        <v>0.85</v>
      </c>
      <c r="P57" s="53">
        <v>0.75</v>
      </c>
      <c r="Q57" s="75">
        <f t="shared" si="0"/>
        <v>0.8</v>
      </c>
      <c r="R57" s="53">
        <v>13</v>
      </c>
      <c r="S57" s="53">
        <v>84</v>
      </c>
      <c r="T57" s="16">
        <f t="shared" si="1"/>
        <v>36</v>
      </c>
      <c r="U57" s="53">
        <v>429</v>
      </c>
      <c r="V57" s="16">
        <f t="shared" si="2"/>
        <v>1930.5</v>
      </c>
      <c r="W57" s="53">
        <v>8</v>
      </c>
      <c r="X57" s="53" t="s">
        <v>46</v>
      </c>
      <c r="Y57" s="53" t="s">
        <v>78</v>
      </c>
      <c r="Z57" s="53" t="s">
        <v>88</v>
      </c>
      <c r="AA57" s="53" t="s">
        <v>64</v>
      </c>
      <c r="AB57" s="53" t="s">
        <v>258</v>
      </c>
    </row>
    <row r="58" spans="1:28" x14ac:dyDescent="0.15">
      <c r="A58" s="53" t="s">
        <v>34</v>
      </c>
      <c r="B58" s="53" t="s">
        <v>232</v>
      </c>
      <c r="C58" s="53">
        <v>2019</v>
      </c>
      <c r="D58" s="176" t="s">
        <v>356</v>
      </c>
      <c r="E58" s="53" t="s">
        <v>383</v>
      </c>
      <c r="F58" s="53" t="s">
        <v>384</v>
      </c>
      <c r="G58" s="53" t="s">
        <v>36</v>
      </c>
      <c r="H58" s="53" t="s">
        <v>164</v>
      </c>
      <c r="I58" s="53" t="s">
        <v>159</v>
      </c>
      <c r="J58" s="53" t="s">
        <v>38</v>
      </c>
      <c r="K58" s="53" t="s">
        <v>161</v>
      </c>
      <c r="L58" s="53">
        <v>3</v>
      </c>
      <c r="N58" s="53">
        <v>8</v>
      </c>
      <c r="O58" s="53">
        <v>0.6</v>
      </c>
      <c r="P58" s="53">
        <v>0.7</v>
      </c>
      <c r="Q58" s="75">
        <f t="shared" si="0"/>
        <v>0.64999999999999991</v>
      </c>
      <c r="R58" s="53">
        <v>17</v>
      </c>
      <c r="S58" s="53">
        <v>86</v>
      </c>
      <c r="T58" s="16">
        <f t="shared" si="1"/>
        <v>36</v>
      </c>
      <c r="U58" s="53">
        <v>429</v>
      </c>
      <c r="V58" s="16">
        <f t="shared" si="2"/>
        <v>1930.5</v>
      </c>
      <c r="W58" s="53">
        <v>8</v>
      </c>
      <c r="X58" s="53" t="s">
        <v>46</v>
      </c>
      <c r="Y58" s="53" t="s">
        <v>78</v>
      </c>
      <c r="Z58" s="53" t="s">
        <v>88</v>
      </c>
      <c r="AA58" s="53" t="s">
        <v>64</v>
      </c>
      <c r="AB58" s="53" t="s">
        <v>258</v>
      </c>
    </row>
    <row r="59" spans="1:28" x14ac:dyDescent="0.15">
      <c r="A59" s="53" t="s">
        <v>34</v>
      </c>
      <c r="B59" s="53" t="s">
        <v>232</v>
      </c>
      <c r="C59" s="53">
        <v>2019</v>
      </c>
      <c r="D59" s="176" t="s">
        <v>356</v>
      </c>
      <c r="E59" s="53" t="s">
        <v>383</v>
      </c>
      <c r="F59" s="53" t="s">
        <v>384</v>
      </c>
      <c r="G59" s="53" t="s">
        <v>36</v>
      </c>
      <c r="H59" s="53" t="s">
        <v>160</v>
      </c>
      <c r="I59" s="53" t="s">
        <v>159</v>
      </c>
      <c r="J59" s="53" t="s">
        <v>38</v>
      </c>
      <c r="K59" s="53" t="s">
        <v>161</v>
      </c>
      <c r="L59" s="53">
        <v>1</v>
      </c>
      <c r="N59" s="53">
        <v>1</v>
      </c>
      <c r="O59" s="53">
        <v>0.9</v>
      </c>
      <c r="P59" s="53">
        <v>0.5</v>
      </c>
      <c r="Q59" s="75">
        <f t="shared" si="0"/>
        <v>0.7</v>
      </c>
      <c r="R59" s="53">
        <v>17.5</v>
      </c>
      <c r="S59" s="53">
        <v>118</v>
      </c>
      <c r="T59" s="16">
        <f t="shared" si="1"/>
        <v>30</v>
      </c>
      <c r="U59" s="53">
        <v>149</v>
      </c>
      <c r="V59" s="16">
        <f t="shared" si="2"/>
        <v>4470</v>
      </c>
      <c r="W59" s="53">
        <v>7</v>
      </c>
      <c r="X59" s="53" t="s">
        <v>46</v>
      </c>
      <c r="Y59" s="53" t="s">
        <v>78</v>
      </c>
      <c r="Z59" s="53" t="s">
        <v>88</v>
      </c>
      <c r="AA59" s="53" t="s">
        <v>64</v>
      </c>
      <c r="AB59" s="53" t="s">
        <v>258</v>
      </c>
    </row>
    <row r="60" spans="1:28" x14ac:dyDescent="0.15">
      <c r="A60" s="53" t="s">
        <v>34</v>
      </c>
      <c r="B60" s="53" t="s">
        <v>232</v>
      </c>
      <c r="C60" s="53">
        <v>2019</v>
      </c>
      <c r="D60" s="176" t="s">
        <v>356</v>
      </c>
      <c r="E60" s="53" t="s">
        <v>383</v>
      </c>
      <c r="F60" s="53" t="s">
        <v>384</v>
      </c>
      <c r="G60" s="53" t="s">
        <v>36</v>
      </c>
      <c r="H60" s="53" t="s">
        <v>160</v>
      </c>
      <c r="I60" s="53" t="s">
        <v>159</v>
      </c>
      <c r="J60" s="53" t="s">
        <v>38</v>
      </c>
      <c r="K60" s="53" t="s">
        <v>161</v>
      </c>
      <c r="L60" s="53">
        <v>2</v>
      </c>
      <c r="N60" s="53">
        <v>1</v>
      </c>
      <c r="O60" s="53">
        <v>0.7</v>
      </c>
      <c r="P60" s="53">
        <v>0.6</v>
      </c>
      <c r="Q60" s="75">
        <f t="shared" si="0"/>
        <v>0.64999999999999991</v>
      </c>
      <c r="R60" s="53">
        <v>18.8</v>
      </c>
      <c r="S60" s="53">
        <v>118</v>
      </c>
      <c r="T60" s="16">
        <f t="shared" si="1"/>
        <v>30</v>
      </c>
      <c r="U60" s="53">
        <v>149</v>
      </c>
      <c r="V60" s="16">
        <f t="shared" si="2"/>
        <v>4470</v>
      </c>
      <c r="W60" s="53">
        <v>7</v>
      </c>
      <c r="X60" s="53" t="s">
        <v>46</v>
      </c>
      <c r="Y60" s="53" t="s">
        <v>78</v>
      </c>
      <c r="Z60" s="53" t="s">
        <v>88</v>
      </c>
      <c r="AA60" s="53" t="s">
        <v>64</v>
      </c>
      <c r="AB60" s="53" t="s">
        <v>258</v>
      </c>
    </row>
    <row r="61" spans="1:28" x14ac:dyDescent="0.15">
      <c r="A61" s="53" t="s">
        <v>34</v>
      </c>
      <c r="B61" s="53" t="s">
        <v>232</v>
      </c>
      <c r="C61" s="53">
        <v>2019</v>
      </c>
      <c r="D61" s="176" t="s">
        <v>356</v>
      </c>
      <c r="E61" s="53" t="s">
        <v>383</v>
      </c>
      <c r="F61" s="53" t="s">
        <v>384</v>
      </c>
      <c r="G61" s="53" t="s">
        <v>36</v>
      </c>
      <c r="H61" s="53" t="s">
        <v>160</v>
      </c>
      <c r="I61" s="53" t="s">
        <v>159</v>
      </c>
      <c r="J61" s="53" t="s">
        <v>38</v>
      </c>
      <c r="K61" s="53" t="s">
        <v>161</v>
      </c>
      <c r="L61" s="53">
        <v>3</v>
      </c>
      <c r="N61" s="53">
        <v>1</v>
      </c>
      <c r="O61" s="53">
        <v>0.75</v>
      </c>
      <c r="P61" s="53">
        <v>0.55000000000000004</v>
      </c>
      <c r="Q61" s="75">
        <f t="shared" si="0"/>
        <v>0.65</v>
      </c>
      <c r="R61" s="53">
        <v>18.5</v>
      </c>
      <c r="S61" s="53">
        <v>120</v>
      </c>
      <c r="T61" s="16">
        <f t="shared" si="1"/>
        <v>30</v>
      </c>
      <c r="U61" s="53">
        <v>149</v>
      </c>
      <c r="V61" s="16">
        <f t="shared" si="2"/>
        <v>4470</v>
      </c>
      <c r="W61" s="53">
        <v>7</v>
      </c>
      <c r="X61" s="53" t="s">
        <v>46</v>
      </c>
      <c r="Y61" s="53" t="s">
        <v>78</v>
      </c>
      <c r="Z61" s="53" t="s">
        <v>88</v>
      </c>
      <c r="AA61" s="53" t="s">
        <v>64</v>
      </c>
      <c r="AB61" s="53" t="s">
        <v>258</v>
      </c>
    </row>
    <row r="62" spans="1:28" x14ac:dyDescent="0.15">
      <c r="A62" s="53" t="s">
        <v>34</v>
      </c>
      <c r="B62" s="53" t="s">
        <v>232</v>
      </c>
      <c r="C62" s="53">
        <v>2019</v>
      </c>
      <c r="D62" s="176" t="s">
        <v>356</v>
      </c>
      <c r="E62" s="53" t="s">
        <v>383</v>
      </c>
      <c r="F62" s="53" t="s">
        <v>384</v>
      </c>
      <c r="G62" s="53" t="s">
        <v>36</v>
      </c>
      <c r="H62" s="53" t="s">
        <v>160</v>
      </c>
      <c r="I62" s="53" t="s">
        <v>159</v>
      </c>
      <c r="J62" s="53" t="s">
        <v>38</v>
      </c>
      <c r="K62" s="53" t="s">
        <v>161</v>
      </c>
      <c r="L62" s="53">
        <v>1</v>
      </c>
      <c r="N62" s="53">
        <v>4</v>
      </c>
      <c r="O62" s="53">
        <v>0.65</v>
      </c>
      <c r="P62" s="53">
        <v>0.65</v>
      </c>
      <c r="Q62" s="75">
        <f t="shared" si="0"/>
        <v>0.65</v>
      </c>
      <c r="R62" s="53">
        <v>19.600000000000001</v>
      </c>
      <c r="S62" s="53">
        <v>104</v>
      </c>
      <c r="T62" s="16">
        <f t="shared" si="1"/>
        <v>33</v>
      </c>
      <c r="U62" s="53">
        <v>537</v>
      </c>
      <c r="V62" s="16">
        <f t="shared" si="2"/>
        <v>4430.25</v>
      </c>
      <c r="W62" s="53">
        <v>7</v>
      </c>
      <c r="X62" s="53" t="s">
        <v>46</v>
      </c>
      <c r="Y62" s="53" t="s">
        <v>78</v>
      </c>
      <c r="Z62" s="53" t="s">
        <v>88</v>
      </c>
      <c r="AA62" s="53" t="s">
        <v>64</v>
      </c>
      <c r="AB62" s="53" t="s">
        <v>258</v>
      </c>
    </row>
    <row r="63" spans="1:28" x14ac:dyDescent="0.15">
      <c r="A63" s="53" t="s">
        <v>34</v>
      </c>
      <c r="B63" s="53" t="s">
        <v>232</v>
      </c>
      <c r="C63" s="53">
        <v>2019</v>
      </c>
      <c r="D63" s="176" t="s">
        <v>356</v>
      </c>
      <c r="E63" s="53" t="s">
        <v>383</v>
      </c>
      <c r="F63" s="53" t="s">
        <v>384</v>
      </c>
      <c r="G63" s="53" t="s">
        <v>36</v>
      </c>
      <c r="H63" s="53" t="s">
        <v>160</v>
      </c>
      <c r="I63" s="53" t="s">
        <v>159</v>
      </c>
      <c r="J63" s="53" t="s">
        <v>38</v>
      </c>
      <c r="K63" s="53" t="s">
        <v>161</v>
      </c>
      <c r="L63" s="53">
        <v>2</v>
      </c>
      <c r="N63" s="53">
        <v>4</v>
      </c>
      <c r="O63" s="53">
        <v>0.95</v>
      </c>
      <c r="P63" s="53">
        <v>0.85</v>
      </c>
      <c r="Q63" s="75">
        <f t="shared" si="0"/>
        <v>0.89999999999999991</v>
      </c>
      <c r="R63" s="53">
        <v>19</v>
      </c>
      <c r="S63" s="53">
        <v>104</v>
      </c>
      <c r="T63" s="16">
        <f t="shared" si="1"/>
        <v>33</v>
      </c>
      <c r="U63" s="53">
        <v>537</v>
      </c>
      <c r="V63" s="16">
        <f t="shared" si="2"/>
        <v>4430.25</v>
      </c>
      <c r="W63" s="53">
        <v>7</v>
      </c>
      <c r="X63" s="53" t="s">
        <v>46</v>
      </c>
      <c r="Y63" s="53" t="s">
        <v>78</v>
      </c>
      <c r="Z63" s="53" t="s">
        <v>88</v>
      </c>
      <c r="AA63" s="53" t="s">
        <v>64</v>
      </c>
      <c r="AB63" s="53" t="s">
        <v>258</v>
      </c>
    </row>
    <row r="64" spans="1:28" x14ac:dyDescent="0.15">
      <c r="A64" s="53" t="s">
        <v>34</v>
      </c>
      <c r="B64" s="53" t="s">
        <v>232</v>
      </c>
      <c r="C64" s="53">
        <v>2019</v>
      </c>
      <c r="D64" s="176" t="s">
        <v>356</v>
      </c>
      <c r="E64" s="53" t="s">
        <v>383</v>
      </c>
      <c r="F64" s="53" t="s">
        <v>384</v>
      </c>
      <c r="G64" s="53" t="s">
        <v>36</v>
      </c>
      <c r="H64" s="53" t="s">
        <v>160</v>
      </c>
      <c r="I64" s="53" t="s">
        <v>159</v>
      </c>
      <c r="J64" s="53" t="s">
        <v>38</v>
      </c>
      <c r="K64" s="53" t="s">
        <v>161</v>
      </c>
      <c r="L64" s="53">
        <v>3</v>
      </c>
      <c r="N64" s="53">
        <v>4</v>
      </c>
      <c r="O64" s="53">
        <v>0.6</v>
      </c>
      <c r="P64" s="53">
        <v>0.55000000000000004</v>
      </c>
      <c r="Q64" s="75">
        <f t="shared" si="0"/>
        <v>0.57499999999999996</v>
      </c>
      <c r="R64" s="53">
        <v>17.8</v>
      </c>
      <c r="S64" s="53">
        <v>98</v>
      </c>
      <c r="T64" s="16">
        <f t="shared" si="1"/>
        <v>36</v>
      </c>
      <c r="U64" s="53">
        <v>537</v>
      </c>
      <c r="V64" s="16">
        <f t="shared" si="2"/>
        <v>4833</v>
      </c>
      <c r="W64" s="53">
        <v>7</v>
      </c>
      <c r="X64" s="53" t="s">
        <v>46</v>
      </c>
      <c r="Y64" s="53" t="s">
        <v>78</v>
      </c>
      <c r="Z64" s="53" t="s">
        <v>88</v>
      </c>
      <c r="AA64" s="53" t="s">
        <v>64</v>
      </c>
      <c r="AB64" s="53" t="s">
        <v>258</v>
      </c>
    </row>
    <row r="65" spans="1:28" x14ac:dyDescent="0.15">
      <c r="A65" s="53" t="s">
        <v>34</v>
      </c>
      <c r="B65" s="53" t="s">
        <v>232</v>
      </c>
      <c r="C65" s="53">
        <v>2019</v>
      </c>
      <c r="D65" s="176" t="s">
        <v>356</v>
      </c>
      <c r="E65" s="53" t="s">
        <v>373</v>
      </c>
      <c r="F65" s="53" t="s">
        <v>372</v>
      </c>
      <c r="G65" s="53" t="s">
        <v>36</v>
      </c>
      <c r="H65" s="53" t="s">
        <v>164</v>
      </c>
      <c r="I65" s="53" t="s">
        <v>159</v>
      </c>
      <c r="J65" s="53" t="s">
        <v>38</v>
      </c>
      <c r="K65" s="53" t="s">
        <v>161</v>
      </c>
      <c r="L65" s="53">
        <v>1</v>
      </c>
      <c r="N65" s="53">
        <v>1</v>
      </c>
      <c r="O65" s="53">
        <v>0.55000000000000004</v>
      </c>
      <c r="P65" s="53">
        <v>0.55000000000000004</v>
      </c>
      <c r="Q65" s="75">
        <f t="shared" si="0"/>
        <v>0.55000000000000004</v>
      </c>
      <c r="R65" s="53">
        <v>18.7</v>
      </c>
      <c r="S65" s="53">
        <v>130</v>
      </c>
      <c r="T65" s="16">
        <f t="shared" si="1"/>
        <v>30</v>
      </c>
      <c r="U65" s="53">
        <v>108</v>
      </c>
      <c r="V65" s="16">
        <f t="shared" si="2"/>
        <v>3240</v>
      </c>
      <c r="W65" s="53">
        <v>2</v>
      </c>
      <c r="X65" s="53" t="s">
        <v>46</v>
      </c>
      <c r="Y65" s="53" t="s">
        <v>97</v>
      </c>
      <c r="Z65" s="53" t="s">
        <v>86</v>
      </c>
      <c r="AA65" s="53" t="s">
        <v>88</v>
      </c>
      <c r="AB65" s="53" t="s">
        <v>258</v>
      </c>
    </row>
    <row r="66" spans="1:28" x14ac:dyDescent="0.15">
      <c r="A66" s="53" t="s">
        <v>34</v>
      </c>
      <c r="B66" s="53" t="s">
        <v>232</v>
      </c>
      <c r="C66" s="53">
        <v>2019</v>
      </c>
      <c r="D66" s="176" t="s">
        <v>356</v>
      </c>
      <c r="E66" s="53" t="s">
        <v>373</v>
      </c>
      <c r="F66" s="53" t="s">
        <v>372</v>
      </c>
      <c r="G66" s="53" t="s">
        <v>36</v>
      </c>
      <c r="H66" s="53" t="s">
        <v>164</v>
      </c>
      <c r="I66" s="53" t="s">
        <v>159</v>
      </c>
      <c r="J66" s="53" t="s">
        <v>38</v>
      </c>
      <c r="K66" s="53" t="s">
        <v>161</v>
      </c>
      <c r="L66" s="53">
        <v>2</v>
      </c>
      <c r="N66" s="53">
        <v>1</v>
      </c>
      <c r="O66" s="53">
        <v>0.7</v>
      </c>
      <c r="P66" s="53">
        <v>0.7</v>
      </c>
      <c r="Q66" s="75">
        <f t="shared" si="0"/>
        <v>0.7</v>
      </c>
      <c r="R66" s="53">
        <v>18.3</v>
      </c>
      <c r="S66" s="53">
        <v>129</v>
      </c>
      <c r="T66" s="16">
        <f t="shared" si="1"/>
        <v>30</v>
      </c>
      <c r="U66" s="53">
        <v>108</v>
      </c>
      <c r="V66" s="16">
        <f t="shared" si="2"/>
        <v>3240</v>
      </c>
      <c r="W66" s="53">
        <v>2</v>
      </c>
      <c r="X66" s="53" t="s">
        <v>46</v>
      </c>
      <c r="Y66" s="53" t="s">
        <v>97</v>
      </c>
      <c r="Z66" s="53" t="s">
        <v>86</v>
      </c>
      <c r="AA66" s="53" t="s">
        <v>88</v>
      </c>
      <c r="AB66" s="53" t="s">
        <v>258</v>
      </c>
    </row>
    <row r="67" spans="1:28" x14ac:dyDescent="0.15">
      <c r="A67" s="53" t="s">
        <v>34</v>
      </c>
      <c r="B67" s="53" t="s">
        <v>232</v>
      </c>
      <c r="C67" s="53">
        <v>2019</v>
      </c>
      <c r="D67" s="176" t="s">
        <v>356</v>
      </c>
      <c r="E67" s="53" t="s">
        <v>373</v>
      </c>
      <c r="F67" s="53" t="s">
        <v>372</v>
      </c>
      <c r="G67" s="53" t="s">
        <v>36</v>
      </c>
      <c r="H67" s="53" t="s">
        <v>164</v>
      </c>
      <c r="I67" s="53" t="s">
        <v>159</v>
      </c>
      <c r="J67" s="53" t="s">
        <v>38</v>
      </c>
      <c r="K67" s="53" t="s">
        <v>161</v>
      </c>
      <c r="L67" s="53">
        <v>3</v>
      </c>
      <c r="N67" s="53">
        <v>1</v>
      </c>
      <c r="O67" s="53">
        <v>1.05</v>
      </c>
      <c r="P67" s="53">
        <v>0.95</v>
      </c>
      <c r="Q67" s="75">
        <f t="shared" si="0"/>
        <v>1</v>
      </c>
      <c r="R67" s="53">
        <v>17.2</v>
      </c>
      <c r="S67" s="53">
        <v>126</v>
      </c>
      <c r="T67" s="16">
        <f t="shared" si="1"/>
        <v>30</v>
      </c>
      <c r="U67" s="53">
        <v>108</v>
      </c>
      <c r="V67" s="16">
        <f t="shared" si="2"/>
        <v>3240</v>
      </c>
      <c r="W67" s="53">
        <v>2</v>
      </c>
      <c r="X67" s="53" t="s">
        <v>46</v>
      </c>
      <c r="Y67" s="53" t="s">
        <v>97</v>
      </c>
      <c r="Z67" s="53" t="s">
        <v>86</v>
      </c>
      <c r="AA67" s="53" t="s">
        <v>88</v>
      </c>
      <c r="AB67" s="53" t="s">
        <v>258</v>
      </c>
    </row>
    <row r="68" spans="1:28" x14ac:dyDescent="0.15">
      <c r="A68" s="53" t="s">
        <v>34</v>
      </c>
      <c r="B68" s="53" t="s">
        <v>232</v>
      </c>
      <c r="C68" s="53">
        <v>2019</v>
      </c>
      <c r="D68" s="176" t="s">
        <v>356</v>
      </c>
      <c r="E68" s="53" t="s">
        <v>373</v>
      </c>
      <c r="F68" s="53" t="s">
        <v>372</v>
      </c>
      <c r="G68" s="53" t="s">
        <v>36</v>
      </c>
      <c r="H68" s="53" t="s">
        <v>164</v>
      </c>
      <c r="I68" s="53" t="s">
        <v>159</v>
      </c>
      <c r="J68" s="53" t="s">
        <v>38</v>
      </c>
      <c r="K68" s="53" t="s">
        <v>161</v>
      </c>
      <c r="L68" s="53">
        <v>1</v>
      </c>
      <c r="N68" s="53">
        <v>4</v>
      </c>
      <c r="O68" s="53">
        <v>0.2</v>
      </c>
      <c r="P68" s="53">
        <v>0.2</v>
      </c>
      <c r="Q68" s="75">
        <f t="shared" si="0"/>
        <v>0.2</v>
      </c>
      <c r="R68" s="53">
        <v>16.7</v>
      </c>
      <c r="S68" s="53">
        <v>78</v>
      </c>
      <c r="T68" s="16">
        <f t="shared" si="1"/>
        <v>39</v>
      </c>
      <c r="U68" s="53">
        <v>321</v>
      </c>
      <c r="V68" s="16">
        <f t="shared" si="2"/>
        <v>3129.75</v>
      </c>
      <c r="W68" s="53">
        <v>2</v>
      </c>
      <c r="X68" s="53" t="s">
        <v>46</v>
      </c>
      <c r="Y68" s="53" t="s">
        <v>97</v>
      </c>
      <c r="Z68" s="53" t="s">
        <v>86</v>
      </c>
      <c r="AA68" s="53" t="s">
        <v>88</v>
      </c>
      <c r="AB68" s="53" t="s">
        <v>258</v>
      </c>
    </row>
    <row r="69" spans="1:28" x14ac:dyDescent="0.15">
      <c r="A69" s="53" t="s">
        <v>34</v>
      </c>
      <c r="B69" s="53" t="s">
        <v>232</v>
      </c>
      <c r="C69" s="53">
        <v>2019</v>
      </c>
      <c r="D69" s="176" t="s">
        <v>356</v>
      </c>
      <c r="E69" s="53" t="s">
        <v>373</v>
      </c>
      <c r="F69" s="53" t="s">
        <v>372</v>
      </c>
      <c r="G69" s="53" t="s">
        <v>36</v>
      </c>
      <c r="H69" s="53" t="s">
        <v>164</v>
      </c>
      <c r="I69" s="53" t="s">
        <v>159</v>
      </c>
      <c r="J69" s="53" t="s">
        <v>38</v>
      </c>
      <c r="K69" s="53" t="s">
        <v>161</v>
      </c>
      <c r="L69" s="53">
        <v>2</v>
      </c>
      <c r="N69" s="53">
        <v>4</v>
      </c>
      <c r="O69" s="53">
        <v>0.55000000000000004</v>
      </c>
      <c r="P69" s="53">
        <v>0.55000000000000004</v>
      </c>
      <c r="Q69" s="75">
        <f t="shared" si="0"/>
        <v>0.55000000000000004</v>
      </c>
      <c r="R69" s="53">
        <v>15</v>
      </c>
      <c r="S69" s="53">
        <v>98</v>
      </c>
      <c r="T69" s="16">
        <f t="shared" si="1"/>
        <v>36</v>
      </c>
      <c r="U69" s="53">
        <v>321</v>
      </c>
      <c r="V69" s="16">
        <f t="shared" si="2"/>
        <v>2889</v>
      </c>
      <c r="W69" s="53">
        <v>2</v>
      </c>
      <c r="X69" s="53" t="s">
        <v>46</v>
      </c>
      <c r="Y69" s="53" t="s">
        <v>97</v>
      </c>
      <c r="Z69" s="53" t="s">
        <v>86</v>
      </c>
      <c r="AA69" s="53" t="s">
        <v>88</v>
      </c>
      <c r="AB69" s="53" t="s">
        <v>258</v>
      </c>
    </row>
    <row r="70" spans="1:28" x14ac:dyDescent="0.15">
      <c r="A70" s="53" t="s">
        <v>34</v>
      </c>
      <c r="B70" s="53" t="s">
        <v>232</v>
      </c>
      <c r="C70" s="53">
        <v>2019</v>
      </c>
      <c r="D70" s="176" t="s">
        <v>356</v>
      </c>
      <c r="E70" s="53" t="s">
        <v>373</v>
      </c>
      <c r="F70" s="53" t="s">
        <v>372</v>
      </c>
      <c r="G70" s="53" t="s">
        <v>36</v>
      </c>
      <c r="H70" s="53" t="s">
        <v>164</v>
      </c>
      <c r="I70" s="53" t="s">
        <v>159</v>
      </c>
      <c r="J70" s="53" t="s">
        <v>38</v>
      </c>
      <c r="K70" s="53" t="s">
        <v>161</v>
      </c>
      <c r="L70" s="53">
        <v>3</v>
      </c>
      <c r="N70" s="53">
        <v>4</v>
      </c>
      <c r="O70" s="53">
        <v>0.55000000000000004</v>
      </c>
      <c r="P70" s="53">
        <v>0.55000000000000004</v>
      </c>
      <c r="Q70" s="75">
        <f t="shared" si="0"/>
        <v>0.55000000000000004</v>
      </c>
      <c r="R70" s="53">
        <v>17.899999999999999</v>
      </c>
      <c r="S70" s="53">
        <v>95</v>
      </c>
      <c r="T70" s="16">
        <f t="shared" si="1"/>
        <v>36</v>
      </c>
      <c r="U70" s="53">
        <v>321</v>
      </c>
      <c r="V70" s="16">
        <f t="shared" si="2"/>
        <v>2889</v>
      </c>
      <c r="W70" s="53">
        <v>2</v>
      </c>
      <c r="X70" s="53" t="s">
        <v>46</v>
      </c>
      <c r="Y70" s="53" t="s">
        <v>97</v>
      </c>
      <c r="Z70" s="53" t="s">
        <v>86</v>
      </c>
      <c r="AA70" s="53" t="s">
        <v>88</v>
      </c>
      <c r="AB70" s="53" t="s">
        <v>258</v>
      </c>
    </row>
    <row r="71" spans="1:28" x14ac:dyDescent="0.15">
      <c r="A71" s="53" t="s">
        <v>34</v>
      </c>
      <c r="B71" s="53" t="s">
        <v>232</v>
      </c>
      <c r="C71" s="53">
        <v>2019</v>
      </c>
      <c r="D71" s="176" t="s">
        <v>356</v>
      </c>
      <c r="E71" s="53" t="s">
        <v>373</v>
      </c>
      <c r="F71" s="53" t="s">
        <v>372</v>
      </c>
      <c r="G71" s="53" t="s">
        <v>36</v>
      </c>
      <c r="H71" s="53" t="s">
        <v>160</v>
      </c>
      <c r="I71" s="53" t="s">
        <v>159</v>
      </c>
      <c r="J71" s="53" t="s">
        <v>38</v>
      </c>
      <c r="K71" s="53" t="s">
        <v>161</v>
      </c>
      <c r="L71" s="53">
        <v>1</v>
      </c>
      <c r="N71" s="53">
        <v>1</v>
      </c>
      <c r="O71" s="53">
        <v>0.8</v>
      </c>
      <c r="P71" s="53">
        <v>0.75</v>
      </c>
      <c r="Q71" s="75">
        <f t="shared" si="0"/>
        <v>0.77500000000000002</v>
      </c>
      <c r="R71" s="53">
        <v>17.2</v>
      </c>
      <c r="S71" s="53">
        <v>121</v>
      </c>
      <c r="T71" s="16">
        <f t="shared" si="1"/>
        <v>30</v>
      </c>
      <c r="U71" s="53">
        <v>108</v>
      </c>
      <c r="V71" s="16">
        <f t="shared" si="2"/>
        <v>3240</v>
      </c>
      <c r="W71" s="53">
        <v>6</v>
      </c>
      <c r="X71" s="53" t="s">
        <v>46</v>
      </c>
      <c r="Y71" s="53" t="s">
        <v>97</v>
      </c>
      <c r="Z71" s="53" t="s">
        <v>86</v>
      </c>
      <c r="AA71" s="53" t="s">
        <v>88</v>
      </c>
      <c r="AB71" s="53" t="s">
        <v>258</v>
      </c>
    </row>
    <row r="72" spans="1:28" x14ac:dyDescent="0.15">
      <c r="A72" s="53" t="s">
        <v>34</v>
      </c>
      <c r="B72" s="53" t="s">
        <v>232</v>
      </c>
      <c r="C72" s="53">
        <v>2019</v>
      </c>
      <c r="D72" s="176" t="s">
        <v>356</v>
      </c>
      <c r="E72" s="53" t="s">
        <v>373</v>
      </c>
      <c r="F72" s="53" t="s">
        <v>372</v>
      </c>
      <c r="G72" s="53" t="s">
        <v>36</v>
      </c>
      <c r="H72" s="53" t="s">
        <v>160</v>
      </c>
      <c r="I72" s="53" t="s">
        <v>159</v>
      </c>
      <c r="J72" s="53" t="s">
        <v>38</v>
      </c>
      <c r="K72" s="53" t="s">
        <v>161</v>
      </c>
      <c r="L72" s="53">
        <v>2</v>
      </c>
      <c r="N72" s="53">
        <v>1</v>
      </c>
      <c r="O72" s="53">
        <v>0.45</v>
      </c>
      <c r="P72" s="53">
        <v>0.55000000000000004</v>
      </c>
      <c r="Q72" s="75">
        <f t="shared" si="0"/>
        <v>0.5</v>
      </c>
      <c r="R72" s="53">
        <v>18.899999999999999</v>
      </c>
      <c r="S72" s="53">
        <v>117</v>
      </c>
      <c r="T72" s="16">
        <f t="shared" si="1"/>
        <v>30</v>
      </c>
      <c r="U72" s="53">
        <v>108</v>
      </c>
      <c r="V72" s="16">
        <f t="shared" si="2"/>
        <v>3240</v>
      </c>
      <c r="W72" s="53">
        <v>6</v>
      </c>
      <c r="X72" s="53" t="s">
        <v>46</v>
      </c>
      <c r="Y72" s="53" t="s">
        <v>97</v>
      </c>
      <c r="Z72" s="53" t="s">
        <v>86</v>
      </c>
      <c r="AA72" s="53" t="s">
        <v>88</v>
      </c>
      <c r="AB72" s="53" t="s">
        <v>258</v>
      </c>
    </row>
    <row r="73" spans="1:28" x14ac:dyDescent="0.15">
      <c r="A73" s="53" t="s">
        <v>34</v>
      </c>
      <c r="B73" s="53" t="s">
        <v>232</v>
      </c>
      <c r="C73" s="53">
        <v>2019</v>
      </c>
      <c r="D73" s="176" t="s">
        <v>356</v>
      </c>
      <c r="E73" s="53" t="s">
        <v>373</v>
      </c>
      <c r="F73" s="53" t="s">
        <v>372</v>
      </c>
      <c r="G73" s="53" t="s">
        <v>36</v>
      </c>
      <c r="H73" s="53" t="s">
        <v>160</v>
      </c>
      <c r="I73" s="53" t="s">
        <v>159</v>
      </c>
      <c r="J73" s="53" t="s">
        <v>38</v>
      </c>
      <c r="K73" s="53" t="s">
        <v>161</v>
      </c>
      <c r="L73" s="53">
        <v>3</v>
      </c>
      <c r="N73" s="53">
        <v>1</v>
      </c>
      <c r="O73" s="53">
        <v>0.8</v>
      </c>
      <c r="P73" s="53">
        <v>0.95</v>
      </c>
      <c r="Q73" s="75">
        <f t="shared" si="0"/>
        <v>0.875</v>
      </c>
      <c r="R73" s="53">
        <v>18.399999999999999</v>
      </c>
      <c r="S73" s="53">
        <v>126</v>
      </c>
      <c r="T73" s="16">
        <f t="shared" si="1"/>
        <v>30</v>
      </c>
      <c r="U73" s="53">
        <v>108</v>
      </c>
      <c r="V73" s="16">
        <f t="shared" si="2"/>
        <v>3240</v>
      </c>
      <c r="W73" s="53">
        <v>6</v>
      </c>
      <c r="X73" s="53" t="s">
        <v>46</v>
      </c>
      <c r="Y73" s="53" t="s">
        <v>97</v>
      </c>
      <c r="Z73" s="53" t="s">
        <v>86</v>
      </c>
      <c r="AA73" s="53" t="s">
        <v>88</v>
      </c>
      <c r="AB73" s="53" t="s">
        <v>258</v>
      </c>
    </row>
    <row r="74" spans="1:28" x14ac:dyDescent="0.15">
      <c r="A74" s="53" t="s">
        <v>34</v>
      </c>
      <c r="B74" s="53" t="s">
        <v>232</v>
      </c>
      <c r="C74" s="53">
        <v>2019</v>
      </c>
      <c r="D74" s="176" t="s">
        <v>356</v>
      </c>
      <c r="E74" s="53" t="s">
        <v>373</v>
      </c>
      <c r="F74" s="53" t="s">
        <v>372</v>
      </c>
      <c r="G74" s="53" t="s">
        <v>36</v>
      </c>
      <c r="H74" s="53" t="s">
        <v>160</v>
      </c>
      <c r="I74" s="53" t="s">
        <v>159</v>
      </c>
      <c r="J74" s="53" t="s">
        <v>38</v>
      </c>
      <c r="K74" s="53" t="s">
        <v>161</v>
      </c>
      <c r="L74" s="53">
        <v>1</v>
      </c>
      <c r="N74" s="53">
        <v>4</v>
      </c>
      <c r="O74" s="53">
        <v>0.5</v>
      </c>
      <c r="P74" s="53">
        <v>0.2</v>
      </c>
      <c r="Q74" s="75">
        <f t="shared" si="0"/>
        <v>0.35</v>
      </c>
      <c r="R74" s="53">
        <v>18.899999999999999</v>
      </c>
      <c r="S74" s="53">
        <v>106</v>
      </c>
      <c r="T74" s="16">
        <f t="shared" si="1"/>
        <v>33</v>
      </c>
      <c r="U74" s="53">
        <v>429</v>
      </c>
      <c r="V74" s="16">
        <f t="shared" si="2"/>
        <v>3539.25</v>
      </c>
      <c r="W74" s="53">
        <v>6</v>
      </c>
      <c r="X74" s="53" t="s">
        <v>46</v>
      </c>
      <c r="Y74" s="53" t="s">
        <v>97</v>
      </c>
      <c r="Z74" s="53" t="s">
        <v>86</v>
      </c>
      <c r="AA74" s="53" t="s">
        <v>88</v>
      </c>
      <c r="AB74" s="53" t="s">
        <v>258</v>
      </c>
    </row>
    <row r="75" spans="1:28" x14ac:dyDescent="0.15">
      <c r="A75" s="53" t="s">
        <v>34</v>
      </c>
      <c r="B75" s="53" t="s">
        <v>232</v>
      </c>
      <c r="C75" s="53">
        <v>2019</v>
      </c>
      <c r="D75" s="176" t="s">
        <v>356</v>
      </c>
      <c r="E75" s="53" t="s">
        <v>373</v>
      </c>
      <c r="F75" s="53" t="s">
        <v>372</v>
      </c>
      <c r="G75" s="53" t="s">
        <v>36</v>
      </c>
      <c r="H75" s="53" t="s">
        <v>160</v>
      </c>
      <c r="I75" s="53" t="s">
        <v>159</v>
      </c>
      <c r="J75" s="53" t="s">
        <v>38</v>
      </c>
      <c r="K75" s="53" t="s">
        <v>161</v>
      </c>
      <c r="L75" s="53">
        <v>2</v>
      </c>
      <c r="N75" s="53">
        <v>4</v>
      </c>
      <c r="O75" s="53">
        <v>0.5</v>
      </c>
      <c r="P75" s="53">
        <v>0.2</v>
      </c>
      <c r="Q75" s="75">
        <f t="shared" si="0"/>
        <v>0.35</v>
      </c>
      <c r="R75" s="53">
        <v>16.8</v>
      </c>
      <c r="S75" s="53">
        <v>108</v>
      </c>
      <c r="T75" s="16">
        <f t="shared" si="1"/>
        <v>33</v>
      </c>
      <c r="U75" s="53">
        <v>429</v>
      </c>
      <c r="V75" s="16">
        <f t="shared" si="2"/>
        <v>3539.25</v>
      </c>
      <c r="W75" s="53">
        <v>6</v>
      </c>
      <c r="X75" s="53" t="s">
        <v>46</v>
      </c>
      <c r="Y75" s="53" t="s">
        <v>97</v>
      </c>
      <c r="Z75" s="53" t="s">
        <v>86</v>
      </c>
      <c r="AA75" s="53" t="s">
        <v>88</v>
      </c>
      <c r="AB75" s="53" t="s">
        <v>258</v>
      </c>
    </row>
    <row r="76" spans="1:28" x14ac:dyDescent="0.15">
      <c r="A76" s="53" t="s">
        <v>34</v>
      </c>
      <c r="B76" s="53" t="s">
        <v>232</v>
      </c>
      <c r="C76" s="53">
        <v>2019</v>
      </c>
      <c r="D76" s="176" t="s">
        <v>356</v>
      </c>
      <c r="E76" s="53" t="s">
        <v>373</v>
      </c>
      <c r="F76" s="53" t="s">
        <v>372</v>
      </c>
      <c r="G76" s="53" t="s">
        <v>36</v>
      </c>
      <c r="H76" s="53" t="s">
        <v>160</v>
      </c>
      <c r="I76" s="53" t="s">
        <v>159</v>
      </c>
      <c r="J76" s="53" t="s">
        <v>38</v>
      </c>
      <c r="K76" s="53" t="s">
        <v>161</v>
      </c>
      <c r="L76" s="53">
        <v>3</v>
      </c>
      <c r="N76" s="53">
        <v>4</v>
      </c>
      <c r="O76" s="53">
        <v>0.65</v>
      </c>
      <c r="P76" s="53">
        <v>0.6</v>
      </c>
      <c r="Q76" s="75">
        <f t="shared" si="0"/>
        <v>0.625</v>
      </c>
      <c r="R76" s="53">
        <v>17.7</v>
      </c>
      <c r="S76" s="53">
        <v>105</v>
      </c>
      <c r="T76" s="16">
        <f t="shared" si="1"/>
        <v>33</v>
      </c>
      <c r="U76" s="53">
        <v>429</v>
      </c>
      <c r="V76" s="16">
        <f t="shared" si="2"/>
        <v>3539.25</v>
      </c>
      <c r="W76" s="53">
        <v>6</v>
      </c>
      <c r="X76" s="53" t="s">
        <v>46</v>
      </c>
      <c r="Y76" s="53" t="s">
        <v>97</v>
      </c>
      <c r="Z76" s="53" t="s">
        <v>86</v>
      </c>
      <c r="AA76" s="53" t="s">
        <v>88</v>
      </c>
      <c r="AB76" s="53" t="s">
        <v>258</v>
      </c>
    </row>
    <row r="77" spans="1:28" x14ac:dyDescent="0.15">
      <c r="A77" s="53" t="s">
        <v>34</v>
      </c>
      <c r="B77" s="53" t="s">
        <v>232</v>
      </c>
      <c r="C77" s="53">
        <v>2019</v>
      </c>
      <c r="D77" s="176" t="s">
        <v>356</v>
      </c>
      <c r="E77" s="53" t="s">
        <v>362</v>
      </c>
      <c r="F77" s="53" t="s">
        <v>372</v>
      </c>
      <c r="G77" s="53" t="s">
        <v>36</v>
      </c>
      <c r="H77" s="53" t="s">
        <v>164</v>
      </c>
      <c r="I77" s="53" t="s">
        <v>159</v>
      </c>
      <c r="J77" s="53" t="s">
        <v>38</v>
      </c>
      <c r="K77" s="53" t="s">
        <v>161</v>
      </c>
      <c r="L77" s="53">
        <v>1</v>
      </c>
      <c r="N77" s="53">
        <v>1</v>
      </c>
      <c r="O77" s="53">
        <v>0.6</v>
      </c>
      <c r="P77" s="53">
        <v>0.65</v>
      </c>
      <c r="Q77" s="75">
        <f t="shared" si="0"/>
        <v>0.625</v>
      </c>
      <c r="R77" s="53">
        <v>17.399999999999999</v>
      </c>
      <c r="S77" s="53">
        <v>81</v>
      </c>
      <c r="T77" s="16">
        <f t="shared" si="1"/>
        <v>39</v>
      </c>
      <c r="U77" s="53">
        <v>138</v>
      </c>
      <c r="V77" s="16">
        <f t="shared" si="2"/>
        <v>5382</v>
      </c>
      <c r="W77" s="53">
        <v>1</v>
      </c>
      <c r="X77" s="53" t="s">
        <v>46</v>
      </c>
      <c r="Y77" s="53" t="s">
        <v>69</v>
      </c>
      <c r="Z77" s="53" t="s">
        <v>90</v>
      </c>
      <c r="AA77" s="53" t="s">
        <v>97</v>
      </c>
      <c r="AB77" s="53" t="s">
        <v>258</v>
      </c>
    </row>
    <row r="78" spans="1:28" x14ac:dyDescent="0.15">
      <c r="A78" s="53" t="s">
        <v>34</v>
      </c>
      <c r="B78" s="53" t="s">
        <v>232</v>
      </c>
      <c r="C78" s="53">
        <v>2019</v>
      </c>
      <c r="D78" s="176" t="s">
        <v>356</v>
      </c>
      <c r="E78" s="53" t="s">
        <v>362</v>
      </c>
      <c r="F78" s="53" t="s">
        <v>372</v>
      </c>
      <c r="G78" s="53" t="s">
        <v>36</v>
      </c>
      <c r="H78" s="53" t="s">
        <v>164</v>
      </c>
      <c r="I78" s="53" t="s">
        <v>159</v>
      </c>
      <c r="J78" s="53" t="s">
        <v>38</v>
      </c>
      <c r="K78" s="53" t="s">
        <v>161</v>
      </c>
      <c r="L78" s="53">
        <v>2</v>
      </c>
      <c r="N78" s="53">
        <v>1</v>
      </c>
      <c r="O78" s="53">
        <v>0.7</v>
      </c>
      <c r="P78" s="53">
        <v>0.8</v>
      </c>
      <c r="Q78" s="75">
        <f t="shared" si="0"/>
        <v>0.75</v>
      </c>
      <c r="R78" s="53">
        <v>18.600000000000001</v>
      </c>
      <c r="S78" s="53">
        <v>126</v>
      </c>
      <c r="T78" s="16">
        <f t="shared" si="1"/>
        <v>30</v>
      </c>
      <c r="U78" s="53">
        <v>138</v>
      </c>
      <c r="V78" s="16">
        <f t="shared" si="2"/>
        <v>4140</v>
      </c>
      <c r="W78" s="53">
        <v>1</v>
      </c>
      <c r="X78" s="53" t="s">
        <v>46</v>
      </c>
      <c r="Y78" s="53" t="s">
        <v>69</v>
      </c>
      <c r="Z78" s="53" t="s">
        <v>90</v>
      </c>
      <c r="AA78" s="53" t="s">
        <v>97</v>
      </c>
      <c r="AB78" s="53" t="s">
        <v>258</v>
      </c>
    </row>
    <row r="79" spans="1:28" x14ac:dyDescent="0.15">
      <c r="A79" s="53" t="s">
        <v>34</v>
      </c>
      <c r="B79" s="53" t="s">
        <v>232</v>
      </c>
      <c r="C79" s="53">
        <v>2019</v>
      </c>
      <c r="D79" s="176" t="s">
        <v>356</v>
      </c>
      <c r="E79" s="53" t="s">
        <v>362</v>
      </c>
      <c r="F79" s="53" t="s">
        <v>372</v>
      </c>
      <c r="G79" s="53" t="s">
        <v>36</v>
      </c>
      <c r="H79" s="53" t="s">
        <v>164</v>
      </c>
      <c r="I79" s="53" t="s">
        <v>159</v>
      </c>
      <c r="J79" s="53" t="s">
        <v>38</v>
      </c>
      <c r="K79" s="53" t="s">
        <v>161</v>
      </c>
      <c r="L79" s="53">
        <v>3</v>
      </c>
      <c r="N79" s="53">
        <v>1</v>
      </c>
      <c r="O79" s="53">
        <v>0.6</v>
      </c>
      <c r="P79" s="53">
        <v>0.6</v>
      </c>
      <c r="Q79" s="75">
        <f t="shared" si="0"/>
        <v>0.6</v>
      </c>
      <c r="R79" s="53">
        <v>17.7</v>
      </c>
      <c r="S79" s="53">
        <v>87</v>
      </c>
      <c r="T79" s="16">
        <f t="shared" si="1"/>
        <v>36</v>
      </c>
      <c r="U79" s="53">
        <v>138</v>
      </c>
      <c r="V79" s="16">
        <f t="shared" si="2"/>
        <v>4968</v>
      </c>
      <c r="W79" s="53">
        <v>1</v>
      </c>
      <c r="X79" s="53" t="s">
        <v>46</v>
      </c>
      <c r="Y79" s="53" t="s">
        <v>69</v>
      </c>
      <c r="Z79" s="53" t="s">
        <v>90</v>
      </c>
      <c r="AA79" s="53" t="s">
        <v>97</v>
      </c>
      <c r="AB79" s="53" t="s">
        <v>258</v>
      </c>
    </row>
    <row r="80" spans="1:28" x14ac:dyDescent="0.15">
      <c r="A80" s="53" t="s">
        <v>34</v>
      </c>
      <c r="B80" s="53" t="s">
        <v>232</v>
      </c>
      <c r="C80" s="53">
        <v>2019</v>
      </c>
      <c r="D80" s="176" t="s">
        <v>356</v>
      </c>
      <c r="E80" s="53" t="s">
        <v>362</v>
      </c>
      <c r="F80" s="53" t="s">
        <v>372</v>
      </c>
      <c r="G80" s="53" t="s">
        <v>36</v>
      </c>
      <c r="H80" s="53" t="s">
        <v>160</v>
      </c>
      <c r="I80" s="53" t="s">
        <v>159</v>
      </c>
      <c r="J80" s="53" t="s">
        <v>38</v>
      </c>
      <c r="K80" s="53" t="s">
        <v>161</v>
      </c>
      <c r="L80" s="53">
        <v>1</v>
      </c>
      <c r="N80" s="53">
        <v>1</v>
      </c>
      <c r="O80" s="53">
        <v>0.65</v>
      </c>
      <c r="P80" s="53">
        <v>0.7</v>
      </c>
      <c r="Q80" s="75">
        <f t="shared" si="0"/>
        <v>0.67500000000000004</v>
      </c>
      <c r="R80" s="53">
        <v>17.399999999999999</v>
      </c>
      <c r="S80" s="53">
        <v>112</v>
      </c>
      <c r="T80" s="16">
        <f t="shared" si="1"/>
        <v>33</v>
      </c>
      <c r="U80" s="53">
        <v>138</v>
      </c>
      <c r="V80" s="16">
        <f t="shared" si="2"/>
        <v>4554</v>
      </c>
      <c r="W80" s="53">
        <v>2</v>
      </c>
      <c r="X80" s="53" t="s">
        <v>46</v>
      </c>
      <c r="Y80" s="53" t="s">
        <v>69</v>
      </c>
      <c r="Z80" s="53" t="s">
        <v>90</v>
      </c>
      <c r="AA80" s="53" t="s">
        <v>97</v>
      </c>
      <c r="AB80" s="53" t="s">
        <v>258</v>
      </c>
    </row>
    <row r="81" spans="1:28" x14ac:dyDescent="0.15">
      <c r="A81" s="53" t="s">
        <v>34</v>
      </c>
      <c r="B81" s="53" t="s">
        <v>232</v>
      </c>
      <c r="C81" s="53">
        <v>2019</v>
      </c>
      <c r="D81" s="176" t="s">
        <v>356</v>
      </c>
      <c r="E81" s="53" t="s">
        <v>362</v>
      </c>
      <c r="F81" s="53" t="s">
        <v>372</v>
      </c>
      <c r="G81" s="53" t="s">
        <v>36</v>
      </c>
      <c r="H81" s="53" t="s">
        <v>160</v>
      </c>
      <c r="I81" s="53" t="s">
        <v>159</v>
      </c>
      <c r="J81" s="53" t="s">
        <v>38</v>
      </c>
      <c r="K81" s="53" t="s">
        <v>161</v>
      </c>
      <c r="L81" s="53">
        <v>2</v>
      </c>
      <c r="N81" s="53">
        <v>1</v>
      </c>
      <c r="O81" s="53">
        <v>0.65</v>
      </c>
      <c r="P81" s="53">
        <v>0.8</v>
      </c>
      <c r="Q81" s="75">
        <f t="shared" si="0"/>
        <v>0.72500000000000009</v>
      </c>
      <c r="R81" s="53">
        <v>14.8</v>
      </c>
      <c r="S81" s="53">
        <v>114</v>
      </c>
      <c r="T81" s="16">
        <f t="shared" si="1"/>
        <v>30</v>
      </c>
      <c r="U81" s="53">
        <v>138</v>
      </c>
      <c r="V81" s="16">
        <f t="shared" si="2"/>
        <v>4140</v>
      </c>
      <c r="W81" s="53">
        <v>2</v>
      </c>
      <c r="X81" s="53" t="s">
        <v>46</v>
      </c>
      <c r="Y81" s="53" t="s">
        <v>69</v>
      </c>
      <c r="Z81" s="53" t="s">
        <v>90</v>
      </c>
      <c r="AA81" s="53" t="s">
        <v>97</v>
      </c>
      <c r="AB81" s="53" t="s">
        <v>258</v>
      </c>
    </row>
    <row r="82" spans="1:28" x14ac:dyDescent="0.15">
      <c r="A82" s="53" t="s">
        <v>34</v>
      </c>
      <c r="B82" s="53" t="s">
        <v>232</v>
      </c>
      <c r="C82" s="53">
        <v>2019</v>
      </c>
      <c r="D82" s="176" t="s">
        <v>356</v>
      </c>
      <c r="E82" s="53" t="s">
        <v>362</v>
      </c>
      <c r="F82" s="53" t="s">
        <v>372</v>
      </c>
      <c r="G82" s="53" t="s">
        <v>36</v>
      </c>
      <c r="H82" s="53" t="s">
        <v>160</v>
      </c>
      <c r="I82" s="53" t="s">
        <v>159</v>
      </c>
      <c r="J82" s="53" t="s">
        <v>38</v>
      </c>
      <c r="K82" s="53" t="s">
        <v>161</v>
      </c>
      <c r="L82" s="53">
        <v>3</v>
      </c>
      <c r="N82" s="53">
        <v>1</v>
      </c>
      <c r="O82" s="53">
        <v>0.55000000000000004</v>
      </c>
      <c r="P82" s="53">
        <v>0.55000000000000004</v>
      </c>
      <c r="Q82" s="75">
        <f t="shared" si="0"/>
        <v>0.55000000000000004</v>
      </c>
      <c r="R82" s="53">
        <v>17.2</v>
      </c>
      <c r="S82" s="53">
        <v>105</v>
      </c>
      <c r="T82" s="16">
        <f t="shared" si="1"/>
        <v>33</v>
      </c>
      <c r="U82" s="53">
        <v>138</v>
      </c>
      <c r="V82" s="16">
        <f t="shared" si="2"/>
        <v>4554</v>
      </c>
      <c r="W82" s="53">
        <v>2</v>
      </c>
      <c r="X82" s="53" t="s">
        <v>46</v>
      </c>
      <c r="Y82" s="53" t="s">
        <v>69</v>
      </c>
      <c r="Z82" s="53" t="s">
        <v>90</v>
      </c>
      <c r="AA82" s="53" t="s">
        <v>97</v>
      </c>
      <c r="AB82" s="53" t="s">
        <v>258</v>
      </c>
    </row>
    <row r="83" spans="1:28" x14ac:dyDescent="0.15">
      <c r="A83" s="53" t="s">
        <v>34</v>
      </c>
      <c r="B83" s="53" t="s">
        <v>232</v>
      </c>
      <c r="C83" s="53">
        <v>2019</v>
      </c>
      <c r="D83" s="176" t="s">
        <v>356</v>
      </c>
      <c r="E83" s="53" t="s">
        <v>376</v>
      </c>
      <c r="F83" s="53" t="s">
        <v>377</v>
      </c>
      <c r="G83" s="53" t="s">
        <v>36</v>
      </c>
      <c r="H83" s="53" t="s">
        <v>164</v>
      </c>
      <c r="I83" s="53" t="s">
        <v>198</v>
      </c>
      <c r="J83" s="53" t="s">
        <v>38</v>
      </c>
      <c r="K83" s="53" t="s">
        <v>161</v>
      </c>
      <c r="L83" s="53">
        <v>1</v>
      </c>
      <c r="N83" s="53">
        <v>1</v>
      </c>
      <c r="O83" s="53">
        <v>0.65</v>
      </c>
      <c r="P83" s="53">
        <v>0.65</v>
      </c>
      <c r="Q83" s="75">
        <f t="shared" ref="Q83:Q130" si="5">IF(OR(O83="",P83=""),"",AVERAGE(O83,P83))</f>
        <v>0.65</v>
      </c>
      <c r="R83" s="53">
        <v>18.600000000000001</v>
      </c>
      <c r="S83" s="53">
        <v>131</v>
      </c>
      <c r="T83" s="16">
        <f t="shared" ref="T83:T130" si="6">IF(H83="","",IF(OR(H83="GREEN",H83="GK"),IF(S83&gt;=$AX$2,VLOOKUP(S83,$AX$2:$AY$9,2,1),""),IF(S83&gt;=$AZ$2,VLOOKUP(S83,$AZ$2:$BA$9,2,1),"")))</f>
        <v>30</v>
      </c>
      <c r="U83" s="53">
        <v>96</v>
      </c>
      <c r="V83" s="16">
        <f t="shared" ref="V83:V130" si="7">IF(OR(N83="",U83="",T83=""),"",U83/N83*T83)</f>
        <v>2880</v>
      </c>
      <c r="W83" s="53">
        <v>6</v>
      </c>
      <c r="X83" s="53" t="s">
        <v>46</v>
      </c>
      <c r="Y83" s="53" t="s">
        <v>55</v>
      </c>
      <c r="Z83" s="53" t="s">
        <v>69</v>
      </c>
      <c r="AA83" s="53" t="s">
        <v>90</v>
      </c>
      <c r="AB83" s="53" t="s">
        <v>258</v>
      </c>
    </row>
    <row r="84" spans="1:28" x14ac:dyDescent="0.15">
      <c r="A84" s="53" t="s">
        <v>34</v>
      </c>
      <c r="B84" s="53" t="s">
        <v>232</v>
      </c>
      <c r="C84" s="53">
        <v>2019</v>
      </c>
      <c r="D84" s="176" t="s">
        <v>356</v>
      </c>
      <c r="E84" s="53" t="s">
        <v>376</v>
      </c>
      <c r="F84" s="53" t="s">
        <v>377</v>
      </c>
      <c r="G84" s="53" t="s">
        <v>36</v>
      </c>
      <c r="H84" s="53" t="s">
        <v>164</v>
      </c>
      <c r="I84" s="53" t="s">
        <v>198</v>
      </c>
      <c r="J84" s="53" t="s">
        <v>38</v>
      </c>
      <c r="K84" s="53" t="s">
        <v>161</v>
      </c>
      <c r="L84" s="53">
        <v>2</v>
      </c>
      <c r="N84" s="53">
        <v>1</v>
      </c>
      <c r="O84" s="53">
        <v>0.5</v>
      </c>
      <c r="P84" s="53">
        <v>0.5</v>
      </c>
      <c r="Q84" s="75">
        <f t="shared" si="5"/>
        <v>0.5</v>
      </c>
      <c r="R84" s="53">
        <v>17.5</v>
      </c>
      <c r="S84" s="53">
        <v>126</v>
      </c>
      <c r="T84" s="16">
        <f t="shared" si="6"/>
        <v>30</v>
      </c>
      <c r="U84" s="53">
        <v>96</v>
      </c>
      <c r="V84" s="16">
        <f t="shared" si="7"/>
        <v>2880</v>
      </c>
      <c r="W84" s="53">
        <v>6</v>
      </c>
      <c r="X84" s="53" t="s">
        <v>46</v>
      </c>
      <c r="Y84" s="53" t="s">
        <v>55</v>
      </c>
      <c r="Z84" s="53" t="s">
        <v>69</v>
      </c>
      <c r="AA84" s="53" t="s">
        <v>90</v>
      </c>
      <c r="AB84" s="53" t="s">
        <v>258</v>
      </c>
    </row>
    <row r="85" spans="1:28" x14ac:dyDescent="0.15">
      <c r="A85" s="53" t="s">
        <v>34</v>
      </c>
      <c r="B85" s="53" t="s">
        <v>232</v>
      </c>
      <c r="C85" s="53">
        <v>2019</v>
      </c>
      <c r="D85" s="176" t="s">
        <v>356</v>
      </c>
      <c r="E85" s="53" t="s">
        <v>376</v>
      </c>
      <c r="F85" s="53" t="s">
        <v>377</v>
      </c>
      <c r="G85" s="53" t="s">
        <v>36</v>
      </c>
      <c r="H85" s="53" t="s">
        <v>164</v>
      </c>
      <c r="I85" s="53" t="s">
        <v>198</v>
      </c>
      <c r="J85" s="53" t="s">
        <v>38</v>
      </c>
      <c r="K85" s="53" t="s">
        <v>161</v>
      </c>
      <c r="L85" s="53">
        <v>3</v>
      </c>
      <c r="N85" s="53">
        <v>1</v>
      </c>
      <c r="O85" s="53">
        <v>0.55000000000000004</v>
      </c>
      <c r="P85" s="53">
        <v>0.7</v>
      </c>
      <c r="Q85" s="75">
        <f t="shared" si="5"/>
        <v>0.625</v>
      </c>
      <c r="R85" s="53">
        <v>17.8</v>
      </c>
      <c r="S85" s="53">
        <v>130</v>
      </c>
      <c r="T85" s="16">
        <f t="shared" si="6"/>
        <v>30</v>
      </c>
      <c r="U85" s="53">
        <v>96</v>
      </c>
      <c r="V85" s="16">
        <f t="shared" si="7"/>
        <v>2880</v>
      </c>
      <c r="W85" s="53">
        <v>6</v>
      </c>
      <c r="X85" s="53" t="s">
        <v>46</v>
      </c>
      <c r="Y85" s="53" t="s">
        <v>55</v>
      </c>
      <c r="Z85" s="53" t="s">
        <v>69</v>
      </c>
      <c r="AA85" s="53" t="s">
        <v>90</v>
      </c>
      <c r="AB85" s="53" t="s">
        <v>258</v>
      </c>
    </row>
    <row r="86" spans="1:28" x14ac:dyDescent="0.15">
      <c r="A86" s="53" t="s">
        <v>34</v>
      </c>
      <c r="B86" s="53" t="s">
        <v>232</v>
      </c>
      <c r="C86" s="53">
        <v>2019</v>
      </c>
      <c r="D86" s="176" t="s">
        <v>356</v>
      </c>
      <c r="E86" s="53" t="s">
        <v>376</v>
      </c>
      <c r="F86" s="53" t="s">
        <v>377</v>
      </c>
      <c r="G86" s="53" t="s">
        <v>36</v>
      </c>
      <c r="H86" s="53" t="s">
        <v>164</v>
      </c>
      <c r="I86" s="53" t="s">
        <v>159</v>
      </c>
      <c r="J86" s="53" t="s">
        <v>38</v>
      </c>
      <c r="K86" s="53" t="s">
        <v>161</v>
      </c>
      <c r="L86" s="53">
        <v>1</v>
      </c>
      <c r="N86" s="53">
        <v>4</v>
      </c>
      <c r="O86" s="53">
        <v>0.8</v>
      </c>
      <c r="P86" s="53">
        <v>1</v>
      </c>
      <c r="Q86" s="75">
        <f t="shared" si="5"/>
        <v>0.9</v>
      </c>
      <c r="R86" s="53">
        <v>17.8</v>
      </c>
      <c r="S86" s="53">
        <v>88</v>
      </c>
      <c r="T86" s="16">
        <f t="shared" si="6"/>
        <v>36</v>
      </c>
      <c r="U86" s="53">
        <v>429</v>
      </c>
      <c r="V86" s="16">
        <f t="shared" si="7"/>
        <v>3861</v>
      </c>
      <c r="W86" s="53">
        <v>6</v>
      </c>
      <c r="X86" s="53" t="s">
        <v>46</v>
      </c>
      <c r="Y86" s="53" t="s">
        <v>55</v>
      </c>
      <c r="Z86" s="53" t="s">
        <v>69</v>
      </c>
      <c r="AA86" s="53" t="s">
        <v>90</v>
      </c>
      <c r="AB86" s="53" t="s">
        <v>258</v>
      </c>
    </row>
    <row r="87" spans="1:28" x14ac:dyDescent="0.15">
      <c r="A87" s="53" t="s">
        <v>34</v>
      </c>
      <c r="B87" s="53" t="s">
        <v>232</v>
      </c>
      <c r="C87" s="53">
        <v>2019</v>
      </c>
      <c r="D87" s="176" t="s">
        <v>356</v>
      </c>
      <c r="E87" s="53" t="s">
        <v>376</v>
      </c>
      <c r="F87" s="53" t="s">
        <v>377</v>
      </c>
      <c r="G87" s="53" t="s">
        <v>36</v>
      </c>
      <c r="H87" s="53" t="s">
        <v>164</v>
      </c>
      <c r="I87" s="53" t="s">
        <v>159</v>
      </c>
      <c r="J87" s="53" t="s">
        <v>38</v>
      </c>
      <c r="K87" s="53" t="s">
        <v>161</v>
      </c>
      <c r="L87" s="53">
        <v>2</v>
      </c>
      <c r="N87" s="53">
        <v>4</v>
      </c>
      <c r="O87" s="53">
        <v>0.85</v>
      </c>
      <c r="P87" s="53">
        <v>1</v>
      </c>
      <c r="Q87" s="75">
        <f t="shared" si="5"/>
        <v>0.92500000000000004</v>
      </c>
      <c r="R87" s="53">
        <v>17.600000000000001</v>
      </c>
      <c r="S87" s="53">
        <v>82</v>
      </c>
      <c r="T87" s="16">
        <f t="shared" si="6"/>
        <v>39</v>
      </c>
      <c r="U87" s="53">
        <v>429</v>
      </c>
      <c r="V87" s="16">
        <f t="shared" si="7"/>
        <v>4182.75</v>
      </c>
      <c r="W87" s="53">
        <v>6</v>
      </c>
      <c r="X87" s="53" t="s">
        <v>46</v>
      </c>
      <c r="Y87" s="53" t="s">
        <v>55</v>
      </c>
      <c r="Z87" s="53" t="s">
        <v>69</v>
      </c>
      <c r="AA87" s="53" t="s">
        <v>90</v>
      </c>
      <c r="AB87" s="53" t="s">
        <v>258</v>
      </c>
    </row>
    <row r="88" spans="1:28" x14ac:dyDescent="0.15">
      <c r="A88" s="53" t="s">
        <v>34</v>
      </c>
      <c r="B88" s="53" t="s">
        <v>232</v>
      </c>
      <c r="C88" s="53">
        <v>2019</v>
      </c>
      <c r="D88" s="176" t="s">
        <v>356</v>
      </c>
      <c r="E88" s="53" t="s">
        <v>376</v>
      </c>
      <c r="F88" s="53" t="s">
        <v>377</v>
      </c>
      <c r="G88" s="53" t="s">
        <v>36</v>
      </c>
      <c r="H88" s="53" t="s">
        <v>164</v>
      </c>
      <c r="I88" s="53" t="s">
        <v>159</v>
      </c>
      <c r="J88" s="53" t="s">
        <v>38</v>
      </c>
      <c r="K88" s="53" t="s">
        <v>161</v>
      </c>
      <c r="L88" s="53">
        <v>3</v>
      </c>
      <c r="N88" s="53">
        <v>4</v>
      </c>
      <c r="O88" s="53">
        <v>1.05</v>
      </c>
      <c r="P88" s="53">
        <v>0.8</v>
      </c>
      <c r="Q88" s="75">
        <f t="shared" si="5"/>
        <v>0.92500000000000004</v>
      </c>
      <c r="R88" s="53">
        <v>17.399999999999999</v>
      </c>
      <c r="S88" s="53">
        <v>81</v>
      </c>
      <c r="T88" s="16">
        <f t="shared" si="6"/>
        <v>39</v>
      </c>
      <c r="U88" s="53">
        <v>429</v>
      </c>
      <c r="V88" s="16">
        <f t="shared" si="7"/>
        <v>4182.75</v>
      </c>
      <c r="W88" s="53">
        <v>6</v>
      </c>
      <c r="X88" s="53" t="s">
        <v>46</v>
      </c>
      <c r="Y88" s="53" t="s">
        <v>55</v>
      </c>
      <c r="Z88" s="53" t="s">
        <v>69</v>
      </c>
      <c r="AA88" s="53" t="s">
        <v>90</v>
      </c>
      <c r="AB88" s="53" t="s">
        <v>258</v>
      </c>
    </row>
    <row r="89" spans="1:28" x14ac:dyDescent="0.15">
      <c r="A89" s="53" t="s">
        <v>34</v>
      </c>
      <c r="B89" s="53" t="s">
        <v>232</v>
      </c>
      <c r="C89" s="53">
        <v>2019</v>
      </c>
      <c r="D89" s="176" t="s">
        <v>356</v>
      </c>
      <c r="E89" s="53" t="s">
        <v>376</v>
      </c>
      <c r="F89" s="53" t="s">
        <v>377</v>
      </c>
      <c r="G89" s="53" t="s">
        <v>36</v>
      </c>
      <c r="H89" s="53" t="s">
        <v>164</v>
      </c>
      <c r="I89" s="53" t="s">
        <v>159</v>
      </c>
      <c r="J89" s="53" t="s">
        <v>38</v>
      </c>
      <c r="K89" s="53" t="s">
        <v>161</v>
      </c>
      <c r="L89" s="53">
        <v>1</v>
      </c>
      <c r="N89" s="53">
        <v>10</v>
      </c>
      <c r="O89" s="53">
        <v>0.5</v>
      </c>
      <c r="P89" s="53">
        <v>0.55000000000000004</v>
      </c>
      <c r="Q89" s="75">
        <f t="shared" si="5"/>
        <v>0.52500000000000002</v>
      </c>
      <c r="R89" s="53">
        <v>17.100000000000001</v>
      </c>
      <c r="S89" s="53">
        <v>88</v>
      </c>
      <c r="T89" s="16">
        <f t="shared" si="6"/>
        <v>36</v>
      </c>
      <c r="U89" s="53">
        <v>824</v>
      </c>
      <c r="V89" s="16">
        <f t="shared" si="7"/>
        <v>2966.4</v>
      </c>
      <c r="W89" s="53">
        <v>6</v>
      </c>
      <c r="X89" s="53" t="s">
        <v>46</v>
      </c>
      <c r="Y89" s="53" t="s">
        <v>55</v>
      </c>
      <c r="Z89" s="53" t="s">
        <v>69</v>
      </c>
      <c r="AA89" s="53" t="s">
        <v>90</v>
      </c>
      <c r="AB89" s="53" t="s">
        <v>258</v>
      </c>
    </row>
    <row r="90" spans="1:28" x14ac:dyDescent="0.15">
      <c r="A90" s="53" t="s">
        <v>34</v>
      </c>
      <c r="B90" s="53" t="s">
        <v>232</v>
      </c>
      <c r="C90" s="53">
        <v>2019</v>
      </c>
      <c r="D90" s="176" t="s">
        <v>356</v>
      </c>
      <c r="E90" s="53" t="s">
        <v>376</v>
      </c>
      <c r="F90" s="53" t="s">
        <v>377</v>
      </c>
      <c r="G90" s="53" t="s">
        <v>36</v>
      </c>
      <c r="H90" s="53" t="s">
        <v>164</v>
      </c>
      <c r="I90" s="53" t="s">
        <v>159</v>
      </c>
      <c r="J90" s="53" t="s">
        <v>38</v>
      </c>
      <c r="K90" s="53" t="s">
        <v>161</v>
      </c>
      <c r="L90" s="53">
        <v>2</v>
      </c>
      <c r="N90" s="53">
        <v>10</v>
      </c>
      <c r="O90" s="53">
        <v>0.2</v>
      </c>
      <c r="P90" s="53">
        <v>0.2</v>
      </c>
      <c r="Q90" s="75">
        <f t="shared" si="5"/>
        <v>0.2</v>
      </c>
      <c r="R90" s="53">
        <v>17.399999999999999</v>
      </c>
      <c r="S90" s="53">
        <v>91</v>
      </c>
      <c r="T90" s="16">
        <f t="shared" si="6"/>
        <v>36</v>
      </c>
      <c r="U90" s="53">
        <v>824</v>
      </c>
      <c r="V90" s="16">
        <f t="shared" si="7"/>
        <v>2966.4</v>
      </c>
      <c r="W90" s="53">
        <v>6</v>
      </c>
      <c r="X90" s="53" t="s">
        <v>46</v>
      </c>
      <c r="Y90" s="53" t="s">
        <v>55</v>
      </c>
      <c r="Z90" s="53" t="s">
        <v>69</v>
      </c>
      <c r="AA90" s="53" t="s">
        <v>90</v>
      </c>
      <c r="AB90" s="53" t="s">
        <v>258</v>
      </c>
    </row>
    <row r="91" spans="1:28" x14ac:dyDescent="0.15">
      <c r="A91" s="53" t="s">
        <v>34</v>
      </c>
      <c r="B91" s="53" t="s">
        <v>232</v>
      </c>
      <c r="C91" s="53">
        <v>2019</v>
      </c>
      <c r="D91" s="176" t="s">
        <v>356</v>
      </c>
      <c r="E91" s="53" t="s">
        <v>376</v>
      </c>
      <c r="F91" s="53" t="s">
        <v>377</v>
      </c>
      <c r="G91" s="53" t="s">
        <v>36</v>
      </c>
      <c r="H91" s="53" t="s">
        <v>164</v>
      </c>
      <c r="I91" s="53" t="s">
        <v>159</v>
      </c>
      <c r="J91" s="53" t="s">
        <v>38</v>
      </c>
      <c r="K91" s="53" t="s">
        <v>161</v>
      </c>
      <c r="L91" s="53">
        <v>3</v>
      </c>
      <c r="N91" s="53">
        <v>10</v>
      </c>
      <c r="O91" s="53">
        <v>0.45</v>
      </c>
      <c r="P91" s="53">
        <v>0.5</v>
      </c>
      <c r="Q91" s="75">
        <f t="shared" si="5"/>
        <v>0.47499999999999998</v>
      </c>
      <c r="R91" s="53">
        <v>16.600000000000001</v>
      </c>
      <c r="S91" s="53">
        <v>84</v>
      </c>
      <c r="T91" s="16">
        <f t="shared" si="6"/>
        <v>36</v>
      </c>
      <c r="U91" s="53">
        <v>824</v>
      </c>
      <c r="V91" s="16">
        <f t="shared" si="7"/>
        <v>2966.4</v>
      </c>
      <c r="W91" s="53">
        <v>6</v>
      </c>
      <c r="X91" s="53" t="s">
        <v>46</v>
      </c>
      <c r="Y91" s="53" t="s">
        <v>55</v>
      </c>
      <c r="Z91" s="53" t="s">
        <v>69</v>
      </c>
      <c r="AA91" s="53" t="s">
        <v>90</v>
      </c>
      <c r="AB91" s="53" t="s">
        <v>258</v>
      </c>
    </row>
    <row r="92" spans="1:28" x14ac:dyDescent="0.15">
      <c r="A92" s="53" t="s">
        <v>34</v>
      </c>
      <c r="B92" s="53" t="s">
        <v>232</v>
      </c>
      <c r="C92" s="53">
        <v>2019</v>
      </c>
      <c r="D92" s="176" t="s">
        <v>356</v>
      </c>
      <c r="E92" s="53" t="s">
        <v>376</v>
      </c>
      <c r="F92" s="53" t="s">
        <v>377</v>
      </c>
      <c r="G92" s="53" t="s">
        <v>36</v>
      </c>
      <c r="H92" s="53" t="s">
        <v>160</v>
      </c>
      <c r="I92" s="53" t="s">
        <v>159</v>
      </c>
      <c r="J92" s="53" t="s">
        <v>38</v>
      </c>
      <c r="K92" s="53" t="s">
        <v>161</v>
      </c>
      <c r="L92" s="53">
        <v>1</v>
      </c>
      <c r="N92" s="53">
        <v>1</v>
      </c>
      <c r="O92" s="53">
        <v>0.55000000000000004</v>
      </c>
      <c r="P92" s="53">
        <v>0.65</v>
      </c>
      <c r="Q92" s="75">
        <f t="shared" si="5"/>
        <v>0.60000000000000009</v>
      </c>
      <c r="R92" s="53">
        <v>18.2</v>
      </c>
      <c r="S92" s="53">
        <v>133</v>
      </c>
      <c r="T92" s="16">
        <f t="shared" si="6"/>
        <v>30</v>
      </c>
      <c r="U92" s="53">
        <v>96</v>
      </c>
      <c r="V92" s="16">
        <f t="shared" si="7"/>
        <v>2880</v>
      </c>
      <c r="W92" s="53">
        <v>8</v>
      </c>
      <c r="X92" s="53" t="s">
        <v>46</v>
      </c>
      <c r="Y92" s="53" t="s">
        <v>55</v>
      </c>
      <c r="Z92" s="53" t="s">
        <v>69</v>
      </c>
      <c r="AA92" s="53" t="s">
        <v>90</v>
      </c>
      <c r="AB92" s="53" t="s">
        <v>258</v>
      </c>
    </row>
    <row r="93" spans="1:28" x14ac:dyDescent="0.15">
      <c r="A93" s="53" t="s">
        <v>34</v>
      </c>
      <c r="B93" s="53" t="s">
        <v>232</v>
      </c>
      <c r="C93" s="53">
        <v>2019</v>
      </c>
      <c r="D93" s="176" t="s">
        <v>356</v>
      </c>
      <c r="E93" s="53" t="s">
        <v>376</v>
      </c>
      <c r="F93" s="53" t="s">
        <v>377</v>
      </c>
      <c r="G93" s="53" t="s">
        <v>36</v>
      </c>
      <c r="H93" s="53" t="s">
        <v>160</v>
      </c>
      <c r="I93" s="53" t="s">
        <v>159</v>
      </c>
      <c r="J93" s="53" t="s">
        <v>38</v>
      </c>
      <c r="K93" s="53" t="s">
        <v>161</v>
      </c>
      <c r="L93" s="53">
        <v>2</v>
      </c>
      <c r="N93" s="53">
        <v>1</v>
      </c>
      <c r="O93" s="53">
        <v>0.45</v>
      </c>
      <c r="P93" s="53">
        <v>0.2</v>
      </c>
      <c r="Q93" s="75">
        <f t="shared" si="5"/>
        <v>0.32500000000000001</v>
      </c>
      <c r="R93" s="53">
        <v>25.2</v>
      </c>
      <c r="S93" s="53">
        <v>128</v>
      </c>
      <c r="T93" s="16">
        <f t="shared" si="6"/>
        <v>30</v>
      </c>
      <c r="U93" s="53">
        <v>96</v>
      </c>
      <c r="V93" s="16">
        <f t="shared" si="7"/>
        <v>2880</v>
      </c>
      <c r="W93" s="53">
        <v>8</v>
      </c>
      <c r="X93" s="53" t="s">
        <v>46</v>
      </c>
      <c r="Y93" s="53" t="s">
        <v>55</v>
      </c>
      <c r="Z93" s="53" t="s">
        <v>69</v>
      </c>
      <c r="AA93" s="53" t="s">
        <v>90</v>
      </c>
      <c r="AB93" s="53" t="s">
        <v>258</v>
      </c>
    </row>
    <row r="94" spans="1:28" x14ac:dyDescent="0.15">
      <c r="A94" s="53" t="s">
        <v>34</v>
      </c>
      <c r="B94" s="53" t="s">
        <v>232</v>
      </c>
      <c r="C94" s="53">
        <v>2019</v>
      </c>
      <c r="D94" s="176" t="s">
        <v>356</v>
      </c>
      <c r="E94" s="53" t="s">
        <v>376</v>
      </c>
      <c r="F94" s="53" t="s">
        <v>377</v>
      </c>
      <c r="G94" s="53" t="s">
        <v>36</v>
      </c>
      <c r="H94" s="53" t="s">
        <v>160</v>
      </c>
      <c r="I94" s="53" t="s">
        <v>159</v>
      </c>
      <c r="J94" s="53" t="s">
        <v>38</v>
      </c>
      <c r="K94" s="53" t="s">
        <v>161</v>
      </c>
      <c r="L94" s="53">
        <v>3</v>
      </c>
      <c r="N94" s="53">
        <v>1</v>
      </c>
      <c r="O94" s="53">
        <v>0.6</v>
      </c>
      <c r="P94" s="53">
        <v>0.6</v>
      </c>
      <c r="Q94" s="75">
        <f t="shared" si="5"/>
        <v>0.6</v>
      </c>
      <c r="R94" s="53">
        <v>18.8</v>
      </c>
      <c r="S94" s="53">
        <v>128</v>
      </c>
      <c r="T94" s="16">
        <f t="shared" si="6"/>
        <v>30</v>
      </c>
      <c r="U94" s="53">
        <v>96</v>
      </c>
      <c r="V94" s="16">
        <f t="shared" si="7"/>
        <v>2880</v>
      </c>
      <c r="W94" s="53">
        <v>8</v>
      </c>
      <c r="X94" s="53" t="s">
        <v>46</v>
      </c>
      <c r="Y94" s="53" t="s">
        <v>55</v>
      </c>
      <c r="Z94" s="53" t="s">
        <v>69</v>
      </c>
      <c r="AA94" s="53" t="s">
        <v>90</v>
      </c>
      <c r="AB94" s="53" t="s">
        <v>258</v>
      </c>
    </row>
    <row r="95" spans="1:28" x14ac:dyDescent="0.15">
      <c r="A95" s="53" t="s">
        <v>34</v>
      </c>
      <c r="B95" s="53" t="s">
        <v>232</v>
      </c>
      <c r="C95" s="53">
        <v>2019</v>
      </c>
      <c r="D95" s="176" t="s">
        <v>356</v>
      </c>
      <c r="E95" s="53" t="s">
        <v>376</v>
      </c>
      <c r="F95" s="53" t="s">
        <v>377</v>
      </c>
      <c r="G95" s="53" t="s">
        <v>36</v>
      </c>
      <c r="H95" s="53" t="s">
        <v>160</v>
      </c>
      <c r="I95" s="53" t="s">
        <v>159</v>
      </c>
      <c r="J95" s="53" t="s">
        <v>38</v>
      </c>
      <c r="K95" s="53" t="s">
        <v>161</v>
      </c>
      <c r="L95" s="53">
        <v>1</v>
      </c>
      <c r="N95" s="53">
        <v>4</v>
      </c>
      <c r="O95" s="53">
        <v>0.2</v>
      </c>
      <c r="P95" s="53">
        <v>0.2</v>
      </c>
      <c r="Q95" s="75">
        <f t="shared" si="5"/>
        <v>0.2</v>
      </c>
      <c r="R95" s="53">
        <v>19.5</v>
      </c>
      <c r="S95" s="53">
        <v>100</v>
      </c>
      <c r="T95" s="16">
        <f t="shared" si="6"/>
        <v>33</v>
      </c>
      <c r="U95" s="53">
        <v>537</v>
      </c>
      <c r="V95" s="16">
        <f t="shared" si="7"/>
        <v>4430.25</v>
      </c>
      <c r="W95" s="53">
        <v>8</v>
      </c>
      <c r="X95" s="53" t="s">
        <v>46</v>
      </c>
      <c r="Y95" s="53" t="s">
        <v>55</v>
      </c>
      <c r="Z95" s="53" t="s">
        <v>69</v>
      </c>
      <c r="AA95" s="53" t="s">
        <v>90</v>
      </c>
      <c r="AB95" s="53" t="s">
        <v>258</v>
      </c>
    </row>
    <row r="96" spans="1:28" x14ac:dyDescent="0.15">
      <c r="A96" s="53" t="s">
        <v>34</v>
      </c>
      <c r="B96" s="53" t="s">
        <v>232</v>
      </c>
      <c r="C96" s="53">
        <v>2019</v>
      </c>
      <c r="D96" s="176" t="s">
        <v>356</v>
      </c>
      <c r="E96" s="53" t="s">
        <v>376</v>
      </c>
      <c r="F96" s="53" t="s">
        <v>377</v>
      </c>
      <c r="G96" s="53" t="s">
        <v>36</v>
      </c>
      <c r="H96" s="53" t="s">
        <v>160</v>
      </c>
      <c r="I96" s="53" t="s">
        <v>159</v>
      </c>
      <c r="J96" s="53" t="s">
        <v>38</v>
      </c>
      <c r="K96" s="53" t="s">
        <v>161</v>
      </c>
      <c r="L96" s="53">
        <v>2</v>
      </c>
      <c r="N96" s="53">
        <v>4</v>
      </c>
      <c r="O96" s="53">
        <v>0.2</v>
      </c>
      <c r="P96" s="53">
        <v>0.2</v>
      </c>
      <c r="Q96" s="75">
        <f t="shared" si="5"/>
        <v>0.2</v>
      </c>
      <c r="R96" s="53">
        <v>22.7</v>
      </c>
      <c r="S96" s="53">
        <v>96</v>
      </c>
      <c r="T96" s="16">
        <f t="shared" si="6"/>
        <v>36</v>
      </c>
      <c r="U96" s="53">
        <v>537</v>
      </c>
      <c r="V96" s="16">
        <f t="shared" si="7"/>
        <v>4833</v>
      </c>
      <c r="W96" s="53">
        <v>8</v>
      </c>
      <c r="X96" s="53" t="s">
        <v>46</v>
      </c>
      <c r="Y96" s="53" t="s">
        <v>55</v>
      </c>
      <c r="Z96" s="53" t="s">
        <v>69</v>
      </c>
      <c r="AA96" s="53" t="s">
        <v>90</v>
      </c>
      <c r="AB96" s="53" t="s">
        <v>258</v>
      </c>
    </row>
    <row r="97" spans="1:28" x14ac:dyDescent="0.15">
      <c r="A97" s="53" t="s">
        <v>34</v>
      </c>
      <c r="B97" s="53" t="s">
        <v>232</v>
      </c>
      <c r="C97" s="53">
        <v>2019</v>
      </c>
      <c r="D97" s="176" t="s">
        <v>356</v>
      </c>
      <c r="E97" s="53" t="s">
        <v>376</v>
      </c>
      <c r="F97" s="53" t="s">
        <v>377</v>
      </c>
      <c r="G97" s="53" t="s">
        <v>36</v>
      </c>
      <c r="H97" s="53" t="s">
        <v>160</v>
      </c>
      <c r="I97" s="53" t="s">
        <v>159</v>
      </c>
      <c r="J97" s="53" t="s">
        <v>38</v>
      </c>
      <c r="K97" s="53" t="s">
        <v>161</v>
      </c>
      <c r="L97" s="53">
        <v>3</v>
      </c>
      <c r="N97" s="53">
        <v>4</v>
      </c>
      <c r="O97" s="53">
        <v>0.2</v>
      </c>
      <c r="P97" s="53">
        <v>0.5</v>
      </c>
      <c r="Q97" s="75">
        <f t="shared" si="5"/>
        <v>0.35</v>
      </c>
      <c r="R97" s="53">
        <v>23</v>
      </c>
      <c r="S97" s="53">
        <v>92</v>
      </c>
      <c r="T97" s="16">
        <f t="shared" si="6"/>
        <v>36</v>
      </c>
      <c r="U97" s="53">
        <v>537</v>
      </c>
      <c r="V97" s="16">
        <f t="shared" si="7"/>
        <v>4833</v>
      </c>
      <c r="W97" s="53">
        <v>8</v>
      </c>
      <c r="X97" s="53" t="s">
        <v>46</v>
      </c>
      <c r="Y97" s="53" t="s">
        <v>55</v>
      </c>
      <c r="Z97" s="53" t="s">
        <v>69</v>
      </c>
      <c r="AA97" s="53" t="s">
        <v>90</v>
      </c>
      <c r="AB97" s="53" t="s">
        <v>258</v>
      </c>
    </row>
    <row r="98" spans="1:28" x14ac:dyDescent="0.15">
      <c r="A98" s="53" t="s">
        <v>34</v>
      </c>
      <c r="B98" s="53" t="s">
        <v>232</v>
      </c>
      <c r="C98" s="53">
        <v>2019</v>
      </c>
      <c r="D98" s="176" t="s">
        <v>356</v>
      </c>
      <c r="E98" s="53" t="s">
        <v>376</v>
      </c>
      <c r="F98" s="53" t="s">
        <v>377</v>
      </c>
      <c r="G98" s="53" t="s">
        <v>36</v>
      </c>
      <c r="H98" s="53" t="s">
        <v>160</v>
      </c>
      <c r="I98" s="53" t="s">
        <v>159</v>
      </c>
      <c r="J98" s="53" t="s">
        <v>38</v>
      </c>
      <c r="K98" s="53" t="s">
        <v>161</v>
      </c>
      <c r="L98" s="53">
        <v>1</v>
      </c>
      <c r="N98" s="53">
        <v>10</v>
      </c>
      <c r="O98" s="53">
        <v>0.55000000000000004</v>
      </c>
      <c r="P98" s="53">
        <v>0.55000000000000004</v>
      </c>
      <c r="Q98" s="75">
        <f t="shared" si="5"/>
        <v>0.55000000000000004</v>
      </c>
      <c r="R98" s="53">
        <v>19.899999999999999</v>
      </c>
      <c r="S98" s="53">
        <v>90</v>
      </c>
      <c r="T98" s="16">
        <f t="shared" si="6"/>
        <v>36</v>
      </c>
      <c r="U98" s="53">
        <v>950</v>
      </c>
      <c r="V98" s="16">
        <f t="shared" si="7"/>
        <v>3420</v>
      </c>
      <c r="W98" s="53">
        <v>8</v>
      </c>
      <c r="X98" s="53" t="s">
        <v>46</v>
      </c>
      <c r="Y98" s="53" t="s">
        <v>55</v>
      </c>
      <c r="Z98" s="53" t="s">
        <v>69</v>
      </c>
      <c r="AA98" s="53" t="s">
        <v>90</v>
      </c>
      <c r="AB98" s="53" t="s">
        <v>258</v>
      </c>
    </row>
    <row r="99" spans="1:28" x14ac:dyDescent="0.15">
      <c r="A99" s="53" t="s">
        <v>34</v>
      </c>
      <c r="B99" s="53" t="s">
        <v>232</v>
      </c>
      <c r="C99" s="53">
        <v>2019</v>
      </c>
      <c r="D99" s="176" t="s">
        <v>356</v>
      </c>
      <c r="E99" s="53" t="s">
        <v>376</v>
      </c>
      <c r="F99" s="53" t="s">
        <v>377</v>
      </c>
      <c r="G99" s="53" t="s">
        <v>36</v>
      </c>
      <c r="H99" s="53" t="s">
        <v>160</v>
      </c>
      <c r="I99" s="53" t="s">
        <v>159</v>
      </c>
      <c r="J99" s="53" t="s">
        <v>38</v>
      </c>
      <c r="K99" s="53" t="s">
        <v>161</v>
      </c>
      <c r="L99" s="53">
        <v>2</v>
      </c>
      <c r="N99" s="53">
        <v>10</v>
      </c>
      <c r="O99" s="53">
        <v>0.55000000000000004</v>
      </c>
      <c r="P99" s="53">
        <v>0.65</v>
      </c>
      <c r="Q99" s="75">
        <f t="shared" si="5"/>
        <v>0.60000000000000009</v>
      </c>
      <c r="R99" s="53">
        <v>18.100000000000001</v>
      </c>
      <c r="S99" s="53">
        <v>90</v>
      </c>
      <c r="T99" s="16">
        <f t="shared" si="6"/>
        <v>36</v>
      </c>
      <c r="U99" s="53">
        <v>950</v>
      </c>
      <c r="V99" s="16">
        <f t="shared" si="7"/>
        <v>3420</v>
      </c>
      <c r="W99" s="53">
        <v>8</v>
      </c>
      <c r="X99" s="53" t="s">
        <v>46</v>
      </c>
      <c r="Y99" s="53" t="s">
        <v>55</v>
      </c>
      <c r="Z99" s="53" t="s">
        <v>69</v>
      </c>
      <c r="AA99" s="53" t="s">
        <v>90</v>
      </c>
      <c r="AB99" s="53" t="s">
        <v>258</v>
      </c>
    </row>
    <row r="100" spans="1:28" x14ac:dyDescent="0.15">
      <c r="A100" s="53" t="s">
        <v>34</v>
      </c>
      <c r="B100" s="53" t="s">
        <v>232</v>
      </c>
      <c r="C100" s="53">
        <v>2019</v>
      </c>
      <c r="D100" s="176" t="s">
        <v>356</v>
      </c>
      <c r="E100" s="53" t="s">
        <v>376</v>
      </c>
      <c r="F100" s="53" t="s">
        <v>377</v>
      </c>
      <c r="G100" s="53" t="s">
        <v>36</v>
      </c>
      <c r="H100" s="53" t="s">
        <v>160</v>
      </c>
      <c r="I100" s="53" t="s">
        <v>159</v>
      </c>
      <c r="J100" s="53" t="s">
        <v>38</v>
      </c>
      <c r="K100" s="53" t="s">
        <v>161</v>
      </c>
      <c r="L100" s="53">
        <v>3</v>
      </c>
      <c r="N100" s="53">
        <v>10</v>
      </c>
      <c r="O100" s="53">
        <v>0.55000000000000004</v>
      </c>
      <c r="P100" s="53">
        <v>0.2</v>
      </c>
      <c r="Q100" s="75">
        <f t="shared" si="5"/>
        <v>0.375</v>
      </c>
      <c r="R100" s="53">
        <v>19</v>
      </c>
      <c r="S100" s="53">
        <v>91</v>
      </c>
      <c r="T100" s="16">
        <f t="shared" si="6"/>
        <v>36</v>
      </c>
      <c r="U100" s="53">
        <v>950</v>
      </c>
      <c r="V100" s="16">
        <f t="shared" si="7"/>
        <v>3420</v>
      </c>
      <c r="W100" s="53">
        <v>8</v>
      </c>
      <c r="X100" s="53" t="s">
        <v>46</v>
      </c>
      <c r="Y100" s="53" t="s">
        <v>55</v>
      </c>
      <c r="Z100" s="53" t="s">
        <v>69</v>
      </c>
      <c r="AA100" s="53" t="s">
        <v>90</v>
      </c>
      <c r="AB100" s="53" t="s">
        <v>258</v>
      </c>
    </row>
    <row r="101" spans="1:28" x14ac:dyDescent="0.15">
      <c r="A101" s="53" t="s">
        <v>34</v>
      </c>
      <c r="B101" s="53" t="s">
        <v>232</v>
      </c>
      <c r="C101" s="53">
        <v>2019</v>
      </c>
      <c r="D101" s="176" t="s">
        <v>356</v>
      </c>
      <c r="E101" s="53" t="s">
        <v>378</v>
      </c>
      <c r="F101" s="53" t="s">
        <v>379</v>
      </c>
      <c r="G101" s="53" t="s">
        <v>36</v>
      </c>
      <c r="H101" s="53" t="s">
        <v>164</v>
      </c>
      <c r="I101" s="53" t="s">
        <v>159</v>
      </c>
      <c r="J101" s="53" t="s">
        <v>38</v>
      </c>
      <c r="K101" s="53" t="s">
        <v>161</v>
      </c>
      <c r="L101" s="53">
        <v>1</v>
      </c>
      <c r="N101" s="53">
        <v>1</v>
      </c>
      <c r="O101" s="53">
        <v>0.2</v>
      </c>
      <c r="P101" s="53">
        <v>0.45</v>
      </c>
      <c r="Q101" s="75">
        <f t="shared" si="5"/>
        <v>0.32500000000000001</v>
      </c>
      <c r="R101" s="53">
        <v>18.5</v>
      </c>
      <c r="S101" s="53">
        <v>113</v>
      </c>
      <c r="T101" s="16">
        <f t="shared" si="6"/>
        <v>30</v>
      </c>
      <c r="U101" s="53">
        <v>105</v>
      </c>
      <c r="V101" s="16">
        <f t="shared" si="7"/>
        <v>3150</v>
      </c>
      <c r="W101" s="53">
        <v>8</v>
      </c>
      <c r="X101" s="53" t="s">
        <v>46</v>
      </c>
      <c r="Y101" s="53" t="s">
        <v>55</v>
      </c>
      <c r="Z101" s="53" t="s">
        <v>69</v>
      </c>
      <c r="AA101" s="53" t="s">
        <v>97</v>
      </c>
      <c r="AB101" s="53" t="s">
        <v>258</v>
      </c>
    </row>
    <row r="102" spans="1:28" x14ac:dyDescent="0.15">
      <c r="A102" s="53" t="s">
        <v>34</v>
      </c>
      <c r="B102" s="53" t="s">
        <v>232</v>
      </c>
      <c r="C102" s="53">
        <v>2019</v>
      </c>
      <c r="D102" s="176" t="s">
        <v>356</v>
      </c>
      <c r="E102" s="53" t="s">
        <v>378</v>
      </c>
      <c r="F102" s="53" t="s">
        <v>379</v>
      </c>
      <c r="G102" s="53" t="s">
        <v>36</v>
      </c>
      <c r="H102" s="53" t="s">
        <v>164</v>
      </c>
      <c r="I102" s="53" t="s">
        <v>159</v>
      </c>
      <c r="J102" s="53" t="s">
        <v>38</v>
      </c>
      <c r="K102" s="53" t="s">
        <v>161</v>
      </c>
      <c r="L102" s="53">
        <v>2</v>
      </c>
      <c r="N102" s="53">
        <v>1</v>
      </c>
      <c r="O102" s="53">
        <v>0.85</v>
      </c>
      <c r="P102" s="53">
        <v>0.75</v>
      </c>
      <c r="Q102" s="75">
        <f t="shared" si="5"/>
        <v>0.8</v>
      </c>
      <c r="R102" s="53">
        <v>17.899999999999999</v>
      </c>
      <c r="S102" s="53">
        <v>117</v>
      </c>
      <c r="T102" s="16">
        <f t="shared" si="6"/>
        <v>30</v>
      </c>
      <c r="U102" s="53">
        <v>105</v>
      </c>
      <c r="V102" s="16">
        <f t="shared" si="7"/>
        <v>3150</v>
      </c>
      <c r="W102" s="53">
        <v>8</v>
      </c>
      <c r="X102" s="53" t="s">
        <v>46</v>
      </c>
      <c r="Y102" s="53" t="s">
        <v>55</v>
      </c>
      <c r="Z102" s="53" t="s">
        <v>69</v>
      </c>
      <c r="AA102" s="53" t="s">
        <v>97</v>
      </c>
      <c r="AB102" s="53" t="s">
        <v>258</v>
      </c>
    </row>
    <row r="103" spans="1:28" x14ac:dyDescent="0.15">
      <c r="A103" s="53" t="s">
        <v>34</v>
      </c>
      <c r="B103" s="53" t="s">
        <v>232</v>
      </c>
      <c r="C103" s="53">
        <v>2019</v>
      </c>
      <c r="D103" s="176" t="s">
        <v>356</v>
      </c>
      <c r="E103" s="53" t="s">
        <v>378</v>
      </c>
      <c r="F103" s="53" t="s">
        <v>379</v>
      </c>
      <c r="G103" s="53" t="s">
        <v>36</v>
      </c>
      <c r="H103" s="53" t="s">
        <v>164</v>
      </c>
      <c r="I103" s="53" t="s">
        <v>159</v>
      </c>
      <c r="J103" s="53" t="s">
        <v>38</v>
      </c>
      <c r="K103" s="53" t="s">
        <v>161</v>
      </c>
      <c r="L103" s="53">
        <v>3</v>
      </c>
      <c r="N103" s="53">
        <v>1</v>
      </c>
      <c r="O103" s="53">
        <v>1</v>
      </c>
      <c r="P103" s="53">
        <v>0.65</v>
      </c>
      <c r="Q103" s="75">
        <f t="shared" si="5"/>
        <v>0.82499999999999996</v>
      </c>
      <c r="R103" s="53">
        <v>18.5</v>
      </c>
      <c r="S103" s="53">
        <v>116</v>
      </c>
      <c r="T103" s="16">
        <f t="shared" si="6"/>
        <v>30</v>
      </c>
      <c r="U103" s="53">
        <v>105</v>
      </c>
      <c r="V103" s="16">
        <f t="shared" si="7"/>
        <v>3150</v>
      </c>
      <c r="W103" s="53">
        <v>8</v>
      </c>
      <c r="X103" s="53" t="s">
        <v>46</v>
      </c>
      <c r="Y103" s="53" t="s">
        <v>55</v>
      </c>
      <c r="Z103" s="53" t="s">
        <v>69</v>
      </c>
      <c r="AA103" s="53" t="s">
        <v>97</v>
      </c>
      <c r="AB103" s="53" t="s">
        <v>258</v>
      </c>
    </row>
    <row r="104" spans="1:28" x14ac:dyDescent="0.15">
      <c r="A104" s="53" t="s">
        <v>34</v>
      </c>
      <c r="B104" s="53" t="s">
        <v>232</v>
      </c>
      <c r="C104" s="53">
        <v>2019</v>
      </c>
      <c r="D104" s="176" t="s">
        <v>356</v>
      </c>
      <c r="E104" s="53" t="s">
        <v>378</v>
      </c>
      <c r="F104" s="53" t="s">
        <v>379</v>
      </c>
      <c r="G104" s="53" t="s">
        <v>36</v>
      </c>
      <c r="H104" s="53" t="s">
        <v>164</v>
      </c>
      <c r="I104" s="53" t="s">
        <v>198</v>
      </c>
      <c r="J104" s="53" t="s">
        <v>38</v>
      </c>
      <c r="K104" s="53" t="s">
        <v>161</v>
      </c>
      <c r="L104" s="53">
        <v>1</v>
      </c>
      <c r="N104" s="53">
        <v>4</v>
      </c>
      <c r="O104" s="53">
        <v>0.5</v>
      </c>
      <c r="P104" s="53">
        <v>0.55000000000000004</v>
      </c>
      <c r="Q104" s="75">
        <f t="shared" si="5"/>
        <v>0.52500000000000002</v>
      </c>
      <c r="R104" s="53">
        <v>16.2</v>
      </c>
      <c r="S104" s="53">
        <v>92</v>
      </c>
      <c r="T104" s="16">
        <f t="shared" si="6"/>
        <v>36</v>
      </c>
      <c r="U104" s="53">
        <v>378</v>
      </c>
      <c r="V104" s="16">
        <f t="shared" si="7"/>
        <v>3402</v>
      </c>
      <c r="W104" s="53">
        <v>8</v>
      </c>
      <c r="X104" s="53" t="s">
        <v>46</v>
      </c>
      <c r="Y104" s="53" t="s">
        <v>55</v>
      </c>
      <c r="Z104" s="53" t="s">
        <v>69</v>
      </c>
      <c r="AA104" s="53" t="s">
        <v>97</v>
      </c>
      <c r="AB104" s="53" t="s">
        <v>258</v>
      </c>
    </row>
    <row r="105" spans="1:28" x14ac:dyDescent="0.15">
      <c r="A105" s="53" t="s">
        <v>34</v>
      </c>
      <c r="B105" s="53" t="s">
        <v>232</v>
      </c>
      <c r="C105" s="53">
        <v>2019</v>
      </c>
      <c r="D105" s="176" t="s">
        <v>356</v>
      </c>
      <c r="E105" s="53" t="s">
        <v>378</v>
      </c>
      <c r="F105" s="53" t="s">
        <v>379</v>
      </c>
      <c r="G105" s="53" t="s">
        <v>36</v>
      </c>
      <c r="H105" s="53" t="s">
        <v>164</v>
      </c>
      <c r="I105" s="53" t="s">
        <v>198</v>
      </c>
      <c r="J105" s="53" t="s">
        <v>38</v>
      </c>
      <c r="K105" s="53" t="s">
        <v>161</v>
      </c>
      <c r="L105" s="53">
        <v>2</v>
      </c>
      <c r="N105" s="53">
        <v>4</v>
      </c>
      <c r="O105" s="53">
        <v>0.55000000000000004</v>
      </c>
      <c r="P105" s="53">
        <v>0.55000000000000004</v>
      </c>
      <c r="Q105" s="75">
        <f t="shared" si="5"/>
        <v>0.55000000000000004</v>
      </c>
      <c r="R105" s="53">
        <v>17</v>
      </c>
      <c r="S105" s="53">
        <v>107</v>
      </c>
      <c r="T105" s="16">
        <f t="shared" si="6"/>
        <v>33</v>
      </c>
      <c r="U105" s="53">
        <v>378</v>
      </c>
      <c r="V105" s="16">
        <f t="shared" si="7"/>
        <v>3118.5</v>
      </c>
      <c r="W105" s="53">
        <v>8</v>
      </c>
      <c r="X105" s="53" t="s">
        <v>46</v>
      </c>
      <c r="Y105" s="53" t="s">
        <v>55</v>
      </c>
      <c r="Z105" s="53" t="s">
        <v>69</v>
      </c>
      <c r="AA105" s="53" t="s">
        <v>97</v>
      </c>
      <c r="AB105" s="53" t="s">
        <v>258</v>
      </c>
    </row>
    <row r="106" spans="1:28" x14ac:dyDescent="0.15">
      <c r="A106" s="53" t="s">
        <v>34</v>
      </c>
      <c r="B106" s="53" t="s">
        <v>232</v>
      </c>
      <c r="C106" s="53">
        <v>2019</v>
      </c>
      <c r="D106" s="176" t="s">
        <v>356</v>
      </c>
      <c r="E106" s="53" t="s">
        <v>378</v>
      </c>
      <c r="F106" s="53" t="s">
        <v>379</v>
      </c>
      <c r="G106" s="53" t="s">
        <v>36</v>
      </c>
      <c r="H106" s="53" t="s">
        <v>164</v>
      </c>
      <c r="I106" s="53" t="s">
        <v>198</v>
      </c>
      <c r="J106" s="53" t="s">
        <v>38</v>
      </c>
      <c r="K106" s="53" t="s">
        <v>161</v>
      </c>
      <c r="L106" s="53">
        <v>3</v>
      </c>
      <c r="N106" s="53">
        <v>4</v>
      </c>
      <c r="O106" s="53">
        <v>0.5</v>
      </c>
      <c r="P106" s="53">
        <v>0.65</v>
      </c>
      <c r="Q106" s="75">
        <f t="shared" si="5"/>
        <v>0.57499999999999996</v>
      </c>
      <c r="R106" s="53">
        <v>14.4</v>
      </c>
      <c r="S106" s="53">
        <v>98</v>
      </c>
      <c r="T106" s="16">
        <f t="shared" si="6"/>
        <v>36</v>
      </c>
      <c r="U106" s="53">
        <v>378</v>
      </c>
      <c r="V106" s="16">
        <f t="shared" si="7"/>
        <v>3402</v>
      </c>
      <c r="W106" s="53">
        <v>8</v>
      </c>
      <c r="X106" s="53" t="s">
        <v>46</v>
      </c>
      <c r="Y106" s="53" t="s">
        <v>55</v>
      </c>
      <c r="Z106" s="53" t="s">
        <v>69</v>
      </c>
      <c r="AA106" s="53" t="s">
        <v>97</v>
      </c>
      <c r="AB106" s="53" t="s">
        <v>258</v>
      </c>
    </row>
    <row r="107" spans="1:28" x14ac:dyDescent="0.15">
      <c r="A107" s="53" t="s">
        <v>34</v>
      </c>
      <c r="B107" s="53" t="s">
        <v>232</v>
      </c>
      <c r="C107" s="53">
        <v>2019</v>
      </c>
      <c r="D107" s="176" t="s">
        <v>356</v>
      </c>
      <c r="E107" s="53" t="s">
        <v>378</v>
      </c>
      <c r="F107" s="53" t="s">
        <v>379</v>
      </c>
      <c r="G107" s="53" t="s">
        <v>36</v>
      </c>
      <c r="H107" s="53" t="s">
        <v>164</v>
      </c>
      <c r="I107" s="53" t="s">
        <v>159</v>
      </c>
      <c r="J107" s="53" t="s">
        <v>38</v>
      </c>
      <c r="K107" s="53" t="s">
        <v>161</v>
      </c>
      <c r="L107" s="53">
        <v>1</v>
      </c>
      <c r="N107" s="53">
        <v>8</v>
      </c>
      <c r="O107" s="53">
        <v>0.9</v>
      </c>
      <c r="P107" s="53">
        <v>0.75</v>
      </c>
      <c r="Q107" s="75">
        <f t="shared" si="5"/>
        <v>0.82499999999999996</v>
      </c>
      <c r="R107" s="53">
        <v>17.899999999999999</v>
      </c>
      <c r="S107" s="53">
        <v>88</v>
      </c>
      <c r="T107" s="16">
        <f t="shared" si="6"/>
        <v>36</v>
      </c>
      <c r="U107" s="53">
        <v>645</v>
      </c>
      <c r="V107" s="16">
        <f t="shared" si="7"/>
        <v>2902.5</v>
      </c>
      <c r="W107" s="53">
        <v>8</v>
      </c>
      <c r="X107" s="53" t="s">
        <v>46</v>
      </c>
      <c r="Y107" s="53" t="s">
        <v>55</v>
      </c>
      <c r="Z107" s="53" t="s">
        <v>69</v>
      </c>
      <c r="AA107" s="53" t="s">
        <v>97</v>
      </c>
      <c r="AB107" s="53" t="s">
        <v>258</v>
      </c>
    </row>
    <row r="108" spans="1:28" x14ac:dyDescent="0.15">
      <c r="A108" s="53" t="s">
        <v>34</v>
      </c>
      <c r="B108" s="53" t="s">
        <v>232</v>
      </c>
      <c r="C108" s="53">
        <v>2019</v>
      </c>
      <c r="D108" s="176" t="s">
        <v>356</v>
      </c>
      <c r="E108" s="53" t="s">
        <v>378</v>
      </c>
      <c r="F108" s="53" t="s">
        <v>379</v>
      </c>
      <c r="G108" s="53" t="s">
        <v>36</v>
      </c>
      <c r="H108" s="53" t="s">
        <v>164</v>
      </c>
      <c r="I108" s="53" t="s">
        <v>159</v>
      </c>
      <c r="J108" s="53" t="s">
        <v>38</v>
      </c>
      <c r="K108" s="53" t="s">
        <v>161</v>
      </c>
      <c r="L108" s="53">
        <v>2</v>
      </c>
      <c r="N108" s="53">
        <v>8</v>
      </c>
      <c r="O108" s="53">
        <v>0.7</v>
      </c>
      <c r="P108" s="53">
        <v>0.75</v>
      </c>
      <c r="Q108" s="75">
        <f t="shared" si="5"/>
        <v>0.72499999999999998</v>
      </c>
      <c r="R108" s="53">
        <v>18.899999999999999</v>
      </c>
      <c r="S108" s="53">
        <v>86</v>
      </c>
      <c r="T108" s="16">
        <f t="shared" si="6"/>
        <v>36</v>
      </c>
      <c r="U108" s="53">
        <v>645</v>
      </c>
      <c r="V108" s="16">
        <f t="shared" si="7"/>
        <v>2902.5</v>
      </c>
      <c r="W108" s="53">
        <v>8</v>
      </c>
      <c r="X108" s="53" t="s">
        <v>46</v>
      </c>
      <c r="Y108" s="53" t="s">
        <v>55</v>
      </c>
      <c r="Z108" s="53" t="s">
        <v>69</v>
      </c>
      <c r="AA108" s="53" t="s">
        <v>97</v>
      </c>
      <c r="AB108" s="53" t="s">
        <v>258</v>
      </c>
    </row>
    <row r="109" spans="1:28" x14ac:dyDescent="0.15">
      <c r="A109" s="53" t="s">
        <v>34</v>
      </c>
      <c r="B109" s="53" t="s">
        <v>232</v>
      </c>
      <c r="C109" s="53">
        <v>2019</v>
      </c>
      <c r="D109" s="176" t="s">
        <v>356</v>
      </c>
      <c r="E109" s="53" t="s">
        <v>378</v>
      </c>
      <c r="F109" s="53" t="s">
        <v>379</v>
      </c>
      <c r="G109" s="53" t="s">
        <v>36</v>
      </c>
      <c r="H109" s="53" t="s">
        <v>164</v>
      </c>
      <c r="I109" s="53" t="s">
        <v>159</v>
      </c>
      <c r="J109" s="53" t="s">
        <v>38</v>
      </c>
      <c r="K109" s="53" t="s">
        <v>161</v>
      </c>
      <c r="L109" s="53">
        <v>3</v>
      </c>
      <c r="N109" s="53">
        <v>8</v>
      </c>
      <c r="O109" s="53">
        <v>0.7</v>
      </c>
      <c r="P109" s="53">
        <v>0.45</v>
      </c>
      <c r="Q109" s="75">
        <f t="shared" si="5"/>
        <v>0.57499999999999996</v>
      </c>
      <c r="R109" s="53">
        <v>17.3</v>
      </c>
      <c r="S109" s="53">
        <v>94</v>
      </c>
      <c r="T109" s="16">
        <f t="shared" si="6"/>
        <v>36</v>
      </c>
      <c r="U109" s="53">
        <v>645</v>
      </c>
      <c r="V109" s="16">
        <f t="shared" si="7"/>
        <v>2902.5</v>
      </c>
      <c r="W109" s="53">
        <v>8</v>
      </c>
      <c r="X109" s="53" t="s">
        <v>46</v>
      </c>
      <c r="Y109" s="53" t="s">
        <v>55</v>
      </c>
      <c r="Z109" s="53" t="s">
        <v>69</v>
      </c>
      <c r="AA109" s="53" t="s">
        <v>97</v>
      </c>
      <c r="AB109" s="53" t="s">
        <v>258</v>
      </c>
    </row>
    <row r="110" spans="1:28" x14ac:dyDescent="0.15">
      <c r="A110" s="53" t="s">
        <v>34</v>
      </c>
      <c r="B110" s="53" t="s">
        <v>232</v>
      </c>
      <c r="C110" s="53">
        <v>2019</v>
      </c>
      <c r="D110" s="176" t="s">
        <v>356</v>
      </c>
      <c r="E110" s="53" t="s">
        <v>378</v>
      </c>
      <c r="F110" s="53" t="s">
        <v>379</v>
      </c>
      <c r="G110" s="53" t="s">
        <v>36</v>
      </c>
      <c r="H110" s="53" t="s">
        <v>160</v>
      </c>
      <c r="I110" s="53" t="s">
        <v>159</v>
      </c>
      <c r="J110" s="53" t="s">
        <v>38</v>
      </c>
      <c r="K110" s="53" t="s">
        <v>161</v>
      </c>
      <c r="L110" s="53">
        <v>1</v>
      </c>
      <c r="N110" s="53">
        <v>1</v>
      </c>
      <c r="O110" s="53">
        <v>0.7</v>
      </c>
      <c r="P110" s="53">
        <v>0.65</v>
      </c>
      <c r="Q110" s="75">
        <f t="shared" si="5"/>
        <v>0.67500000000000004</v>
      </c>
      <c r="R110" s="53">
        <v>18.7</v>
      </c>
      <c r="S110" s="53">
        <v>113</v>
      </c>
      <c r="T110" s="16">
        <f t="shared" si="6"/>
        <v>30</v>
      </c>
      <c r="U110" s="53">
        <v>105</v>
      </c>
      <c r="V110" s="16">
        <f t="shared" si="7"/>
        <v>3150</v>
      </c>
      <c r="W110" s="53">
        <v>8</v>
      </c>
      <c r="X110" s="53" t="s">
        <v>46</v>
      </c>
      <c r="Y110" s="53" t="s">
        <v>55</v>
      </c>
      <c r="Z110" s="53" t="s">
        <v>69</v>
      </c>
      <c r="AA110" s="53" t="s">
        <v>97</v>
      </c>
      <c r="AB110" s="53" t="s">
        <v>258</v>
      </c>
    </row>
    <row r="111" spans="1:28" x14ac:dyDescent="0.15">
      <c r="A111" s="53" t="s">
        <v>34</v>
      </c>
      <c r="B111" s="53" t="s">
        <v>232</v>
      </c>
      <c r="C111" s="53">
        <v>2019</v>
      </c>
      <c r="D111" s="176" t="s">
        <v>356</v>
      </c>
      <c r="E111" s="53" t="s">
        <v>378</v>
      </c>
      <c r="F111" s="53" t="s">
        <v>379</v>
      </c>
      <c r="G111" s="53" t="s">
        <v>36</v>
      </c>
      <c r="H111" s="53" t="s">
        <v>160</v>
      </c>
      <c r="I111" s="53" t="s">
        <v>159</v>
      </c>
      <c r="J111" s="53" t="s">
        <v>38</v>
      </c>
      <c r="K111" s="53" t="s">
        <v>161</v>
      </c>
      <c r="L111" s="53">
        <v>2</v>
      </c>
      <c r="N111" s="53">
        <v>1</v>
      </c>
      <c r="O111" s="53">
        <v>0.7</v>
      </c>
      <c r="P111" s="53">
        <v>0.65</v>
      </c>
      <c r="Q111" s="75">
        <f t="shared" si="5"/>
        <v>0.67500000000000004</v>
      </c>
      <c r="R111" s="53">
        <v>18.100000000000001</v>
      </c>
      <c r="S111" s="53">
        <v>116</v>
      </c>
      <c r="T111" s="16">
        <f t="shared" si="6"/>
        <v>30</v>
      </c>
      <c r="U111" s="53">
        <v>105</v>
      </c>
      <c r="V111" s="16">
        <f t="shared" si="7"/>
        <v>3150</v>
      </c>
      <c r="W111" s="53">
        <v>8</v>
      </c>
      <c r="X111" s="53" t="s">
        <v>46</v>
      </c>
      <c r="Y111" s="53" t="s">
        <v>55</v>
      </c>
      <c r="Z111" s="53" t="s">
        <v>69</v>
      </c>
      <c r="AA111" s="53" t="s">
        <v>97</v>
      </c>
      <c r="AB111" s="53" t="s">
        <v>258</v>
      </c>
    </row>
    <row r="112" spans="1:28" x14ac:dyDescent="0.15">
      <c r="A112" s="53" t="s">
        <v>34</v>
      </c>
      <c r="B112" s="53" t="s">
        <v>232</v>
      </c>
      <c r="C112" s="53">
        <v>2019</v>
      </c>
      <c r="D112" s="176" t="s">
        <v>356</v>
      </c>
      <c r="E112" s="53" t="s">
        <v>378</v>
      </c>
      <c r="F112" s="53" t="s">
        <v>379</v>
      </c>
      <c r="G112" s="53" t="s">
        <v>36</v>
      </c>
      <c r="H112" s="53" t="s">
        <v>160</v>
      </c>
      <c r="I112" s="53" t="s">
        <v>159</v>
      </c>
      <c r="J112" s="53" t="s">
        <v>38</v>
      </c>
      <c r="K112" s="53" t="s">
        <v>161</v>
      </c>
      <c r="L112" s="53">
        <v>3</v>
      </c>
      <c r="N112" s="53">
        <v>1</v>
      </c>
      <c r="O112" s="53">
        <v>0.9</v>
      </c>
      <c r="P112" s="53">
        <v>0.65</v>
      </c>
      <c r="Q112" s="75">
        <f t="shared" si="5"/>
        <v>0.77500000000000002</v>
      </c>
      <c r="R112" s="53">
        <v>20.9</v>
      </c>
      <c r="S112" s="53">
        <v>109</v>
      </c>
      <c r="T112" s="16">
        <f t="shared" si="6"/>
        <v>33</v>
      </c>
      <c r="U112" s="53">
        <v>105</v>
      </c>
      <c r="V112" s="16">
        <f t="shared" si="7"/>
        <v>3465</v>
      </c>
      <c r="W112" s="53">
        <v>8</v>
      </c>
      <c r="X112" s="53" t="s">
        <v>46</v>
      </c>
      <c r="Y112" s="53" t="s">
        <v>55</v>
      </c>
      <c r="Z112" s="53" t="s">
        <v>69</v>
      </c>
      <c r="AA112" s="53" t="s">
        <v>97</v>
      </c>
      <c r="AB112" s="53" t="s">
        <v>258</v>
      </c>
    </row>
    <row r="113" spans="1:28" x14ac:dyDescent="0.15">
      <c r="A113" s="53" t="s">
        <v>34</v>
      </c>
      <c r="B113" s="53" t="s">
        <v>232</v>
      </c>
      <c r="C113" s="53">
        <v>2019</v>
      </c>
      <c r="D113" s="176" t="s">
        <v>356</v>
      </c>
      <c r="E113" s="53" t="s">
        <v>378</v>
      </c>
      <c r="F113" s="53" t="s">
        <v>379</v>
      </c>
      <c r="G113" s="53" t="s">
        <v>36</v>
      </c>
      <c r="H113" s="53" t="s">
        <v>160</v>
      </c>
      <c r="I113" s="53" t="s">
        <v>159</v>
      </c>
      <c r="J113" s="53" t="s">
        <v>38</v>
      </c>
      <c r="K113" s="53" t="s">
        <v>161</v>
      </c>
      <c r="L113" s="53">
        <v>1</v>
      </c>
      <c r="N113" s="53">
        <v>1</v>
      </c>
      <c r="O113" s="53">
        <v>0.5</v>
      </c>
      <c r="P113" s="53">
        <v>0.5</v>
      </c>
      <c r="Q113" s="16">
        <f t="shared" si="5"/>
        <v>0.5</v>
      </c>
      <c r="R113" s="53">
        <v>20.5</v>
      </c>
      <c r="S113" s="53">
        <v>141</v>
      </c>
      <c r="T113" s="16">
        <f t="shared" si="6"/>
        <v>30</v>
      </c>
      <c r="U113" s="53">
        <v>170</v>
      </c>
      <c r="V113" s="16">
        <f t="shared" si="7"/>
        <v>5100</v>
      </c>
      <c r="W113" s="53">
        <v>8</v>
      </c>
      <c r="X113" s="53" t="s">
        <v>46</v>
      </c>
      <c r="Y113" s="53" t="s">
        <v>55</v>
      </c>
      <c r="Z113" s="53" t="s">
        <v>69</v>
      </c>
      <c r="AA113" s="53" t="s">
        <v>97</v>
      </c>
      <c r="AB113" s="53" t="s">
        <v>258</v>
      </c>
    </row>
    <row r="114" spans="1:28" x14ac:dyDescent="0.15">
      <c r="A114" s="53" t="s">
        <v>34</v>
      </c>
      <c r="B114" s="53" t="s">
        <v>232</v>
      </c>
      <c r="C114" s="53">
        <v>2019</v>
      </c>
      <c r="D114" s="176" t="s">
        <v>356</v>
      </c>
      <c r="E114" s="53" t="s">
        <v>378</v>
      </c>
      <c r="F114" s="53" t="s">
        <v>379</v>
      </c>
      <c r="G114" s="53" t="s">
        <v>36</v>
      </c>
      <c r="H114" s="53" t="s">
        <v>160</v>
      </c>
      <c r="I114" s="53" t="s">
        <v>159</v>
      </c>
      <c r="J114" s="53" t="s">
        <v>38</v>
      </c>
      <c r="K114" s="53" t="s">
        <v>161</v>
      </c>
      <c r="L114" s="53">
        <v>2</v>
      </c>
      <c r="N114" s="53">
        <v>1</v>
      </c>
      <c r="O114" s="53">
        <v>0.6</v>
      </c>
      <c r="P114" s="53">
        <v>0.2</v>
      </c>
      <c r="Q114" s="16">
        <f t="shared" si="5"/>
        <v>0.4</v>
      </c>
      <c r="R114" s="53">
        <v>19.3</v>
      </c>
      <c r="S114" s="53">
        <v>145</v>
      </c>
      <c r="T114" s="16">
        <f t="shared" si="6"/>
        <v>30</v>
      </c>
      <c r="U114" s="53">
        <v>170</v>
      </c>
      <c r="V114" s="16">
        <f t="shared" si="7"/>
        <v>5100</v>
      </c>
      <c r="W114" s="53">
        <v>8</v>
      </c>
      <c r="X114" s="53" t="s">
        <v>46</v>
      </c>
      <c r="Y114" s="53" t="s">
        <v>55</v>
      </c>
      <c r="Z114" s="53" t="s">
        <v>69</v>
      </c>
      <c r="AA114" s="53" t="s">
        <v>97</v>
      </c>
      <c r="AB114" s="53" t="s">
        <v>258</v>
      </c>
    </row>
    <row r="115" spans="1:28" x14ac:dyDescent="0.15">
      <c r="A115" s="53" t="s">
        <v>34</v>
      </c>
      <c r="B115" s="53" t="s">
        <v>232</v>
      </c>
      <c r="C115" s="53">
        <v>2019</v>
      </c>
      <c r="D115" s="176" t="s">
        <v>356</v>
      </c>
      <c r="E115" s="53" t="s">
        <v>378</v>
      </c>
      <c r="F115" s="53" t="s">
        <v>379</v>
      </c>
      <c r="G115" s="53" t="s">
        <v>36</v>
      </c>
      <c r="H115" s="53" t="s">
        <v>160</v>
      </c>
      <c r="I115" s="53" t="s">
        <v>159</v>
      </c>
      <c r="J115" s="53" t="s">
        <v>38</v>
      </c>
      <c r="K115" s="53" t="s">
        <v>161</v>
      </c>
      <c r="L115" s="53">
        <v>3</v>
      </c>
      <c r="N115" s="53">
        <v>1</v>
      </c>
      <c r="O115" s="53">
        <v>0.55000000000000004</v>
      </c>
      <c r="P115" s="53">
        <v>0.55000000000000004</v>
      </c>
      <c r="Q115" s="16">
        <f t="shared" si="5"/>
        <v>0.55000000000000004</v>
      </c>
      <c r="R115" s="53">
        <v>19.899999999999999</v>
      </c>
      <c r="S115" s="53">
        <v>137</v>
      </c>
      <c r="T115" s="16">
        <f t="shared" si="6"/>
        <v>30</v>
      </c>
      <c r="U115" s="53">
        <v>170</v>
      </c>
      <c r="V115" s="16">
        <f t="shared" si="7"/>
        <v>5100</v>
      </c>
      <c r="W115" s="53">
        <v>8</v>
      </c>
      <c r="X115" s="53" t="s">
        <v>46</v>
      </c>
      <c r="Y115" s="53" t="s">
        <v>55</v>
      </c>
      <c r="Z115" s="53" t="s">
        <v>69</v>
      </c>
      <c r="AA115" s="53" t="s">
        <v>97</v>
      </c>
      <c r="AB115" s="53" t="s">
        <v>258</v>
      </c>
    </row>
    <row r="116" spans="1:28" x14ac:dyDescent="0.15">
      <c r="A116" s="53" t="s">
        <v>34</v>
      </c>
      <c r="B116" s="53" t="s">
        <v>232</v>
      </c>
      <c r="C116" s="53">
        <v>2019</v>
      </c>
      <c r="D116" s="176" t="s">
        <v>356</v>
      </c>
      <c r="E116" s="53" t="s">
        <v>378</v>
      </c>
      <c r="F116" s="53" t="s">
        <v>379</v>
      </c>
      <c r="G116" s="53" t="s">
        <v>36</v>
      </c>
      <c r="H116" s="53" t="s">
        <v>160</v>
      </c>
      <c r="I116" s="53" t="s">
        <v>159</v>
      </c>
      <c r="J116" s="53" t="s">
        <v>38</v>
      </c>
      <c r="K116" s="53" t="s">
        <v>161</v>
      </c>
      <c r="L116" s="53">
        <v>1</v>
      </c>
      <c r="N116" s="53">
        <v>4</v>
      </c>
      <c r="O116" s="53">
        <v>0.5</v>
      </c>
      <c r="P116" s="53">
        <v>0.5</v>
      </c>
      <c r="Q116" s="16">
        <f t="shared" si="5"/>
        <v>0.5</v>
      </c>
      <c r="R116" s="53">
        <v>18.100000000000001</v>
      </c>
      <c r="S116" s="53">
        <v>106</v>
      </c>
      <c r="T116" s="16">
        <f t="shared" si="6"/>
        <v>33</v>
      </c>
      <c r="U116" s="53">
        <v>410</v>
      </c>
      <c r="V116" s="16">
        <f t="shared" si="7"/>
        <v>3382.5</v>
      </c>
      <c r="W116" s="53">
        <v>8</v>
      </c>
      <c r="X116" s="53" t="s">
        <v>46</v>
      </c>
      <c r="Y116" s="53" t="s">
        <v>55</v>
      </c>
      <c r="Z116" s="53" t="s">
        <v>69</v>
      </c>
      <c r="AA116" s="53" t="s">
        <v>97</v>
      </c>
      <c r="AB116" s="53" t="s">
        <v>258</v>
      </c>
    </row>
    <row r="117" spans="1:28" x14ac:dyDescent="0.15">
      <c r="A117" s="53" t="s">
        <v>34</v>
      </c>
      <c r="B117" s="53" t="s">
        <v>232</v>
      </c>
      <c r="C117" s="53">
        <v>2019</v>
      </c>
      <c r="D117" s="176" t="s">
        <v>356</v>
      </c>
      <c r="E117" s="53" t="s">
        <v>378</v>
      </c>
      <c r="F117" s="53" t="s">
        <v>379</v>
      </c>
      <c r="G117" s="53" t="s">
        <v>36</v>
      </c>
      <c r="H117" s="53" t="s">
        <v>160</v>
      </c>
      <c r="I117" s="53" t="s">
        <v>159</v>
      </c>
      <c r="J117" s="53" t="s">
        <v>38</v>
      </c>
      <c r="K117" s="53" t="s">
        <v>161</v>
      </c>
      <c r="L117" s="53">
        <v>2</v>
      </c>
      <c r="N117" s="53">
        <v>4</v>
      </c>
      <c r="O117" s="53">
        <v>0.45</v>
      </c>
      <c r="P117" s="53">
        <v>0.45</v>
      </c>
      <c r="Q117" s="16">
        <f t="shared" si="5"/>
        <v>0.45</v>
      </c>
      <c r="R117" s="53">
        <v>20.399999999999999</v>
      </c>
      <c r="S117" s="53">
        <v>107</v>
      </c>
      <c r="T117" s="16">
        <f t="shared" si="6"/>
        <v>33</v>
      </c>
      <c r="U117" s="53">
        <v>410</v>
      </c>
      <c r="V117" s="16">
        <f t="shared" si="7"/>
        <v>3382.5</v>
      </c>
      <c r="W117" s="53">
        <v>8</v>
      </c>
      <c r="X117" s="53" t="s">
        <v>46</v>
      </c>
      <c r="Y117" s="53" t="s">
        <v>55</v>
      </c>
      <c r="Z117" s="53" t="s">
        <v>69</v>
      </c>
      <c r="AA117" s="53" t="s">
        <v>97</v>
      </c>
      <c r="AB117" s="53" t="s">
        <v>258</v>
      </c>
    </row>
    <row r="118" spans="1:28" x14ac:dyDescent="0.15">
      <c r="A118" s="53" t="s">
        <v>34</v>
      </c>
      <c r="B118" s="53" t="s">
        <v>232</v>
      </c>
      <c r="C118" s="53">
        <v>2019</v>
      </c>
      <c r="D118" s="176" t="s">
        <v>356</v>
      </c>
      <c r="E118" s="53" t="s">
        <v>378</v>
      </c>
      <c r="F118" s="53" t="s">
        <v>379</v>
      </c>
      <c r="G118" s="53" t="s">
        <v>36</v>
      </c>
      <c r="H118" s="53" t="s">
        <v>160</v>
      </c>
      <c r="I118" s="53" t="s">
        <v>159</v>
      </c>
      <c r="J118" s="53" t="s">
        <v>38</v>
      </c>
      <c r="K118" s="53" t="s">
        <v>161</v>
      </c>
      <c r="L118" s="53">
        <v>3</v>
      </c>
      <c r="N118" s="53">
        <v>4</v>
      </c>
      <c r="O118" s="53">
        <v>0.55000000000000004</v>
      </c>
      <c r="P118" s="53">
        <v>0.2</v>
      </c>
      <c r="Q118" s="16">
        <f t="shared" si="5"/>
        <v>0.375</v>
      </c>
      <c r="R118" s="53">
        <v>18.3</v>
      </c>
      <c r="S118" s="53">
        <v>113</v>
      </c>
      <c r="T118" s="16">
        <f t="shared" si="6"/>
        <v>30</v>
      </c>
      <c r="U118" s="53">
        <v>410</v>
      </c>
      <c r="V118" s="16">
        <f t="shared" si="7"/>
        <v>3075</v>
      </c>
      <c r="W118" s="53">
        <v>8</v>
      </c>
      <c r="X118" s="53" t="s">
        <v>46</v>
      </c>
      <c r="Y118" s="53" t="s">
        <v>55</v>
      </c>
      <c r="Z118" s="53" t="s">
        <v>69</v>
      </c>
      <c r="AA118" s="53" t="s">
        <v>97</v>
      </c>
      <c r="AB118" s="53" t="s">
        <v>258</v>
      </c>
    </row>
    <row r="119" spans="1:28" x14ac:dyDescent="0.15">
      <c r="A119" s="53" t="s">
        <v>34</v>
      </c>
      <c r="B119" s="53" t="s">
        <v>232</v>
      </c>
      <c r="C119" s="53">
        <v>2019</v>
      </c>
      <c r="D119" s="176" t="s">
        <v>356</v>
      </c>
      <c r="E119" s="53" t="s">
        <v>269</v>
      </c>
      <c r="F119" s="53" t="s">
        <v>380</v>
      </c>
      <c r="G119" s="53" t="s">
        <v>36</v>
      </c>
      <c r="H119" s="53" t="s">
        <v>164</v>
      </c>
      <c r="I119" s="53" t="s">
        <v>159</v>
      </c>
      <c r="J119" s="53" t="s">
        <v>38</v>
      </c>
      <c r="K119" s="53" t="s">
        <v>161</v>
      </c>
      <c r="L119" s="53">
        <v>1</v>
      </c>
      <c r="N119" s="53">
        <v>1</v>
      </c>
      <c r="O119" s="53">
        <v>0.6</v>
      </c>
      <c r="P119" s="53">
        <v>0.6</v>
      </c>
      <c r="Q119" s="16">
        <f t="shared" si="5"/>
        <v>0.6</v>
      </c>
      <c r="R119" s="53">
        <v>19.399999999999999</v>
      </c>
      <c r="S119" s="53">
        <v>120</v>
      </c>
      <c r="T119" s="16">
        <f t="shared" si="6"/>
        <v>30</v>
      </c>
      <c r="U119" s="53">
        <v>138</v>
      </c>
      <c r="V119" s="16">
        <f t="shared" si="7"/>
        <v>4140</v>
      </c>
      <c r="W119" s="53">
        <v>2</v>
      </c>
      <c r="X119" s="53" t="s">
        <v>46</v>
      </c>
      <c r="Y119" s="53" t="s">
        <v>69</v>
      </c>
      <c r="Z119" s="53" t="s">
        <v>90</v>
      </c>
      <c r="AA119" s="53" t="s">
        <v>97</v>
      </c>
      <c r="AB119" s="53" t="s">
        <v>258</v>
      </c>
    </row>
    <row r="120" spans="1:28" x14ac:dyDescent="0.15">
      <c r="A120" s="53" t="s">
        <v>34</v>
      </c>
      <c r="B120" s="53" t="s">
        <v>232</v>
      </c>
      <c r="C120" s="53">
        <v>2019</v>
      </c>
      <c r="D120" s="176" t="s">
        <v>356</v>
      </c>
      <c r="E120" s="53" t="s">
        <v>269</v>
      </c>
      <c r="F120" s="53" t="s">
        <v>380</v>
      </c>
      <c r="G120" s="53" t="s">
        <v>36</v>
      </c>
      <c r="H120" s="53" t="s">
        <v>164</v>
      </c>
      <c r="I120" s="53" t="s">
        <v>159</v>
      </c>
      <c r="J120" s="53" t="s">
        <v>38</v>
      </c>
      <c r="K120" s="53" t="s">
        <v>161</v>
      </c>
      <c r="L120" s="53">
        <v>2</v>
      </c>
      <c r="N120" s="53">
        <v>1</v>
      </c>
      <c r="O120" s="53">
        <v>0.95</v>
      </c>
      <c r="P120" s="53">
        <v>1</v>
      </c>
      <c r="Q120" s="16">
        <f t="shared" si="5"/>
        <v>0.97499999999999998</v>
      </c>
      <c r="R120" s="53">
        <v>14.3</v>
      </c>
      <c r="S120" s="53">
        <v>116</v>
      </c>
      <c r="T120" s="16">
        <f t="shared" si="6"/>
        <v>30</v>
      </c>
      <c r="U120" s="53">
        <v>138</v>
      </c>
      <c r="V120" s="16">
        <f t="shared" si="7"/>
        <v>4140</v>
      </c>
      <c r="W120" s="53">
        <v>2</v>
      </c>
      <c r="X120" s="53" t="s">
        <v>46</v>
      </c>
      <c r="Y120" s="53" t="s">
        <v>69</v>
      </c>
      <c r="Z120" s="53" t="s">
        <v>90</v>
      </c>
      <c r="AA120" s="53" t="s">
        <v>97</v>
      </c>
      <c r="AB120" s="53" t="s">
        <v>258</v>
      </c>
    </row>
    <row r="121" spans="1:28" x14ac:dyDescent="0.15">
      <c r="A121" s="53" t="s">
        <v>34</v>
      </c>
      <c r="B121" s="53" t="s">
        <v>232</v>
      </c>
      <c r="C121" s="53">
        <v>2019</v>
      </c>
      <c r="D121" s="176" t="s">
        <v>356</v>
      </c>
      <c r="E121" s="53" t="s">
        <v>269</v>
      </c>
      <c r="F121" s="53" t="s">
        <v>380</v>
      </c>
      <c r="G121" s="53" t="s">
        <v>36</v>
      </c>
      <c r="H121" s="53" t="s">
        <v>164</v>
      </c>
      <c r="I121" s="53" t="s">
        <v>159</v>
      </c>
      <c r="J121" s="53" t="s">
        <v>38</v>
      </c>
      <c r="K121" s="53" t="s">
        <v>161</v>
      </c>
      <c r="L121" s="53">
        <v>3</v>
      </c>
      <c r="N121" s="53">
        <v>1</v>
      </c>
      <c r="O121" s="53">
        <v>0.9</v>
      </c>
      <c r="P121" s="53">
        <v>0.65</v>
      </c>
      <c r="Q121" s="16">
        <f t="shared" si="5"/>
        <v>0.77500000000000002</v>
      </c>
      <c r="R121" s="53">
        <v>17.899999999999999</v>
      </c>
      <c r="S121" s="53">
        <v>123</v>
      </c>
      <c r="T121" s="16">
        <f t="shared" si="6"/>
        <v>30</v>
      </c>
      <c r="U121" s="53">
        <v>138</v>
      </c>
      <c r="V121" s="16">
        <f t="shared" si="7"/>
        <v>4140</v>
      </c>
      <c r="W121" s="53">
        <v>2</v>
      </c>
      <c r="X121" s="53" t="s">
        <v>46</v>
      </c>
      <c r="Y121" s="53" t="s">
        <v>69</v>
      </c>
      <c r="Z121" s="53" t="s">
        <v>90</v>
      </c>
      <c r="AA121" s="53" t="s">
        <v>97</v>
      </c>
      <c r="AB121" s="53" t="s">
        <v>258</v>
      </c>
    </row>
    <row r="122" spans="1:28" x14ac:dyDescent="0.15">
      <c r="A122" s="53" t="s">
        <v>34</v>
      </c>
      <c r="B122" s="53" t="s">
        <v>232</v>
      </c>
      <c r="C122" s="53">
        <v>2019</v>
      </c>
      <c r="D122" s="176" t="s">
        <v>356</v>
      </c>
      <c r="E122" s="53" t="s">
        <v>269</v>
      </c>
      <c r="F122" s="53" t="s">
        <v>380</v>
      </c>
      <c r="G122" s="53" t="s">
        <v>36</v>
      </c>
      <c r="H122" s="53" t="s">
        <v>164</v>
      </c>
      <c r="I122" s="53" t="s">
        <v>159</v>
      </c>
      <c r="J122" s="53" t="s">
        <v>38</v>
      </c>
      <c r="K122" s="53" t="s">
        <v>161</v>
      </c>
      <c r="L122" s="53">
        <v>1</v>
      </c>
      <c r="N122" s="53">
        <v>5</v>
      </c>
      <c r="O122" s="53">
        <v>0.2</v>
      </c>
      <c r="P122" s="53">
        <v>0.2</v>
      </c>
      <c r="Q122" s="16">
        <f t="shared" si="5"/>
        <v>0.2</v>
      </c>
      <c r="R122" s="53">
        <v>14.6</v>
      </c>
      <c r="S122" s="53">
        <v>80</v>
      </c>
      <c r="T122" s="16">
        <f t="shared" si="6"/>
        <v>39</v>
      </c>
      <c r="U122" s="53">
        <v>378</v>
      </c>
      <c r="V122" s="16">
        <f t="shared" si="7"/>
        <v>2948.3999999999996</v>
      </c>
      <c r="W122" s="53">
        <v>2</v>
      </c>
      <c r="X122" s="53" t="s">
        <v>46</v>
      </c>
      <c r="Y122" s="53" t="s">
        <v>69</v>
      </c>
      <c r="Z122" s="53" t="s">
        <v>90</v>
      </c>
      <c r="AA122" s="53" t="s">
        <v>97</v>
      </c>
      <c r="AB122" s="53" t="s">
        <v>258</v>
      </c>
    </row>
    <row r="123" spans="1:28" x14ac:dyDescent="0.15">
      <c r="A123" s="53" t="s">
        <v>34</v>
      </c>
      <c r="B123" s="53" t="s">
        <v>232</v>
      </c>
      <c r="C123" s="53">
        <v>2019</v>
      </c>
      <c r="D123" s="176" t="s">
        <v>356</v>
      </c>
      <c r="E123" s="53" t="s">
        <v>269</v>
      </c>
      <c r="F123" s="53" t="s">
        <v>380</v>
      </c>
      <c r="G123" s="53" t="s">
        <v>36</v>
      </c>
      <c r="H123" s="53" t="s">
        <v>164</v>
      </c>
      <c r="I123" s="53" t="s">
        <v>159</v>
      </c>
      <c r="J123" s="53" t="s">
        <v>38</v>
      </c>
      <c r="K123" s="53" t="s">
        <v>161</v>
      </c>
      <c r="L123" s="53">
        <v>2</v>
      </c>
      <c r="N123" s="53">
        <v>5</v>
      </c>
      <c r="O123" s="53">
        <v>0.75</v>
      </c>
      <c r="P123" s="53">
        <v>0.85</v>
      </c>
      <c r="Q123" s="16">
        <f t="shared" si="5"/>
        <v>0.8</v>
      </c>
      <c r="R123" s="53">
        <v>16.7</v>
      </c>
      <c r="S123" s="53">
        <v>77</v>
      </c>
      <c r="T123" s="16">
        <f t="shared" si="6"/>
        <v>39</v>
      </c>
      <c r="U123" s="53">
        <v>378</v>
      </c>
      <c r="V123" s="16">
        <f t="shared" si="7"/>
        <v>2948.3999999999996</v>
      </c>
      <c r="W123" s="53">
        <v>2</v>
      </c>
      <c r="X123" s="53" t="s">
        <v>46</v>
      </c>
      <c r="Y123" s="53" t="s">
        <v>69</v>
      </c>
      <c r="Z123" s="53" t="s">
        <v>90</v>
      </c>
      <c r="AA123" s="53" t="s">
        <v>97</v>
      </c>
      <c r="AB123" s="53" t="s">
        <v>258</v>
      </c>
    </row>
    <row r="124" spans="1:28" x14ac:dyDescent="0.15">
      <c r="A124" s="53" t="s">
        <v>34</v>
      </c>
      <c r="B124" s="53" t="s">
        <v>232</v>
      </c>
      <c r="C124" s="53">
        <v>2019</v>
      </c>
      <c r="D124" s="176" t="s">
        <v>356</v>
      </c>
      <c r="E124" s="53" t="s">
        <v>269</v>
      </c>
      <c r="F124" s="53" t="s">
        <v>380</v>
      </c>
      <c r="G124" s="53" t="s">
        <v>36</v>
      </c>
      <c r="H124" s="53" t="s">
        <v>164</v>
      </c>
      <c r="I124" s="53" t="s">
        <v>159</v>
      </c>
      <c r="J124" s="53" t="s">
        <v>38</v>
      </c>
      <c r="K124" s="53" t="s">
        <v>161</v>
      </c>
      <c r="L124" s="53">
        <v>3</v>
      </c>
      <c r="N124" s="53">
        <v>5</v>
      </c>
      <c r="O124" s="53">
        <v>0.7</v>
      </c>
      <c r="P124" s="53">
        <v>0.75</v>
      </c>
      <c r="Q124" s="16">
        <f t="shared" si="5"/>
        <v>0.72499999999999998</v>
      </c>
      <c r="R124" s="53">
        <v>16.7</v>
      </c>
      <c r="S124" s="53">
        <v>73</v>
      </c>
      <c r="T124" s="16">
        <f t="shared" si="6"/>
        <v>42</v>
      </c>
      <c r="U124" s="53">
        <v>378</v>
      </c>
      <c r="V124" s="16">
        <f t="shared" si="7"/>
        <v>3175.2</v>
      </c>
      <c r="W124" s="53">
        <v>2</v>
      </c>
      <c r="X124" s="53" t="s">
        <v>46</v>
      </c>
      <c r="Y124" s="53" t="s">
        <v>69</v>
      </c>
      <c r="Z124" s="53" t="s">
        <v>90</v>
      </c>
      <c r="AA124" s="53" t="s">
        <v>97</v>
      </c>
      <c r="AB124" s="53" t="s">
        <v>258</v>
      </c>
    </row>
    <row r="125" spans="1:28" x14ac:dyDescent="0.15">
      <c r="A125" s="53" t="s">
        <v>34</v>
      </c>
      <c r="B125" s="53" t="s">
        <v>232</v>
      </c>
      <c r="C125" s="53">
        <v>2019</v>
      </c>
      <c r="D125" s="176" t="s">
        <v>356</v>
      </c>
      <c r="E125" s="53" t="s">
        <v>269</v>
      </c>
      <c r="F125" s="53" t="s">
        <v>380</v>
      </c>
      <c r="G125" s="53" t="s">
        <v>36</v>
      </c>
      <c r="H125" s="53" t="s">
        <v>160</v>
      </c>
      <c r="I125" s="53" t="s">
        <v>159</v>
      </c>
      <c r="J125" s="53" t="s">
        <v>38</v>
      </c>
      <c r="K125" s="53" t="s">
        <v>161</v>
      </c>
      <c r="L125" s="53">
        <v>1</v>
      </c>
      <c r="N125" s="53">
        <v>1</v>
      </c>
      <c r="O125" s="53">
        <v>0.2</v>
      </c>
      <c r="P125" s="53">
        <v>0.2</v>
      </c>
      <c r="Q125" s="16">
        <f t="shared" si="5"/>
        <v>0.2</v>
      </c>
      <c r="R125" s="53">
        <v>24.6</v>
      </c>
      <c r="S125" s="53">
        <v>124</v>
      </c>
      <c r="T125" s="16">
        <f t="shared" si="6"/>
        <v>30</v>
      </c>
      <c r="U125" s="53">
        <v>159</v>
      </c>
      <c r="V125" s="16">
        <f t="shared" si="7"/>
        <v>4770</v>
      </c>
      <c r="W125" s="53">
        <v>2</v>
      </c>
      <c r="X125" s="53" t="s">
        <v>46</v>
      </c>
      <c r="Y125" s="53" t="s">
        <v>69</v>
      </c>
      <c r="Z125" s="53" t="s">
        <v>90</v>
      </c>
      <c r="AA125" s="53" t="s">
        <v>97</v>
      </c>
      <c r="AB125" s="53" t="s">
        <v>258</v>
      </c>
    </row>
    <row r="126" spans="1:28" x14ac:dyDescent="0.15">
      <c r="A126" s="53" t="s">
        <v>34</v>
      </c>
      <c r="B126" s="53" t="s">
        <v>232</v>
      </c>
      <c r="C126" s="53">
        <v>2019</v>
      </c>
      <c r="D126" s="176" t="s">
        <v>356</v>
      </c>
      <c r="E126" s="53" t="s">
        <v>269</v>
      </c>
      <c r="F126" s="53" t="s">
        <v>380</v>
      </c>
      <c r="G126" s="53" t="s">
        <v>36</v>
      </c>
      <c r="H126" s="53" t="s">
        <v>160</v>
      </c>
      <c r="I126" s="53" t="s">
        <v>159</v>
      </c>
      <c r="J126" s="53" t="s">
        <v>38</v>
      </c>
      <c r="K126" s="53" t="s">
        <v>161</v>
      </c>
      <c r="L126" s="53">
        <v>2</v>
      </c>
      <c r="N126" s="53">
        <v>1</v>
      </c>
      <c r="O126" s="53">
        <v>0.2</v>
      </c>
      <c r="P126" s="53">
        <v>0.2</v>
      </c>
      <c r="Q126" s="16">
        <f t="shared" si="5"/>
        <v>0.2</v>
      </c>
      <c r="R126" s="53">
        <v>18.8</v>
      </c>
      <c r="S126" s="53">
        <v>126</v>
      </c>
      <c r="T126" s="16">
        <f t="shared" si="6"/>
        <v>30</v>
      </c>
      <c r="U126" s="53">
        <v>159</v>
      </c>
      <c r="V126" s="16">
        <f t="shared" si="7"/>
        <v>4770</v>
      </c>
      <c r="W126" s="53">
        <v>2</v>
      </c>
      <c r="X126" s="53" t="s">
        <v>46</v>
      </c>
      <c r="Y126" s="53" t="s">
        <v>69</v>
      </c>
      <c r="Z126" s="53" t="s">
        <v>90</v>
      </c>
      <c r="AA126" s="53" t="s">
        <v>97</v>
      </c>
      <c r="AB126" s="53" t="s">
        <v>258</v>
      </c>
    </row>
    <row r="127" spans="1:28" x14ac:dyDescent="0.15">
      <c r="A127" s="53" t="s">
        <v>34</v>
      </c>
      <c r="B127" s="53" t="s">
        <v>232</v>
      </c>
      <c r="C127" s="53">
        <v>2019</v>
      </c>
      <c r="D127" s="176" t="s">
        <v>356</v>
      </c>
      <c r="E127" s="53" t="s">
        <v>269</v>
      </c>
      <c r="F127" s="53" t="s">
        <v>380</v>
      </c>
      <c r="G127" s="53" t="s">
        <v>36</v>
      </c>
      <c r="H127" s="53" t="s">
        <v>160</v>
      </c>
      <c r="I127" s="53" t="s">
        <v>159</v>
      </c>
      <c r="J127" s="53" t="s">
        <v>38</v>
      </c>
      <c r="K127" s="53" t="s">
        <v>161</v>
      </c>
      <c r="L127" s="53">
        <v>3</v>
      </c>
      <c r="N127" s="53">
        <v>1</v>
      </c>
      <c r="O127" s="53">
        <v>0.5</v>
      </c>
      <c r="P127" s="53">
        <v>0.45</v>
      </c>
      <c r="Q127" s="16">
        <f t="shared" si="5"/>
        <v>0.47499999999999998</v>
      </c>
      <c r="R127" s="53">
        <v>19.899999999999999</v>
      </c>
      <c r="S127" s="53">
        <v>128</v>
      </c>
      <c r="T127" s="16">
        <f t="shared" si="6"/>
        <v>30</v>
      </c>
      <c r="U127" s="53">
        <v>159</v>
      </c>
      <c r="V127" s="16">
        <f t="shared" si="7"/>
        <v>4770</v>
      </c>
      <c r="W127" s="53">
        <v>2</v>
      </c>
      <c r="X127" s="53" t="s">
        <v>46</v>
      </c>
      <c r="Y127" s="53" t="s">
        <v>69</v>
      </c>
      <c r="Z127" s="53" t="s">
        <v>90</v>
      </c>
      <c r="AA127" s="53" t="s">
        <v>97</v>
      </c>
      <c r="AB127" s="53" t="s">
        <v>258</v>
      </c>
    </row>
    <row r="128" spans="1:28" x14ac:dyDescent="0.15">
      <c r="A128" s="53" t="s">
        <v>34</v>
      </c>
      <c r="B128" s="53" t="s">
        <v>232</v>
      </c>
      <c r="C128" s="53">
        <v>2019</v>
      </c>
      <c r="D128" s="176" t="s">
        <v>356</v>
      </c>
      <c r="E128" s="53" t="s">
        <v>269</v>
      </c>
      <c r="F128" s="53" t="s">
        <v>380</v>
      </c>
      <c r="G128" s="53" t="s">
        <v>36</v>
      </c>
      <c r="H128" s="53" t="s">
        <v>160</v>
      </c>
      <c r="I128" s="53" t="s">
        <v>159</v>
      </c>
      <c r="J128" s="53" t="s">
        <v>38</v>
      </c>
      <c r="K128" s="53" t="s">
        <v>161</v>
      </c>
      <c r="L128" s="53">
        <v>1</v>
      </c>
      <c r="N128" s="53">
        <v>4</v>
      </c>
      <c r="O128" s="53">
        <v>0.5</v>
      </c>
      <c r="P128" s="53">
        <v>0.45</v>
      </c>
      <c r="Q128" s="16">
        <f t="shared" si="5"/>
        <v>0.47499999999999998</v>
      </c>
      <c r="R128" s="53">
        <v>18.2</v>
      </c>
      <c r="S128" s="53">
        <v>88</v>
      </c>
      <c r="T128" s="16">
        <f t="shared" si="6"/>
        <v>36</v>
      </c>
      <c r="U128" s="53">
        <v>518</v>
      </c>
      <c r="V128" s="16">
        <f t="shared" si="7"/>
        <v>4662</v>
      </c>
      <c r="W128" s="53">
        <v>2</v>
      </c>
      <c r="X128" s="53" t="s">
        <v>46</v>
      </c>
      <c r="Y128" s="53" t="s">
        <v>69</v>
      </c>
      <c r="Z128" s="53" t="s">
        <v>90</v>
      </c>
      <c r="AA128" s="53" t="s">
        <v>97</v>
      </c>
      <c r="AB128" s="53" t="s">
        <v>258</v>
      </c>
    </row>
    <row r="129" spans="1:28" x14ac:dyDescent="0.15">
      <c r="A129" s="53" t="s">
        <v>34</v>
      </c>
      <c r="B129" s="53" t="s">
        <v>232</v>
      </c>
      <c r="C129" s="53">
        <v>2019</v>
      </c>
      <c r="D129" s="176" t="s">
        <v>356</v>
      </c>
      <c r="E129" s="53" t="s">
        <v>269</v>
      </c>
      <c r="F129" s="53" t="s">
        <v>380</v>
      </c>
      <c r="G129" s="53" t="s">
        <v>36</v>
      </c>
      <c r="H129" s="53" t="s">
        <v>160</v>
      </c>
      <c r="I129" s="53" t="s">
        <v>159</v>
      </c>
      <c r="J129" s="53" t="s">
        <v>38</v>
      </c>
      <c r="K129" s="53" t="s">
        <v>161</v>
      </c>
      <c r="L129" s="53">
        <v>2</v>
      </c>
      <c r="N129" s="53">
        <v>4</v>
      </c>
      <c r="O129" s="53">
        <v>0.5</v>
      </c>
      <c r="P129" s="53">
        <v>0.55000000000000004</v>
      </c>
      <c r="Q129" s="16">
        <f t="shared" si="5"/>
        <v>0.52500000000000002</v>
      </c>
      <c r="R129" s="53">
        <v>17.399999999999999</v>
      </c>
      <c r="S129" s="53">
        <v>90</v>
      </c>
      <c r="T129" s="16">
        <f t="shared" si="6"/>
        <v>36</v>
      </c>
      <c r="U129" s="53">
        <v>518</v>
      </c>
      <c r="V129" s="16">
        <f t="shared" si="7"/>
        <v>4662</v>
      </c>
      <c r="W129" s="53">
        <v>2</v>
      </c>
      <c r="X129" s="53" t="s">
        <v>46</v>
      </c>
      <c r="Y129" s="53" t="s">
        <v>69</v>
      </c>
      <c r="Z129" s="53" t="s">
        <v>90</v>
      </c>
      <c r="AA129" s="53" t="s">
        <v>97</v>
      </c>
      <c r="AB129" s="53" t="s">
        <v>258</v>
      </c>
    </row>
    <row r="130" spans="1:28" x14ac:dyDescent="0.15">
      <c r="A130" s="53" t="s">
        <v>34</v>
      </c>
      <c r="B130" s="53" t="s">
        <v>232</v>
      </c>
      <c r="C130" s="53">
        <v>2019</v>
      </c>
      <c r="D130" s="176" t="s">
        <v>356</v>
      </c>
      <c r="E130" s="53" t="s">
        <v>269</v>
      </c>
      <c r="F130" s="53" t="s">
        <v>380</v>
      </c>
      <c r="G130" s="53" t="s">
        <v>36</v>
      </c>
      <c r="H130" s="53" t="s">
        <v>160</v>
      </c>
      <c r="I130" s="53" t="s">
        <v>159</v>
      </c>
      <c r="J130" s="53" t="s">
        <v>38</v>
      </c>
      <c r="K130" s="53" t="s">
        <v>161</v>
      </c>
      <c r="L130" s="53">
        <v>3</v>
      </c>
      <c r="N130" s="53">
        <v>4</v>
      </c>
      <c r="O130" s="53">
        <v>0.45</v>
      </c>
      <c r="P130" s="53">
        <v>0.45</v>
      </c>
      <c r="Q130" s="16">
        <f t="shared" si="5"/>
        <v>0.45</v>
      </c>
      <c r="R130" s="53">
        <v>17.7</v>
      </c>
      <c r="S130" s="53">
        <v>83</v>
      </c>
      <c r="T130" s="16">
        <f t="shared" si="6"/>
        <v>39</v>
      </c>
      <c r="U130" s="53">
        <v>518</v>
      </c>
      <c r="V130" s="16">
        <f t="shared" si="7"/>
        <v>5050.5</v>
      </c>
      <c r="W130" s="53">
        <v>2</v>
      </c>
      <c r="X130" s="53" t="s">
        <v>46</v>
      </c>
      <c r="Y130" s="53" t="s">
        <v>69</v>
      </c>
      <c r="Z130" s="53" t="s">
        <v>90</v>
      </c>
      <c r="AA130" s="53" t="s">
        <v>97</v>
      </c>
      <c r="AB130" s="53" t="s">
        <v>258</v>
      </c>
    </row>
  </sheetData>
  <autoFilter ref="A1:BA82" xr:uid="{00000000-0009-0000-0000-000000000000}"/>
  <phoneticPr fontId="3"/>
  <dataValidations count="12">
    <dataValidation type="list" allowBlank="1" showInputMessage="1" showErrorMessage="1" sqref="K2:K720" xr:uid="{0A387547-CCAE-4B09-835F-EDCE78BB936E}">
      <formula1>$AR$2:$AR$23</formula1>
    </dataValidation>
    <dataValidation type="list" allowBlank="1" showInputMessage="1" showErrorMessage="1" sqref="A2:A407" xr:uid="{AD727744-61DC-48F0-8932-41754110ABAE}">
      <formula1>$AE$2:$AE$19</formula1>
    </dataValidation>
    <dataValidation type="list" allowBlank="1" showInputMessage="1" showErrorMessage="1" sqref="Y2:AA408" xr:uid="{DA340F1B-291E-40D7-8398-F128BA705162}">
      <formula1>$AV$2:$AV$21</formula1>
    </dataValidation>
    <dataValidation type="list" allowBlank="1" showInputMessage="1" showErrorMessage="1" sqref="H2:H408" xr:uid="{AA529ED1-8F20-48C9-BBC2-CA45404E6873}">
      <formula1>$AL$2:$AL$8</formula1>
    </dataValidation>
    <dataValidation type="list" allowBlank="1" showInputMessage="1" showErrorMessage="1" sqref="X2:X408" xr:uid="{F953BDEB-C34E-4142-B8C5-1D846D77971E}">
      <formula1>$AT$2:$AT$3</formula1>
    </dataValidation>
    <dataValidation type="list" allowBlank="1" showInputMessage="1" showErrorMessage="1" sqref="G2:G408" xr:uid="{96441A22-CB7D-4C4D-8157-1769E815FE18}">
      <formula1>$AJ$2:$AJ$4</formula1>
    </dataValidation>
    <dataValidation type="list" allowBlank="1" showInputMessage="1" showErrorMessage="1" sqref="I2:I408" xr:uid="{C7979B5A-AD40-4256-A61D-C8C1D37C2F08}">
      <formula1>$AN$5:$AN$6</formula1>
    </dataValidation>
    <dataValidation type="list" allowBlank="1" showInputMessage="1" showErrorMessage="1" sqref="J2:J408" xr:uid="{DB505CEF-F585-45AC-AEC2-89FA365CD4A4}">
      <formula1>$AP$2:$AP$24</formula1>
    </dataValidation>
    <dataValidation type="list" allowBlank="1" showInputMessage="1" showErrorMessage="1" sqref="F2:F408" xr:uid="{09390E7A-119D-4CDF-AD9C-5EE9120EEC78}">
      <formula1>$AH$2:$AH$11</formula1>
    </dataValidation>
    <dataValidation type="list" allowBlank="1" showInputMessage="1" showErrorMessage="1" sqref="E2:E408" xr:uid="{7E3A7F06-A5A7-4BB5-8909-43EC26EC478A}">
      <formula1>$AG$2:$AG$11</formula1>
    </dataValidation>
    <dataValidation type="decimal" allowBlank="1" showInputMessage="1" showErrorMessage="1" error="硬度を正しく入力して下さい。" sqref="O2:P49 O59:P408" xr:uid="{4C9C7B2D-00C9-4E4D-AE8C-2FB3E7142D72}">
      <formula1>0</formula1>
      <formula2>7</formula2>
    </dataValidation>
    <dataValidation operator="equal" allowBlank="1" showInputMessage="1" showErrorMessage="1" sqref="B2:B130" xr:uid="{7FFDB125-37F9-4684-A4BC-79FD2301A4AB}"/>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85FF865-B33C-4B1B-A748-F95771F3A816}"/>
</file>

<file path=customXml/itemProps2.xml><?xml version="1.0" encoding="utf-8"?>
<ds:datastoreItem xmlns:ds="http://schemas.openxmlformats.org/officeDocument/2006/customXml" ds:itemID="{33532BCB-5E6B-4E1B-94C4-6911FBD0C06F}"/>
</file>

<file path=customXml/itemProps3.xml><?xml version="1.0" encoding="utf-8"?>
<ds:datastoreItem xmlns:ds="http://schemas.openxmlformats.org/officeDocument/2006/customXml" ds:itemID="{02ED4ACB-6AFF-47DF-8FDF-EE1D38106ED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2019-07-16T04:03:14Z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