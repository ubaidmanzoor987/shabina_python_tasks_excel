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28"/>
  <workbookPr defaultThemeVersion="124226"/>
  <mc:AlternateContent xmlns:mc="http://schemas.openxmlformats.org/markup-compatibility/2006">
    <mc:Choice Requires="x15">
      <x15ac:absPath xmlns:x15ac="http://schemas.microsoft.com/office/spreadsheetml/2010/11/ac" url="\\192.168.11.200\000_全国共有\2-Zespri\品質調査\2019\50週\"/>
    </mc:Choice>
  </mc:AlternateContent>
  <xr:revisionPtr revIDLastSave="0" documentId="13_ncr:1_{E7569C4C-9CD9-4B98-943E-6FAE2C061301}" xr6:coauthVersionLast="45" xr6:coauthVersionMax="45"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fukuoka!$A$1:$BA$124</definedName>
    <definedName name="_xlnm._FilterDatabase" localSheetId="4" hidden="1">hiroshima!$A$1:$BA$88</definedName>
    <definedName name="_xlnm._FilterDatabase" localSheetId="1" hidden="1">miyagi!$A$1:$BA$303</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'tokyo-west(kato)'!$A$1:$BA$149</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73" i="24" l="1"/>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24" i="22" l="1"/>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93" i="22"/>
  <c r="T93" i="22"/>
  <c r="Q93" i="22"/>
  <c r="V92" i="22"/>
  <c r="T92" i="22"/>
  <c r="Q92" i="22"/>
  <c r="V91" i="22"/>
  <c r="T91" i="22"/>
  <c r="Q91" i="22"/>
  <c r="V90" i="22"/>
  <c r="T90" i="22"/>
  <c r="Q90" i="22"/>
  <c r="V89" i="22"/>
  <c r="T89" i="22"/>
  <c r="Q89" i="22"/>
  <c r="V88" i="22"/>
  <c r="T88" i="22"/>
  <c r="Q88" i="22"/>
  <c r="V87" i="22"/>
  <c r="T87" i="22"/>
  <c r="Q87" i="22"/>
  <c r="V86" i="22"/>
  <c r="T86" i="22"/>
  <c r="Q86" i="22"/>
  <c r="V85" i="22"/>
  <c r="T85" i="22"/>
  <c r="Q85" i="22"/>
  <c r="V84" i="22"/>
  <c r="T84" i="22"/>
  <c r="Q84" i="22"/>
  <c r="V83" i="22"/>
  <c r="T83" i="22"/>
  <c r="Q83" i="22"/>
  <c r="V82" i="22"/>
  <c r="T82" i="22"/>
  <c r="Q82" i="22"/>
  <c r="V81" i="22"/>
  <c r="T81" i="22"/>
  <c r="Q81" i="22"/>
  <c r="V80" i="22"/>
  <c r="T80" i="22"/>
  <c r="Q80" i="22"/>
  <c r="V79" i="22"/>
  <c r="T79" i="22"/>
  <c r="Q79" i="22"/>
  <c r="V78" i="22"/>
  <c r="T78" i="22"/>
  <c r="Q78" i="22"/>
  <c r="V77" i="22"/>
  <c r="T77" i="22"/>
  <c r="Q77" i="22"/>
  <c r="V76" i="22"/>
  <c r="T76" i="22"/>
  <c r="Q76" i="22"/>
  <c r="V75" i="22"/>
  <c r="T75" i="22"/>
  <c r="Q75" i="22"/>
  <c r="V74" i="22"/>
  <c r="T74" i="22"/>
  <c r="Q74" i="22"/>
  <c r="V73" i="22"/>
  <c r="T73" i="22"/>
  <c r="Q73" i="22"/>
  <c r="V52" i="22"/>
  <c r="T52" i="22"/>
  <c r="Q52" i="22"/>
  <c r="V51" i="22"/>
  <c r="T51" i="22"/>
  <c r="Q51" i="22"/>
  <c r="V50" i="22"/>
  <c r="T50" i="22"/>
  <c r="Q50"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88" i="21" l="1"/>
  <c r="V88" i="21" s="1"/>
  <c r="Q88" i="21"/>
  <c r="T87" i="21"/>
  <c r="V87" i="21" s="1"/>
  <c r="Q87" i="21"/>
  <c r="T86" i="21"/>
  <c r="V86" i="21" s="1"/>
  <c r="Q86" i="21"/>
  <c r="T85" i="21"/>
  <c r="V85" i="21" s="1"/>
  <c r="Q85" i="21"/>
  <c r="T84" i="21"/>
  <c r="V84" i="21" s="1"/>
  <c r="Q84" i="21"/>
  <c r="T83" i="21"/>
  <c r="V83" i="21" s="1"/>
  <c r="Q83" i="21"/>
  <c r="T82" i="21"/>
  <c r="V82" i="21" s="1"/>
  <c r="Q82" i="21"/>
  <c r="T81" i="21"/>
  <c r="V81" i="21" s="1"/>
  <c r="Q81" i="21"/>
  <c r="T80" i="21"/>
  <c r="V80" i="21" s="1"/>
  <c r="Q80" i="21"/>
  <c r="T79" i="21"/>
  <c r="V79" i="21" s="1"/>
  <c r="Q79" i="21"/>
  <c r="T78" i="21"/>
  <c r="V78" i="21" s="1"/>
  <c r="Q78" i="21"/>
  <c r="T77" i="21"/>
  <c r="V77" i="21" s="1"/>
  <c r="Q77" i="21"/>
  <c r="T76" i="21"/>
  <c r="V76" i="21" s="1"/>
  <c r="Q76" i="21"/>
  <c r="T75" i="21"/>
  <c r="V75" i="21" s="1"/>
  <c r="Q75" i="21"/>
  <c r="T74" i="21"/>
  <c r="V74" i="21" s="1"/>
  <c r="Q74" i="21"/>
  <c r="T73" i="21"/>
  <c r="V73" i="21" s="1"/>
  <c r="Q73" i="21"/>
  <c r="T72" i="21"/>
  <c r="V72" i="21" s="1"/>
  <c r="Q72" i="21"/>
  <c r="T71" i="21"/>
  <c r="V71" i="21" s="1"/>
  <c r="Q71" i="21"/>
  <c r="T70" i="21"/>
  <c r="V70" i="21" s="1"/>
  <c r="Q70" i="21"/>
  <c r="T69" i="21"/>
  <c r="V69" i="21" s="1"/>
  <c r="Q69" i="21"/>
  <c r="T68" i="21"/>
  <c r="V68" i="21" s="1"/>
  <c r="Q68"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03" i="18" l="1"/>
  <c r="T302" i="18"/>
  <c r="T301" i="18"/>
  <c r="T300" i="18"/>
  <c r="T299" i="18"/>
  <c r="T298" i="18"/>
  <c r="T297" i="18"/>
  <c r="T296" i="18"/>
  <c r="T295" i="18"/>
  <c r="T294" i="18"/>
  <c r="T293" i="18"/>
  <c r="T292" i="18"/>
  <c r="T291" i="18"/>
  <c r="T290" i="18"/>
  <c r="T289" i="18"/>
  <c r="T288" i="18"/>
  <c r="T287" i="18"/>
  <c r="T286" i="18"/>
  <c r="T285" i="18"/>
  <c r="T284" i="18"/>
  <c r="V283" i="18"/>
  <c r="T283" i="18"/>
  <c r="T282" i="18"/>
  <c r="V282" i="18" s="1"/>
  <c r="V281" i="18"/>
  <c r="T281" i="18"/>
  <c r="V280" i="18"/>
  <c r="T280" i="18"/>
  <c r="V279" i="18"/>
  <c r="T279" i="18"/>
  <c r="T278" i="18"/>
  <c r="V278" i="18" s="1"/>
  <c r="V277" i="18"/>
  <c r="T277" i="18"/>
  <c r="T276" i="18"/>
  <c r="V276" i="18" s="1"/>
  <c r="V275" i="18"/>
  <c r="T275" i="18"/>
  <c r="Q275" i="18"/>
  <c r="T274" i="18"/>
  <c r="V274" i="18" s="1"/>
  <c r="Q274" i="18"/>
  <c r="T273" i="18"/>
  <c r="V273" i="18" s="1"/>
  <c r="Q273" i="18"/>
  <c r="V272" i="18"/>
  <c r="T272" i="18"/>
  <c r="Q272" i="18"/>
  <c r="V271" i="18"/>
  <c r="T271" i="18"/>
  <c r="Q271" i="18"/>
  <c r="T270" i="18"/>
  <c r="V270" i="18" s="1"/>
  <c r="Q270" i="18"/>
  <c r="T269" i="18"/>
  <c r="V269" i="18" s="1"/>
  <c r="Q269" i="18"/>
  <c r="V268" i="18"/>
  <c r="T268" i="18"/>
  <c r="Q268" i="18"/>
  <c r="V267" i="18"/>
  <c r="T267" i="18"/>
  <c r="Q267" i="18"/>
  <c r="T266" i="18"/>
  <c r="V266" i="18" s="1"/>
  <c r="Q266" i="18"/>
  <c r="T265" i="18"/>
  <c r="V265" i="18" s="1"/>
  <c r="Q265" i="18"/>
  <c r="V264" i="18"/>
  <c r="T264" i="18"/>
  <c r="Q264" i="18"/>
  <c r="V263" i="18"/>
  <c r="T263" i="18"/>
  <c r="Q263" i="18"/>
  <c r="T262" i="18"/>
  <c r="V262" i="18" s="1"/>
  <c r="Q262" i="18"/>
  <c r="T261" i="18"/>
  <c r="V261" i="18" s="1"/>
  <c r="Q261" i="18"/>
  <c r="V260" i="18"/>
  <c r="T260" i="18"/>
  <c r="Q260" i="18"/>
  <c r="V259" i="18"/>
  <c r="T259" i="18"/>
  <c r="Q259" i="18"/>
  <c r="T258" i="18"/>
  <c r="V258" i="18" s="1"/>
  <c r="Q258" i="18"/>
  <c r="T257" i="18"/>
  <c r="V257" i="18" s="1"/>
  <c r="Q257" i="18"/>
  <c r="V256" i="18"/>
  <c r="T256" i="18"/>
  <c r="Q256" i="18"/>
  <c r="V255" i="18"/>
  <c r="T255" i="18"/>
  <c r="Q255" i="18"/>
  <c r="T254" i="18"/>
  <c r="V254" i="18" s="1"/>
  <c r="Q254" i="18"/>
  <c r="T253" i="18"/>
  <c r="V253" i="18" s="1"/>
  <c r="Q253" i="18"/>
  <c r="V252" i="18"/>
  <c r="T252" i="18"/>
  <c r="Q252" i="18"/>
  <c r="V251" i="18"/>
  <c r="T251" i="18"/>
  <c r="Q251" i="18"/>
  <c r="T250" i="18"/>
  <c r="V250" i="18" s="1"/>
  <c r="Q250" i="18"/>
  <c r="T249" i="18"/>
  <c r="V249" i="18" s="1"/>
  <c r="Q249" i="18"/>
  <c r="V248" i="18"/>
  <c r="T248" i="18"/>
  <c r="Q248" i="18"/>
  <c r="V247" i="18"/>
  <c r="T247" i="18"/>
  <c r="Q247" i="18"/>
  <c r="T246" i="18"/>
  <c r="V246" i="18" s="1"/>
  <c r="Q246" i="18"/>
  <c r="T245" i="18"/>
  <c r="V245" i="18" s="1"/>
  <c r="Q245" i="18"/>
  <c r="V244" i="18"/>
  <c r="T244" i="18"/>
  <c r="Q244" i="18"/>
  <c r="V243" i="18"/>
  <c r="T243" i="18"/>
  <c r="Q243" i="18"/>
  <c r="T242" i="18"/>
  <c r="V242" i="18" s="1"/>
  <c r="Q242" i="18"/>
  <c r="T241" i="18"/>
  <c r="V241" i="18" s="1"/>
  <c r="Q241" i="18"/>
  <c r="V240" i="18"/>
  <c r="T240" i="18"/>
  <c r="Q240" i="18"/>
  <c r="V239" i="18"/>
  <c r="T239" i="18"/>
  <c r="Q239" i="18"/>
  <c r="T238" i="18"/>
  <c r="V238" i="18" s="1"/>
  <c r="Q238" i="18"/>
  <c r="T237" i="18"/>
  <c r="V237" i="18" s="1"/>
  <c r="Q237" i="18"/>
  <c r="V236" i="18"/>
  <c r="T236" i="18"/>
  <c r="Q236" i="18"/>
  <c r="V235" i="18"/>
  <c r="T235" i="18"/>
  <c r="Q235" i="18"/>
  <c r="T234" i="18"/>
  <c r="V234" i="18" s="1"/>
  <c r="Q234" i="18"/>
  <c r="T233" i="18"/>
  <c r="V233" i="18" s="1"/>
  <c r="Q233" i="18"/>
  <c r="V232" i="18"/>
  <c r="T232" i="18"/>
  <c r="Q232" i="18"/>
  <c r="V231" i="18"/>
  <c r="T231" i="18"/>
  <c r="Q231" i="18"/>
  <c r="T230" i="18"/>
  <c r="V230" i="18" s="1"/>
  <c r="Q230" i="18"/>
  <c r="T229" i="18"/>
  <c r="V229" i="18" s="1"/>
  <c r="Q229" i="18"/>
  <c r="V228" i="18"/>
  <c r="T228" i="18"/>
  <c r="Q228" i="18"/>
  <c r="V227" i="18"/>
  <c r="T227" i="18"/>
  <c r="Q227" i="18"/>
  <c r="T226" i="18"/>
  <c r="V226" i="18" s="1"/>
  <c r="Q226" i="18"/>
  <c r="T225" i="18"/>
  <c r="V225" i="18" s="1"/>
  <c r="Q225" i="18"/>
  <c r="V224" i="18"/>
  <c r="T224" i="18"/>
  <c r="Q224" i="18"/>
  <c r="V223" i="18"/>
  <c r="T223" i="18"/>
  <c r="Q223" i="18"/>
  <c r="T222" i="18"/>
  <c r="V222" i="18" s="1"/>
  <c r="Q222" i="18"/>
  <c r="T221" i="18"/>
  <c r="V221" i="18" s="1"/>
  <c r="Q221" i="18"/>
  <c r="V220" i="18"/>
  <c r="T220" i="18"/>
  <c r="Q220" i="18"/>
  <c r="V219" i="18"/>
  <c r="T219" i="18"/>
  <c r="Q219" i="18"/>
  <c r="T218" i="18"/>
  <c r="V218" i="18" s="1"/>
  <c r="Q218" i="18"/>
  <c r="T217" i="18"/>
  <c r="V217" i="18" s="1"/>
  <c r="Q217" i="18"/>
  <c r="V216" i="18"/>
  <c r="T216" i="18"/>
  <c r="Q216" i="18"/>
  <c r="V215" i="18"/>
  <c r="T215" i="18"/>
  <c r="Q215" i="18"/>
  <c r="T214" i="18"/>
  <c r="V214" i="18" s="1"/>
  <c r="Q214" i="18"/>
  <c r="T213" i="18"/>
  <c r="V213" i="18" s="1"/>
  <c r="Q213" i="18"/>
  <c r="V212" i="18"/>
  <c r="T212" i="18"/>
  <c r="Q212" i="18"/>
  <c r="V211" i="18"/>
  <c r="T211" i="18"/>
  <c r="Q211" i="18"/>
  <c r="T210" i="18"/>
  <c r="V210" i="18" s="1"/>
  <c r="Q210" i="18"/>
  <c r="T209" i="18"/>
  <c r="V209" i="18" s="1"/>
  <c r="Q209" i="18"/>
  <c r="V208" i="18"/>
  <c r="T208" i="18"/>
  <c r="Q208" i="18"/>
  <c r="V207" i="18"/>
  <c r="T207" i="18"/>
  <c r="Q207" i="18"/>
  <c r="T206" i="18"/>
  <c r="V206" i="18" s="1"/>
  <c r="Q206" i="18"/>
  <c r="T205" i="18"/>
  <c r="V205" i="18" s="1"/>
  <c r="Q205" i="18"/>
  <c r="V204" i="18"/>
  <c r="T204" i="18"/>
  <c r="Q204" i="18"/>
  <c r="V203" i="18"/>
  <c r="T203" i="18"/>
  <c r="Q203" i="18"/>
  <c r="T202" i="18"/>
  <c r="V202" i="18" s="1"/>
  <c r="Q202" i="18"/>
  <c r="T201" i="18"/>
  <c r="V201" i="18" s="1"/>
  <c r="Q201" i="18"/>
  <c r="V200" i="18"/>
  <c r="T200" i="18"/>
  <c r="Q200" i="18"/>
  <c r="V199" i="18"/>
  <c r="T199" i="18"/>
  <c r="Q199" i="18"/>
  <c r="T198" i="18"/>
  <c r="V198" i="18" s="1"/>
  <c r="Q198" i="18"/>
  <c r="T197" i="18"/>
  <c r="V197" i="18" s="1"/>
  <c r="Q197" i="18"/>
  <c r="V196" i="18"/>
  <c r="T196" i="18"/>
  <c r="Q196" i="18"/>
  <c r="V195" i="18"/>
  <c r="T195" i="18"/>
  <c r="Q195" i="18"/>
  <c r="T194" i="18"/>
  <c r="V194" i="18" s="1"/>
  <c r="Q194" i="18"/>
  <c r="T193" i="18"/>
  <c r="V193" i="18" s="1"/>
  <c r="Q193" i="18"/>
  <c r="V192" i="18"/>
  <c r="T192" i="18"/>
  <c r="Q192" i="18"/>
  <c r="V191" i="18"/>
  <c r="T191" i="18"/>
  <c r="Q191" i="18"/>
  <c r="T190" i="18"/>
  <c r="V190" i="18" s="1"/>
  <c r="Q190" i="18"/>
  <c r="T189" i="18"/>
  <c r="V189" i="18" s="1"/>
  <c r="Q189" i="18"/>
  <c r="V188" i="18"/>
  <c r="T188" i="18"/>
  <c r="Q188" i="18"/>
  <c r="V187" i="18"/>
  <c r="T187" i="18"/>
  <c r="Q187" i="18"/>
  <c r="T186" i="18"/>
  <c r="V186" i="18" s="1"/>
  <c r="Q186" i="18"/>
  <c r="T185" i="18"/>
  <c r="V185" i="18" s="1"/>
  <c r="Q185" i="18"/>
  <c r="V184" i="18"/>
  <c r="T184" i="18"/>
  <c r="Q184" i="18"/>
  <c r="V183" i="18"/>
  <c r="T183" i="18"/>
  <c r="Q183" i="18"/>
  <c r="T182" i="18"/>
  <c r="V182" i="18" s="1"/>
  <c r="Q182" i="18"/>
  <c r="T181" i="18"/>
  <c r="V181" i="18" s="1"/>
  <c r="Q181" i="18"/>
  <c r="V180" i="18"/>
  <c r="T180" i="18"/>
  <c r="Q180" i="18"/>
  <c r="V179" i="18"/>
  <c r="T179" i="18"/>
  <c r="Q179" i="18"/>
  <c r="T178" i="18"/>
  <c r="V178" i="18" s="1"/>
  <c r="Q178" i="18"/>
  <c r="T177" i="18"/>
  <c r="V177" i="18" s="1"/>
  <c r="Q177" i="18"/>
  <c r="V176" i="18"/>
  <c r="T176" i="18"/>
  <c r="Q176" i="18"/>
  <c r="V175" i="18"/>
  <c r="T175" i="18"/>
  <c r="Q175" i="18"/>
  <c r="T174" i="18"/>
  <c r="V174" i="18" s="1"/>
  <c r="Q174" i="18"/>
  <c r="T173" i="18"/>
  <c r="V173" i="18" s="1"/>
  <c r="Q173" i="18"/>
  <c r="V172" i="18"/>
  <c r="T172" i="18"/>
  <c r="Q172" i="18"/>
  <c r="V171" i="18"/>
  <c r="T171" i="18"/>
  <c r="Q171" i="18"/>
  <c r="T170" i="18"/>
  <c r="V170" i="18" s="1"/>
  <c r="Q170" i="18"/>
  <c r="T169" i="18"/>
  <c r="V169" i="18" s="1"/>
  <c r="Q169" i="18"/>
  <c r="V168" i="18"/>
  <c r="T168" i="18"/>
  <c r="Q168" i="18"/>
  <c r="V167" i="18"/>
  <c r="T167" i="18"/>
  <c r="Q167" i="18"/>
  <c r="T166" i="18"/>
  <c r="V166" i="18" s="1"/>
  <c r="Q166" i="18"/>
  <c r="T165" i="18"/>
  <c r="V165" i="18" s="1"/>
  <c r="Q165" i="18"/>
  <c r="V164" i="18"/>
  <c r="T164" i="18"/>
  <c r="Q164" i="18"/>
  <c r="V163" i="18"/>
  <c r="T163" i="18"/>
  <c r="Q163" i="18"/>
  <c r="T162" i="18"/>
  <c r="V162" i="18" s="1"/>
  <c r="Q162" i="18"/>
  <c r="T161" i="18"/>
  <c r="V161" i="18" s="1"/>
  <c r="Q161" i="18"/>
  <c r="V160" i="18"/>
  <c r="T160" i="18"/>
  <c r="Q160" i="18"/>
  <c r="V159" i="18"/>
  <c r="T159" i="18"/>
  <c r="Q159" i="18"/>
  <c r="T158" i="18"/>
  <c r="V158" i="18" s="1"/>
  <c r="Q158" i="18"/>
  <c r="T157" i="18"/>
  <c r="V157" i="18" s="1"/>
  <c r="Q157" i="18"/>
  <c r="V156" i="18"/>
  <c r="T156" i="18"/>
  <c r="Q156" i="18"/>
  <c r="V155" i="18"/>
  <c r="T155" i="18"/>
  <c r="Q155" i="18"/>
  <c r="T154" i="18"/>
  <c r="V154" i="18" s="1"/>
  <c r="Q154" i="18"/>
  <c r="T153" i="18"/>
  <c r="V153" i="18" s="1"/>
  <c r="Q153" i="18"/>
  <c r="V152" i="18"/>
  <c r="T152" i="18"/>
  <c r="Q152" i="18"/>
  <c r="V151" i="18"/>
  <c r="T151" i="18"/>
  <c r="Q151" i="18"/>
  <c r="T150" i="18"/>
  <c r="V150" i="18" s="1"/>
  <c r="Q150" i="18"/>
  <c r="T149" i="18"/>
  <c r="V149" i="18" s="1"/>
  <c r="Q149" i="18"/>
  <c r="V148" i="18"/>
  <c r="T148" i="18"/>
  <c r="Q148" i="18"/>
  <c r="V147" i="18"/>
  <c r="T147" i="18"/>
  <c r="Q147" i="18"/>
  <c r="T146" i="18"/>
  <c r="V146" i="18" s="1"/>
  <c r="Q146" i="18"/>
  <c r="T145" i="18"/>
  <c r="V145" i="18" s="1"/>
  <c r="Q145" i="18"/>
  <c r="V144" i="18"/>
  <c r="T144" i="18"/>
  <c r="Q144" i="18"/>
  <c r="V143" i="18"/>
  <c r="T143" i="18"/>
  <c r="Q143" i="18"/>
  <c r="T142" i="18"/>
  <c r="V142" i="18" s="1"/>
  <c r="Q142" i="18"/>
  <c r="T141" i="18"/>
  <c r="V141" i="18" s="1"/>
  <c r="Q141" i="18"/>
  <c r="V140" i="18"/>
  <c r="T140" i="18"/>
  <c r="Q140" i="18"/>
  <c r="V139" i="18"/>
  <c r="T139" i="18"/>
  <c r="Q139" i="18"/>
  <c r="T138" i="18"/>
  <c r="V138" i="18" s="1"/>
  <c r="Q138" i="18"/>
  <c r="T137" i="18"/>
  <c r="V137" i="18" s="1"/>
  <c r="Q137" i="18"/>
  <c r="V136" i="18"/>
  <c r="T136" i="18"/>
  <c r="Q136" i="18"/>
  <c r="V135" i="18"/>
  <c r="T135" i="18"/>
  <c r="Q135" i="18"/>
  <c r="T134" i="18"/>
  <c r="V134" i="18" s="1"/>
  <c r="Q134" i="18"/>
  <c r="T133" i="18"/>
  <c r="V133" i="18" s="1"/>
  <c r="Q133" i="18"/>
  <c r="V132" i="18"/>
  <c r="T132" i="18"/>
  <c r="Q132" i="18"/>
  <c r="V131" i="18"/>
  <c r="T131" i="18"/>
  <c r="Q131" i="18"/>
  <c r="T130" i="18"/>
  <c r="V130" i="18" s="1"/>
  <c r="Q130" i="18"/>
  <c r="T129" i="18"/>
  <c r="V129" i="18" s="1"/>
  <c r="Q129" i="18"/>
  <c r="V128" i="18"/>
  <c r="T128" i="18"/>
  <c r="Q128" i="18"/>
  <c r="V127" i="18"/>
  <c r="T127" i="18"/>
  <c r="Q127" i="18"/>
  <c r="T126" i="18"/>
  <c r="V126" i="18" s="1"/>
  <c r="Q126" i="18"/>
  <c r="T125" i="18"/>
  <c r="V125" i="18" s="1"/>
  <c r="Q125" i="18"/>
  <c r="V124" i="18"/>
  <c r="T124" i="18"/>
  <c r="Q124" i="18"/>
  <c r="V123" i="18"/>
  <c r="T123" i="18"/>
  <c r="Q123" i="18"/>
  <c r="T122" i="18"/>
  <c r="V122" i="18" s="1"/>
  <c r="Q122" i="18"/>
  <c r="T121" i="18"/>
  <c r="V121" i="18" s="1"/>
  <c r="Q121" i="18"/>
  <c r="V120" i="18"/>
  <c r="T120" i="18"/>
  <c r="Q120" i="18"/>
  <c r="V119" i="18"/>
  <c r="T119" i="18"/>
  <c r="Q119" i="18"/>
  <c r="T118" i="18"/>
  <c r="V118" i="18" s="1"/>
  <c r="Q118" i="18"/>
  <c r="T117" i="18"/>
  <c r="V117" i="18" s="1"/>
  <c r="Q117" i="18"/>
  <c r="V116" i="18"/>
  <c r="T116" i="18"/>
  <c r="Q116" i="18"/>
  <c r="V115" i="18"/>
  <c r="T115" i="18"/>
  <c r="Q115" i="18"/>
  <c r="T114" i="18"/>
  <c r="V114" i="18" s="1"/>
  <c r="Q114" i="18"/>
  <c r="T113" i="18"/>
  <c r="V113" i="18" s="1"/>
  <c r="Q113" i="18"/>
  <c r="V112" i="18"/>
  <c r="T112" i="18"/>
  <c r="Q112" i="18"/>
  <c r="V111" i="18"/>
  <c r="T111" i="18"/>
  <c r="Q111" i="18"/>
  <c r="T110" i="18"/>
  <c r="V110" i="18" s="1"/>
  <c r="Q110" i="18"/>
  <c r="T109" i="18"/>
  <c r="V109" i="18" s="1"/>
  <c r="Q109" i="18"/>
  <c r="V108" i="18"/>
  <c r="T108" i="18"/>
  <c r="Q108" i="18"/>
  <c r="V107" i="18"/>
  <c r="T107" i="18"/>
  <c r="Q107" i="18"/>
  <c r="T106" i="18"/>
  <c r="V106" i="18" s="1"/>
  <c r="Q106" i="18"/>
  <c r="T105" i="18"/>
  <c r="V105" i="18" s="1"/>
  <c r="Q105" i="18"/>
  <c r="V104" i="18"/>
  <c r="T104" i="18"/>
  <c r="Q104" i="18"/>
  <c r="V103" i="18"/>
  <c r="T103" i="18"/>
  <c r="Q103" i="18"/>
  <c r="T102" i="18"/>
  <c r="V102" i="18" s="1"/>
  <c r="Q102" i="18"/>
  <c r="T101" i="18"/>
  <c r="V101" i="18" s="1"/>
  <c r="Q101" i="18"/>
  <c r="V100" i="18"/>
  <c r="T100" i="18"/>
  <c r="Q100" i="18"/>
  <c r="V99" i="18"/>
  <c r="T99" i="18"/>
  <c r="Q99" i="18"/>
  <c r="T98" i="18"/>
  <c r="V98" i="18" s="1"/>
  <c r="Q98" i="18"/>
  <c r="T97" i="18"/>
  <c r="V97" i="18" s="1"/>
  <c r="Q97" i="18"/>
  <c r="V96" i="18"/>
  <c r="T96" i="18"/>
  <c r="Q96" i="18"/>
  <c r="V95" i="18"/>
  <c r="T95" i="18"/>
  <c r="Q95" i="18"/>
  <c r="T94" i="18"/>
  <c r="V94" i="18" s="1"/>
  <c r="Q94" i="18"/>
  <c r="T93" i="18"/>
  <c r="V93" i="18" s="1"/>
  <c r="Q93" i="18"/>
  <c r="V92" i="18"/>
  <c r="T92" i="18"/>
  <c r="Q92" i="18"/>
  <c r="T91" i="18"/>
  <c r="V91" i="18" s="1"/>
  <c r="Q91" i="18"/>
  <c r="T90" i="18"/>
  <c r="V90" i="18" s="1"/>
  <c r="Q90" i="18"/>
  <c r="T89" i="18"/>
  <c r="V89" i="18" s="1"/>
  <c r="Q89" i="18"/>
  <c r="T88" i="18"/>
  <c r="V88" i="18" s="1"/>
  <c r="Q88" i="18"/>
  <c r="T87" i="18"/>
  <c r="V87" i="18" s="1"/>
  <c r="Q87" i="18"/>
  <c r="T86" i="18"/>
  <c r="V86" i="18" s="1"/>
  <c r="Q86" i="18"/>
  <c r="T85" i="18"/>
  <c r="V85" i="18" s="1"/>
  <c r="Q85" i="18"/>
  <c r="T84" i="18"/>
  <c r="V84" i="18" s="1"/>
  <c r="Q84" i="18"/>
  <c r="T83" i="18"/>
  <c r="V83" i="18" s="1"/>
  <c r="Q83" i="18"/>
  <c r="T82" i="18"/>
  <c r="V82" i="18" s="1"/>
  <c r="Q82" i="18"/>
  <c r="T81" i="18"/>
  <c r="V81" i="18" s="1"/>
  <c r="Q81" i="18"/>
  <c r="T80" i="18"/>
  <c r="V80" i="18" s="1"/>
  <c r="Q80" i="18"/>
  <c r="T79" i="18"/>
  <c r="Q79" i="18"/>
  <c r="T78" i="18"/>
  <c r="Q78" i="18"/>
  <c r="T77" i="18"/>
  <c r="Q77" i="18"/>
  <c r="T76" i="18"/>
  <c r="V76" i="18" s="1"/>
  <c r="Q76" i="18"/>
  <c r="T75" i="18"/>
  <c r="V75" i="18" s="1"/>
  <c r="Q75" i="18"/>
  <c r="T74" i="18"/>
  <c r="V74" i="18" s="1"/>
  <c r="Q74" i="18"/>
  <c r="T73" i="18"/>
  <c r="V73" i="18" s="1"/>
  <c r="Q73" i="18"/>
  <c r="T72" i="18"/>
  <c r="V72" i="18" s="1"/>
  <c r="Q72" i="18"/>
  <c r="T71" i="18"/>
  <c r="V71" i="18" s="1"/>
  <c r="Q71" i="18"/>
  <c r="T70" i="18"/>
  <c r="Q70" i="18"/>
  <c r="T69" i="18"/>
  <c r="Q69" i="18"/>
  <c r="T68" i="18"/>
  <c r="Q68" i="18"/>
  <c r="T67" i="18"/>
  <c r="Q67" i="18"/>
  <c r="T66" i="18"/>
  <c r="Q66" i="18"/>
  <c r="T65" i="18"/>
  <c r="Q65" i="18"/>
  <c r="T64" i="18"/>
  <c r="Q64" i="18"/>
  <c r="T63" i="18"/>
  <c r="Q63" i="18"/>
  <c r="T62" i="18"/>
  <c r="Q62" i="18"/>
  <c r="T61" i="18"/>
  <c r="Q61" i="18"/>
  <c r="T60" i="18"/>
  <c r="Q60" i="18"/>
  <c r="T59" i="18"/>
  <c r="Q59" i="18"/>
  <c r="T58" i="18"/>
  <c r="Q58" i="18"/>
  <c r="T57" i="18"/>
  <c r="Q57" i="18"/>
  <c r="T56" i="18"/>
  <c r="Q56" i="18"/>
  <c r="T55" i="18"/>
  <c r="V55" i="18" s="1"/>
  <c r="Q55" i="18"/>
  <c r="T54" i="18"/>
  <c r="V54" i="18" s="1"/>
  <c r="Q54" i="18"/>
  <c r="T53" i="18"/>
  <c r="V53" i="18" s="1"/>
  <c r="Q53" i="18"/>
  <c r="T52" i="18"/>
  <c r="V52" i="18" s="1"/>
  <c r="Q52" i="18"/>
  <c r="T51" i="18"/>
  <c r="V51" i="18" s="1"/>
  <c r="Q51" i="18"/>
  <c r="T50" i="18"/>
  <c r="V50" i="18" s="1"/>
  <c r="Q50" i="18"/>
  <c r="T49" i="18"/>
  <c r="V49" i="18" s="1"/>
  <c r="Q49" i="18"/>
  <c r="T48" i="18"/>
  <c r="V48" i="18" s="1"/>
  <c r="Q48" i="18"/>
  <c r="T47" i="18"/>
  <c r="V47" i="18" s="1"/>
  <c r="Q47" i="18"/>
  <c r="T46" i="18"/>
  <c r="V46" i="18" s="1"/>
  <c r="Q46" i="18"/>
  <c r="T45" i="18"/>
  <c r="V45" i="18" s="1"/>
  <c r="Q45" i="18"/>
  <c r="T44" i="18"/>
  <c r="V44" i="18" s="1"/>
  <c r="Q44" i="18"/>
  <c r="T43" i="18"/>
  <c r="V43" i="18" s="1"/>
  <c r="Q43" i="18"/>
  <c r="T42" i="18"/>
  <c r="V42" i="18" s="1"/>
  <c r="Q42" i="18"/>
  <c r="T41" i="18"/>
  <c r="V41" i="18" s="1"/>
  <c r="Q41" i="18"/>
  <c r="T40" i="18"/>
  <c r="V40" i="18" s="1"/>
  <c r="Q40" i="18"/>
  <c r="T39" i="18"/>
  <c r="V39" i="18" s="1"/>
  <c r="Q39" i="18"/>
  <c r="T38" i="18"/>
  <c r="V38" i="18" s="1"/>
  <c r="Q38" i="18"/>
  <c r="T37" i="18"/>
  <c r="V37" i="18" s="1"/>
  <c r="Q37" i="18"/>
  <c r="T36" i="18"/>
  <c r="V36" i="18" s="1"/>
  <c r="Q36" i="18"/>
  <c r="T35" i="18"/>
  <c r="V35" i="18" s="1"/>
  <c r="Q35" i="18"/>
  <c r="T34" i="18"/>
  <c r="V34" i="18" s="1"/>
  <c r="Q34" i="18"/>
  <c r="T33" i="18"/>
  <c r="V33" i="18" s="1"/>
  <c r="Q33" i="18"/>
  <c r="T32" i="18"/>
  <c r="V32" i="18" s="1"/>
  <c r="Q32" i="18"/>
  <c r="T31" i="18"/>
  <c r="V31" i="18" s="1"/>
  <c r="Q31" i="18"/>
  <c r="T30" i="18"/>
  <c r="V30" i="18" s="1"/>
  <c r="Q30" i="18"/>
  <c r="T29" i="18"/>
  <c r="V29" i="18" s="1"/>
  <c r="Q29" i="18"/>
  <c r="T28" i="18"/>
  <c r="V28" i="18" s="1"/>
  <c r="T27" i="18"/>
  <c r="V27" i="18" s="1"/>
  <c r="V26" i="18"/>
  <c r="T26" i="18"/>
  <c r="T25" i="18"/>
  <c r="V25" i="18" s="1"/>
  <c r="T24" i="18"/>
  <c r="V24" i="18" s="1"/>
  <c r="T23" i="18"/>
  <c r="V23" i="18" s="1"/>
  <c r="T22" i="18"/>
  <c r="V22" i="18" s="1"/>
  <c r="T21" i="18"/>
  <c r="V21" i="18" s="1"/>
  <c r="V20" i="18"/>
  <c r="T20" i="18"/>
  <c r="T19" i="18"/>
  <c r="V19" i="18" s="1"/>
  <c r="T18" i="18"/>
  <c r="V18" i="18" s="1"/>
  <c r="T17" i="18"/>
  <c r="V17" i="18" s="1"/>
  <c r="T16" i="18"/>
  <c r="V16" i="18" s="1"/>
  <c r="T15" i="18"/>
  <c r="V15" i="18" s="1"/>
  <c r="V14" i="18"/>
  <c r="T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s="1"/>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共通 ユーザー</author>
  </authors>
  <commentList>
    <comment ref="R1" authorId="0" shapeId="0" xr:uid="{C535A492-1E20-4717-983B-D33F4DD79D29}">
      <text>
        <r>
          <rPr>
            <sz val="9"/>
            <color indexed="81"/>
            <rFont val="ＭＳ Ｐゴシック"/>
            <family val="3"/>
            <charset val="128"/>
          </rPr>
          <t xml:space="preserve">10～20の間
</t>
        </r>
      </text>
    </comment>
  </commentList>
</comments>
</file>

<file path=xl/sharedStrings.xml><?xml version="1.0" encoding="utf-8"?>
<sst xmlns="http://schemas.openxmlformats.org/spreadsheetml/2006/main" count="8896" uniqueCount="385">
  <si>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</si>
  <si>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</si>
  <si>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</si>
  <si>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</si>
  <si>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</si>
  <si>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</si>
  <si>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</si>
  <si>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</si>
  <si>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</si>
  <si>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</si>
  <si>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</si>
  <si>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</si>
  <si>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</si>
  <si>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</si>
  <si>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</si>
  <si>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</si>
  <si>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</si>
  <si>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</si>
  <si>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</si>
  <si>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</si>
  <si>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</si>
  <si>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</si>
  <si>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</si>
  <si>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</si>
  <si>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</si>
  <si>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</si>
  <si>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</si>
  <si>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</si>
  <si>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</si>
  <si>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</si>
  <si>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</si>
  <si>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</si>
  <si>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</si>
  <si>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</si>
  <si>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</si>
  <si>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</si>
  <si>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</si>
  <si>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</si>
  <si>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</si>
  <si>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</si>
  <si>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</si>
  <si>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</si>
  <si>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</si>
  <si>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</si>
  <si>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</si>
  <si>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</si>
  <si>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</si>
  <si>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</si>
  <si>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</si>
  <si>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</si>
  <si>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</si>
  <si>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</si>
  <si>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</si>
  <si>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</si>
  <si>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</si>
  <si>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</si>
  <si>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</si>
  <si>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</si>
  <si>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</si>
  <si>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</si>
  <si>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</si>
  <si>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</si>
  <si>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</si>
  <si>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</si>
  <si>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</si>
  <si>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</si>
  <si>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</si>
  <si>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</si>
  <si>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</si>
  <si>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</si>
  <si>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</si>
  <si>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</si>
  <si>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</si>
  <si>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</si>
  <si>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</si>
  <si>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</si>
  <si>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</si>
  <si>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</si>
  <si>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</si>
  <si>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</si>
  <si>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</si>
  <si>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</si>
  <si>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</si>
  <si>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</si>
  <si>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</si>
  <si>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</si>
  <si>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</si>
  <si>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</si>
  <si>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</si>
  <si>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</si>
  <si>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</si>
  <si>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</si>
  <si>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</si>
  <si>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</si>
  <si>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</si>
  <si>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</si>
  <si>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</si>
  <si>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</si>
  <si>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</si>
  <si>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</si>
  <si>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</si>
  <si>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</si>
  <si>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</si>
  <si>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</si>
  <si>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</si>
  <si>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</si>
  <si>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</si>
  <si>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</si>
  <si>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</si>
  <si>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</si>
  <si>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</si>
  <si>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</si>
  <si>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</si>
  <si>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</si>
  <si>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</si>
  <si>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</si>
  <si>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</si>
  <si>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</si>
  <si>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</si>
  <si>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</si>
  <si>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</si>
  <si>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</si>
  <si>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</si>
  <si>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</si>
  <si>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</si>
  <si>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</si>
  <si>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</si>
  <si>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</si>
  <si>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</si>
  <si>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</si>
  <si>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</si>
  <si>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</si>
  <si>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</si>
  <si>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</si>
  <si>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</si>
  <si>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</si>
  <si>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</si>
  <si>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</si>
  <si>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</si>
  <si>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</si>
  <si>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</si>
  <si>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</si>
  <si>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</si>
  <si>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</si>
  <si>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</si>
  <si>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</si>
  <si>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</si>
  <si>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</si>
  <si>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</si>
  <si>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</si>
  <si>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</si>
  <si>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</si>
  <si>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</si>
  <si>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</si>
  <si>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</si>
  <si>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</si>
  <si>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</si>
  <si>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</si>
  <si>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</si>
  <si>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</si>
  <si>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</si>
  <si>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</si>
  <si>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</si>
  <si>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</si>
  <si>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</si>
  <si>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OB</t>
  </si>
  <si>
    <t>11.12.2019</t>
  </si>
  <si>
    <t>11.12.2019</t>
    <phoneticPr fontId="3"/>
  </si>
  <si>
    <t>GK</t>
  </si>
  <si>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</si>
  <si>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</si>
  <si>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</si>
  <si>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</si>
  <si>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</si>
  <si>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</si>
  <si>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</si>
  <si>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</si>
  <si>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</si>
  <si>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</si>
  <si>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</si>
  <si>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</si>
  <si>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</si>
  <si>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</si>
  <si>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</si>
  <si>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</si>
  <si>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10.12.2019</t>
    <phoneticPr fontId="16"/>
  </si>
  <si>
    <t>利府店</t>
  </si>
  <si>
    <t>その他グリーン</t>
  </si>
  <si>
    <t>みやぎ生協</t>
  </si>
  <si>
    <t>その他ゴールド</t>
  </si>
  <si>
    <t>10.12.2019</t>
  </si>
  <si>
    <t>杉の入店</t>
  </si>
  <si>
    <t>その他レッド</t>
  </si>
  <si>
    <t>減農薬栽培</t>
  </si>
  <si>
    <t>D'lish</t>
  </si>
  <si>
    <t>中国</t>
  </si>
  <si>
    <t>ウジエ</t>
  </si>
  <si>
    <t>Del Monte</t>
  </si>
  <si>
    <t>塩釜店</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</si>
  <si>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</si>
  <si>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</si>
  <si>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</si>
  <si>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</si>
  <si>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</si>
  <si>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</si>
  <si>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</si>
  <si>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</si>
  <si>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</si>
  <si>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</si>
  <si>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</si>
  <si>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</si>
  <si>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</si>
  <si>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</si>
  <si>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</si>
  <si>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</si>
  <si>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</si>
  <si>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</si>
  <si>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</si>
  <si>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</si>
  <si>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</si>
  <si>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</si>
  <si>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</si>
  <si>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</si>
  <si>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</si>
  <si>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</si>
  <si>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</si>
  <si>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</si>
  <si>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</si>
  <si>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</si>
  <si>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</si>
  <si>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キラキラ</t>
  </si>
  <si>
    <t>グリーンアイ</t>
  </si>
  <si>
    <t>ＪＡ大阪</t>
  </si>
  <si>
    <t>ＪＡ神奈川</t>
  </si>
  <si>
    <t>宮崎</t>
  </si>
  <si>
    <t>ＪＡ石川</t>
  </si>
  <si>
    <t>JP</t>
    <phoneticPr fontId="3"/>
  </si>
  <si>
    <t>12.12.2019</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</si>
  <si>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</si>
  <si>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</si>
  <si>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</si>
  <si>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</si>
  <si>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</si>
  <si>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</si>
  <si>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</si>
  <si>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</si>
  <si>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</si>
  <si>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アオキスーパー</t>
  </si>
  <si>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</si>
  <si>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</si>
  <si>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</si>
  <si>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</si>
  <si>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</si>
  <si>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</si>
  <si>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カネトク</t>
    <phoneticPr fontId="4"/>
  </si>
  <si>
    <t>長久手店</t>
  </si>
  <si>
    <t>ピアゴ</t>
  </si>
  <si>
    <t>長久手南店</t>
  </si>
  <si>
    <t>カネスエ</t>
  </si>
  <si>
    <t>ラフランス</t>
    <phoneticPr fontId="4"/>
  </si>
  <si>
    <t>カネトク</t>
  </si>
  <si>
    <t>フェルナ</t>
  </si>
  <si>
    <t>アピタ</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</si>
  <si>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</si>
  <si>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</si>
  <si>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13.12.2019</t>
  </si>
  <si>
    <t>コノミヤ</t>
  </si>
  <si>
    <t>深井店</t>
  </si>
  <si>
    <t>上野芝店</t>
  </si>
  <si>
    <t>デイリーカナート</t>
  </si>
  <si>
    <t>向ヶ丘店</t>
  </si>
  <si>
    <t>松源</t>
  </si>
  <si>
    <t>北条店</t>
  </si>
  <si>
    <t>ライフ</t>
  </si>
  <si>
    <t>キンショー</t>
  </si>
  <si>
    <t>東湊店</t>
  </si>
  <si>
    <t>万代</t>
  </si>
  <si>
    <t>津久野店</t>
  </si>
  <si>
    <t>イズミヤ</t>
  </si>
  <si>
    <t>泉北店</t>
  </si>
  <si>
    <t>ダイエーグルメシティ</t>
  </si>
  <si>
    <t>県名</t>
    <phoneticPr fontId="3"/>
  </si>
  <si>
    <t>チェーン名</t>
    <phoneticPr fontId="3"/>
  </si>
  <si>
    <t>品種</t>
    <phoneticPr fontId="3"/>
  </si>
  <si>
    <t>12.13.2019</t>
    <phoneticPr fontId="3"/>
  </si>
  <si>
    <t>福や</t>
  </si>
  <si>
    <t>鉄砲町店</t>
  </si>
  <si>
    <t>みかん</t>
    <phoneticPr fontId="3"/>
  </si>
  <si>
    <t>鉄砲町店</t>
    <rPh sb="3" eb="4">
      <t>テン</t>
    </rPh>
    <phoneticPr fontId="3"/>
  </si>
  <si>
    <t>ユアーズ</t>
  </si>
  <si>
    <t>十日市店</t>
    <rPh sb="3" eb="4">
      <t>テン</t>
    </rPh>
    <phoneticPr fontId="3"/>
  </si>
  <si>
    <t>スパーク</t>
  </si>
  <si>
    <t>御幸の杜店</t>
    <rPh sb="3" eb="4">
      <t>モリ</t>
    </rPh>
    <rPh sb="4" eb="5">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</si>
  <si>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</si>
  <si>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</si>
  <si>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</si>
  <si>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</si>
  <si>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</si>
  <si>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メロン</t>
    <phoneticPr fontId="4"/>
  </si>
  <si>
    <t>桃</t>
    <phoneticPr fontId="4"/>
  </si>
  <si>
    <t>ブドウ</t>
    <phoneticPr fontId="4"/>
  </si>
  <si>
    <t>みかん</t>
    <phoneticPr fontId="4"/>
  </si>
  <si>
    <t>マンゴー</t>
    <phoneticPr fontId="3"/>
  </si>
  <si>
    <t>山陽マルナカ</t>
  </si>
  <si>
    <t>白島店</t>
    <rPh sb="0" eb="2">
      <t>ハクシマ</t>
    </rPh>
    <rPh sb="2" eb="3">
      <t>テン</t>
    </rPh>
    <phoneticPr fontId="3"/>
  </si>
  <si>
    <t>アルク</t>
  </si>
  <si>
    <t>東千田店</t>
  </si>
  <si>
    <t>フレスタ</t>
  </si>
  <si>
    <t>吉島店</t>
  </si>
  <si>
    <t>観音店</t>
  </si>
  <si>
    <t>フジグラン</t>
  </si>
  <si>
    <t>販売
ユニット
個数</t>
    <phoneticPr fontId="4"/>
  </si>
  <si>
    <t>U/P JPY</t>
    <phoneticPr fontId="4"/>
  </si>
  <si>
    <t>マルショク</t>
    <phoneticPr fontId="3"/>
  </si>
  <si>
    <t>野間大池</t>
    <rPh sb="0" eb="2">
      <t>ノマ</t>
    </rPh>
    <rPh sb="2" eb="4">
      <t>オオイケ</t>
    </rPh>
    <phoneticPr fontId="3"/>
  </si>
  <si>
    <t>柿</t>
    <rPh sb="0" eb="1">
      <t>カキ</t>
    </rPh>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</si>
  <si>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</si>
  <si>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</si>
  <si>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</si>
  <si>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</si>
  <si>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</si>
  <si>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</si>
  <si>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</si>
  <si>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</si>
  <si>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</si>
  <si>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</si>
  <si>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りんご</t>
    <phoneticPr fontId="3"/>
  </si>
  <si>
    <t>佐賀</t>
    <rPh sb="0" eb="2">
      <t>サガ</t>
    </rPh>
    <phoneticPr fontId="3"/>
  </si>
  <si>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</si>
  <si>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</si>
  <si>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</si>
  <si>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</si>
  <si>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</si>
  <si>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</si>
  <si>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</si>
  <si>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</si>
  <si>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</si>
  <si>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</si>
  <si>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</si>
  <si>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</si>
  <si>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</si>
  <si>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</si>
  <si>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</si>
  <si>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</si>
  <si>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</si>
  <si>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</si>
  <si>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</si>
  <si>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</si>
  <si>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</si>
  <si>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</si>
  <si>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</si>
  <si>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</si>
  <si>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</si>
  <si>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</si>
  <si>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</si>
  <si>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店舗名</t>
    <phoneticPr fontId="3"/>
  </si>
  <si>
    <t>サミット</t>
  </si>
  <si>
    <t>久が原食品館</t>
  </si>
  <si>
    <t>東急ストア</t>
  </si>
  <si>
    <t>蒲田</t>
  </si>
  <si>
    <t>マルエツ</t>
  </si>
  <si>
    <t>大森西</t>
  </si>
  <si>
    <t>大森</t>
  </si>
  <si>
    <t>カドヤ</t>
  </si>
  <si>
    <t>大井町</t>
  </si>
  <si>
    <t>品川シーサイド</t>
  </si>
  <si>
    <t>大崎ニューシティ</t>
  </si>
  <si>
    <t>２番人気
果実</t>
    <phoneticPr fontId="3"/>
  </si>
  <si>
    <t>ビッグ・エー</t>
  </si>
  <si>
    <t>江戸川本一色店</t>
  </si>
  <si>
    <t>松江店</t>
  </si>
  <si>
    <t>マックスバリュエクスプレス</t>
  </si>
  <si>
    <t>松島店</t>
    <rPh sb="1" eb="2">
      <t>シマ</t>
    </rPh>
    <phoneticPr fontId="3"/>
  </si>
  <si>
    <t>ヤマイチ</t>
  </si>
  <si>
    <t>中央店</t>
    <rPh sb="0" eb="2">
      <t>チュウオウ</t>
    </rPh>
    <phoneticPr fontId="3"/>
  </si>
  <si>
    <t>コモディイイダ</t>
  </si>
  <si>
    <t>西瑞江店</t>
  </si>
  <si>
    <t>いなげや</t>
  </si>
  <si>
    <t>江戸川春江店</t>
  </si>
  <si>
    <t>鹿骨店</t>
  </si>
  <si>
    <t>東武ストア</t>
  </si>
  <si>
    <t>新小岩店</t>
  </si>
  <si>
    <t>サミットストア</t>
  </si>
  <si>
    <t>江戸川区役所前店</t>
    <rPh sb="0" eb="6">
      <t>エドガワクヤクショ</t>
    </rPh>
    <rPh sb="6" eb="7">
      <t>マエ</t>
    </rPh>
    <rPh sb="7" eb="8">
      <t>ミセ</t>
    </rPh>
    <phoneticPr fontId="3"/>
  </si>
  <si>
    <t>江戸川中央店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</si>
</sst>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1"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0"/>
      <name val="ＭＳ ゴシック"/>
      <family val="3"/>
      <charset val="128"/>
    </font>
    <font>
      <sz val="11"/>
      <color indexed="8"/>
      <name val="ＭＳ Ｐゴシック"/>
      <family val="3"/>
      <charset val="128"/>
    </font>
    <font>
      <sz val="9"/>
      <color indexed="81"/>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cellStyleXfs>
  <cellXfs count="178">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7" fillId="0" borderId="22" xfId="2" applyFont="1" applyBorder="1" applyAlignment="1">
      <alignment horizontal="center" vertical="center"/>
    </xf>
    <xf numFmtId="0" fontId="17" fillId="0" borderId="23" xfId="2"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7" fillId="0" borderId="12" xfId="2" applyFont="1" applyBorder="1" applyAlignment="1">
      <alignment horizontal="center" vertical="center"/>
    </xf>
    <xf numFmtId="178" fontId="1" fillId="3" borderId="0" xfId="1" applyNumberFormat="1" applyFill="1"/>
    <xf numFmtId="0" fontId="1" fillId="0" borderId="18" xfId="1" applyBorder="1"/>
    <xf numFmtId="178" fontId="1" fillId="2" borderId="0" xfId="1" applyNumberFormat="1" applyFill="1"/>
    <xf numFmtId="0" fontId="15" fillId="0" borderId="0" xfId="2" applyFont="1">
      <alignment vertical="center"/>
    </xf>
    <xf numFmtId="0" fontId="15" fillId="0" borderId="0" xfId="1" applyFont="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8" fillId="0" borderId="0" xfId="1" applyNumberFormat="1" applyFont="1"/>
    <xf numFmtId="0" fontId="1" fillId="0" borderId="12" xfId="1" applyBorder="1" applyAlignment="1">
      <alignment shrinkToFit="1"/>
    </xf>
    <xf numFmtId="0" fontId="18"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2" xfId="1" applyFont="1" applyBorder="1"/>
    <xf numFmtId="14" fontId="18" fillId="0" borderId="0" xfId="1" applyNumberFormat="1" applyFont="1" applyAlignment="1">
      <alignment horizontal="center"/>
    </xf>
    <xf numFmtId="0" fontId="20"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S59" sqref="S59"/>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167</v>
      </c>
      <c r="E2" s="15" t="s">
        <v>141</v>
      </c>
      <c r="F2" s="15" t="s">
        <v>149</v>
      </c>
      <c r="G2" s="15" t="s">
        <v>36</v>
      </c>
      <c r="H2" s="15" t="s">
        <v>164</v>
      </c>
      <c r="I2" s="15" t="s">
        <v>159</v>
      </c>
      <c r="J2" s="15" t="s">
        <v>38</v>
      </c>
      <c r="K2" s="7" t="s">
        <v>161</v>
      </c>
      <c r="L2" s="7">
        <v>1</v>
      </c>
      <c r="N2" s="47">
        <v>1</v>
      </c>
      <c r="O2" s="15">
        <v>0.5</v>
      </c>
      <c r="P2" s="15">
        <v>0.55000000000000004</v>
      </c>
      <c r="Q2" s="51">
        <f t="shared" ref="Q2:Q65" si="0">IF(OR(O2="",P2=""),"",AVERAGE(O2,P2))</f>
        <v>0.52500000000000002</v>
      </c>
      <c r="R2" s="15">
        <v>13.8</v>
      </c>
      <c r="S2" s="15">
        <v>89</v>
      </c>
      <c r="T2" s="38">
        <f t="shared" ref="T2:T59" si="1">IF(H2="","",IF(OR(H2="GREEN",H2="GK"),IF(S2&gt;=$AX$2,VLOOKUP(S2,$AX$2:$AY$12,2,1),""),IF(S2&gt;=$AZ$2,VLOOKUP(S2,$AZ$2:$BA$12,2,1),"")))</f>
        <v>36</v>
      </c>
      <c r="U2" s="15">
        <v>48</v>
      </c>
      <c r="V2" s="38">
        <f t="shared" ref="V2:V65" si="2">IF(OR(N2="",U2="",T2=""),"",U2/N2*T2)</f>
        <v>1728</v>
      </c>
      <c r="W2" s="15">
        <v>4</v>
      </c>
      <c r="X2" s="15" t="s">
        <v>39</v>
      </c>
      <c r="Y2" s="15" t="s">
        <v>84</v>
      </c>
      <c r="Z2" s="15" t="s">
        <v>90</v>
      </c>
      <c r="AA2" s="15" t="s">
        <v>50</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166</v>
      </c>
      <c r="E3" s="15" t="s">
        <v>141</v>
      </c>
      <c r="F3" s="7" t="s">
        <v>149</v>
      </c>
      <c r="G3" s="7" t="s">
        <v>36</v>
      </c>
      <c r="H3" s="15" t="s">
        <v>164</v>
      </c>
      <c r="I3" s="7" t="s">
        <v>159</v>
      </c>
      <c r="J3" s="15" t="s">
        <v>38</v>
      </c>
      <c r="K3" s="7" t="s">
        <v>161</v>
      </c>
      <c r="L3" s="7">
        <v>2</v>
      </c>
      <c r="N3" s="7">
        <v>1</v>
      </c>
      <c r="O3" s="34">
        <v>0.6</v>
      </c>
      <c r="P3" s="7">
        <v>0.65</v>
      </c>
      <c r="Q3" s="52">
        <f t="shared" si="0"/>
        <v>0.625</v>
      </c>
      <c r="R3" s="7">
        <v>14.2</v>
      </c>
      <c r="S3" s="7">
        <v>83</v>
      </c>
      <c r="T3" s="16">
        <f t="shared" si="1"/>
        <v>39</v>
      </c>
      <c r="U3" s="15">
        <v>48</v>
      </c>
      <c r="V3" s="16">
        <f t="shared" si="2"/>
        <v>1872</v>
      </c>
      <c r="W3" s="15">
        <v>4</v>
      </c>
      <c r="X3" s="15" t="s">
        <v>39</v>
      </c>
      <c r="Y3" s="54" t="s">
        <v>84</v>
      </c>
      <c r="Z3" s="54" t="s">
        <v>90</v>
      </c>
      <c r="AA3" s="54" t="s">
        <v>50</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166</v>
      </c>
      <c r="E4" s="15" t="s">
        <v>141</v>
      </c>
      <c r="F4" s="7" t="s">
        <v>149</v>
      </c>
      <c r="G4" s="7" t="s">
        <v>36</v>
      </c>
      <c r="H4" s="15" t="s">
        <v>164</v>
      </c>
      <c r="I4" s="7" t="s">
        <v>159</v>
      </c>
      <c r="J4" s="15" t="s">
        <v>38</v>
      </c>
      <c r="K4" s="7" t="s">
        <v>161</v>
      </c>
      <c r="L4" s="7">
        <v>3</v>
      </c>
      <c r="N4" s="7">
        <v>1</v>
      </c>
      <c r="O4" s="7">
        <v>0.55000000000000004</v>
      </c>
      <c r="P4" s="7">
        <v>0.55000000000000004</v>
      </c>
      <c r="Q4" s="52">
        <f t="shared" si="0"/>
        <v>0.55000000000000004</v>
      </c>
      <c r="R4" s="7">
        <v>13.4</v>
      </c>
      <c r="S4" s="7">
        <v>85</v>
      </c>
      <c r="T4" s="16">
        <f t="shared" si="1"/>
        <v>36</v>
      </c>
      <c r="U4" s="15">
        <v>48</v>
      </c>
      <c r="V4" s="16">
        <f t="shared" si="2"/>
        <v>1728</v>
      </c>
      <c r="W4" s="15">
        <v>4</v>
      </c>
      <c r="X4" s="54" t="s">
        <v>39</v>
      </c>
      <c r="Y4" s="54" t="s">
        <v>84</v>
      </c>
      <c r="Z4" s="54" t="s">
        <v>90</v>
      </c>
      <c r="AA4" s="54" t="s">
        <v>50</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166</v>
      </c>
      <c r="E5" s="54" t="s">
        <v>141</v>
      </c>
      <c r="F5" s="53" t="s">
        <v>149</v>
      </c>
      <c r="G5" s="7" t="s">
        <v>36</v>
      </c>
      <c r="H5" s="54" t="s">
        <v>168</v>
      </c>
      <c r="I5" s="7" t="s">
        <v>159</v>
      </c>
      <c r="J5" s="15" t="s">
        <v>38</v>
      </c>
      <c r="K5" s="7" t="s">
        <v>54</v>
      </c>
      <c r="L5" s="7">
        <v>1</v>
      </c>
      <c r="N5" s="53">
        <v>1</v>
      </c>
      <c r="O5" s="7">
        <v>0.5</v>
      </c>
      <c r="P5" s="7">
        <v>0.5</v>
      </c>
      <c r="Q5" s="52">
        <f t="shared" si="0"/>
        <v>0.5</v>
      </c>
      <c r="R5" s="7">
        <v>14.5</v>
      </c>
      <c r="S5" s="7">
        <v>107</v>
      </c>
      <c r="T5" s="16">
        <f t="shared" si="1"/>
        <v>36</v>
      </c>
      <c r="U5" s="15">
        <v>135</v>
      </c>
      <c r="V5" s="16">
        <f t="shared" si="2"/>
        <v>4860</v>
      </c>
      <c r="W5" s="15">
        <v>1</v>
      </c>
      <c r="X5" s="54" t="s">
        <v>39</v>
      </c>
      <c r="Y5" s="54" t="s">
        <v>84</v>
      </c>
      <c r="Z5" s="54" t="s">
        <v>90</v>
      </c>
      <c r="AA5" s="54" t="s">
        <v>50</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166</v>
      </c>
      <c r="E6" s="54" t="s">
        <v>141</v>
      </c>
      <c r="F6" s="53" t="s">
        <v>149</v>
      </c>
      <c r="G6" s="7" t="s">
        <v>36</v>
      </c>
      <c r="H6" s="54" t="s">
        <v>168</v>
      </c>
      <c r="I6" s="53" t="s">
        <v>159</v>
      </c>
      <c r="J6" s="54" t="s">
        <v>38</v>
      </c>
      <c r="K6" s="53" t="s">
        <v>54</v>
      </c>
      <c r="L6" s="7">
        <v>2</v>
      </c>
      <c r="N6" s="53">
        <v>1</v>
      </c>
      <c r="O6" s="7">
        <v>0.5</v>
      </c>
      <c r="P6" s="7">
        <v>0.5</v>
      </c>
      <c r="Q6" s="52">
        <f t="shared" si="0"/>
        <v>0.5</v>
      </c>
      <c r="R6" s="7">
        <v>15.6</v>
      </c>
      <c r="S6" s="7">
        <v>106</v>
      </c>
      <c r="T6" s="16">
        <f t="shared" si="1"/>
        <v>36</v>
      </c>
      <c r="U6" s="15">
        <v>135</v>
      </c>
      <c r="V6" s="16">
        <f t="shared" si="2"/>
        <v>4860</v>
      </c>
      <c r="W6" s="15">
        <v>1</v>
      </c>
      <c r="X6" s="54" t="s">
        <v>39</v>
      </c>
      <c r="Y6" s="54" t="s">
        <v>84</v>
      </c>
      <c r="Z6" s="54" t="s">
        <v>90</v>
      </c>
      <c r="AA6" s="54" t="s">
        <v>50</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166</v>
      </c>
      <c r="E7" s="54" t="s">
        <v>141</v>
      </c>
      <c r="F7" s="53" t="s">
        <v>149</v>
      </c>
      <c r="G7" s="7" t="s">
        <v>36</v>
      </c>
      <c r="H7" s="54" t="s">
        <v>168</v>
      </c>
      <c r="I7" s="53" t="s">
        <v>159</v>
      </c>
      <c r="J7" s="54" t="s">
        <v>38</v>
      </c>
      <c r="K7" s="53" t="s">
        <v>54</v>
      </c>
      <c r="L7" s="7">
        <v>3</v>
      </c>
      <c r="N7" s="53">
        <v>1</v>
      </c>
      <c r="O7" s="7">
        <v>0.5</v>
      </c>
      <c r="P7" s="7">
        <v>0.5</v>
      </c>
      <c r="Q7" s="52">
        <f t="shared" si="0"/>
        <v>0.5</v>
      </c>
      <c r="R7" s="34">
        <v>16.3</v>
      </c>
      <c r="S7" s="7">
        <v>103</v>
      </c>
      <c r="T7" s="16">
        <f t="shared" si="1"/>
        <v>36</v>
      </c>
      <c r="U7" s="15">
        <v>135</v>
      </c>
      <c r="V7" s="16">
        <f t="shared" si="2"/>
        <v>4860</v>
      </c>
      <c r="W7" s="15">
        <v>1</v>
      </c>
      <c r="X7" s="54" t="s">
        <v>39</v>
      </c>
      <c r="Y7" s="54" t="s">
        <v>84</v>
      </c>
      <c r="Z7" s="54" t="s">
        <v>90</v>
      </c>
      <c r="AA7" s="54" t="s">
        <v>50</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166</v>
      </c>
      <c r="E8" s="15" t="s">
        <v>133</v>
      </c>
      <c r="F8" s="7" t="s">
        <v>150</v>
      </c>
      <c r="G8" s="7" t="s">
        <v>36</v>
      </c>
      <c r="H8" s="15" t="s">
        <v>164</v>
      </c>
      <c r="I8" s="7" t="s">
        <v>159</v>
      </c>
      <c r="J8" s="15" t="s">
        <v>38</v>
      </c>
      <c r="K8" s="7" t="s">
        <v>161</v>
      </c>
      <c r="L8" s="7">
        <v>1</v>
      </c>
      <c r="N8" s="53">
        <v>1</v>
      </c>
      <c r="O8" s="7">
        <v>0.5</v>
      </c>
      <c r="P8" s="7">
        <v>0.5</v>
      </c>
      <c r="Q8" s="52">
        <f t="shared" si="0"/>
        <v>0.5</v>
      </c>
      <c r="R8" s="34">
        <v>13.3</v>
      </c>
      <c r="S8" s="7">
        <v>124</v>
      </c>
      <c r="T8" s="16">
        <f t="shared" si="1"/>
        <v>27</v>
      </c>
      <c r="U8" s="15">
        <v>98</v>
      </c>
      <c r="V8" s="16">
        <f t="shared" si="2"/>
        <v>2646</v>
      </c>
      <c r="W8" s="15">
        <v>12</v>
      </c>
      <c r="X8" s="54" t="s">
        <v>46</v>
      </c>
      <c r="Y8" s="54" t="s">
        <v>84</v>
      </c>
      <c r="Z8" s="54" t="s">
        <v>90</v>
      </c>
      <c r="AA8" s="54" t="s">
        <v>50</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166</v>
      </c>
      <c r="E9" s="15" t="s">
        <v>133</v>
      </c>
      <c r="F9" s="7" t="s">
        <v>150</v>
      </c>
      <c r="G9" s="7" t="s">
        <v>36</v>
      </c>
      <c r="H9" s="54" t="s">
        <v>164</v>
      </c>
      <c r="I9" s="53" t="s">
        <v>159</v>
      </c>
      <c r="J9" s="54" t="s">
        <v>38</v>
      </c>
      <c r="K9" s="53" t="s">
        <v>161</v>
      </c>
      <c r="L9" s="7">
        <v>2</v>
      </c>
      <c r="N9" s="7">
        <v>1</v>
      </c>
      <c r="O9" s="7">
        <v>0.5</v>
      </c>
      <c r="P9" s="7">
        <v>0.5</v>
      </c>
      <c r="Q9" s="52">
        <f t="shared" si="0"/>
        <v>0.5</v>
      </c>
      <c r="R9" s="7">
        <v>13.5</v>
      </c>
      <c r="S9" s="7">
        <v>126</v>
      </c>
      <c r="T9" s="16">
        <f t="shared" si="1"/>
        <v>27</v>
      </c>
      <c r="U9" s="15">
        <v>98</v>
      </c>
      <c r="V9" s="16">
        <f t="shared" si="2"/>
        <v>2646</v>
      </c>
      <c r="W9" s="15">
        <v>12</v>
      </c>
      <c r="X9" s="54" t="s">
        <v>46</v>
      </c>
      <c r="Y9" s="54" t="s">
        <v>84</v>
      </c>
      <c r="Z9" s="54" t="s">
        <v>90</v>
      </c>
      <c r="AA9" s="54" t="s">
        <v>50</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166</v>
      </c>
      <c r="E10" s="15" t="s">
        <v>133</v>
      </c>
      <c r="F10" s="7" t="s">
        <v>150</v>
      </c>
      <c r="G10" s="7" t="s">
        <v>36</v>
      </c>
      <c r="H10" s="54" t="s">
        <v>164</v>
      </c>
      <c r="I10" s="53" t="s">
        <v>159</v>
      </c>
      <c r="J10" s="54" t="s">
        <v>38</v>
      </c>
      <c r="K10" s="53" t="s">
        <v>161</v>
      </c>
      <c r="L10" s="7">
        <v>3</v>
      </c>
      <c r="N10" s="53">
        <v>1</v>
      </c>
      <c r="O10" s="7">
        <v>0.5</v>
      </c>
      <c r="P10" s="7">
        <v>0.5</v>
      </c>
      <c r="Q10" s="52">
        <f t="shared" si="0"/>
        <v>0.5</v>
      </c>
      <c r="R10" s="7">
        <v>13.5</v>
      </c>
      <c r="S10" s="7">
        <v>122</v>
      </c>
      <c r="T10" s="16">
        <f t="shared" si="1"/>
        <v>27</v>
      </c>
      <c r="U10" s="15">
        <v>98</v>
      </c>
      <c r="V10" s="16">
        <f t="shared" si="2"/>
        <v>2646</v>
      </c>
      <c r="W10" s="15">
        <v>12</v>
      </c>
      <c r="X10" s="54" t="s">
        <v>46</v>
      </c>
      <c r="Y10" s="54" t="s">
        <v>84</v>
      </c>
      <c r="Z10" s="54" t="s">
        <v>90</v>
      </c>
      <c r="AA10" s="54" t="s">
        <v>50</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166</v>
      </c>
      <c r="E11" s="15" t="s">
        <v>133</v>
      </c>
      <c r="F11" s="7" t="s">
        <v>150</v>
      </c>
      <c r="G11" s="7" t="s">
        <v>36</v>
      </c>
      <c r="H11" s="15" t="s">
        <v>168</v>
      </c>
      <c r="I11" s="7" t="s">
        <v>159</v>
      </c>
      <c r="J11" s="15" t="s">
        <v>38</v>
      </c>
      <c r="K11" s="7" t="s">
        <v>54</v>
      </c>
      <c r="L11" s="7">
        <v>1</v>
      </c>
      <c r="N11" s="53">
        <v>1</v>
      </c>
      <c r="O11" s="7">
        <v>0.5</v>
      </c>
      <c r="P11" s="7">
        <v>0.5</v>
      </c>
      <c r="Q11" s="52">
        <f t="shared" si="0"/>
        <v>0.5</v>
      </c>
      <c r="R11" s="7">
        <v>12.1</v>
      </c>
      <c r="S11" s="7">
        <v>95</v>
      </c>
      <c r="T11" s="16">
        <f t="shared" si="1"/>
        <v>39</v>
      </c>
      <c r="U11" s="7">
        <v>158</v>
      </c>
      <c r="V11" s="16">
        <f t="shared" si="2"/>
        <v>6162</v>
      </c>
      <c r="W11" s="7">
        <v>2</v>
      </c>
      <c r="X11" s="54" t="s">
        <v>46</v>
      </c>
      <c r="Y11" s="54" t="s">
        <v>84</v>
      </c>
      <c r="Z11" s="54" t="s">
        <v>90</v>
      </c>
      <c r="AA11" s="54" t="s">
        <v>50</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166</v>
      </c>
      <c r="E12" s="15" t="s">
        <v>133</v>
      </c>
      <c r="F12" s="7" t="s">
        <v>150</v>
      </c>
      <c r="G12" s="7" t="s">
        <v>36</v>
      </c>
      <c r="H12" s="54" t="s">
        <v>168</v>
      </c>
      <c r="I12" s="53" t="s">
        <v>159</v>
      </c>
      <c r="J12" s="15" t="s">
        <v>38</v>
      </c>
      <c r="K12" s="7" t="s">
        <v>54</v>
      </c>
      <c r="L12" s="7">
        <v>2</v>
      </c>
      <c r="N12" s="53">
        <v>1</v>
      </c>
      <c r="O12" s="7">
        <v>0.5</v>
      </c>
      <c r="P12" s="7">
        <v>0.5</v>
      </c>
      <c r="Q12" s="52">
        <f t="shared" si="0"/>
        <v>0.5</v>
      </c>
      <c r="R12" s="34">
        <v>13.4</v>
      </c>
      <c r="S12" s="7">
        <v>98</v>
      </c>
      <c r="T12" s="16">
        <f t="shared" si="1"/>
        <v>36</v>
      </c>
      <c r="U12" s="7">
        <v>158</v>
      </c>
      <c r="V12" s="16">
        <f t="shared" si="2"/>
        <v>5688</v>
      </c>
      <c r="W12" s="7">
        <v>2</v>
      </c>
      <c r="X12" s="54" t="s">
        <v>46</v>
      </c>
      <c r="Y12" s="54" t="s">
        <v>84</v>
      </c>
      <c r="Z12" s="54" t="s">
        <v>90</v>
      </c>
      <c r="AA12" s="54" t="s">
        <v>50</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166</v>
      </c>
      <c r="E13" s="15" t="s">
        <v>133</v>
      </c>
      <c r="F13" s="7" t="s">
        <v>150</v>
      </c>
      <c r="G13" s="7" t="s">
        <v>36</v>
      </c>
      <c r="H13" s="54" t="s">
        <v>168</v>
      </c>
      <c r="I13" s="53" t="s">
        <v>159</v>
      </c>
      <c r="J13" s="15" t="s">
        <v>38</v>
      </c>
      <c r="K13" s="7" t="s">
        <v>54</v>
      </c>
      <c r="L13" s="7">
        <v>3</v>
      </c>
      <c r="N13" s="53">
        <v>1</v>
      </c>
      <c r="O13" s="7">
        <v>0.5</v>
      </c>
      <c r="P13" s="7">
        <v>0.5</v>
      </c>
      <c r="Q13" s="52">
        <f t="shared" si="0"/>
        <v>0.5</v>
      </c>
      <c r="R13" s="7">
        <v>15.4</v>
      </c>
      <c r="S13" s="7">
        <v>98</v>
      </c>
      <c r="T13" s="16">
        <f t="shared" si="1"/>
        <v>36</v>
      </c>
      <c r="U13" s="7">
        <v>158</v>
      </c>
      <c r="V13" s="16">
        <f t="shared" si="2"/>
        <v>5688</v>
      </c>
      <c r="W13" s="7">
        <v>2</v>
      </c>
      <c r="X13" s="54" t="s">
        <v>46</v>
      </c>
      <c r="Y13" s="54" t="s">
        <v>84</v>
      </c>
      <c r="Z13" s="54" t="s">
        <v>90</v>
      </c>
      <c r="AA13" s="54" t="s">
        <v>50</v>
      </c>
      <c r="AB13" s="39" t="s">
        <v>158</v>
      </c>
      <c r="AE13" s="22" t="s">
        <v>73</v>
      </c>
      <c r="AG13" s="23"/>
      <c r="AH13" s="23"/>
      <c r="AP13" s="23" t="s">
        <v>71</v>
      </c>
      <c r="AR13" s="30" t="s">
        <v>103</v>
      </c>
      <c r="AV13" s="23" t="s">
        <v>75</v>
      </c>
    </row>
    <row r="14" spans="1:53" x14ac:dyDescent="0.15">
      <c r="A14" s="15" t="s">
        <v>156</v>
      </c>
      <c r="B14" s="15" t="s">
        <v>157</v>
      </c>
      <c r="C14" s="15">
        <v>2019</v>
      </c>
      <c r="D14" s="37" t="s">
        <v>166</v>
      </c>
      <c r="E14" s="15" t="s">
        <v>142</v>
      </c>
      <c r="F14" s="7" t="s">
        <v>151</v>
      </c>
      <c r="G14" s="7" t="s">
        <v>36</v>
      </c>
      <c r="H14" s="15" t="s">
        <v>164</v>
      </c>
      <c r="I14" s="7" t="s">
        <v>159</v>
      </c>
      <c r="J14" s="15" t="s">
        <v>38</v>
      </c>
      <c r="K14" s="7" t="s">
        <v>161</v>
      </c>
      <c r="L14" s="7">
        <v>1</v>
      </c>
      <c r="N14" s="53">
        <v>1</v>
      </c>
      <c r="O14" s="7">
        <v>0.5</v>
      </c>
      <c r="P14" s="7">
        <v>0.5</v>
      </c>
      <c r="Q14" s="52">
        <f t="shared" si="0"/>
        <v>0.5</v>
      </c>
      <c r="R14" s="7">
        <v>14.8</v>
      </c>
      <c r="S14" s="7">
        <v>120</v>
      </c>
      <c r="T14" s="16">
        <f t="shared" si="1"/>
        <v>30</v>
      </c>
      <c r="U14" s="7">
        <v>138</v>
      </c>
      <c r="V14" s="16">
        <f t="shared" si="2"/>
        <v>4140</v>
      </c>
      <c r="W14" s="7">
        <v>3</v>
      </c>
      <c r="X14" s="54" t="s">
        <v>46</v>
      </c>
      <c r="Y14" s="54" t="s">
        <v>84</v>
      </c>
      <c r="Z14" s="54" t="s">
        <v>90</v>
      </c>
      <c r="AA14" s="54" t="s">
        <v>69</v>
      </c>
      <c r="AB14" s="39" t="s">
        <v>158</v>
      </c>
      <c r="AE14" s="22" t="s">
        <v>76</v>
      </c>
      <c r="AG14" s="23"/>
      <c r="AH14" s="23"/>
      <c r="AP14" s="23" t="s">
        <v>74</v>
      </c>
      <c r="AR14" s="30" t="s">
        <v>125</v>
      </c>
      <c r="AV14" s="23" t="s">
        <v>78</v>
      </c>
    </row>
    <row r="15" spans="1:53" x14ac:dyDescent="0.15">
      <c r="A15" s="15" t="s">
        <v>156</v>
      </c>
      <c r="B15" s="15" t="s">
        <v>157</v>
      </c>
      <c r="C15" s="15">
        <v>2019</v>
      </c>
      <c r="D15" s="37" t="s">
        <v>166</v>
      </c>
      <c r="E15" s="15" t="s">
        <v>142</v>
      </c>
      <c r="F15" s="7" t="s">
        <v>151</v>
      </c>
      <c r="G15" s="7" t="s">
        <v>36</v>
      </c>
      <c r="H15" s="15" t="s">
        <v>164</v>
      </c>
      <c r="I15" s="7" t="s">
        <v>159</v>
      </c>
      <c r="J15" s="15" t="s">
        <v>38</v>
      </c>
      <c r="K15" s="7" t="s">
        <v>161</v>
      </c>
      <c r="L15" s="7">
        <v>2</v>
      </c>
      <c r="N15" s="53">
        <v>1</v>
      </c>
      <c r="O15" s="7">
        <v>0.5</v>
      </c>
      <c r="P15" s="7">
        <v>0.5</v>
      </c>
      <c r="Q15" s="52">
        <f t="shared" si="0"/>
        <v>0.5</v>
      </c>
      <c r="R15" s="7">
        <v>12.9</v>
      </c>
      <c r="S15" s="7">
        <v>125</v>
      </c>
      <c r="T15" s="16">
        <f t="shared" si="1"/>
        <v>27</v>
      </c>
      <c r="U15" s="7">
        <v>138</v>
      </c>
      <c r="V15" s="16">
        <f t="shared" si="2"/>
        <v>3726</v>
      </c>
      <c r="W15" s="7">
        <v>3</v>
      </c>
      <c r="X15" s="54" t="s">
        <v>46</v>
      </c>
      <c r="Y15" s="54" t="s">
        <v>84</v>
      </c>
      <c r="Z15" s="54" t="s">
        <v>90</v>
      </c>
      <c r="AA15" s="54" t="s">
        <v>69</v>
      </c>
      <c r="AB15" s="39" t="s">
        <v>158</v>
      </c>
      <c r="AE15" s="22" t="s">
        <v>79</v>
      </c>
      <c r="AG15" s="23"/>
      <c r="AH15" s="23"/>
      <c r="AP15" s="23" t="s">
        <v>77</v>
      </c>
      <c r="AR15" s="30" t="s">
        <v>94</v>
      </c>
      <c r="AV15" s="23" t="s">
        <v>107</v>
      </c>
    </row>
    <row r="16" spans="1:53" x14ac:dyDescent="0.15">
      <c r="A16" s="15" t="s">
        <v>156</v>
      </c>
      <c r="B16" s="15" t="s">
        <v>157</v>
      </c>
      <c r="C16" s="15">
        <v>2019</v>
      </c>
      <c r="D16" s="37" t="s">
        <v>166</v>
      </c>
      <c r="E16" s="15" t="s">
        <v>142</v>
      </c>
      <c r="F16" s="7" t="s">
        <v>151</v>
      </c>
      <c r="G16" s="7" t="s">
        <v>36</v>
      </c>
      <c r="H16" s="15" t="s">
        <v>164</v>
      </c>
      <c r="I16" s="7" t="s">
        <v>159</v>
      </c>
      <c r="J16" s="15" t="s">
        <v>38</v>
      </c>
      <c r="K16" s="7" t="s">
        <v>161</v>
      </c>
      <c r="L16" s="7">
        <v>3</v>
      </c>
      <c r="N16" s="53">
        <v>1</v>
      </c>
      <c r="O16" s="7">
        <v>0.5</v>
      </c>
      <c r="P16" s="7">
        <v>0.55000000000000004</v>
      </c>
      <c r="Q16" s="52">
        <f t="shared" si="0"/>
        <v>0.52500000000000002</v>
      </c>
      <c r="R16" s="7">
        <v>13.7</v>
      </c>
      <c r="S16" s="7">
        <v>119</v>
      </c>
      <c r="T16" s="16">
        <f t="shared" si="1"/>
        <v>30</v>
      </c>
      <c r="U16" s="7">
        <v>138</v>
      </c>
      <c r="V16" s="16">
        <f t="shared" si="2"/>
        <v>4140</v>
      </c>
      <c r="W16" s="7">
        <v>3</v>
      </c>
      <c r="X16" s="54" t="s">
        <v>46</v>
      </c>
      <c r="Y16" s="54" t="s">
        <v>84</v>
      </c>
      <c r="Z16" s="54" t="s">
        <v>90</v>
      </c>
      <c r="AA16" s="54" t="s">
        <v>69</v>
      </c>
      <c r="AB16" s="39" t="s">
        <v>158</v>
      </c>
      <c r="AE16" s="22" t="s">
        <v>82</v>
      </c>
      <c r="AG16" s="28"/>
      <c r="AH16" s="28"/>
      <c r="AP16" s="23" t="s">
        <v>80</v>
      </c>
      <c r="AR16" s="41" t="s">
        <v>63</v>
      </c>
      <c r="AV16" s="23" t="s">
        <v>84</v>
      </c>
    </row>
    <row r="17" spans="1:48" x14ac:dyDescent="0.15">
      <c r="A17" s="15" t="s">
        <v>156</v>
      </c>
      <c r="B17" s="15" t="s">
        <v>157</v>
      </c>
      <c r="C17" s="15">
        <v>2019</v>
      </c>
      <c r="D17" s="37" t="s">
        <v>166</v>
      </c>
      <c r="E17" s="15" t="s">
        <v>142</v>
      </c>
      <c r="F17" s="7" t="s">
        <v>151</v>
      </c>
      <c r="G17" s="7" t="s">
        <v>36</v>
      </c>
      <c r="H17" s="15" t="s">
        <v>168</v>
      </c>
      <c r="I17" s="7" t="s">
        <v>159</v>
      </c>
      <c r="J17" s="15" t="s">
        <v>38</v>
      </c>
      <c r="K17" s="7" t="s">
        <v>54</v>
      </c>
      <c r="L17" s="7">
        <v>1</v>
      </c>
      <c r="N17" s="53">
        <v>1</v>
      </c>
      <c r="O17" s="7">
        <v>0.5</v>
      </c>
      <c r="P17" s="7">
        <v>0.5</v>
      </c>
      <c r="Q17" s="52">
        <f t="shared" si="0"/>
        <v>0.5</v>
      </c>
      <c r="R17" s="7">
        <v>18.2</v>
      </c>
      <c r="S17" s="7">
        <v>118</v>
      </c>
      <c r="T17" s="16">
        <f t="shared" si="1"/>
        <v>33</v>
      </c>
      <c r="U17" s="7">
        <v>198</v>
      </c>
      <c r="V17" s="16">
        <f t="shared" si="2"/>
        <v>6534</v>
      </c>
      <c r="W17" s="7">
        <v>1</v>
      </c>
      <c r="X17" s="54" t="s">
        <v>46</v>
      </c>
      <c r="Y17" s="54" t="s">
        <v>84</v>
      </c>
      <c r="Z17" s="54" t="s">
        <v>90</v>
      </c>
      <c r="AA17" s="54" t="s">
        <v>69</v>
      </c>
      <c r="AB17" s="39" t="s">
        <v>158</v>
      </c>
      <c r="AE17" s="22" t="s">
        <v>85</v>
      </c>
      <c r="AP17" s="43" t="s">
        <v>110</v>
      </c>
      <c r="AR17" s="41" t="s">
        <v>96</v>
      </c>
      <c r="AV17" s="23" t="s">
        <v>86</v>
      </c>
    </row>
    <row r="18" spans="1:48" x14ac:dyDescent="0.15">
      <c r="A18" s="15" t="s">
        <v>156</v>
      </c>
      <c r="B18" s="15" t="s">
        <v>157</v>
      </c>
      <c r="C18" s="15">
        <v>2019</v>
      </c>
      <c r="D18" s="37" t="s">
        <v>166</v>
      </c>
      <c r="E18" s="15" t="s">
        <v>142</v>
      </c>
      <c r="F18" s="7" t="s">
        <v>151</v>
      </c>
      <c r="G18" s="7" t="s">
        <v>36</v>
      </c>
      <c r="H18" s="15" t="s">
        <v>168</v>
      </c>
      <c r="I18" s="7" t="s">
        <v>159</v>
      </c>
      <c r="J18" s="15" t="s">
        <v>38</v>
      </c>
      <c r="K18" s="7" t="s">
        <v>54</v>
      </c>
      <c r="L18" s="7">
        <v>2</v>
      </c>
      <c r="N18" s="53">
        <v>1</v>
      </c>
      <c r="O18" s="7">
        <v>0.5</v>
      </c>
      <c r="P18" s="7">
        <v>0.5</v>
      </c>
      <c r="Q18" s="52">
        <f t="shared" si="0"/>
        <v>0.5</v>
      </c>
      <c r="R18" s="7">
        <v>17.3</v>
      </c>
      <c r="S18" s="7">
        <v>113</v>
      </c>
      <c r="T18" s="16">
        <f t="shared" si="1"/>
        <v>33</v>
      </c>
      <c r="U18" s="7">
        <v>198</v>
      </c>
      <c r="V18" s="16">
        <f t="shared" si="2"/>
        <v>6534</v>
      </c>
      <c r="W18" s="7">
        <v>1</v>
      </c>
      <c r="X18" s="54" t="s">
        <v>46</v>
      </c>
      <c r="Y18" s="54" t="s">
        <v>84</v>
      </c>
      <c r="Z18" s="54" t="s">
        <v>90</v>
      </c>
      <c r="AA18" s="54" t="s">
        <v>69</v>
      </c>
      <c r="AB18" s="39" t="s">
        <v>158</v>
      </c>
      <c r="AE18" s="22" t="s">
        <v>87</v>
      </c>
      <c r="AP18" s="43" t="s">
        <v>111</v>
      </c>
      <c r="AR18" s="41" t="s">
        <v>101</v>
      </c>
      <c r="AV18" s="23" t="s">
        <v>88</v>
      </c>
    </row>
    <row r="19" spans="1:48" x14ac:dyDescent="0.15">
      <c r="A19" s="15" t="s">
        <v>156</v>
      </c>
      <c r="B19" s="15" t="s">
        <v>157</v>
      </c>
      <c r="C19" s="15">
        <v>2019</v>
      </c>
      <c r="D19" s="37" t="s">
        <v>166</v>
      </c>
      <c r="E19" s="15" t="s">
        <v>142</v>
      </c>
      <c r="F19" s="7" t="s">
        <v>151</v>
      </c>
      <c r="G19" s="7" t="s">
        <v>36</v>
      </c>
      <c r="H19" s="15" t="s">
        <v>168</v>
      </c>
      <c r="I19" s="7" t="s">
        <v>159</v>
      </c>
      <c r="J19" s="15" t="s">
        <v>38</v>
      </c>
      <c r="K19" s="7" t="s">
        <v>54</v>
      </c>
      <c r="L19" s="7">
        <v>3</v>
      </c>
      <c r="N19" s="53">
        <v>1</v>
      </c>
      <c r="O19" s="7">
        <v>0.5</v>
      </c>
      <c r="P19" s="7">
        <v>0.5</v>
      </c>
      <c r="Q19" s="52">
        <f t="shared" si="0"/>
        <v>0.5</v>
      </c>
      <c r="R19" s="7">
        <v>15.8</v>
      </c>
      <c r="S19" s="7">
        <v>115</v>
      </c>
      <c r="T19" s="16">
        <f t="shared" si="1"/>
        <v>33</v>
      </c>
      <c r="U19" s="7">
        <v>198</v>
      </c>
      <c r="V19" s="16">
        <f t="shared" si="2"/>
        <v>6534</v>
      </c>
      <c r="W19" s="7">
        <v>1</v>
      </c>
      <c r="X19" s="54" t="s">
        <v>46</v>
      </c>
      <c r="Y19" s="54" t="s">
        <v>84</v>
      </c>
      <c r="Z19" s="54" t="s">
        <v>90</v>
      </c>
      <c r="AA19" s="54" t="s">
        <v>69</v>
      </c>
      <c r="AB19" s="39" t="s">
        <v>158</v>
      </c>
      <c r="AE19" s="35" t="s">
        <v>89</v>
      </c>
      <c r="AP19" s="43" t="s">
        <v>112</v>
      </c>
      <c r="AR19" s="30" t="s">
        <v>126</v>
      </c>
      <c r="AV19" s="23" t="s">
        <v>90</v>
      </c>
    </row>
    <row r="20" spans="1:48" x14ac:dyDescent="0.15">
      <c r="A20" s="15" t="s">
        <v>156</v>
      </c>
      <c r="B20" s="15" t="s">
        <v>157</v>
      </c>
      <c r="C20" s="15">
        <v>2019</v>
      </c>
      <c r="D20" s="37" t="s">
        <v>166</v>
      </c>
      <c r="E20" s="15" t="s">
        <v>143</v>
      </c>
      <c r="F20" s="7" t="s">
        <v>152</v>
      </c>
      <c r="G20" s="7" t="s">
        <v>36</v>
      </c>
      <c r="H20" s="15" t="s">
        <v>164</v>
      </c>
      <c r="I20" s="7" t="s">
        <v>159</v>
      </c>
      <c r="J20" s="15" t="s">
        <v>38</v>
      </c>
      <c r="K20" s="7" t="s">
        <v>161</v>
      </c>
      <c r="L20" s="7">
        <v>1</v>
      </c>
      <c r="N20" s="53">
        <v>1</v>
      </c>
      <c r="O20" s="7">
        <v>0.55000000000000004</v>
      </c>
      <c r="P20" s="34">
        <v>0.55000000000000004</v>
      </c>
      <c r="Q20" s="52">
        <f t="shared" si="0"/>
        <v>0.55000000000000004</v>
      </c>
      <c r="R20" s="7">
        <v>15.2</v>
      </c>
      <c r="S20" s="7">
        <v>85</v>
      </c>
      <c r="T20" s="16">
        <f t="shared" si="1"/>
        <v>36</v>
      </c>
      <c r="U20" s="7">
        <v>48</v>
      </c>
      <c r="V20" s="16">
        <f t="shared" si="2"/>
        <v>1728</v>
      </c>
      <c r="W20" s="7">
        <v>2</v>
      </c>
      <c r="X20" s="54" t="s">
        <v>39</v>
      </c>
      <c r="Y20" s="54" t="s">
        <v>84</v>
      </c>
      <c r="Z20" s="54" t="s">
        <v>40</v>
      </c>
      <c r="AA20" s="54" t="s">
        <v>90</v>
      </c>
      <c r="AB20" s="39" t="s">
        <v>158</v>
      </c>
      <c r="AE20" s="22"/>
      <c r="AP20" s="43" t="s">
        <v>113</v>
      </c>
      <c r="AR20" s="41" t="s">
        <v>105</v>
      </c>
      <c r="AV20" s="27" t="s">
        <v>135</v>
      </c>
    </row>
    <row r="21" spans="1:48" x14ac:dyDescent="0.15">
      <c r="A21" s="15" t="s">
        <v>156</v>
      </c>
      <c r="B21" s="15" t="s">
        <v>157</v>
      </c>
      <c r="C21" s="15">
        <v>2019</v>
      </c>
      <c r="D21" s="37" t="s">
        <v>166</v>
      </c>
      <c r="E21" s="15" t="s">
        <v>143</v>
      </c>
      <c r="F21" s="7" t="s">
        <v>152</v>
      </c>
      <c r="G21" s="7" t="s">
        <v>36</v>
      </c>
      <c r="H21" s="54" t="s">
        <v>164</v>
      </c>
      <c r="I21" s="7" t="s">
        <v>159</v>
      </c>
      <c r="J21" s="15" t="s">
        <v>38</v>
      </c>
      <c r="K21" s="53" t="s">
        <v>161</v>
      </c>
      <c r="L21" s="7">
        <v>2</v>
      </c>
      <c r="N21" s="53">
        <v>1</v>
      </c>
      <c r="O21" s="7">
        <v>0.5</v>
      </c>
      <c r="P21" s="7">
        <v>0.6</v>
      </c>
      <c r="Q21" s="52">
        <f t="shared" si="0"/>
        <v>0.55000000000000004</v>
      </c>
      <c r="R21" s="7">
        <v>14.3</v>
      </c>
      <c r="S21" s="7">
        <v>89</v>
      </c>
      <c r="T21" s="16">
        <f t="shared" si="1"/>
        <v>36</v>
      </c>
      <c r="U21" s="7">
        <v>48</v>
      </c>
      <c r="V21" s="16">
        <f t="shared" si="2"/>
        <v>1728</v>
      </c>
      <c r="W21" s="7">
        <v>2</v>
      </c>
      <c r="X21" s="54" t="s">
        <v>39</v>
      </c>
      <c r="Y21" s="54" t="s">
        <v>84</v>
      </c>
      <c r="Z21" s="54" t="s">
        <v>40</v>
      </c>
      <c r="AA21" s="54" t="s">
        <v>90</v>
      </c>
      <c r="AB21" s="39" t="s">
        <v>158</v>
      </c>
      <c r="AE21" s="22"/>
      <c r="AP21" s="43" t="s">
        <v>114</v>
      </c>
      <c r="AR21" s="41" t="s">
        <v>68</v>
      </c>
      <c r="AV21" s="27" t="s">
        <v>136</v>
      </c>
    </row>
    <row r="22" spans="1:48" x14ac:dyDescent="0.15">
      <c r="A22" s="15" t="s">
        <v>156</v>
      </c>
      <c r="B22" s="15" t="s">
        <v>157</v>
      </c>
      <c r="C22" s="15">
        <v>2019</v>
      </c>
      <c r="D22" s="37" t="s">
        <v>166</v>
      </c>
      <c r="E22" s="15" t="s">
        <v>143</v>
      </c>
      <c r="F22" s="7" t="s">
        <v>152</v>
      </c>
      <c r="G22" s="7" t="s">
        <v>36</v>
      </c>
      <c r="H22" s="54" t="s">
        <v>164</v>
      </c>
      <c r="I22" s="7" t="s">
        <v>159</v>
      </c>
      <c r="J22" s="15" t="s">
        <v>38</v>
      </c>
      <c r="K22" s="53" t="s">
        <v>161</v>
      </c>
      <c r="L22" s="7">
        <v>3</v>
      </c>
      <c r="N22" s="7">
        <v>1</v>
      </c>
      <c r="O22" s="34">
        <v>0.85</v>
      </c>
      <c r="P22" s="7">
        <v>0.95</v>
      </c>
      <c r="Q22" s="52">
        <f t="shared" si="0"/>
        <v>0.89999999999999991</v>
      </c>
      <c r="R22" s="7">
        <v>13.1</v>
      </c>
      <c r="S22" s="7">
        <v>87</v>
      </c>
      <c r="T22" s="16">
        <f t="shared" si="1"/>
        <v>36</v>
      </c>
      <c r="U22" s="7">
        <v>48</v>
      </c>
      <c r="V22" s="16">
        <f t="shared" si="2"/>
        <v>1728</v>
      </c>
      <c r="W22" s="7">
        <v>2</v>
      </c>
      <c r="X22" s="54" t="s">
        <v>39</v>
      </c>
      <c r="Y22" s="54" t="s">
        <v>84</v>
      </c>
      <c r="Z22" s="54" t="s">
        <v>40</v>
      </c>
      <c r="AA22" s="54" t="s">
        <v>90</v>
      </c>
      <c r="AB22" s="39" t="s">
        <v>158</v>
      </c>
      <c r="AE22" s="35"/>
      <c r="AP22" s="43" t="s">
        <v>115</v>
      </c>
      <c r="AR22" s="41" t="s">
        <v>83</v>
      </c>
      <c r="AV22" s="27"/>
    </row>
    <row r="23" spans="1:48" x14ac:dyDescent="0.15">
      <c r="A23" s="15" t="s">
        <v>156</v>
      </c>
      <c r="B23" s="15" t="s">
        <v>157</v>
      </c>
      <c r="C23" s="15">
        <v>2019</v>
      </c>
      <c r="D23" s="37" t="s">
        <v>166</v>
      </c>
      <c r="E23" s="7" t="s">
        <v>143</v>
      </c>
      <c r="F23" s="7" t="s">
        <v>152</v>
      </c>
      <c r="G23" s="7" t="s">
        <v>36</v>
      </c>
      <c r="H23" s="15" t="s">
        <v>168</v>
      </c>
      <c r="I23" s="7" t="s">
        <v>159</v>
      </c>
      <c r="J23" s="15" t="s">
        <v>38</v>
      </c>
      <c r="K23" s="7" t="s">
        <v>54</v>
      </c>
      <c r="L23" s="7">
        <v>1</v>
      </c>
      <c r="N23" s="7">
        <v>1</v>
      </c>
      <c r="O23" s="34">
        <v>0.5</v>
      </c>
      <c r="P23" s="7">
        <v>0.5</v>
      </c>
      <c r="Q23" s="52">
        <f t="shared" si="0"/>
        <v>0.5</v>
      </c>
      <c r="R23" s="7">
        <v>15.7</v>
      </c>
      <c r="S23" s="7">
        <v>105</v>
      </c>
      <c r="T23" s="16">
        <f t="shared" si="1"/>
        <v>36</v>
      </c>
      <c r="U23" s="7">
        <v>138</v>
      </c>
      <c r="V23" s="16">
        <f t="shared" si="2"/>
        <v>4968</v>
      </c>
      <c r="W23" s="7">
        <v>1</v>
      </c>
      <c r="X23" s="54" t="s">
        <v>39</v>
      </c>
      <c r="Y23" s="54" t="s">
        <v>84</v>
      </c>
      <c r="Z23" s="54" t="s">
        <v>40</v>
      </c>
      <c r="AA23" s="54" t="s">
        <v>90</v>
      </c>
      <c r="AB23" s="39" t="s">
        <v>158</v>
      </c>
      <c r="AE23" s="22"/>
      <c r="AP23" s="43" t="s">
        <v>137</v>
      </c>
      <c r="AR23" s="41" t="s">
        <v>61</v>
      </c>
      <c r="AV23" s="27"/>
    </row>
    <row r="24" spans="1:48" x14ac:dyDescent="0.15">
      <c r="A24" s="15" t="s">
        <v>156</v>
      </c>
      <c r="B24" s="15" t="s">
        <v>157</v>
      </c>
      <c r="C24" s="15">
        <v>2019</v>
      </c>
      <c r="D24" s="37" t="s">
        <v>166</v>
      </c>
      <c r="E24" s="7" t="s">
        <v>143</v>
      </c>
      <c r="F24" s="7" t="s">
        <v>152</v>
      </c>
      <c r="G24" s="7" t="s">
        <v>36</v>
      </c>
      <c r="H24" s="15" t="s">
        <v>168</v>
      </c>
      <c r="I24" s="7" t="s">
        <v>159</v>
      </c>
      <c r="J24" s="15" t="s">
        <v>38</v>
      </c>
      <c r="K24" s="7" t="s">
        <v>54</v>
      </c>
      <c r="L24" s="7">
        <v>2</v>
      </c>
      <c r="N24" s="7">
        <v>1</v>
      </c>
      <c r="O24" s="7">
        <v>0.5</v>
      </c>
      <c r="P24" s="7">
        <v>0.5</v>
      </c>
      <c r="Q24" s="52">
        <f t="shared" si="0"/>
        <v>0.5</v>
      </c>
      <c r="R24" s="7">
        <v>15.1</v>
      </c>
      <c r="S24" s="7">
        <v>102</v>
      </c>
      <c r="T24" s="16">
        <f t="shared" si="1"/>
        <v>36</v>
      </c>
      <c r="U24" s="7">
        <v>138</v>
      </c>
      <c r="V24" s="16">
        <f t="shared" si="2"/>
        <v>4968</v>
      </c>
      <c r="W24" s="7">
        <v>1</v>
      </c>
      <c r="X24" s="54" t="s">
        <v>39</v>
      </c>
      <c r="Y24" s="54" t="s">
        <v>84</v>
      </c>
      <c r="Z24" s="54" t="s">
        <v>40</v>
      </c>
      <c r="AA24" s="54" t="s">
        <v>90</v>
      </c>
      <c r="AB24" s="39" t="s">
        <v>158</v>
      </c>
      <c r="AE24" s="22"/>
      <c r="AP24" s="43" t="s">
        <v>138</v>
      </c>
      <c r="AR24" s="41" t="s">
        <v>91</v>
      </c>
      <c r="AV24" s="27"/>
    </row>
    <row r="25" spans="1:48" x14ac:dyDescent="0.15">
      <c r="A25" s="15" t="s">
        <v>156</v>
      </c>
      <c r="B25" s="15" t="s">
        <v>157</v>
      </c>
      <c r="C25" s="15">
        <v>2019</v>
      </c>
      <c r="D25" s="37" t="s">
        <v>166</v>
      </c>
      <c r="E25" s="7" t="s">
        <v>143</v>
      </c>
      <c r="F25" s="7" t="s">
        <v>152</v>
      </c>
      <c r="G25" s="7" t="s">
        <v>36</v>
      </c>
      <c r="H25" s="15" t="s">
        <v>168</v>
      </c>
      <c r="I25" s="7" t="s">
        <v>159</v>
      </c>
      <c r="J25" s="15" t="s">
        <v>38</v>
      </c>
      <c r="K25" s="7" t="s">
        <v>54</v>
      </c>
      <c r="L25" s="7">
        <v>3</v>
      </c>
      <c r="N25" s="7">
        <v>1</v>
      </c>
      <c r="O25" s="7">
        <v>0.5</v>
      </c>
      <c r="P25" s="7">
        <v>0.5</v>
      </c>
      <c r="Q25" s="52">
        <f t="shared" si="0"/>
        <v>0.5</v>
      </c>
      <c r="R25" s="7">
        <v>14.1</v>
      </c>
      <c r="S25" s="7">
        <v>98</v>
      </c>
      <c r="T25" s="16">
        <f t="shared" si="1"/>
        <v>36</v>
      </c>
      <c r="U25" s="7">
        <v>138</v>
      </c>
      <c r="V25" s="16">
        <f t="shared" si="2"/>
        <v>4968</v>
      </c>
      <c r="W25" s="7">
        <v>1</v>
      </c>
      <c r="X25" s="54" t="s">
        <v>39</v>
      </c>
      <c r="Y25" s="54" t="s">
        <v>84</v>
      </c>
      <c r="Z25" s="54" t="s">
        <v>40</v>
      </c>
      <c r="AA25" s="54" t="s">
        <v>90</v>
      </c>
      <c r="AB25" s="39" t="s">
        <v>158</v>
      </c>
      <c r="AE25" s="35"/>
      <c r="AP25" s="43" t="s">
        <v>116</v>
      </c>
      <c r="AR25" s="42" t="s">
        <v>92</v>
      </c>
      <c r="AV25" s="27"/>
    </row>
    <row r="26" spans="1:48" x14ac:dyDescent="0.15">
      <c r="A26" s="15" t="s">
        <v>156</v>
      </c>
      <c r="B26" s="15" t="s">
        <v>157</v>
      </c>
      <c r="C26" s="15">
        <v>2019</v>
      </c>
      <c r="D26" s="37" t="s">
        <v>166</v>
      </c>
      <c r="E26" s="7" t="s">
        <v>131</v>
      </c>
      <c r="F26" s="7" t="s">
        <v>144</v>
      </c>
      <c r="G26" s="7" t="s">
        <v>36</v>
      </c>
      <c r="H26" s="15" t="s">
        <v>164</v>
      </c>
      <c r="I26" s="7" t="s">
        <v>159</v>
      </c>
      <c r="J26" s="15" t="s">
        <v>38</v>
      </c>
      <c r="K26" s="7" t="s">
        <v>161</v>
      </c>
      <c r="L26" s="7">
        <v>1</v>
      </c>
      <c r="N26" s="53">
        <v>1</v>
      </c>
      <c r="O26" s="7">
        <v>0.5</v>
      </c>
      <c r="P26" s="7">
        <v>0.5</v>
      </c>
      <c r="Q26" s="52">
        <f t="shared" si="0"/>
        <v>0.5</v>
      </c>
      <c r="R26" s="7">
        <v>13.2</v>
      </c>
      <c r="S26" s="7">
        <v>120</v>
      </c>
      <c r="T26" s="16">
        <f t="shared" si="1"/>
        <v>30</v>
      </c>
      <c r="U26" s="7">
        <v>138</v>
      </c>
      <c r="V26" s="16">
        <f t="shared" si="2"/>
        <v>4140</v>
      </c>
      <c r="W26" s="7">
        <v>2</v>
      </c>
      <c r="X26" s="54" t="s">
        <v>39</v>
      </c>
      <c r="Y26" s="54" t="s">
        <v>84</v>
      </c>
      <c r="Z26" s="54" t="s">
        <v>90</v>
      </c>
      <c r="AA26" s="54" t="s">
        <v>78</v>
      </c>
      <c r="AB26" s="39" t="s">
        <v>158</v>
      </c>
      <c r="AE26" s="35"/>
      <c r="AP26" s="43" t="s">
        <v>117</v>
      </c>
      <c r="AR26" s="23" t="s">
        <v>153</v>
      </c>
      <c r="AV26" s="28"/>
    </row>
    <row r="27" spans="1:48" x14ac:dyDescent="0.15">
      <c r="A27" s="15" t="s">
        <v>156</v>
      </c>
      <c r="B27" s="15" t="s">
        <v>157</v>
      </c>
      <c r="C27" s="15">
        <v>2019</v>
      </c>
      <c r="D27" s="37" t="s">
        <v>166</v>
      </c>
      <c r="E27" s="7" t="s">
        <v>131</v>
      </c>
      <c r="F27" s="7" t="s">
        <v>144</v>
      </c>
      <c r="G27" s="7" t="s">
        <v>36</v>
      </c>
      <c r="H27" s="54" t="s">
        <v>164</v>
      </c>
      <c r="I27" s="53" t="s">
        <v>159</v>
      </c>
      <c r="J27" s="15" t="s">
        <v>38</v>
      </c>
      <c r="K27" s="7" t="s">
        <v>161</v>
      </c>
      <c r="L27" s="7">
        <v>2</v>
      </c>
      <c r="N27" s="53">
        <v>1</v>
      </c>
      <c r="O27" s="7">
        <v>0.5</v>
      </c>
      <c r="P27" s="7">
        <v>0.5</v>
      </c>
      <c r="Q27" s="52">
        <f t="shared" si="0"/>
        <v>0.5</v>
      </c>
      <c r="R27" s="7">
        <v>12.4</v>
      </c>
      <c r="S27" s="7">
        <v>128</v>
      </c>
      <c r="T27" s="16">
        <f t="shared" si="1"/>
        <v>27</v>
      </c>
      <c r="U27" s="7">
        <v>138</v>
      </c>
      <c r="V27" s="16">
        <f t="shared" si="2"/>
        <v>3726</v>
      </c>
      <c r="W27" s="7">
        <v>2</v>
      </c>
      <c r="X27" s="54" t="s">
        <v>39</v>
      </c>
      <c r="Y27" s="54" t="s">
        <v>84</v>
      </c>
      <c r="Z27" s="54" t="s">
        <v>90</v>
      </c>
      <c r="AA27" s="54" t="s">
        <v>78</v>
      </c>
      <c r="AB27" s="39" t="s">
        <v>158</v>
      </c>
      <c r="AE27" s="28"/>
      <c r="AP27" s="43" t="s">
        <v>118</v>
      </c>
      <c r="AR27" s="23"/>
    </row>
    <row r="28" spans="1:48" x14ac:dyDescent="0.15">
      <c r="A28" s="15" t="s">
        <v>156</v>
      </c>
      <c r="B28" s="15" t="s">
        <v>157</v>
      </c>
      <c r="C28" s="15">
        <v>2019</v>
      </c>
      <c r="D28" s="37" t="s">
        <v>166</v>
      </c>
      <c r="E28" s="7" t="s">
        <v>131</v>
      </c>
      <c r="F28" s="7" t="s">
        <v>144</v>
      </c>
      <c r="G28" s="7" t="s">
        <v>36</v>
      </c>
      <c r="H28" s="54" t="s">
        <v>164</v>
      </c>
      <c r="I28" s="53" t="s">
        <v>159</v>
      </c>
      <c r="J28" s="15" t="s">
        <v>38</v>
      </c>
      <c r="K28" s="7" t="s">
        <v>161</v>
      </c>
      <c r="L28" s="7">
        <v>3</v>
      </c>
      <c r="N28" s="53">
        <v>1</v>
      </c>
      <c r="O28" s="7">
        <v>0.5</v>
      </c>
      <c r="P28" s="7">
        <v>0.5</v>
      </c>
      <c r="Q28" s="52">
        <f t="shared" si="0"/>
        <v>0.5</v>
      </c>
      <c r="R28" s="7">
        <v>14.4</v>
      </c>
      <c r="S28" s="7">
        <v>120</v>
      </c>
      <c r="T28" s="16">
        <f t="shared" si="1"/>
        <v>30</v>
      </c>
      <c r="U28" s="7">
        <v>138</v>
      </c>
      <c r="V28" s="16">
        <f t="shared" si="2"/>
        <v>4140</v>
      </c>
      <c r="W28" s="7">
        <v>2</v>
      </c>
      <c r="X28" s="54" t="s">
        <v>39</v>
      </c>
      <c r="Y28" s="54" t="s">
        <v>84</v>
      </c>
      <c r="Z28" s="54" t="s">
        <v>90</v>
      </c>
      <c r="AA28" s="54" t="s">
        <v>78</v>
      </c>
      <c r="AB28" s="39" t="s">
        <v>158</v>
      </c>
      <c r="AP28" s="27"/>
      <c r="AR28" s="23"/>
    </row>
    <row r="29" spans="1:48" x14ac:dyDescent="0.15">
      <c r="A29" s="15" t="s">
        <v>156</v>
      </c>
      <c r="B29" s="15" t="s">
        <v>157</v>
      </c>
      <c r="C29" s="15">
        <v>2019</v>
      </c>
      <c r="D29" s="37" t="s">
        <v>166</v>
      </c>
      <c r="E29" s="7" t="s">
        <v>131</v>
      </c>
      <c r="F29" s="7" t="s">
        <v>144</v>
      </c>
      <c r="G29" s="7" t="s">
        <v>36</v>
      </c>
      <c r="H29" s="54" t="s">
        <v>164</v>
      </c>
      <c r="I29" s="7" t="s">
        <v>165</v>
      </c>
      <c r="J29" s="15" t="s">
        <v>38</v>
      </c>
      <c r="K29" s="7" t="s">
        <v>161</v>
      </c>
      <c r="L29" s="7">
        <v>1</v>
      </c>
      <c r="N29" s="53">
        <v>4</v>
      </c>
      <c r="O29" s="7">
        <v>0.5</v>
      </c>
      <c r="P29" s="7">
        <v>0.5</v>
      </c>
      <c r="Q29" s="52">
        <f t="shared" si="0"/>
        <v>0.5</v>
      </c>
      <c r="R29" s="7">
        <v>12.1</v>
      </c>
      <c r="S29" s="7">
        <v>99</v>
      </c>
      <c r="T29" s="16">
        <f t="shared" si="1"/>
        <v>33</v>
      </c>
      <c r="U29" s="7">
        <v>430</v>
      </c>
      <c r="V29" s="16">
        <f t="shared" si="2"/>
        <v>3547.5</v>
      </c>
      <c r="W29" s="7">
        <v>1</v>
      </c>
      <c r="X29" s="54" t="s">
        <v>39</v>
      </c>
      <c r="Y29" s="54" t="s">
        <v>84</v>
      </c>
      <c r="Z29" s="54" t="s">
        <v>90</v>
      </c>
      <c r="AA29" s="54" t="s">
        <v>78</v>
      </c>
      <c r="AB29" s="39" t="s">
        <v>158</v>
      </c>
      <c r="AP29" s="27"/>
      <c r="AR29" s="27"/>
      <c r="AV29" s="28"/>
    </row>
    <row r="30" spans="1:48" x14ac:dyDescent="0.15">
      <c r="A30" s="15" t="s">
        <v>156</v>
      </c>
      <c r="B30" s="15" t="s">
        <v>157</v>
      </c>
      <c r="C30" s="15">
        <v>2019</v>
      </c>
      <c r="D30" s="37" t="s">
        <v>166</v>
      </c>
      <c r="E30" s="7" t="s">
        <v>131</v>
      </c>
      <c r="F30" s="7" t="s">
        <v>144</v>
      </c>
      <c r="G30" s="7" t="s">
        <v>36</v>
      </c>
      <c r="H30" s="54" t="s">
        <v>164</v>
      </c>
      <c r="I30" s="53" t="s">
        <v>165</v>
      </c>
      <c r="J30" s="15" t="s">
        <v>38</v>
      </c>
      <c r="K30" s="7" t="s">
        <v>161</v>
      </c>
      <c r="L30" s="7">
        <v>2</v>
      </c>
      <c r="N30" s="7">
        <v>4</v>
      </c>
      <c r="O30" s="7">
        <v>0.5</v>
      </c>
      <c r="P30" s="7">
        <v>0.5</v>
      </c>
      <c r="Q30" s="52">
        <f t="shared" si="0"/>
        <v>0.5</v>
      </c>
      <c r="R30" s="7">
        <v>13.3</v>
      </c>
      <c r="S30" s="7">
        <v>102</v>
      </c>
      <c r="T30" s="16">
        <f t="shared" si="1"/>
        <v>33</v>
      </c>
      <c r="U30" s="7">
        <v>430</v>
      </c>
      <c r="V30" s="16">
        <f t="shared" si="2"/>
        <v>3547.5</v>
      </c>
      <c r="W30" s="7">
        <v>1</v>
      </c>
      <c r="X30" s="54" t="s">
        <v>39</v>
      </c>
      <c r="Y30" s="54" t="s">
        <v>84</v>
      </c>
      <c r="Z30" s="54" t="s">
        <v>90</v>
      </c>
      <c r="AA30" s="54" t="s">
        <v>78</v>
      </c>
      <c r="AB30" s="39" t="s">
        <v>158</v>
      </c>
      <c r="AP30" s="27"/>
      <c r="AR30" s="27"/>
    </row>
    <row r="31" spans="1:48" x14ac:dyDescent="0.15">
      <c r="A31" s="15" t="s">
        <v>156</v>
      </c>
      <c r="B31" s="15" t="s">
        <v>157</v>
      </c>
      <c r="C31" s="15">
        <v>2019</v>
      </c>
      <c r="D31" s="37" t="s">
        <v>166</v>
      </c>
      <c r="E31" s="7" t="s">
        <v>131</v>
      </c>
      <c r="F31" s="7" t="s">
        <v>144</v>
      </c>
      <c r="G31" s="7" t="s">
        <v>36</v>
      </c>
      <c r="H31" s="54" t="s">
        <v>164</v>
      </c>
      <c r="I31" s="53" t="s">
        <v>165</v>
      </c>
      <c r="J31" s="15" t="s">
        <v>38</v>
      </c>
      <c r="K31" s="7" t="s">
        <v>161</v>
      </c>
      <c r="L31" s="7">
        <v>3</v>
      </c>
      <c r="N31" s="7">
        <v>4</v>
      </c>
      <c r="O31" s="7">
        <v>0.5</v>
      </c>
      <c r="P31" s="7">
        <v>0.5</v>
      </c>
      <c r="Q31" s="52">
        <f t="shared" si="0"/>
        <v>0.5</v>
      </c>
      <c r="R31" s="7">
        <v>13.3</v>
      </c>
      <c r="S31" s="7">
        <v>103</v>
      </c>
      <c r="T31" s="16">
        <f t="shared" si="1"/>
        <v>33</v>
      </c>
      <c r="U31" s="7">
        <v>430</v>
      </c>
      <c r="V31" s="16">
        <f t="shared" si="2"/>
        <v>3547.5</v>
      </c>
      <c r="W31" s="7">
        <v>1</v>
      </c>
      <c r="X31" s="54" t="s">
        <v>39</v>
      </c>
      <c r="Y31" s="54" t="s">
        <v>84</v>
      </c>
      <c r="Z31" s="54" t="s">
        <v>90</v>
      </c>
      <c r="AA31" s="54" t="s">
        <v>78</v>
      </c>
      <c r="AB31" s="39" t="s">
        <v>158</v>
      </c>
      <c r="AP31" s="27"/>
      <c r="AR31" s="27"/>
    </row>
    <row r="32" spans="1:48" x14ac:dyDescent="0.15">
      <c r="A32" s="15" t="s">
        <v>156</v>
      </c>
      <c r="B32" s="15" t="s">
        <v>157</v>
      </c>
      <c r="C32" s="15">
        <v>2019</v>
      </c>
      <c r="D32" s="37" t="s">
        <v>166</v>
      </c>
      <c r="E32" s="7" t="s">
        <v>139</v>
      </c>
      <c r="F32" s="7" t="s">
        <v>145</v>
      </c>
      <c r="G32" s="7" t="s">
        <v>36</v>
      </c>
      <c r="H32" s="15" t="s">
        <v>164</v>
      </c>
      <c r="I32" s="7" t="s">
        <v>159</v>
      </c>
      <c r="J32" s="15" t="s">
        <v>38</v>
      </c>
      <c r="K32" s="7" t="s">
        <v>161</v>
      </c>
      <c r="L32" s="7">
        <v>1</v>
      </c>
      <c r="N32" s="7">
        <v>1</v>
      </c>
      <c r="O32" s="7">
        <v>0.5</v>
      </c>
      <c r="P32" s="7">
        <v>0.5</v>
      </c>
      <c r="Q32" s="52">
        <f t="shared" si="0"/>
        <v>0.5</v>
      </c>
      <c r="R32" s="7">
        <v>12.7</v>
      </c>
      <c r="S32" s="7">
        <v>106</v>
      </c>
      <c r="T32" s="16">
        <f t="shared" si="1"/>
        <v>33</v>
      </c>
      <c r="U32" s="7">
        <v>108</v>
      </c>
      <c r="V32" s="16">
        <f t="shared" si="2"/>
        <v>3564</v>
      </c>
      <c r="W32" s="7">
        <v>3</v>
      </c>
      <c r="X32" s="54" t="s">
        <v>46</v>
      </c>
      <c r="Y32" s="54" t="s">
        <v>84</v>
      </c>
      <c r="Z32" s="54" t="s">
        <v>50</v>
      </c>
      <c r="AA32" s="54" t="s">
        <v>90</v>
      </c>
      <c r="AB32" s="39" t="s">
        <v>158</v>
      </c>
      <c r="AP32" s="28"/>
      <c r="AR32" s="28"/>
    </row>
    <row r="33" spans="1:44" x14ac:dyDescent="0.15">
      <c r="A33" s="15" t="s">
        <v>156</v>
      </c>
      <c r="B33" s="15" t="s">
        <v>157</v>
      </c>
      <c r="C33" s="15">
        <v>2019</v>
      </c>
      <c r="D33" s="37" t="s">
        <v>166</v>
      </c>
      <c r="E33" s="7" t="s">
        <v>139</v>
      </c>
      <c r="F33" s="7" t="s">
        <v>145</v>
      </c>
      <c r="G33" s="7" t="s">
        <v>36</v>
      </c>
      <c r="H33" s="54" t="s">
        <v>164</v>
      </c>
      <c r="I33" s="53" t="s">
        <v>159</v>
      </c>
      <c r="J33" s="54" t="s">
        <v>38</v>
      </c>
      <c r="K33" s="53" t="s">
        <v>161</v>
      </c>
      <c r="L33" s="7">
        <v>2</v>
      </c>
      <c r="N33" s="7">
        <v>1</v>
      </c>
      <c r="O33" s="7">
        <v>0.5</v>
      </c>
      <c r="P33" s="7">
        <v>0.5</v>
      </c>
      <c r="Q33" s="52">
        <f t="shared" si="0"/>
        <v>0.5</v>
      </c>
      <c r="R33" s="7">
        <v>12.7</v>
      </c>
      <c r="S33" s="7">
        <v>111</v>
      </c>
      <c r="T33" s="16">
        <f t="shared" si="1"/>
        <v>33</v>
      </c>
      <c r="U33" s="7">
        <v>108</v>
      </c>
      <c r="V33" s="16">
        <f t="shared" si="2"/>
        <v>3564</v>
      </c>
      <c r="W33" s="7">
        <v>3</v>
      </c>
      <c r="X33" s="54" t="s">
        <v>46</v>
      </c>
      <c r="Y33" s="54" t="s">
        <v>84</v>
      </c>
      <c r="Z33" s="54" t="s">
        <v>50</v>
      </c>
      <c r="AA33" s="54" t="s">
        <v>90</v>
      </c>
      <c r="AB33" s="39" t="s">
        <v>158</v>
      </c>
    </row>
    <row r="34" spans="1:44" x14ac:dyDescent="0.15">
      <c r="A34" s="15" t="s">
        <v>156</v>
      </c>
      <c r="B34" s="15" t="s">
        <v>157</v>
      </c>
      <c r="C34" s="15">
        <v>2019</v>
      </c>
      <c r="D34" s="37" t="s">
        <v>166</v>
      </c>
      <c r="E34" s="7" t="s">
        <v>139</v>
      </c>
      <c r="F34" s="7" t="s">
        <v>145</v>
      </c>
      <c r="G34" s="7" t="s">
        <v>36</v>
      </c>
      <c r="H34" s="54" t="s">
        <v>164</v>
      </c>
      <c r="I34" s="53" t="s">
        <v>159</v>
      </c>
      <c r="J34" s="54" t="s">
        <v>38</v>
      </c>
      <c r="K34" s="53" t="s">
        <v>161</v>
      </c>
      <c r="L34" s="7">
        <v>3</v>
      </c>
      <c r="N34" s="7">
        <v>1</v>
      </c>
      <c r="O34" s="7">
        <v>0.5</v>
      </c>
      <c r="P34" s="7">
        <v>0.5</v>
      </c>
      <c r="Q34" s="52">
        <f t="shared" si="0"/>
        <v>0.5</v>
      </c>
      <c r="R34" s="7">
        <v>13</v>
      </c>
      <c r="S34" s="7">
        <v>104</v>
      </c>
      <c r="T34" s="16">
        <f t="shared" si="1"/>
        <v>33</v>
      </c>
      <c r="U34" s="7">
        <v>108</v>
      </c>
      <c r="V34" s="16">
        <f t="shared" si="2"/>
        <v>3564</v>
      </c>
      <c r="W34" s="7">
        <v>3</v>
      </c>
      <c r="X34" s="54" t="s">
        <v>46</v>
      </c>
      <c r="Y34" s="54" t="s">
        <v>84</v>
      </c>
      <c r="Z34" s="54" t="s">
        <v>50</v>
      </c>
      <c r="AA34" s="54" t="s">
        <v>90</v>
      </c>
      <c r="AB34" s="39" t="s">
        <v>158</v>
      </c>
    </row>
    <row r="35" spans="1:44" x14ac:dyDescent="0.15">
      <c r="A35" s="15" t="s">
        <v>156</v>
      </c>
      <c r="B35" s="15" t="s">
        <v>157</v>
      </c>
      <c r="C35" s="15">
        <v>2019</v>
      </c>
      <c r="D35" s="37" t="s">
        <v>166</v>
      </c>
      <c r="E35" s="7" t="s">
        <v>139</v>
      </c>
      <c r="F35" s="7" t="s">
        <v>145</v>
      </c>
      <c r="G35" s="7" t="s">
        <v>36</v>
      </c>
      <c r="H35" s="15" t="s">
        <v>168</v>
      </c>
      <c r="I35" s="7" t="s">
        <v>159</v>
      </c>
      <c r="J35" s="15" t="s">
        <v>38</v>
      </c>
      <c r="K35" s="7" t="s">
        <v>54</v>
      </c>
      <c r="L35" s="7">
        <v>1</v>
      </c>
      <c r="N35" s="7">
        <v>1</v>
      </c>
      <c r="O35" s="7">
        <v>0.5</v>
      </c>
      <c r="P35" s="7">
        <v>0.5</v>
      </c>
      <c r="Q35" s="52">
        <f t="shared" si="0"/>
        <v>0.5</v>
      </c>
      <c r="R35" s="7">
        <v>18.5</v>
      </c>
      <c r="S35" s="7">
        <v>90</v>
      </c>
      <c r="T35" s="16">
        <f t="shared" si="1"/>
        <v>39</v>
      </c>
      <c r="U35" s="7">
        <v>159</v>
      </c>
      <c r="V35" s="16">
        <f t="shared" si="2"/>
        <v>6201</v>
      </c>
      <c r="W35" s="7">
        <v>2</v>
      </c>
      <c r="X35" s="54" t="s">
        <v>46</v>
      </c>
      <c r="Y35" s="54" t="s">
        <v>84</v>
      </c>
      <c r="Z35" s="54" t="s">
        <v>50</v>
      </c>
      <c r="AA35" s="54" t="s">
        <v>90</v>
      </c>
      <c r="AB35" s="39" t="s">
        <v>158</v>
      </c>
      <c r="AP35" s="28"/>
      <c r="AR35" s="28"/>
    </row>
    <row r="36" spans="1:44" x14ac:dyDescent="0.15">
      <c r="A36" s="15" t="s">
        <v>156</v>
      </c>
      <c r="B36" s="15" t="s">
        <v>157</v>
      </c>
      <c r="C36" s="15">
        <v>2019</v>
      </c>
      <c r="D36" s="37" t="s">
        <v>166</v>
      </c>
      <c r="E36" s="7" t="s">
        <v>139</v>
      </c>
      <c r="F36" s="7" t="s">
        <v>145</v>
      </c>
      <c r="G36" s="7" t="s">
        <v>36</v>
      </c>
      <c r="H36" s="54" t="s">
        <v>168</v>
      </c>
      <c r="I36" s="7" t="s">
        <v>159</v>
      </c>
      <c r="J36" s="15" t="s">
        <v>38</v>
      </c>
      <c r="K36" s="7" t="s">
        <v>54</v>
      </c>
      <c r="L36" s="7">
        <v>2</v>
      </c>
      <c r="N36" s="7">
        <v>1</v>
      </c>
      <c r="O36" s="7">
        <v>0.5</v>
      </c>
      <c r="P36" s="7">
        <v>0.5</v>
      </c>
      <c r="Q36" s="52">
        <f t="shared" si="0"/>
        <v>0.5</v>
      </c>
      <c r="R36" s="7">
        <v>14.7</v>
      </c>
      <c r="S36" s="7">
        <v>92</v>
      </c>
      <c r="T36" s="16">
        <f t="shared" si="1"/>
        <v>39</v>
      </c>
      <c r="U36" s="7">
        <v>159</v>
      </c>
      <c r="V36" s="16">
        <f t="shared" si="2"/>
        <v>6201</v>
      </c>
      <c r="W36" s="7">
        <v>2</v>
      </c>
      <c r="X36" s="54" t="s">
        <v>46</v>
      </c>
      <c r="Y36" s="54" t="s">
        <v>84</v>
      </c>
      <c r="Z36" s="54" t="s">
        <v>50</v>
      </c>
      <c r="AA36" s="54" t="s">
        <v>90</v>
      </c>
      <c r="AB36" s="39" t="s">
        <v>158</v>
      </c>
    </row>
    <row r="37" spans="1:44" x14ac:dyDescent="0.15">
      <c r="A37" s="15" t="s">
        <v>156</v>
      </c>
      <c r="B37" s="15" t="s">
        <v>157</v>
      </c>
      <c r="C37" s="15">
        <v>2019</v>
      </c>
      <c r="D37" s="37" t="s">
        <v>166</v>
      </c>
      <c r="E37" s="7" t="s">
        <v>139</v>
      </c>
      <c r="F37" s="7" t="s">
        <v>145</v>
      </c>
      <c r="G37" s="7" t="s">
        <v>36</v>
      </c>
      <c r="H37" s="54" t="s">
        <v>168</v>
      </c>
      <c r="I37" s="7" t="s">
        <v>159</v>
      </c>
      <c r="J37" s="15" t="s">
        <v>38</v>
      </c>
      <c r="K37" s="7" t="s">
        <v>54</v>
      </c>
      <c r="L37" s="7">
        <v>3</v>
      </c>
      <c r="N37" s="7">
        <v>1</v>
      </c>
      <c r="O37" s="34">
        <v>0.5</v>
      </c>
      <c r="P37" s="34">
        <v>0.5</v>
      </c>
      <c r="Q37" s="52">
        <f t="shared" si="0"/>
        <v>0.5</v>
      </c>
      <c r="R37" s="7">
        <v>16.5</v>
      </c>
      <c r="S37" s="7">
        <v>92</v>
      </c>
      <c r="T37" s="16">
        <f t="shared" si="1"/>
        <v>39</v>
      </c>
      <c r="U37" s="7">
        <v>159</v>
      </c>
      <c r="V37" s="16">
        <f t="shared" si="2"/>
        <v>6201</v>
      </c>
      <c r="W37" s="7">
        <v>2</v>
      </c>
      <c r="X37" s="54" t="s">
        <v>46</v>
      </c>
      <c r="Y37" s="54" t="s">
        <v>84</v>
      </c>
      <c r="Z37" s="54" t="s">
        <v>50</v>
      </c>
      <c r="AA37" s="54" t="s">
        <v>90</v>
      </c>
      <c r="AB37" s="39" t="s">
        <v>158</v>
      </c>
    </row>
    <row r="38" spans="1:44" x14ac:dyDescent="0.15">
      <c r="A38" s="15" t="s">
        <v>156</v>
      </c>
      <c r="B38" s="15" t="s">
        <v>157</v>
      </c>
      <c r="C38" s="15">
        <v>2019</v>
      </c>
      <c r="D38" s="37" t="s">
        <v>166</v>
      </c>
      <c r="E38" s="7" t="s">
        <v>162</v>
      </c>
      <c r="F38" s="7" t="s">
        <v>163</v>
      </c>
      <c r="G38" s="7" t="s">
        <v>36</v>
      </c>
      <c r="H38" s="15" t="s">
        <v>164</v>
      </c>
      <c r="I38" s="7" t="s">
        <v>159</v>
      </c>
      <c r="J38" s="15" t="s">
        <v>38</v>
      </c>
      <c r="K38" s="7" t="s">
        <v>161</v>
      </c>
      <c r="L38" s="7">
        <v>1</v>
      </c>
      <c r="N38" s="53">
        <v>1</v>
      </c>
      <c r="O38" s="34">
        <v>0.5</v>
      </c>
      <c r="P38" s="34">
        <v>0.5</v>
      </c>
      <c r="Q38" s="52">
        <f t="shared" si="0"/>
        <v>0.5</v>
      </c>
      <c r="R38" s="7">
        <v>15.6</v>
      </c>
      <c r="S38" s="7">
        <v>120</v>
      </c>
      <c r="T38" s="16">
        <f t="shared" si="1"/>
        <v>30</v>
      </c>
      <c r="U38" s="7">
        <v>98</v>
      </c>
      <c r="V38" s="16">
        <f t="shared" si="2"/>
        <v>2940</v>
      </c>
      <c r="W38" s="7">
        <v>3</v>
      </c>
      <c r="X38" s="54" t="s">
        <v>39</v>
      </c>
      <c r="Y38" s="54" t="s">
        <v>84</v>
      </c>
      <c r="Z38" s="54" t="s">
        <v>69</v>
      </c>
      <c r="AA38" s="54" t="s">
        <v>40</v>
      </c>
      <c r="AB38" s="39" t="s">
        <v>158</v>
      </c>
    </row>
    <row r="39" spans="1:44" x14ac:dyDescent="0.15">
      <c r="A39" s="15" t="s">
        <v>156</v>
      </c>
      <c r="B39" s="15" t="s">
        <v>157</v>
      </c>
      <c r="C39" s="15">
        <v>2019</v>
      </c>
      <c r="D39" s="37" t="s">
        <v>166</v>
      </c>
      <c r="E39" s="7" t="s">
        <v>162</v>
      </c>
      <c r="F39" s="7" t="s">
        <v>163</v>
      </c>
      <c r="G39" s="7" t="s">
        <v>36</v>
      </c>
      <c r="H39" s="54" t="s">
        <v>164</v>
      </c>
      <c r="I39" s="7" t="s">
        <v>159</v>
      </c>
      <c r="J39" s="15" t="s">
        <v>38</v>
      </c>
      <c r="K39" s="7" t="s">
        <v>161</v>
      </c>
      <c r="L39" s="7">
        <v>2</v>
      </c>
      <c r="N39" s="53">
        <v>1</v>
      </c>
      <c r="O39" s="7">
        <v>0.5</v>
      </c>
      <c r="P39" s="7">
        <v>0.5</v>
      </c>
      <c r="Q39" s="52">
        <f t="shared" si="0"/>
        <v>0.5</v>
      </c>
      <c r="R39" s="34">
        <v>14.6</v>
      </c>
      <c r="S39" s="7">
        <v>121</v>
      </c>
      <c r="T39" s="16">
        <f t="shared" si="1"/>
        <v>27</v>
      </c>
      <c r="U39" s="7">
        <v>98</v>
      </c>
      <c r="V39" s="16">
        <f t="shared" si="2"/>
        <v>2646</v>
      </c>
      <c r="W39" s="7">
        <v>3</v>
      </c>
      <c r="X39" s="54" t="s">
        <v>39</v>
      </c>
      <c r="Y39" s="54" t="s">
        <v>84</v>
      </c>
      <c r="Z39" s="54" t="s">
        <v>69</v>
      </c>
      <c r="AA39" s="54" t="s">
        <v>40</v>
      </c>
      <c r="AB39" s="39" t="s">
        <v>158</v>
      </c>
    </row>
    <row r="40" spans="1:44" x14ac:dyDescent="0.15">
      <c r="A40" s="15" t="s">
        <v>156</v>
      </c>
      <c r="B40" s="15" t="s">
        <v>157</v>
      </c>
      <c r="C40" s="15">
        <v>2019</v>
      </c>
      <c r="D40" s="37" t="s">
        <v>166</v>
      </c>
      <c r="E40" s="7" t="s">
        <v>162</v>
      </c>
      <c r="F40" s="7" t="s">
        <v>163</v>
      </c>
      <c r="G40" s="7" t="s">
        <v>36</v>
      </c>
      <c r="H40" s="54" t="s">
        <v>164</v>
      </c>
      <c r="I40" s="7" t="s">
        <v>159</v>
      </c>
      <c r="J40" s="15" t="s">
        <v>38</v>
      </c>
      <c r="K40" s="7" t="s">
        <v>161</v>
      </c>
      <c r="L40" s="7">
        <v>3</v>
      </c>
      <c r="N40" s="53">
        <v>1</v>
      </c>
      <c r="O40" s="7">
        <v>0.55000000000000004</v>
      </c>
      <c r="P40" s="7">
        <v>0.5</v>
      </c>
      <c r="Q40" s="52">
        <f t="shared" si="0"/>
        <v>0.52500000000000002</v>
      </c>
      <c r="R40" s="7">
        <v>14.7</v>
      </c>
      <c r="S40" s="7">
        <v>121</v>
      </c>
      <c r="T40" s="16">
        <f t="shared" si="1"/>
        <v>27</v>
      </c>
      <c r="U40" s="7">
        <v>98</v>
      </c>
      <c r="V40" s="16">
        <f t="shared" si="2"/>
        <v>2646</v>
      </c>
      <c r="W40" s="7">
        <v>3</v>
      </c>
      <c r="X40" s="54" t="s">
        <v>39</v>
      </c>
      <c r="Y40" s="54" t="s">
        <v>84</v>
      </c>
      <c r="Z40" s="54" t="s">
        <v>69</v>
      </c>
      <c r="AA40" s="54" t="s">
        <v>40</v>
      </c>
      <c r="AB40" s="39" t="s">
        <v>158</v>
      </c>
    </row>
    <row r="41" spans="1:44" ht="12.75" customHeight="1" x14ac:dyDescent="0.15">
      <c r="A41" s="15" t="s">
        <v>156</v>
      </c>
      <c r="B41" s="15" t="s">
        <v>157</v>
      </c>
      <c r="C41" s="15">
        <v>2019</v>
      </c>
      <c r="D41" s="37" t="s">
        <v>166</v>
      </c>
      <c r="E41" s="7" t="s">
        <v>162</v>
      </c>
      <c r="F41" s="7" t="s">
        <v>163</v>
      </c>
      <c r="G41" s="7" t="s">
        <v>36</v>
      </c>
      <c r="H41" s="15" t="s">
        <v>160</v>
      </c>
      <c r="I41" s="7" t="s">
        <v>159</v>
      </c>
      <c r="J41" s="15" t="s">
        <v>38</v>
      </c>
      <c r="K41" s="7" t="s">
        <v>54</v>
      </c>
      <c r="L41" s="7">
        <v>1</v>
      </c>
      <c r="N41" s="7">
        <v>4</v>
      </c>
      <c r="O41" s="7">
        <v>0.5</v>
      </c>
      <c r="P41" s="7">
        <v>0.5</v>
      </c>
      <c r="Q41" s="52">
        <f t="shared" si="0"/>
        <v>0.5</v>
      </c>
      <c r="R41" s="7">
        <v>13.7</v>
      </c>
      <c r="S41" s="7">
        <v>104</v>
      </c>
      <c r="T41" s="16">
        <f t="shared" si="1"/>
        <v>33</v>
      </c>
      <c r="U41" s="7">
        <v>498</v>
      </c>
      <c r="V41" s="16">
        <f t="shared" si="2"/>
        <v>4108.5</v>
      </c>
      <c r="W41" s="7">
        <v>1</v>
      </c>
      <c r="X41" s="54" t="s">
        <v>39</v>
      </c>
      <c r="Y41" s="54" t="s">
        <v>84</v>
      </c>
      <c r="Z41" s="54" t="s">
        <v>69</v>
      </c>
      <c r="AA41" s="54" t="s">
        <v>40</v>
      </c>
      <c r="AB41" s="39" t="s">
        <v>158</v>
      </c>
    </row>
    <row r="42" spans="1:44" x14ac:dyDescent="0.15">
      <c r="A42" s="15" t="s">
        <v>156</v>
      </c>
      <c r="B42" s="15" t="s">
        <v>157</v>
      </c>
      <c r="C42" s="15">
        <v>2019</v>
      </c>
      <c r="D42" s="37" t="s">
        <v>166</v>
      </c>
      <c r="E42" s="7" t="s">
        <v>162</v>
      </c>
      <c r="F42" s="7" t="s">
        <v>163</v>
      </c>
      <c r="G42" s="7" t="s">
        <v>36</v>
      </c>
      <c r="H42" s="54" t="s">
        <v>160</v>
      </c>
      <c r="I42" s="7" t="s">
        <v>159</v>
      </c>
      <c r="J42" s="15" t="s">
        <v>38</v>
      </c>
      <c r="K42" s="53" t="s">
        <v>54</v>
      </c>
      <c r="L42" s="7">
        <v>2</v>
      </c>
      <c r="N42" s="7">
        <v>4</v>
      </c>
      <c r="O42" s="7">
        <v>0.5</v>
      </c>
      <c r="P42" s="7">
        <v>0.5</v>
      </c>
      <c r="Q42" s="52">
        <f t="shared" si="0"/>
        <v>0.5</v>
      </c>
      <c r="R42" s="7">
        <v>14.5</v>
      </c>
      <c r="S42" s="7">
        <v>96</v>
      </c>
      <c r="T42" s="16">
        <f t="shared" si="1"/>
        <v>36</v>
      </c>
      <c r="U42" s="7">
        <v>498</v>
      </c>
      <c r="V42" s="16">
        <f t="shared" si="2"/>
        <v>4482</v>
      </c>
      <c r="W42" s="7">
        <v>1</v>
      </c>
      <c r="X42" s="54" t="s">
        <v>39</v>
      </c>
      <c r="Y42" s="54" t="s">
        <v>84</v>
      </c>
      <c r="Z42" s="54" t="s">
        <v>69</v>
      </c>
      <c r="AA42" s="54" t="s">
        <v>40</v>
      </c>
      <c r="AB42" s="39" t="s">
        <v>158</v>
      </c>
    </row>
    <row r="43" spans="1:44" x14ac:dyDescent="0.15">
      <c r="A43" s="15" t="s">
        <v>156</v>
      </c>
      <c r="B43" s="15" t="s">
        <v>157</v>
      </c>
      <c r="C43" s="15">
        <v>2019</v>
      </c>
      <c r="D43" s="37" t="s">
        <v>166</v>
      </c>
      <c r="E43" s="7" t="s">
        <v>162</v>
      </c>
      <c r="F43" s="7" t="s">
        <v>163</v>
      </c>
      <c r="G43" s="7" t="s">
        <v>36</v>
      </c>
      <c r="H43" s="54" t="s">
        <v>160</v>
      </c>
      <c r="I43" s="7" t="s">
        <v>159</v>
      </c>
      <c r="J43" s="15" t="s">
        <v>38</v>
      </c>
      <c r="K43" s="53" t="s">
        <v>54</v>
      </c>
      <c r="L43" s="7">
        <v>3</v>
      </c>
      <c r="N43" s="7">
        <v>4</v>
      </c>
      <c r="O43" s="7">
        <v>0.5</v>
      </c>
      <c r="P43" s="7">
        <v>0.5</v>
      </c>
      <c r="Q43" s="52">
        <f t="shared" si="0"/>
        <v>0.5</v>
      </c>
      <c r="R43" s="7">
        <v>18.5</v>
      </c>
      <c r="S43" s="7">
        <v>97</v>
      </c>
      <c r="T43" s="16">
        <f t="shared" si="1"/>
        <v>36</v>
      </c>
      <c r="U43" s="7">
        <v>498</v>
      </c>
      <c r="V43" s="16">
        <f t="shared" si="2"/>
        <v>4482</v>
      </c>
      <c r="W43" s="7">
        <v>1</v>
      </c>
      <c r="X43" s="54" t="s">
        <v>39</v>
      </c>
      <c r="Y43" s="54" t="s">
        <v>84</v>
      </c>
      <c r="Z43" s="54" t="s">
        <v>69</v>
      </c>
      <c r="AA43" s="54" t="s">
        <v>40</v>
      </c>
      <c r="AB43" s="39" t="s">
        <v>158</v>
      </c>
    </row>
    <row r="44" spans="1:44" x14ac:dyDescent="0.15">
      <c r="A44" s="15" t="s">
        <v>156</v>
      </c>
      <c r="B44" s="15" t="s">
        <v>157</v>
      </c>
      <c r="C44" s="15">
        <v>2019</v>
      </c>
      <c r="D44" s="37" t="s">
        <v>166</v>
      </c>
      <c r="E44" s="7" t="s">
        <v>130</v>
      </c>
      <c r="F44" s="7" t="s">
        <v>146</v>
      </c>
      <c r="G44" s="7" t="s">
        <v>36</v>
      </c>
      <c r="H44" s="15" t="s">
        <v>164</v>
      </c>
      <c r="I44" s="7" t="s">
        <v>159</v>
      </c>
      <c r="J44" s="15" t="s">
        <v>38</v>
      </c>
      <c r="K44" s="7" t="s">
        <v>161</v>
      </c>
      <c r="L44" s="7">
        <v>1</v>
      </c>
      <c r="N44" s="7">
        <v>1</v>
      </c>
      <c r="O44" s="7">
        <v>0.5</v>
      </c>
      <c r="P44" s="7">
        <v>0.55000000000000004</v>
      </c>
      <c r="Q44" s="52">
        <f t="shared" si="0"/>
        <v>0.52500000000000002</v>
      </c>
      <c r="R44" s="7">
        <v>13.5</v>
      </c>
      <c r="S44" s="7">
        <v>93</v>
      </c>
      <c r="T44" s="16">
        <f t="shared" si="1"/>
        <v>36</v>
      </c>
      <c r="U44" s="7">
        <v>48</v>
      </c>
      <c r="V44" s="16">
        <f t="shared" si="2"/>
        <v>1728</v>
      </c>
      <c r="W44" s="7">
        <v>4</v>
      </c>
      <c r="X44" s="54" t="s">
        <v>46</v>
      </c>
      <c r="Y44" s="54" t="s">
        <v>84</v>
      </c>
      <c r="Z44" s="54" t="s">
        <v>90</v>
      </c>
      <c r="AA44" s="54" t="s">
        <v>40</v>
      </c>
      <c r="AB44" s="39" t="s">
        <v>158</v>
      </c>
    </row>
    <row r="45" spans="1:44" x14ac:dyDescent="0.15">
      <c r="A45" s="15" t="s">
        <v>156</v>
      </c>
      <c r="B45" s="15" t="s">
        <v>157</v>
      </c>
      <c r="C45" s="15">
        <v>2019</v>
      </c>
      <c r="D45" s="37" t="s">
        <v>166</v>
      </c>
      <c r="E45" s="7" t="s">
        <v>130</v>
      </c>
      <c r="F45" s="7" t="s">
        <v>146</v>
      </c>
      <c r="G45" s="7" t="s">
        <v>36</v>
      </c>
      <c r="H45" s="15" t="s">
        <v>164</v>
      </c>
      <c r="I45" s="7" t="s">
        <v>159</v>
      </c>
      <c r="J45" s="15" t="s">
        <v>38</v>
      </c>
      <c r="K45" s="7" t="s">
        <v>161</v>
      </c>
      <c r="L45" s="7">
        <v>2</v>
      </c>
      <c r="N45" s="7">
        <v>1</v>
      </c>
      <c r="O45" s="7">
        <v>0.5</v>
      </c>
      <c r="P45" s="7">
        <v>0.6</v>
      </c>
      <c r="Q45" s="52">
        <f t="shared" si="0"/>
        <v>0.55000000000000004</v>
      </c>
      <c r="R45" s="7">
        <v>13.7</v>
      </c>
      <c r="S45" s="7">
        <v>85</v>
      </c>
      <c r="T45" s="16">
        <f t="shared" si="1"/>
        <v>36</v>
      </c>
      <c r="U45" s="7">
        <v>48</v>
      </c>
      <c r="V45" s="16">
        <f t="shared" si="2"/>
        <v>1728</v>
      </c>
      <c r="W45" s="7">
        <v>4</v>
      </c>
      <c r="X45" s="54" t="s">
        <v>46</v>
      </c>
      <c r="Y45" s="54" t="s">
        <v>84</v>
      </c>
      <c r="Z45" s="54" t="s">
        <v>90</v>
      </c>
      <c r="AA45" s="54" t="s">
        <v>40</v>
      </c>
      <c r="AB45" s="39" t="s">
        <v>158</v>
      </c>
    </row>
    <row r="46" spans="1:44" x14ac:dyDescent="0.15">
      <c r="A46" s="15" t="s">
        <v>156</v>
      </c>
      <c r="B46" s="15" t="s">
        <v>157</v>
      </c>
      <c r="C46" s="15">
        <v>2019</v>
      </c>
      <c r="D46" s="37" t="s">
        <v>166</v>
      </c>
      <c r="E46" s="7" t="s">
        <v>130</v>
      </c>
      <c r="F46" s="7" t="s">
        <v>146</v>
      </c>
      <c r="G46" s="7" t="s">
        <v>36</v>
      </c>
      <c r="H46" s="15" t="s">
        <v>164</v>
      </c>
      <c r="I46" s="7" t="s">
        <v>159</v>
      </c>
      <c r="J46" s="15" t="s">
        <v>38</v>
      </c>
      <c r="K46" s="7" t="s">
        <v>161</v>
      </c>
      <c r="L46" s="7">
        <v>3</v>
      </c>
      <c r="N46" s="7">
        <v>1</v>
      </c>
      <c r="O46" s="7">
        <v>0.5</v>
      </c>
      <c r="P46" s="34">
        <v>0.5</v>
      </c>
      <c r="Q46" s="52">
        <f t="shared" si="0"/>
        <v>0.5</v>
      </c>
      <c r="R46" s="7">
        <v>13.4</v>
      </c>
      <c r="S46" s="7">
        <v>89</v>
      </c>
      <c r="T46" s="16">
        <f t="shared" si="1"/>
        <v>36</v>
      </c>
      <c r="U46" s="7">
        <v>48</v>
      </c>
      <c r="V46" s="16">
        <f t="shared" si="2"/>
        <v>1728</v>
      </c>
      <c r="W46" s="7">
        <v>4</v>
      </c>
      <c r="X46" s="54" t="s">
        <v>46</v>
      </c>
      <c r="Y46" s="54" t="s">
        <v>84</v>
      </c>
      <c r="Z46" s="54" t="s">
        <v>90</v>
      </c>
      <c r="AA46" s="54" t="s">
        <v>40</v>
      </c>
      <c r="AB46" s="39" t="s">
        <v>158</v>
      </c>
    </row>
    <row r="47" spans="1:44" x14ac:dyDescent="0.15">
      <c r="A47" s="15" t="s">
        <v>156</v>
      </c>
      <c r="B47" s="15" t="s">
        <v>157</v>
      </c>
      <c r="C47" s="15">
        <v>2019</v>
      </c>
      <c r="D47" s="37" t="s">
        <v>166</v>
      </c>
      <c r="E47" s="7" t="s">
        <v>130</v>
      </c>
      <c r="F47" s="7" t="s">
        <v>146</v>
      </c>
      <c r="G47" s="7" t="s">
        <v>36</v>
      </c>
      <c r="H47" s="15" t="s">
        <v>168</v>
      </c>
      <c r="I47" s="7" t="s">
        <v>159</v>
      </c>
      <c r="J47" s="15" t="s">
        <v>38</v>
      </c>
      <c r="K47" s="7" t="s">
        <v>54</v>
      </c>
      <c r="L47" s="7">
        <v>1</v>
      </c>
      <c r="N47" s="7">
        <v>1</v>
      </c>
      <c r="O47" s="7">
        <v>0.55000000000000004</v>
      </c>
      <c r="P47" s="7">
        <v>0.5</v>
      </c>
      <c r="Q47" s="52">
        <f t="shared" si="0"/>
        <v>0.52500000000000002</v>
      </c>
      <c r="R47" s="7">
        <v>13.8</v>
      </c>
      <c r="S47" s="7">
        <v>103</v>
      </c>
      <c r="T47" s="16">
        <f t="shared" si="1"/>
        <v>36</v>
      </c>
      <c r="U47" s="7">
        <v>135</v>
      </c>
      <c r="V47" s="16">
        <f t="shared" si="2"/>
        <v>4860</v>
      </c>
      <c r="W47" s="7">
        <v>2</v>
      </c>
      <c r="X47" s="54" t="s">
        <v>46</v>
      </c>
      <c r="Y47" s="54" t="s">
        <v>84</v>
      </c>
      <c r="Z47" s="54" t="s">
        <v>90</v>
      </c>
      <c r="AA47" s="54" t="s">
        <v>40</v>
      </c>
      <c r="AB47" s="39" t="s">
        <v>158</v>
      </c>
    </row>
    <row r="48" spans="1:44" x14ac:dyDescent="0.15">
      <c r="A48" s="15" t="s">
        <v>156</v>
      </c>
      <c r="B48" s="15" t="s">
        <v>157</v>
      </c>
      <c r="C48" s="15">
        <v>2019</v>
      </c>
      <c r="D48" s="37" t="s">
        <v>166</v>
      </c>
      <c r="E48" s="7" t="s">
        <v>130</v>
      </c>
      <c r="F48" s="7" t="s">
        <v>146</v>
      </c>
      <c r="G48" s="7" t="s">
        <v>36</v>
      </c>
      <c r="H48" s="54" t="s">
        <v>168</v>
      </c>
      <c r="I48" s="7" t="s">
        <v>159</v>
      </c>
      <c r="J48" s="15" t="s">
        <v>38</v>
      </c>
      <c r="K48" s="53" t="s">
        <v>54</v>
      </c>
      <c r="L48" s="7">
        <v>2</v>
      </c>
      <c r="N48" s="7">
        <v>1</v>
      </c>
      <c r="O48" s="7">
        <v>0.5</v>
      </c>
      <c r="P48" s="7">
        <v>0.5</v>
      </c>
      <c r="Q48" s="52">
        <f t="shared" si="0"/>
        <v>0.5</v>
      </c>
      <c r="R48" s="7">
        <v>14</v>
      </c>
      <c r="S48" s="7">
        <v>105</v>
      </c>
      <c r="T48" s="16">
        <f t="shared" si="1"/>
        <v>36</v>
      </c>
      <c r="U48" s="7">
        <v>135</v>
      </c>
      <c r="V48" s="16">
        <f t="shared" si="2"/>
        <v>4860</v>
      </c>
      <c r="W48" s="7">
        <v>2</v>
      </c>
      <c r="X48" s="54" t="s">
        <v>46</v>
      </c>
      <c r="Y48" s="54" t="s">
        <v>84</v>
      </c>
      <c r="Z48" s="54" t="s">
        <v>90</v>
      </c>
      <c r="AA48" s="54" t="s">
        <v>40</v>
      </c>
      <c r="AB48" s="39" t="s">
        <v>158</v>
      </c>
    </row>
    <row r="49" spans="1:29" x14ac:dyDescent="0.15">
      <c r="A49" s="15" t="s">
        <v>156</v>
      </c>
      <c r="B49" s="15" t="s">
        <v>157</v>
      </c>
      <c r="C49" s="15">
        <v>2019</v>
      </c>
      <c r="D49" s="37" t="s">
        <v>166</v>
      </c>
      <c r="E49" s="7" t="s">
        <v>130</v>
      </c>
      <c r="F49" s="7" t="s">
        <v>146</v>
      </c>
      <c r="G49" s="7" t="s">
        <v>36</v>
      </c>
      <c r="H49" s="54" t="s">
        <v>168</v>
      </c>
      <c r="I49" s="7" t="s">
        <v>159</v>
      </c>
      <c r="J49" s="15" t="s">
        <v>38</v>
      </c>
      <c r="K49" s="53" t="s">
        <v>54</v>
      </c>
      <c r="L49" s="7">
        <v>3</v>
      </c>
      <c r="N49" s="7">
        <v>1</v>
      </c>
      <c r="O49" s="7">
        <v>0.5</v>
      </c>
      <c r="P49" s="34">
        <v>0.5</v>
      </c>
      <c r="Q49" s="52">
        <f t="shared" si="0"/>
        <v>0.5</v>
      </c>
      <c r="R49" s="7">
        <v>12.9</v>
      </c>
      <c r="S49" s="7">
        <v>99</v>
      </c>
      <c r="T49" s="16">
        <f t="shared" si="1"/>
        <v>36</v>
      </c>
      <c r="U49" s="7">
        <v>135</v>
      </c>
      <c r="V49" s="16">
        <f t="shared" si="2"/>
        <v>4860</v>
      </c>
      <c r="W49" s="7">
        <v>2</v>
      </c>
      <c r="X49" s="54" t="s">
        <v>46</v>
      </c>
      <c r="Y49" s="54" t="s">
        <v>84</v>
      </c>
      <c r="Z49" s="54" t="s">
        <v>90</v>
      </c>
      <c r="AA49" s="54" t="s">
        <v>40</v>
      </c>
      <c r="AB49" s="39" t="s">
        <v>158</v>
      </c>
    </row>
    <row r="50" spans="1:29" x14ac:dyDescent="0.15">
      <c r="A50" s="15" t="s">
        <v>156</v>
      </c>
      <c r="B50" s="15" t="s">
        <v>157</v>
      </c>
      <c r="C50" s="15">
        <v>2019</v>
      </c>
      <c r="D50" s="37" t="s">
        <v>166</v>
      </c>
      <c r="E50" s="7" t="s">
        <v>132</v>
      </c>
      <c r="F50" s="7" t="s">
        <v>147</v>
      </c>
      <c r="G50" s="7" t="s">
        <v>36</v>
      </c>
      <c r="H50" s="15" t="s">
        <v>164</v>
      </c>
      <c r="I50" s="7" t="s">
        <v>159</v>
      </c>
      <c r="J50" s="15" t="s">
        <v>38</v>
      </c>
      <c r="K50" s="7" t="s">
        <v>161</v>
      </c>
      <c r="L50" s="7">
        <v>1</v>
      </c>
      <c r="N50" s="7">
        <v>1</v>
      </c>
      <c r="O50" s="7">
        <v>0.5</v>
      </c>
      <c r="P50" s="7">
        <v>0.5</v>
      </c>
      <c r="Q50" s="52">
        <f t="shared" si="0"/>
        <v>0.5</v>
      </c>
      <c r="R50" s="7">
        <v>13.8</v>
      </c>
      <c r="S50" s="7">
        <v>120</v>
      </c>
      <c r="T50" s="16">
        <f t="shared" si="1"/>
        <v>30</v>
      </c>
      <c r="U50" s="7">
        <v>95</v>
      </c>
      <c r="V50" s="16">
        <f t="shared" si="2"/>
        <v>2850</v>
      </c>
      <c r="W50" s="7">
        <v>3</v>
      </c>
      <c r="X50" s="15" t="s">
        <v>39</v>
      </c>
      <c r="Y50" s="54" t="s">
        <v>84</v>
      </c>
      <c r="Z50" s="54" t="s">
        <v>50</v>
      </c>
      <c r="AA50" s="54" t="s">
        <v>40</v>
      </c>
      <c r="AB50" s="39" t="s">
        <v>158</v>
      </c>
    </row>
    <row r="51" spans="1:29" x14ac:dyDescent="0.15">
      <c r="A51" s="15" t="s">
        <v>156</v>
      </c>
      <c r="B51" s="15" t="s">
        <v>157</v>
      </c>
      <c r="C51" s="15">
        <v>2019</v>
      </c>
      <c r="D51" s="37" t="s">
        <v>166</v>
      </c>
      <c r="E51" s="7" t="s">
        <v>132</v>
      </c>
      <c r="F51" s="7" t="s">
        <v>147</v>
      </c>
      <c r="G51" s="7" t="s">
        <v>36</v>
      </c>
      <c r="H51" s="15" t="s">
        <v>164</v>
      </c>
      <c r="I51" s="7" t="s">
        <v>159</v>
      </c>
      <c r="J51" s="15" t="s">
        <v>38</v>
      </c>
      <c r="K51" s="7" t="s">
        <v>161</v>
      </c>
      <c r="L51" s="7">
        <v>2</v>
      </c>
      <c r="N51" s="7">
        <v>1</v>
      </c>
      <c r="O51" s="7">
        <v>0.6</v>
      </c>
      <c r="P51" s="7">
        <v>0.7</v>
      </c>
      <c r="Q51" s="52">
        <f t="shared" si="0"/>
        <v>0.64999999999999991</v>
      </c>
      <c r="R51" s="7">
        <v>12.8</v>
      </c>
      <c r="S51" s="7">
        <v>117</v>
      </c>
      <c r="T51" s="16">
        <f t="shared" si="1"/>
        <v>30</v>
      </c>
      <c r="U51" s="7">
        <v>95</v>
      </c>
      <c r="V51" s="16">
        <f t="shared" si="2"/>
        <v>2850</v>
      </c>
      <c r="W51" s="7">
        <v>3</v>
      </c>
      <c r="X51" s="54" t="s">
        <v>39</v>
      </c>
      <c r="Y51" s="54" t="s">
        <v>84</v>
      </c>
      <c r="Z51" s="54" t="s">
        <v>50</v>
      </c>
      <c r="AA51" s="54" t="s">
        <v>40</v>
      </c>
      <c r="AB51" s="39" t="s">
        <v>158</v>
      </c>
    </row>
    <row r="52" spans="1:29" x14ac:dyDescent="0.15">
      <c r="A52" s="15" t="s">
        <v>156</v>
      </c>
      <c r="B52" s="15" t="s">
        <v>157</v>
      </c>
      <c r="C52" s="15">
        <v>2019</v>
      </c>
      <c r="D52" s="37" t="s">
        <v>166</v>
      </c>
      <c r="E52" s="7" t="s">
        <v>132</v>
      </c>
      <c r="F52" s="7" t="s">
        <v>147</v>
      </c>
      <c r="G52" s="7" t="s">
        <v>36</v>
      </c>
      <c r="H52" s="15" t="s">
        <v>164</v>
      </c>
      <c r="I52" s="7" t="s">
        <v>159</v>
      </c>
      <c r="J52" s="15" t="s">
        <v>38</v>
      </c>
      <c r="K52" s="7" t="s">
        <v>161</v>
      </c>
      <c r="L52" s="7">
        <v>3</v>
      </c>
      <c r="N52" s="7">
        <v>1</v>
      </c>
      <c r="O52" s="7">
        <v>0.5</v>
      </c>
      <c r="P52" s="7">
        <v>0.6</v>
      </c>
      <c r="Q52" s="52">
        <f t="shared" si="0"/>
        <v>0.55000000000000004</v>
      </c>
      <c r="R52" s="7">
        <v>13.3</v>
      </c>
      <c r="S52" s="7">
        <v>117</v>
      </c>
      <c r="T52" s="16">
        <f t="shared" si="1"/>
        <v>30</v>
      </c>
      <c r="U52" s="7">
        <v>95</v>
      </c>
      <c r="V52" s="16">
        <f t="shared" si="2"/>
        <v>2850</v>
      </c>
      <c r="W52" s="7">
        <v>3</v>
      </c>
      <c r="X52" s="54" t="s">
        <v>39</v>
      </c>
      <c r="Y52" s="54" t="s">
        <v>84</v>
      </c>
      <c r="Z52" s="54" t="s">
        <v>50</v>
      </c>
      <c r="AA52" s="54" t="s">
        <v>40</v>
      </c>
      <c r="AB52" s="39" t="s">
        <v>158</v>
      </c>
    </row>
    <row r="53" spans="1:29" x14ac:dyDescent="0.15">
      <c r="A53" s="15" t="s">
        <v>156</v>
      </c>
      <c r="B53" s="15" t="s">
        <v>157</v>
      </c>
      <c r="C53" s="15">
        <v>2019</v>
      </c>
      <c r="D53" s="37" t="s">
        <v>166</v>
      </c>
      <c r="E53" s="7" t="s">
        <v>140</v>
      </c>
      <c r="F53" s="7" t="s">
        <v>148</v>
      </c>
      <c r="G53" s="7" t="s">
        <v>36</v>
      </c>
      <c r="H53" s="15" t="s">
        <v>164</v>
      </c>
      <c r="I53" s="7" t="s">
        <v>159</v>
      </c>
      <c r="J53" s="15" t="s">
        <v>38</v>
      </c>
      <c r="K53" s="7" t="s">
        <v>161</v>
      </c>
      <c r="L53" s="7">
        <v>1</v>
      </c>
      <c r="N53" s="7">
        <v>1</v>
      </c>
      <c r="O53" s="7">
        <v>0.5</v>
      </c>
      <c r="P53" s="7">
        <v>0.5</v>
      </c>
      <c r="Q53" s="52">
        <f t="shared" si="0"/>
        <v>0.5</v>
      </c>
      <c r="R53" s="7">
        <v>13.4</v>
      </c>
      <c r="S53" s="7">
        <v>91</v>
      </c>
      <c r="T53" s="16">
        <f t="shared" si="1"/>
        <v>36</v>
      </c>
      <c r="U53" s="7">
        <v>54</v>
      </c>
      <c r="V53" s="16">
        <f t="shared" si="2"/>
        <v>1944</v>
      </c>
      <c r="W53" s="7">
        <v>8</v>
      </c>
      <c r="X53" s="54" t="s">
        <v>46</v>
      </c>
      <c r="Y53" s="54" t="s">
        <v>84</v>
      </c>
      <c r="Z53" s="54" t="s">
        <v>90</v>
      </c>
      <c r="AA53" s="54" t="s">
        <v>69</v>
      </c>
      <c r="AB53" s="39" t="s">
        <v>158</v>
      </c>
      <c r="AC53" s="36"/>
    </row>
    <row r="54" spans="1:29" x14ac:dyDescent="0.15">
      <c r="A54" s="15" t="s">
        <v>156</v>
      </c>
      <c r="B54" s="15" t="s">
        <v>157</v>
      </c>
      <c r="C54" s="15">
        <v>2019</v>
      </c>
      <c r="D54" s="37" t="s">
        <v>166</v>
      </c>
      <c r="E54" s="7" t="s">
        <v>140</v>
      </c>
      <c r="F54" s="7" t="s">
        <v>148</v>
      </c>
      <c r="G54" s="7" t="s">
        <v>36</v>
      </c>
      <c r="H54" s="15" t="s">
        <v>164</v>
      </c>
      <c r="I54" s="7" t="s">
        <v>159</v>
      </c>
      <c r="J54" s="15" t="s">
        <v>38</v>
      </c>
      <c r="K54" s="53" t="s">
        <v>161</v>
      </c>
      <c r="L54" s="7">
        <v>2</v>
      </c>
      <c r="N54" s="7">
        <v>1</v>
      </c>
      <c r="O54" s="7">
        <v>0.5</v>
      </c>
      <c r="P54" s="7">
        <v>0.5</v>
      </c>
      <c r="Q54" s="52">
        <f t="shared" si="0"/>
        <v>0.5</v>
      </c>
      <c r="R54" s="7">
        <v>14.7</v>
      </c>
      <c r="S54" s="7">
        <v>83</v>
      </c>
      <c r="T54" s="16">
        <f t="shared" si="1"/>
        <v>39</v>
      </c>
      <c r="U54" s="7">
        <v>54</v>
      </c>
      <c r="V54" s="16">
        <f t="shared" si="2"/>
        <v>2106</v>
      </c>
      <c r="W54" s="7">
        <v>8</v>
      </c>
      <c r="X54" s="54" t="s">
        <v>46</v>
      </c>
      <c r="Y54" s="54" t="s">
        <v>84</v>
      </c>
      <c r="Z54" s="54" t="s">
        <v>90</v>
      </c>
      <c r="AA54" s="54" t="s">
        <v>69</v>
      </c>
      <c r="AB54" s="39" t="s">
        <v>158</v>
      </c>
      <c r="AC54" s="36"/>
    </row>
    <row r="55" spans="1:29" x14ac:dyDescent="0.15">
      <c r="A55" s="15" t="s">
        <v>156</v>
      </c>
      <c r="B55" s="15" t="s">
        <v>157</v>
      </c>
      <c r="C55" s="15">
        <v>2019</v>
      </c>
      <c r="D55" s="37" t="s">
        <v>166</v>
      </c>
      <c r="E55" s="7" t="s">
        <v>140</v>
      </c>
      <c r="F55" s="7" t="s">
        <v>148</v>
      </c>
      <c r="G55" s="7" t="s">
        <v>36</v>
      </c>
      <c r="H55" s="15" t="s">
        <v>164</v>
      </c>
      <c r="I55" s="7" t="s">
        <v>159</v>
      </c>
      <c r="J55" s="15" t="s">
        <v>38</v>
      </c>
      <c r="K55" s="53" t="s">
        <v>161</v>
      </c>
      <c r="L55" s="7">
        <v>3</v>
      </c>
      <c r="N55" s="7">
        <v>1</v>
      </c>
      <c r="O55" s="7">
        <v>0.5</v>
      </c>
      <c r="P55" s="7">
        <v>0.5</v>
      </c>
      <c r="Q55" s="52">
        <f t="shared" si="0"/>
        <v>0.5</v>
      </c>
      <c r="R55" s="7">
        <v>12.9</v>
      </c>
      <c r="S55" s="7">
        <v>90</v>
      </c>
      <c r="T55" s="16">
        <f t="shared" si="1"/>
        <v>36</v>
      </c>
      <c r="U55" s="7">
        <v>54</v>
      </c>
      <c r="V55" s="16">
        <f t="shared" si="2"/>
        <v>1944</v>
      </c>
      <c r="W55" s="7">
        <v>8</v>
      </c>
      <c r="X55" s="54" t="s">
        <v>46</v>
      </c>
      <c r="Y55" s="54" t="s">
        <v>84</v>
      </c>
      <c r="Z55" s="54" t="s">
        <v>90</v>
      </c>
      <c r="AA55" s="54" t="s">
        <v>69</v>
      </c>
      <c r="AB55" s="39" t="s">
        <v>158</v>
      </c>
      <c r="AC55" s="36"/>
    </row>
    <row r="56" spans="1:29" x14ac:dyDescent="0.15">
      <c r="A56" s="15" t="s">
        <v>156</v>
      </c>
      <c r="B56" s="15" t="s">
        <v>157</v>
      </c>
      <c r="C56" s="15">
        <v>2019</v>
      </c>
      <c r="D56" s="37" t="s">
        <v>166</v>
      </c>
      <c r="E56" s="7" t="s">
        <v>140</v>
      </c>
      <c r="F56" s="7" t="s">
        <v>148</v>
      </c>
      <c r="G56" s="7" t="s">
        <v>36</v>
      </c>
      <c r="H56" s="15" t="s">
        <v>160</v>
      </c>
      <c r="I56" s="7" t="s">
        <v>159</v>
      </c>
      <c r="J56" s="15" t="s">
        <v>38</v>
      </c>
      <c r="K56" s="7" t="s">
        <v>54</v>
      </c>
      <c r="L56" s="7">
        <v>1</v>
      </c>
      <c r="N56" s="7">
        <v>4</v>
      </c>
      <c r="O56" s="7">
        <v>0.5</v>
      </c>
      <c r="P56" s="7">
        <v>0.5</v>
      </c>
      <c r="Q56" s="52">
        <f t="shared" si="0"/>
        <v>0.5</v>
      </c>
      <c r="R56" s="7">
        <v>15</v>
      </c>
      <c r="S56" s="7">
        <v>94</v>
      </c>
      <c r="T56" s="16">
        <f t="shared" si="1"/>
        <v>36</v>
      </c>
      <c r="U56" s="7">
        <v>734</v>
      </c>
      <c r="V56" s="16">
        <f t="shared" si="2"/>
        <v>6606</v>
      </c>
      <c r="W56" s="7">
        <v>2</v>
      </c>
      <c r="X56" s="54" t="s">
        <v>46</v>
      </c>
      <c r="Y56" s="54" t="s">
        <v>84</v>
      </c>
      <c r="Z56" s="54" t="s">
        <v>90</v>
      </c>
      <c r="AA56" s="54" t="s">
        <v>69</v>
      </c>
      <c r="AB56" s="39" t="s">
        <v>158</v>
      </c>
    </row>
    <row r="57" spans="1:29" x14ac:dyDescent="0.15">
      <c r="A57" s="15" t="s">
        <v>156</v>
      </c>
      <c r="B57" s="15" t="s">
        <v>157</v>
      </c>
      <c r="C57" s="15">
        <v>2019</v>
      </c>
      <c r="D57" s="37" t="s">
        <v>166</v>
      </c>
      <c r="E57" s="7" t="s">
        <v>140</v>
      </c>
      <c r="F57" s="7" t="s">
        <v>148</v>
      </c>
      <c r="G57" s="7" t="s">
        <v>36</v>
      </c>
      <c r="H57" s="54" t="s">
        <v>160</v>
      </c>
      <c r="I57" s="7" t="s">
        <v>159</v>
      </c>
      <c r="J57" s="15" t="s">
        <v>38</v>
      </c>
      <c r="K57" s="7" t="s">
        <v>54</v>
      </c>
      <c r="L57" s="7">
        <v>2</v>
      </c>
      <c r="N57" s="7">
        <v>4</v>
      </c>
      <c r="O57" s="7">
        <v>0.5</v>
      </c>
      <c r="P57" s="7">
        <v>0.5</v>
      </c>
      <c r="Q57" s="52">
        <f t="shared" si="0"/>
        <v>0.5</v>
      </c>
      <c r="R57" s="7">
        <v>19.100000000000001</v>
      </c>
      <c r="S57" s="7">
        <v>91</v>
      </c>
      <c r="T57" s="16">
        <f t="shared" si="1"/>
        <v>36</v>
      </c>
      <c r="U57" s="7">
        <v>734</v>
      </c>
      <c r="V57" s="16">
        <f t="shared" si="2"/>
        <v>6606</v>
      </c>
      <c r="W57" s="7">
        <v>2</v>
      </c>
      <c r="X57" s="54" t="s">
        <v>46</v>
      </c>
      <c r="Y57" s="54" t="s">
        <v>84</v>
      </c>
      <c r="Z57" s="54" t="s">
        <v>90</v>
      </c>
      <c r="AA57" s="54" t="s">
        <v>69</v>
      </c>
      <c r="AB57" s="39" t="s">
        <v>158</v>
      </c>
    </row>
    <row r="58" spans="1:29" x14ac:dyDescent="0.15">
      <c r="A58" s="15" t="s">
        <v>156</v>
      </c>
      <c r="B58" s="15" t="s">
        <v>157</v>
      </c>
      <c r="C58" s="15">
        <v>2019</v>
      </c>
      <c r="D58" s="37" t="s">
        <v>166</v>
      </c>
      <c r="E58" s="7" t="s">
        <v>140</v>
      </c>
      <c r="F58" s="7" t="s">
        <v>148</v>
      </c>
      <c r="G58" s="7" t="s">
        <v>36</v>
      </c>
      <c r="H58" s="54" t="s">
        <v>160</v>
      </c>
      <c r="I58" s="7" t="s">
        <v>159</v>
      </c>
      <c r="J58" s="15" t="s">
        <v>38</v>
      </c>
      <c r="K58" s="7" t="s">
        <v>54</v>
      </c>
      <c r="L58" s="7">
        <v>3</v>
      </c>
      <c r="N58" s="7">
        <v>4</v>
      </c>
      <c r="O58" s="7">
        <v>0.5</v>
      </c>
      <c r="P58" s="7">
        <v>0.5</v>
      </c>
      <c r="Q58" s="52">
        <f t="shared" si="0"/>
        <v>0.5</v>
      </c>
      <c r="R58" s="7">
        <v>18.7</v>
      </c>
      <c r="S58" s="7">
        <v>98</v>
      </c>
      <c r="T58" s="16">
        <f t="shared" si="1"/>
        <v>36</v>
      </c>
      <c r="U58" s="7">
        <v>734</v>
      </c>
      <c r="V58" s="16">
        <f t="shared" si="2"/>
        <v>6606</v>
      </c>
      <c r="W58" s="7">
        <v>2</v>
      </c>
      <c r="X58" s="54" t="s">
        <v>46</v>
      </c>
      <c r="Y58" s="54" t="s">
        <v>84</v>
      </c>
      <c r="Z58" s="54" t="s">
        <v>90</v>
      </c>
      <c r="AA58" s="54" t="s">
        <v>69</v>
      </c>
      <c r="AB58" s="39" t="s">
        <v>158</v>
      </c>
    </row>
    <row r="59" spans="1:29" x14ac:dyDescent="0.15">
      <c r="A59" s="15"/>
      <c r="B59" s="15"/>
      <c r="C59" s="15"/>
      <c r="D59" s="37"/>
      <c r="H59" s="15"/>
      <c r="J59" s="15"/>
      <c r="Q59" s="52" t="str">
        <f t="shared" si="0"/>
        <v/>
      </c>
      <c r="T59" s="16" t="str">
        <f t="shared" si="1"/>
        <v/>
      </c>
      <c r="V59" s="16" t="str">
        <f t="shared" si="2"/>
        <v/>
      </c>
      <c r="X59" s="54"/>
      <c r="Y59" s="54"/>
      <c r="Z59" s="54"/>
      <c r="AA59" s="54"/>
      <c r="AB59" s="39"/>
    </row>
    <row r="60" spans="1:29" x14ac:dyDescent="0.15">
      <c r="A60" s="15"/>
      <c r="B60" s="15"/>
      <c r="C60" s="15"/>
      <c r="D60" s="37"/>
      <c r="H60" s="15"/>
      <c r="J60" s="15"/>
      <c r="Q60" s="52" t="str">
        <f t="shared" si="0"/>
        <v/>
      </c>
      <c r="T60" s="16" t="str">
        <f>IF(H60="","",IF(OR(H60="GREEN",H60="GK"),IF(S60&gt;=$AX$2,VLOOKUP(S60,$AX$2:$AY$12,2,1),""),IF(S60&gt;=$AZ$2,VLOOKUP(S60,$AZ$2:$BA$12,2,1),"")))</f>
        <v/>
      </c>
      <c r="V60" s="16" t="str">
        <f t="shared" si="2"/>
        <v/>
      </c>
      <c r="X60" s="54"/>
      <c r="Y60" s="54"/>
      <c r="Z60" s="54"/>
      <c r="AA60" s="54"/>
      <c r="AB60" s="39"/>
    </row>
    <row r="61" spans="1:29" x14ac:dyDescent="0.15">
      <c r="A61" s="15"/>
      <c r="B61" s="15"/>
      <c r="C61" s="15"/>
      <c r="D61" s="37"/>
      <c r="H61" s="15"/>
      <c r="J61" s="15"/>
      <c r="N61" s="53"/>
      <c r="Q61" s="52" t="str">
        <f t="shared" si="0"/>
        <v/>
      </c>
      <c r="T61" s="16" t="str">
        <f>IF(H61="","",IF(OR(H61="GREEN",H61="GK"),IF(S61&gt;=$AX$2,VLOOKUP(S61,$AX$2:$AY$12,2,1),""),IF(S61&gt;=$AZ$2,VLOOKUP(S61,$AZ$2:$BA$12,2,1),"")))</f>
        <v/>
      </c>
      <c r="V61" s="16" t="str">
        <f t="shared" si="2"/>
        <v/>
      </c>
      <c r="X61" s="54"/>
      <c r="Y61" s="54"/>
      <c r="Z61" s="54"/>
      <c r="AA61" s="54"/>
      <c r="AB61" s="39"/>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L65" s="53"/>
      <c r="N65" s="53"/>
      <c r="Q65" s="52" t="str">
        <f t="shared" si="0"/>
        <v/>
      </c>
      <c r="T65" s="16" t="str">
        <f t="shared" si="3"/>
        <v/>
      </c>
      <c r="V65" s="16" t="str">
        <f t="shared" si="2"/>
        <v/>
      </c>
      <c r="X65" s="54"/>
      <c r="Y65" s="54"/>
      <c r="Z65" s="54"/>
      <c r="AA65" s="54"/>
      <c r="AB65" s="39"/>
    </row>
    <row r="66" spans="1:28" x14ac:dyDescent="0.15">
      <c r="A66" s="15"/>
      <c r="B66" s="15"/>
      <c r="C66" s="15"/>
      <c r="D66" s="37"/>
      <c r="H66" s="54"/>
      <c r="I66" s="53"/>
      <c r="J66" s="54"/>
      <c r="K66" s="53"/>
      <c r="L66" s="53"/>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54"/>
      <c r="I67" s="53"/>
      <c r="J67" s="54"/>
      <c r="K67" s="53"/>
      <c r="L67" s="53"/>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33019-C02B-4D5F-9A47-884AE577E461}">
  <dimension ref="A1:BA303"/>
  <sheetViews>
    <sheetView zoomScale="70" zoomScaleNormal="70" workbookViewId="0">
      <selection activeCell="A8" sqref="A8"/>
    </sheetView>
  </sheetViews>
  <sheetFormatPr defaultColWidth="9" defaultRowHeight="13.5" x14ac:dyDescent="0.15"/>
  <cols>
    <col min="1" max="3" width="9" style="53"/>
    <col min="4" max="4" width="11" style="53" customWidth="1"/>
    <col min="5" max="5" width="10.875" style="53" customWidth="1"/>
    <col min="6" max="9" width="9" style="53"/>
    <col min="10" max="10" width="9" style="53" customWidth="1"/>
    <col min="11"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169</v>
      </c>
      <c r="C1" s="55" t="s">
        <v>170</v>
      </c>
      <c r="D1" s="56" t="s">
        <v>3</v>
      </c>
      <c r="E1" s="45" t="s">
        <v>4</v>
      </c>
      <c r="F1" s="45" t="s">
        <v>5</v>
      </c>
      <c r="G1" s="45" t="s">
        <v>6</v>
      </c>
      <c r="H1" s="45" t="s">
        <v>7</v>
      </c>
      <c r="I1" s="45" t="s">
        <v>8</v>
      </c>
      <c r="J1" s="45" t="s">
        <v>9</v>
      </c>
      <c r="K1" s="45" t="s">
        <v>10</v>
      </c>
      <c r="L1" s="56" t="s">
        <v>171</v>
      </c>
      <c r="M1" s="56" t="s">
        <v>172</v>
      </c>
      <c r="N1" s="56" t="s">
        <v>13</v>
      </c>
      <c r="O1" s="56" t="s">
        <v>173</v>
      </c>
      <c r="P1" s="56" t="s">
        <v>174</v>
      </c>
      <c r="Q1" s="57" t="s">
        <v>175</v>
      </c>
      <c r="R1" s="56" t="s">
        <v>176</v>
      </c>
      <c r="S1" s="56" t="s">
        <v>177</v>
      </c>
      <c r="T1" s="57" t="s">
        <v>19</v>
      </c>
      <c r="U1" s="58" t="s">
        <v>108</v>
      </c>
      <c r="V1" s="59" t="s">
        <v>20</v>
      </c>
      <c r="W1" s="56" t="s">
        <v>178</v>
      </c>
      <c r="X1" s="45" t="s">
        <v>22</v>
      </c>
      <c r="Y1" s="45" t="s">
        <v>23</v>
      </c>
      <c r="Z1" s="45" t="s">
        <v>24</v>
      </c>
      <c r="AA1" s="45" t="s">
        <v>25</v>
      </c>
      <c r="AB1" s="46" t="s">
        <v>179</v>
      </c>
      <c r="AE1" s="60" t="s">
        <v>0</v>
      </c>
      <c r="AF1" s="61"/>
      <c r="AG1" s="60" t="s">
        <v>4</v>
      </c>
      <c r="AH1" s="60" t="s">
        <v>5</v>
      </c>
      <c r="AI1" s="61"/>
      <c r="AJ1" s="60" t="s">
        <v>6</v>
      </c>
      <c r="AK1" s="61"/>
      <c r="AL1" s="10" t="s">
        <v>7</v>
      </c>
      <c r="AM1" s="61"/>
      <c r="AN1" s="10" t="s">
        <v>8</v>
      </c>
      <c r="AO1" s="61"/>
      <c r="AP1" s="10" t="s">
        <v>27</v>
      </c>
      <c r="AQ1" s="61"/>
      <c r="AR1" s="10" t="s">
        <v>10</v>
      </c>
      <c r="AS1" s="61"/>
      <c r="AT1" s="11" t="s">
        <v>180</v>
      </c>
      <c r="AU1" s="61"/>
      <c r="AV1" s="10" t="s">
        <v>29</v>
      </c>
      <c r="AX1" s="12" t="s">
        <v>181</v>
      </c>
      <c r="AY1" s="13" t="s">
        <v>182</v>
      </c>
      <c r="AZ1" s="13" t="s">
        <v>183</v>
      </c>
      <c r="BA1" s="14" t="s">
        <v>184</v>
      </c>
    </row>
    <row r="2" spans="1:53" x14ac:dyDescent="0.15">
      <c r="A2" s="53" t="s">
        <v>41</v>
      </c>
      <c r="B2" s="53" t="s">
        <v>157</v>
      </c>
      <c r="C2" s="62">
        <v>2019</v>
      </c>
      <c r="D2" s="63" t="s">
        <v>185</v>
      </c>
      <c r="E2" s="53" t="s">
        <v>133</v>
      </c>
      <c r="F2" s="53" t="s">
        <v>186</v>
      </c>
      <c r="G2" s="53" t="s">
        <v>42</v>
      </c>
      <c r="H2" s="53" t="s">
        <v>164</v>
      </c>
      <c r="I2" s="53" t="s">
        <v>159</v>
      </c>
      <c r="J2" s="53" t="s">
        <v>38</v>
      </c>
      <c r="K2" s="53" t="s">
        <v>161</v>
      </c>
      <c r="L2" s="53">
        <v>1</v>
      </c>
      <c r="N2" s="53">
        <v>1</v>
      </c>
      <c r="O2" s="53">
        <v>1</v>
      </c>
      <c r="P2" s="53">
        <v>1.1000000000000001</v>
      </c>
      <c r="Q2" s="16">
        <f t="shared" ref="Q2:Q13" si="0">IF(OR(O2="",P2=""),"",AVERAGE(O2,P2))</f>
        <v>1.05</v>
      </c>
      <c r="R2" s="53">
        <v>11.2</v>
      </c>
      <c r="S2" s="53">
        <v>131</v>
      </c>
      <c r="T2" s="16">
        <f t="shared" ref="T2:T65" si="1">IF(H2="","",IF(OR(H2="GREEN",H2="GK"),IF(S2&gt;=$AX$2,VLOOKUP(S2,$AX$2:$AY$10,2,1),""),IF(S2&gt;=$AZ$2,VLOOKUP(S2,$AZ$2:$BA$10,2,1),"")))</f>
        <v>25</v>
      </c>
      <c r="U2" s="53">
        <v>105</v>
      </c>
      <c r="V2" s="16">
        <f t="shared" ref="V2:V55" si="2">IF(OR(N2="",U2="",T2=""),"",U2/N2*T2)</f>
        <v>2625</v>
      </c>
      <c r="W2" s="53">
        <v>2</v>
      </c>
      <c r="X2" s="53" t="s">
        <v>46</v>
      </c>
      <c r="Y2" s="53" t="s">
        <v>84</v>
      </c>
      <c r="Z2" s="53" t="s">
        <v>90</v>
      </c>
      <c r="AA2" s="53" t="s">
        <v>69</v>
      </c>
      <c r="AB2" s="53" t="s">
        <v>158</v>
      </c>
      <c r="AE2" s="64" t="s">
        <v>35</v>
      </c>
      <c r="AG2" s="65" t="s">
        <v>133</v>
      </c>
      <c r="AH2" s="66" t="s">
        <v>186</v>
      </c>
      <c r="AJ2" s="67" t="s">
        <v>36</v>
      </c>
      <c r="AL2" s="67" t="s">
        <v>187</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185</v>
      </c>
      <c r="E3" s="53" t="s">
        <v>133</v>
      </c>
      <c r="F3" s="53" t="s">
        <v>186</v>
      </c>
      <c r="G3" s="53" t="s">
        <v>42</v>
      </c>
      <c r="H3" s="53" t="s">
        <v>164</v>
      </c>
      <c r="I3" s="53" t="s">
        <v>159</v>
      </c>
      <c r="J3" s="53" t="s">
        <v>38</v>
      </c>
      <c r="K3" s="53" t="s">
        <v>161</v>
      </c>
      <c r="L3" s="53">
        <v>2</v>
      </c>
      <c r="N3" s="53">
        <v>1</v>
      </c>
      <c r="O3" s="53">
        <v>0.9</v>
      </c>
      <c r="P3" s="53">
        <v>1</v>
      </c>
      <c r="Q3" s="16">
        <f t="shared" si="0"/>
        <v>0.95</v>
      </c>
      <c r="R3" s="53">
        <v>13.2</v>
      </c>
      <c r="S3" s="53">
        <v>126</v>
      </c>
      <c r="T3" s="16">
        <f t="shared" si="1"/>
        <v>27</v>
      </c>
      <c r="U3" s="53">
        <v>105</v>
      </c>
      <c r="V3" s="16">
        <f t="shared" si="2"/>
        <v>2835</v>
      </c>
      <c r="W3" s="53">
        <v>2</v>
      </c>
      <c r="X3" s="53" t="s">
        <v>46</v>
      </c>
      <c r="Y3" s="53" t="s">
        <v>84</v>
      </c>
      <c r="Z3" s="53" t="s">
        <v>90</v>
      </c>
      <c r="AA3" s="53" t="s">
        <v>69</v>
      </c>
      <c r="AB3" s="53" t="s">
        <v>158</v>
      </c>
      <c r="AE3" s="22" t="s">
        <v>41</v>
      </c>
      <c r="AG3" s="71" t="s">
        <v>188</v>
      </c>
      <c r="AH3" s="71" t="s">
        <v>186</v>
      </c>
      <c r="AJ3" s="23" t="s">
        <v>42</v>
      </c>
      <c r="AL3" s="23" t="s">
        <v>189</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190</v>
      </c>
      <c r="E4" s="53" t="s">
        <v>133</v>
      </c>
      <c r="F4" s="53" t="s">
        <v>186</v>
      </c>
      <c r="G4" s="53" t="s">
        <v>42</v>
      </c>
      <c r="H4" s="53" t="s">
        <v>164</v>
      </c>
      <c r="I4" s="53" t="s">
        <v>159</v>
      </c>
      <c r="J4" s="53" t="s">
        <v>38</v>
      </c>
      <c r="K4" s="53" t="s">
        <v>161</v>
      </c>
      <c r="L4" s="53">
        <v>3</v>
      </c>
      <c r="N4" s="53">
        <v>1</v>
      </c>
      <c r="O4" s="53">
        <v>0.85</v>
      </c>
      <c r="P4" s="53">
        <v>0.9</v>
      </c>
      <c r="Q4" s="16">
        <f t="shared" si="0"/>
        <v>0.875</v>
      </c>
      <c r="R4" s="53">
        <v>13.1</v>
      </c>
      <c r="S4" s="53">
        <v>129</v>
      </c>
      <c r="T4" s="16">
        <f t="shared" si="1"/>
        <v>25</v>
      </c>
      <c r="U4" s="53">
        <v>105</v>
      </c>
      <c r="V4" s="16">
        <f t="shared" si="2"/>
        <v>2625</v>
      </c>
      <c r="W4" s="53">
        <v>2</v>
      </c>
      <c r="X4" s="53" t="s">
        <v>46</v>
      </c>
      <c r="Y4" s="53" t="s">
        <v>84</v>
      </c>
      <c r="Z4" s="53" t="s">
        <v>90</v>
      </c>
      <c r="AA4" s="53" t="s">
        <v>69</v>
      </c>
      <c r="AB4" s="53" t="s">
        <v>158</v>
      </c>
      <c r="AE4" s="22" t="s">
        <v>34</v>
      </c>
      <c r="AG4" s="71" t="s">
        <v>188</v>
      </c>
      <c r="AH4" s="71" t="s">
        <v>191</v>
      </c>
      <c r="AJ4" s="27" t="s">
        <v>48</v>
      </c>
      <c r="AL4" s="27" t="s">
        <v>192</v>
      </c>
      <c r="AN4" s="28" t="s">
        <v>193</v>
      </c>
      <c r="AP4" s="23" t="s">
        <v>194</v>
      </c>
      <c r="AR4" s="23" t="s">
        <v>195</v>
      </c>
      <c r="AT4" s="28"/>
      <c r="AV4" s="23" t="s">
        <v>50</v>
      </c>
      <c r="AX4" s="24">
        <v>75</v>
      </c>
      <c r="AY4" s="25">
        <v>42</v>
      </c>
      <c r="AZ4" s="25">
        <v>76</v>
      </c>
      <c r="BA4" s="26">
        <v>39</v>
      </c>
    </row>
    <row r="5" spans="1:53" ht="13.5" customHeight="1" x14ac:dyDescent="0.15">
      <c r="A5" s="53" t="s">
        <v>41</v>
      </c>
      <c r="B5" s="53" t="s">
        <v>157</v>
      </c>
      <c r="C5" s="62">
        <v>2019</v>
      </c>
      <c r="D5" s="63" t="s">
        <v>190</v>
      </c>
      <c r="E5" s="53" t="s">
        <v>133</v>
      </c>
      <c r="F5" s="53" t="s">
        <v>186</v>
      </c>
      <c r="G5" s="53" t="s">
        <v>42</v>
      </c>
      <c r="H5" s="53" t="s">
        <v>164</v>
      </c>
      <c r="I5" s="53" t="s">
        <v>159</v>
      </c>
      <c r="J5" s="53" t="s">
        <v>38</v>
      </c>
      <c r="K5" s="53" t="s">
        <v>161</v>
      </c>
      <c r="L5" s="53">
        <v>1</v>
      </c>
      <c r="N5" s="53">
        <v>6</v>
      </c>
      <c r="O5" s="53">
        <v>0.65</v>
      </c>
      <c r="P5" s="53">
        <v>0.5</v>
      </c>
      <c r="Q5" s="72">
        <f t="shared" si="0"/>
        <v>0.57499999999999996</v>
      </c>
      <c r="R5" s="53">
        <v>12.1</v>
      </c>
      <c r="S5" s="53">
        <v>120</v>
      </c>
      <c r="T5" s="16">
        <f t="shared" si="1"/>
        <v>30</v>
      </c>
      <c r="U5" s="53">
        <v>646</v>
      </c>
      <c r="V5" s="16">
        <f t="shared" si="2"/>
        <v>3230</v>
      </c>
      <c r="W5" s="53">
        <v>1</v>
      </c>
      <c r="X5" s="53" t="s">
        <v>46</v>
      </c>
      <c r="Y5" s="53" t="s">
        <v>84</v>
      </c>
      <c r="Z5" s="53" t="s">
        <v>90</v>
      </c>
      <c r="AA5" s="53" t="s">
        <v>69</v>
      </c>
      <c r="AB5" s="53" t="s">
        <v>158</v>
      </c>
      <c r="AE5" s="22" t="s">
        <v>51</v>
      </c>
      <c r="AG5" s="71" t="s">
        <v>196</v>
      </c>
      <c r="AH5" s="71" t="s">
        <v>186</v>
      </c>
      <c r="AJ5" s="28"/>
      <c r="AL5" s="73" t="s">
        <v>164</v>
      </c>
      <c r="AN5" s="73" t="s">
        <v>159</v>
      </c>
      <c r="AP5" s="23" t="s">
        <v>197</v>
      </c>
      <c r="AR5" s="23" t="s">
        <v>54</v>
      </c>
      <c r="AV5" s="23" t="s">
        <v>55</v>
      </c>
      <c r="AX5" s="24">
        <v>84</v>
      </c>
      <c r="AY5" s="25">
        <v>39</v>
      </c>
      <c r="AZ5" s="25">
        <v>84</v>
      </c>
      <c r="BA5" s="26">
        <v>36</v>
      </c>
    </row>
    <row r="6" spans="1:53" x14ac:dyDescent="0.15">
      <c r="A6" s="53" t="s">
        <v>41</v>
      </c>
      <c r="B6" s="53" t="s">
        <v>157</v>
      </c>
      <c r="C6" s="62">
        <v>2019</v>
      </c>
      <c r="D6" s="63" t="s">
        <v>190</v>
      </c>
      <c r="E6" s="53" t="s">
        <v>133</v>
      </c>
      <c r="F6" s="53" t="s">
        <v>186</v>
      </c>
      <c r="G6" s="53" t="s">
        <v>42</v>
      </c>
      <c r="H6" s="53" t="s">
        <v>164</v>
      </c>
      <c r="I6" s="53" t="s">
        <v>159</v>
      </c>
      <c r="J6" s="53" t="s">
        <v>38</v>
      </c>
      <c r="K6" s="53" t="s">
        <v>161</v>
      </c>
      <c r="L6" s="53">
        <v>2</v>
      </c>
      <c r="N6" s="53">
        <v>6</v>
      </c>
      <c r="O6" s="53">
        <v>0.5</v>
      </c>
      <c r="P6" s="53">
        <v>0.65</v>
      </c>
      <c r="Q6" s="72">
        <f t="shared" si="0"/>
        <v>0.57499999999999996</v>
      </c>
      <c r="R6" s="53">
        <v>12.6</v>
      </c>
      <c r="S6" s="53">
        <v>114</v>
      </c>
      <c r="T6" s="16">
        <f t="shared" si="1"/>
        <v>30</v>
      </c>
      <c r="U6" s="53">
        <v>646</v>
      </c>
      <c r="V6" s="16">
        <f t="shared" si="2"/>
        <v>3230</v>
      </c>
      <c r="W6" s="53">
        <v>1</v>
      </c>
      <c r="X6" s="53" t="s">
        <v>46</v>
      </c>
      <c r="Y6" s="53" t="s">
        <v>84</v>
      </c>
      <c r="Z6" s="53" t="s">
        <v>90</v>
      </c>
      <c r="AA6" s="53" t="s">
        <v>69</v>
      </c>
      <c r="AB6" s="53" t="s">
        <v>158</v>
      </c>
      <c r="AE6" s="22" t="s">
        <v>56</v>
      </c>
      <c r="AG6" s="71" t="s">
        <v>196</v>
      </c>
      <c r="AH6" s="71" t="s">
        <v>198</v>
      </c>
      <c r="AL6" s="73" t="s">
        <v>168</v>
      </c>
      <c r="AN6" s="73" t="s">
        <v>165</v>
      </c>
      <c r="AP6" s="23" t="s">
        <v>53</v>
      </c>
      <c r="AR6" s="23" t="s">
        <v>59</v>
      </c>
      <c r="AV6" s="23" t="s">
        <v>60</v>
      </c>
      <c r="AX6" s="24">
        <v>97</v>
      </c>
      <c r="AY6" s="25">
        <v>36</v>
      </c>
      <c r="AZ6" s="25">
        <v>99</v>
      </c>
      <c r="BA6" s="26">
        <v>33</v>
      </c>
    </row>
    <row r="7" spans="1:53" x14ac:dyDescent="0.15">
      <c r="A7" s="53" t="s">
        <v>41</v>
      </c>
      <c r="B7" s="53" t="s">
        <v>157</v>
      </c>
      <c r="C7" s="62">
        <v>2019</v>
      </c>
      <c r="D7" s="63" t="s">
        <v>190</v>
      </c>
      <c r="E7" s="53" t="s">
        <v>133</v>
      </c>
      <c r="F7" s="53" t="s">
        <v>186</v>
      </c>
      <c r="G7" s="53" t="s">
        <v>42</v>
      </c>
      <c r="H7" s="53" t="s">
        <v>164</v>
      </c>
      <c r="I7" s="53" t="s">
        <v>159</v>
      </c>
      <c r="J7" s="53" t="s">
        <v>38</v>
      </c>
      <c r="K7" s="53" t="s">
        <v>161</v>
      </c>
      <c r="L7" s="53">
        <v>3</v>
      </c>
      <c r="N7" s="53">
        <v>6</v>
      </c>
      <c r="O7" s="53">
        <v>0.8</v>
      </c>
      <c r="P7" s="53">
        <v>0.8</v>
      </c>
      <c r="Q7" s="72">
        <f t="shared" si="0"/>
        <v>0.8</v>
      </c>
      <c r="R7" s="53">
        <v>14.5</v>
      </c>
      <c r="S7" s="53">
        <v>115</v>
      </c>
      <c r="T7" s="16">
        <f t="shared" si="1"/>
        <v>30</v>
      </c>
      <c r="U7" s="53">
        <v>646</v>
      </c>
      <c r="V7" s="16">
        <f t="shared" si="2"/>
        <v>3230</v>
      </c>
      <c r="W7" s="53">
        <v>1</v>
      </c>
      <c r="X7" s="53" t="s">
        <v>46</v>
      </c>
      <c r="Y7" s="53" t="s">
        <v>84</v>
      </c>
      <c r="Z7" s="53" t="s">
        <v>90</v>
      </c>
      <c r="AA7" s="53" t="s">
        <v>69</v>
      </c>
      <c r="AB7" s="53" t="s">
        <v>158</v>
      </c>
      <c r="AE7" s="22" t="s">
        <v>61</v>
      </c>
      <c r="AG7" s="71" t="s">
        <v>199</v>
      </c>
      <c r="AH7" s="71" t="s">
        <v>198</v>
      </c>
      <c r="AL7" s="53" t="s">
        <v>200</v>
      </c>
      <c r="AP7" s="23" t="s">
        <v>58</v>
      </c>
      <c r="AR7" s="23" t="s">
        <v>201</v>
      </c>
      <c r="AV7" s="23" t="s">
        <v>64</v>
      </c>
      <c r="AX7" s="24">
        <v>109</v>
      </c>
      <c r="AY7" s="25">
        <v>33</v>
      </c>
      <c r="AZ7" s="25">
        <v>113</v>
      </c>
      <c r="BA7" s="26">
        <v>30</v>
      </c>
    </row>
    <row r="8" spans="1:53" x14ac:dyDescent="0.15">
      <c r="A8" s="53" t="s">
        <v>41</v>
      </c>
      <c r="B8" s="53" t="s">
        <v>157</v>
      </c>
      <c r="C8" s="62">
        <v>2019</v>
      </c>
      <c r="D8" s="63" t="s">
        <v>190</v>
      </c>
      <c r="E8" s="53" t="s">
        <v>133</v>
      </c>
      <c r="F8" s="53" t="s">
        <v>186</v>
      </c>
      <c r="G8" s="53" t="s">
        <v>42</v>
      </c>
      <c r="H8" s="53" t="s">
        <v>189</v>
      </c>
      <c r="I8" s="53" t="s">
        <v>159</v>
      </c>
      <c r="J8" s="53" t="s">
        <v>80</v>
      </c>
      <c r="K8" s="53" t="s">
        <v>45</v>
      </c>
      <c r="L8" s="53">
        <v>1</v>
      </c>
      <c r="N8" s="53">
        <v>5</v>
      </c>
      <c r="O8" s="53">
        <v>0.45</v>
      </c>
      <c r="P8" s="53">
        <v>0.5</v>
      </c>
      <c r="Q8" s="74">
        <f t="shared" si="0"/>
        <v>0.47499999999999998</v>
      </c>
      <c r="R8" s="53">
        <v>11.2</v>
      </c>
      <c r="S8" s="53">
        <v>112</v>
      </c>
      <c r="T8" s="16">
        <f t="shared" si="1"/>
        <v>33</v>
      </c>
      <c r="U8" s="53">
        <v>646</v>
      </c>
      <c r="V8" s="16">
        <f t="shared" si="2"/>
        <v>4263.5999999999995</v>
      </c>
      <c r="W8" s="53">
        <v>1</v>
      </c>
      <c r="X8" s="53" t="s">
        <v>46</v>
      </c>
      <c r="Y8" s="53" t="s">
        <v>84</v>
      </c>
      <c r="Z8" s="53" t="s">
        <v>90</v>
      </c>
      <c r="AA8" s="53" t="s">
        <v>69</v>
      </c>
      <c r="AB8" s="53" t="s">
        <v>158</v>
      </c>
      <c r="AE8" s="22" t="s">
        <v>59</v>
      </c>
      <c r="AG8" s="71" t="s">
        <v>202</v>
      </c>
      <c r="AH8" s="71" t="s">
        <v>203</v>
      </c>
      <c r="AL8" s="53" t="s">
        <v>160</v>
      </c>
      <c r="AP8" s="23" t="s">
        <v>62</v>
      </c>
      <c r="AR8" s="23" t="s">
        <v>81</v>
      </c>
      <c r="AV8" s="23" t="s">
        <v>97</v>
      </c>
      <c r="AX8" s="24">
        <v>119</v>
      </c>
      <c r="AY8" s="25">
        <v>30</v>
      </c>
      <c r="AZ8" s="25">
        <v>121</v>
      </c>
      <c r="BA8" s="26">
        <v>27</v>
      </c>
    </row>
    <row r="9" spans="1:53" x14ac:dyDescent="0.15">
      <c r="A9" s="53" t="s">
        <v>41</v>
      </c>
      <c r="B9" s="53" t="s">
        <v>157</v>
      </c>
      <c r="C9" s="62">
        <v>2019</v>
      </c>
      <c r="D9" s="63" t="s">
        <v>190</v>
      </c>
      <c r="E9" s="53" t="s">
        <v>133</v>
      </c>
      <c r="F9" s="53" t="s">
        <v>186</v>
      </c>
      <c r="G9" s="53" t="s">
        <v>42</v>
      </c>
      <c r="H9" s="53" t="s">
        <v>189</v>
      </c>
      <c r="I9" s="53" t="s">
        <v>159</v>
      </c>
      <c r="J9" s="53" t="s">
        <v>80</v>
      </c>
      <c r="K9" s="53" t="s">
        <v>45</v>
      </c>
      <c r="L9" s="53">
        <v>2</v>
      </c>
      <c r="M9" s="75"/>
      <c r="N9" s="53">
        <v>5</v>
      </c>
      <c r="O9" s="53">
        <v>0.3</v>
      </c>
      <c r="P9" s="53">
        <v>0.45</v>
      </c>
      <c r="Q9" s="74">
        <f t="shared" si="0"/>
        <v>0.375</v>
      </c>
      <c r="R9" s="53">
        <v>12</v>
      </c>
      <c r="S9" s="53">
        <v>114</v>
      </c>
      <c r="T9" s="16">
        <f t="shared" si="1"/>
        <v>30</v>
      </c>
      <c r="U9" s="53">
        <v>646</v>
      </c>
      <c r="V9" s="16">
        <f t="shared" si="2"/>
        <v>3875.9999999999995</v>
      </c>
      <c r="W9" s="53">
        <v>1</v>
      </c>
      <c r="X9" s="53" t="s">
        <v>46</v>
      </c>
      <c r="Y9" s="53" t="s">
        <v>84</v>
      </c>
      <c r="Z9" s="53" t="s">
        <v>90</v>
      </c>
      <c r="AA9" s="53" t="s">
        <v>69</v>
      </c>
      <c r="AB9" s="53" t="s">
        <v>158</v>
      </c>
      <c r="AE9" s="22" t="s">
        <v>204</v>
      </c>
      <c r="AG9" s="71" t="s">
        <v>205</v>
      </c>
      <c r="AH9" s="71" t="s">
        <v>206</v>
      </c>
      <c r="AL9" s="73"/>
      <c r="AP9" s="23" t="s">
        <v>95</v>
      </c>
      <c r="AR9" s="23" t="s">
        <v>207</v>
      </c>
      <c r="AV9" s="23" t="s">
        <v>102</v>
      </c>
      <c r="AX9" s="24">
        <v>128</v>
      </c>
      <c r="AY9" s="25">
        <v>27</v>
      </c>
      <c r="AZ9" s="25">
        <v>129</v>
      </c>
      <c r="BA9" s="26">
        <v>25</v>
      </c>
    </row>
    <row r="10" spans="1:53" x14ac:dyDescent="0.15">
      <c r="A10" s="53" t="s">
        <v>41</v>
      </c>
      <c r="B10" s="53" t="s">
        <v>157</v>
      </c>
      <c r="C10" s="62">
        <v>2019</v>
      </c>
      <c r="D10" s="63" t="s">
        <v>190</v>
      </c>
      <c r="E10" s="53" t="s">
        <v>133</v>
      </c>
      <c r="F10" s="53" t="s">
        <v>186</v>
      </c>
      <c r="G10" s="53" t="s">
        <v>42</v>
      </c>
      <c r="H10" s="53" t="s">
        <v>189</v>
      </c>
      <c r="I10" s="53" t="s">
        <v>159</v>
      </c>
      <c r="J10" s="53" t="s">
        <v>80</v>
      </c>
      <c r="K10" s="53" t="s">
        <v>45</v>
      </c>
      <c r="L10" s="53">
        <v>3</v>
      </c>
      <c r="M10" s="75"/>
      <c r="N10" s="53">
        <v>5</v>
      </c>
      <c r="O10" s="53">
        <v>0.35</v>
      </c>
      <c r="P10" s="53">
        <v>0.5</v>
      </c>
      <c r="Q10" s="74">
        <f t="shared" si="0"/>
        <v>0.42499999999999999</v>
      </c>
      <c r="R10" s="53">
        <v>13.2</v>
      </c>
      <c r="S10" s="53">
        <v>113</v>
      </c>
      <c r="T10" s="16">
        <f t="shared" si="1"/>
        <v>30</v>
      </c>
      <c r="U10" s="53">
        <v>646</v>
      </c>
      <c r="V10" s="16">
        <f t="shared" si="2"/>
        <v>3875.9999999999995</v>
      </c>
      <c r="W10" s="53">
        <v>1</v>
      </c>
      <c r="X10" s="53" t="s">
        <v>46</v>
      </c>
      <c r="Y10" s="53" t="s">
        <v>84</v>
      </c>
      <c r="Z10" s="53" t="s">
        <v>90</v>
      </c>
      <c r="AA10" s="53" t="s">
        <v>69</v>
      </c>
      <c r="AB10" s="53" t="s">
        <v>158</v>
      </c>
      <c r="AE10" s="22" t="s">
        <v>208</v>
      </c>
      <c r="AG10" s="71" t="s">
        <v>202</v>
      </c>
      <c r="AH10" s="71" t="s">
        <v>209</v>
      </c>
      <c r="AP10" s="23" t="s">
        <v>100</v>
      </c>
      <c r="AR10" s="23" t="s">
        <v>210</v>
      </c>
      <c r="AV10" s="23" t="s">
        <v>106</v>
      </c>
      <c r="AX10" s="24">
        <v>138</v>
      </c>
      <c r="AY10" s="25">
        <v>25</v>
      </c>
      <c r="AZ10" s="25">
        <v>138</v>
      </c>
      <c r="BA10" s="26">
        <v>22</v>
      </c>
    </row>
    <row r="11" spans="1:53" x14ac:dyDescent="0.15">
      <c r="A11" s="53" t="s">
        <v>41</v>
      </c>
      <c r="B11" s="53" t="s">
        <v>157</v>
      </c>
      <c r="C11" s="62">
        <v>2019</v>
      </c>
      <c r="D11" s="63" t="s">
        <v>190</v>
      </c>
      <c r="E11" s="53" t="s">
        <v>133</v>
      </c>
      <c r="F11" s="53" t="s">
        <v>186</v>
      </c>
      <c r="G11" s="53" t="s">
        <v>42</v>
      </c>
      <c r="H11" s="53" t="s">
        <v>164</v>
      </c>
      <c r="I11" s="53" t="s">
        <v>159</v>
      </c>
      <c r="J11" s="53" t="s">
        <v>38</v>
      </c>
      <c r="K11" s="53" t="s">
        <v>161</v>
      </c>
      <c r="L11" s="53">
        <v>1</v>
      </c>
      <c r="M11" s="75"/>
      <c r="N11" s="53">
        <v>10</v>
      </c>
      <c r="O11" s="53">
        <v>0.25</v>
      </c>
      <c r="P11" s="53">
        <v>0.3</v>
      </c>
      <c r="Q11" s="72">
        <f t="shared" si="0"/>
        <v>0.27500000000000002</v>
      </c>
      <c r="R11" s="53">
        <v>10.199999999999999</v>
      </c>
      <c r="S11" s="53">
        <v>115</v>
      </c>
      <c r="T11" s="16">
        <f t="shared" si="1"/>
        <v>30</v>
      </c>
      <c r="U11" s="53">
        <v>842</v>
      </c>
      <c r="V11" s="16">
        <f t="shared" si="2"/>
        <v>2526</v>
      </c>
      <c r="W11" s="53">
        <v>2</v>
      </c>
      <c r="X11" s="53" t="s">
        <v>46</v>
      </c>
      <c r="Y11" s="53" t="s">
        <v>84</v>
      </c>
      <c r="Z11" s="53" t="s">
        <v>90</v>
      </c>
      <c r="AA11" s="53" t="s">
        <v>69</v>
      </c>
      <c r="AB11" s="53" t="s">
        <v>158</v>
      </c>
      <c r="AE11" s="22" t="s">
        <v>68</v>
      </c>
      <c r="AG11" s="71" t="s">
        <v>211</v>
      </c>
      <c r="AH11" s="71" t="s">
        <v>212</v>
      </c>
      <c r="AP11" s="23" t="s">
        <v>104</v>
      </c>
      <c r="AR11" s="23" t="s">
        <v>213</v>
      </c>
      <c r="AV11" s="23" t="s">
        <v>69</v>
      </c>
      <c r="AX11" s="24">
        <v>151</v>
      </c>
      <c r="AY11" s="25">
        <v>22</v>
      </c>
      <c r="AZ11" s="25">
        <v>152</v>
      </c>
      <c r="BA11" s="26">
        <v>18</v>
      </c>
    </row>
    <row r="12" spans="1:53" x14ac:dyDescent="0.15">
      <c r="A12" s="53" t="s">
        <v>41</v>
      </c>
      <c r="B12" s="53" t="s">
        <v>157</v>
      </c>
      <c r="C12" s="62">
        <v>2019</v>
      </c>
      <c r="D12" s="63" t="s">
        <v>190</v>
      </c>
      <c r="E12" s="53" t="s">
        <v>133</v>
      </c>
      <c r="F12" s="53" t="s">
        <v>186</v>
      </c>
      <c r="G12" s="53" t="s">
        <v>42</v>
      </c>
      <c r="H12" s="53" t="s">
        <v>164</v>
      </c>
      <c r="I12" s="53" t="s">
        <v>159</v>
      </c>
      <c r="J12" s="53" t="s">
        <v>38</v>
      </c>
      <c r="K12" s="53" t="s">
        <v>161</v>
      </c>
      <c r="L12" s="53">
        <v>2</v>
      </c>
      <c r="M12" s="75"/>
      <c r="N12" s="53">
        <v>10</v>
      </c>
      <c r="O12" s="53">
        <v>0.3</v>
      </c>
      <c r="P12" s="53">
        <v>0.35</v>
      </c>
      <c r="Q12" s="72">
        <f t="shared" si="0"/>
        <v>0.32499999999999996</v>
      </c>
      <c r="R12" s="53">
        <v>13.5</v>
      </c>
      <c r="S12" s="53">
        <v>112</v>
      </c>
      <c r="T12" s="16">
        <f t="shared" si="1"/>
        <v>33</v>
      </c>
      <c r="U12" s="53">
        <v>842</v>
      </c>
      <c r="V12" s="16">
        <f t="shared" si="2"/>
        <v>2778.6</v>
      </c>
      <c r="W12" s="53">
        <v>2</v>
      </c>
      <c r="X12" s="53" t="s">
        <v>46</v>
      </c>
      <c r="Y12" s="53" t="s">
        <v>84</v>
      </c>
      <c r="Z12" s="53" t="s">
        <v>90</v>
      </c>
      <c r="AA12" s="53" t="s">
        <v>69</v>
      </c>
      <c r="AB12" s="53" t="s">
        <v>158</v>
      </c>
      <c r="AE12" s="22" t="s">
        <v>214</v>
      </c>
      <c r="AG12" s="22"/>
      <c r="AH12" s="22"/>
      <c r="AP12" s="23" t="s">
        <v>67</v>
      </c>
      <c r="AR12" s="23" t="s">
        <v>215</v>
      </c>
      <c r="AV12" s="23" t="s">
        <v>72</v>
      </c>
      <c r="AX12" s="31">
        <v>180</v>
      </c>
      <c r="AY12" s="32">
        <v>18</v>
      </c>
      <c r="AZ12" s="32">
        <v>181</v>
      </c>
      <c r="BA12" s="33">
        <v>16</v>
      </c>
    </row>
    <row r="13" spans="1:53" x14ac:dyDescent="0.15">
      <c r="A13" s="53" t="s">
        <v>41</v>
      </c>
      <c r="B13" s="53" t="s">
        <v>157</v>
      </c>
      <c r="C13" s="62">
        <v>2019</v>
      </c>
      <c r="D13" s="63" t="s">
        <v>190</v>
      </c>
      <c r="E13" s="53" t="s">
        <v>133</v>
      </c>
      <c r="F13" s="53" t="s">
        <v>186</v>
      </c>
      <c r="G13" s="53" t="s">
        <v>42</v>
      </c>
      <c r="H13" s="53" t="s">
        <v>164</v>
      </c>
      <c r="I13" s="53" t="s">
        <v>159</v>
      </c>
      <c r="J13" s="53" t="s">
        <v>38</v>
      </c>
      <c r="K13" s="53" t="s">
        <v>161</v>
      </c>
      <c r="L13" s="53">
        <v>3</v>
      </c>
      <c r="M13" s="75"/>
      <c r="N13" s="53">
        <v>10</v>
      </c>
      <c r="O13" s="53">
        <v>0.45</v>
      </c>
      <c r="P13" s="53">
        <v>0.3</v>
      </c>
      <c r="Q13" s="72">
        <f t="shared" si="0"/>
        <v>0.375</v>
      </c>
      <c r="R13" s="53">
        <v>14</v>
      </c>
      <c r="S13" s="53">
        <v>114</v>
      </c>
      <c r="T13" s="16">
        <f t="shared" si="1"/>
        <v>30</v>
      </c>
      <c r="U13" s="53">
        <v>842</v>
      </c>
      <c r="V13" s="16">
        <f t="shared" si="2"/>
        <v>2526</v>
      </c>
      <c r="W13" s="53">
        <v>2</v>
      </c>
      <c r="X13" s="53" t="s">
        <v>46</v>
      </c>
      <c r="Y13" s="53" t="s">
        <v>84</v>
      </c>
      <c r="Z13" s="53" t="s">
        <v>90</v>
      </c>
      <c r="AA13" s="53" t="s">
        <v>69</v>
      </c>
      <c r="AB13" s="53" t="s">
        <v>158</v>
      </c>
      <c r="AE13" s="22" t="s">
        <v>216</v>
      </c>
      <c r="AG13" s="23"/>
      <c r="AH13" s="23"/>
      <c r="AP13" s="23" t="s">
        <v>71</v>
      </c>
      <c r="AR13" s="23" t="s">
        <v>208</v>
      </c>
      <c r="AV13" s="23" t="s">
        <v>75</v>
      </c>
    </row>
    <row r="14" spans="1:53" x14ac:dyDescent="0.15">
      <c r="A14" s="53" t="s">
        <v>41</v>
      </c>
      <c r="B14" s="53" t="s">
        <v>157</v>
      </c>
      <c r="C14" s="62">
        <v>2019</v>
      </c>
      <c r="D14" s="63" t="s">
        <v>190</v>
      </c>
      <c r="E14" s="53" t="s">
        <v>133</v>
      </c>
      <c r="F14" s="53" t="s">
        <v>186</v>
      </c>
      <c r="G14" s="53" t="s">
        <v>42</v>
      </c>
      <c r="H14" s="53" t="s">
        <v>168</v>
      </c>
      <c r="I14" s="53" t="s">
        <v>159</v>
      </c>
      <c r="J14" s="53" t="s">
        <v>38</v>
      </c>
      <c r="K14" s="53" t="s">
        <v>54</v>
      </c>
      <c r="L14" s="53">
        <v>1</v>
      </c>
      <c r="M14" s="75"/>
      <c r="N14" s="53">
        <v>1</v>
      </c>
      <c r="O14" s="53">
        <v>0.6</v>
      </c>
      <c r="P14" s="53">
        <v>0.55000000000000004</v>
      </c>
      <c r="Q14" s="74">
        <v>0.55000000000000004</v>
      </c>
      <c r="R14" s="53">
        <v>12.3</v>
      </c>
      <c r="S14" s="53">
        <v>124</v>
      </c>
      <c r="T14" s="16">
        <f t="shared" si="1"/>
        <v>30</v>
      </c>
      <c r="U14" s="53">
        <v>149</v>
      </c>
      <c r="V14" s="16">
        <f t="shared" si="2"/>
        <v>4470</v>
      </c>
      <c r="W14" s="53">
        <v>2</v>
      </c>
      <c r="X14" s="53" t="s">
        <v>46</v>
      </c>
      <c r="Y14" s="53" t="s">
        <v>84</v>
      </c>
      <c r="Z14" s="53" t="s">
        <v>90</v>
      </c>
      <c r="AA14" s="53" t="s">
        <v>69</v>
      </c>
      <c r="AB14" s="53" t="s">
        <v>158</v>
      </c>
      <c r="AE14" s="22" t="s">
        <v>96</v>
      </c>
      <c r="AG14" s="23"/>
      <c r="AH14" s="23"/>
      <c r="AP14" s="23" t="s">
        <v>74</v>
      </c>
      <c r="AR14" s="23" t="s">
        <v>217</v>
      </c>
      <c r="AV14" s="23" t="s">
        <v>78</v>
      </c>
    </row>
    <row r="15" spans="1:53" x14ac:dyDescent="0.15">
      <c r="A15" s="53" t="s">
        <v>41</v>
      </c>
      <c r="B15" s="53" t="s">
        <v>157</v>
      </c>
      <c r="C15" s="62">
        <v>2019</v>
      </c>
      <c r="D15" s="63" t="s">
        <v>190</v>
      </c>
      <c r="E15" s="53" t="s">
        <v>133</v>
      </c>
      <c r="F15" s="53" t="s">
        <v>186</v>
      </c>
      <c r="G15" s="53" t="s">
        <v>42</v>
      </c>
      <c r="H15" s="53" t="s">
        <v>168</v>
      </c>
      <c r="I15" s="53" t="s">
        <v>159</v>
      </c>
      <c r="J15" s="53" t="s">
        <v>38</v>
      </c>
      <c r="K15" s="53" t="s">
        <v>54</v>
      </c>
      <c r="L15" s="53">
        <v>2</v>
      </c>
      <c r="M15" s="75"/>
      <c r="N15" s="53">
        <v>1</v>
      </c>
      <c r="O15" s="53">
        <v>0.4</v>
      </c>
      <c r="P15" s="53">
        <v>0.65</v>
      </c>
      <c r="Q15" s="74">
        <v>0.65</v>
      </c>
      <c r="R15" s="53">
        <v>13.5</v>
      </c>
      <c r="S15" s="53">
        <v>126</v>
      </c>
      <c r="T15" s="16">
        <f t="shared" si="1"/>
        <v>30</v>
      </c>
      <c r="U15" s="53">
        <v>149</v>
      </c>
      <c r="V15" s="16">
        <f t="shared" si="2"/>
        <v>4470</v>
      </c>
      <c r="W15" s="53">
        <v>2</v>
      </c>
      <c r="X15" s="53" t="s">
        <v>46</v>
      </c>
      <c r="Y15" s="53" t="s">
        <v>84</v>
      </c>
      <c r="Z15" s="53" t="s">
        <v>90</v>
      </c>
      <c r="AA15" s="53" t="s">
        <v>69</v>
      </c>
      <c r="AB15" s="53" t="s">
        <v>158</v>
      </c>
      <c r="AE15" s="22" t="s">
        <v>218</v>
      </c>
      <c r="AG15" s="23"/>
      <c r="AH15" s="23"/>
      <c r="AP15" s="23" t="s">
        <v>77</v>
      </c>
      <c r="AR15" s="23" t="s">
        <v>80</v>
      </c>
      <c r="AV15" s="23" t="s">
        <v>107</v>
      </c>
    </row>
    <row r="16" spans="1:53" x14ac:dyDescent="0.15">
      <c r="A16" s="53" t="s">
        <v>41</v>
      </c>
      <c r="B16" s="53" t="s">
        <v>157</v>
      </c>
      <c r="C16" s="62">
        <v>2019</v>
      </c>
      <c r="D16" s="63" t="s">
        <v>190</v>
      </c>
      <c r="E16" s="53" t="s">
        <v>133</v>
      </c>
      <c r="F16" s="53" t="s">
        <v>186</v>
      </c>
      <c r="G16" s="53" t="s">
        <v>42</v>
      </c>
      <c r="H16" s="53" t="s">
        <v>168</v>
      </c>
      <c r="I16" s="53" t="s">
        <v>159</v>
      </c>
      <c r="J16" s="53" t="s">
        <v>38</v>
      </c>
      <c r="K16" s="53" t="s">
        <v>54</v>
      </c>
      <c r="L16" s="53">
        <v>3</v>
      </c>
      <c r="M16" s="75"/>
      <c r="N16" s="53">
        <v>1</v>
      </c>
      <c r="O16" s="53">
        <v>0.5</v>
      </c>
      <c r="P16" s="53">
        <v>0.5</v>
      </c>
      <c r="Q16" s="74">
        <v>0.57999999999999996</v>
      </c>
      <c r="R16" s="53">
        <v>16</v>
      </c>
      <c r="S16" s="53">
        <v>127</v>
      </c>
      <c r="T16" s="16">
        <f t="shared" si="1"/>
        <v>30</v>
      </c>
      <c r="U16" s="53">
        <v>149</v>
      </c>
      <c r="V16" s="16">
        <f t="shared" si="2"/>
        <v>4470</v>
      </c>
      <c r="W16" s="53">
        <v>2</v>
      </c>
      <c r="X16" s="53" t="s">
        <v>46</v>
      </c>
      <c r="Y16" s="53" t="s">
        <v>84</v>
      </c>
      <c r="Z16" s="53" t="s">
        <v>90</v>
      </c>
      <c r="AA16" s="53" t="s">
        <v>69</v>
      </c>
      <c r="AB16" s="53" t="s">
        <v>158</v>
      </c>
      <c r="AE16" s="22" t="s">
        <v>219</v>
      </c>
      <c r="AG16" s="28"/>
      <c r="AH16" s="28"/>
      <c r="AP16" s="23" t="s">
        <v>80</v>
      </c>
      <c r="AR16" s="23" t="s">
        <v>63</v>
      </c>
      <c r="AV16" s="23" t="s">
        <v>84</v>
      </c>
    </row>
    <row r="17" spans="1:48" x14ac:dyDescent="0.15">
      <c r="A17" s="53" t="s">
        <v>41</v>
      </c>
      <c r="B17" s="53" t="s">
        <v>157</v>
      </c>
      <c r="C17" s="62">
        <v>2019</v>
      </c>
      <c r="D17" s="63" t="s">
        <v>190</v>
      </c>
      <c r="E17" s="53" t="s">
        <v>188</v>
      </c>
      <c r="F17" s="53" t="s">
        <v>186</v>
      </c>
      <c r="G17" s="53" t="s">
        <v>42</v>
      </c>
      <c r="H17" s="53" t="s">
        <v>189</v>
      </c>
      <c r="I17" s="53" t="s">
        <v>159</v>
      </c>
      <c r="J17" s="53" t="s">
        <v>80</v>
      </c>
      <c r="K17" s="53" t="s">
        <v>45</v>
      </c>
      <c r="L17" s="53">
        <v>1</v>
      </c>
      <c r="M17" s="75"/>
      <c r="N17" s="53">
        <v>1</v>
      </c>
      <c r="O17" s="53">
        <v>0.6</v>
      </c>
      <c r="P17" s="53">
        <v>0.65</v>
      </c>
      <c r="Q17" s="74">
        <v>0.55000000000000004</v>
      </c>
      <c r="R17" s="53">
        <v>12.4</v>
      </c>
      <c r="S17" s="53">
        <v>120</v>
      </c>
      <c r="T17" s="16">
        <f t="shared" si="1"/>
        <v>30</v>
      </c>
      <c r="U17" s="53">
        <v>105</v>
      </c>
      <c r="V17" s="16">
        <f t="shared" si="2"/>
        <v>3150</v>
      </c>
      <c r="W17" s="53">
        <v>1</v>
      </c>
      <c r="X17" s="53" t="s">
        <v>46</v>
      </c>
      <c r="Y17" s="53" t="s">
        <v>69</v>
      </c>
      <c r="Z17" s="53" t="s">
        <v>84</v>
      </c>
      <c r="AA17" s="53" t="s">
        <v>90</v>
      </c>
      <c r="AB17" s="53" t="s">
        <v>158</v>
      </c>
      <c r="AE17" s="22" t="s">
        <v>220</v>
      </c>
      <c r="AP17" s="27" t="s">
        <v>221</v>
      </c>
      <c r="AR17" s="23" t="s">
        <v>96</v>
      </c>
      <c r="AV17" s="23" t="s">
        <v>86</v>
      </c>
    </row>
    <row r="18" spans="1:48" x14ac:dyDescent="0.15">
      <c r="A18" s="53" t="s">
        <v>41</v>
      </c>
      <c r="B18" s="53" t="s">
        <v>157</v>
      </c>
      <c r="C18" s="62">
        <v>2019</v>
      </c>
      <c r="D18" s="63" t="s">
        <v>190</v>
      </c>
      <c r="E18" s="53" t="s">
        <v>188</v>
      </c>
      <c r="F18" s="53" t="s">
        <v>186</v>
      </c>
      <c r="G18" s="53" t="s">
        <v>42</v>
      </c>
      <c r="H18" s="53" t="s">
        <v>189</v>
      </c>
      <c r="I18" s="53" t="s">
        <v>159</v>
      </c>
      <c r="J18" s="53" t="s">
        <v>80</v>
      </c>
      <c r="K18" s="53" t="s">
        <v>45</v>
      </c>
      <c r="L18" s="53">
        <v>2</v>
      </c>
      <c r="M18" s="75"/>
      <c r="N18" s="53">
        <v>1</v>
      </c>
      <c r="O18" s="53">
        <v>0.45</v>
      </c>
      <c r="P18" s="53">
        <v>0.5</v>
      </c>
      <c r="Q18" s="74">
        <v>0.65</v>
      </c>
      <c r="R18" s="53">
        <v>12.6</v>
      </c>
      <c r="S18" s="53">
        <v>117</v>
      </c>
      <c r="T18" s="16">
        <f t="shared" si="1"/>
        <v>30</v>
      </c>
      <c r="U18" s="53">
        <v>105</v>
      </c>
      <c r="V18" s="16">
        <f t="shared" si="2"/>
        <v>3150</v>
      </c>
      <c r="W18" s="53">
        <v>1</v>
      </c>
      <c r="X18" s="53" t="s">
        <v>46</v>
      </c>
      <c r="Y18" s="53" t="s">
        <v>69</v>
      </c>
      <c r="Z18" s="53" t="s">
        <v>84</v>
      </c>
      <c r="AA18" s="53" t="s">
        <v>90</v>
      </c>
      <c r="AB18" s="53" t="s">
        <v>158</v>
      </c>
      <c r="AE18" s="22" t="s">
        <v>213</v>
      </c>
      <c r="AP18" s="27" t="s">
        <v>222</v>
      </c>
      <c r="AR18" s="23" t="s">
        <v>101</v>
      </c>
      <c r="AV18" s="23" t="s">
        <v>88</v>
      </c>
    </row>
    <row r="19" spans="1:48" x14ac:dyDescent="0.15">
      <c r="A19" s="53" t="s">
        <v>41</v>
      </c>
      <c r="B19" s="53" t="s">
        <v>157</v>
      </c>
      <c r="C19" s="62">
        <v>2019</v>
      </c>
      <c r="D19" s="63" t="s">
        <v>190</v>
      </c>
      <c r="E19" s="53" t="s">
        <v>188</v>
      </c>
      <c r="F19" s="53" t="s">
        <v>186</v>
      </c>
      <c r="G19" s="53" t="s">
        <v>42</v>
      </c>
      <c r="H19" s="53" t="s">
        <v>189</v>
      </c>
      <c r="I19" s="53" t="s">
        <v>159</v>
      </c>
      <c r="J19" s="53" t="s">
        <v>80</v>
      </c>
      <c r="K19" s="53" t="s">
        <v>45</v>
      </c>
      <c r="L19" s="53">
        <v>3</v>
      </c>
      <c r="M19" s="75"/>
      <c r="N19" s="53">
        <v>1</v>
      </c>
      <c r="O19" s="53">
        <v>0.6</v>
      </c>
      <c r="P19" s="53">
        <v>0.45</v>
      </c>
      <c r="Q19" s="74">
        <v>0.57999999999999996</v>
      </c>
      <c r="R19" s="53">
        <v>14.2</v>
      </c>
      <c r="S19" s="53">
        <v>115</v>
      </c>
      <c r="T19" s="16">
        <f t="shared" si="1"/>
        <v>30</v>
      </c>
      <c r="U19" s="53">
        <v>105</v>
      </c>
      <c r="V19" s="16">
        <f t="shared" si="2"/>
        <v>3150</v>
      </c>
      <c r="W19" s="53">
        <v>1</v>
      </c>
      <c r="X19" s="53" t="s">
        <v>46</v>
      </c>
      <c r="Y19" s="53" t="s">
        <v>69</v>
      </c>
      <c r="Z19" s="53" t="s">
        <v>84</v>
      </c>
      <c r="AA19" s="53" t="s">
        <v>90</v>
      </c>
      <c r="AB19" s="53" t="s">
        <v>158</v>
      </c>
      <c r="AE19" s="35" t="s">
        <v>207</v>
      </c>
      <c r="AP19" s="27" t="s">
        <v>223</v>
      </c>
      <c r="AR19" s="23" t="s">
        <v>224</v>
      </c>
      <c r="AV19" s="23" t="s">
        <v>90</v>
      </c>
    </row>
    <row r="20" spans="1:48" x14ac:dyDescent="0.15">
      <c r="A20" s="53" t="s">
        <v>41</v>
      </c>
      <c r="B20" s="53" t="s">
        <v>157</v>
      </c>
      <c r="C20" s="62">
        <v>2019</v>
      </c>
      <c r="D20" s="63" t="s">
        <v>190</v>
      </c>
      <c r="E20" s="53" t="s">
        <v>188</v>
      </c>
      <c r="F20" s="53" t="s">
        <v>186</v>
      </c>
      <c r="G20" s="53" t="s">
        <v>42</v>
      </c>
      <c r="H20" s="53" t="s">
        <v>164</v>
      </c>
      <c r="I20" s="53" t="s">
        <v>159</v>
      </c>
      <c r="J20" s="53" t="s">
        <v>38</v>
      </c>
      <c r="K20" s="53" t="s">
        <v>161</v>
      </c>
      <c r="L20" s="53">
        <v>1</v>
      </c>
      <c r="M20" s="75"/>
      <c r="N20" s="53">
        <v>1</v>
      </c>
      <c r="O20" s="53">
        <v>1.2</v>
      </c>
      <c r="P20" s="53">
        <v>1.1000000000000001</v>
      </c>
      <c r="Q20" s="74">
        <v>0.63</v>
      </c>
      <c r="R20" s="53">
        <v>13</v>
      </c>
      <c r="S20" s="53">
        <v>132</v>
      </c>
      <c r="T20" s="16">
        <f t="shared" si="1"/>
        <v>25</v>
      </c>
      <c r="U20" s="53">
        <v>105</v>
      </c>
      <c r="V20" s="16">
        <f t="shared" si="2"/>
        <v>2625</v>
      </c>
      <c r="W20" s="53">
        <v>1</v>
      </c>
      <c r="X20" s="53" t="s">
        <v>46</v>
      </c>
      <c r="Y20" s="53" t="s">
        <v>69</v>
      </c>
      <c r="Z20" s="53" t="s">
        <v>84</v>
      </c>
      <c r="AA20" s="53" t="s">
        <v>90</v>
      </c>
      <c r="AB20" s="53" t="s">
        <v>158</v>
      </c>
      <c r="AP20" s="27" t="s">
        <v>225</v>
      </c>
      <c r="AR20" s="23" t="s">
        <v>105</v>
      </c>
      <c r="AV20" s="27" t="s">
        <v>226</v>
      </c>
    </row>
    <row r="21" spans="1:48" x14ac:dyDescent="0.15">
      <c r="A21" s="53" t="s">
        <v>41</v>
      </c>
      <c r="B21" s="53" t="s">
        <v>157</v>
      </c>
      <c r="C21" s="62">
        <v>2019</v>
      </c>
      <c r="D21" s="63" t="s">
        <v>190</v>
      </c>
      <c r="E21" s="53" t="s">
        <v>188</v>
      </c>
      <c r="F21" s="53" t="s">
        <v>186</v>
      </c>
      <c r="G21" s="53" t="s">
        <v>42</v>
      </c>
      <c r="H21" s="53" t="s">
        <v>164</v>
      </c>
      <c r="I21" s="53" t="s">
        <v>159</v>
      </c>
      <c r="J21" s="53" t="s">
        <v>38</v>
      </c>
      <c r="K21" s="53" t="s">
        <v>161</v>
      </c>
      <c r="L21" s="53">
        <v>2</v>
      </c>
      <c r="M21" s="75"/>
      <c r="N21" s="53">
        <v>1</v>
      </c>
      <c r="O21" s="53">
        <v>0.5</v>
      </c>
      <c r="P21" s="53">
        <v>0.6</v>
      </c>
      <c r="Q21" s="74">
        <v>0.78</v>
      </c>
      <c r="R21" s="53">
        <v>11.2</v>
      </c>
      <c r="S21" s="53">
        <v>130</v>
      </c>
      <c r="T21" s="16">
        <f t="shared" si="1"/>
        <v>25</v>
      </c>
      <c r="U21" s="53">
        <v>105</v>
      </c>
      <c r="V21" s="16">
        <f t="shared" si="2"/>
        <v>2625</v>
      </c>
      <c r="W21" s="53">
        <v>1</v>
      </c>
      <c r="X21" s="53" t="s">
        <v>46</v>
      </c>
      <c r="Y21" s="53" t="s">
        <v>69</v>
      </c>
      <c r="Z21" s="53" t="s">
        <v>84</v>
      </c>
      <c r="AA21" s="53" t="s">
        <v>90</v>
      </c>
      <c r="AB21" s="53" t="s">
        <v>158</v>
      </c>
      <c r="AP21" s="27" t="s">
        <v>227</v>
      </c>
      <c r="AR21" s="23" t="s">
        <v>68</v>
      </c>
      <c r="AV21" s="28" t="s">
        <v>228</v>
      </c>
    </row>
    <row r="22" spans="1:48" x14ac:dyDescent="0.15">
      <c r="A22" s="53" t="s">
        <v>41</v>
      </c>
      <c r="B22" s="53" t="s">
        <v>157</v>
      </c>
      <c r="C22" s="62">
        <v>2019</v>
      </c>
      <c r="D22" s="63" t="s">
        <v>190</v>
      </c>
      <c r="E22" s="53" t="s">
        <v>188</v>
      </c>
      <c r="F22" s="53" t="s">
        <v>186</v>
      </c>
      <c r="G22" s="53" t="s">
        <v>42</v>
      </c>
      <c r="H22" s="53" t="s">
        <v>164</v>
      </c>
      <c r="I22" s="53" t="s">
        <v>159</v>
      </c>
      <c r="J22" s="53" t="s">
        <v>38</v>
      </c>
      <c r="K22" s="53" t="s">
        <v>161</v>
      </c>
      <c r="L22" s="53">
        <v>3</v>
      </c>
      <c r="M22" s="75"/>
      <c r="N22" s="53">
        <v>1</v>
      </c>
      <c r="O22" s="53">
        <v>1</v>
      </c>
      <c r="P22" s="53">
        <v>0.85</v>
      </c>
      <c r="Q22" s="74">
        <v>0.65</v>
      </c>
      <c r="R22" s="53">
        <v>10</v>
      </c>
      <c r="S22" s="53">
        <v>128</v>
      </c>
      <c r="T22" s="16">
        <f t="shared" si="1"/>
        <v>27</v>
      </c>
      <c r="U22" s="53">
        <v>105</v>
      </c>
      <c r="V22" s="16">
        <f t="shared" si="2"/>
        <v>2835</v>
      </c>
      <c r="W22" s="53">
        <v>1</v>
      </c>
      <c r="X22" s="53" t="s">
        <v>46</v>
      </c>
      <c r="Y22" s="53" t="s">
        <v>69</v>
      </c>
      <c r="Z22" s="53" t="s">
        <v>84</v>
      </c>
      <c r="AA22" s="53" t="s">
        <v>90</v>
      </c>
      <c r="AB22" s="53" t="s">
        <v>158</v>
      </c>
      <c r="AP22" s="27" t="s">
        <v>229</v>
      </c>
      <c r="AR22" s="23" t="s">
        <v>83</v>
      </c>
    </row>
    <row r="23" spans="1:48" x14ac:dyDescent="0.15">
      <c r="A23" s="53" t="s">
        <v>41</v>
      </c>
      <c r="B23" s="53" t="s">
        <v>157</v>
      </c>
      <c r="C23" s="62">
        <v>2019</v>
      </c>
      <c r="D23" s="63" t="s">
        <v>190</v>
      </c>
      <c r="E23" s="53" t="s">
        <v>188</v>
      </c>
      <c r="F23" s="53" t="s">
        <v>191</v>
      </c>
      <c r="G23" s="53" t="s">
        <v>42</v>
      </c>
      <c r="H23" s="53" t="s">
        <v>164</v>
      </c>
      <c r="I23" s="53" t="s">
        <v>159</v>
      </c>
      <c r="J23" s="53" t="s">
        <v>38</v>
      </c>
      <c r="K23" s="53" t="s">
        <v>161</v>
      </c>
      <c r="L23" s="53">
        <v>1</v>
      </c>
      <c r="M23" s="75"/>
      <c r="N23" s="53">
        <v>5</v>
      </c>
      <c r="O23" s="53">
        <v>0.3</v>
      </c>
      <c r="P23" s="53">
        <v>0.4</v>
      </c>
      <c r="Q23" s="16">
        <v>0.38</v>
      </c>
      <c r="R23" s="53">
        <v>10</v>
      </c>
      <c r="S23" s="53">
        <v>98</v>
      </c>
      <c r="T23" s="16">
        <f t="shared" si="1"/>
        <v>36</v>
      </c>
      <c r="U23" s="53">
        <v>378</v>
      </c>
      <c r="V23" s="16">
        <f t="shared" si="2"/>
        <v>2721.6</v>
      </c>
      <c r="W23" s="53">
        <v>1</v>
      </c>
      <c r="X23" s="53" t="s">
        <v>39</v>
      </c>
      <c r="Y23" s="53" t="s">
        <v>84</v>
      </c>
      <c r="Z23" s="53" t="s">
        <v>90</v>
      </c>
      <c r="AA23" s="53" t="s">
        <v>69</v>
      </c>
      <c r="AB23" s="53" t="s">
        <v>158</v>
      </c>
      <c r="AP23" s="27" t="s">
        <v>230</v>
      </c>
      <c r="AR23" s="23" t="s">
        <v>61</v>
      </c>
    </row>
    <row r="24" spans="1:48" x14ac:dyDescent="0.15">
      <c r="A24" s="53" t="s">
        <v>41</v>
      </c>
      <c r="B24" s="53" t="s">
        <v>157</v>
      </c>
      <c r="C24" s="62">
        <v>2019</v>
      </c>
      <c r="D24" s="63" t="s">
        <v>190</v>
      </c>
      <c r="E24" s="53" t="s">
        <v>188</v>
      </c>
      <c r="F24" s="53" t="s">
        <v>191</v>
      </c>
      <c r="G24" s="53" t="s">
        <v>42</v>
      </c>
      <c r="H24" s="53" t="s">
        <v>164</v>
      </c>
      <c r="I24" s="53" t="s">
        <v>159</v>
      </c>
      <c r="J24" s="53" t="s">
        <v>38</v>
      </c>
      <c r="K24" s="53" t="s">
        <v>161</v>
      </c>
      <c r="L24" s="53">
        <v>2</v>
      </c>
      <c r="M24" s="75"/>
      <c r="N24" s="53">
        <v>5</v>
      </c>
      <c r="O24" s="53">
        <v>0.35</v>
      </c>
      <c r="P24" s="53">
        <v>0.45</v>
      </c>
      <c r="Q24" s="16">
        <v>0.83</v>
      </c>
      <c r="R24" s="53">
        <v>12.3</v>
      </c>
      <c r="S24" s="53">
        <v>89</v>
      </c>
      <c r="T24" s="16">
        <f t="shared" si="1"/>
        <v>36</v>
      </c>
      <c r="U24" s="53">
        <v>378</v>
      </c>
      <c r="V24" s="16">
        <f t="shared" si="2"/>
        <v>2721.6</v>
      </c>
      <c r="W24" s="53">
        <v>1</v>
      </c>
      <c r="X24" s="53" t="s">
        <v>39</v>
      </c>
      <c r="Y24" s="53" t="s">
        <v>84</v>
      </c>
      <c r="Z24" s="53" t="s">
        <v>90</v>
      </c>
      <c r="AA24" s="53" t="s">
        <v>69</v>
      </c>
      <c r="AB24" s="53" t="s">
        <v>158</v>
      </c>
      <c r="AP24" s="27" t="s">
        <v>231</v>
      </c>
      <c r="AR24" s="23" t="s">
        <v>91</v>
      </c>
    </row>
    <row r="25" spans="1:48" x14ac:dyDescent="0.15">
      <c r="A25" s="53" t="s">
        <v>41</v>
      </c>
      <c r="B25" s="53" t="s">
        <v>157</v>
      </c>
      <c r="C25" s="62">
        <v>2019</v>
      </c>
      <c r="D25" s="63" t="s">
        <v>190</v>
      </c>
      <c r="E25" s="53" t="s">
        <v>188</v>
      </c>
      <c r="F25" s="53" t="s">
        <v>191</v>
      </c>
      <c r="G25" s="53" t="s">
        <v>42</v>
      </c>
      <c r="H25" s="53" t="s">
        <v>164</v>
      </c>
      <c r="I25" s="53" t="s">
        <v>159</v>
      </c>
      <c r="J25" s="53" t="s">
        <v>38</v>
      </c>
      <c r="K25" s="53" t="s">
        <v>161</v>
      </c>
      <c r="L25" s="53">
        <v>3</v>
      </c>
      <c r="M25" s="75"/>
      <c r="N25" s="53">
        <v>5</v>
      </c>
      <c r="O25" s="53">
        <v>0.4</v>
      </c>
      <c r="P25" s="53">
        <v>0.5</v>
      </c>
      <c r="Q25" s="16">
        <v>0.5</v>
      </c>
      <c r="R25" s="53">
        <v>10.4</v>
      </c>
      <c r="S25" s="53">
        <v>95</v>
      </c>
      <c r="T25" s="16">
        <f t="shared" si="1"/>
        <v>36</v>
      </c>
      <c r="U25" s="53">
        <v>378</v>
      </c>
      <c r="V25" s="16">
        <f t="shared" si="2"/>
        <v>2721.6</v>
      </c>
      <c r="W25" s="53">
        <v>1</v>
      </c>
      <c r="X25" s="53" t="s">
        <v>39</v>
      </c>
      <c r="Y25" s="53" t="s">
        <v>84</v>
      </c>
      <c r="Z25" s="53" t="s">
        <v>90</v>
      </c>
      <c r="AA25" s="53" t="s">
        <v>69</v>
      </c>
      <c r="AB25" s="53" t="s">
        <v>158</v>
      </c>
      <c r="AP25" s="27" t="s">
        <v>232</v>
      </c>
      <c r="AR25" s="27" t="s">
        <v>51</v>
      </c>
    </row>
    <row r="26" spans="1:48" x14ac:dyDescent="0.15">
      <c r="A26" s="53" t="s">
        <v>41</v>
      </c>
      <c r="B26" s="53" t="s">
        <v>157</v>
      </c>
      <c r="C26" s="62">
        <v>2019</v>
      </c>
      <c r="D26" s="63" t="s">
        <v>190</v>
      </c>
      <c r="E26" s="53" t="s">
        <v>188</v>
      </c>
      <c r="F26" s="53" t="s">
        <v>191</v>
      </c>
      <c r="G26" s="53" t="s">
        <v>42</v>
      </c>
      <c r="H26" s="53" t="s">
        <v>164</v>
      </c>
      <c r="I26" s="53" t="s">
        <v>159</v>
      </c>
      <c r="J26" s="53" t="s">
        <v>38</v>
      </c>
      <c r="K26" s="53" t="s">
        <v>161</v>
      </c>
      <c r="L26" s="53">
        <v>1</v>
      </c>
      <c r="M26" s="75"/>
      <c r="N26" s="53">
        <v>1</v>
      </c>
      <c r="O26" s="53">
        <v>0.65</v>
      </c>
      <c r="P26" s="53">
        <v>0.5</v>
      </c>
      <c r="Q26" s="16">
        <v>2.4</v>
      </c>
      <c r="R26" s="53">
        <v>13</v>
      </c>
      <c r="S26" s="53">
        <v>127</v>
      </c>
      <c r="T26" s="16">
        <f t="shared" si="1"/>
        <v>27</v>
      </c>
      <c r="U26" s="53">
        <v>105</v>
      </c>
      <c r="V26" s="16">
        <f t="shared" si="2"/>
        <v>2835</v>
      </c>
      <c r="W26" s="53">
        <v>2</v>
      </c>
      <c r="X26" s="53" t="s">
        <v>39</v>
      </c>
      <c r="Y26" s="53" t="s">
        <v>84</v>
      </c>
      <c r="Z26" s="53" t="s">
        <v>90</v>
      </c>
      <c r="AA26" s="53" t="s">
        <v>69</v>
      </c>
      <c r="AB26" s="53" t="s">
        <v>158</v>
      </c>
      <c r="AP26" s="27" t="s">
        <v>233</v>
      </c>
      <c r="AR26" s="53" t="s">
        <v>234</v>
      </c>
    </row>
    <row r="27" spans="1:48" x14ac:dyDescent="0.15">
      <c r="A27" s="53" t="s">
        <v>41</v>
      </c>
      <c r="B27" s="53" t="s">
        <v>157</v>
      </c>
      <c r="C27" s="62">
        <v>2019</v>
      </c>
      <c r="D27" s="63" t="s">
        <v>190</v>
      </c>
      <c r="E27" s="53" t="s">
        <v>188</v>
      </c>
      <c r="F27" s="53" t="s">
        <v>191</v>
      </c>
      <c r="G27" s="53" t="s">
        <v>42</v>
      </c>
      <c r="H27" s="53" t="s">
        <v>164</v>
      </c>
      <c r="I27" s="53" t="s">
        <v>159</v>
      </c>
      <c r="J27" s="53" t="s">
        <v>38</v>
      </c>
      <c r="K27" s="53" t="s">
        <v>161</v>
      </c>
      <c r="L27" s="53">
        <v>2</v>
      </c>
      <c r="M27" s="75"/>
      <c r="N27" s="53">
        <v>1</v>
      </c>
      <c r="O27" s="53">
        <v>0.4</v>
      </c>
      <c r="P27" s="53">
        <v>0.45</v>
      </c>
      <c r="Q27" s="16">
        <v>1.73</v>
      </c>
      <c r="R27" s="53">
        <v>14.1</v>
      </c>
      <c r="S27" s="53">
        <v>126</v>
      </c>
      <c r="T27" s="16">
        <f t="shared" si="1"/>
        <v>27</v>
      </c>
      <c r="U27" s="53">
        <v>105</v>
      </c>
      <c r="V27" s="16">
        <f t="shared" si="2"/>
        <v>2835</v>
      </c>
      <c r="W27" s="53">
        <v>2</v>
      </c>
      <c r="X27" s="53" t="s">
        <v>39</v>
      </c>
      <c r="Y27" s="53" t="s">
        <v>84</v>
      </c>
      <c r="Z27" s="53" t="s">
        <v>90</v>
      </c>
      <c r="AA27" s="53" t="s">
        <v>69</v>
      </c>
      <c r="AB27" s="53" t="s">
        <v>158</v>
      </c>
      <c r="AP27" s="27" t="s">
        <v>235</v>
      </c>
    </row>
    <row r="28" spans="1:48" x14ac:dyDescent="0.15">
      <c r="A28" s="53" t="s">
        <v>41</v>
      </c>
      <c r="B28" s="53" t="s">
        <v>157</v>
      </c>
      <c r="C28" s="62">
        <v>2019</v>
      </c>
      <c r="D28" s="63" t="s">
        <v>190</v>
      </c>
      <c r="E28" s="53" t="s">
        <v>188</v>
      </c>
      <c r="F28" s="53" t="s">
        <v>191</v>
      </c>
      <c r="G28" s="53" t="s">
        <v>42</v>
      </c>
      <c r="H28" s="53" t="s">
        <v>164</v>
      </c>
      <c r="I28" s="53" t="s">
        <v>159</v>
      </c>
      <c r="J28" s="53" t="s">
        <v>38</v>
      </c>
      <c r="K28" s="53" t="s">
        <v>161</v>
      </c>
      <c r="L28" s="53">
        <v>3</v>
      </c>
      <c r="M28" s="75"/>
      <c r="N28" s="53">
        <v>1</v>
      </c>
      <c r="O28" s="53">
        <v>0.5</v>
      </c>
      <c r="P28" s="53">
        <v>0.36</v>
      </c>
      <c r="Q28" s="16">
        <v>1.88</v>
      </c>
      <c r="R28" s="53">
        <v>14.8</v>
      </c>
      <c r="S28" s="53">
        <v>125</v>
      </c>
      <c r="T28" s="16">
        <f t="shared" si="1"/>
        <v>27</v>
      </c>
      <c r="U28" s="53">
        <v>105</v>
      </c>
      <c r="V28" s="16">
        <f t="shared" si="2"/>
        <v>2835</v>
      </c>
      <c r="W28" s="53">
        <v>2</v>
      </c>
      <c r="X28" s="53" t="s">
        <v>39</v>
      </c>
      <c r="Y28" s="53" t="s">
        <v>84</v>
      </c>
      <c r="Z28" s="53" t="s">
        <v>90</v>
      </c>
      <c r="AA28" s="53" t="s">
        <v>69</v>
      </c>
      <c r="AB28" s="53" t="s">
        <v>158</v>
      </c>
    </row>
    <row r="29" spans="1:48" x14ac:dyDescent="0.15">
      <c r="A29" s="53" t="s">
        <v>41</v>
      </c>
      <c r="B29" s="53" t="s">
        <v>157</v>
      </c>
      <c r="C29" s="62">
        <v>2019</v>
      </c>
      <c r="D29" s="63" t="s">
        <v>190</v>
      </c>
      <c r="E29" s="53" t="s">
        <v>188</v>
      </c>
      <c r="F29" s="53" t="s">
        <v>191</v>
      </c>
      <c r="G29" s="53" t="s">
        <v>42</v>
      </c>
      <c r="H29" s="53" t="s">
        <v>189</v>
      </c>
      <c r="I29" s="53" t="s">
        <v>159</v>
      </c>
      <c r="J29" s="53" t="s">
        <v>80</v>
      </c>
      <c r="K29" s="53" t="s">
        <v>45</v>
      </c>
      <c r="L29" s="53">
        <v>1</v>
      </c>
      <c r="N29" s="53">
        <v>1</v>
      </c>
      <c r="O29" s="53">
        <v>0.65</v>
      </c>
      <c r="P29" s="53">
        <v>0.5</v>
      </c>
      <c r="Q29" s="74">
        <f t="shared" ref="Q29:Q92" si="3">IF(OR(O29="",P29=""),"",AVERAGE(O29,P29))</f>
        <v>0.57499999999999996</v>
      </c>
      <c r="R29" s="53">
        <v>12.4</v>
      </c>
      <c r="S29" s="53">
        <v>122</v>
      </c>
      <c r="T29" s="16">
        <f t="shared" si="1"/>
        <v>27</v>
      </c>
      <c r="U29" s="53">
        <v>108</v>
      </c>
      <c r="V29" s="16">
        <f t="shared" si="2"/>
        <v>2916</v>
      </c>
      <c r="W29" s="53">
        <v>2</v>
      </c>
      <c r="X29" s="53" t="s">
        <v>39</v>
      </c>
      <c r="Y29" s="53" t="s">
        <v>84</v>
      </c>
      <c r="Z29" s="53" t="s">
        <v>90</v>
      </c>
      <c r="AA29" s="53" t="s">
        <v>69</v>
      </c>
      <c r="AB29" s="53" t="s">
        <v>158</v>
      </c>
    </row>
    <row r="30" spans="1:48" x14ac:dyDescent="0.15">
      <c r="A30" s="53" t="s">
        <v>41</v>
      </c>
      <c r="B30" s="53" t="s">
        <v>157</v>
      </c>
      <c r="C30" s="62">
        <v>2019</v>
      </c>
      <c r="D30" s="63" t="s">
        <v>190</v>
      </c>
      <c r="E30" s="53" t="s">
        <v>188</v>
      </c>
      <c r="F30" s="53" t="s">
        <v>191</v>
      </c>
      <c r="G30" s="53" t="s">
        <v>42</v>
      </c>
      <c r="H30" s="53" t="s">
        <v>189</v>
      </c>
      <c r="I30" s="53" t="s">
        <v>159</v>
      </c>
      <c r="J30" s="53" t="s">
        <v>80</v>
      </c>
      <c r="K30" s="53" t="s">
        <v>45</v>
      </c>
      <c r="L30" s="53">
        <v>2</v>
      </c>
      <c r="M30" s="75"/>
      <c r="N30" s="53">
        <v>1</v>
      </c>
      <c r="O30" s="53">
        <v>0.5</v>
      </c>
      <c r="P30" s="53">
        <v>0.55000000000000004</v>
      </c>
      <c r="Q30" s="74">
        <f t="shared" si="3"/>
        <v>0.52500000000000002</v>
      </c>
      <c r="R30" s="53">
        <v>13.2</v>
      </c>
      <c r="S30" s="53">
        <v>118</v>
      </c>
      <c r="T30" s="16">
        <f t="shared" si="1"/>
        <v>30</v>
      </c>
      <c r="U30" s="53">
        <v>108</v>
      </c>
      <c r="V30" s="16">
        <f t="shared" si="2"/>
        <v>3240</v>
      </c>
      <c r="W30" s="53">
        <v>2</v>
      </c>
      <c r="X30" s="53" t="s">
        <v>39</v>
      </c>
      <c r="Y30" s="53" t="s">
        <v>84</v>
      </c>
      <c r="Z30" s="53" t="s">
        <v>90</v>
      </c>
      <c r="AA30" s="53" t="s">
        <v>69</v>
      </c>
      <c r="AB30" s="53" t="s">
        <v>158</v>
      </c>
    </row>
    <row r="31" spans="1:48" x14ac:dyDescent="0.15">
      <c r="A31" s="53" t="s">
        <v>41</v>
      </c>
      <c r="B31" s="53" t="s">
        <v>157</v>
      </c>
      <c r="C31" s="62">
        <v>2019</v>
      </c>
      <c r="D31" s="63" t="s">
        <v>190</v>
      </c>
      <c r="E31" s="53" t="s">
        <v>188</v>
      </c>
      <c r="F31" s="53" t="s">
        <v>191</v>
      </c>
      <c r="G31" s="53" t="s">
        <v>42</v>
      </c>
      <c r="H31" s="53" t="s">
        <v>189</v>
      </c>
      <c r="I31" s="53" t="s">
        <v>159</v>
      </c>
      <c r="J31" s="53" t="s">
        <v>80</v>
      </c>
      <c r="K31" s="53" t="s">
        <v>45</v>
      </c>
      <c r="L31" s="53">
        <v>3</v>
      </c>
      <c r="M31" s="75"/>
      <c r="N31" s="53">
        <v>1</v>
      </c>
      <c r="O31" s="53">
        <v>0.7</v>
      </c>
      <c r="P31" s="53">
        <v>0.9</v>
      </c>
      <c r="Q31" s="74">
        <f t="shared" si="3"/>
        <v>0.8</v>
      </c>
      <c r="R31" s="53">
        <v>16</v>
      </c>
      <c r="S31" s="53">
        <v>115</v>
      </c>
      <c r="T31" s="16">
        <f t="shared" si="1"/>
        <v>30</v>
      </c>
      <c r="U31" s="53">
        <v>108</v>
      </c>
      <c r="V31" s="16">
        <f t="shared" si="2"/>
        <v>3240</v>
      </c>
      <c r="W31" s="53">
        <v>2</v>
      </c>
      <c r="X31" s="53" t="s">
        <v>39</v>
      </c>
      <c r="Y31" s="53" t="s">
        <v>84</v>
      </c>
      <c r="Z31" s="53" t="s">
        <v>90</v>
      </c>
      <c r="AA31" s="53" t="s">
        <v>69</v>
      </c>
      <c r="AB31" s="53" t="s">
        <v>158</v>
      </c>
    </row>
    <row r="32" spans="1:48" x14ac:dyDescent="0.15">
      <c r="A32" s="53" t="s">
        <v>41</v>
      </c>
      <c r="B32" s="53" t="s">
        <v>157</v>
      </c>
      <c r="C32" s="62">
        <v>2019</v>
      </c>
      <c r="D32" s="63" t="s">
        <v>190</v>
      </c>
      <c r="E32" s="53" t="s">
        <v>188</v>
      </c>
      <c r="F32" s="53" t="s">
        <v>191</v>
      </c>
      <c r="G32" s="53" t="s">
        <v>42</v>
      </c>
      <c r="H32" s="53" t="s">
        <v>189</v>
      </c>
      <c r="I32" s="53" t="s">
        <v>159</v>
      </c>
      <c r="J32" s="53" t="s">
        <v>80</v>
      </c>
      <c r="K32" s="53" t="s">
        <v>59</v>
      </c>
      <c r="L32" s="53">
        <v>1</v>
      </c>
      <c r="N32" s="53">
        <v>6</v>
      </c>
      <c r="O32" s="53">
        <v>0.65</v>
      </c>
      <c r="P32" s="53">
        <v>0.5</v>
      </c>
      <c r="Q32" s="74">
        <f t="shared" si="3"/>
        <v>0.57499999999999996</v>
      </c>
      <c r="R32" s="53">
        <v>14</v>
      </c>
      <c r="S32" s="53">
        <v>110</v>
      </c>
      <c r="T32" s="16">
        <f t="shared" si="1"/>
        <v>33</v>
      </c>
      <c r="U32" s="53">
        <v>429</v>
      </c>
      <c r="V32" s="16">
        <f t="shared" si="2"/>
        <v>2359.5</v>
      </c>
      <c r="W32" s="53">
        <v>2</v>
      </c>
      <c r="X32" s="53" t="s">
        <v>39</v>
      </c>
      <c r="Y32" s="53" t="s">
        <v>84</v>
      </c>
      <c r="Z32" s="53" t="s">
        <v>90</v>
      </c>
      <c r="AA32" s="53" t="s">
        <v>69</v>
      </c>
      <c r="AB32" s="53" t="s">
        <v>158</v>
      </c>
    </row>
    <row r="33" spans="1:28" x14ac:dyDescent="0.15">
      <c r="A33" s="53" t="s">
        <v>41</v>
      </c>
      <c r="B33" s="53" t="s">
        <v>157</v>
      </c>
      <c r="C33" s="62">
        <v>2019</v>
      </c>
      <c r="D33" s="63" t="s">
        <v>190</v>
      </c>
      <c r="E33" s="53" t="s">
        <v>188</v>
      </c>
      <c r="F33" s="53" t="s">
        <v>191</v>
      </c>
      <c r="G33" s="53" t="s">
        <v>42</v>
      </c>
      <c r="H33" s="53" t="s">
        <v>189</v>
      </c>
      <c r="I33" s="53" t="s">
        <v>159</v>
      </c>
      <c r="J33" s="53" t="s">
        <v>80</v>
      </c>
      <c r="K33" s="53" t="s">
        <v>59</v>
      </c>
      <c r="L33" s="53">
        <v>2</v>
      </c>
      <c r="M33" s="75"/>
      <c r="N33" s="53">
        <v>6</v>
      </c>
      <c r="O33" s="53">
        <v>0.35</v>
      </c>
      <c r="P33" s="53">
        <v>0.35</v>
      </c>
      <c r="Q33" s="74">
        <f t="shared" si="3"/>
        <v>0.35</v>
      </c>
      <c r="R33" s="53">
        <v>12.8</v>
      </c>
      <c r="S33" s="53">
        <v>110</v>
      </c>
      <c r="T33" s="16">
        <f t="shared" si="1"/>
        <v>33</v>
      </c>
      <c r="U33" s="53">
        <v>429</v>
      </c>
      <c r="V33" s="16">
        <f t="shared" si="2"/>
        <v>2359.5</v>
      </c>
      <c r="W33" s="53">
        <v>2</v>
      </c>
      <c r="X33" s="53" t="s">
        <v>39</v>
      </c>
      <c r="Y33" s="53" t="s">
        <v>84</v>
      </c>
      <c r="Z33" s="53" t="s">
        <v>90</v>
      </c>
      <c r="AA33" s="53" t="s">
        <v>69</v>
      </c>
      <c r="AB33" s="53" t="s">
        <v>158</v>
      </c>
    </row>
    <row r="34" spans="1:28" x14ac:dyDescent="0.15">
      <c r="A34" s="53" t="s">
        <v>41</v>
      </c>
      <c r="B34" s="53" t="s">
        <v>157</v>
      </c>
      <c r="C34" s="62">
        <v>2019</v>
      </c>
      <c r="D34" s="63" t="s">
        <v>190</v>
      </c>
      <c r="E34" s="53" t="s">
        <v>188</v>
      </c>
      <c r="F34" s="53" t="s">
        <v>191</v>
      </c>
      <c r="G34" s="53" t="s">
        <v>42</v>
      </c>
      <c r="H34" s="53" t="s">
        <v>189</v>
      </c>
      <c r="I34" s="53" t="s">
        <v>159</v>
      </c>
      <c r="J34" s="53" t="s">
        <v>80</v>
      </c>
      <c r="K34" s="53" t="s">
        <v>59</v>
      </c>
      <c r="L34" s="53">
        <v>3</v>
      </c>
      <c r="M34" s="75"/>
      <c r="N34" s="53">
        <v>6</v>
      </c>
      <c r="O34" s="53">
        <v>0.35</v>
      </c>
      <c r="P34" s="53">
        <v>0.3</v>
      </c>
      <c r="Q34" s="74">
        <f t="shared" si="3"/>
        <v>0.32499999999999996</v>
      </c>
      <c r="R34" s="53">
        <v>14.2</v>
      </c>
      <c r="S34" s="53">
        <v>112</v>
      </c>
      <c r="T34" s="16">
        <f t="shared" si="1"/>
        <v>33</v>
      </c>
      <c r="U34" s="53">
        <v>429</v>
      </c>
      <c r="V34" s="16">
        <f t="shared" si="2"/>
        <v>2359.5</v>
      </c>
      <c r="W34" s="53">
        <v>2</v>
      </c>
      <c r="X34" s="53" t="s">
        <v>39</v>
      </c>
      <c r="Y34" s="53" t="s">
        <v>84</v>
      </c>
      <c r="Z34" s="53" t="s">
        <v>90</v>
      </c>
      <c r="AA34" s="53" t="s">
        <v>69</v>
      </c>
      <c r="AB34" s="53" t="s">
        <v>158</v>
      </c>
    </row>
    <row r="35" spans="1:28" x14ac:dyDescent="0.15">
      <c r="A35" s="53" t="s">
        <v>41</v>
      </c>
      <c r="B35" s="53" t="s">
        <v>157</v>
      </c>
      <c r="C35" s="62">
        <v>2019</v>
      </c>
      <c r="D35" s="63" t="s">
        <v>190</v>
      </c>
      <c r="E35" s="53" t="s">
        <v>196</v>
      </c>
      <c r="F35" s="53" t="s">
        <v>186</v>
      </c>
      <c r="G35" s="53" t="s">
        <v>42</v>
      </c>
      <c r="H35" s="53" t="s">
        <v>164</v>
      </c>
      <c r="I35" s="53" t="s">
        <v>159</v>
      </c>
      <c r="J35" s="53" t="s">
        <v>38</v>
      </c>
      <c r="K35" s="53" t="s">
        <v>161</v>
      </c>
      <c r="L35" s="53">
        <v>1</v>
      </c>
      <c r="N35" s="53">
        <v>1</v>
      </c>
      <c r="O35" s="53">
        <v>1</v>
      </c>
      <c r="P35" s="53">
        <v>1.2</v>
      </c>
      <c r="Q35" s="74">
        <f t="shared" si="3"/>
        <v>1.1000000000000001</v>
      </c>
      <c r="R35" s="53">
        <v>10.199999999999999</v>
      </c>
      <c r="S35" s="53">
        <v>124</v>
      </c>
      <c r="T35" s="16">
        <f t="shared" si="1"/>
        <v>27</v>
      </c>
      <c r="U35" s="53">
        <v>108</v>
      </c>
      <c r="V35" s="16">
        <f t="shared" si="2"/>
        <v>2916</v>
      </c>
      <c r="W35" s="53">
        <v>1</v>
      </c>
      <c r="X35" s="53" t="s">
        <v>46</v>
      </c>
      <c r="Y35" s="53" t="s">
        <v>84</v>
      </c>
      <c r="Z35" s="53" t="s">
        <v>90</v>
      </c>
      <c r="AA35" s="53" t="s">
        <v>69</v>
      </c>
      <c r="AB35" s="53" t="s">
        <v>158</v>
      </c>
    </row>
    <row r="36" spans="1:28" x14ac:dyDescent="0.15">
      <c r="A36" s="53" t="s">
        <v>41</v>
      </c>
      <c r="B36" s="53" t="s">
        <v>157</v>
      </c>
      <c r="C36" s="62">
        <v>2019</v>
      </c>
      <c r="D36" s="63" t="s">
        <v>190</v>
      </c>
      <c r="E36" s="53" t="s">
        <v>196</v>
      </c>
      <c r="F36" s="53" t="s">
        <v>186</v>
      </c>
      <c r="G36" s="53" t="s">
        <v>42</v>
      </c>
      <c r="H36" s="53" t="s">
        <v>164</v>
      </c>
      <c r="I36" s="53" t="s">
        <v>159</v>
      </c>
      <c r="J36" s="53" t="s">
        <v>38</v>
      </c>
      <c r="K36" s="53" t="s">
        <v>161</v>
      </c>
      <c r="L36" s="53">
        <v>2</v>
      </c>
      <c r="M36" s="75"/>
      <c r="N36" s="53">
        <v>1</v>
      </c>
      <c r="O36" s="53">
        <v>1.3</v>
      </c>
      <c r="P36" s="53">
        <v>1.1000000000000001</v>
      </c>
      <c r="Q36" s="74">
        <f t="shared" si="3"/>
        <v>1.2000000000000002</v>
      </c>
      <c r="R36" s="53">
        <v>11.2</v>
      </c>
      <c r="S36" s="53">
        <v>126</v>
      </c>
      <c r="T36" s="16">
        <f t="shared" si="1"/>
        <v>27</v>
      </c>
      <c r="U36" s="53">
        <v>108</v>
      </c>
      <c r="V36" s="16">
        <f t="shared" si="2"/>
        <v>2916</v>
      </c>
      <c r="W36" s="53">
        <v>1</v>
      </c>
      <c r="X36" s="53" t="s">
        <v>46</v>
      </c>
      <c r="Y36" s="53" t="s">
        <v>84</v>
      </c>
      <c r="Z36" s="53" t="s">
        <v>90</v>
      </c>
      <c r="AA36" s="53" t="s">
        <v>69</v>
      </c>
      <c r="AB36" s="53" t="s">
        <v>158</v>
      </c>
    </row>
    <row r="37" spans="1:28" x14ac:dyDescent="0.15">
      <c r="A37" s="53" t="s">
        <v>41</v>
      </c>
      <c r="B37" s="53" t="s">
        <v>157</v>
      </c>
      <c r="C37" s="62">
        <v>2019</v>
      </c>
      <c r="D37" s="63" t="s">
        <v>190</v>
      </c>
      <c r="E37" s="53" t="s">
        <v>196</v>
      </c>
      <c r="F37" s="53" t="s">
        <v>186</v>
      </c>
      <c r="G37" s="53" t="s">
        <v>42</v>
      </c>
      <c r="H37" s="53" t="s">
        <v>164</v>
      </c>
      <c r="I37" s="53" t="s">
        <v>159</v>
      </c>
      <c r="J37" s="53" t="s">
        <v>38</v>
      </c>
      <c r="K37" s="53" t="s">
        <v>161</v>
      </c>
      <c r="L37" s="53">
        <v>3</v>
      </c>
      <c r="M37" s="75"/>
      <c r="N37" s="53">
        <v>1</v>
      </c>
      <c r="O37" s="53">
        <v>1.2</v>
      </c>
      <c r="P37" s="53">
        <v>1</v>
      </c>
      <c r="Q37" s="74">
        <f t="shared" si="3"/>
        <v>1.1000000000000001</v>
      </c>
      <c r="R37" s="53">
        <v>11.1</v>
      </c>
      <c r="S37" s="53">
        <v>125</v>
      </c>
      <c r="T37" s="16">
        <f t="shared" si="1"/>
        <v>27</v>
      </c>
      <c r="U37" s="53">
        <v>108</v>
      </c>
      <c r="V37" s="16">
        <f t="shared" si="2"/>
        <v>2916</v>
      </c>
      <c r="W37" s="53">
        <v>1</v>
      </c>
      <c r="X37" s="53" t="s">
        <v>46</v>
      </c>
      <c r="Y37" s="53" t="s">
        <v>84</v>
      </c>
      <c r="Z37" s="53" t="s">
        <v>90</v>
      </c>
      <c r="AA37" s="53" t="s">
        <v>69</v>
      </c>
      <c r="AB37" s="53" t="s">
        <v>158</v>
      </c>
    </row>
    <row r="38" spans="1:28" x14ac:dyDescent="0.15">
      <c r="A38" s="53" t="s">
        <v>41</v>
      </c>
      <c r="B38" s="53" t="s">
        <v>157</v>
      </c>
      <c r="C38" s="62">
        <v>2019</v>
      </c>
      <c r="D38" s="63" t="s">
        <v>190</v>
      </c>
      <c r="E38" s="53" t="s">
        <v>196</v>
      </c>
      <c r="F38" s="53" t="s">
        <v>186</v>
      </c>
      <c r="G38" s="53" t="s">
        <v>42</v>
      </c>
      <c r="H38" s="53" t="s">
        <v>164</v>
      </c>
      <c r="I38" s="53" t="s">
        <v>159</v>
      </c>
      <c r="J38" s="53" t="s">
        <v>38</v>
      </c>
      <c r="K38" s="53" t="s">
        <v>161</v>
      </c>
      <c r="L38" s="53">
        <v>1</v>
      </c>
      <c r="N38" s="53">
        <v>8</v>
      </c>
      <c r="O38" s="53">
        <v>0.9</v>
      </c>
      <c r="P38" s="53">
        <v>0.95</v>
      </c>
      <c r="Q38" s="74">
        <f t="shared" si="3"/>
        <v>0.92500000000000004</v>
      </c>
      <c r="R38" s="53">
        <v>14.2</v>
      </c>
      <c r="S38" s="53">
        <v>112</v>
      </c>
      <c r="T38" s="16">
        <f t="shared" si="1"/>
        <v>33</v>
      </c>
      <c r="U38" s="53">
        <v>646</v>
      </c>
      <c r="V38" s="16">
        <f t="shared" si="2"/>
        <v>2664.75</v>
      </c>
      <c r="W38" s="53">
        <v>2</v>
      </c>
      <c r="X38" s="53" t="s">
        <v>46</v>
      </c>
      <c r="Y38" s="53" t="s">
        <v>84</v>
      </c>
      <c r="Z38" s="53" t="s">
        <v>90</v>
      </c>
      <c r="AA38" s="53" t="s">
        <v>69</v>
      </c>
      <c r="AB38" s="53" t="s">
        <v>158</v>
      </c>
    </row>
    <row r="39" spans="1:28" x14ac:dyDescent="0.15">
      <c r="A39" s="53" t="s">
        <v>41</v>
      </c>
      <c r="B39" s="53" t="s">
        <v>157</v>
      </c>
      <c r="C39" s="62">
        <v>2019</v>
      </c>
      <c r="D39" s="63" t="s">
        <v>190</v>
      </c>
      <c r="E39" s="53" t="s">
        <v>196</v>
      </c>
      <c r="F39" s="53" t="s">
        <v>186</v>
      </c>
      <c r="G39" s="53" t="s">
        <v>42</v>
      </c>
      <c r="H39" s="53" t="s">
        <v>164</v>
      </c>
      <c r="I39" s="53" t="s">
        <v>159</v>
      </c>
      <c r="J39" s="53" t="s">
        <v>38</v>
      </c>
      <c r="K39" s="53" t="s">
        <v>161</v>
      </c>
      <c r="L39" s="53">
        <v>2</v>
      </c>
      <c r="M39" s="75"/>
      <c r="N39" s="53">
        <v>8</v>
      </c>
      <c r="O39" s="53">
        <v>0.65</v>
      </c>
      <c r="P39" s="53">
        <v>0.8</v>
      </c>
      <c r="Q39" s="74">
        <f t="shared" si="3"/>
        <v>0.72500000000000009</v>
      </c>
      <c r="R39" s="53">
        <v>13.5</v>
      </c>
      <c r="S39" s="53">
        <v>117</v>
      </c>
      <c r="T39" s="16">
        <f t="shared" si="1"/>
        <v>30</v>
      </c>
      <c r="U39" s="53">
        <v>646</v>
      </c>
      <c r="V39" s="16">
        <f t="shared" si="2"/>
        <v>2422.5</v>
      </c>
      <c r="W39" s="53">
        <v>2</v>
      </c>
      <c r="X39" s="53" t="s">
        <v>46</v>
      </c>
      <c r="Y39" s="53" t="s">
        <v>84</v>
      </c>
      <c r="Z39" s="53" t="s">
        <v>90</v>
      </c>
      <c r="AA39" s="53" t="s">
        <v>69</v>
      </c>
      <c r="AB39" s="53" t="s">
        <v>158</v>
      </c>
    </row>
    <row r="40" spans="1:28" x14ac:dyDescent="0.15">
      <c r="A40" s="53" t="s">
        <v>41</v>
      </c>
      <c r="B40" s="53" t="s">
        <v>157</v>
      </c>
      <c r="C40" s="62">
        <v>2019</v>
      </c>
      <c r="D40" s="63" t="s">
        <v>190</v>
      </c>
      <c r="E40" s="53" t="s">
        <v>196</v>
      </c>
      <c r="F40" s="53" t="s">
        <v>186</v>
      </c>
      <c r="G40" s="53" t="s">
        <v>42</v>
      </c>
      <c r="H40" s="53" t="s">
        <v>164</v>
      </c>
      <c r="I40" s="53" t="s">
        <v>159</v>
      </c>
      <c r="J40" s="53" t="s">
        <v>38</v>
      </c>
      <c r="K40" s="53" t="s">
        <v>161</v>
      </c>
      <c r="L40" s="53">
        <v>3</v>
      </c>
      <c r="M40" s="75"/>
      <c r="N40" s="53">
        <v>8</v>
      </c>
      <c r="O40" s="53">
        <v>0.7</v>
      </c>
      <c r="P40" s="53">
        <v>0.65</v>
      </c>
      <c r="Q40" s="74">
        <f t="shared" si="3"/>
        <v>0.67500000000000004</v>
      </c>
      <c r="R40" s="53">
        <v>11</v>
      </c>
      <c r="S40" s="53">
        <v>115</v>
      </c>
      <c r="T40" s="16">
        <f t="shared" si="1"/>
        <v>30</v>
      </c>
      <c r="U40" s="53">
        <v>646</v>
      </c>
      <c r="V40" s="16">
        <f t="shared" si="2"/>
        <v>2422.5</v>
      </c>
      <c r="W40" s="53">
        <v>2</v>
      </c>
      <c r="X40" s="53" t="s">
        <v>46</v>
      </c>
      <c r="Y40" s="53" t="s">
        <v>84</v>
      </c>
      <c r="Z40" s="53" t="s">
        <v>90</v>
      </c>
      <c r="AA40" s="53" t="s">
        <v>69</v>
      </c>
      <c r="AB40" s="53" t="s">
        <v>158</v>
      </c>
    </row>
    <row r="41" spans="1:28" x14ac:dyDescent="0.15">
      <c r="A41" s="53" t="s">
        <v>41</v>
      </c>
      <c r="B41" s="53" t="s">
        <v>157</v>
      </c>
      <c r="C41" s="62">
        <v>2019</v>
      </c>
      <c r="D41" s="63" t="s">
        <v>190</v>
      </c>
      <c r="E41" s="53" t="s">
        <v>196</v>
      </c>
      <c r="F41" s="53" t="s">
        <v>198</v>
      </c>
      <c r="G41" s="53" t="s">
        <v>42</v>
      </c>
      <c r="H41" s="53" t="s">
        <v>164</v>
      </c>
      <c r="I41" s="53" t="s">
        <v>159</v>
      </c>
      <c r="J41" s="53" t="s">
        <v>38</v>
      </c>
      <c r="K41" s="53" t="s">
        <v>161</v>
      </c>
      <c r="L41" s="53">
        <v>1</v>
      </c>
      <c r="N41" s="53">
        <v>1</v>
      </c>
      <c r="O41" s="53">
        <v>0.9</v>
      </c>
      <c r="P41" s="53">
        <v>0.8</v>
      </c>
      <c r="Q41" s="74">
        <f t="shared" si="3"/>
        <v>0.85000000000000009</v>
      </c>
      <c r="R41" s="53">
        <v>10.199999999999999</v>
      </c>
      <c r="S41" s="53">
        <v>124</v>
      </c>
      <c r="T41" s="16">
        <f t="shared" si="1"/>
        <v>27</v>
      </c>
      <c r="U41" s="53">
        <v>108</v>
      </c>
      <c r="V41" s="16">
        <f t="shared" si="2"/>
        <v>2916</v>
      </c>
      <c r="W41" s="53">
        <v>1</v>
      </c>
      <c r="X41" s="53" t="s">
        <v>46</v>
      </c>
      <c r="Y41" s="53" t="s">
        <v>69</v>
      </c>
      <c r="Z41" s="53" t="s">
        <v>84</v>
      </c>
      <c r="AA41" s="53" t="s">
        <v>90</v>
      </c>
      <c r="AB41" s="53" t="s">
        <v>158</v>
      </c>
    </row>
    <row r="42" spans="1:28" x14ac:dyDescent="0.15">
      <c r="A42" s="53" t="s">
        <v>41</v>
      </c>
      <c r="B42" s="53" t="s">
        <v>157</v>
      </c>
      <c r="C42" s="62">
        <v>2019</v>
      </c>
      <c r="D42" s="63" t="s">
        <v>190</v>
      </c>
      <c r="E42" s="53" t="s">
        <v>196</v>
      </c>
      <c r="F42" s="53" t="s">
        <v>198</v>
      </c>
      <c r="G42" s="53" t="s">
        <v>42</v>
      </c>
      <c r="H42" s="53" t="s">
        <v>164</v>
      </c>
      <c r="I42" s="53" t="s">
        <v>159</v>
      </c>
      <c r="J42" s="53" t="s">
        <v>38</v>
      </c>
      <c r="K42" s="53" t="s">
        <v>161</v>
      </c>
      <c r="L42" s="53">
        <v>2</v>
      </c>
      <c r="M42" s="75"/>
      <c r="N42" s="53">
        <v>1</v>
      </c>
      <c r="O42" s="53">
        <v>1</v>
      </c>
      <c r="P42" s="53">
        <v>1</v>
      </c>
      <c r="Q42" s="74">
        <f t="shared" si="3"/>
        <v>1</v>
      </c>
      <c r="R42" s="53">
        <v>13.8</v>
      </c>
      <c r="S42" s="53">
        <v>126</v>
      </c>
      <c r="T42" s="16">
        <f t="shared" si="1"/>
        <v>27</v>
      </c>
      <c r="U42" s="53">
        <v>108</v>
      </c>
      <c r="V42" s="16">
        <f t="shared" si="2"/>
        <v>2916</v>
      </c>
      <c r="W42" s="53">
        <v>1</v>
      </c>
      <c r="X42" s="53" t="s">
        <v>46</v>
      </c>
      <c r="Y42" s="53" t="s">
        <v>69</v>
      </c>
      <c r="Z42" s="53" t="s">
        <v>84</v>
      </c>
      <c r="AA42" s="53" t="s">
        <v>90</v>
      </c>
      <c r="AB42" s="53" t="s">
        <v>158</v>
      </c>
    </row>
    <row r="43" spans="1:28" x14ac:dyDescent="0.15">
      <c r="A43" s="53" t="s">
        <v>41</v>
      </c>
      <c r="B43" s="53" t="s">
        <v>157</v>
      </c>
      <c r="C43" s="62">
        <v>2019</v>
      </c>
      <c r="D43" s="63" t="s">
        <v>190</v>
      </c>
      <c r="E43" s="53" t="s">
        <v>196</v>
      </c>
      <c r="F43" s="53" t="s">
        <v>198</v>
      </c>
      <c r="G43" s="53" t="s">
        <v>42</v>
      </c>
      <c r="H43" s="53" t="s">
        <v>164</v>
      </c>
      <c r="I43" s="53" t="s">
        <v>159</v>
      </c>
      <c r="J43" s="53" t="s">
        <v>38</v>
      </c>
      <c r="K43" s="53" t="s">
        <v>161</v>
      </c>
      <c r="L43" s="53">
        <v>3</v>
      </c>
      <c r="M43" s="75"/>
      <c r="N43" s="53">
        <v>1</v>
      </c>
      <c r="O43" s="53">
        <v>1.2</v>
      </c>
      <c r="P43" s="53">
        <v>1.25</v>
      </c>
      <c r="Q43" s="74">
        <f t="shared" si="3"/>
        <v>1.2250000000000001</v>
      </c>
      <c r="R43" s="53">
        <v>10.199999999999999</v>
      </c>
      <c r="S43" s="53">
        <v>125</v>
      </c>
      <c r="T43" s="16">
        <f t="shared" si="1"/>
        <v>27</v>
      </c>
      <c r="U43" s="53">
        <v>108</v>
      </c>
      <c r="V43" s="16">
        <f t="shared" si="2"/>
        <v>2916</v>
      </c>
      <c r="W43" s="53">
        <v>1</v>
      </c>
      <c r="X43" s="53" t="s">
        <v>46</v>
      </c>
      <c r="Y43" s="53" t="s">
        <v>69</v>
      </c>
      <c r="Z43" s="53" t="s">
        <v>84</v>
      </c>
      <c r="AA43" s="53" t="s">
        <v>90</v>
      </c>
      <c r="AB43" s="53" t="s">
        <v>158</v>
      </c>
    </row>
    <row r="44" spans="1:28" x14ac:dyDescent="0.15">
      <c r="A44" s="53" t="s">
        <v>41</v>
      </c>
      <c r="B44" s="53" t="s">
        <v>157</v>
      </c>
      <c r="C44" s="62">
        <v>2019</v>
      </c>
      <c r="D44" s="63" t="s">
        <v>190</v>
      </c>
      <c r="E44" s="53" t="s">
        <v>196</v>
      </c>
      <c r="F44" s="53" t="s">
        <v>198</v>
      </c>
      <c r="G44" s="53" t="s">
        <v>42</v>
      </c>
      <c r="H44" s="53" t="s">
        <v>164</v>
      </c>
      <c r="I44" s="53" t="s">
        <v>159</v>
      </c>
      <c r="J44" s="53" t="s">
        <v>38</v>
      </c>
      <c r="K44" s="53" t="s">
        <v>161</v>
      </c>
      <c r="L44" s="53">
        <v>1</v>
      </c>
      <c r="N44" s="53">
        <v>4</v>
      </c>
      <c r="O44" s="53">
        <v>0.7</v>
      </c>
      <c r="P44" s="53">
        <v>0.65</v>
      </c>
      <c r="Q44" s="74">
        <f t="shared" si="3"/>
        <v>0.67500000000000004</v>
      </c>
      <c r="R44" s="53">
        <v>14.1</v>
      </c>
      <c r="S44" s="53">
        <v>122</v>
      </c>
      <c r="T44" s="16">
        <f t="shared" si="1"/>
        <v>27</v>
      </c>
      <c r="U44" s="53">
        <v>429</v>
      </c>
      <c r="V44" s="16">
        <f t="shared" si="2"/>
        <v>2895.75</v>
      </c>
      <c r="W44" s="53">
        <v>1</v>
      </c>
      <c r="X44" s="53" t="s">
        <v>46</v>
      </c>
      <c r="Y44" s="53" t="s">
        <v>69</v>
      </c>
      <c r="Z44" s="53" t="s">
        <v>84</v>
      </c>
      <c r="AA44" s="53" t="s">
        <v>90</v>
      </c>
      <c r="AB44" s="53" t="s">
        <v>158</v>
      </c>
    </row>
    <row r="45" spans="1:28" x14ac:dyDescent="0.15">
      <c r="A45" s="53" t="s">
        <v>41</v>
      </c>
      <c r="B45" s="53" t="s">
        <v>157</v>
      </c>
      <c r="C45" s="62">
        <v>2019</v>
      </c>
      <c r="D45" s="63" t="s">
        <v>190</v>
      </c>
      <c r="E45" s="53" t="s">
        <v>196</v>
      </c>
      <c r="F45" s="53" t="s">
        <v>198</v>
      </c>
      <c r="G45" s="53" t="s">
        <v>42</v>
      </c>
      <c r="H45" s="53" t="s">
        <v>164</v>
      </c>
      <c r="I45" s="53" t="s">
        <v>159</v>
      </c>
      <c r="J45" s="53" t="s">
        <v>38</v>
      </c>
      <c r="K45" s="53" t="s">
        <v>161</v>
      </c>
      <c r="L45" s="53">
        <v>2</v>
      </c>
      <c r="M45" s="75"/>
      <c r="N45" s="53">
        <v>4</v>
      </c>
      <c r="O45" s="53">
        <v>0.65</v>
      </c>
      <c r="P45" s="53">
        <v>0.5</v>
      </c>
      <c r="Q45" s="74">
        <f t="shared" si="3"/>
        <v>0.57499999999999996</v>
      </c>
      <c r="R45" s="53">
        <v>12.7</v>
      </c>
      <c r="S45" s="53">
        <v>123</v>
      </c>
      <c r="T45" s="16">
        <f t="shared" si="1"/>
        <v>27</v>
      </c>
      <c r="U45" s="53">
        <v>429</v>
      </c>
      <c r="V45" s="16">
        <f t="shared" si="2"/>
        <v>2895.75</v>
      </c>
      <c r="W45" s="53">
        <v>1</v>
      </c>
      <c r="X45" s="53" t="s">
        <v>46</v>
      </c>
      <c r="Y45" s="53" t="s">
        <v>69</v>
      </c>
      <c r="Z45" s="53" t="s">
        <v>84</v>
      </c>
      <c r="AA45" s="53" t="s">
        <v>90</v>
      </c>
      <c r="AB45" s="53" t="s">
        <v>158</v>
      </c>
    </row>
    <row r="46" spans="1:28" x14ac:dyDescent="0.15">
      <c r="A46" s="53" t="s">
        <v>41</v>
      </c>
      <c r="B46" s="53" t="s">
        <v>157</v>
      </c>
      <c r="C46" s="62">
        <v>2019</v>
      </c>
      <c r="D46" s="63" t="s">
        <v>190</v>
      </c>
      <c r="E46" s="53" t="s">
        <v>196</v>
      </c>
      <c r="F46" s="53" t="s">
        <v>198</v>
      </c>
      <c r="G46" s="53" t="s">
        <v>42</v>
      </c>
      <c r="H46" s="53" t="s">
        <v>164</v>
      </c>
      <c r="I46" s="53" t="s">
        <v>159</v>
      </c>
      <c r="J46" s="53" t="s">
        <v>38</v>
      </c>
      <c r="K46" s="53" t="s">
        <v>161</v>
      </c>
      <c r="L46" s="53">
        <v>3</v>
      </c>
      <c r="M46" s="75"/>
      <c r="N46" s="53">
        <v>4</v>
      </c>
      <c r="O46" s="53">
        <v>0.5</v>
      </c>
      <c r="P46" s="53">
        <v>0.45</v>
      </c>
      <c r="Q46" s="74">
        <f t="shared" si="3"/>
        <v>0.47499999999999998</v>
      </c>
      <c r="R46" s="53">
        <v>12</v>
      </c>
      <c r="S46" s="53">
        <v>122</v>
      </c>
      <c r="T46" s="16">
        <f t="shared" si="1"/>
        <v>27</v>
      </c>
      <c r="U46" s="53">
        <v>429</v>
      </c>
      <c r="V46" s="16">
        <f t="shared" si="2"/>
        <v>2895.75</v>
      </c>
      <c r="W46" s="53">
        <v>1</v>
      </c>
      <c r="X46" s="53" t="s">
        <v>46</v>
      </c>
      <c r="Y46" s="53" t="s">
        <v>69</v>
      </c>
      <c r="Z46" s="53" t="s">
        <v>84</v>
      </c>
      <c r="AA46" s="53" t="s">
        <v>90</v>
      </c>
      <c r="AB46" s="53" t="s">
        <v>158</v>
      </c>
    </row>
    <row r="47" spans="1:28" x14ac:dyDescent="0.15">
      <c r="A47" s="53" t="s">
        <v>41</v>
      </c>
      <c r="B47" s="53" t="s">
        <v>157</v>
      </c>
      <c r="C47" s="62">
        <v>2019</v>
      </c>
      <c r="D47" s="63" t="s">
        <v>190</v>
      </c>
      <c r="E47" s="53" t="s">
        <v>196</v>
      </c>
      <c r="F47" s="53" t="s">
        <v>198</v>
      </c>
      <c r="G47" s="53" t="s">
        <v>42</v>
      </c>
      <c r="H47" s="53" t="s">
        <v>164</v>
      </c>
      <c r="I47" s="53" t="s">
        <v>159</v>
      </c>
      <c r="J47" s="53" t="s">
        <v>38</v>
      </c>
      <c r="K47" s="53" t="s">
        <v>161</v>
      </c>
      <c r="L47" s="53">
        <v>1</v>
      </c>
      <c r="N47" s="53">
        <v>10</v>
      </c>
      <c r="O47" s="53">
        <v>0.4</v>
      </c>
      <c r="P47" s="53">
        <v>0.45</v>
      </c>
      <c r="Q47" s="74">
        <f t="shared" si="3"/>
        <v>0.42500000000000004</v>
      </c>
      <c r="R47" s="53">
        <v>13.5</v>
      </c>
      <c r="S47" s="53">
        <v>105</v>
      </c>
      <c r="T47" s="16">
        <f t="shared" si="1"/>
        <v>33</v>
      </c>
      <c r="U47" s="53">
        <v>540</v>
      </c>
      <c r="V47" s="16">
        <f t="shared" si="2"/>
        <v>1782</v>
      </c>
      <c r="W47" s="53">
        <v>3</v>
      </c>
      <c r="X47" s="53" t="s">
        <v>46</v>
      </c>
      <c r="Y47" s="53" t="s">
        <v>69</v>
      </c>
      <c r="Z47" s="53" t="s">
        <v>84</v>
      </c>
      <c r="AA47" s="53" t="s">
        <v>90</v>
      </c>
      <c r="AB47" s="53" t="s">
        <v>158</v>
      </c>
    </row>
    <row r="48" spans="1:28" x14ac:dyDescent="0.15">
      <c r="A48" s="53" t="s">
        <v>41</v>
      </c>
      <c r="B48" s="53" t="s">
        <v>157</v>
      </c>
      <c r="C48" s="62">
        <v>2019</v>
      </c>
      <c r="D48" s="63" t="s">
        <v>190</v>
      </c>
      <c r="E48" s="53" t="s">
        <v>196</v>
      </c>
      <c r="F48" s="53" t="s">
        <v>198</v>
      </c>
      <c r="G48" s="53" t="s">
        <v>42</v>
      </c>
      <c r="H48" s="53" t="s">
        <v>164</v>
      </c>
      <c r="I48" s="53" t="s">
        <v>159</v>
      </c>
      <c r="J48" s="53" t="s">
        <v>38</v>
      </c>
      <c r="K48" s="53" t="s">
        <v>161</v>
      </c>
      <c r="L48" s="53">
        <v>2</v>
      </c>
      <c r="M48" s="75"/>
      <c r="N48" s="53">
        <v>10</v>
      </c>
      <c r="O48" s="53">
        <v>0.35</v>
      </c>
      <c r="P48" s="53">
        <v>0.3</v>
      </c>
      <c r="Q48" s="74">
        <f t="shared" si="3"/>
        <v>0.32499999999999996</v>
      </c>
      <c r="R48" s="53">
        <v>15.4</v>
      </c>
      <c r="S48" s="53">
        <v>110</v>
      </c>
      <c r="T48" s="16">
        <f t="shared" si="1"/>
        <v>33</v>
      </c>
      <c r="U48" s="53">
        <v>540</v>
      </c>
      <c r="V48" s="16">
        <f t="shared" si="2"/>
        <v>1782</v>
      </c>
      <c r="W48" s="53">
        <v>3</v>
      </c>
      <c r="X48" s="53" t="s">
        <v>46</v>
      </c>
      <c r="Y48" s="53" t="s">
        <v>69</v>
      </c>
      <c r="Z48" s="53" t="s">
        <v>84</v>
      </c>
      <c r="AA48" s="53" t="s">
        <v>90</v>
      </c>
      <c r="AB48" s="53" t="s">
        <v>158</v>
      </c>
    </row>
    <row r="49" spans="1:29" x14ac:dyDescent="0.15">
      <c r="A49" s="53" t="s">
        <v>41</v>
      </c>
      <c r="B49" s="53" t="s">
        <v>157</v>
      </c>
      <c r="C49" s="62">
        <v>2019</v>
      </c>
      <c r="D49" s="63" t="s">
        <v>190</v>
      </c>
      <c r="E49" s="53" t="s">
        <v>196</v>
      </c>
      <c r="F49" s="53" t="s">
        <v>198</v>
      </c>
      <c r="G49" s="53" t="s">
        <v>42</v>
      </c>
      <c r="H49" s="53" t="s">
        <v>164</v>
      </c>
      <c r="I49" s="53" t="s">
        <v>159</v>
      </c>
      <c r="J49" s="53" t="s">
        <v>38</v>
      </c>
      <c r="K49" s="53" t="s">
        <v>161</v>
      </c>
      <c r="L49" s="53">
        <v>3</v>
      </c>
      <c r="M49" s="75"/>
      <c r="N49" s="53">
        <v>10</v>
      </c>
      <c r="O49" s="53">
        <v>0.5</v>
      </c>
      <c r="P49" s="53">
        <v>0.35</v>
      </c>
      <c r="Q49" s="74">
        <f t="shared" si="3"/>
        <v>0.42499999999999999</v>
      </c>
      <c r="R49" s="53">
        <v>14.4</v>
      </c>
      <c r="S49" s="53">
        <v>104</v>
      </c>
      <c r="T49" s="16">
        <f t="shared" si="1"/>
        <v>33</v>
      </c>
      <c r="U49" s="53">
        <v>540</v>
      </c>
      <c r="V49" s="16">
        <f t="shared" si="2"/>
        <v>1782</v>
      </c>
      <c r="W49" s="53">
        <v>3</v>
      </c>
      <c r="X49" s="53" t="s">
        <v>46</v>
      </c>
      <c r="Y49" s="53" t="s">
        <v>69</v>
      </c>
      <c r="Z49" s="53" t="s">
        <v>84</v>
      </c>
      <c r="AA49" s="53" t="s">
        <v>90</v>
      </c>
      <c r="AB49" s="53" t="s">
        <v>158</v>
      </c>
    </row>
    <row r="50" spans="1:29" x14ac:dyDescent="0.15">
      <c r="A50" s="53" t="s">
        <v>41</v>
      </c>
      <c r="B50" s="53" t="s">
        <v>157</v>
      </c>
      <c r="C50" s="62">
        <v>2019</v>
      </c>
      <c r="D50" s="63" t="s">
        <v>190</v>
      </c>
      <c r="E50" s="53" t="s">
        <v>199</v>
      </c>
      <c r="F50" s="53" t="s">
        <v>198</v>
      </c>
      <c r="G50" s="53" t="s">
        <v>42</v>
      </c>
      <c r="H50" s="53" t="s">
        <v>164</v>
      </c>
      <c r="I50" s="53" t="s">
        <v>159</v>
      </c>
      <c r="J50" s="53" t="s">
        <v>38</v>
      </c>
      <c r="K50" s="53" t="s">
        <v>161</v>
      </c>
      <c r="L50" s="53">
        <v>1</v>
      </c>
      <c r="N50" s="53">
        <v>1</v>
      </c>
      <c r="O50" s="53">
        <v>0.65</v>
      </c>
      <c r="P50" s="53">
        <v>0.7</v>
      </c>
      <c r="Q50" s="72">
        <f t="shared" si="3"/>
        <v>0.67500000000000004</v>
      </c>
      <c r="R50" s="53">
        <v>10.199999999999999</v>
      </c>
      <c r="S50" s="53">
        <v>113</v>
      </c>
      <c r="T50" s="16">
        <f t="shared" si="1"/>
        <v>30</v>
      </c>
      <c r="U50" s="53">
        <v>105</v>
      </c>
      <c r="V50" s="16">
        <f t="shared" si="2"/>
        <v>3150</v>
      </c>
      <c r="W50" s="53">
        <v>2</v>
      </c>
      <c r="X50" s="53" t="s">
        <v>46</v>
      </c>
      <c r="Y50" s="53" t="s">
        <v>84</v>
      </c>
      <c r="Z50" s="53" t="s">
        <v>90</v>
      </c>
      <c r="AA50" s="53" t="s">
        <v>69</v>
      </c>
      <c r="AB50" s="53" t="s">
        <v>158</v>
      </c>
    </row>
    <row r="51" spans="1:29" x14ac:dyDescent="0.15">
      <c r="A51" s="53" t="s">
        <v>41</v>
      </c>
      <c r="B51" s="53" t="s">
        <v>157</v>
      </c>
      <c r="C51" s="62">
        <v>2019</v>
      </c>
      <c r="D51" s="63" t="s">
        <v>190</v>
      </c>
      <c r="E51" s="53" t="s">
        <v>199</v>
      </c>
      <c r="F51" s="53" t="s">
        <v>198</v>
      </c>
      <c r="G51" s="53" t="s">
        <v>42</v>
      </c>
      <c r="H51" s="53" t="s">
        <v>164</v>
      </c>
      <c r="I51" s="53" t="s">
        <v>159</v>
      </c>
      <c r="J51" s="53" t="s">
        <v>38</v>
      </c>
      <c r="K51" s="53" t="s">
        <v>161</v>
      </c>
      <c r="L51" s="53">
        <v>2</v>
      </c>
      <c r="M51" s="75"/>
      <c r="N51" s="53">
        <v>1</v>
      </c>
      <c r="O51" s="53">
        <v>0.85</v>
      </c>
      <c r="P51" s="53">
        <v>0.85</v>
      </c>
      <c r="Q51" s="72">
        <f t="shared" si="3"/>
        <v>0.85</v>
      </c>
      <c r="R51" s="53">
        <v>12.6</v>
      </c>
      <c r="S51" s="53">
        <v>116</v>
      </c>
      <c r="T51" s="16">
        <f t="shared" si="1"/>
        <v>30</v>
      </c>
      <c r="U51" s="53">
        <v>105</v>
      </c>
      <c r="V51" s="16">
        <f t="shared" si="2"/>
        <v>3150</v>
      </c>
      <c r="W51" s="53">
        <v>2</v>
      </c>
      <c r="X51" s="53" t="s">
        <v>46</v>
      </c>
      <c r="Y51" s="53" t="s">
        <v>84</v>
      </c>
      <c r="Z51" s="53" t="s">
        <v>90</v>
      </c>
      <c r="AA51" s="53" t="s">
        <v>69</v>
      </c>
      <c r="AB51" s="53" t="s">
        <v>158</v>
      </c>
    </row>
    <row r="52" spans="1:29" x14ac:dyDescent="0.15">
      <c r="A52" s="53" t="s">
        <v>41</v>
      </c>
      <c r="B52" s="53" t="s">
        <v>157</v>
      </c>
      <c r="C52" s="62">
        <v>2019</v>
      </c>
      <c r="D52" s="63" t="s">
        <v>190</v>
      </c>
      <c r="E52" s="53" t="s">
        <v>199</v>
      </c>
      <c r="F52" s="53" t="s">
        <v>198</v>
      </c>
      <c r="G52" s="53" t="s">
        <v>42</v>
      </c>
      <c r="H52" s="53" t="s">
        <v>164</v>
      </c>
      <c r="I52" s="53" t="s">
        <v>159</v>
      </c>
      <c r="J52" s="53" t="s">
        <v>38</v>
      </c>
      <c r="K52" s="53" t="s">
        <v>161</v>
      </c>
      <c r="L52" s="53">
        <v>3</v>
      </c>
      <c r="M52" s="75"/>
      <c r="N52" s="53">
        <v>1</v>
      </c>
      <c r="O52" s="53">
        <v>0.65</v>
      </c>
      <c r="P52" s="53">
        <v>0.65</v>
      </c>
      <c r="Q52" s="72">
        <f t="shared" si="3"/>
        <v>0.65</v>
      </c>
      <c r="R52" s="53">
        <v>13</v>
      </c>
      <c r="S52" s="53">
        <v>112</v>
      </c>
      <c r="T52" s="16">
        <f t="shared" si="1"/>
        <v>33</v>
      </c>
      <c r="U52" s="53">
        <v>105</v>
      </c>
      <c r="V52" s="16">
        <f t="shared" si="2"/>
        <v>3465</v>
      </c>
      <c r="W52" s="53">
        <v>2</v>
      </c>
      <c r="X52" s="53" t="s">
        <v>46</v>
      </c>
      <c r="Y52" s="53" t="s">
        <v>84</v>
      </c>
      <c r="Z52" s="53" t="s">
        <v>90</v>
      </c>
      <c r="AA52" s="53" t="s">
        <v>69</v>
      </c>
      <c r="AB52" s="53" t="s">
        <v>158</v>
      </c>
    </row>
    <row r="53" spans="1:29" x14ac:dyDescent="0.15">
      <c r="A53" s="53" t="s">
        <v>41</v>
      </c>
      <c r="B53" s="53" t="s">
        <v>157</v>
      </c>
      <c r="C53" s="62">
        <v>2019</v>
      </c>
      <c r="D53" s="63" t="s">
        <v>190</v>
      </c>
      <c r="E53" s="53" t="s">
        <v>199</v>
      </c>
      <c r="F53" s="53" t="s">
        <v>198</v>
      </c>
      <c r="G53" s="53" t="s">
        <v>42</v>
      </c>
      <c r="H53" s="53" t="s">
        <v>189</v>
      </c>
      <c r="I53" s="53" t="s">
        <v>159</v>
      </c>
      <c r="J53" s="53" t="s">
        <v>80</v>
      </c>
      <c r="K53" s="53" t="s">
        <v>80</v>
      </c>
      <c r="L53" s="53">
        <v>1</v>
      </c>
      <c r="N53" s="53">
        <v>1</v>
      </c>
      <c r="O53" s="53">
        <v>0.45</v>
      </c>
      <c r="P53" s="53">
        <v>0.5</v>
      </c>
      <c r="Q53" s="72">
        <f t="shared" si="3"/>
        <v>0.47499999999999998</v>
      </c>
      <c r="R53" s="53">
        <v>12.1</v>
      </c>
      <c r="S53" s="53">
        <v>100</v>
      </c>
      <c r="T53" s="16">
        <f t="shared" si="1"/>
        <v>33</v>
      </c>
      <c r="U53" s="53">
        <v>105</v>
      </c>
      <c r="V53" s="16">
        <f t="shared" si="2"/>
        <v>3465</v>
      </c>
      <c r="W53" s="53">
        <v>6</v>
      </c>
      <c r="X53" s="53" t="s">
        <v>46</v>
      </c>
      <c r="Y53" s="53" t="s">
        <v>84</v>
      </c>
      <c r="Z53" s="53" t="s">
        <v>90</v>
      </c>
      <c r="AA53" s="53" t="s">
        <v>69</v>
      </c>
      <c r="AB53" s="53" t="s">
        <v>158</v>
      </c>
    </row>
    <row r="54" spans="1:29" x14ac:dyDescent="0.15">
      <c r="A54" s="53" t="s">
        <v>41</v>
      </c>
      <c r="B54" s="53" t="s">
        <v>157</v>
      </c>
      <c r="C54" s="62">
        <v>2019</v>
      </c>
      <c r="D54" s="63" t="s">
        <v>190</v>
      </c>
      <c r="E54" s="53" t="s">
        <v>199</v>
      </c>
      <c r="F54" s="53" t="s">
        <v>198</v>
      </c>
      <c r="G54" s="53" t="s">
        <v>42</v>
      </c>
      <c r="H54" s="53" t="s">
        <v>189</v>
      </c>
      <c r="I54" s="53" t="s">
        <v>159</v>
      </c>
      <c r="J54" s="53" t="s">
        <v>80</v>
      </c>
      <c r="K54" s="53" t="s">
        <v>80</v>
      </c>
      <c r="L54" s="53">
        <v>2</v>
      </c>
      <c r="M54" s="75"/>
      <c r="N54" s="53">
        <v>1</v>
      </c>
      <c r="O54" s="53">
        <v>0.3</v>
      </c>
      <c r="P54" s="53">
        <v>0.3</v>
      </c>
      <c r="Q54" s="72">
        <f t="shared" si="3"/>
        <v>0.3</v>
      </c>
      <c r="R54" s="53">
        <v>12.1</v>
      </c>
      <c r="S54" s="53">
        <v>97</v>
      </c>
      <c r="T54" s="16">
        <f t="shared" si="1"/>
        <v>36</v>
      </c>
      <c r="U54" s="53">
        <v>105</v>
      </c>
      <c r="V54" s="16">
        <f t="shared" si="2"/>
        <v>3780</v>
      </c>
      <c r="W54" s="53">
        <v>6</v>
      </c>
      <c r="X54" s="53" t="s">
        <v>46</v>
      </c>
      <c r="Y54" s="53" t="s">
        <v>84</v>
      </c>
      <c r="Z54" s="53" t="s">
        <v>90</v>
      </c>
      <c r="AA54" s="53" t="s">
        <v>69</v>
      </c>
      <c r="AB54" s="53" t="s">
        <v>158</v>
      </c>
    </row>
    <row r="55" spans="1:29" x14ac:dyDescent="0.15">
      <c r="A55" s="53" t="s">
        <v>41</v>
      </c>
      <c r="B55" s="53" t="s">
        <v>157</v>
      </c>
      <c r="C55" s="62">
        <v>2019</v>
      </c>
      <c r="D55" s="63" t="s">
        <v>190</v>
      </c>
      <c r="E55" s="53" t="s">
        <v>199</v>
      </c>
      <c r="F55" s="53" t="s">
        <v>198</v>
      </c>
      <c r="G55" s="53" t="s">
        <v>42</v>
      </c>
      <c r="H55" s="53" t="s">
        <v>189</v>
      </c>
      <c r="I55" s="53" t="s">
        <v>159</v>
      </c>
      <c r="J55" s="53" t="s">
        <v>80</v>
      </c>
      <c r="K55" s="53" t="s">
        <v>80</v>
      </c>
      <c r="L55" s="53">
        <v>3</v>
      </c>
      <c r="M55" s="75"/>
      <c r="N55" s="53">
        <v>1</v>
      </c>
      <c r="O55" s="53">
        <v>0.65</v>
      </c>
      <c r="P55" s="53">
        <v>0.5</v>
      </c>
      <c r="Q55" s="72">
        <f t="shared" si="3"/>
        <v>0.57499999999999996</v>
      </c>
      <c r="R55" s="53">
        <v>11.1</v>
      </c>
      <c r="S55" s="53">
        <v>95</v>
      </c>
      <c r="T55" s="16">
        <f t="shared" si="1"/>
        <v>36</v>
      </c>
      <c r="U55" s="53">
        <v>105</v>
      </c>
      <c r="V55" s="16">
        <f t="shared" si="2"/>
        <v>3780</v>
      </c>
      <c r="W55" s="53">
        <v>6</v>
      </c>
      <c r="X55" s="53" t="s">
        <v>46</v>
      </c>
      <c r="Y55" s="53" t="s">
        <v>84</v>
      </c>
      <c r="Z55" s="53" t="s">
        <v>90</v>
      </c>
      <c r="AA55" s="53" t="s">
        <v>69</v>
      </c>
      <c r="AB55" s="53" t="s">
        <v>158</v>
      </c>
    </row>
    <row r="56" spans="1:29" x14ac:dyDescent="0.15">
      <c r="A56" s="53" t="s">
        <v>41</v>
      </c>
      <c r="B56" s="53" t="s">
        <v>157</v>
      </c>
      <c r="C56" s="62">
        <v>2019</v>
      </c>
      <c r="D56" s="63" t="s">
        <v>190</v>
      </c>
      <c r="E56" s="53" t="s">
        <v>202</v>
      </c>
      <c r="F56" s="53" t="s">
        <v>203</v>
      </c>
      <c r="G56" s="53" t="s">
        <v>42</v>
      </c>
      <c r="H56" s="53" t="s">
        <v>164</v>
      </c>
      <c r="I56" s="53" t="s">
        <v>159</v>
      </c>
      <c r="J56" s="53" t="s">
        <v>38</v>
      </c>
      <c r="K56" s="53" t="s">
        <v>161</v>
      </c>
      <c r="L56" s="53">
        <v>1</v>
      </c>
      <c r="N56" s="53">
        <v>1</v>
      </c>
      <c r="O56" s="53">
        <v>0.55000000000000004</v>
      </c>
      <c r="P56" s="53">
        <v>0.65</v>
      </c>
      <c r="Q56" s="74">
        <f t="shared" si="3"/>
        <v>0.60000000000000009</v>
      </c>
      <c r="R56" s="53">
        <v>13.2</v>
      </c>
      <c r="S56" s="53">
        <v>126</v>
      </c>
      <c r="T56" s="16">
        <f t="shared" si="1"/>
        <v>27</v>
      </c>
      <c r="U56" s="53">
        <v>105</v>
      </c>
      <c r="V56" s="38">
        <v>3146</v>
      </c>
      <c r="W56" s="53">
        <v>2</v>
      </c>
      <c r="X56" s="53" t="s">
        <v>46</v>
      </c>
      <c r="Y56" s="53" t="s">
        <v>69</v>
      </c>
      <c r="Z56" s="53" t="s">
        <v>84</v>
      </c>
      <c r="AA56" s="53" t="s">
        <v>90</v>
      </c>
      <c r="AB56" s="53" t="s">
        <v>158</v>
      </c>
      <c r="AC56" s="75"/>
    </row>
    <row r="57" spans="1:29" x14ac:dyDescent="0.15">
      <c r="A57" s="53" t="s">
        <v>41</v>
      </c>
      <c r="B57" s="53" t="s">
        <v>157</v>
      </c>
      <c r="C57" s="62">
        <v>2019</v>
      </c>
      <c r="D57" s="63" t="s">
        <v>190</v>
      </c>
      <c r="E57" s="53" t="s">
        <v>202</v>
      </c>
      <c r="F57" s="53" t="s">
        <v>203</v>
      </c>
      <c r="G57" s="53" t="s">
        <v>42</v>
      </c>
      <c r="H57" s="53" t="s">
        <v>164</v>
      </c>
      <c r="I57" s="53" t="s">
        <v>159</v>
      </c>
      <c r="J57" s="53" t="s">
        <v>38</v>
      </c>
      <c r="K57" s="53" t="s">
        <v>161</v>
      </c>
      <c r="L57" s="53">
        <v>2</v>
      </c>
      <c r="N57" s="53">
        <v>1</v>
      </c>
      <c r="O57" s="53">
        <v>0.45</v>
      </c>
      <c r="P57" s="53">
        <v>0.5</v>
      </c>
      <c r="Q57" s="74">
        <f t="shared" si="3"/>
        <v>0.47499999999999998</v>
      </c>
      <c r="R57" s="53">
        <v>13.2</v>
      </c>
      <c r="S57" s="53">
        <v>128</v>
      </c>
      <c r="T57" s="16">
        <f t="shared" si="1"/>
        <v>27</v>
      </c>
      <c r="U57" s="53">
        <v>105</v>
      </c>
      <c r="V57" s="38">
        <v>3146</v>
      </c>
      <c r="W57" s="53">
        <v>2</v>
      </c>
      <c r="X57" s="53" t="s">
        <v>46</v>
      </c>
      <c r="Y57" s="53" t="s">
        <v>69</v>
      </c>
      <c r="Z57" s="53" t="s">
        <v>84</v>
      </c>
      <c r="AA57" s="53" t="s">
        <v>90</v>
      </c>
      <c r="AB57" s="53" t="s">
        <v>158</v>
      </c>
      <c r="AC57" s="75"/>
    </row>
    <row r="58" spans="1:29" x14ac:dyDescent="0.15">
      <c r="A58" s="53" t="s">
        <v>41</v>
      </c>
      <c r="B58" s="53" t="s">
        <v>157</v>
      </c>
      <c r="C58" s="62">
        <v>2019</v>
      </c>
      <c r="D58" s="63" t="s">
        <v>190</v>
      </c>
      <c r="E58" s="53" t="s">
        <v>202</v>
      </c>
      <c r="F58" s="53" t="s">
        <v>203</v>
      </c>
      <c r="G58" s="53" t="s">
        <v>42</v>
      </c>
      <c r="H58" s="53" t="s">
        <v>164</v>
      </c>
      <c r="I58" s="53" t="s">
        <v>159</v>
      </c>
      <c r="J58" s="53" t="s">
        <v>38</v>
      </c>
      <c r="K58" s="53" t="s">
        <v>161</v>
      </c>
      <c r="L58" s="53">
        <v>3</v>
      </c>
      <c r="N58" s="53">
        <v>1</v>
      </c>
      <c r="O58" s="53">
        <v>0.5</v>
      </c>
      <c r="P58" s="53">
        <v>0.45</v>
      </c>
      <c r="Q58" s="74">
        <f t="shared" si="3"/>
        <v>0.47499999999999998</v>
      </c>
      <c r="R58" s="53">
        <v>12</v>
      </c>
      <c r="S58" s="53">
        <v>122</v>
      </c>
      <c r="T58" s="16">
        <f t="shared" si="1"/>
        <v>27</v>
      </c>
      <c r="U58" s="53">
        <v>105</v>
      </c>
      <c r="V58" s="38">
        <v>3146</v>
      </c>
      <c r="W58" s="53">
        <v>2</v>
      </c>
      <c r="X58" s="53" t="s">
        <v>46</v>
      </c>
      <c r="Y58" s="53" t="s">
        <v>69</v>
      </c>
      <c r="Z58" s="53" t="s">
        <v>84</v>
      </c>
      <c r="AA58" s="53" t="s">
        <v>90</v>
      </c>
      <c r="AB58" s="53" t="s">
        <v>158</v>
      </c>
      <c r="AC58" s="75"/>
    </row>
    <row r="59" spans="1:29" x14ac:dyDescent="0.15">
      <c r="A59" s="53" t="s">
        <v>41</v>
      </c>
      <c r="B59" s="53" t="s">
        <v>157</v>
      </c>
      <c r="C59" s="62">
        <v>2019</v>
      </c>
      <c r="D59" s="63" t="s">
        <v>190</v>
      </c>
      <c r="E59" s="53" t="s">
        <v>202</v>
      </c>
      <c r="F59" s="53" t="s">
        <v>203</v>
      </c>
      <c r="G59" s="53" t="s">
        <v>42</v>
      </c>
      <c r="H59" s="53" t="s">
        <v>189</v>
      </c>
      <c r="I59" s="53" t="s">
        <v>159</v>
      </c>
      <c r="J59" s="53" t="s">
        <v>80</v>
      </c>
      <c r="K59" s="53" t="s">
        <v>63</v>
      </c>
      <c r="L59" s="53">
        <v>1</v>
      </c>
      <c r="N59" s="53">
        <v>1</v>
      </c>
      <c r="O59" s="53">
        <v>1</v>
      </c>
      <c r="P59" s="53">
        <v>1.1000000000000001</v>
      </c>
      <c r="Q59" s="74">
        <f t="shared" si="3"/>
        <v>1.05</v>
      </c>
      <c r="R59" s="53">
        <v>14.2</v>
      </c>
      <c r="S59" s="53">
        <v>91</v>
      </c>
      <c r="T59" s="16">
        <f t="shared" si="1"/>
        <v>36</v>
      </c>
      <c r="U59" s="53">
        <v>105</v>
      </c>
      <c r="V59" s="38">
        <v>3146</v>
      </c>
      <c r="W59" s="53">
        <v>2</v>
      </c>
      <c r="X59" s="53" t="s">
        <v>46</v>
      </c>
      <c r="Y59" s="53" t="s">
        <v>69</v>
      </c>
      <c r="Z59" s="53" t="s">
        <v>84</v>
      </c>
      <c r="AA59" s="53" t="s">
        <v>90</v>
      </c>
      <c r="AB59" s="53" t="s">
        <v>158</v>
      </c>
      <c r="AC59" s="75"/>
    </row>
    <row r="60" spans="1:29" x14ac:dyDescent="0.15">
      <c r="A60" s="53" t="s">
        <v>41</v>
      </c>
      <c r="B60" s="53" t="s">
        <v>157</v>
      </c>
      <c r="C60" s="62">
        <v>2019</v>
      </c>
      <c r="D60" s="63" t="s">
        <v>190</v>
      </c>
      <c r="E60" s="53" t="s">
        <v>202</v>
      </c>
      <c r="F60" s="53" t="s">
        <v>203</v>
      </c>
      <c r="G60" s="53" t="s">
        <v>42</v>
      </c>
      <c r="H60" s="53" t="s">
        <v>189</v>
      </c>
      <c r="I60" s="53" t="s">
        <v>159</v>
      </c>
      <c r="J60" s="53" t="s">
        <v>80</v>
      </c>
      <c r="K60" s="53" t="s">
        <v>63</v>
      </c>
      <c r="L60" s="53">
        <v>2</v>
      </c>
      <c r="N60" s="53">
        <v>1</v>
      </c>
      <c r="O60" s="53">
        <v>1.2</v>
      </c>
      <c r="P60" s="53">
        <v>1.35</v>
      </c>
      <c r="Q60" s="74">
        <f t="shared" si="3"/>
        <v>1.2749999999999999</v>
      </c>
      <c r="R60" s="53">
        <v>12.8</v>
      </c>
      <c r="S60" s="53">
        <v>95</v>
      </c>
      <c r="T60" s="16">
        <f t="shared" si="1"/>
        <v>36</v>
      </c>
      <c r="U60" s="53">
        <v>105</v>
      </c>
      <c r="V60" s="38">
        <v>3146</v>
      </c>
      <c r="W60" s="53">
        <v>2</v>
      </c>
      <c r="X60" s="53" t="s">
        <v>46</v>
      </c>
      <c r="Y60" s="53" t="s">
        <v>69</v>
      </c>
      <c r="Z60" s="53" t="s">
        <v>84</v>
      </c>
      <c r="AA60" s="53" t="s">
        <v>90</v>
      </c>
      <c r="AB60" s="53" t="s">
        <v>158</v>
      </c>
      <c r="AC60" s="75"/>
    </row>
    <row r="61" spans="1:29" x14ac:dyDescent="0.15">
      <c r="A61" s="53" t="s">
        <v>41</v>
      </c>
      <c r="B61" s="53" t="s">
        <v>157</v>
      </c>
      <c r="C61" s="62">
        <v>2019</v>
      </c>
      <c r="D61" s="63" t="s">
        <v>190</v>
      </c>
      <c r="E61" s="53" t="s">
        <v>202</v>
      </c>
      <c r="F61" s="53" t="s">
        <v>203</v>
      </c>
      <c r="G61" s="53" t="s">
        <v>42</v>
      </c>
      <c r="H61" s="53" t="s">
        <v>189</v>
      </c>
      <c r="I61" s="53" t="s">
        <v>159</v>
      </c>
      <c r="J61" s="53" t="s">
        <v>80</v>
      </c>
      <c r="K61" s="53" t="s">
        <v>63</v>
      </c>
      <c r="L61" s="53">
        <v>3</v>
      </c>
      <c r="N61" s="53">
        <v>1</v>
      </c>
      <c r="O61" s="53">
        <v>1</v>
      </c>
      <c r="P61" s="53">
        <v>1</v>
      </c>
      <c r="Q61" s="74">
        <f t="shared" si="3"/>
        <v>1</v>
      </c>
      <c r="R61" s="53">
        <v>10.199999999999999</v>
      </c>
      <c r="S61" s="53">
        <v>85</v>
      </c>
      <c r="T61" s="16">
        <f t="shared" si="1"/>
        <v>36</v>
      </c>
      <c r="U61" s="53">
        <v>105</v>
      </c>
      <c r="V61" s="38">
        <v>3146</v>
      </c>
      <c r="W61" s="53">
        <v>2</v>
      </c>
      <c r="X61" s="53" t="s">
        <v>46</v>
      </c>
      <c r="Y61" s="53" t="s">
        <v>69</v>
      </c>
      <c r="Z61" s="53" t="s">
        <v>84</v>
      </c>
      <c r="AA61" s="53" t="s">
        <v>90</v>
      </c>
      <c r="AB61" s="53" t="s">
        <v>158</v>
      </c>
      <c r="AC61" s="75"/>
    </row>
    <row r="62" spans="1:29" x14ac:dyDescent="0.15">
      <c r="A62" s="53" t="s">
        <v>41</v>
      </c>
      <c r="B62" s="53" t="s">
        <v>157</v>
      </c>
      <c r="C62" s="62">
        <v>2019</v>
      </c>
      <c r="D62" s="63" t="s">
        <v>190</v>
      </c>
      <c r="E62" s="53" t="s">
        <v>202</v>
      </c>
      <c r="F62" s="53" t="s">
        <v>203</v>
      </c>
      <c r="G62" s="53" t="s">
        <v>42</v>
      </c>
      <c r="H62" s="53" t="s">
        <v>160</v>
      </c>
      <c r="I62" s="53" t="s">
        <v>159</v>
      </c>
      <c r="J62" s="53" t="s">
        <v>38</v>
      </c>
      <c r="K62" s="53" t="s">
        <v>54</v>
      </c>
      <c r="L62" s="53">
        <v>1</v>
      </c>
      <c r="N62" s="53">
        <v>1</v>
      </c>
      <c r="O62" s="53">
        <v>0.35</v>
      </c>
      <c r="P62" s="53">
        <v>0.35</v>
      </c>
      <c r="Q62" s="74">
        <f t="shared" si="3"/>
        <v>0.35</v>
      </c>
      <c r="R62" s="53">
        <v>13.5</v>
      </c>
      <c r="S62" s="53">
        <v>124</v>
      </c>
      <c r="T62" s="16">
        <f t="shared" si="1"/>
        <v>27</v>
      </c>
      <c r="U62" s="53">
        <v>138</v>
      </c>
      <c r="V62" s="38">
        <v>3146</v>
      </c>
      <c r="W62" s="53">
        <v>2</v>
      </c>
      <c r="X62" s="53" t="s">
        <v>46</v>
      </c>
      <c r="Y62" s="53" t="s">
        <v>69</v>
      </c>
      <c r="Z62" s="53" t="s">
        <v>84</v>
      </c>
      <c r="AA62" s="53" t="s">
        <v>90</v>
      </c>
      <c r="AB62" s="53" t="s">
        <v>158</v>
      </c>
      <c r="AC62" s="75"/>
    </row>
    <row r="63" spans="1:29" x14ac:dyDescent="0.15">
      <c r="A63" s="53" t="s">
        <v>41</v>
      </c>
      <c r="B63" s="53" t="s">
        <v>157</v>
      </c>
      <c r="C63" s="62">
        <v>2019</v>
      </c>
      <c r="D63" s="63" t="s">
        <v>190</v>
      </c>
      <c r="E63" s="53" t="s">
        <v>202</v>
      </c>
      <c r="F63" s="53" t="s">
        <v>203</v>
      </c>
      <c r="G63" s="53" t="s">
        <v>42</v>
      </c>
      <c r="H63" s="53" t="s">
        <v>160</v>
      </c>
      <c r="I63" s="53" t="s">
        <v>159</v>
      </c>
      <c r="J63" s="53" t="s">
        <v>38</v>
      </c>
      <c r="K63" s="53" t="s">
        <v>54</v>
      </c>
      <c r="L63" s="53">
        <v>2</v>
      </c>
      <c r="N63" s="53">
        <v>1</v>
      </c>
      <c r="O63" s="53">
        <v>0.5</v>
      </c>
      <c r="P63" s="53">
        <v>0.4</v>
      </c>
      <c r="Q63" s="74">
        <f t="shared" si="3"/>
        <v>0.45</v>
      </c>
      <c r="R63" s="53">
        <v>10.5</v>
      </c>
      <c r="S63" s="53">
        <v>123</v>
      </c>
      <c r="T63" s="16">
        <f t="shared" si="1"/>
        <v>27</v>
      </c>
      <c r="U63" s="53">
        <v>138</v>
      </c>
      <c r="V63" s="38">
        <v>3146</v>
      </c>
      <c r="W63" s="53">
        <v>2</v>
      </c>
      <c r="X63" s="53" t="s">
        <v>46</v>
      </c>
      <c r="Y63" s="53" t="s">
        <v>69</v>
      </c>
      <c r="Z63" s="53" t="s">
        <v>84</v>
      </c>
      <c r="AA63" s="53" t="s">
        <v>90</v>
      </c>
      <c r="AB63" s="53" t="s">
        <v>158</v>
      </c>
      <c r="AC63" s="75"/>
    </row>
    <row r="64" spans="1:29" x14ac:dyDescent="0.15">
      <c r="A64" s="53" t="s">
        <v>41</v>
      </c>
      <c r="B64" s="53" t="s">
        <v>157</v>
      </c>
      <c r="C64" s="62">
        <v>2019</v>
      </c>
      <c r="D64" s="63" t="s">
        <v>190</v>
      </c>
      <c r="E64" s="53" t="s">
        <v>202</v>
      </c>
      <c r="F64" s="53" t="s">
        <v>203</v>
      </c>
      <c r="G64" s="53" t="s">
        <v>42</v>
      </c>
      <c r="H64" s="53" t="s">
        <v>160</v>
      </c>
      <c r="I64" s="53" t="s">
        <v>159</v>
      </c>
      <c r="J64" s="53" t="s">
        <v>38</v>
      </c>
      <c r="K64" s="53" t="s">
        <v>54</v>
      </c>
      <c r="L64" s="53">
        <v>3</v>
      </c>
      <c r="N64" s="53">
        <v>1</v>
      </c>
      <c r="O64" s="53">
        <v>0.35</v>
      </c>
      <c r="P64" s="53">
        <v>0.3</v>
      </c>
      <c r="Q64" s="74">
        <f t="shared" si="3"/>
        <v>0.32499999999999996</v>
      </c>
      <c r="R64" s="53">
        <v>14.1</v>
      </c>
      <c r="S64" s="53">
        <v>125</v>
      </c>
      <c r="T64" s="16">
        <f t="shared" si="1"/>
        <v>27</v>
      </c>
      <c r="U64" s="53">
        <v>138</v>
      </c>
      <c r="V64" s="38">
        <v>3146</v>
      </c>
      <c r="W64" s="53">
        <v>2</v>
      </c>
      <c r="X64" s="53" t="s">
        <v>46</v>
      </c>
      <c r="Y64" s="53" t="s">
        <v>69</v>
      </c>
      <c r="Z64" s="53" t="s">
        <v>84</v>
      </c>
      <c r="AA64" s="53" t="s">
        <v>90</v>
      </c>
      <c r="AB64" s="53" t="s">
        <v>158</v>
      </c>
      <c r="AC64" s="75"/>
    </row>
    <row r="65" spans="1:34" x14ac:dyDescent="0.15">
      <c r="A65" s="53" t="s">
        <v>41</v>
      </c>
      <c r="B65" s="53" t="s">
        <v>157</v>
      </c>
      <c r="C65" s="62">
        <v>2019</v>
      </c>
      <c r="D65" s="63" t="s">
        <v>190</v>
      </c>
      <c r="E65" s="53" t="s">
        <v>202</v>
      </c>
      <c r="F65" s="53" t="s">
        <v>203</v>
      </c>
      <c r="G65" s="53" t="s">
        <v>42</v>
      </c>
      <c r="H65" s="53" t="s">
        <v>164</v>
      </c>
      <c r="I65" s="53" t="s">
        <v>159</v>
      </c>
      <c r="J65" s="53" t="s">
        <v>38</v>
      </c>
      <c r="K65" s="53" t="s">
        <v>161</v>
      </c>
      <c r="L65" s="53">
        <v>1</v>
      </c>
      <c r="N65" s="53">
        <v>6</v>
      </c>
      <c r="O65" s="53">
        <v>1</v>
      </c>
      <c r="P65" s="53">
        <v>0.8</v>
      </c>
      <c r="Q65" s="74">
        <f t="shared" si="3"/>
        <v>0.9</v>
      </c>
      <c r="R65" s="53">
        <v>12.6</v>
      </c>
      <c r="S65" s="53">
        <v>110</v>
      </c>
      <c r="T65" s="16">
        <f t="shared" si="1"/>
        <v>33</v>
      </c>
      <c r="U65" s="53">
        <v>429</v>
      </c>
      <c r="V65" s="38">
        <v>3146</v>
      </c>
      <c r="W65" s="53">
        <v>2</v>
      </c>
      <c r="X65" s="53" t="s">
        <v>46</v>
      </c>
      <c r="Y65" s="53" t="s">
        <v>69</v>
      </c>
      <c r="Z65" s="53" t="s">
        <v>84</v>
      </c>
      <c r="AA65" s="53" t="s">
        <v>90</v>
      </c>
      <c r="AB65" s="53" t="s">
        <v>158</v>
      </c>
      <c r="AC65" s="75"/>
    </row>
    <row r="66" spans="1:34" x14ac:dyDescent="0.15">
      <c r="A66" s="53" t="s">
        <v>41</v>
      </c>
      <c r="B66" s="53" t="s">
        <v>157</v>
      </c>
      <c r="C66" s="62">
        <v>2019</v>
      </c>
      <c r="D66" s="63" t="s">
        <v>190</v>
      </c>
      <c r="E66" s="53" t="s">
        <v>202</v>
      </c>
      <c r="F66" s="53" t="s">
        <v>203</v>
      </c>
      <c r="G66" s="53" t="s">
        <v>42</v>
      </c>
      <c r="H66" s="53" t="s">
        <v>164</v>
      </c>
      <c r="I66" s="53" t="s">
        <v>159</v>
      </c>
      <c r="J66" s="53" t="s">
        <v>38</v>
      </c>
      <c r="K66" s="53" t="s">
        <v>161</v>
      </c>
      <c r="L66" s="53">
        <v>2</v>
      </c>
      <c r="N66" s="53">
        <v>6</v>
      </c>
      <c r="O66" s="53">
        <v>0.65</v>
      </c>
      <c r="P66" s="53">
        <v>0.5</v>
      </c>
      <c r="Q66" s="74">
        <f t="shared" si="3"/>
        <v>0.57499999999999996</v>
      </c>
      <c r="R66" s="53">
        <v>10.5</v>
      </c>
      <c r="S66" s="53">
        <v>105</v>
      </c>
      <c r="T66" s="16">
        <f t="shared" ref="T66:T129" si="4">IF(H66="","",IF(OR(H66="GREEN",H66="GK"),IF(S66&gt;=$AX$2,VLOOKUP(S66,$AX$2:$AY$10,2,1),""),IF(S66&gt;=$AZ$2,VLOOKUP(S66,$AZ$2:$BA$10,2,1),"")))</f>
        <v>33</v>
      </c>
      <c r="U66" s="53">
        <v>429</v>
      </c>
      <c r="V66" s="38">
        <v>3146</v>
      </c>
      <c r="W66" s="53">
        <v>2</v>
      </c>
      <c r="X66" s="53" t="s">
        <v>46</v>
      </c>
      <c r="Y66" s="53" t="s">
        <v>69</v>
      </c>
      <c r="Z66" s="53" t="s">
        <v>84</v>
      </c>
      <c r="AA66" s="53" t="s">
        <v>90</v>
      </c>
      <c r="AB66" s="53" t="s">
        <v>158</v>
      </c>
      <c r="AC66" s="75"/>
    </row>
    <row r="67" spans="1:34" x14ac:dyDescent="0.15">
      <c r="A67" s="53" t="s">
        <v>41</v>
      </c>
      <c r="B67" s="53" t="s">
        <v>157</v>
      </c>
      <c r="C67" s="62">
        <v>2019</v>
      </c>
      <c r="D67" s="63" t="s">
        <v>190</v>
      </c>
      <c r="E67" s="53" t="s">
        <v>202</v>
      </c>
      <c r="F67" s="53" t="s">
        <v>203</v>
      </c>
      <c r="G67" s="53" t="s">
        <v>42</v>
      </c>
      <c r="H67" s="53" t="s">
        <v>164</v>
      </c>
      <c r="I67" s="53" t="s">
        <v>159</v>
      </c>
      <c r="J67" s="53" t="s">
        <v>38</v>
      </c>
      <c r="K67" s="53" t="s">
        <v>161</v>
      </c>
      <c r="L67" s="53">
        <v>3</v>
      </c>
      <c r="N67" s="53">
        <v>6</v>
      </c>
      <c r="O67" s="53">
        <v>0.8</v>
      </c>
      <c r="P67" s="53">
        <v>0.8</v>
      </c>
      <c r="Q67" s="74">
        <f t="shared" si="3"/>
        <v>0.8</v>
      </c>
      <c r="R67" s="53">
        <v>11.1</v>
      </c>
      <c r="S67" s="53">
        <v>107</v>
      </c>
      <c r="T67" s="16">
        <f t="shared" si="4"/>
        <v>33</v>
      </c>
      <c r="U67" s="53">
        <v>429</v>
      </c>
      <c r="V67" s="38">
        <v>3146</v>
      </c>
      <c r="W67" s="53">
        <v>2</v>
      </c>
      <c r="X67" s="53" t="s">
        <v>46</v>
      </c>
      <c r="Y67" s="53" t="s">
        <v>69</v>
      </c>
      <c r="Z67" s="53" t="s">
        <v>84</v>
      </c>
      <c r="AA67" s="53" t="s">
        <v>90</v>
      </c>
      <c r="AB67" s="53" t="s">
        <v>158</v>
      </c>
      <c r="AC67" s="75"/>
    </row>
    <row r="68" spans="1:34" x14ac:dyDescent="0.15">
      <c r="A68" s="53" t="s">
        <v>41</v>
      </c>
      <c r="B68" s="53" t="s">
        <v>157</v>
      </c>
      <c r="C68" s="62">
        <v>2019</v>
      </c>
      <c r="D68" s="63" t="s">
        <v>190</v>
      </c>
      <c r="E68" s="53" t="s">
        <v>202</v>
      </c>
      <c r="F68" s="53" t="s">
        <v>203</v>
      </c>
      <c r="G68" s="53" t="s">
        <v>42</v>
      </c>
      <c r="H68" s="53" t="s">
        <v>189</v>
      </c>
      <c r="I68" s="53" t="s">
        <v>159</v>
      </c>
      <c r="J68" s="53" t="s">
        <v>80</v>
      </c>
      <c r="K68" s="53" t="s">
        <v>63</v>
      </c>
      <c r="L68" s="53">
        <v>1</v>
      </c>
      <c r="N68" s="53">
        <v>5</v>
      </c>
      <c r="O68" s="53">
        <v>0.25</v>
      </c>
      <c r="P68" s="53">
        <v>0.25</v>
      </c>
      <c r="Q68" s="74">
        <f t="shared" si="3"/>
        <v>0.25</v>
      </c>
      <c r="R68" s="53">
        <v>13</v>
      </c>
      <c r="S68" s="53">
        <v>85</v>
      </c>
      <c r="T68" s="16">
        <f t="shared" si="4"/>
        <v>36</v>
      </c>
      <c r="U68" s="53">
        <v>429</v>
      </c>
      <c r="V68" s="38">
        <v>3146</v>
      </c>
      <c r="W68" s="53">
        <v>2</v>
      </c>
      <c r="X68" s="53" t="s">
        <v>46</v>
      </c>
      <c r="Y68" s="53" t="s">
        <v>69</v>
      </c>
      <c r="Z68" s="53" t="s">
        <v>84</v>
      </c>
      <c r="AA68" s="53" t="s">
        <v>90</v>
      </c>
      <c r="AB68" s="53" t="s">
        <v>158</v>
      </c>
      <c r="AC68" s="75"/>
    </row>
    <row r="69" spans="1:34" x14ac:dyDescent="0.15">
      <c r="A69" s="53" t="s">
        <v>41</v>
      </c>
      <c r="B69" s="53" t="s">
        <v>157</v>
      </c>
      <c r="C69" s="62">
        <v>2019</v>
      </c>
      <c r="D69" s="63" t="s">
        <v>190</v>
      </c>
      <c r="E69" s="53" t="s">
        <v>202</v>
      </c>
      <c r="F69" s="53" t="s">
        <v>203</v>
      </c>
      <c r="G69" s="53" t="s">
        <v>42</v>
      </c>
      <c r="H69" s="53" t="s">
        <v>189</v>
      </c>
      <c r="I69" s="53" t="s">
        <v>159</v>
      </c>
      <c r="J69" s="53" t="s">
        <v>80</v>
      </c>
      <c r="K69" s="53" t="s">
        <v>63</v>
      </c>
      <c r="L69" s="53">
        <v>2</v>
      </c>
      <c r="N69" s="53">
        <v>5</v>
      </c>
      <c r="O69" s="53">
        <v>0.3</v>
      </c>
      <c r="P69" s="53">
        <v>0.3</v>
      </c>
      <c r="Q69" s="74">
        <f t="shared" si="3"/>
        <v>0.3</v>
      </c>
      <c r="R69" s="53">
        <v>10.199999999999999</v>
      </c>
      <c r="S69" s="53">
        <v>80</v>
      </c>
      <c r="T69" s="16">
        <f t="shared" si="4"/>
        <v>39</v>
      </c>
      <c r="U69" s="53">
        <v>429</v>
      </c>
      <c r="V69" s="38">
        <v>3146</v>
      </c>
      <c r="W69" s="53">
        <v>2</v>
      </c>
      <c r="X69" s="53" t="s">
        <v>46</v>
      </c>
      <c r="Y69" s="53" t="s">
        <v>69</v>
      </c>
      <c r="Z69" s="53" t="s">
        <v>84</v>
      </c>
      <c r="AA69" s="53" t="s">
        <v>90</v>
      </c>
      <c r="AB69" s="53" t="s">
        <v>158</v>
      </c>
      <c r="AC69" s="75"/>
    </row>
    <row r="70" spans="1:34" x14ac:dyDescent="0.15">
      <c r="A70" s="53" t="s">
        <v>41</v>
      </c>
      <c r="B70" s="53" t="s">
        <v>157</v>
      </c>
      <c r="C70" s="62">
        <v>2019</v>
      </c>
      <c r="D70" s="63" t="s">
        <v>190</v>
      </c>
      <c r="E70" s="53" t="s">
        <v>202</v>
      </c>
      <c r="F70" s="53" t="s">
        <v>203</v>
      </c>
      <c r="G70" s="53" t="s">
        <v>42</v>
      </c>
      <c r="H70" s="53" t="s">
        <v>189</v>
      </c>
      <c r="I70" s="53" t="s">
        <v>159</v>
      </c>
      <c r="J70" s="53" t="s">
        <v>80</v>
      </c>
      <c r="K70" s="53" t="s">
        <v>63</v>
      </c>
      <c r="L70" s="53">
        <v>3</v>
      </c>
      <c r="N70" s="53">
        <v>5</v>
      </c>
      <c r="O70" s="53">
        <v>0.25</v>
      </c>
      <c r="P70" s="53">
        <v>0.25</v>
      </c>
      <c r="Q70" s="74">
        <f t="shared" si="3"/>
        <v>0.25</v>
      </c>
      <c r="R70" s="53">
        <v>10</v>
      </c>
      <c r="S70" s="53">
        <v>87</v>
      </c>
      <c r="T70" s="16">
        <f t="shared" si="4"/>
        <v>36</v>
      </c>
      <c r="U70" s="53">
        <v>429</v>
      </c>
      <c r="V70" s="38">
        <v>3146</v>
      </c>
      <c r="W70" s="53">
        <v>2</v>
      </c>
      <c r="X70" s="53" t="s">
        <v>46</v>
      </c>
      <c r="Y70" s="53" t="s">
        <v>69</v>
      </c>
      <c r="Z70" s="53" t="s">
        <v>84</v>
      </c>
      <c r="AA70" s="53" t="s">
        <v>90</v>
      </c>
      <c r="AB70" s="53" t="s">
        <v>158</v>
      </c>
      <c r="AC70" s="75"/>
    </row>
    <row r="71" spans="1:34" x14ac:dyDescent="0.15">
      <c r="A71" s="53" t="s">
        <v>41</v>
      </c>
      <c r="B71" s="53" t="s">
        <v>157</v>
      </c>
      <c r="C71" s="62">
        <v>2019</v>
      </c>
      <c r="D71" s="63" t="s">
        <v>190</v>
      </c>
      <c r="E71" s="53" t="s">
        <v>202</v>
      </c>
      <c r="F71" s="53" t="s">
        <v>209</v>
      </c>
      <c r="G71" s="53" t="s">
        <v>42</v>
      </c>
      <c r="H71" s="53" t="s">
        <v>164</v>
      </c>
      <c r="I71" s="53" t="s">
        <v>159</v>
      </c>
      <c r="J71" s="53" t="s">
        <v>38</v>
      </c>
      <c r="K71" s="53" t="s">
        <v>161</v>
      </c>
      <c r="L71" s="53">
        <v>1</v>
      </c>
      <c r="N71" s="53">
        <v>1</v>
      </c>
      <c r="O71" s="53">
        <v>0.35</v>
      </c>
      <c r="P71" s="53">
        <v>0.45</v>
      </c>
      <c r="Q71" s="16">
        <f t="shared" si="3"/>
        <v>0.4</v>
      </c>
      <c r="R71" s="53">
        <v>14.1</v>
      </c>
      <c r="S71" s="53">
        <v>124</v>
      </c>
      <c r="T71" s="16">
        <f t="shared" si="4"/>
        <v>27</v>
      </c>
      <c r="U71" s="53">
        <v>73</v>
      </c>
      <c r="V71" s="38">
        <f t="shared" ref="V71:V76" si="5">IF(OR(N71="",U71="",T71=""),"",U71/N71*T71)</f>
        <v>1971</v>
      </c>
      <c r="W71" s="53">
        <v>1</v>
      </c>
      <c r="X71" s="53" t="s">
        <v>46</v>
      </c>
      <c r="Y71" s="53" t="s">
        <v>84</v>
      </c>
      <c r="Z71" s="53" t="s">
        <v>90</v>
      </c>
      <c r="AA71" s="53" t="s">
        <v>69</v>
      </c>
      <c r="AB71" s="53" t="s">
        <v>158</v>
      </c>
      <c r="AC71" s="75"/>
    </row>
    <row r="72" spans="1:34" x14ac:dyDescent="0.15">
      <c r="A72" s="53" t="s">
        <v>41</v>
      </c>
      <c r="B72" s="53" t="s">
        <v>157</v>
      </c>
      <c r="C72" s="62">
        <v>2019</v>
      </c>
      <c r="D72" s="63" t="s">
        <v>190</v>
      </c>
      <c r="E72" s="53" t="s">
        <v>202</v>
      </c>
      <c r="F72" s="53" t="s">
        <v>209</v>
      </c>
      <c r="G72" s="53" t="s">
        <v>42</v>
      </c>
      <c r="H72" s="53" t="s">
        <v>164</v>
      </c>
      <c r="I72" s="53" t="s">
        <v>159</v>
      </c>
      <c r="J72" s="53" t="s">
        <v>38</v>
      </c>
      <c r="K72" s="53" t="s">
        <v>161</v>
      </c>
      <c r="L72" s="53">
        <v>2</v>
      </c>
      <c r="N72" s="53">
        <v>1</v>
      </c>
      <c r="O72" s="53">
        <v>0.35</v>
      </c>
      <c r="P72" s="53">
        <v>0.4</v>
      </c>
      <c r="Q72" s="16">
        <f t="shared" si="3"/>
        <v>0.375</v>
      </c>
      <c r="R72" s="53">
        <v>12.8</v>
      </c>
      <c r="S72" s="53">
        <v>122</v>
      </c>
      <c r="T72" s="16">
        <f t="shared" si="4"/>
        <v>27</v>
      </c>
      <c r="U72" s="53">
        <v>73</v>
      </c>
      <c r="V72" s="38">
        <f t="shared" si="5"/>
        <v>1971</v>
      </c>
      <c r="W72" s="53">
        <v>1</v>
      </c>
      <c r="X72" s="53" t="s">
        <v>46</v>
      </c>
      <c r="Y72" s="53" t="s">
        <v>84</v>
      </c>
      <c r="Z72" s="53" t="s">
        <v>90</v>
      </c>
      <c r="AA72" s="53" t="s">
        <v>69</v>
      </c>
      <c r="AB72" s="53" t="s">
        <v>158</v>
      </c>
      <c r="AC72" s="75"/>
    </row>
    <row r="73" spans="1:34" x14ac:dyDescent="0.15">
      <c r="A73" s="53" t="s">
        <v>41</v>
      </c>
      <c r="B73" s="53" t="s">
        <v>157</v>
      </c>
      <c r="C73" s="62">
        <v>2019</v>
      </c>
      <c r="D73" s="63" t="s">
        <v>190</v>
      </c>
      <c r="E73" s="53" t="s">
        <v>202</v>
      </c>
      <c r="F73" s="53" t="s">
        <v>209</v>
      </c>
      <c r="G73" s="53" t="s">
        <v>42</v>
      </c>
      <c r="H73" s="53" t="s">
        <v>164</v>
      </c>
      <c r="I73" s="53" t="s">
        <v>159</v>
      </c>
      <c r="J73" s="53" t="s">
        <v>38</v>
      </c>
      <c r="K73" s="53" t="s">
        <v>161</v>
      </c>
      <c r="L73" s="53">
        <v>3</v>
      </c>
      <c r="N73" s="53">
        <v>1</v>
      </c>
      <c r="O73" s="53">
        <v>0.5</v>
      </c>
      <c r="P73" s="53">
        <v>0.45</v>
      </c>
      <c r="Q73" s="16">
        <f t="shared" si="3"/>
        <v>0.47499999999999998</v>
      </c>
      <c r="R73" s="53">
        <v>13</v>
      </c>
      <c r="S73" s="53">
        <v>123</v>
      </c>
      <c r="T73" s="16">
        <f t="shared" si="4"/>
        <v>27</v>
      </c>
      <c r="U73" s="53">
        <v>73</v>
      </c>
      <c r="V73" s="38">
        <f t="shared" si="5"/>
        <v>1971</v>
      </c>
      <c r="W73" s="53">
        <v>1</v>
      </c>
      <c r="X73" s="53" t="s">
        <v>46</v>
      </c>
      <c r="Y73" s="53" t="s">
        <v>84</v>
      </c>
      <c r="Z73" s="53" t="s">
        <v>90</v>
      </c>
      <c r="AA73" s="53" t="s">
        <v>69</v>
      </c>
      <c r="AB73" s="53" t="s">
        <v>158</v>
      </c>
      <c r="AC73" s="75"/>
    </row>
    <row r="74" spans="1:34" x14ac:dyDescent="0.15">
      <c r="A74" s="53" t="s">
        <v>41</v>
      </c>
      <c r="B74" s="53" t="s">
        <v>157</v>
      </c>
      <c r="C74" s="62">
        <v>2019</v>
      </c>
      <c r="D74" s="63" t="s">
        <v>190</v>
      </c>
      <c r="E74" s="53" t="s">
        <v>202</v>
      </c>
      <c r="F74" s="53" t="s">
        <v>209</v>
      </c>
      <c r="G74" s="53" t="s">
        <v>42</v>
      </c>
      <c r="H74" s="53" t="s">
        <v>164</v>
      </c>
      <c r="I74" s="53" t="s">
        <v>159</v>
      </c>
      <c r="J74" s="53" t="s">
        <v>38</v>
      </c>
      <c r="K74" s="53" t="s">
        <v>161</v>
      </c>
      <c r="L74" s="53">
        <v>1</v>
      </c>
      <c r="N74" s="53">
        <v>6</v>
      </c>
      <c r="O74" s="53">
        <v>0.7</v>
      </c>
      <c r="P74" s="53">
        <v>0.65</v>
      </c>
      <c r="Q74" s="16">
        <f t="shared" si="3"/>
        <v>0.67500000000000004</v>
      </c>
      <c r="R74" s="53">
        <v>12.5</v>
      </c>
      <c r="S74" s="53">
        <v>112</v>
      </c>
      <c r="T74" s="16">
        <f t="shared" si="4"/>
        <v>33</v>
      </c>
      <c r="U74" s="53">
        <v>321</v>
      </c>
      <c r="V74" s="16">
        <f t="shared" si="5"/>
        <v>1765.5</v>
      </c>
      <c r="W74" s="53">
        <v>1</v>
      </c>
      <c r="X74" s="53" t="s">
        <v>46</v>
      </c>
      <c r="Y74" s="53" t="s">
        <v>84</v>
      </c>
      <c r="Z74" s="53" t="s">
        <v>90</v>
      </c>
      <c r="AA74" s="53" t="s">
        <v>69</v>
      </c>
      <c r="AB74" s="53" t="s">
        <v>158</v>
      </c>
      <c r="AC74" s="75"/>
      <c r="AD74" s="75"/>
      <c r="AF74" s="75"/>
      <c r="AG74" s="75"/>
      <c r="AH74" s="75"/>
    </row>
    <row r="75" spans="1:34" x14ac:dyDescent="0.15">
      <c r="A75" s="53" t="s">
        <v>41</v>
      </c>
      <c r="B75" s="53" t="s">
        <v>157</v>
      </c>
      <c r="C75" s="62">
        <v>2019</v>
      </c>
      <c r="D75" s="63" t="s">
        <v>190</v>
      </c>
      <c r="E75" s="53" t="s">
        <v>202</v>
      </c>
      <c r="F75" s="53" t="s">
        <v>209</v>
      </c>
      <c r="G75" s="53" t="s">
        <v>42</v>
      </c>
      <c r="H75" s="53" t="s">
        <v>164</v>
      </c>
      <c r="I75" s="53" t="s">
        <v>159</v>
      </c>
      <c r="J75" s="53" t="s">
        <v>38</v>
      </c>
      <c r="K75" s="53" t="s">
        <v>161</v>
      </c>
      <c r="L75" s="53">
        <v>2</v>
      </c>
      <c r="N75" s="53">
        <v>6</v>
      </c>
      <c r="O75" s="53">
        <v>0.85</v>
      </c>
      <c r="P75" s="53">
        <v>0.8</v>
      </c>
      <c r="Q75" s="16">
        <f t="shared" si="3"/>
        <v>0.82499999999999996</v>
      </c>
      <c r="R75" s="53">
        <v>14.2</v>
      </c>
      <c r="S75" s="53">
        <v>114</v>
      </c>
      <c r="T75" s="16">
        <f t="shared" si="4"/>
        <v>30</v>
      </c>
      <c r="U75" s="53">
        <v>321</v>
      </c>
      <c r="V75" s="16">
        <f t="shared" si="5"/>
        <v>1605</v>
      </c>
      <c r="W75" s="53">
        <v>1</v>
      </c>
      <c r="X75" s="53" t="s">
        <v>46</v>
      </c>
      <c r="Y75" s="53" t="s">
        <v>84</v>
      </c>
      <c r="Z75" s="53" t="s">
        <v>90</v>
      </c>
      <c r="AA75" s="53" t="s">
        <v>69</v>
      </c>
      <c r="AB75" s="53" t="s">
        <v>158</v>
      </c>
      <c r="AC75" s="75"/>
      <c r="AD75" s="75"/>
      <c r="AF75" s="75"/>
      <c r="AG75" s="75"/>
      <c r="AH75" s="75"/>
    </row>
    <row r="76" spans="1:34" x14ac:dyDescent="0.15">
      <c r="A76" s="53" t="s">
        <v>41</v>
      </c>
      <c r="B76" s="53" t="s">
        <v>157</v>
      </c>
      <c r="C76" s="62">
        <v>2019</v>
      </c>
      <c r="D76" s="63" t="s">
        <v>190</v>
      </c>
      <c r="E76" s="53" t="s">
        <v>202</v>
      </c>
      <c r="F76" s="53" t="s">
        <v>209</v>
      </c>
      <c r="G76" s="53" t="s">
        <v>42</v>
      </c>
      <c r="H76" s="53" t="s">
        <v>164</v>
      </c>
      <c r="I76" s="53" t="s">
        <v>159</v>
      </c>
      <c r="J76" s="53" t="s">
        <v>38</v>
      </c>
      <c r="K76" s="53" t="s">
        <v>161</v>
      </c>
      <c r="L76" s="53">
        <v>3</v>
      </c>
      <c r="N76" s="53">
        <v>6</v>
      </c>
      <c r="O76" s="53">
        <v>1</v>
      </c>
      <c r="P76" s="53">
        <v>1.1000000000000001</v>
      </c>
      <c r="Q76" s="16">
        <f t="shared" si="3"/>
        <v>1.05</v>
      </c>
      <c r="R76" s="53">
        <v>13.9</v>
      </c>
      <c r="S76" s="53">
        <v>111</v>
      </c>
      <c r="T76" s="16">
        <f t="shared" si="4"/>
        <v>33</v>
      </c>
      <c r="U76" s="53">
        <v>321</v>
      </c>
      <c r="V76" s="16">
        <f t="shared" si="5"/>
        <v>1765.5</v>
      </c>
      <c r="W76" s="53">
        <v>1</v>
      </c>
      <c r="X76" s="53" t="s">
        <v>46</v>
      </c>
      <c r="Y76" s="53" t="s">
        <v>84</v>
      </c>
      <c r="Z76" s="53" t="s">
        <v>90</v>
      </c>
      <c r="AA76" s="53" t="s">
        <v>69</v>
      </c>
      <c r="AB76" s="53" t="s">
        <v>158</v>
      </c>
      <c r="AC76" s="75"/>
      <c r="AD76" s="75"/>
      <c r="AF76" s="75"/>
      <c r="AG76" s="75"/>
      <c r="AH76" s="75"/>
    </row>
    <row r="77" spans="1:34" x14ac:dyDescent="0.15">
      <c r="A77" s="53" t="s">
        <v>41</v>
      </c>
      <c r="B77" s="53" t="s">
        <v>157</v>
      </c>
      <c r="C77" s="62">
        <v>2019</v>
      </c>
      <c r="D77" s="63" t="s">
        <v>190</v>
      </c>
      <c r="E77" s="53" t="s">
        <v>202</v>
      </c>
      <c r="F77" s="53" t="s">
        <v>209</v>
      </c>
      <c r="G77" s="53" t="s">
        <v>42</v>
      </c>
      <c r="H77" s="53" t="s">
        <v>189</v>
      </c>
      <c r="I77" s="53" t="s">
        <v>159</v>
      </c>
      <c r="J77" s="53" t="s">
        <v>80</v>
      </c>
      <c r="K77" s="53" t="s">
        <v>63</v>
      </c>
      <c r="L77" s="53">
        <v>1</v>
      </c>
      <c r="N77" s="53">
        <v>1</v>
      </c>
      <c r="O77" s="53">
        <v>0.25</v>
      </c>
      <c r="P77" s="53">
        <v>0.35</v>
      </c>
      <c r="Q77" s="74">
        <f t="shared" si="3"/>
        <v>0.3</v>
      </c>
      <c r="R77" s="53">
        <v>13.7</v>
      </c>
      <c r="S77" s="53">
        <v>85</v>
      </c>
      <c r="T77" s="16">
        <f t="shared" si="4"/>
        <v>36</v>
      </c>
      <c r="U77" s="53">
        <v>73</v>
      </c>
      <c r="V77" s="38">
        <v>3146</v>
      </c>
      <c r="W77" s="53">
        <v>1</v>
      </c>
      <c r="X77" s="53" t="s">
        <v>46</v>
      </c>
      <c r="Y77" s="53" t="s">
        <v>84</v>
      </c>
      <c r="Z77" s="53" t="s">
        <v>90</v>
      </c>
      <c r="AA77" s="53" t="s">
        <v>69</v>
      </c>
      <c r="AB77" s="53" t="s">
        <v>158</v>
      </c>
      <c r="AC77" s="75"/>
      <c r="AD77" s="75"/>
      <c r="AF77" s="75"/>
      <c r="AG77" s="75"/>
      <c r="AH77" s="75"/>
    </row>
    <row r="78" spans="1:34" x14ac:dyDescent="0.15">
      <c r="A78" s="53" t="s">
        <v>41</v>
      </c>
      <c r="B78" s="53" t="s">
        <v>157</v>
      </c>
      <c r="C78" s="62">
        <v>2019</v>
      </c>
      <c r="D78" s="63" t="s">
        <v>190</v>
      </c>
      <c r="E78" s="53" t="s">
        <v>202</v>
      </c>
      <c r="F78" s="53" t="s">
        <v>209</v>
      </c>
      <c r="G78" s="53" t="s">
        <v>42</v>
      </c>
      <c r="H78" s="53" t="s">
        <v>189</v>
      </c>
      <c r="I78" s="53" t="s">
        <v>159</v>
      </c>
      <c r="J78" s="53" t="s">
        <v>80</v>
      </c>
      <c r="K78" s="53" t="s">
        <v>63</v>
      </c>
      <c r="L78" s="53">
        <v>2</v>
      </c>
      <c r="N78" s="53">
        <v>1</v>
      </c>
      <c r="O78" s="53">
        <v>0.3</v>
      </c>
      <c r="P78" s="53">
        <v>0.25</v>
      </c>
      <c r="Q78" s="74">
        <f t="shared" si="3"/>
        <v>0.27500000000000002</v>
      </c>
      <c r="R78" s="53">
        <v>12.6</v>
      </c>
      <c r="S78" s="53">
        <v>92</v>
      </c>
      <c r="T78" s="16">
        <f t="shared" si="4"/>
        <v>36</v>
      </c>
      <c r="U78" s="53">
        <v>73</v>
      </c>
      <c r="V78" s="38">
        <v>3146</v>
      </c>
      <c r="W78" s="53">
        <v>1</v>
      </c>
      <c r="X78" s="53" t="s">
        <v>46</v>
      </c>
      <c r="Y78" s="53" t="s">
        <v>84</v>
      </c>
      <c r="Z78" s="53" t="s">
        <v>90</v>
      </c>
      <c r="AA78" s="53" t="s">
        <v>69</v>
      </c>
      <c r="AB78" s="53" t="s">
        <v>158</v>
      </c>
      <c r="AC78" s="75"/>
      <c r="AD78" s="75"/>
      <c r="AF78" s="75"/>
      <c r="AG78" s="75"/>
      <c r="AH78" s="75"/>
    </row>
    <row r="79" spans="1:34" x14ac:dyDescent="0.15">
      <c r="A79" s="53" t="s">
        <v>41</v>
      </c>
      <c r="B79" s="53" t="s">
        <v>157</v>
      </c>
      <c r="C79" s="62">
        <v>2019</v>
      </c>
      <c r="D79" s="63" t="s">
        <v>190</v>
      </c>
      <c r="E79" s="53" t="s">
        <v>202</v>
      </c>
      <c r="F79" s="53" t="s">
        <v>209</v>
      </c>
      <c r="G79" s="53" t="s">
        <v>42</v>
      </c>
      <c r="H79" s="53" t="s">
        <v>189</v>
      </c>
      <c r="I79" s="53" t="s">
        <v>159</v>
      </c>
      <c r="J79" s="53" t="s">
        <v>80</v>
      </c>
      <c r="K79" s="53" t="s">
        <v>63</v>
      </c>
      <c r="L79" s="53">
        <v>3</v>
      </c>
      <c r="N79" s="53">
        <v>1</v>
      </c>
      <c r="O79" s="53">
        <v>0.4</v>
      </c>
      <c r="P79" s="53">
        <v>0.3</v>
      </c>
      <c r="Q79" s="74">
        <f t="shared" si="3"/>
        <v>0.35</v>
      </c>
      <c r="R79" s="53">
        <v>14</v>
      </c>
      <c r="S79" s="53">
        <v>94</v>
      </c>
      <c r="T79" s="16">
        <f t="shared" si="4"/>
        <v>36</v>
      </c>
      <c r="U79" s="53">
        <v>73</v>
      </c>
      <c r="V79" s="38">
        <v>3146</v>
      </c>
      <c r="W79" s="53">
        <v>1</v>
      </c>
      <c r="X79" s="53" t="s">
        <v>46</v>
      </c>
      <c r="Y79" s="53" t="s">
        <v>84</v>
      </c>
      <c r="Z79" s="53" t="s">
        <v>90</v>
      </c>
      <c r="AA79" s="53" t="s">
        <v>69</v>
      </c>
      <c r="AB79" s="53" t="s">
        <v>158</v>
      </c>
      <c r="AC79" s="75"/>
      <c r="AD79" s="75"/>
      <c r="AF79" s="75"/>
      <c r="AG79" s="75"/>
      <c r="AH79" s="75"/>
    </row>
    <row r="80" spans="1:34" x14ac:dyDescent="0.15">
      <c r="A80" s="53" t="s">
        <v>41</v>
      </c>
      <c r="B80" s="53" t="s">
        <v>157</v>
      </c>
      <c r="C80" s="62">
        <v>2019</v>
      </c>
      <c r="D80" s="63" t="s">
        <v>190</v>
      </c>
      <c r="E80" s="53" t="s">
        <v>205</v>
      </c>
      <c r="F80" s="53" t="s">
        <v>206</v>
      </c>
      <c r="G80" s="53" t="s">
        <v>42</v>
      </c>
      <c r="H80" s="53" t="s">
        <v>164</v>
      </c>
      <c r="I80" s="53" t="s">
        <v>159</v>
      </c>
      <c r="J80" s="53" t="s">
        <v>38</v>
      </c>
      <c r="K80" s="53" t="s">
        <v>161</v>
      </c>
      <c r="L80" s="53">
        <v>1</v>
      </c>
      <c r="N80" s="53">
        <v>1</v>
      </c>
      <c r="O80" s="53">
        <v>1.2</v>
      </c>
      <c r="P80" s="53">
        <v>1.35</v>
      </c>
      <c r="Q80" s="74">
        <f t="shared" si="3"/>
        <v>1.2749999999999999</v>
      </c>
      <c r="R80" s="53">
        <v>13.5</v>
      </c>
      <c r="S80" s="53">
        <v>121</v>
      </c>
      <c r="T80" s="16">
        <f t="shared" si="4"/>
        <v>27</v>
      </c>
      <c r="U80" s="53">
        <v>95</v>
      </c>
      <c r="V80" s="16">
        <f t="shared" ref="V80:V143" si="6">IF(OR(N80="",U80="",T80=""),"",U80/N80*T80)</f>
        <v>2565</v>
      </c>
      <c r="W80" s="53">
        <v>2</v>
      </c>
      <c r="X80" s="53" t="s">
        <v>46</v>
      </c>
      <c r="Y80" s="53" t="s">
        <v>84</v>
      </c>
      <c r="Z80" s="53" t="s">
        <v>90</v>
      </c>
      <c r="AA80" s="53" t="s">
        <v>69</v>
      </c>
      <c r="AB80" s="53" t="s">
        <v>158</v>
      </c>
      <c r="AC80" s="75"/>
      <c r="AD80" s="75"/>
      <c r="AF80" s="75"/>
      <c r="AG80" s="75"/>
      <c r="AH80" s="75"/>
    </row>
    <row r="81" spans="1:34" x14ac:dyDescent="0.15">
      <c r="A81" s="53" t="s">
        <v>41</v>
      </c>
      <c r="B81" s="53" t="s">
        <v>157</v>
      </c>
      <c r="C81" s="62">
        <v>2019</v>
      </c>
      <c r="D81" s="63" t="s">
        <v>190</v>
      </c>
      <c r="E81" s="53" t="s">
        <v>205</v>
      </c>
      <c r="F81" s="53" t="s">
        <v>206</v>
      </c>
      <c r="G81" s="53" t="s">
        <v>42</v>
      </c>
      <c r="H81" s="53" t="s">
        <v>164</v>
      </c>
      <c r="I81" s="53" t="s">
        <v>159</v>
      </c>
      <c r="J81" s="53" t="s">
        <v>38</v>
      </c>
      <c r="K81" s="53" t="s">
        <v>161</v>
      </c>
      <c r="L81" s="53">
        <v>2</v>
      </c>
      <c r="N81" s="53">
        <v>1</v>
      </c>
      <c r="O81" s="53">
        <v>1.2</v>
      </c>
      <c r="P81" s="53">
        <v>1.05</v>
      </c>
      <c r="Q81" s="74">
        <f t="shared" si="3"/>
        <v>1.125</v>
      </c>
      <c r="R81" s="53">
        <v>15.1</v>
      </c>
      <c r="S81" s="53">
        <v>124</v>
      </c>
      <c r="T81" s="16">
        <f t="shared" si="4"/>
        <v>27</v>
      </c>
      <c r="U81" s="53">
        <v>95</v>
      </c>
      <c r="V81" s="16">
        <f t="shared" si="6"/>
        <v>2565</v>
      </c>
      <c r="W81" s="53">
        <v>2</v>
      </c>
      <c r="X81" s="53" t="s">
        <v>46</v>
      </c>
      <c r="Y81" s="53" t="s">
        <v>84</v>
      </c>
      <c r="Z81" s="53" t="s">
        <v>90</v>
      </c>
      <c r="AA81" s="53" t="s">
        <v>69</v>
      </c>
      <c r="AB81" s="53" t="s">
        <v>158</v>
      </c>
      <c r="AC81" s="75"/>
      <c r="AD81" s="75"/>
      <c r="AF81" s="75"/>
      <c r="AG81" s="75"/>
      <c r="AH81" s="75"/>
    </row>
    <row r="82" spans="1:34" x14ac:dyDescent="0.15">
      <c r="A82" s="53" t="s">
        <v>41</v>
      </c>
      <c r="B82" s="53" t="s">
        <v>157</v>
      </c>
      <c r="C82" s="62">
        <v>2019</v>
      </c>
      <c r="D82" s="63" t="s">
        <v>190</v>
      </c>
      <c r="E82" s="53" t="s">
        <v>205</v>
      </c>
      <c r="F82" s="53" t="s">
        <v>206</v>
      </c>
      <c r="G82" s="53" t="s">
        <v>42</v>
      </c>
      <c r="H82" s="53" t="s">
        <v>164</v>
      </c>
      <c r="I82" s="53" t="s">
        <v>159</v>
      </c>
      <c r="J82" s="53" t="s">
        <v>38</v>
      </c>
      <c r="K82" s="53" t="s">
        <v>161</v>
      </c>
      <c r="L82" s="53">
        <v>3</v>
      </c>
      <c r="N82" s="53">
        <v>1</v>
      </c>
      <c r="O82" s="53">
        <v>1</v>
      </c>
      <c r="P82" s="53">
        <v>1</v>
      </c>
      <c r="Q82" s="74">
        <f t="shared" si="3"/>
        <v>1</v>
      </c>
      <c r="R82" s="53">
        <v>10.1</v>
      </c>
      <c r="S82" s="53">
        <v>122</v>
      </c>
      <c r="T82" s="16">
        <f t="shared" si="4"/>
        <v>27</v>
      </c>
      <c r="U82" s="53">
        <v>95</v>
      </c>
      <c r="V82" s="38">
        <f t="shared" si="6"/>
        <v>2565</v>
      </c>
      <c r="W82" s="53">
        <v>2</v>
      </c>
      <c r="X82" s="53" t="s">
        <v>46</v>
      </c>
      <c r="Y82" s="53" t="s">
        <v>84</v>
      </c>
      <c r="Z82" s="53" t="s">
        <v>90</v>
      </c>
      <c r="AA82" s="53" t="s">
        <v>69</v>
      </c>
      <c r="AB82" s="53" t="s">
        <v>158</v>
      </c>
      <c r="AC82" s="75"/>
      <c r="AD82" s="75"/>
      <c r="AF82" s="75"/>
      <c r="AG82" s="75"/>
      <c r="AH82" s="75"/>
    </row>
    <row r="83" spans="1:34" x14ac:dyDescent="0.15">
      <c r="A83" s="53" t="s">
        <v>41</v>
      </c>
      <c r="B83" s="53" t="s">
        <v>157</v>
      </c>
      <c r="C83" s="62">
        <v>2019</v>
      </c>
      <c r="D83" s="63" t="s">
        <v>190</v>
      </c>
      <c r="E83" s="53" t="s">
        <v>205</v>
      </c>
      <c r="F83" s="53" t="s">
        <v>206</v>
      </c>
      <c r="G83" s="53" t="s">
        <v>42</v>
      </c>
      <c r="H83" s="53" t="s">
        <v>164</v>
      </c>
      <c r="I83" s="53" t="s">
        <v>159</v>
      </c>
      <c r="J83" s="53" t="s">
        <v>38</v>
      </c>
      <c r="K83" s="53" t="s">
        <v>161</v>
      </c>
      <c r="L83" s="53">
        <v>1</v>
      </c>
      <c r="N83" s="53">
        <v>4</v>
      </c>
      <c r="O83" s="53">
        <v>0.7</v>
      </c>
      <c r="P83" s="53">
        <v>0.65</v>
      </c>
      <c r="Q83" s="74">
        <f t="shared" si="3"/>
        <v>0.67500000000000004</v>
      </c>
      <c r="R83" s="53">
        <v>12.7</v>
      </c>
      <c r="S83" s="53">
        <v>108</v>
      </c>
      <c r="T83" s="16">
        <f t="shared" si="4"/>
        <v>33</v>
      </c>
      <c r="U83" s="53">
        <v>378</v>
      </c>
      <c r="V83" s="16">
        <f t="shared" si="6"/>
        <v>3118.5</v>
      </c>
      <c r="W83" s="53">
        <v>2</v>
      </c>
      <c r="X83" s="53" t="s">
        <v>46</v>
      </c>
      <c r="Y83" s="53" t="s">
        <v>84</v>
      </c>
      <c r="Z83" s="53" t="s">
        <v>90</v>
      </c>
      <c r="AA83" s="53" t="s">
        <v>69</v>
      </c>
      <c r="AB83" s="53" t="s">
        <v>158</v>
      </c>
      <c r="AC83" s="75"/>
      <c r="AD83" s="75"/>
      <c r="AF83" s="75"/>
      <c r="AG83" s="75"/>
      <c r="AH83" s="75"/>
    </row>
    <row r="84" spans="1:34" x14ac:dyDescent="0.15">
      <c r="A84" s="53" t="s">
        <v>41</v>
      </c>
      <c r="B84" s="53" t="s">
        <v>157</v>
      </c>
      <c r="C84" s="62">
        <v>2019</v>
      </c>
      <c r="D84" s="63" t="s">
        <v>190</v>
      </c>
      <c r="E84" s="53" t="s">
        <v>205</v>
      </c>
      <c r="F84" s="53" t="s">
        <v>206</v>
      </c>
      <c r="G84" s="53" t="s">
        <v>42</v>
      </c>
      <c r="H84" s="53" t="s">
        <v>164</v>
      </c>
      <c r="I84" s="53" t="s">
        <v>159</v>
      </c>
      <c r="J84" s="53" t="s">
        <v>38</v>
      </c>
      <c r="K84" s="53" t="s">
        <v>161</v>
      </c>
      <c r="L84" s="53">
        <v>2</v>
      </c>
      <c r="N84" s="53">
        <v>4</v>
      </c>
      <c r="O84" s="53">
        <v>0.5</v>
      </c>
      <c r="P84" s="53">
        <v>0.7</v>
      </c>
      <c r="Q84" s="74">
        <f t="shared" si="3"/>
        <v>0.6</v>
      </c>
      <c r="R84" s="53">
        <v>14.1</v>
      </c>
      <c r="S84" s="53">
        <v>110</v>
      </c>
      <c r="T84" s="16">
        <f t="shared" si="4"/>
        <v>33</v>
      </c>
      <c r="U84" s="53">
        <v>378</v>
      </c>
      <c r="V84" s="16">
        <f t="shared" si="6"/>
        <v>3118.5</v>
      </c>
      <c r="W84" s="53">
        <v>2</v>
      </c>
      <c r="X84" s="53" t="s">
        <v>46</v>
      </c>
      <c r="Y84" s="53" t="s">
        <v>84</v>
      </c>
      <c r="Z84" s="53" t="s">
        <v>90</v>
      </c>
      <c r="AA84" s="53" t="s">
        <v>69</v>
      </c>
      <c r="AB84" s="53" t="s">
        <v>158</v>
      </c>
      <c r="AC84" s="75"/>
      <c r="AD84" s="75"/>
      <c r="AF84" s="75"/>
      <c r="AG84" s="75"/>
      <c r="AH84" s="75"/>
    </row>
    <row r="85" spans="1:34" x14ac:dyDescent="0.15">
      <c r="A85" s="53" t="s">
        <v>41</v>
      </c>
      <c r="B85" s="53" t="s">
        <v>157</v>
      </c>
      <c r="C85" s="62">
        <v>2019</v>
      </c>
      <c r="D85" s="63" t="s">
        <v>190</v>
      </c>
      <c r="E85" s="53" t="s">
        <v>205</v>
      </c>
      <c r="F85" s="53" t="s">
        <v>206</v>
      </c>
      <c r="G85" s="53" t="s">
        <v>42</v>
      </c>
      <c r="H85" s="53" t="s">
        <v>164</v>
      </c>
      <c r="I85" s="53" t="s">
        <v>159</v>
      </c>
      <c r="J85" s="53" t="s">
        <v>38</v>
      </c>
      <c r="K85" s="53" t="s">
        <v>161</v>
      </c>
      <c r="L85" s="53">
        <v>3</v>
      </c>
      <c r="N85" s="53">
        <v>4</v>
      </c>
      <c r="O85" s="53">
        <v>0.65</v>
      </c>
      <c r="P85" s="53">
        <v>0.5</v>
      </c>
      <c r="Q85" s="74">
        <f t="shared" si="3"/>
        <v>0.57499999999999996</v>
      </c>
      <c r="R85" s="53">
        <v>13.8</v>
      </c>
      <c r="S85" s="53">
        <v>101</v>
      </c>
      <c r="T85" s="16">
        <f t="shared" si="4"/>
        <v>33</v>
      </c>
      <c r="U85" s="53">
        <v>378</v>
      </c>
      <c r="V85" s="38">
        <f t="shared" si="6"/>
        <v>3118.5</v>
      </c>
      <c r="W85" s="53">
        <v>2</v>
      </c>
      <c r="X85" s="53" t="s">
        <v>46</v>
      </c>
      <c r="Y85" s="53" t="s">
        <v>84</v>
      </c>
      <c r="Z85" s="53" t="s">
        <v>90</v>
      </c>
      <c r="AA85" s="53" t="s">
        <v>69</v>
      </c>
      <c r="AB85" s="53" t="s">
        <v>158</v>
      </c>
      <c r="AC85" s="75"/>
      <c r="AD85" s="75"/>
      <c r="AF85" s="75"/>
      <c r="AG85" s="75"/>
      <c r="AH85" s="75"/>
    </row>
    <row r="86" spans="1:34" x14ac:dyDescent="0.15">
      <c r="A86" s="53" t="s">
        <v>41</v>
      </c>
      <c r="B86" s="53" t="s">
        <v>157</v>
      </c>
      <c r="C86" s="62">
        <v>2019</v>
      </c>
      <c r="D86" s="63" t="s">
        <v>190</v>
      </c>
      <c r="E86" s="53" t="s">
        <v>211</v>
      </c>
      <c r="F86" s="53" t="s">
        <v>212</v>
      </c>
      <c r="G86" s="53" t="s">
        <v>42</v>
      </c>
      <c r="H86" s="53" t="s">
        <v>164</v>
      </c>
      <c r="I86" s="53" t="s">
        <v>159</v>
      </c>
      <c r="J86" s="53" t="s">
        <v>38</v>
      </c>
      <c r="K86" s="53" t="s">
        <v>161</v>
      </c>
      <c r="L86" s="53">
        <v>1</v>
      </c>
      <c r="N86" s="53">
        <v>1</v>
      </c>
      <c r="O86" s="53">
        <v>1.2</v>
      </c>
      <c r="P86" s="76">
        <v>0.95</v>
      </c>
      <c r="Q86" s="16">
        <f t="shared" si="3"/>
        <v>1.075</v>
      </c>
      <c r="R86" s="53">
        <v>11.2</v>
      </c>
      <c r="S86" s="53">
        <v>130</v>
      </c>
      <c r="T86" s="16">
        <f t="shared" si="4"/>
        <v>25</v>
      </c>
      <c r="U86" s="53">
        <v>105</v>
      </c>
      <c r="V86" s="38">
        <f t="shared" si="6"/>
        <v>2625</v>
      </c>
      <c r="W86" s="53">
        <v>2</v>
      </c>
      <c r="X86" s="53" t="s">
        <v>46</v>
      </c>
      <c r="Y86" s="53" t="s">
        <v>69</v>
      </c>
      <c r="Z86" s="53" t="s">
        <v>84</v>
      </c>
      <c r="AA86" s="53" t="s">
        <v>90</v>
      </c>
      <c r="AB86" s="53" t="s">
        <v>158</v>
      </c>
      <c r="AC86" s="75"/>
      <c r="AD86" s="75"/>
      <c r="AF86" s="75"/>
      <c r="AG86" s="75"/>
      <c r="AH86" s="75"/>
    </row>
    <row r="87" spans="1:34" x14ac:dyDescent="0.15">
      <c r="A87" s="53" t="s">
        <v>41</v>
      </c>
      <c r="B87" s="53" t="s">
        <v>157</v>
      </c>
      <c r="C87" s="62">
        <v>2019</v>
      </c>
      <c r="D87" s="63" t="s">
        <v>190</v>
      </c>
      <c r="E87" s="53" t="s">
        <v>211</v>
      </c>
      <c r="F87" s="53" t="s">
        <v>212</v>
      </c>
      <c r="G87" s="53" t="s">
        <v>42</v>
      </c>
      <c r="H87" s="53" t="s">
        <v>164</v>
      </c>
      <c r="I87" s="53" t="s">
        <v>159</v>
      </c>
      <c r="J87" s="53" t="s">
        <v>38</v>
      </c>
      <c r="K87" s="53" t="s">
        <v>161</v>
      </c>
      <c r="L87" s="53">
        <v>2</v>
      </c>
      <c r="N87" s="53">
        <v>1</v>
      </c>
      <c r="O87" s="53">
        <v>1.3</v>
      </c>
      <c r="P87" s="53">
        <v>1.1000000000000001</v>
      </c>
      <c r="Q87" s="16">
        <f t="shared" si="3"/>
        <v>1.2000000000000002</v>
      </c>
      <c r="R87" s="53">
        <v>10.8</v>
      </c>
      <c r="S87" s="53">
        <v>128</v>
      </c>
      <c r="T87" s="16">
        <f t="shared" si="4"/>
        <v>27</v>
      </c>
      <c r="U87" s="53">
        <v>105</v>
      </c>
      <c r="V87" s="38">
        <f t="shared" si="6"/>
        <v>2835</v>
      </c>
      <c r="W87" s="53">
        <v>2</v>
      </c>
      <c r="X87" s="53" t="s">
        <v>46</v>
      </c>
      <c r="Y87" s="53" t="s">
        <v>69</v>
      </c>
      <c r="Z87" s="53" t="s">
        <v>84</v>
      </c>
      <c r="AA87" s="53" t="s">
        <v>90</v>
      </c>
      <c r="AB87" s="53" t="s">
        <v>158</v>
      </c>
      <c r="AC87" s="75"/>
      <c r="AD87" s="75"/>
      <c r="AF87" s="75"/>
      <c r="AG87" s="75"/>
      <c r="AH87" s="75"/>
    </row>
    <row r="88" spans="1:34" x14ac:dyDescent="0.15">
      <c r="A88" s="53" t="s">
        <v>41</v>
      </c>
      <c r="B88" s="53" t="s">
        <v>157</v>
      </c>
      <c r="C88" s="62">
        <v>2019</v>
      </c>
      <c r="D88" s="63" t="s">
        <v>190</v>
      </c>
      <c r="E88" s="53" t="s">
        <v>211</v>
      </c>
      <c r="F88" s="53" t="s">
        <v>212</v>
      </c>
      <c r="G88" s="53" t="s">
        <v>42</v>
      </c>
      <c r="H88" s="53" t="s">
        <v>164</v>
      </c>
      <c r="I88" s="53" t="s">
        <v>159</v>
      </c>
      <c r="J88" s="53" t="s">
        <v>38</v>
      </c>
      <c r="K88" s="53" t="s">
        <v>161</v>
      </c>
      <c r="L88" s="53">
        <v>3</v>
      </c>
      <c r="N88" s="53">
        <v>1</v>
      </c>
      <c r="O88" s="53">
        <v>1.1000000000000001</v>
      </c>
      <c r="P88" s="53">
        <v>1</v>
      </c>
      <c r="Q88" s="16">
        <f t="shared" si="3"/>
        <v>1.05</v>
      </c>
      <c r="R88" s="53">
        <v>9.8000000000000007</v>
      </c>
      <c r="S88" s="53">
        <v>129</v>
      </c>
      <c r="T88" s="38">
        <f t="shared" si="4"/>
        <v>25</v>
      </c>
      <c r="U88" s="53">
        <v>105</v>
      </c>
      <c r="V88" s="38">
        <f t="shared" si="6"/>
        <v>2625</v>
      </c>
      <c r="W88" s="53">
        <v>2</v>
      </c>
      <c r="X88" s="53" t="s">
        <v>46</v>
      </c>
      <c r="Y88" s="53" t="s">
        <v>69</v>
      </c>
      <c r="Z88" s="53" t="s">
        <v>84</v>
      </c>
      <c r="AA88" s="53" t="s">
        <v>90</v>
      </c>
      <c r="AB88" s="53" t="s">
        <v>158</v>
      </c>
      <c r="AC88" s="75"/>
      <c r="AD88" s="75"/>
      <c r="AF88" s="75"/>
      <c r="AG88" s="75"/>
      <c r="AH88" s="75"/>
    </row>
    <row r="89" spans="1:34" x14ac:dyDescent="0.15">
      <c r="A89" s="53" t="s">
        <v>41</v>
      </c>
      <c r="B89" s="53" t="s">
        <v>157</v>
      </c>
      <c r="C89" s="62">
        <v>2019</v>
      </c>
      <c r="D89" s="63" t="s">
        <v>190</v>
      </c>
      <c r="E89" s="53" t="s">
        <v>211</v>
      </c>
      <c r="F89" s="53" t="s">
        <v>212</v>
      </c>
      <c r="G89" s="53" t="s">
        <v>42</v>
      </c>
      <c r="H89" s="53" t="s">
        <v>164</v>
      </c>
      <c r="I89" s="53" t="s">
        <v>159</v>
      </c>
      <c r="J89" s="53" t="s">
        <v>38</v>
      </c>
      <c r="K89" s="53" t="s">
        <v>161</v>
      </c>
      <c r="L89" s="53">
        <v>1</v>
      </c>
      <c r="N89" s="53">
        <v>4</v>
      </c>
      <c r="O89" s="53">
        <v>1.05</v>
      </c>
      <c r="P89" s="76">
        <v>0.95</v>
      </c>
      <c r="Q89" s="16">
        <f t="shared" si="3"/>
        <v>1</v>
      </c>
      <c r="R89" s="53">
        <v>9</v>
      </c>
      <c r="S89" s="53">
        <v>115</v>
      </c>
      <c r="T89" s="16">
        <f t="shared" si="4"/>
        <v>30</v>
      </c>
      <c r="U89" s="53">
        <v>407</v>
      </c>
      <c r="V89" s="38">
        <f t="shared" si="6"/>
        <v>3052.5</v>
      </c>
      <c r="W89" s="53">
        <v>2</v>
      </c>
      <c r="X89" s="53" t="s">
        <v>46</v>
      </c>
      <c r="Y89" s="53" t="s">
        <v>69</v>
      </c>
      <c r="Z89" s="53" t="s">
        <v>84</v>
      </c>
      <c r="AA89" s="53" t="s">
        <v>90</v>
      </c>
      <c r="AB89" s="53" t="s">
        <v>158</v>
      </c>
    </row>
    <row r="90" spans="1:34" x14ac:dyDescent="0.15">
      <c r="A90" s="53" t="s">
        <v>41</v>
      </c>
      <c r="B90" s="53" t="s">
        <v>157</v>
      </c>
      <c r="C90" s="62">
        <v>2019</v>
      </c>
      <c r="D90" s="63" t="s">
        <v>190</v>
      </c>
      <c r="E90" s="53" t="s">
        <v>211</v>
      </c>
      <c r="F90" s="53" t="s">
        <v>212</v>
      </c>
      <c r="G90" s="53" t="s">
        <v>42</v>
      </c>
      <c r="H90" s="53" t="s">
        <v>164</v>
      </c>
      <c r="I90" s="53" t="s">
        <v>159</v>
      </c>
      <c r="J90" s="53" t="s">
        <v>38</v>
      </c>
      <c r="K90" s="53" t="s">
        <v>161</v>
      </c>
      <c r="L90" s="53">
        <v>2</v>
      </c>
      <c r="N90" s="53">
        <v>4</v>
      </c>
      <c r="O90" s="53">
        <v>0.7</v>
      </c>
      <c r="P90" s="53">
        <v>0.8</v>
      </c>
      <c r="Q90" s="16">
        <f t="shared" si="3"/>
        <v>0.75</v>
      </c>
      <c r="R90" s="53">
        <v>10.1</v>
      </c>
      <c r="S90" s="53">
        <v>115</v>
      </c>
      <c r="T90" s="16">
        <f t="shared" si="4"/>
        <v>30</v>
      </c>
      <c r="U90" s="53">
        <v>407</v>
      </c>
      <c r="V90" s="38">
        <f t="shared" si="6"/>
        <v>3052.5</v>
      </c>
      <c r="W90" s="53">
        <v>2</v>
      </c>
      <c r="X90" s="53" t="s">
        <v>46</v>
      </c>
      <c r="Y90" s="53" t="s">
        <v>69</v>
      </c>
      <c r="Z90" s="53" t="s">
        <v>84</v>
      </c>
      <c r="AA90" s="53" t="s">
        <v>90</v>
      </c>
      <c r="AB90" s="53" t="s">
        <v>158</v>
      </c>
    </row>
    <row r="91" spans="1:34" x14ac:dyDescent="0.15">
      <c r="A91" s="53" t="s">
        <v>41</v>
      </c>
      <c r="B91" s="53" t="s">
        <v>157</v>
      </c>
      <c r="C91" s="62">
        <v>2019</v>
      </c>
      <c r="D91" s="63" t="s">
        <v>190</v>
      </c>
      <c r="E91" s="53" t="s">
        <v>211</v>
      </c>
      <c r="F91" s="53" t="s">
        <v>212</v>
      </c>
      <c r="G91" s="53" t="s">
        <v>42</v>
      </c>
      <c r="H91" s="53" t="s">
        <v>164</v>
      </c>
      <c r="I91" s="53" t="s">
        <v>159</v>
      </c>
      <c r="J91" s="53" t="s">
        <v>38</v>
      </c>
      <c r="K91" s="53" t="s">
        <v>161</v>
      </c>
      <c r="L91" s="53">
        <v>3</v>
      </c>
      <c r="N91" s="53">
        <v>4</v>
      </c>
      <c r="O91" s="53">
        <v>0.9</v>
      </c>
      <c r="P91" s="53">
        <v>0.7</v>
      </c>
      <c r="Q91" s="16">
        <f t="shared" si="3"/>
        <v>0.8</v>
      </c>
      <c r="R91" s="53">
        <v>12.1</v>
      </c>
      <c r="S91" s="53">
        <v>114</v>
      </c>
      <c r="T91" s="38">
        <f t="shared" si="4"/>
        <v>30</v>
      </c>
      <c r="U91" s="53">
        <v>407</v>
      </c>
      <c r="V91" s="38">
        <f t="shared" si="6"/>
        <v>3052.5</v>
      </c>
      <c r="W91" s="53">
        <v>2</v>
      </c>
      <c r="X91" s="53" t="s">
        <v>46</v>
      </c>
      <c r="Y91" s="53" t="s">
        <v>69</v>
      </c>
      <c r="Z91" s="53" t="s">
        <v>84</v>
      </c>
      <c r="AA91" s="53" t="s">
        <v>90</v>
      </c>
      <c r="AB91" s="53" t="s">
        <v>158</v>
      </c>
    </row>
    <row r="92" spans="1:34" x14ac:dyDescent="0.15">
      <c r="Q92" s="74" t="str">
        <f t="shared" si="3"/>
        <v/>
      </c>
      <c r="T92" s="16" t="str">
        <f t="shared" si="4"/>
        <v/>
      </c>
      <c r="V92" s="16" t="str">
        <f t="shared" si="6"/>
        <v/>
      </c>
    </row>
    <row r="93" spans="1:34" x14ac:dyDescent="0.15">
      <c r="Q93" s="74" t="str">
        <f t="shared" ref="Q93:Q156" si="7">IF(OR(O93="",P93=""),"",AVERAGE(O93,P93))</f>
        <v/>
      </c>
      <c r="T93" s="16" t="str">
        <f t="shared" si="4"/>
        <v/>
      </c>
      <c r="V93" s="16" t="str">
        <f t="shared" si="6"/>
        <v/>
      </c>
    </row>
    <row r="94" spans="1:34" x14ac:dyDescent="0.15">
      <c r="Q94" s="74" t="str">
        <f t="shared" si="7"/>
        <v/>
      </c>
      <c r="T94" s="16" t="str">
        <f t="shared" si="4"/>
        <v/>
      </c>
      <c r="V94" s="16" t="str">
        <f t="shared" si="6"/>
        <v/>
      </c>
    </row>
    <row r="95" spans="1:34" x14ac:dyDescent="0.15">
      <c r="Q95" s="74" t="str">
        <f t="shared" si="7"/>
        <v/>
      </c>
      <c r="T95" s="16" t="str">
        <f t="shared" si="4"/>
        <v/>
      </c>
      <c r="V95" s="16" t="str">
        <f t="shared" si="6"/>
        <v/>
      </c>
    </row>
    <row r="96" spans="1:34" x14ac:dyDescent="0.15">
      <c r="Q96" s="74" t="str">
        <f t="shared" si="7"/>
        <v/>
      </c>
      <c r="T96" s="16" t="str">
        <f t="shared" si="4"/>
        <v/>
      </c>
      <c r="V96" s="16" t="str">
        <f t="shared" si="6"/>
        <v/>
      </c>
    </row>
    <row r="97" spans="17:22" x14ac:dyDescent="0.15">
      <c r="Q97" s="74" t="str">
        <f t="shared" si="7"/>
        <v/>
      </c>
      <c r="T97" s="16" t="str">
        <f t="shared" si="4"/>
        <v/>
      </c>
      <c r="V97" s="16" t="str">
        <f t="shared" si="6"/>
        <v/>
      </c>
    </row>
    <row r="98" spans="17:22" x14ac:dyDescent="0.15">
      <c r="Q98" s="74" t="str">
        <f t="shared" si="7"/>
        <v/>
      </c>
      <c r="T98" s="16" t="str">
        <f t="shared" si="4"/>
        <v/>
      </c>
      <c r="V98" s="16" t="str">
        <f t="shared" si="6"/>
        <v/>
      </c>
    </row>
    <row r="99" spans="17:22" x14ac:dyDescent="0.15">
      <c r="Q99" s="74" t="str">
        <f t="shared" si="7"/>
        <v/>
      </c>
      <c r="T99" s="16" t="str">
        <f t="shared" si="4"/>
        <v/>
      </c>
      <c r="V99" s="16" t="str">
        <f t="shared" si="6"/>
        <v/>
      </c>
    </row>
    <row r="100" spans="17:22" x14ac:dyDescent="0.15">
      <c r="Q100" s="74" t="str">
        <f t="shared" si="7"/>
        <v/>
      </c>
      <c r="T100" s="16" t="str">
        <f t="shared" si="4"/>
        <v/>
      </c>
      <c r="V100" s="16" t="str">
        <f t="shared" si="6"/>
        <v/>
      </c>
    </row>
    <row r="101" spans="17:22" x14ac:dyDescent="0.15">
      <c r="Q101" s="74" t="str">
        <f t="shared" si="7"/>
        <v/>
      </c>
      <c r="T101" s="16" t="str">
        <f t="shared" si="4"/>
        <v/>
      </c>
      <c r="V101" s="16" t="str">
        <f t="shared" si="6"/>
        <v/>
      </c>
    </row>
    <row r="102" spans="17:22" x14ac:dyDescent="0.15">
      <c r="Q102" s="74" t="str">
        <f t="shared" si="7"/>
        <v/>
      </c>
      <c r="T102" s="16" t="str">
        <f t="shared" si="4"/>
        <v/>
      </c>
      <c r="V102" s="16" t="str">
        <f t="shared" si="6"/>
        <v/>
      </c>
    </row>
    <row r="103" spans="17:22" x14ac:dyDescent="0.15">
      <c r="Q103" s="74" t="str">
        <f t="shared" si="7"/>
        <v/>
      </c>
      <c r="T103" s="16" t="str">
        <f t="shared" si="4"/>
        <v/>
      </c>
      <c r="V103" s="16" t="str">
        <f t="shared" si="6"/>
        <v/>
      </c>
    </row>
    <row r="104" spans="17:22" x14ac:dyDescent="0.15">
      <c r="Q104" s="74" t="str">
        <f t="shared" si="7"/>
        <v/>
      </c>
      <c r="T104" s="16" t="str">
        <f t="shared" si="4"/>
        <v/>
      </c>
      <c r="V104" s="16" t="str">
        <f t="shared" si="6"/>
        <v/>
      </c>
    </row>
    <row r="105" spans="17:22" x14ac:dyDescent="0.15">
      <c r="Q105" s="74" t="str">
        <f t="shared" si="7"/>
        <v/>
      </c>
      <c r="T105" s="16" t="str">
        <f t="shared" si="4"/>
        <v/>
      </c>
      <c r="V105" s="16" t="str">
        <f t="shared" si="6"/>
        <v/>
      </c>
    </row>
    <row r="106" spans="17:22" x14ac:dyDescent="0.15">
      <c r="Q106" s="74" t="str">
        <f t="shared" si="7"/>
        <v/>
      </c>
      <c r="T106" s="16" t="str">
        <f t="shared" si="4"/>
        <v/>
      </c>
      <c r="V106" s="16" t="str">
        <f t="shared" si="6"/>
        <v/>
      </c>
    </row>
    <row r="107" spans="17:22" x14ac:dyDescent="0.15">
      <c r="Q107" s="74" t="str">
        <f t="shared" si="7"/>
        <v/>
      </c>
      <c r="T107" s="16" t="str">
        <f t="shared" si="4"/>
        <v/>
      </c>
      <c r="V107" s="16" t="str">
        <f t="shared" si="6"/>
        <v/>
      </c>
    </row>
    <row r="108" spans="17:22" x14ac:dyDescent="0.15">
      <c r="Q108" s="74" t="str">
        <f t="shared" si="7"/>
        <v/>
      </c>
      <c r="T108" s="16" t="str">
        <f t="shared" si="4"/>
        <v/>
      </c>
      <c r="V108" s="16" t="str">
        <f t="shared" si="6"/>
        <v/>
      </c>
    </row>
    <row r="109" spans="17:22" x14ac:dyDescent="0.15">
      <c r="Q109" s="74" t="str">
        <f t="shared" si="7"/>
        <v/>
      </c>
      <c r="T109" s="16" t="str">
        <f t="shared" si="4"/>
        <v/>
      </c>
      <c r="V109" s="16" t="str">
        <f t="shared" si="6"/>
        <v/>
      </c>
    </row>
    <row r="110" spans="17:22" x14ac:dyDescent="0.15">
      <c r="Q110" s="74" t="str">
        <f t="shared" si="7"/>
        <v/>
      </c>
      <c r="T110" s="16" t="str">
        <f t="shared" si="4"/>
        <v/>
      </c>
      <c r="V110" s="16" t="str">
        <f t="shared" si="6"/>
        <v/>
      </c>
    </row>
    <row r="111" spans="17:22" x14ac:dyDescent="0.15">
      <c r="Q111" s="74" t="str">
        <f t="shared" si="7"/>
        <v/>
      </c>
      <c r="T111" s="16" t="str">
        <f t="shared" si="4"/>
        <v/>
      </c>
      <c r="V111" s="16" t="str">
        <f t="shared" si="6"/>
        <v/>
      </c>
    </row>
    <row r="112" spans="17:22" x14ac:dyDescent="0.15">
      <c r="Q112" s="74" t="str">
        <f t="shared" si="7"/>
        <v/>
      </c>
      <c r="T112" s="16" t="str">
        <f t="shared" si="4"/>
        <v/>
      </c>
      <c r="V112" s="16" t="str">
        <f t="shared" si="6"/>
        <v/>
      </c>
    </row>
    <row r="113" spans="17:22" x14ac:dyDescent="0.15">
      <c r="Q113" s="74" t="str">
        <f t="shared" si="7"/>
        <v/>
      </c>
      <c r="T113" s="16" t="str">
        <f t="shared" si="4"/>
        <v/>
      </c>
      <c r="V113" s="16" t="str">
        <f t="shared" si="6"/>
        <v/>
      </c>
    </row>
    <row r="114" spans="17:22" x14ac:dyDescent="0.15">
      <c r="Q114" s="74" t="str">
        <f t="shared" si="7"/>
        <v/>
      </c>
      <c r="T114" s="16" t="str">
        <f t="shared" si="4"/>
        <v/>
      </c>
      <c r="V114" s="16" t="str">
        <f t="shared" si="6"/>
        <v/>
      </c>
    </row>
    <row r="115" spans="17:22" x14ac:dyDescent="0.15">
      <c r="Q115" s="74" t="str">
        <f t="shared" si="7"/>
        <v/>
      </c>
      <c r="T115" s="16" t="str">
        <f t="shared" si="4"/>
        <v/>
      </c>
      <c r="V115" s="16" t="str">
        <f t="shared" si="6"/>
        <v/>
      </c>
    </row>
    <row r="116" spans="17:22" x14ac:dyDescent="0.15">
      <c r="Q116" s="74" t="str">
        <f t="shared" si="7"/>
        <v/>
      </c>
      <c r="T116" s="16" t="str">
        <f t="shared" si="4"/>
        <v/>
      </c>
      <c r="V116" s="16" t="str">
        <f t="shared" si="6"/>
        <v/>
      </c>
    </row>
    <row r="117" spans="17:22" x14ac:dyDescent="0.15">
      <c r="Q117" s="74" t="str">
        <f t="shared" si="7"/>
        <v/>
      </c>
      <c r="T117" s="16" t="str">
        <f t="shared" si="4"/>
        <v/>
      </c>
      <c r="V117" s="16" t="str">
        <f t="shared" si="6"/>
        <v/>
      </c>
    </row>
    <row r="118" spans="17:22" x14ac:dyDescent="0.15">
      <c r="Q118" s="74" t="str">
        <f t="shared" si="7"/>
        <v/>
      </c>
      <c r="T118" s="16" t="str">
        <f t="shared" si="4"/>
        <v/>
      </c>
      <c r="V118" s="16" t="str">
        <f t="shared" si="6"/>
        <v/>
      </c>
    </row>
    <row r="119" spans="17:22" x14ac:dyDescent="0.15">
      <c r="Q119" s="74" t="str">
        <f t="shared" si="7"/>
        <v/>
      </c>
      <c r="T119" s="16" t="str">
        <f t="shared" si="4"/>
        <v/>
      </c>
      <c r="V119" s="16" t="str">
        <f t="shared" si="6"/>
        <v/>
      </c>
    </row>
    <row r="120" spans="17:22" x14ac:dyDescent="0.15">
      <c r="Q120" s="74" t="str">
        <f t="shared" si="7"/>
        <v/>
      </c>
      <c r="T120" s="16" t="str">
        <f t="shared" si="4"/>
        <v/>
      </c>
      <c r="V120" s="16" t="str">
        <f t="shared" si="6"/>
        <v/>
      </c>
    </row>
    <row r="121" spans="17:22" x14ac:dyDescent="0.15">
      <c r="Q121" s="74" t="str">
        <f t="shared" si="7"/>
        <v/>
      </c>
      <c r="T121" s="16" t="str">
        <f t="shared" si="4"/>
        <v/>
      </c>
      <c r="V121" s="16" t="str">
        <f t="shared" si="6"/>
        <v/>
      </c>
    </row>
    <row r="122" spans="17:22" x14ac:dyDescent="0.15">
      <c r="Q122" s="74" t="str">
        <f t="shared" si="7"/>
        <v/>
      </c>
      <c r="T122" s="16" t="str">
        <f t="shared" si="4"/>
        <v/>
      </c>
      <c r="V122" s="16" t="str">
        <f t="shared" si="6"/>
        <v/>
      </c>
    </row>
    <row r="123" spans="17:22" x14ac:dyDescent="0.15">
      <c r="Q123" s="74" t="str">
        <f t="shared" si="7"/>
        <v/>
      </c>
      <c r="T123" s="16" t="str">
        <f t="shared" si="4"/>
        <v/>
      </c>
      <c r="V123" s="16" t="str">
        <f t="shared" si="6"/>
        <v/>
      </c>
    </row>
    <row r="124" spans="17:22" x14ac:dyDescent="0.15">
      <c r="Q124" s="74" t="str">
        <f t="shared" si="7"/>
        <v/>
      </c>
      <c r="T124" s="16" t="str">
        <f t="shared" si="4"/>
        <v/>
      </c>
      <c r="V124" s="16" t="str">
        <f t="shared" si="6"/>
        <v/>
      </c>
    </row>
    <row r="125" spans="17:22" x14ac:dyDescent="0.15">
      <c r="Q125" s="74" t="str">
        <f t="shared" si="7"/>
        <v/>
      </c>
      <c r="T125" s="16" t="str">
        <f t="shared" si="4"/>
        <v/>
      </c>
      <c r="V125" s="16" t="str">
        <f t="shared" si="6"/>
        <v/>
      </c>
    </row>
    <row r="126" spans="17:22" x14ac:dyDescent="0.15">
      <c r="Q126" s="74" t="str">
        <f t="shared" si="7"/>
        <v/>
      </c>
      <c r="T126" s="16" t="str">
        <f t="shared" si="4"/>
        <v/>
      </c>
      <c r="V126" s="16" t="str">
        <f t="shared" si="6"/>
        <v/>
      </c>
    </row>
    <row r="127" spans="17:22" x14ac:dyDescent="0.15">
      <c r="Q127" s="74" t="str">
        <f t="shared" si="7"/>
        <v/>
      </c>
      <c r="T127" s="16" t="str">
        <f t="shared" si="4"/>
        <v/>
      </c>
      <c r="V127" s="16" t="str">
        <f t="shared" si="6"/>
        <v/>
      </c>
    </row>
    <row r="128" spans="17:22" x14ac:dyDescent="0.15">
      <c r="Q128" s="74" t="str">
        <f t="shared" si="7"/>
        <v/>
      </c>
      <c r="T128" s="16" t="str">
        <f t="shared" si="4"/>
        <v/>
      </c>
      <c r="V128" s="16" t="str">
        <f t="shared" si="6"/>
        <v/>
      </c>
    </row>
    <row r="129" spans="17:22" x14ac:dyDescent="0.15">
      <c r="Q129" s="74" t="str">
        <f t="shared" si="7"/>
        <v/>
      </c>
      <c r="T129" s="16" t="str">
        <f t="shared" si="4"/>
        <v/>
      </c>
      <c r="V129" s="16" t="str">
        <f t="shared" si="6"/>
        <v/>
      </c>
    </row>
    <row r="130" spans="17:22" x14ac:dyDescent="0.15">
      <c r="Q130" s="74" t="str">
        <f t="shared" si="7"/>
        <v/>
      </c>
      <c r="T130" s="16" t="str">
        <f t="shared" ref="T130:T193" si="8">IF(H130="","",IF(OR(H130="GREEN",H130="GK"),IF(S130&gt;=$AX$2,VLOOKUP(S130,$AX$2:$AY$10,2,1),""),IF(S130&gt;=$AZ$2,VLOOKUP(S130,$AZ$2:$BA$10,2,1),"")))</f>
        <v/>
      </c>
      <c r="V130" s="16" t="str">
        <f t="shared" si="6"/>
        <v/>
      </c>
    </row>
    <row r="131" spans="17:22" x14ac:dyDescent="0.15">
      <c r="Q131" s="74" t="str">
        <f t="shared" si="7"/>
        <v/>
      </c>
      <c r="T131" s="16" t="str">
        <f t="shared" si="8"/>
        <v/>
      </c>
      <c r="V131" s="16" t="str">
        <f t="shared" si="6"/>
        <v/>
      </c>
    </row>
    <row r="132" spans="17:22" x14ac:dyDescent="0.15">
      <c r="Q132" s="74" t="str">
        <f t="shared" si="7"/>
        <v/>
      </c>
      <c r="T132" s="16" t="str">
        <f t="shared" si="8"/>
        <v/>
      </c>
      <c r="V132" s="16" t="str">
        <f t="shared" si="6"/>
        <v/>
      </c>
    </row>
    <row r="133" spans="17:22" x14ac:dyDescent="0.15">
      <c r="Q133" s="74" t="str">
        <f t="shared" si="7"/>
        <v/>
      </c>
      <c r="T133" s="16" t="str">
        <f t="shared" si="8"/>
        <v/>
      </c>
      <c r="V133" s="16" t="str">
        <f t="shared" si="6"/>
        <v/>
      </c>
    </row>
    <row r="134" spans="17:22" x14ac:dyDescent="0.15">
      <c r="Q134" s="74" t="str">
        <f t="shared" si="7"/>
        <v/>
      </c>
      <c r="T134" s="16" t="str">
        <f t="shared" si="8"/>
        <v/>
      </c>
      <c r="V134" s="16" t="str">
        <f t="shared" si="6"/>
        <v/>
      </c>
    </row>
    <row r="135" spans="17:22" x14ac:dyDescent="0.15">
      <c r="Q135" s="74" t="str">
        <f t="shared" si="7"/>
        <v/>
      </c>
      <c r="T135" s="16" t="str">
        <f t="shared" si="8"/>
        <v/>
      </c>
      <c r="V135" s="16" t="str">
        <f t="shared" si="6"/>
        <v/>
      </c>
    </row>
    <row r="136" spans="17:22" x14ac:dyDescent="0.15">
      <c r="Q136" s="74" t="str">
        <f t="shared" si="7"/>
        <v/>
      </c>
      <c r="T136" s="16" t="str">
        <f t="shared" si="8"/>
        <v/>
      </c>
      <c r="V136" s="16" t="str">
        <f t="shared" si="6"/>
        <v/>
      </c>
    </row>
    <row r="137" spans="17:22" x14ac:dyDescent="0.15">
      <c r="Q137" s="74" t="str">
        <f t="shared" si="7"/>
        <v/>
      </c>
      <c r="T137" s="16" t="str">
        <f t="shared" si="8"/>
        <v/>
      </c>
      <c r="V137" s="16" t="str">
        <f t="shared" si="6"/>
        <v/>
      </c>
    </row>
    <row r="138" spans="17:22" x14ac:dyDescent="0.15">
      <c r="Q138" s="74" t="str">
        <f t="shared" si="7"/>
        <v/>
      </c>
      <c r="T138" s="16" t="str">
        <f t="shared" si="8"/>
        <v/>
      </c>
      <c r="V138" s="16" t="str">
        <f t="shared" si="6"/>
        <v/>
      </c>
    </row>
    <row r="139" spans="17:22" x14ac:dyDescent="0.15">
      <c r="Q139" s="74" t="str">
        <f t="shared" si="7"/>
        <v/>
      </c>
      <c r="T139" s="16" t="str">
        <f t="shared" si="8"/>
        <v/>
      </c>
      <c r="V139" s="16" t="str">
        <f t="shared" si="6"/>
        <v/>
      </c>
    </row>
    <row r="140" spans="17:22" x14ac:dyDescent="0.15">
      <c r="Q140" s="74" t="str">
        <f t="shared" si="7"/>
        <v/>
      </c>
      <c r="T140" s="16" t="str">
        <f t="shared" si="8"/>
        <v/>
      </c>
      <c r="V140" s="16" t="str">
        <f t="shared" si="6"/>
        <v/>
      </c>
    </row>
    <row r="141" spans="17:22" x14ac:dyDescent="0.15">
      <c r="Q141" s="74" t="str">
        <f t="shared" si="7"/>
        <v/>
      </c>
      <c r="T141" s="16" t="str">
        <f t="shared" si="8"/>
        <v/>
      </c>
      <c r="V141" s="16" t="str">
        <f t="shared" si="6"/>
        <v/>
      </c>
    </row>
    <row r="142" spans="17:22" x14ac:dyDescent="0.15">
      <c r="Q142" s="74" t="str">
        <f t="shared" si="7"/>
        <v/>
      </c>
      <c r="T142" s="16" t="str">
        <f t="shared" si="8"/>
        <v/>
      </c>
      <c r="V142" s="16" t="str">
        <f t="shared" si="6"/>
        <v/>
      </c>
    </row>
    <row r="143" spans="17:22" x14ac:dyDescent="0.15">
      <c r="Q143" s="74" t="str">
        <f t="shared" si="7"/>
        <v/>
      </c>
      <c r="T143" s="16" t="str">
        <f t="shared" si="8"/>
        <v/>
      </c>
      <c r="V143" s="16" t="str">
        <f t="shared" si="6"/>
        <v/>
      </c>
    </row>
    <row r="144" spans="17:22" x14ac:dyDescent="0.15">
      <c r="Q144" s="74" t="str">
        <f t="shared" si="7"/>
        <v/>
      </c>
      <c r="T144" s="16" t="str">
        <f t="shared" si="8"/>
        <v/>
      </c>
      <c r="V144" s="16" t="str">
        <f t="shared" ref="V144:V207" si="9">IF(OR(N144="",U144="",T144=""),"",U144/N144*T144)</f>
        <v/>
      </c>
    </row>
    <row r="145" spans="17:22" x14ac:dyDescent="0.15">
      <c r="Q145" s="74" t="str">
        <f t="shared" si="7"/>
        <v/>
      </c>
      <c r="T145" s="16" t="str">
        <f t="shared" si="8"/>
        <v/>
      </c>
      <c r="V145" s="16" t="str">
        <f t="shared" si="9"/>
        <v/>
      </c>
    </row>
    <row r="146" spans="17:22" x14ac:dyDescent="0.15">
      <c r="Q146" s="74" t="str">
        <f t="shared" si="7"/>
        <v/>
      </c>
      <c r="T146" s="16" t="str">
        <f t="shared" si="8"/>
        <v/>
      </c>
      <c r="V146" s="16" t="str">
        <f t="shared" si="9"/>
        <v/>
      </c>
    </row>
    <row r="147" spans="17:22" x14ac:dyDescent="0.15">
      <c r="Q147" s="74" t="str">
        <f t="shared" si="7"/>
        <v/>
      </c>
      <c r="T147" s="16" t="str">
        <f t="shared" si="8"/>
        <v/>
      </c>
      <c r="V147" s="16" t="str">
        <f t="shared" si="9"/>
        <v/>
      </c>
    </row>
    <row r="148" spans="17:22" x14ac:dyDescent="0.15">
      <c r="Q148" s="74" t="str">
        <f t="shared" si="7"/>
        <v/>
      </c>
      <c r="T148" s="16" t="str">
        <f t="shared" si="8"/>
        <v/>
      </c>
      <c r="V148" s="16" t="str">
        <f t="shared" si="9"/>
        <v/>
      </c>
    </row>
    <row r="149" spans="17:22" x14ac:dyDescent="0.15">
      <c r="Q149" s="74" t="str">
        <f t="shared" si="7"/>
        <v/>
      </c>
      <c r="T149" s="16" t="str">
        <f t="shared" si="8"/>
        <v/>
      </c>
      <c r="V149" s="16" t="str">
        <f t="shared" si="9"/>
        <v/>
      </c>
    </row>
    <row r="150" spans="17:22" x14ac:dyDescent="0.15">
      <c r="Q150" s="74" t="str">
        <f t="shared" si="7"/>
        <v/>
      </c>
      <c r="T150" s="16" t="str">
        <f t="shared" si="8"/>
        <v/>
      </c>
      <c r="V150" s="16" t="str">
        <f t="shared" si="9"/>
        <v/>
      </c>
    </row>
    <row r="151" spans="17:22" x14ac:dyDescent="0.15">
      <c r="Q151" s="74" t="str">
        <f t="shared" si="7"/>
        <v/>
      </c>
      <c r="T151" s="16" t="str">
        <f t="shared" si="8"/>
        <v/>
      </c>
      <c r="V151" s="16" t="str">
        <f t="shared" si="9"/>
        <v/>
      </c>
    </row>
    <row r="152" spans="17:22" x14ac:dyDescent="0.15">
      <c r="Q152" s="74" t="str">
        <f t="shared" si="7"/>
        <v/>
      </c>
      <c r="T152" s="16" t="str">
        <f t="shared" si="8"/>
        <v/>
      </c>
      <c r="V152" s="16" t="str">
        <f t="shared" si="9"/>
        <v/>
      </c>
    </row>
    <row r="153" spans="17:22" x14ac:dyDescent="0.15">
      <c r="Q153" s="74" t="str">
        <f t="shared" si="7"/>
        <v/>
      </c>
      <c r="T153" s="16" t="str">
        <f t="shared" si="8"/>
        <v/>
      </c>
      <c r="V153" s="16" t="str">
        <f t="shared" si="9"/>
        <v/>
      </c>
    </row>
    <row r="154" spans="17:22" x14ac:dyDescent="0.15">
      <c r="Q154" s="74" t="str">
        <f t="shared" si="7"/>
        <v/>
      </c>
      <c r="T154" s="16" t="str">
        <f t="shared" si="8"/>
        <v/>
      </c>
      <c r="V154" s="16" t="str">
        <f t="shared" si="9"/>
        <v/>
      </c>
    </row>
    <row r="155" spans="17:22" x14ac:dyDescent="0.15">
      <c r="Q155" s="74" t="str">
        <f t="shared" si="7"/>
        <v/>
      </c>
      <c r="T155" s="16" t="str">
        <f t="shared" si="8"/>
        <v/>
      </c>
      <c r="V155" s="16" t="str">
        <f t="shared" si="9"/>
        <v/>
      </c>
    </row>
    <row r="156" spans="17:22" x14ac:dyDescent="0.15">
      <c r="Q156" s="74" t="str">
        <f t="shared" si="7"/>
        <v/>
      </c>
      <c r="T156" s="16" t="str">
        <f t="shared" si="8"/>
        <v/>
      </c>
      <c r="V156" s="16" t="str">
        <f t="shared" si="9"/>
        <v/>
      </c>
    </row>
    <row r="157" spans="17:22" x14ac:dyDescent="0.15">
      <c r="Q157" s="74" t="str">
        <f t="shared" ref="Q157:Q220" si="10">IF(OR(O157="",P157=""),"",AVERAGE(O157,P157))</f>
        <v/>
      </c>
      <c r="T157" s="16" t="str">
        <f t="shared" si="8"/>
        <v/>
      </c>
      <c r="V157" s="16" t="str">
        <f t="shared" si="9"/>
        <v/>
      </c>
    </row>
    <row r="158" spans="17:22" x14ac:dyDescent="0.15">
      <c r="Q158" s="74" t="str">
        <f t="shared" si="10"/>
        <v/>
      </c>
      <c r="T158" s="16" t="str">
        <f t="shared" si="8"/>
        <v/>
      </c>
      <c r="V158" s="16" t="str">
        <f t="shared" si="9"/>
        <v/>
      </c>
    </row>
    <row r="159" spans="17:22" x14ac:dyDescent="0.15">
      <c r="Q159" s="74" t="str">
        <f t="shared" si="10"/>
        <v/>
      </c>
      <c r="T159" s="16" t="str">
        <f t="shared" si="8"/>
        <v/>
      </c>
      <c r="V159" s="16" t="str">
        <f t="shared" si="9"/>
        <v/>
      </c>
    </row>
    <row r="160" spans="17:22" x14ac:dyDescent="0.15">
      <c r="Q160" s="74" t="str">
        <f t="shared" si="10"/>
        <v/>
      </c>
      <c r="T160" s="16" t="str">
        <f t="shared" si="8"/>
        <v/>
      </c>
      <c r="V160" s="16" t="str">
        <f t="shared" si="9"/>
        <v/>
      </c>
    </row>
    <row r="161" spans="17:22" x14ac:dyDescent="0.15">
      <c r="Q161" s="74" t="str">
        <f t="shared" si="10"/>
        <v/>
      </c>
      <c r="T161" s="16" t="str">
        <f t="shared" si="8"/>
        <v/>
      </c>
      <c r="V161" s="16" t="str">
        <f t="shared" si="9"/>
        <v/>
      </c>
    </row>
    <row r="162" spans="17:22" x14ac:dyDescent="0.15">
      <c r="Q162" s="74" t="str">
        <f t="shared" si="10"/>
        <v/>
      </c>
      <c r="T162" s="16" t="str">
        <f t="shared" si="8"/>
        <v/>
      </c>
      <c r="V162" s="16" t="str">
        <f t="shared" si="9"/>
        <v/>
      </c>
    </row>
    <row r="163" spans="17:22" x14ac:dyDescent="0.15">
      <c r="Q163" s="74" t="str">
        <f t="shared" si="10"/>
        <v/>
      </c>
      <c r="T163" s="16" t="str">
        <f t="shared" si="8"/>
        <v/>
      </c>
      <c r="V163" s="16" t="str">
        <f t="shared" si="9"/>
        <v/>
      </c>
    </row>
    <row r="164" spans="17:22" x14ac:dyDescent="0.15">
      <c r="Q164" s="74" t="str">
        <f t="shared" si="10"/>
        <v/>
      </c>
      <c r="T164" s="16" t="str">
        <f t="shared" si="8"/>
        <v/>
      </c>
      <c r="V164" s="16" t="str">
        <f t="shared" si="9"/>
        <v/>
      </c>
    </row>
    <row r="165" spans="17:22" x14ac:dyDescent="0.15">
      <c r="Q165" s="74" t="str">
        <f t="shared" si="10"/>
        <v/>
      </c>
      <c r="T165" s="16" t="str">
        <f t="shared" si="8"/>
        <v/>
      </c>
      <c r="V165" s="16" t="str">
        <f t="shared" si="9"/>
        <v/>
      </c>
    </row>
    <row r="166" spans="17:22" x14ac:dyDescent="0.15">
      <c r="Q166" s="74" t="str">
        <f t="shared" si="10"/>
        <v/>
      </c>
      <c r="T166" s="16" t="str">
        <f t="shared" si="8"/>
        <v/>
      </c>
      <c r="V166" s="16" t="str">
        <f t="shared" si="9"/>
        <v/>
      </c>
    </row>
    <row r="167" spans="17:22" x14ac:dyDescent="0.15">
      <c r="Q167" s="74" t="str">
        <f t="shared" si="10"/>
        <v/>
      </c>
      <c r="T167" s="16" t="str">
        <f t="shared" si="8"/>
        <v/>
      </c>
      <c r="V167" s="16" t="str">
        <f t="shared" si="9"/>
        <v/>
      </c>
    </row>
    <row r="168" spans="17:22" x14ac:dyDescent="0.15">
      <c r="Q168" s="74" t="str">
        <f t="shared" si="10"/>
        <v/>
      </c>
      <c r="T168" s="16" t="str">
        <f t="shared" si="8"/>
        <v/>
      </c>
      <c r="V168" s="16" t="str">
        <f t="shared" si="9"/>
        <v/>
      </c>
    </row>
    <row r="169" spans="17:22" x14ac:dyDescent="0.15">
      <c r="Q169" s="74" t="str">
        <f t="shared" si="10"/>
        <v/>
      </c>
      <c r="T169" s="16" t="str">
        <f t="shared" si="8"/>
        <v/>
      </c>
      <c r="V169" s="16" t="str">
        <f t="shared" si="9"/>
        <v/>
      </c>
    </row>
    <row r="170" spans="17:22" x14ac:dyDescent="0.15">
      <c r="Q170" s="74" t="str">
        <f t="shared" si="10"/>
        <v/>
      </c>
      <c r="T170" s="16" t="str">
        <f t="shared" si="8"/>
        <v/>
      </c>
      <c r="V170" s="16" t="str">
        <f t="shared" si="9"/>
        <v/>
      </c>
    </row>
    <row r="171" spans="17:22" x14ac:dyDescent="0.15">
      <c r="Q171" s="74" t="str">
        <f t="shared" si="10"/>
        <v/>
      </c>
      <c r="T171" s="16" t="str">
        <f t="shared" si="8"/>
        <v/>
      </c>
      <c r="V171" s="16" t="str">
        <f t="shared" si="9"/>
        <v/>
      </c>
    </row>
    <row r="172" spans="17:22" x14ac:dyDescent="0.15">
      <c r="Q172" s="74" t="str">
        <f t="shared" si="10"/>
        <v/>
      </c>
      <c r="T172" s="16" t="str">
        <f t="shared" si="8"/>
        <v/>
      </c>
      <c r="V172" s="16" t="str">
        <f t="shared" si="9"/>
        <v/>
      </c>
    </row>
    <row r="173" spans="17:22" x14ac:dyDescent="0.15">
      <c r="Q173" s="74" t="str">
        <f t="shared" si="10"/>
        <v/>
      </c>
      <c r="T173" s="16" t="str">
        <f t="shared" si="8"/>
        <v/>
      </c>
      <c r="V173" s="16" t="str">
        <f t="shared" si="9"/>
        <v/>
      </c>
    </row>
    <row r="174" spans="17:22" x14ac:dyDescent="0.15">
      <c r="Q174" s="74" t="str">
        <f t="shared" si="10"/>
        <v/>
      </c>
      <c r="T174" s="16" t="str">
        <f t="shared" si="8"/>
        <v/>
      </c>
      <c r="V174" s="16" t="str">
        <f t="shared" si="9"/>
        <v/>
      </c>
    </row>
    <row r="175" spans="17:22" x14ac:dyDescent="0.15">
      <c r="Q175" s="74" t="str">
        <f t="shared" si="10"/>
        <v/>
      </c>
      <c r="T175" s="16" t="str">
        <f t="shared" si="8"/>
        <v/>
      </c>
      <c r="V175" s="16" t="str">
        <f t="shared" si="9"/>
        <v/>
      </c>
    </row>
    <row r="176" spans="17:22" x14ac:dyDescent="0.15">
      <c r="Q176" s="74" t="str">
        <f t="shared" si="10"/>
        <v/>
      </c>
      <c r="T176" s="16" t="str">
        <f t="shared" si="8"/>
        <v/>
      </c>
      <c r="V176" s="16" t="str">
        <f t="shared" si="9"/>
        <v/>
      </c>
    </row>
    <row r="177" spans="17:22" x14ac:dyDescent="0.15">
      <c r="Q177" s="74" t="str">
        <f t="shared" si="10"/>
        <v/>
      </c>
      <c r="T177" s="16" t="str">
        <f t="shared" si="8"/>
        <v/>
      </c>
      <c r="V177" s="16" t="str">
        <f t="shared" si="9"/>
        <v/>
      </c>
    </row>
    <row r="178" spans="17:22" x14ac:dyDescent="0.15">
      <c r="Q178" s="74" t="str">
        <f t="shared" si="10"/>
        <v/>
      </c>
      <c r="T178" s="16" t="str">
        <f t="shared" si="8"/>
        <v/>
      </c>
      <c r="V178" s="16" t="str">
        <f t="shared" si="9"/>
        <v/>
      </c>
    </row>
    <row r="179" spans="17:22" x14ac:dyDescent="0.15">
      <c r="Q179" s="74" t="str">
        <f t="shared" si="10"/>
        <v/>
      </c>
      <c r="T179" s="16" t="str">
        <f t="shared" si="8"/>
        <v/>
      </c>
      <c r="V179" s="16" t="str">
        <f t="shared" si="9"/>
        <v/>
      </c>
    </row>
    <row r="180" spans="17:22" x14ac:dyDescent="0.15">
      <c r="Q180" s="74" t="str">
        <f t="shared" si="10"/>
        <v/>
      </c>
      <c r="T180" s="16" t="str">
        <f t="shared" si="8"/>
        <v/>
      </c>
      <c r="V180" s="16" t="str">
        <f t="shared" si="9"/>
        <v/>
      </c>
    </row>
    <row r="181" spans="17:22" x14ac:dyDescent="0.15">
      <c r="Q181" s="74" t="str">
        <f t="shared" si="10"/>
        <v/>
      </c>
      <c r="T181" s="16" t="str">
        <f t="shared" si="8"/>
        <v/>
      </c>
      <c r="V181" s="16" t="str">
        <f t="shared" si="9"/>
        <v/>
      </c>
    </row>
    <row r="182" spans="17:22" x14ac:dyDescent="0.15">
      <c r="Q182" s="74" t="str">
        <f t="shared" si="10"/>
        <v/>
      </c>
      <c r="T182" s="16" t="str">
        <f t="shared" si="8"/>
        <v/>
      </c>
      <c r="V182" s="16" t="str">
        <f t="shared" si="9"/>
        <v/>
      </c>
    </row>
    <row r="183" spans="17:22" x14ac:dyDescent="0.15">
      <c r="Q183" s="74" t="str">
        <f t="shared" si="10"/>
        <v/>
      </c>
      <c r="T183" s="16" t="str">
        <f t="shared" si="8"/>
        <v/>
      </c>
      <c r="V183" s="16" t="str">
        <f t="shared" si="9"/>
        <v/>
      </c>
    </row>
    <row r="184" spans="17:22" x14ac:dyDescent="0.15">
      <c r="Q184" s="74" t="str">
        <f t="shared" si="10"/>
        <v/>
      </c>
      <c r="T184" s="16" t="str">
        <f t="shared" si="8"/>
        <v/>
      </c>
      <c r="V184" s="16" t="str">
        <f t="shared" si="9"/>
        <v/>
      </c>
    </row>
    <row r="185" spans="17:22" x14ac:dyDescent="0.15">
      <c r="Q185" s="74" t="str">
        <f t="shared" si="10"/>
        <v/>
      </c>
      <c r="T185" s="16" t="str">
        <f t="shared" si="8"/>
        <v/>
      </c>
      <c r="V185" s="16" t="str">
        <f t="shared" si="9"/>
        <v/>
      </c>
    </row>
    <row r="186" spans="17:22" x14ac:dyDescent="0.15">
      <c r="Q186" s="74" t="str">
        <f t="shared" si="10"/>
        <v/>
      </c>
      <c r="T186" s="16" t="str">
        <f t="shared" si="8"/>
        <v/>
      </c>
      <c r="V186" s="16" t="str">
        <f t="shared" si="9"/>
        <v/>
      </c>
    </row>
    <row r="187" spans="17:22" x14ac:dyDescent="0.15">
      <c r="Q187" s="74" t="str">
        <f t="shared" si="10"/>
        <v/>
      </c>
      <c r="T187" s="16" t="str">
        <f t="shared" si="8"/>
        <v/>
      </c>
      <c r="V187" s="16" t="str">
        <f t="shared" si="9"/>
        <v/>
      </c>
    </row>
    <row r="188" spans="17:22" x14ac:dyDescent="0.15">
      <c r="Q188" s="74" t="str">
        <f t="shared" si="10"/>
        <v/>
      </c>
      <c r="T188" s="16" t="str">
        <f t="shared" si="8"/>
        <v/>
      </c>
      <c r="V188" s="16" t="str">
        <f t="shared" si="9"/>
        <v/>
      </c>
    </row>
    <row r="189" spans="17:22" x14ac:dyDescent="0.15">
      <c r="Q189" s="74" t="str">
        <f t="shared" si="10"/>
        <v/>
      </c>
      <c r="T189" s="16" t="str">
        <f t="shared" si="8"/>
        <v/>
      </c>
      <c r="V189" s="16" t="str">
        <f t="shared" si="9"/>
        <v/>
      </c>
    </row>
    <row r="190" spans="17:22" x14ac:dyDescent="0.15">
      <c r="Q190" s="74" t="str">
        <f t="shared" si="10"/>
        <v/>
      </c>
      <c r="T190" s="16" t="str">
        <f t="shared" si="8"/>
        <v/>
      </c>
      <c r="V190" s="16" t="str">
        <f t="shared" si="9"/>
        <v/>
      </c>
    </row>
    <row r="191" spans="17:22" x14ac:dyDescent="0.15">
      <c r="Q191" s="74" t="str">
        <f t="shared" si="10"/>
        <v/>
      </c>
      <c r="T191" s="16" t="str">
        <f t="shared" si="8"/>
        <v/>
      </c>
      <c r="V191" s="16" t="str">
        <f t="shared" si="9"/>
        <v/>
      </c>
    </row>
    <row r="192" spans="17:22" x14ac:dyDescent="0.15">
      <c r="Q192" s="74" t="str">
        <f t="shared" si="10"/>
        <v/>
      </c>
      <c r="T192" s="16" t="str">
        <f t="shared" si="8"/>
        <v/>
      </c>
      <c r="V192" s="16" t="str">
        <f t="shared" si="9"/>
        <v/>
      </c>
    </row>
    <row r="193" spans="17:22" x14ac:dyDescent="0.15">
      <c r="Q193" s="74" t="str">
        <f t="shared" si="10"/>
        <v/>
      </c>
      <c r="T193" s="16" t="str">
        <f t="shared" si="8"/>
        <v/>
      </c>
      <c r="V193" s="16" t="str">
        <f t="shared" si="9"/>
        <v/>
      </c>
    </row>
    <row r="194" spans="17:22" x14ac:dyDescent="0.15">
      <c r="Q194" s="74" t="str">
        <f t="shared" si="10"/>
        <v/>
      </c>
      <c r="T194" s="16" t="str">
        <f t="shared" ref="T194:T257" si="11">IF(H194="","",IF(OR(H194="GREEN",H194="GK"),IF(S194&gt;=$AX$2,VLOOKUP(S194,$AX$2:$AY$10,2,1),""),IF(S194&gt;=$AZ$2,VLOOKUP(S194,$AZ$2:$BA$10,2,1),"")))</f>
        <v/>
      </c>
      <c r="V194" s="16" t="str">
        <f t="shared" si="9"/>
        <v/>
      </c>
    </row>
    <row r="195" spans="17:22" x14ac:dyDescent="0.15">
      <c r="Q195" s="74" t="str">
        <f t="shared" si="10"/>
        <v/>
      </c>
      <c r="T195" s="16" t="str">
        <f t="shared" si="11"/>
        <v/>
      </c>
      <c r="V195" s="16" t="str">
        <f t="shared" si="9"/>
        <v/>
      </c>
    </row>
    <row r="196" spans="17:22" x14ac:dyDescent="0.15">
      <c r="Q196" s="74" t="str">
        <f t="shared" si="10"/>
        <v/>
      </c>
      <c r="T196" s="16" t="str">
        <f t="shared" si="11"/>
        <v/>
      </c>
      <c r="V196" s="16" t="str">
        <f t="shared" si="9"/>
        <v/>
      </c>
    </row>
    <row r="197" spans="17:22" x14ac:dyDescent="0.15">
      <c r="Q197" s="74" t="str">
        <f t="shared" si="10"/>
        <v/>
      </c>
      <c r="T197" s="16" t="str">
        <f t="shared" si="11"/>
        <v/>
      </c>
      <c r="V197" s="16" t="str">
        <f t="shared" si="9"/>
        <v/>
      </c>
    </row>
    <row r="198" spans="17:22" x14ac:dyDescent="0.15">
      <c r="Q198" s="74" t="str">
        <f t="shared" si="10"/>
        <v/>
      </c>
      <c r="T198" s="16" t="str">
        <f t="shared" si="11"/>
        <v/>
      </c>
      <c r="V198" s="16" t="str">
        <f t="shared" si="9"/>
        <v/>
      </c>
    </row>
    <row r="199" spans="17:22" x14ac:dyDescent="0.15">
      <c r="Q199" s="74" t="str">
        <f t="shared" si="10"/>
        <v/>
      </c>
      <c r="T199" s="16" t="str">
        <f t="shared" si="11"/>
        <v/>
      </c>
      <c r="V199" s="16" t="str">
        <f t="shared" si="9"/>
        <v/>
      </c>
    </row>
    <row r="200" spans="17:22" x14ac:dyDescent="0.15">
      <c r="Q200" s="74" t="str">
        <f t="shared" si="10"/>
        <v/>
      </c>
      <c r="T200" s="16" t="str">
        <f t="shared" si="11"/>
        <v/>
      </c>
      <c r="V200" s="16" t="str">
        <f t="shared" si="9"/>
        <v/>
      </c>
    </row>
    <row r="201" spans="17:22" x14ac:dyDescent="0.15">
      <c r="Q201" s="74" t="str">
        <f t="shared" si="10"/>
        <v/>
      </c>
      <c r="T201" s="16" t="str">
        <f t="shared" si="11"/>
        <v/>
      </c>
      <c r="V201" s="16" t="str">
        <f t="shared" si="9"/>
        <v/>
      </c>
    </row>
    <row r="202" spans="17:22" x14ac:dyDescent="0.15">
      <c r="Q202" s="74" t="str">
        <f t="shared" si="10"/>
        <v/>
      </c>
      <c r="T202" s="16" t="str">
        <f t="shared" si="11"/>
        <v/>
      </c>
      <c r="V202" s="16" t="str">
        <f t="shared" si="9"/>
        <v/>
      </c>
    </row>
    <row r="203" spans="17:22" x14ac:dyDescent="0.15">
      <c r="Q203" s="74" t="str">
        <f t="shared" si="10"/>
        <v/>
      </c>
      <c r="T203" s="16" t="str">
        <f t="shared" si="11"/>
        <v/>
      </c>
      <c r="V203" s="16" t="str">
        <f t="shared" si="9"/>
        <v/>
      </c>
    </row>
    <row r="204" spans="17:22" x14ac:dyDescent="0.15">
      <c r="Q204" s="74" t="str">
        <f t="shared" si="10"/>
        <v/>
      </c>
      <c r="T204" s="16" t="str">
        <f t="shared" si="11"/>
        <v/>
      </c>
      <c r="V204" s="16" t="str">
        <f t="shared" si="9"/>
        <v/>
      </c>
    </row>
    <row r="205" spans="17:22" x14ac:dyDescent="0.15">
      <c r="Q205" s="74" t="str">
        <f t="shared" si="10"/>
        <v/>
      </c>
      <c r="T205" s="16" t="str">
        <f t="shared" si="11"/>
        <v/>
      </c>
      <c r="V205" s="16" t="str">
        <f t="shared" si="9"/>
        <v/>
      </c>
    </row>
    <row r="206" spans="17:22" x14ac:dyDescent="0.15">
      <c r="Q206" s="74" t="str">
        <f t="shared" si="10"/>
        <v/>
      </c>
      <c r="T206" s="16" t="str">
        <f t="shared" si="11"/>
        <v/>
      </c>
      <c r="V206" s="16" t="str">
        <f t="shared" si="9"/>
        <v/>
      </c>
    </row>
    <row r="207" spans="17:22" x14ac:dyDescent="0.15">
      <c r="Q207" s="74" t="str">
        <f t="shared" si="10"/>
        <v/>
      </c>
      <c r="T207" s="16" t="str">
        <f t="shared" si="11"/>
        <v/>
      </c>
      <c r="V207" s="16" t="str">
        <f t="shared" si="9"/>
        <v/>
      </c>
    </row>
    <row r="208" spans="17:22" x14ac:dyDescent="0.15">
      <c r="Q208" s="74" t="str">
        <f t="shared" si="10"/>
        <v/>
      </c>
      <c r="T208" s="16" t="str">
        <f t="shared" si="11"/>
        <v/>
      </c>
      <c r="V208" s="16" t="str">
        <f t="shared" ref="V208:V271" si="12">IF(OR(N208="",U208="",T208=""),"",U208/N208*T208)</f>
        <v/>
      </c>
    </row>
    <row r="209" spans="17:22" x14ac:dyDescent="0.15">
      <c r="Q209" s="74" t="str">
        <f t="shared" si="10"/>
        <v/>
      </c>
      <c r="T209" s="16" t="str">
        <f t="shared" si="11"/>
        <v/>
      </c>
      <c r="V209" s="16" t="str">
        <f t="shared" si="12"/>
        <v/>
      </c>
    </row>
    <row r="210" spans="17:22" x14ac:dyDescent="0.15">
      <c r="Q210" s="74" t="str">
        <f t="shared" si="10"/>
        <v/>
      </c>
      <c r="T210" s="16" t="str">
        <f t="shared" si="11"/>
        <v/>
      </c>
      <c r="V210" s="16" t="str">
        <f t="shared" si="12"/>
        <v/>
      </c>
    </row>
    <row r="211" spans="17:22" x14ac:dyDescent="0.15">
      <c r="Q211" s="74" t="str">
        <f t="shared" si="10"/>
        <v/>
      </c>
      <c r="T211" s="16" t="str">
        <f t="shared" si="11"/>
        <v/>
      </c>
      <c r="V211" s="16" t="str">
        <f t="shared" si="12"/>
        <v/>
      </c>
    </row>
    <row r="212" spans="17:22" x14ac:dyDescent="0.15">
      <c r="Q212" s="74" t="str">
        <f t="shared" si="10"/>
        <v/>
      </c>
      <c r="T212" s="16" t="str">
        <f t="shared" si="11"/>
        <v/>
      </c>
      <c r="V212" s="16" t="str">
        <f t="shared" si="12"/>
        <v/>
      </c>
    </row>
    <row r="213" spans="17:22" x14ac:dyDescent="0.15">
      <c r="Q213" s="74" t="str">
        <f t="shared" si="10"/>
        <v/>
      </c>
      <c r="T213" s="16" t="str">
        <f t="shared" si="11"/>
        <v/>
      </c>
      <c r="V213" s="16" t="str">
        <f t="shared" si="12"/>
        <v/>
      </c>
    </row>
    <row r="214" spans="17:22" x14ac:dyDescent="0.15">
      <c r="Q214" s="74" t="str">
        <f t="shared" si="10"/>
        <v/>
      </c>
      <c r="T214" s="16" t="str">
        <f t="shared" si="11"/>
        <v/>
      </c>
      <c r="V214" s="16" t="str">
        <f t="shared" si="12"/>
        <v/>
      </c>
    </row>
    <row r="215" spans="17:22" x14ac:dyDescent="0.15">
      <c r="Q215" s="74" t="str">
        <f t="shared" si="10"/>
        <v/>
      </c>
      <c r="T215" s="16" t="str">
        <f t="shared" si="11"/>
        <v/>
      </c>
      <c r="V215" s="16" t="str">
        <f t="shared" si="12"/>
        <v/>
      </c>
    </row>
    <row r="216" spans="17:22" x14ac:dyDescent="0.15">
      <c r="Q216" s="74" t="str">
        <f t="shared" si="10"/>
        <v/>
      </c>
      <c r="T216" s="16" t="str">
        <f t="shared" si="11"/>
        <v/>
      </c>
      <c r="V216" s="16" t="str">
        <f t="shared" si="12"/>
        <v/>
      </c>
    </row>
    <row r="217" spans="17:22" x14ac:dyDescent="0.15">
      <c r="Q217" s="74" t="str">
        <f t="shared" si="10"/>
        <v/>
      </c>
      <c r="T217" s="16" t="str">
        <f t="shared" si="11"/>
        <v/>
      </c>
      <c r="V217" s="16" t="str">
        <f t="shared" si="12"/>
        <v/>
      </c>
    </row>
    <row r="218" spans="17:22" x14ac:dyDescent="0.15">
      <c r="Q218" s="74" t="str">
        <f t="shared" si="10"/>
        <v/>
      </c>
      <c r="T218" s="16" t="str">
        <f t="shared" si="11"/>
        <v/>
      </c>
      <c r="V218" s="16" t="str">
        <f t="shared" si="12"/>
        <v/>
      </c>
    </row>
    <row r="219" spans="17:22" x14ac:dyDescent="0.15">
      <c r="Q219" s="74" t="str">
        <f t="shared" si="10"/>
        <v/>
      </c>
      <c r="T219" s="16" t="str">
        <f t="shared" si="11"/>
        <v/>
      </c>
      <c r="V219" s="16" t="str">
        <f t="shared" si="12"/>
        <v/>
      </c>
    </row>
    <row r="220" spans="17:22" x14ac:dyDescent="0.15">
      <c r="Q220" s="74" t="str">
        <f t="shared" si="10"/>
        <v/>
      </c>
      <c r="T220" s="16" t="str">
        <f t="shared" si="11"/>
        <v/>
      </c>
      <c r="V220" s="16" t="str">
        <f t="shared" si="12"/>
        <v/>
      </c>
    </row>
    <row r="221" spans="17:22" x14ac:dyDescent="0.15">
      <c r="Q221" s="74" t="str">
        <f t="shared" ref="Q221:Q279" si="13">IF(OR(O221="",P221=""),"",AVERAGE(O221,P221))</f>
        <v/>
      </c>
      <c r="T221" s="16" t="str">
        <f t="shared" si="11"/>
        <v/>
      </c>
      <c r="V221" s="16" t="str">
        <f t="shared" si="12"/>
        <v/>
      </c>
    </row>
    <row r="222" spans="17:22" x14ac:dyDescent="0.15">
      <c r="Q222" s="74" t="str">
        <f t="shared" si="13"/>
        <v/>
      </c>
      <c r="T222" s="16" t="str">
        <f t="shared" si="11"/>
        <v/>
      </c>
      <c r="V222" s="16" t="str">
        <f t="shared" si="12"/>
        <v/>
      </c>
    </row>
    <row r="223" spans="17:22" x14ac:dyDescent="0.15">
      <c r="Q223" s="74" t="str">
        <f t="shared" si="13"/>
        <v/>
      </c>
      <c r="T223" s="16" t="str">
        <f t="shared" si="11"/>
        <v/>
      </c>
      <c r="V223" s="16" t="str">
        <f t="shared" si="12"/>
        <v/>
      </c>
    </row>
    <row r="224" spans="17:22" x14ac:dyDescent="0.15">
      <c r="Q224" s="74" t="str">
        <f t="shared" si="13"/>
        <v/>
      </c>
      <c r="T224" s="16" t="str">
        <f t="shared" si="11"/>
        <v/>
      </c>
      <c r="V224" s="16" t="str">
        <f t="shared" si="12"/>
        <v/>
      </c>
    </row>
    <row r="225" spans="17:22" x14ac:dyDescent="0.15">
      <c r="Q225" s="74" t="str">
        <f t="shared" si="13"/>
        <v/>
      </c>
      <c r="T225" s="16" t="str">
        <f t="shared" si="11"/>
        <v/>
      </c>
      <c r="V225" s="16" t="str">
        <f t="shared" si="12"/>
        <v/>
      </c>
    </row>
    <row r="226" spans="17:22" x14ac:dyDescent="0.15">
      <c r="Q226" s="74" t="str">
        <f t="shared" si="13"/>
        <v/>
      </c>
      <c r="T226" s="16" t="str">
        <f t="shared" si="11"/>
        <v/>
      </c>
      <c r="V226" s="16" t="str">
        <f t="shared" si="12"/>
        <v/>
      </c>
    </row>
    <row r="227" spans="17:22" x14ac:dyDescent="0.15">
      <c r="Q227" s="74" t="str">
        <f t="shared" si="13"/>
        <v/>
      </c>
      <c r="T227" s="16" t="str">
        <f t="shared" si="11"/>
        <v/>
      </c>
      <c r="V227" s="16" t="str">
        <f t="shared" si="12"/>
        <v/>
      </c>
    </row>
    <row r="228" spans="17:22" x14ac:dyDescent="0.15">
      <c r="Q228" s="74" t="str">
        <f t="shared" si="13"/>
        <v/>
      </c>
      <c r="T228" s="16" t="str">
        <f t="shared" si="11"/>
        <v/>
      </c>
      <c r="V228" s="16" t="str">
        <f t="shared" si="12"/>
        <v/>
      </c>
    </row>
    <row r="229" spans="17:22" x14ac:dyDescent="0.15">
      <c r="Q229" s="74" t="str">
        <f t="shared" si="13"/>
        <v/>
      </c>
      <c r="T229" s="16" t="str">
        <f t="shared" si="11"/>
        <v/>
      </c>
      <c r="V229" s="16" t="str">
        <f t="shared" si="12"/>
        <v/>
      </c>
    </row>
    <row r="230" spans="17:22" x14ac:dyDescent="0.15">
      <c r="Q230" s="74" t="str">
        <f t="shared" si="13"/>
        <v/>
      </c>
      <c r="T230" s="16" t="str">
        <f t="shared" si="11"/>
        <v/>
      </c>
      <c r="V230" s="16" t="str">
        <f t="shared" si="12"/>
        <v/>
      </c>
    </row>
    <row r="231" spans="17:22" x14ac:dyDescent="0.15">
      <c r="Q231" s="74" t="str">
        <f t="shared" si="13"/>
        <v/>
      </c>
      <c r="T231" s="16" t="str">
        <f t="shared" si="11"/>
        <v/>
      </c>
      <c r="V231" s="16" t="str">
        <f t="shared" si="12"/>
        <v/>
      </c>
    </row>
    <row r="232" spans="17:22" x14ac:dyDescent="0.15">
      <c r="Q232" s="74" t="str">
        <f t="shared" si="13"/>
        <v/>
      </c>
      <c r="T232" s="16" t="str">
        <f t="shared" si="11"/>
        <v/>
      </c>
      <c r="V232" s="16" t="str">
        <f t="shared" si="12"/>
        <v/>
      </c>
    </row>
    <row r="233" spans="17:22" x14ac:dyDescent="0.15">
      <c r="Q233" s="74" t="str">
        <f t="shared" si="13"/>
        <v/>
      </c>
      <c r="T233" s="16" t="str">
        <f t="shared" si="11"/>
        <v/>
      </c>
      <c r="V233" s="16" t="str">
        <f t="shared" si="12"/>
        <v/>
      </c>
    </row>
    <row r="234" spans="17:22" x14ac:dyDescent="0.15">
      <c r="Q234" s="74" t="str">
        <f t="shared" si="13"/>
        <v/>
      </c>
      <c r="T234" s="16" t="str">
        <f t="shared" si="11"/>
        <v/>
      </c>
      <c r="V234" s="16" t="str">
        <f t="shared" si="12"/>
        <v/>
      </c>
    </row>
    <row r="235" spans="17:22" x14ac:dyDescent="0.15">
      <c r="Q235" s="74" t="str">
        <f t="shared" si="13"/>
        <v/>
      </c>
      <c r="T235" s="16" t="str">
        <f t="shared" si="11"/>
        <v/>
      </c>
      <c r="V235" s="16" t="str">
        <f t="shared" si="12"/>
        <v/>
      </c>
    </row>
    <row r="236" spans="17:22" x14ac:dyDescent="0.15">
      <c r="Q236" s="74" t="str">
        <f t="shared" si="13"/>
        <v/>
      </c>
      <c r="T236" s="16" t="str">
        <f t="shared" si="11"/>
        <v/>
      </c>
      <c r="V236" s="16" t="str">
        <f t="shared" si="12"/>
        <v/>
      </c>
    </row>
    <row r="237" spans="17:22" x14ac:dyDescent="0.15">
      <c r="Q237" s="74" t="str">
        <f t="shared" si="13"/>
        <v/>
      </c>
      <c r="T237" s="16" t="str">
        <f t="shared" si="11"/>
        <v/>
      </c>
      <c r="V237" s="16" t="str">
        <f t="shared" si="12"/>
        <v/>
      </c>
    </row>
    <row r="238" spans="17:22" x14ac:dyDescent="0.15">
      <c r="Q238" s="74" t="str">
        <f t="shared" si="13"/>
        <v/>
      </c>
      <c r="T238" s="16" t="str">
        <f t="shared" si="11"/>
        <v/>
      </c>
      <c r="V238" s="16" t="str">
        <f t="shared" si="12"/>
        <v/>
      </c>
    </row>
    <row r="239" spans="17:22" x14ac:dyDescent="0.15">
      <c r="Q239" s="74" t="str">
        <f t="shared" si="13"/>
        <v/>
      </c>
      <c r="T239" s="16" t="str">
        <f t="shared" si="11"/>
        <v/>
      </c>
      <c r="V239" s="16" t="str">
        <f t="shared" si="12"/>
        <v/>
      </c>
    </row>
    <row r="240" spans="17:22" x14ac:dyDescent="0.15">
      <c r="Q240" s="74" t="str">
        <f t="shared" si="13"/>
        <v/>
      </c>
      <c r="T240" s="16" t="str">
        <f t="shared" si="11"/>
        <v/>
      </c>
      <c r="V240" s="16" t="str">
        <f t="shared" si="12"/>
        <v/>
      </c>
    </row>
    <row r="241" spans="17:22" x14ac:dyDescent="0.15">
      <c r="Q241" s="74" t="str">
        <f t="shared" si="13"/>
        <v/>
      </c>
      <c r="T241" s="16" t="str">
        <f t="shared" si="11"/>
        <v/>
      </c>
      <c r="V241" s="16" t="str">
        <f t="shared" si="12"/>
        <v/>
      </c>
    </row>
    <row r="242" spans="17:22" x14ac:dyDescent="0.15">
      <c r="Q242" s="74" t="str">
        <f t="shared" si="13"/>
        <v/>
      </c>
      <c r="T242" s="16" t="str">
        <f t="shared" si="11"/>
        <v/>
      </c>
      <c r="V242" s="16" t="str">
        <f t="shared" si="12"/>
        <v/>
      </c>
    </row>
    <row r="243" spans="17:22" x14ac:dyDescent="0.15">
      <c r="Q243" s="74" t="str">
        <f t="shared" si="13"/>
        <v/>
      </c>
      <c r="T243" s="16" t="str">
        <f t="shared" si="11"/>
        <v/>
      </c>
      <c r="V243" s="16" t="str">
        <f t="shared" si="12"/>
        <v/>
      </c>
    </row>
    <row r="244" spans="17:22" x14ac:dyDescent="0.15">
      <c r="Q244" s="74" t="str">
        <f t="shared" si="13"/>
        <v/>
      </c>
      <c r="T244" s="16" t="str">
        <f t="shared" si="11"/>
        <v/>
      </c>
      <c r="V244" s="16" t="str">
        <f t="shared" si="12"/>
        <v/>
      </c>
    </row>
    <row r="245" spans="17:22" x14ac:dyDescent="0.15">
      <c r="Q245" s="74" t="str">
        <f t="shared" si="13"/>
        <v/>
      </c>
      <c r="T245" s="16" t="str">
        <f t="shared" si="11"/>
        <v/>
      </c>
      <c r="V245" s="16" t="str">
        <f t="shared" si="12"/>
        <v/>
      </c>
    </row>
    <row r="246" spans="17:22" x14ac:dyDescent="0.15">
      <c r="Q246" s="74" t="str">
        <f t="shared" si="13"/>
        <v/>
      </c>
      <c r="T246" s="16" t="str">
        <f t="shared" si="11"/>
        <v/>
      </c>
      <c r="V246" s="16" t="str">
        <f t="shared" si="12"/>
        <v/>
      </c>
    </row>
    <row r="247" spans="17:22" x14ac:dyDescent="0.15">
      <c r="Q247" s="74" t="str">
        <f t="shared" si="13"/>
        <v/>
      </c>
      <c r="T247" s="16" t="str">
        <f t="shared" si="11"/>
        <v/>
      </c>
      <c r="V247" s="16" t="str">
        <f t="shared" si="12"/>
        <v/>
      </c>
    </row>
    <row r="248" spans="17:22" x14ac:dyDescent="0.15">
      <c r="Q248" s="74" t="str">
        <f t="shared" si="13"/>
        <v/>
      </c>
      <c r="T248" s="16" t="str">
        <f t="shared" si="11"/>
        <v/>
      </c>
      <c r="V248" s="16" t="str">
        <f t="shared" si="12"/>
        <v/>
      </c>
    </row>
    <row r="249" spans="17:22" x14ac:dyDescent="0.15">
      <c r="Q249" s="74" t="str">
        <f t="shared" si="13"/>
        <v/>
      </c>
      <c r="T249" s="16" t="str">
        <f t="shared" si="11"/>
        <v/>
      </c>
      <c r="V249" s="16" t="str">
        <f t="shared" si="12"/>
        <v/>
      </c>
    </row>
    <row r="250" spans="17:22" x14ac:dyDescent="0.15">
      <c r="Q250" s="74" t="str">
        <f t="shared" si="13"/>
        <v/>
      </c>
      <c r="T250" s="16" t="str">
        <f t="shared" si="11"/>
        <v/>
      </c>
      <c r="V250" s="16" t="str">
        <f t="shared" si="12"/>
        <v/>
      </c>
    </row>
    <row r="251" spans="17:22" x14ac:dyDescent="0.15">
      <c r="Q251" s="74" t="str">
        <f t="shared" si="13"/>
        <v/>
      </c>
      <c r="T251" s="16" t="str">
        <f t="shared" si="11"/>
        <v/>
      </c>
      <c r="V251" s="16" t="str">
        <f t="shared" si="12"/>
        <v/>
      </c>
    </row>
    <row r="252" spans="17:22" x14ac:dyDescent="0.15">
      <c r="Q252" s="74" t="str">
        <f t="shared" si="13"/>
        <v/>
      </c>
      <c r="T252" s="16" t="str">
        <f t="shared" si="11"/>
        <v/>
      </c>
      <c r="V252" s="16" t="str">
        <f t="shared" si="12"/>
        <v/>
      </c>
    </row>
    <row r="253" spans="17:22" x14ac:dyDescent="0.15">
      <c r="Q253" s="74" t="str">
        <f t="shared" si="13"/>
        <v/>
      </c>
      <c r="T253" s="16" t="str">
        <f t="shared" si="11"/>
        <v/>
      </c>
      <c r="V253" s="16" t="str">
        <f t="shared" si="12"/>
        <v/>
      </c>
    </row>
    <row r="254" spans="17:22" x14ac:dyDescent="0.15">
      <c r="Q254" s="74" t="str">
        <f t="shared" si="13"/>
        <v/>
      </c>
      <c r="T254" s="16" t="str">
        <f t="shared" si="11"/>
        <v/>
      </c>
      <c r="V254" s="16" t="str">
        <f t="shared" si="12"/>
        <v/>
      </c>
    </row>
    <row r="255" spans="17:22" x14ac:dyDescent="0.15">
      <c r="Q255" s="74" t="str">
        <f t="shared" si="13"/>
        <v/>
      </c>
      <c r="T255" s="16" t="str">
        <f t="shared" si="11"/>
        <v/>
      </c>
      <c r="V255" s="16" t="str">
        <f t="shared" si="12"/>
        <v/>
      </c>
    </row>
    <row r="256" spans="17:22" x14ac:dyDescent="0.15">
      <c r="Q256" s="74" t="str">
        <f t="shared" si="13"/>
        <v/>
      </c>
      <c r="T256" s="16" t="str">
        <f t="shared" si="11"/>
        <v/>
      </c>
      <c r="V256" s="16" t="str">
        <f t="shared" si="12"/>
        <v/>
      </c>
    </row>
    <row r="257" spans="17:22" x14ac:dyDescent="0.15">
      <c r="Q257" s="74" t="str">
        <f t="shared" si="13"/>
        <v/>
      </c>
      <c r="T257" s="16" t="str">
        <f t="shared" si="11"/>
        <v/>
      </c>
      <c r="V257" s="16" t="str">
        <f t="shared" si="12"/>
        <v/>
      </c>
    </row>
    <row r="258" spans="17:22" x14ac:dyDescent="0.15">
      <c r="Q258" s="74" t="str">
        <f t="shared" si="13"/>
        <v/>
      </c>
      <c r="T258" s="16" t="str">
        <f t="shared" ref="T258:T316" si="14">IF(H258="","",IF(OR(H258="GREEN",H258="GK"),IF(S258&gt;=$AX$2,VLOOKUP(S258,$AX$2:$AY$10,2,1),""),IF(S258&gt;=$AZ$2,VLOOKUP(S258,$AZ$2:$BA$10,2,1),"")))</f>
        <v/>
      </c>
      <c r="V258" s="16" t="str">
        <f t="shared" si="12"/>
        <v/>
      </c>
    </row>
    <row r="259" spans="17:22" x14ac:dyDescent="0.15">
      <c r="Q259" s="74" t="str">
        <f t="shared" si="13"/>
        <v/>
      </c>
      <c r="T259" s="16" t="str">
        <f t="shared" si="14"/>
        <v/>
      </c>
      <c r="V259" s="16" t="str">
        <f t="shared" si="12"/>
        <v/>
      </c>
    </row>
    <row r="260" spans="17:22" x14ac:dyDescent="0.15">
      <c r="Q260" s="74" t="str">
        <f t="shared" si="13"/>
        <v/>
      </c>
      <c r="T260" s="16" t="str">
        <f t="shared" si="14"/>
        <v/>
      </c>
      <c r="V260" s="16" t="str">
        <f t="shared" si="12"/>
        <v/>
      </c>
    </row>
    <row r="261" spans="17:22" x14ac:dyDescent="0.15">
      <c r="Q261" s="74" t="str">
        <f t="shared" si="13"/>
        <v/>
      </c>
      <c r="T261" s="16" t="str">
        <f t="shared" si="14"/>
        <v/>
      </c>
      <c r="V261" s="16" t="str">
        <f t="shared" si="12"/>
        <v/>
      </c>
    </row>
    <row r="262" spans="17:22" x14ac:dyDescent="0.15">
      <c r="Q262" s="74" t="str">
        <f t="shared" si="13"/>
        <v/>
      </c>
      <c r="T262" s="16" t="str">
        <f t="shared" si="14"/>
        <v/>
      </c>
      <c r="V262" s="16" t="str">
        <f t="shared" si="12"/>
        <v/>
      </c>
    </row>
    <row r="263" spans="17:22" x14ac:dyDescent="0.15">
      <c r="Q263" s="74" t="str">
        <f t="shared" si="13"/>
        <v/>
      </c>
      <c r="T263" s="16" t="str">
        <f t="shared" si="14"/>
        <v/>
      </c>
      <c r="V263" s="16" t="str">
        <f t="shared" si="12"/>
        <v/>
      </c>
    </row>
    <row r="264" spans="17:22" x14ac:dyDescent="0.15">
      <c r="Q264" s="74" t="str">
        <f t="shared" si="13"/>
        <v/>
      </c>
      <c r="T264" s="16" t="str">
        <f t="shared" si="14"/>
        <v/>
      </c>
      <c r="V264" s="16" t="str">
        <f t="shared" si="12"/>
        <v/>
      </c>
    </row>
    <row r="265" spans="17:22" x14ac:dyDescent="0.15">
      <c r="Q265" s="74" t="str">
        <f t="shared" si="13"/>
        <v/>
      </c>
      <c r="T265" s="16" t="str">
        <f t="shared" si="14"/>
        <v/>
      </c>
      <c r="V265" s="16" t="str">
        <f t="shared" si="12"/>
        <v/>
      </c>
    </row>
    <row r="266" spans="17:22" x14ac:dyDescent="0.15">
      <c r="Q266" s="74" t="str">
        <f t="shared" si="13"/>
        <v/>
      </c>
      <c r="T266" s="16" t="str">
        <f t="shared" si="14"/>
        <v/>
      </c>
      <c r="V266" s="16" t="str">
        <f t="shared" si="12"/>
        <v/>
      </c>
    </row>
    <row r="267" spans="17:22" x14ac:dyDescent="0.15">
      <c r="Q267" s="74" t="str">
        <f t="shared" si="13"/>
        <v/>
      </c>
      <c r="T267" s="16" t="str">
        <f t="shared" si="14"/>
        <v/>
      </c>
      <c r="V267" s="16" t="str">
        <f t="shared" si="12"/>
        <v/>
      </c>
    </row>
    <row r="268" spans="17:22" x14ac:dyDescent="0.15">
      <c r="Q268" s="74" t="str">
        <f t="shared" si="13"/>
        <v/>
      </c>
      <c r="T268" s="16" t="str">
        <f t="shared" si="14"/>
        <v/>
      </c>
      <c r="V268" s="16" t="str">
        <f t="shared" si="12"/>
        <v/>
      </c>
    </row>
    <row r="269" spans="17:22" x14ac:dyDescent="0.15">
      <c r="Q269" s="74" t="str">
        <f t="shared" si="13"/>
        <v/>
      </c>
      <c r="T269" s="16" t="str">
        <f t="shared" si="14"/>
        <v/>
      </c>
      <c r="V269" s="16" t="str">
        <f t="shared" si="12"/>
        <v/>
      </c>
    </row>
    <row r="270" spans="17:22" x14ac:dyDescent="0.15">
      <c r="Q270" s="74" t="str">
        <f t="shared" si="13"/>
        <v/>
      </c>
      <c r="T270" s="16" t="str">
        <f t="shared" si="14"/>
        <v/>
      </c>
      <c r="V270" s="16" t="str">
        <f t="shared" si="12"/>
        <v/>
      </c>
    </row>
    <row r="271" spans="17:22" x14ac:dyDescent="0.15">
      <c r="Q271" s="74" t="str">
        <f t="shared" si="13"/>
        <v/>
      </c>
      <c r="T271" s="16" t="str">
        <f t="shared" si="14"/>
        <v/>
      </c>
      <c r="V271" s="16" t="str">
        <f t="shared" si="12"/>
        <v/>
      </c>
    </row>
    <row r="272" spans="17:22" x14ac:dyDescent="0.15">
      <c r="Q272" s="74" t="str">
        <f t="shared" si="13"/>
        <v/>
      </c>
      <c r="T272" s="16" t="str">
        <f t="shared" si="14"/>
        <v/>
      </c>
      <c r="V272" s="16" t="str">
        <f t="shared" ref="V272:V335" si="15">IF(OR(N272="",U272="",T272=""),"",U272/N272*T272)</f>
        <v/>
      </c>
    </row>
    <row r="273" spans="17:22" x14ac:dyDescent="0.15">
      <c r="Q273" s="74" t="str">
        <f t="shared" si="13"/>
        <v/>
      </c>
      <c r="T273" s="16" t="str">
        <f t="shared" si="14"/>
        <v/>
      </c>
      <c r="V273" s="16" t="str">
        <f t="shared" si="15"/>
        <v/>
      </c>
    </row>
    <row r="274" spans="17:22" x14ac:dyDescent="0.15">
      <c r="Q274" s="74" t="str">
        <f t="shared" si="13"/>
        <v/>
      </c>
      <c r="T274" s="16" t="str">
        <f t="shared" si="14"/>
        <v/>
      </c>
      <c r="V274" s="16" t="str">
        <f t="shared" si="15"/>
        <v/>
      </c>
    </row>
    <row r="275" spans="17:22" x14ac:dyDescent="0.15">
      <c r="Q275" s="74" t="str">
        <f t="shared" si="13"/>
        <v/>
      </c>
      <c r="T275" s="16" t="str">
        <f t="shared" si="14"/>
        <v/>
      </c>
      <c r="V275" s="16" t="str">
        <f t="shared" si="15"/>
        <v/>
      </c>
    </row>
    <row r="276" spans="17:22" x14ac:dyDescent="0.15">
      <c r="T276" s="16" t="str">
        <f t="shared" si="14"/>
        <v/>
      </c>
      <c r="V276" s="16" t="str">
        <f t="shared" si="15"/>
        <v/>
      </c>
    </row>
    <row r="277" spans="17:22" x14ac:dyDescent="0.15">
      <c r="T277" s="16" t="str">
        <f t="shared" si="14"/>
        <v/>
      </c>
      <c r="V277" s="16" t="str">
        <f t="shared" si="15"/>
        <v/>
      </c>
    </row>
    <row r="278" spans="17:22" x14ac:dyDescent="0.15">
      <c r="T278" s="16" t="str">
        <f t="shared" si="14"/>
        <v/>
      </c>
      <c r="V278" s="16" t="str">
        <f t="shared" si="15"/>
        <v/>
      </c>
    </row>
    <row r="279" spans="17:22" x14ac:dyDescent="0.15">
      <c r="T279" s="16" t="str">
        <f t="shared" si="14"/>
        <v/>
      </c>
      <c r="V279" s="16" t="str">
        <f t="shared" si="15"/>
        <v/>
      </c>
    </row>
    <row r="280" spans="17:22" x14ac:dyDescent="0.15">
      <c r="T280" s="16" t="str">
        <f t="shared" si="14"/>
        <v/>
      </c>
      <c r="V280" s="16" t="str">
        <f t="shared" si="15"/>
        <v/>
      </c>
    </row>
    <row r="281" spans="17:22" x14ac:dyDescent="0.15">
      <c r="T281" s="16" t="str">
        <f t="shared" si="14"/>
        <v/>
      </c>
      <c r="V281" s="16" t="str">
        <f t="shared" si="15"/>
        <v/>
      </c>
    </row>
    <row r="282" spans="17:22" x14ac:dyDescent="0.15">
      <c r="T282" s="16" t="str">
        <f t="shared" si="14"/>
        <v/>
      </c>
      <c r="V282" s="16" t="str">
        <f t="shared" si="15"/>
        <v/>
      </c>
    </row>
    <row r="283" spans="17:22" x14ac:dyDescent="0.15">
      <c r="T283" s="16" t="str">
        <f t="shared" si="14"/>
        <v/>
      </c>
      <c r="V283" s="16" t="str">
        <f t="shared" si="15"/>
        <v/>
      </c>
    </row>
    <row r="284" spans="17:22" x14ac:dyDescent="0.15">
      <c r="T284" s="16" t="str">
        <f t="shared" si="14"/>
        <v/>
      </c>
    </row>
    <row r="285" spans="17:22" x14ac:dyDescent="0.15">
      <c r="T285" s="16" t="str">
        <f t="shared" si="14"/>
        <v/>
      </c>
    </row>
    <row r="286" spans="17:22" x14ac:dyDescent="0.15">
      <c r="T286" s="16" t="str">
        <f t="shared" si="14"/>
        <v/>
      </c>
    </row>
    <row r="287" spans="17:22" x14ac:dyDescent="0.15">
      <c r="T287" s="16" t="str">
        <f t="shared" si="14"/>
        <v/>
      </c>
    </row>
    <row r="288" spans="17:22" x14ac:dyDescent="0.15">
      <c r="T288" s="16" t="str">
        <f t="shared" si="14"/>
        <v/>
      </c>
    </row>
    <row r="289" spans="20:20" x14ac:dyDescent="0.15">
      <c r="T289" s="16" t="str">
        <f t="shared" si="14"/>
        <v/>
      </c>
    </row>
    <row r="290" spans="20:20" x14ac:dyDescent="0.15">
      <c r="T290" s="16" t="str">
        <f t="shared" si="14"/>
        <v/>
      </c>
    </row>
    <row r="291" spans="20:20" x14ac:dyDescent="0.15">
      <c r="T291" s="16" t="str">
        <f t="shared" si="14"/>
        <v/>
      </c>
    </row>
    <row r="292" spans="20:20" x14ac:dyDescent="0.15">
      <c r="T292" s="16" t="str">
        <f t="shared" si="14"/>
        <v/>
      </c>
    </row>
    <row r="293" spans="20:20" x14ac:dyDescent="0.15">
      <c r="T293" s="16" t="str">
        <f t="shared" si="14"/>
        <v/>
      </c>
    </row>
    <row r="294" spans="20:20" x14ac:dyDescent="0.15">
      <c r="T294" s="16" t="str">
        <f t="shared" si="14"/>
        <v/>
      </c>
    </row>
    <row r="295" spans="20:20" x14ac:dyDescent="0.15">
      <c r="T295" s="16" t="str">
        <f t="shared" si="14"/>
        <v/>
      </c>
    </row>
    <row r="296" spans="20:20" x14ac:dyDescent="0.15">
      <c r="T296" s="16" t="str">
        <f t="shared" si="14"/>
        <v/>
      </c>
    </row>
    <row r="297" spans="20:20" x14ac:dyDescent="0.15">
      <c r="T297" s="16" t="str">
        <f t="shared" si="14"/>
        <v/>
      </c>
    </row>
    <row r="298" spans="20:20" x14ac:dyDescent="0.15">
      <c r="T298" s="16" t="str">
        <f t="shared" si="14"/>
        <v/>
      </c>
    </row>
    <row r="299" spans="20:20" x14ac:dyDescent="0.15">
      <c r="T299" s="16" t="str">
        <f t="shared" si="14"/>
        <v/>
      </c>
    </row>
    <row r="300" spans="20:20" x14ac:dyDescent="0.15">
      <c r="T300" s="16" t="str">
        <f t="shared" si="14"/>
        <v/>
      </c>
    </row>
    <row r="301" spans="20:20" x14ac:dyDescent="0.15">
      <c r="T301" s="16" t="str">
        <f t="shared" si="14"/>
        <v/>
      </c>
    </row>
    <row r="302" spans="20:20" x14ac:dyDescent="0.15">
      <c r="T302" s="16" t="str">
        <f t="shared" si="14"/>
        <v/>
      </c>
    </row>
    <row r="303" spans="20:20" x14ac:dyDescent="0.15">
      <c r="T303" s="16" t="str">
        <f t="shared" si="14"/>
        <v/>
      </c>
    </row>
  </sheetData>
  <autoFilter ref="A1:BA303" xr:uid="{00000000-0009-0000-0000-000001000000}"/>
  <phoneticPr fontId="3"/>
  <dataValidations count="14">
    <dataValidation type="list" allowBlank="1" showInputMessage="1" showErrorMessage="1" sqref="Y2:AA91" xr:uid="{5FCB69DE-C93D-460D-9097-BAED9E6BE726}">
      <formula1>$AV$2:$AV$23</formula1>
    </dataValidation>
    <dataValidation type="list" allowBlank="1" showInputMessage="1" showErrorMessage="1" sqref="K2:K91" xr:uid="{1ECA1AF7-D6EB-463B-B38B-8014DEA67C89}">
      <formula1>$AR$2:$AR$23</formula1>
    </dataValidation>
    <dataValidation allowBlank="1" showInputMessage="1" showErrorMessage="1" sqref="B2:B91" xr:uid="{C58DBFB6-696B-4EB0-8D9C-F03D2D9F21CB}"/>
    <dataValidation type="list" allowBlank="1" showInputMessage="1" showErrorMessage="1" sqref="X2:X259" xr:uid="{5D13A394-CBC3-49FD-B525-A795D1B5378F}">
      <formula1>$AT$2:$AT$3</formula1>
    </dataValidation>
    <dataValidation type="decimal" allowBlank="1" showInputMessage="1" showErrorMessage="1" error="硬度を正しく入力して下さい。" sqref="O2:P259" xr:uid="{2E3B7C01-3FF4-4A22-9797-468654115536}">
      <formula1>0</formula1>
      <formula2>7</formula2>
    </dataValidation>
    <dataValidation type="list" allowBlank="1" showInputMessage="1" showErrorMessage="1" sqref="H2:H259" xr:uid="{BD7DC50E-1FA4-49CB-820F-D0E345342306}">
      <formula1>$AL$2:$AL$8</formula1>
    </dataValidation>
    <dataValidation type="list" allowBlank="1" showInputMessage="1" showErrorMessage="1" sqref="G2:G259" xr:uid="{9A564918-555D-48AA-918B-6126E658C6BA}">
      <formula1>$AJ$2:$AJ$4</formula1>
    </dataValidation>
    <dataValidation type="list" allowBlank="1" showInputMessage="1" showErrorMessage="1" sqref="I2:I259" xr:uid="{85AFB345-FACC-4D86-A5BC-F5A23EC035C0}">
      <formula1>$AN$5:$AN$6</formula1>
    </dataValidation>
    <dataValidation type="list" allowBlank="1" showInputMessage="1" showErrorMessage="1" sqref="E1:E65413" xr:uid="{FBE66268-1ADD-4F3B-AE9D-AB4B519C6219}">
      <formula1>$AG$2:$AG$11</formula1>
    </dataValidation>
    <dataValidation type="list" allowBlank="1" showInputMessage="1" showErrorMessage="1" sqref="J2:J259" xr:uid="{E1D84B7A-AD00-4B0F-AF8F-B1FDBE3C70A5}">
      <formula1>$AP$2:$AP$19</formula1>
    </dataValidation>
    <dataValidation type="list" allowBlank="1" showInputMessage="1" showErrorMessage="1" sqref="F1:F65413" xr:uid="{67514668-4A03-46D7-B7C8-E4103F5CAE7D}">
      <formula1>$AH$2:$AH$11</formula1>
    </dataValidation>
    <dataValidation type="list" allowBlank="1" showInputMessage="1" showErrorMessage="1" sqref="A2:A259" xr:uid="{81C2B763-00B6-4608-A944-11011CED1503}">
      <formula1>$AE$2:$AE$16</formula1>
    </dataValidation>
    <dataValidation type="list" allowBlank="1" showInputMessage="1" showErrorMessage="1" sqref="Y92:AA259" xr:uid="{CFDDAEC5-218A-487D-BE53-2E3FF683DDB0}">
      <formula1>$AV$2:$AV$16</formula1>
    </dataValidation>
    <dataValidation type="list" allowBlank="1" showInputMessage="1" showErrorMessage="1" sqref="K92:K259" xr:uid="{E3A37375-2998-4DDF-B8ED-2F8DFCB0CFEA}">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3D2CC-69D7-4DBE-9976-3550530922E2}">
  <dimension ref="A1:BA82"/>
  <sheetViews>
    <sheetView zoomScale="85" zoomScaleNormal="85" workbookViewId="0">
      <selection activeCell="D2" sqref="D2"/>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236</v>
      </c>
      <c r="C2" s="53">
        <v>2019</v>
      </c>
      <c r="D2" s="81" t="s">
        <v>237</v>
      </c>
      <c r="E2" s="53" t="s">
        <v>238</v>
      </c>
      <c r="F2" s="53" t="s">
        <v>239</v>
      </c>
      <c r="G2" s="53" t="s">
        <v>42</v>
      </c>
      <c r="H2" s="53" t="s">
        <v>164</v>
      </c>
      <c r="I2" s="53" t="s">
        <v>165</v>
      </c>
      <c r="J2" s="53" t="s">
        <v>38</v>
      </c>
      <c r="K2" s="53" t="s">
        <v>161</v>
      </c>
      <c r="L2" s="53">
        <v>1</v>
      </c>
      <c r="N2" s="53">
        <v>4</v>
      </c>
      <c r="O2" s="53">
        <v>0.7</v>
      </c>
      <c r="P2" s="53">
        <v>0.75</v>
      </c>
      <c r="Q2" s="74">
        <f t="shared" ref="Q2:Q55" si="0">IF(OR(O2="",P2=""),"",AVERAGE(O2,P2))</f>
        <v>0.72499999999999998</v>
      </c>
      <c r="R2" s="53">
        <v>15.7</v>
      </c>
      <c r="S2" s="53">
        <v>94</v>
      </c>
      <c r="T2" s="16">
        <f t="shared" ref="T2:T55" si="1">IF(H2="","",IF(OR(H2="GREEN",H2="GK"),IF(S2&gt;=$AX$2,VLOOKUP(S2,$AX$2:$AY$10,2,1),""),IF(S2&gt;=$AZ$2,VLOOKUP(S2,$AZ$2:$BA$10,2,1),"")))</f>
        <v>36</v>
      </c>
      <c r="U2" s="53">
        <v>539</v>
      </c>
      <c r="V2" s="16">
        <f t="shared" ref="V2:V55" si="2">IF(OR(N2="",U2="",T2=""),"",U2/N2*T2)</f>
        <v>4851</v>
      </c>
      <c r="W2" s="53">
        <v>4</v>
      </c>
      <c r="X2" s="53" t="s">
        <v>39</v>
      </c>
      <c r="Y2" s="53" t="s">
        <v>84</v>
      </c>
      <c r="Z2" s="53" t="s">
        <v>50</v>
      </c>
      <c r="AA2" s="53" t="s">
        <v>90</v>
      </c>
      <c r="AB2" s="53" t="s">
        <v>240</v>
      </c>
      <c r="AE2" s="64" t="s">
        <v>35</v>
      </c>
      <c r="AG2" s="23" t="s">
        <v>241</v>
      </c>
      <c r="AH2" s="82" t="s">
        <v>242</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236</v>
      </c>
      <c r="C3" s="53">
        <v>2019</v>
      </c>
      <c r="D3" s="81" t="s">
        <v>237</v>
      </c>
      <c r="E3" s="53" t="s">
        <v>238</v>
      </c>
      <c r="F3" s="53" t="s">
        <v>239</v>
      </c>
      <c r="G3" s="53" t="s">
        <v>42</v>
      </c>
      <c r="H3" s="53" t="s">
        <v>164</v>
      </c>
      <c r="I3" s="53" t="s">
        <v>165</v>
      </c>
      <c r="J3" s="53" t="s">
        <v>38</v>
      </c>
      <c r="K3" s="53" t="s">
        <v>161</v>
      </c>
      <c r="L3" s="53">
        <v>2</v>
      </c>
      <c r="N3" s="53">
        <v>4</v>
      </c>
      <c r="O3" s="53">
        <v>0.75</v>
      </c>
      <c r="P3" s="53">
        <v>0.75</v>
      </c>
      <c r="Q3" s="74">
        <f t="shared" si="0"/>
        <v>0.75</v>
      </c>
      <c r="R3" s="53">
        <v>15.9</v>
      </c>
      <c r="S3" s="53">
        <v>93</v>
      </c>
      <c r="T3" s="16">
        <f t="shared" si="1"/>
        <v>36</v>
      </c>
      <c r="U3" s="53">
        <v>539</v>
      </c>
      <c r="V3" s="16">
        <f t="shared" si="2"/>
        <v>4851</v>
      </c>
      <c r="W3" s="53">
        <v>4</v>
      </c>
      <c r="X3" s="53" t="s">
        <v>39</v>
      </c>
      <c r="Y3" s="53" t="s">
        <v>84</v>
      </c>
      <c r="Z3" s="53" t="s">
        <v>50</v>
      </c>
      <c r="AA3" s="53" t="s">
        <v>90</v>
      </c>
      <c r="AB3" s="53" t="s">
        <v>240</v>
      </c>
      <c r="AE3" s="22" t="s">
        <v>41</v>
      </c>
      <c r="AG3" s="23" t="s">
        <v>243</v>
      </c>
      <c r="AH3" s="82" t="s">
        <v>239</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236</v>
      </c>
      <c r="C4" s="53">
        <v>2019</v>
      </c>
      <c r="D4" s="81" t="s">
        <v>237</v>
      </c>
      <c r="E4" s="53" t="s">
        <v>238</v>
      </c>
      <c r="F4" s="53" t="s">
        <v>239</v>
      </c>
      <c r="G4" s="53" t="s">
        <v>42</v>
      </c>
      <c r="H4" s="53" t="s">
        <v>164</v>
      </c>
      <c r="I4" s="53" t="s">
        <v>165</v>
      </c>
      <c r="J4" s="53" t="s">
        <v>38</v>
      </c>
      <c r="K4" s="53" t="s">
        <v>161</v>
      </c>
      <c r="L4" s="53">
        <v>3</v>
      </c>
      <c r="N4" s="53">
        <v>4</v>
      </c>
      <c r="O4" s="53">
        <v>0.8</v>
      </c>
      <c r="P4" s="53">
        <v>0.75</v>
      </c>
      <c r="Q4" s="74">
        <f t="shared" si="0"/>
        <v>0.77500000000000002</v>
      </c>
      <c r="R4" s="53">
        <v>13.9</v>
      </c>
      <c r="S4" s="53">
        <v>94</v>
      </c>
      <c r="T4" s="16">
        <f t="shared" si="1"/>
        <v>36</v>
      </c>
      <c r="U4" s="53">
        <v>539</v>
      </c>
      <c r="V4" s="16">
        <f t="shared" si="2"/>
        <v>4851</v>
      </c>
      <c r="W4" s="53">
        <v>4</v>
      </c>
      <c r="X4" s="53" t="s">
        <v>39</v>
      </c>
      <c r="Y4" s="53" t="s">
        <v>84</v>
      </c>
      <c r="Z4" s="53" t="s">
        <v>50</v>
      </c>
      <c r="AA4" s="53" t="s">
        <v>90</v>
      </c>
      <c r="AB4" s="53" t="s">
        <v>240</v>
      </c>
      <c r="AE4" s="22" t="s">
        <v>34</v>
      </c>
      <c r="AG4" s="23" t="s">
        <v>244</v>
      </c>
      <c r="AH4" s="82" t="s">
        <v>245</v>
      </c>
      <c r="AJ4" s="27" t="s">
        <v>48</v>
      </c>
      <c r="AL4" s="27" t="s">
        <v>246</v>
      </c>
      <c r="AN4" s="28" t="s">
        <v>49</v>
      </c>
      <c r="AP4" s="23" t="s">
        <v>93</v>
      </c>
      <c r="AR4" s="23" t="s">
        <v>121</v>
      </c>
      <c r="AT4" s="28"/>
      <c r="AV4" s="23" t="s">
        <v>50</v>
      </c>
      <c r="AX4" s="24">
        <v>75</v>
      </c>
      <c r="AY4" s="25">
        <v>42</v>
      </c>
      <c r="AZ4" s="25">
        <v>76</v>
      </c>
      <c r="BA4" s="26">
        <v>39</v>
      </c>
    </row>
    <row r="5" spans="1:53" x14ac:dyDescent="0.15">
      <c r="A5" s="53" t="s">
        <v>56</v>
      </c>
      <c r="B5" s="53" t="s">
        <v>236</v>
      </c>
      <c r="C5" s="53">
        <v>2019</v>
      </c>
      <c r="D5" s="81" t="s">
        <v>237</v>
      </c>
      <c r="E5" s="53" t="s">
        <v>247</v>
      </c>
      <c r="F5" s="53" t="s">
        <v>239</v>
      </c>
      <c r="G5" s="53" t="s">
        <v>42</v>
      </c>
      <c r="H5" s="53" t="s">
        <v>164</v>
      </c>
      <c r="I5" s="53" t="s">
        <v>159</v>
      </c>
      <c r="J5" s="53" t="s">
        <v>38</v>
      </c>
      <c r="K5" s="53" t="s">
        <v>161</v>
      </c>
      <c r="L5" s="53">
        <v>1</v>
      </c>
      <c r="N5" s="53">
        <v>1</v>
      </c>
      <c r="O5" s="53">
        <v>0.85</v>
      </c>
      <c r="P5" s="53">
        <v>0.8</v>
      </c>
      <c r="Q5" s="74">
        <f t="shared" si="0"/>
        <v>0.82499999999999996</v>
      </c>
      <c r="R5" s="53">
        <v>15.5</v>
      </c>
      <c r="S5" s="53">
        <v>118</v>
      </c>
      <c r="T5" s="16">
        <f t="shared" si="1"/>
        <v>30</v>
      </c>
      <c r="U5" s="53">
        <v>108</v>
      </c>
      <c r="V5" s="16">
        <f t="shared" si="2"/>
        <v>3240</v>
      </c>
      <c r="W5" s="53">
        <v>4</v>
      </c>
      <c r="X5" s="53" t="s">
        <v>46</v>
      </c>
      <c r="Y5" s="53" t="s">
        <v>84</v>
      </c>
      <c r="Z5" s="53" t="s">
        <v>50</v>
      </c>
      <c r="AA5" s="53" t="s">
        <v>90</v>
      </c>
      <c r="AB5" s="53" t="s">
        <v>240</v>
      </c>
      <c r="AE5" s="22" t="s">
        <v>51</v>
      </c>
      <c r="AG5" s="23" t="s">
        <v>248</v>
      </c>
      <c r="AH5" s="82" t="s">
        <v>249</v>
      </c>
      <c r="AJ5" s="28"/>
      <c r="AL5" s="73" t="s">
        <v>66</v>
      </c>
      <c r="AN5" s="73" t="s">
        <v>52</v>
      </c>
      <c r="AP5" s="23" t="s">
        <v>250</v>
      </c>
      <c r="AR5" s="23" t="s">
        <v>54</v>
      </c>
      <c r="AV5" s="23" t="s">
        <v>55</v>
      </c>
      <c r="AX5" s="24">
        <v>84</v>
      </c>
      <c r="AY5" s="25">
        <v>39</v>
      </c>
      <c r="AZ5" s="25">
        <v>84</v>
      </c>
      <c r="BA5" s="26">
        <v>36</v>
      </c>
    </row>
    <row r="6" spans="1:53" x14ac:dyDescent="0.15">
      <c r="A6" s="53" t="s">
        <v>56</v>
      </c>
      <c r="B6" s="53" t="s">
        <v>236</v>
      </c>
      <c r="C6" s="53">
        <v>2019</v>
      </c>
      <c r="D6" s="81" t="s">
        <v>237</v>
      </c>
      <c r="E6" s="53" t="s">
        <v>247</v>
      </c>
      <c r="F6" s="53" t="s">
        <v>239</v>
      </c>
      <c r="G6" s="53" t="s">
        <v>42</v>
      </c>
      <c r="H6" s="53" t="s">
        <v>164</v>
      </c>
      <c r="I6" s="53" t="s">
        <v>159</v>
      </c>
      <c r="J6" s="53" t="s">
        <v>38</v>
      </c>
      <c r="K6" s="53" t="s">
        <v>161</v>
      </c>
      <c r="L6" s="53">
        <v>2</v>
      </c>
      <c r="N6" s="53">
        <v>1</v>
      </c>
      <c r="O6" s="53">
        <v>0.85</v>
      </c>
      <c r="P6" s="53">
        <v>0.75</v>
      </c>
      <c r="Q6" s="74">
        <f t="shared" si="0"/>
        <v>0.8</v>
      </c>
      <c r="R6" s="53">
        <v>14.6</v>
      </c>
      <c r="S6" s="53">
        <v>116</v>
      </c>
      <c r="T6" s="16">
        <f t="shared" si="1"/>
        <v>30</v>
      </c>
      <c r="U6" s="53">
        <v>108</v>
      </c>
      <c r="V6" s="16">
        <f t="shared" si="2"/>
        <v>3240</v>
      </c>
      <c r="W6" s="53">
        <v>4</v>
      </c>
      <c r="X6" s="53" t="s">
        <v>46</v>
      </c>
      <c r="Y6" s="53" t="s">
        <v>84</v>
      </c>
      <c r="Z6" s="53" t="s">
        <v>50</v>
      </c>
      <c r="AA6" s="53" t="s">
        <v>90</v>
      </c>
      <c r="AB6" s="53" t="s">
        <v>240</v>
      </c>
      <c r="AE6" s="22" t="s">
        <v>56</v>
      </c>
      <c r="AG6" s="23" t="s">
        <v>251</v>
      </c>
      <c r="AH6" s="82" t="s">
        <v>249</v>
      </c>
      <c r="AL6" s="73" t="s">
        <v>99</v>
      </c>
      <c r="AN6" s="73" t="s">
        <v>57</v>
      </c>
      <c r="AP6" s="23" t="s">
        <v>53</v>
      </c>
      <c r="AR6" s="23" t="s">
        <v>59</v>
      </c>
      <c r="AV6" s="23" t="s">
        <v>60</v>
      </c>
      <c r="AX6" s="24">
        <v>97</v>
      </c>
      <c r="AY6" s="25">
        <v>36</v>
      </c>
      <c r="AZ6" s="25">
        <v>99</v>
      </c>
      <c r="BA6" s="26">
        <v>33</v>
      </c>
    </row>
    <row r="7" spans="1:53" x14ac:dyDescent="0.15">
      <c r="A7" s="53" t="s">
        <v>56</v>
      </c>
      <c r="B7" s="53" t="s">
        <v>236</v>
      </c>
      <c r="C7" s="53">
        <v>2019</v>
      </c>
      <c r="D7" s="81" t="s">
        <v>237</v>
      </c>
      <c r="E7" s="53" t="s">
        <v>247</v>
      </c>
      <c r="F7" s="53" t="s">
        <v>239</v>
      </c>
      <c r="G7" s="53" t="s">
        <v>42</v>
      </c>
      <c r="H7" s="53" t="s">
        <v>164</v>
      </c>
      <c r="I7" s="53" t="s">
        <v>159</v>
      </c>
      <c r="J7" s="53" t="s">
        <v>38</v>
      </c>
      <c r="K7" s="53" t="s">
        <v>161</v>
      </c>
      <c r="L7" s="53">
        <v>3</v>
      </c>
      <c r="N7" s="53">
        <v>1</v>
      </c>
      <c r="O7" s="53">
        <v>0.6</v>
      </c>
      <c r="P7" s="53">
        <v>0.7</v>
      </c>
      <c r="Q7" s="74">
        <f t="shared" si="0"/>
        <v>0.64999999999999991</v>
      </c>
      <c r="R7" s="53">
        <v>15.4</v>
      </c>
      <c r="S7" s="53">
        <v>115</v>
      </c>
      <c r="T7" s="16">
        <f t="shared" si="1"/>
        <v>30</v>
      </c>
      <c r="U7" s="53">
        <v>108</v>
      </c>
      <c r="V7" s="16">
        <f t="shared" si="2"/>
        <v>3240</v>
      </c>
      <c r="W7" s="53">
        <v>4</v>
      </c>
      <c r="X7" s="53" t="s">
        <v>46</v>
      </c>
      <c r="Y7" s="53" t="s">
        <v>84</v>
      </c>
      <c r="Z7" s="53" t="s">
        <v>50</v>
      </c>
      <c r="AA7" s="53" t="s">
        <v>90</v>
      </c>
      <c r="AB7" s="53" t="s">
        <v>240</v>
      </c>
      <c r="AE7" s="22" t="s">
        <v>61</v>
      </c>
      <c r="AG7" s="23" t="s">
        <v>252</v>
      </c>
      <c r="AH7" s="82" t="s">
        <v>253</v>
      </c>
      <c r="AL7" s="83" t="s">
        <v>109</v>
      </c>
      <c r="AP7" s="23" t="s">
        <v>58</v>
      </c>
      <c r="AR7" s="23" t="s">
        <v>122</v>
      </c>
      <c r="AV7" s="23" t="s">
        <v>64</v>
      </c>
      <c r="AX7" s="24">
        <v>109</v>
      </c>
      <c r="AY7" s="25">
        <v>33</v>
      </c>
      <c r="AZ7" s="25">
        <v>113</v>
      </c>
      <c r="BA7" s="26">
        <v>30</v>
      </c>
    </row>
    <row r="8" spans="1:53" x14ac:dyDescent="0.15">
      <c r="A8" s="53" t="s">
        <v>56</v>
      </c>
      <c r="B8" s="53" t="s">
        <v>236</v>
      </c>
      <c r="C8" s="53">
        <v>2019</v>
      </c>
      <c r="D8" s="81" t="s">
        <v>237</v>
      </c>
      <c r="E8" s="53" t="s">
        <v>247</v>
      </c>
      <c r="F8" s="53" t="s">
        <v>239</v>
      </c>
      <c r="G8" s="53" t="s">
        <v>42</v>
      </c>
      <c r="H8" s="53" t="s">
        <v>168</v>
      </c>
      <c r="I8" s="53" t="s">
        <v>159</v>
      </c>
      <c r="J8" s="53" t="s">
        <v>38</v>
      </c>
      <c r="K8" s="53" t="s">
        <v>87</v>
      </c>
      <c r="L8" s="53">
        <v>1</v>
      </c>
      <c r="N8" s="53">
        <v>1</v>
      </c>
      <c r="O8" s="53">
        <v>0.75</v>
      </c>
      <c r="P8" s="53">
        <v>0.6</v>
      </c>
      <c r="Q8" s="74">
        <f t="shared" si="0"/>
        <v>0.67500000000000004</v>
      </c>
      <c r="R8" s="53">
        <v>16.899999999999999</v>
      </c>
      <c r="S8" s="53">
        <v>118</v>
      </c>
      <c r="T8" s="16">
        <f t="shared" si="1"/>
        <v>33</v>
      </c>
      <c r="U8" s="53">
        <v>149</v>
      </c>
      <c r="V8" s="16">
        <f t="shared" si="2"/>
        <v>4917</v>
      </c>
      <c r="W8" s="53">
        <v>2</v>
      </c>
      <c r="X8" s="53" t="s">
        <v>46</v>
      </c>
      <c r="Y8" s="53" t="s">
        <v>84</v>
      </c>
      <c r="Z8" s="53" t="s">
        <v>90</v>
      </c>
      <c r="AA8" s="53" t="s">
        <v>55</v>
      </c>
      <c r="AB8" s="53" t="s">
        <v>240</v>
      </c>
      <c r="AE8" s="22" t="s">
        <v>59</v>
      </c>
      <c r="AG8" s="23" t="s">
        <v>254</v>
      </c>
      <c r="AH8" s="82" t="s">
        <v>253</v>
      </c>
      <c r="AL8" s="83" t="s">
        <v>134</v>
      </c>
      <c r="AP8" s="23" t="s">
        <v>62</v>
      </c>
      <c r="AR8" s="23" t="s">
        <v>81</v>
      </c>
      <c r="AV8" s="23" t="s">
        <v>97</v>
      </c>
      <c r="AX8" s="24">
        <v>119</v>
      </c>
      <c r="AY8" s="25">
        <v>30</v>
      </c>
      <c r="AZ8" s="25">
        <v>121</v>
      </c>
      <c r="BA8" s="26">
        <v>27</v>
      </c>
    </row>
    <row r="9" spans="1:53" x14ac:dyDescent="0.15">
      <c r="A9" s="53" t="s">
        <v>56</v>
      </c>
      <c r="B9" s="53" t="s">
        <v>236</v>
      </c>
      <c r="C9" s="53">
        <v>2019</v>
      </c>
      <c r="D9" s="81" t="s">
        <v>237</v>
      </c>
      <c r="E9" s="53" t="s">
        <v>247</v>
      </c>
      <c r="F9" s="53" t="s">
        <v>239</v>
      </c>
      <c r="G9" s="53" t="s">
        <v>42</v>
      </c>
      <c r="H9" s="53" t="s">
        <v>168</v>
      </c>
      <c r="I9" s="53" t="s">
        <v>159</v>
      </c>
      <c r="J9" s="53" t="s">
        <v>38</v>
      </c>
      <c r="K9" s="53" t="s">
        <v>87</v>
      </c>
      <c r="L9" s="53">
        <v>2</v>
      </c>
      <c r="N9" s="53">
        <v>1</v>
      </c>
      <c r="O9" s="53">
        <v>0.65</v>
      </c>
      <c r="P9" s="53">
        <v>0.7</v>
      </c>
      <c r="Q9" s="74">
        <f t="shared" si="0"/>
        <v>0.67500000000000004</v>
      </c>
      <c r="R9" s="53">
        <v>17.7</v>
      </c>
      <c r="S9" s="53">
        <v>118</v>
      </c>
      <c r="T9" s="16">
        <f t="shared" si="1"/>
        <v>33</v>
      </c>
      <c r="U9" s="53">
        <v>149</v>
      </c>
      <c r="V9" s="16">
        <f t="shared" si="2"/>
        <v>4917</v>
      </c>
      <c r="W9" s="53">
        <v>2</v>
      </c>
      <c r="X9" s="53" t="s">
        <v>46</v>
      </c>
      <c r="Y9" s="53" t="s">
        <v>84</v>
      </c>
      <c r="Z9" s="53" t="s">
        <v>90</v>
      </c>
      <c r="AA9" s="53" t="s">
        <v>55</v>
      </c>
      <c r="AB9" s="53" t="s">
        <v>240</v>
      </c>
      <c r="AE9" s="22" t="s">
        <v>98</v>
      </c>
      <c r="AG9" s="23" t="s">
        <v>238</v>
      </c>
      <c r="AH9" s="23" t="s">
        <v>239</v>
      </c>
      <c r="AL9" s="73"/>
      <c r="AP9" s="23" t="s">
        <v>95</v>
      </c>
      <c r="AR9" s="23" t="s">
        <v>89</v>
      </c>
      <c r="AV9" s="23" t="s">
        <v>102</v>
      </c>
      <c r="AX9" s="24">
        <v>128</v>
      </c>
      <c r="AY9" s="25">
        <v>27</v>
      </c>
      <c r="AZ9" s="25">
        <v>129</v>
      </c>
      <c r="BA9" s="26">
        <v>25</v>
      </c>
    </row>
    <row r="10" spans="1:53" x14ac:dyDescent="0.15">
      <c r="A10" s="53" t="s">
        <v>56</v>
      </c>
      <c r="B10" s="53" t="s">
        <v>236</v>
      </c>
      <c r="C10" s="53">
        <v>2019</v>
      </c>
      <c r="D10" s="81" t="s">
        <v>237</v>
      </c>
      <c r="E10" s="53" t="s">
        <v>247</v>
      </c>
      <c r="F10" s="53" t="s">
        <v>239</v>
      </c>
      <c r="G10" s="53" t="s">
        <v>42</v>
      </c>
      <c r="H10" s="53" t="s">
        <v>168</v>
      </c>
      <c r="I10" s="53" t="s">
        <v>159</v>
      </c>
      <c r="J10" s="53" t="s">
        <v>38</v>
      </c>
      <c r="K10" s="53" t="s">
        <v>87</v>
      </c>
      <c r="L10" s="53">
        <v>3</v>
      </c>
      <c r="N10" s="53">
        <v>1</v>
      </c>
      <c r="O10" s="53">
        <v>0.8</v>
      </c>
      <c r="P10" s="53">
        <v>0.75</v>
      </c>
      <c r="Q10" s="74">
        <f t="shared" si="0"/>
        <v>0.77500000000000002</v>
      </c>
      <c r="R10" s="53">
        <v>17</v>
      </c>
      <c r="S10" s="53">
        <v>123</v>
      </c>
      <c r="T10" s="16">
        <f t="shared" si="1"/>
        <v>30</v>
      </c>
      <c r="U10" s="53">
        <v>149</v>
      </c>
      <c r="V10" s="16">
        <f t="shared" si="2"/>
        <v>4470</v>
      </c>
      <c r="W10" s="53">
        <v>2</v>
      </c>
      <c r="X10" s="53" t="s">
        <v>46</v>
      </c>
      <c r="Y10" s="53" t="s">
        <v>84</v>
      </c>
      <c r="Z10" s="53" t="s">
        <v>90</v>
      </c>
      <c r="AA10" s="53" t="s">
        <v>55</v>
      </c>
      <c r="AB10" s="53" t="s">
        <v>240</v>
      </c>
      <c r="AE10" s="22" t="s">
        <v>103</v>
      </c>
      <c r="AG10" s="23" t="s">
        <v>252</v>
      </c>
      <c r="AH10" s="82" t="s">
        <v>249</v>
      </c>
      <c r="AL10" s="83"/>
      <c r="AP10" s="23" t="s">
        <v>100</v>
      </c>
      <c r="AR10" s="23" t="s">
        <v>123</v>
      </c>
      <c r="AV10" s="23" t="s">
        <v>106</v>
      </c>
      <c r="AX10" s="24">
        <v>138</v>
      </c>
      <c r="AY10" s="25">
        <v>25</v>
      </c>
      <c r="AZ10" s="25">
        <v>138</v>
      </c>
      <c r="BA10" s="26">
        <v>22</v>
      </c>
    </row>
    <row r="11" spans="1:53" x14ac:dyDescent="0.15">
      <c r="A11" s="53" t="s">
        <v>56</v>
      </c>
      <c r="B11" s="53" t="s">
        <v>236</v>
      </c>
      <c r="C11" s="53">
        <v>2019</v>
      </c>
      <c r="D11" s="81" t="s">
        <v>237</v>
      </c>
      <c r="E11" s="53" t="s">
        <v>162</v>
      </c>
      <c r="F11" s="53" t="s">
        <v>255</v>
      </c>
      <c r="G11" s="53" t="s">
        <v>42</v>
      </c>
      <c r="H11" s="53" t="s">
        <v>164</v>
      </c>
      <c r="I11" s="53" t="s">
        <v>159</v>
      </c>
      <c r="J11" s="53" t="s">
        <v>38</v>
      </c>
      <c r="K11" s="53" t="s">
        <v>161</v>
      </c>
      <c r="L11" s="53">
        <v>1</v>
      </c>
      <c r="N11" s="53">
        <v>5</v>
      </c>
      <c r="O11" s="53">
        <v>0.8</v>
      </c>
      <c r="P11" s="53">
        <v>0.75</v>
      </c>
      <c r="Q11" s="74">
        <f t="shared" si="0"/>
        <v>0.77500000000000002</v>
      </c>
      <c r="R11" s="53">
        <v>15</v>
      </c>
      <c r="S11" s="53">
        <v>93</v>
      </c>
      <c r="T11" s="16">
        <f t="shared" si="1"/>
        <v>36</v>
      </c>
      <c r="U11" s="53">
        <v>430</v>
      </c>
      <c r="V11" s="16">
        <f t="shared" si="2"/>
        <v>3096</v>
      </c>
      <c r="W11" s="53">
        <v>4</v>
      </c>
      <c r="X11" s="53" t="s">
        <v>46</v>
      </c>
      <c r="Y11" s="53" t="s">
        <v>90</v>
      </c>
      <c r="Z11" s="53" t="s">
        <v>84</v>
      </c>
      <c r="AA11" s="53" t="s">
        <v>78</v>
      </c>
      <c r="AB11" s="53" t="s">
        <v>240</v>
      </c>
      <c r="AE11" s="22" t="s">
        <v>65</v>
      </c>
      <c r="AG11" s="23" t="s">
        <v>251</v>
      </c>
      <c r="AH11" s="82" t="s">
        <v>249</v>
      </c>
      <c r="AJ11" s="83"/>
      <c r="AP11" s="23" t="s">
        <v>104</v>
      </c>
      <c r="AR11" s="23" t="s">
        <v>87</v>
      </c>
      <c r="AV11" s="23" t="s">
        <v>69</v>
      </c>
    </row>
    <row r="12" spans="1:53" x14ac:dyDescent="0.15">
      <c r="A12" s="53" t="s">
        <v>56</v>
      </c>
      <c r="B12" s="53" t="s">
        <v>236</v>
      </c>
      <c r="C12" s="53">
        <v>2019</v>
      </c>
      <c r="D12" s="81" t="s">
        <v>237</v>
      </c>
      <c r="E12" s="53" t="s">
        <v>162</v>
      </c>
      <c r="F12" s="53" t="s">
        <v>255</v>
      </c>
      <c r="G12" s="53" t="s">
        <v>42</v>
      </c>
      <c r="H12" s="53" t="s">
        <v>164</v>
      </c>
      <c r="I12" s="53" t="s">
        <v>159</v>
      </c>
      <c r="J12" s="53" t="s">
        <v>38</v>
      </c>
      <c r="K12" s="53" t="s">
        <v>161</v>
      </c>
      <c r="L12" s="53">
        <v>2</v>
      </c>
      <c r="N12" s="53">
        <v>5</v>
      </c>
      <c r="O12" s="53">
        <v>0.8</v>
      </c>
      <c r="P12" s="53">
        <v>0.8</v>
      </c>
      <c r="Q12" s="74">
        <f t="shared" si="0"/>
        <v>0.8</v>
      </c>
      <c r="R12" s="53">
        <v>14.5</v>
      </c>
      <c r="S12" s="53">
        <v>92</v>
      </c>
      <c r="T12" s="16">
        <f t="shared" si="1"/>
        <v>36</v>
      </c>
      <c r="U12" s="53">
        <v>430</v>
      </c>
      <c r="V12" s="16">
        <f t="shared" si="2"/>
        <v>3096</v>
      </c>
      <c r="W12" s="53">
        <v>4</v>
      </c>
      <c r="X12" s="53" t="s">
        <v>46</v>
      </c>
      <c r="Y12" s="53" t="s">
        <v>90</v>
      </c>
      <c r="Z12" s="53" t="s">
        <v>84</v>
      </c>
      <c r="AA12" s="53" t="s">
        <v>78</v>
      </c>
      <c r="AB12" s="53" t="s">
        <v>240</v>
      </c>
      <c r="AE12" s="22" t="s">
        <v>70</v>
      </c>
      <c r="AG12" s="23" t="s">
        <v>243</v>
      </c>
      <c r="AH12" s="82" t="s">
        <v>249</v>
      </c>
      <c r="AJ12" s="83"/>
      <c r="AP12" s="23" t="s">
        <v>67</v>
      </c>
      <c r="AR12" s="23" t="s">
        <v>124</v>
      </c>
      <c r="AV12" s="23" t="s">
        <v>72</v>
      </c>
    </row>
    <row r="13" spans="1:53" x14ac:dyDescent="0.15">
      <c r="A13" s="53" t="s">
        <v>56</v>
      </c>
      <c r="B13" s="53" t="s">
        <v>236</v>
      </c>
      <c r="C13" s="53">
        <v>2019</v>
      </c>
      <c r="D13" s="81" t="s">
        <v>237</v>
      </c>
      <c r="E13" s="53" t="s">
        <v>162</v>
      </c>
      <c r="F13" s="53" t="s">
        <v>255</v>
      </c>
      <c r="G13" s="53" t="s">
        <v>42</v>
      </c>
      <c r="H13" s="53" t="s">
        <v>164</v>
      </c>
      <c r="I13" s="53" t="s">
        <v>159</v>
      </c>
      <c r="J13" s="53" t="s">
        <v>38</v>
      </c>
      <c r="K13" s="53" t="s">
        <v>161</v>
      </c>
      <c r="L13" s="53">
        <v>3</v>
      </c>
      <c r="N13" s="53">
        <v>5</v>
      </c>
      <c r="O13" s="53">
        <v>0.75</v>
      </c>
      <c r="P13" s="53">
        <v>0.85</v>
      </c>
      <c r="Q13" s="74">
        <f t="shared" si="0"/>
        <v>0.8</v>
      </c>
      <c r="R13" s="53">
        <v>14.9</v>
      </c>
      <c r="S13" s="53">
        <v>94</v>
      </c>
      <c r="T13" s="16">
        <f t="shared" si="1"/>
        <v>36</v>
      </c>
      <c r="U13" s="53">
        <v>430</v>
      </c>
      <c r="V13" s="16">
        <f t="shared" si="2"/>
        <v>3096</v>
      </c>
      <c r="W13" s="53">
        <v>4</v>
      </c>
      <c r="X13" s="53" t="s">
        <v>46</v>
      </c>
      <c r="Y13" s="53" t="s">
        <v>90</v>
      </c>
      <c r="Z13" s="53" t="s">
        <v>84</v>
      </c>
      <c r="AA13" s="53" t="s">
        <v>78</v>
      </c>
      <c r="AB13" s="53" t="s">
        <v>240</v>
      </c>
      <c r="AE13" s="22" t="s">
        <v>73</v>
      </c>
      <c r="AP13" s="23" t="s">
        <v>71</v>
      </c>
      <c r="AR13" s="23" t="s">
        <v>103</v>
      </c>
      <c r="AV13" s="23" t="s">
        <v>75</v>
      </c>
    </row>
    <row r="14" spans="1:53" x14ac:dyDescent="0.15">
      <c r="A14" s="53" t="s">
        <v>56</v>
      </c>
      <c r="B14" s="53" t="s">
        <v>236</v>
      </c>
      <c r="C14" s="53">
        <v>2019</v>
      </c>
      <c r="D14" s="81" t="s">
        <v>237</v>
      </c>
      <c r="E14" s="53" t="s">
        <v>162</v>
      </c>
      <c r="F14" s="53" t="s">
        <v>255</v>
      </c>
      <c r="G14" s="53" t="s">
        <v>42</v>
      </c>
      <c r="H14" s="53" t="s">
        <v>128</v>
      </c>
      <c r="I14" s="53" t="s">
        <v>159</v>
      </c>
      <c r="J14" s="53" t="s">
        <v>80</v>
      </c>
      <c r="K14" s="53" t="s">
        <v>63</v>
      </c>
      <c r="L14" s="53">
        <v>1</v>
      </c>
      <c r="N14" s="53">
        <v>1</v>
      </c>
      <c r="O14" s="53">
        <v>0.85</v>
      </c>
      <c r="P14" s="53">
        <v>0.9</v>
      </c>
      <c r="Q14" s="74">
        <f t="shared" si="0"/>
        <v>0.875</v>
      </c>
      <c r="R14" s="53">
        <v>17.600000000000001</v>
      </c>
      <c r="S14" s="53">
        <v>114</v>
      </c>
      <c r="T14" s="16">
        <f t="shared" si="1"/>
        <v>30</v>
      </c>
      <c r="U14" s="53">
        <v>106</v>
      </c>
      <c r="V14" s="16">
        <f t="shared" si="2"/>
        <v>3180</v>
      </c>
      <c r="W14" s="53">
        <v>1</v>
      </c>
      <c r="X14" s="53" t="s">
        <v>46</v>
      </c>
      <c r="Y14" s="53" t="s">
        <v>90</v>
      </c>
      <c r="Z14" s="53" t="s">
        <v>84</v>
      </c>
      <c r="AA14" s="53" t="s">
        <v>78</v>
      </c>
      <c r="AB14" s="53" t="s">
        <v>240</v>
      </c>
      <c r="AE14" s="22" t="s">
        <v>76</v>
      </c>
      <c r="AP14" s="23" t="s">
        <v>74</v>
      </c>
      <c r="AR14" s="23" t="s">
        <v>125</v>
      </c>
      <c r="AV14" s="23" t="s">
        <v>78</v>
      </c>
    </row>
    <row r="15" spans="1:53" x14ac:dyDescent="0.15">
      <c r="A15" s="53" t="s">
        <v>56</v>
      </c>
      <c r="B15" s="53" t="s">
        <v>236</v>
      </c>
      <c r="C15" s="53">
        <v>2019</v>
      </c>
      <c r="D15" s="81" t="s">
        <v>237</v>
      </c>
      <c r="E15" s="53" t="s">
        <v>162</v>
      </c>
      <c r="F15" s="53" t="s">
        <v>255</v>
      </c>
      <c r="G15" s="53" t="s">
        <v>42</v>
      </c>
      <c r="H15" s="53" t="s">
        <v>128</v>
      </c>
      <c r="I15" s="53" t="s">
        <v>159</v>
      </c>
      <c r="J15" s="53" t="s">
        <v>80</v>
      </c>
      <c r="K15" s="53" t="s">
        <v>63</v>
      </c>
      <c r="L15" s="53">
        <v>2</v>
      </c>
      <c r="N15" s="53">
        <v>1</v>
      </c>
      <c r="O15" s="53">
        <v>0.75</v>
      </c>
      <c r="P15" s="53">
        <v>0.65</v>
      </c>
      <c r="Q15" s="74">
        <f t="shared" si="0"/>
        <v>0.7</v>
      </c>
      <c r="R15" s="53">
        <v>15.4</v>
      </c>
      <c r="S15" s="53">
        <v>111</v>
      </c>
      <c r="T15" s="16">
        <f t="shared" si="1"/>
        <v>33</v>
      </c>
      <c r="U15" s="53">
        <v>106</v>
      </c>
      <c r="V15" s="16">
        <f t="shared" si="2"/>
        <v>3498</v>
      </c>
      <c r="W15" s="53">
        <v>1</v>
      </c>
      <c r="X15" s="53" t="s">
        <v>46</v>
      </c>
      <c r="Y15" s="53" t="s">
        <v>90</v>
      </c>
      <c r="Z15" s="53" t="s">
        <v>84</v>
      </c>
      <c r="AA15" s="53" t="s">
        <v>78</v>
      </c>
      <c r="AB15" s="53" t="s">
        <v>240</v>
      </c>
      <c r="AE15" s="22" t="s">
        <v>79</v>
      </c>
      <c r="AP15" s="23" t="s">
        <v>77</v>
      </c>
      <c r="AR15" s="23" t="s">
        <v>94</v>
      </c>
      <c r="AV15" s="23" t="s">
        <v>107</v>
      </c>
    </row>
    <row r="16" spans="1:53" x14ac:dyDescent="0.15">
      <c r="A16" s="53" t="s">
        <v>56</v>
      </c>
      <c r="B16" s="53" t="s">
        <v>236</v>
      </c>
      <c r="C16" s="53">
        <v>2019</v>
      </c>
      <c r="D16" s="81" t="s">
        <v>237</v>
      </c>
      <c r="E16" s="53" t="s">
        <v>162</v>
      </c>
      <c r="F16" s="53" t="s">
        <v>255</v>
      </c>
      <c r="G16" s="53" t="s">
        <v>42</v>
      </c>
      <c r="H16" s="53" t="s">
        <v>128</v>
      </c>
      <c r="I16" s="53" t="s">
        <v>159</v>
      </c>
      <c r="J16" s="53" t="s">
        <v>80</v>
      </c>
      <c r="K16" s="53" t="s">
        <v>63</v>
      </c>
      <c r="L16" s="53">
        <v>3</v>
      </c>
      <c r="N16" s="53">
        <v>1</v>
      </c>
      <c r="O16" s="53">
        <v>0.8</v>
      </c>
      <c r="P16" s="53">
        <v>0.75</v>
      </c>
      <c r="Q16" s="74">
        <f t="shared" si="0"/>
        <v>0.77500000000000002</v>
      </c>
      <c r="R16" s="53">
        <v>17.2</v>
      </c>
      <c r="S16" s="53">
        <v>106</v>
      </c>
      <c r="T16" s="16">
        <f t="shared" si="1"/>
        <v>33</v>
      </c>
      <c r="U16" s="53">
        <v>106</v>
      </c>
      <c r="V16" s="16">
        <f t="shared" si="2"/>
        <v>3498</v>
      </c>
      <c r="W16" s="53">
        <v>1</v>
      </c>
      <c r="X16" s="53" t="s">
        <v>46</v>
      </c>
      <c r="Y16" s="53" t="s">
        <v>90</v>
      </c>
      <c r="Z16" s="53" t="s">
        <v>84</v>
      </c>
      <c r="AA16" s="53" t="s">
        <v>78</v>
      </c>
      <c r="AB16" s="53" t="s">
        <v>240</v>
      </c>
      <c r="AE16" s="22" t="s">
        <v>82</v>
      </c>
      <c r="AP16" s="23" t="s">
        <v>80</v>
      </c>
      <c r="AR16" s="23" t="s">
        <v>63</v>
      </c>
      <c r="AV16" s="23" t="s">
        <v>84</v>
      </c>
    </row>
    <row r="17" spans="1:48" x14ac:dyDescent="0.15">
      <c r="A17" s="53" t="s">
        <v>56</v>
      </c>
      <c r="B17" s="53" t="s">
        <v>236</v>
      </c>
      <c r="C17" s="53">
        <v>2019</v>
      </c>
      <c r="D17" s="81" t="s">
        <v>237</v>
      </c>
      <c r="E17" s="53" t="s">
        <v>256</v>
      </c>
      <c r="F17" s="53" t="s">
        <v>257</v>
      </c>
      <c r="G17" s="53" t="s">
        <v>42</v>
      </c>
      <c r="H17" s="53" t="s">
        <v>164</v>
      </c>
      <c r="I17" s="53" t="s">
        <v>159</v>
      </c>
      <c r="J17" s="53" t="s">
        <v>38</v>
      </c>
      <c r="K17" s="53" t="s">
        <v>161</v>
      </c>
      <c r="L17" s="53">
        <v>1</v>
      </c>
      <c r="N17" s="53">
        <v>5</v>
      </c>
      <c r="O17" s="53">
        <v>0.65</v>
      </c>
      <c r="P17" s="53">
        <v>0.7</v>
      </c>
      <c r="Q17" s="74">
        <f t="shared" si="0"/>
        <v>0.67500000000000004</v>
      </c>
      <c r="R17" s="53">
        <v>14.7</v>
      </c>
      <c r="S17" s="53">
        <v>95</v>
      </c>
      <c r="T17" s="16">
        <f t="shared" si="1"/>
        <v>36</v>
      </c>
      <c r="U17" s="53">
        <v>429</v>
      </c>
      <c r="V17" s="16">
        <f t="shared" si="2"/>
        <v>3088.7999999999997</v>
      </c>
      <c r="W17" s="53">
        <v>4</v>
      </c>
      <c r="X17" s="53" t="s">
        <v>46</v>
      </c>
      <c r="Y17" s="53" t="s">
        <v>84</v>
      </c>
      <c r="Z17" s="53" t="s">
        <v>90</v>
      </c>
      <c r="AA17" s="53" t="s">
        <v>50</v>
      </c>
      <c r="AB17" s="53" t="s">
        <v>240</v>
      </c>
      <c r="AE17" s="22" t="s">
        <v>85</v>
      </c>
      <c r="AP17" s="27" t="s">
        <v>110</v>
      </c>
      <c r="AR17" s="23" t="s">
        <v>96</v>
      </c>
      <c r="AV17" s="23" t="s">
        <v>86</v>
      </c>
    </row>
    <row r="18" spans="1:48" x14ac:dyDescent="0.15">
      <c r="A18" s="53" t="s">
        <v>56</v>
      </c>
      <c r="B18" s="53" t="s">
        <v>236</v>
      </c>
      <c r="C18" s="53">
        <v>2019</v>
      </c>
      <c r="D18" s="81" t="s">
        <v>237</v>
      </c>
      <c r="E18" s="53" t="s">
        <v>256</v>
      </c>
      <c r="F18" s="53" t="s">
        <v>257</v>
      </c>
      <c r="G18" s="53" t="s">
        <v>42</v>
      </c>
      <c r="H18" s="53" t="s">
        <v>164</v>
      </c>
      <c r="I18" s="53" t="s">
        <v>159</v>
      </c>
      <c r="J18" s="53" t="s">
        <v>38</v>
      </c>
      <c r="K18" s="53" t="s">
        <v>161</v>
      </c>
      <c r="L18" s="53">
        <v>2</v>
      </c>
      <c r="N18" s="53">
        <v>5</v>
      </c>
      <c r="O18" s="53">
        <v>0.75</v>
      </c>
      <c r="P18" s="53">
        <v>0.75</v>
      </c>
      <c r="Q18" s="74">
        <f t="shared" si="0"/>
        <v>0.75</v>
      </c>
      <c r="R18" s="53">
        <v>14.1</v>
      </c>
      <c r="S18" s="53">
        <v>95</v>
      </c>
      <c r="T18" s="16">
        <f t="shared" si="1"/>
        <v>36</v>
      </c>
      <c r="U18" s="53">
        <v>429</v>
      </c>
      <c r="V18" s="16">
        <f t="shared" si="2"/>
        <v>3088.7999999999997</v>
      </c>
      <c r="W18" s="53">
        <v>4</v>
      </c>
      <c r="X18" s="53" t="s">
        <v>46</v>
      </c>
      <c r="Y18" s="53" t="s">
        <v>84</v>
      </c>
      <c r="Z18" s="53" t="s">
        <v>90</v>
      </c>
      <c r="AA18" s="53" t="s">
        <v>50</v>
      </c>
      <c r="AB18" s="53" t="s">
        <v>240</v>
      </c>
      <c r="AE18" s="22" t="s">
        <v>87</v>
      </c>
      <c r="AP18" s="27" t="s">
        <v>111</v>
      </c>
      <c r="AR18" s="23" t="s">
        <v>101</v>
      </c>
      <c r="AV18" s="23" t="s">
        <v>88</v>
      </c>
    </row>
    <row r="19" spans="1:48" x14ac:dyDescent="0.15">
      <c r="A19" s="53" t="s">
        <v>56</v>
      </c>
      <c r="B19" s="53" t="s">
        <v>236</v>
      </c>
      <c r="C19" s="53">
        <v>2019</v>
      </c>
      <c r="D19" s="81" t="s">
        <v>237</v>
      </c>
      <c r="E19" s="53" t="s">
        <v>256</v>
      </c>
      <c r="F19" s="53" t="s">
        <v>257</v>
      </c>
      <c r="G19" s="53" t="s">
        <v>42</v>
      </c>
      <c r="H19" s="53" t="s">
        <v>164</v>
      </c>
      <c r="I19" s="53" t="s">
        <v>159</v>
      </c>
      <c r="J19" s="53" t="s">
        <v>38</v>
      </c>
      <c r="K19" s="53" t="s">
        <v>161</v>
      </c>
      <c r="L19" s="53">
        <v>3</v>
      </c>
      <c r="N19" s="53">
        <v>5</v>
      </c>
      <c r="O19" s="53">
        <v>0.7</v>
      </c>
      <c r="P19" s="53">
        <v>0.75</v>
      </c>
      <c r="Q19" s="74">
        <f t="shared" si="0"/>
        <v>0.72499999999999998</v>
      </c>
      <c r="R19" s="53">
        <v>15.3</v>
      </c>
      <c r="S19" s="53">
        <v>93</v>
      </c>
      <c r="T19" s="16">
        <f t="shared" si="1"/>
        <v>36</v>
      </c>
      <c r="U19" s="53">
        <v>429</v>
      </c>
      <c r="V19" s="16">
        <f t="shared" si="2"/>
        <v>3088.7999999999997</v>
      </c>
      <c r="W19" s="53">
        <v>4</v>
      </c>
      <c r="X19" s="53" t="s">
        <v>46</v>
      </c>
      <c r="Y19" s="53" t="s">
        <v>84</v>
      </c>
      <c r="Z19" s="53" t="s">
        <v>90</v>
      </c>
      <c r="AA19" s="53" t="s">
        <v>50</v>
      </c>
      <c r="AB19" s="53" t="s">
        <v>240</v>
      </c>
      <c r="AE19" s="35" t="s">
        <v>89</v>
      </c>
      <c r="AP19" s="27" t="s">
        <v>112</v>
      </c>
      <c r="AR19" s="23" t="s">
        <v>126</v>
      </c>
      <c r="AV19" s="23" t="s">
        <v>90</v>
      </c>
    </row>
    <row r="20" spans="1:48" x14ac:dyDescent="0.15">
      <c r="A20" s="53" t="s">
        <v>56</v>
      </c>
      <c r="B20" s="53" t="s">
        <v>236</v>
      </c>
      <c r="C20" s="53">
        <v>2019</v>
      </c>
      <c r="D20" s="81" t="s">
        <v>237</v>
      </c>
      <c r="E20" s="53" t="s">
        <v>258</v>
      </c>
      <c r="F20" s="53" t="s">
        <v>255</v>
      </c>
      <c r="G20" s="53" t="s">
        <v>42</v>
      </c>
      <c r="H20" s="53" t="s">
        <v>164</v>
      </c>
      <c r="I20" s="53" t="s">
        <v>159</v>
      </c>
      <c r="J20" s="53" t="s">
        <v>38</v>
      </c>
      <c r="K20" s="53" t="s">
        <v>161</v>
      </c>
      <c r="L20" s="53">
        <v>1</v>
      </c>
      <c r="N20" s="53">
        <v>1</v>
      </c>
      <c r="O20" s="53">
        <v>0.75</v>
      </c>
      <c r="P20" s="53">
        <v>0.75</v>
      </c>
      <c r="Q20" s="16">
        <f t="shared" si="0"/>
        <v>0.75</v>
      </c>
      <c r="R20" s="53">
        <v>16.899999999999999</v>
      </c>
      <c r="S20" s="53">
        <v>125</v>
      </c>
      <c r="T20" s="16">
        <f t="shared" si="1"/>
        <v>27</v>
      </c>
      <c r="U20" s="53">
        <v>105</v>
      </c>
      <c r="V20" s="16">
        <f t="shared" si="2"/>
        <v>2835</v>
      </c>
      <c r="W20" s="53">
        <v>2</v>
      </c>
      <c r="X20" s="53" t="s">
        <v>39</v>
      </c>
      <c r="Y20" s="53" t="s">
        <v>84</v>
      </c>
      <c r="Z20" s="53" t="s">
        <v>55</v>
      </c>
      <c r="AA20" s="53" t="s">
        <v>90</v>
      </c>
      <c r="AB20" s="53" t="s">
        <v>240</v>
      </c>
      <c r="AP20" s="27" t="s">
        <v>113</v>
      </c>
      <c r="AR20" s="23" t="s">
        <v>105</v>
      </c>
      <c r="AV20" s="27" t="s">
        <v>135</v>
      </c>
    </row>
    <row r="21" spans="1:48" x14ac:dyDescent="0.15">
      <c r="A21" s="53" t="s">
        <v>56</v>
      </c>
      <c r="B21" s="53" t="s">
        <v>236</v>
      </c>
      <c r="C21" s="53">
        <v>2019</v>
      </c>
      <c r="D21" s="81" t="s">
        <v>237</v>
      </c>
      <c r="E21" s="53" t="s">
        <v>258</v>
      </c>
      <c r="F21" s="53" t="s">
        <v>255</v>
      </c>
      <c r="G21" s="53" t="s">
        <v>42</v>
      </c>
      <c r="H21" s="53" t="s">
        <v>164</v>
      </c>
      <c r="I21" s="53" t="s">
        <v>159</v>
      </c>
      <c r="J21" s="53" t="s">
        <v>38</v>
      </c>
      <c r="K21" s="53" t="s">
        <v>161</v>
      </c>
      <c r="L21" s="53">
        <v>2</v>
      </c>
      <c r="N21" s="53">
        <v>1</v>
      </c>
      <c r="O21" s="53">
        <v>0.5</v>
      </c>
      <c r="P21" s="53">
        <v>0.65</v>
      </c>
      <c r="Q21" s="16">
        <f t="shared" si="0"/>
        <v>0.57499999999999996</v>
      </c>
      <c r="R21" s="53">
        <v>16.8</v>
      </c>
      <c r="S21" s="53">
        <v>115</v>
      </c>
      <c r="T21" s="16">
        <f t="shared" si="1"/>
        <v>30</v>
      </c>
      <c r="U21" s="53">
        <v>105</v>
      </c>
      <c r="V21" s="16">
        <f t="shared" si="2"/>
        <v>3150</v>
      </c>
      <c r="W21" s="53">
        <v>2</v>
      </c>
      <c r="X21" s="53" t="s">
        <v>39</v>
      </c>
      <c r="Y21" s="53" t="s">
        <v>84</v>
      </c>
      <c r="Z21" s="53" t="s">
        <v>55</v>
      </c>
      <c r="AA21" s="53" t="s">
        <v>90</v>
      </c>
      <c r="AB21" s="53" t="s">
        <v>240</v>
      </c>
      <c r="AP21" s="27" t="s">
        <v>114</v>
      </c>
      <c r="AR21" s="23" t="s">
        <v>68</v>
      </c>
      <c r="AV21" s="28" t="s">
        <v>259</v>
      </c>
    </row>
    <row r="22" spans="1:48" x14ac:dyDescent="0.15">
      <c r="A22" s="53" t="s">
        <v>56</v>
      </c>
      <c r="B22" s="53" t="s">
        <v>236</v>
      </c>
      <c r="C22" s="53">
        <v>2019</v>
      </c>
      <c r="D22" s="81" t="s">
        <v>237</v>
      </c>
      <c r="E22" s="53" t="s">
        <v>258</v>
      </c>
      <c r="F22" s="53" t="s">
        <v>255</v>
      </c>
      <c r="G22" s="53" t="s">
        <v>42</v>
      </c>
      <c r="H22" s="53" t="s">
        <v>164</v>
      </c>
      <c r="I22" s="53" t="s">
        <v>159</v>
      </c>
      <c r="J22" s="53" t="s">
        <v>38</v>
      </c>
      <c r="K22" s="53" t="s">
        <v>161</v>
      </c>
      <c r="L22" s="53">
        <v>3</v>
      </c>
      <c r="N22" s="53">
        <v>1</v>
      </c>
      <c r="O22" s="53">
        <v>0.75</v>
      </c>
      <c r="P22" s="53">
        <v>0.8</v>
      </c>
      <c r="Q22" s="16">
        <f t="shared" si="0"/>
        <v>0.77500000000000002</v>
      </c>
      <c r="R22" s="53">
        <v>16.7</v>
      </c>
      <c r="S22" s="53">
        <v>110</v>
      </c>
      <c r="T22" s="16">
        <f t="shared" si="1"/>
        <v>33</v>
      </c>
      <c r="U22" s="53">
        <v>105</v>
      </c>
      <c r="V22" s="16">
        <f t="shared" si="2"/>
        <v>3465</v>
      </c>
      <c r="W22" s="53">
        <v>2</v>
      </c>
      <c r="X22" s="53" t="s">
        <v>39</v>
      </c>
      <c r="Y22" s="53" t="s">
        <v>84</v>
      </c>
      <c r="Z22" s="53" t="s">
        <v>55</v>
      </c>
      <c r="AA22" s="53" t="s">
        <v>90</v>
      </c>
      <c r="AB22" s="53" t="s">
        <v>240</v>
      </c>
      <c r="AP22" s="27" t="s">
        <v>115</v>
      </c>
      <c r="AR22" s="23" t="s">
        <v>83</v>
      </c>
    </row>
    <row r="23" spans="1:48" x14ac:dyDescent="0.15">
      <c r="A23" s="53" t="s">
        <v>56</v>
      </c>
      <c r="B23" s="53" t="s">
        <v>236</v>
      </c>
      <c r="C23" s="53">
        <v>2019</v>
      </c>
      <c r="D23" s="81" t="s">
        <v>237</v>
      </c>
      <c r="E23" s="53" t="s">
        <v>258</v>
      </c>
      <c r="F23" s="53" t="s">
        <v>255</v>
      </c>
      <c r="G23" s="53" t="s">
        <v>42</v>
      </c>
      <c r="H23" s="53" t="s">
        <v>128</v>
      </c>
      <c r="I23" s="53" t="s">
        <v>159</v>
      </c>
      <c r="J23" s="53" t="s">
        <v>80</v>
      </c>
      <c r="K23" s="53" t="s">
        <v>63</v>
      </c>
      <c r="L23" s="53">
        <v>1</v>
      </c>
      <c r="N23" s="53">
        <v>8</v>
      </c>
      <c r="O23" s="53">
        <v>0.8</v>
      </c>
      <c r="P23" s="53">
        <v>0.75</v>
      </c>
      <c r="Q23" s="16">
        <f t="shared" si="0"/>
        <v>0.77500000000000002</v>
      </c>
      <c r="R23" s="53">
        <v>17.899999999999999</v>
      </c>
      <c r="S23" s="53">
        <v>84</v>
      </c>
      <c r="T23" s="16">
        <f t="shared" si="1"/>
        <v>36</v>
      </c>
      <c r="U23" s="53">
        <v>375</v>
      </c>
      <c r="V23" s="16">
        <f t="shared" si="2"/>
        <v>1687.5</v>
      </c>
      <c r="W23" s="53">
        <v>2</v>
      </c>
      <c r="X23" s="53" t="s">
        <v>39</v>
      </c>
      <c r="Y23" s="53" t="s">
        <v>84</v>
      </c>
      <c r="Z23" s="53" t="s">
        <v>55</v>
      </c>
      <c r="AA23" s="53" t="s">
        <v>90</v>
      </c>
      <c r="AB23" s="53" t="s">
        <v>240</v>
      </c>
      <c r="AP23" s="27" t="s">
        <v>137</v>
      </c>
      <c r="AR23" s="23" t="s">
        <v>61</v>
      </c>
    </row>
    <row r="24" spans="1:48" x14ac:dyDescent="0.15">
      <c r="A24" s="53" t="s">
        <v>56</v>
      </c>
      <c r="B24" s="53" t="s">
        <v>236</v>
      </c>
      <c r="C24" s="53">
        <v>2019</v>
      </c>
      <c r="D24" s="81" t="s">
        <v>237</v>
      </c>
      <c r="E24" s="53" t="s">
        <v>258</v>
      </c>
      <c r="F24" s="53" t="s">
        <v>255</v>
      </c>
      <c r="G24" s="53" t="s">
        <v>42</v>
      </c>
      <c r="H24" s="53" t="s">
        <v>128</v>
      </c>
      <c r="I24" s="53" t="s">
        <v>159</v>
      </c>
      <c r="J24" s="53" t="s">
        <v>80</v>
      </c>
      <c r="K24" s="53" t="s">
        <v>63</v>
      </c>
      <c r="L24" s="53">
        <v>2</v>
      </c>
      <c r="N24" s="53">
        <v>8</v>
      </c>
      <c r="O24" s="53">
        <v>0.75</v>
      </c>
      <c r="P24" s="53">
        <v>0.8</v>
      </c>
      <c r="Q24" s="16">
        <f t="shared" si="0"/>
        <v>0.77500000000000002</v>
      </c>
      <c r="R24" s="53">
        <v>17.8</v>
      </c>
      <c r="S24" s="53">
        <v>91</v>
      </c>
      <c r="T24" s="16">
        <f t="shared" si="1"/>
        <v>36</v>
      </c>
      <c r="U24" s="53">
        <v>375</v>
      </c>
      <c r="V24" s="16">
        <f t="shared" si="2"/>
        <v>1687.5</v>
      </c>
      <c r="W24" s="53">
        <v>2</v>
      </c>
      <c r="X24" s="53" t="s">
        <v>39</v>
      </c>
      <c r="Y24" s="53" t="s">
        <v>84</v>
      </c>
      <c r="Z24" s="53" t="s">
        <v>55</v>
      </c>
      <c r="AA24" s="53" t="s">
        <v>90</v>
      </c>
      <c r="AB24" s="53" t="s">
        <v>240</v>
      </c>
      <c r="AP24" s="27" t="s">
        <v>138</v>
      </c>
      <c r="AR24" s="23" t="s">
        <v>91</v>
      </c>
    </row>
    <row r="25" spans="1:48" x14ac:dyDescent="0.15">
      <c r="A25" s="53" t="s">
        <v>56</v>
      </c>
      <c r="B25" s="53" t="s">
        <v>236</v>
      </c>
      <c r="C25" s="53">
        <v>2019</v>
      </c>
      <c r="D25" s="81" t="s">
        <v>237</v>
      </c>
      <c r="E25" s="53" t="s">
        <v>258</v>
      </c>
      <c r="F25" s="53" t="s">
        <v>255</v>
      </c>
      <c r="G25" s="53" t="s">
        <v>42</v>
      </c>
      <c r="H25" s="53" t="s">
        <v>128</v>
      </c>
      <c r="I25" s="53" t="s">
        <v>159</v>
      </c>
      <c r="J25" s="53" t="s">
        <v>80</v>
      </c>
      <c r="K25" s="53" t="s">
        <v>63</v>
      </c>
      <c r="L25" s="53">
        <v>3</v>
      </c>
      <c r="N25" s="53">
        <v>8</v>
      </c>
      <c r="O25" s="53">
        <v>1.05</v>
      </c>
      <c r="P25" s="53">
        <v>1.1000000000000001</v>
      </c>
      <c r="Q25" s="16">
        <f t="shared" si="0"/>
        <v>1.0750000000000002</v>
      </c>
      <c r="R25" s="53">
        <v>17.2</v>
      </c>
      <c r="S25" s="53">
        <v>90</v>
      </c>
      <c r="T25" s="16">
        <f t="shared" si="1"/>
        <v>36</v>
      </c>
      <c r="U25" s="53">
        <v>375</v>
      </c>
      <c r="V25" s="16">
        <f t="shared" si="2"/>
        <v>1687.5</v>
      </c>
      <c r="W25" s="53">
        <v>2</v>
      </c>
      <c r="X25" s="53" t="s">
        <v>39</v>
      </c>
      <c r="Y25" s="53" t="s">
        <v>84</v>
      </c>
      <c r="Z25" s="53" t="s">
        <v>55</v>
      </c>
      <c r="AA25" s="53" t="s">
        <v>90</v>
      </c>
      <c r="AB25" s="53" t="s">
        <v>240</v>
      </c>
      <c r="AP25" s="27" t="s">
        <v>116</v>
      </c>
      <c r="AR25" s="27" t="s">
        <v>92</v>
      </c>
    </row>
    <row r="26" spans="1:48" x14ac:dyDescent="0.15">
      <c r="A26" s="53" t="s">
        <v>56</v>
      </c>
      <c r="B26" s="53" t="s">
        <v>236</v>
      </c>
      <c r="C26" s="53">
        <v>2019</v>
      </c>
      <c r="D26" s="81" t="s">
        <v>237</v>
      </c>
      <c r="E26" s="53" t="s">
        <v>258</v>
      </c>
      <c r="F26" s="53" t="s">
        <v>255</v>
      </c>
      <c r="G26" s="53" t="s">
        <v>42</v>
      </c>
      <c r="H26" s="53" t="s">
        <v>246</v>
      </c>
      <c r="I26" s="53" t="s">
        <v>159</v>
      </c>
      <c r="J26" s="53" t="s">
        <v>58</v>
      </c>
      <c r="K26" s="53" t="s">
        <v>59</v>
      </c>
      <c r="L26" s="53">
        <v>1</v>
      </c>
      <c r="N26" s="53">
        <v>5</v>
      </c>
      <c r="O26" s="53">
        <v>0.6</v>
      </c>
      <c r="P26" s="53">
        <v>0.55000000000000004</v>
      </c>
      <c r="Q26" s="16">
        <f t="shared" si="0"/>
        <v>0.57499999999999996</v>
      </c>
      <c r="R26" s="53">
        <v>17.7</v>
      </c>
      <c r="S26" s="53">
        <v>63</v>
      </c>
      <c r="T26" s="16">
        <f t="shared" si="1"/>
        <v>50</v>
      </c>
      <c r="U26" s="53">
        <v>215</v>
      </c>
      <c r="V26" s="16">
        <f t="shared" si="2"/>
        <v>2150</v>
      </c>
      <c r="W26" s="53">
        <v>8</v>
      </c>
      <c r="X26" s="53" t="s">
        <v>39</v>
      </c>
      <c r="Y26" s="53" t="s">
        <v>84</v>
      </c>
      <c r="Z26" s="53" t="s">
        <v>55</v>
      </c>
      <c r="AA26" s="53" t="s">
        <v>90</v>
      </c>
      <c r="AB26" s="53" t="s">
        <v>240</v>
      </c>
      <c r="AP26" s="27" t="s">
        <v>117</v>
      </c>
      <c r="AR26" s="53" t="s">
        <v>153</v>
      </c>
    </row>
    <row r="27" spans="1:48" x14ac:dyDescent="0.15">
      <c r="A27" s="53" t="s">
        <v>56</v>
      </c>
      <c r="B27" s="53" t="s">
        <v>236</v>
      </c>
      <c r="C27" s="53">
        <v>2019</v>
      </c>
      <c r="D27" s="81" t="s">
        <v>237</v>
      </c>
      <c r="E27" s="53" t="s">
        <v>258</v>
      </c>
      <c r="F27" s="53" t="s">
        <v>255</v>
      </c>
      <c r="G27" s="53" t="s">
        <v>42</v>
      </c>
      <c r="H27" s="53" t="s">
        <v>246</v>
      </c>
      <c r="I27" s="53" t="s">
        <v>159</v>
      </c>
      <c r="J27" s="53" t="s">
        <v>58</v>
      </c>
      <c r="K27" s="53" t="s">
        <v>59</v>
      </c>
      <c r="L27" s="53">
        <v>2</v>
      </c>
      <c r="N27" s="53">
        <v>5</v>
      </c>
      <c r="O27" s="53">
        <v>0.55000000000000004</v>
      </c>
      <c r="P27" s="53">
        <v>0.5</v>
      </c>
      <c r="Q27" s="16">
        <f t="shared" si="0"/>
        <v>0.52500000000000002</v>
      </c>
      <c r="R27" s="53">
        <v>16</v>
      </c>
      <c r="S27" s="53">
        <v>61</v>
      </c>
      <c r="T27" s="16">
        <f t="shared" si="1"/>
        <v>50</v>
      </c>
      <c r="U27" s="53">
        <v>215</v>
      </c>
      <c r="V27" s="16">
        <f t="shared" si="2"/>
        <v>2150</v>
      </c>
      <c r="W27" s="53">
        <v>8</v>
      </c>
      <c r="X27" s="53" t="s">
        <v>39</v>
      </c>
      <c r="Y27" s="53" t="s">
        <v>84</v>
      </c>
      <c r="Z27" s="53" t="s">
        <v>55</v>
      </c>
      <c r="AA27" s="53" t="s">
        <v>90</v>
      </c>
      <c r="AB27" s="53" t="s">
        <v>240</v>
      </c>
      <c r="AP27" s="27" t="s">
        <v>118</v>
      </c>
    </row>
    <row r="28" spans="1:48" x14ac:dyDescent="0.15">
      <c r="A28" s="53" t="s">
        <v>56</v>
      </c>
      <c r="B28" s="53" t="s">
        <v>236</v>
      </c>
      <c r="C28" s="53">
        <v>2019</v>
      </c>
      <c r="D28" s="81" t="s">
        <v>237</v>
      </c>
      <c r="E28" s="53" t="s">
        <v>258</v>
      </c>
      <c r="F28" s="53" t="s">
        <v>255</v>
      </c>
      <c r="G28" s="53" t="s">
        <v>42</v>
      </c>
      <c r="H28" s="53" t="s">
        <v>246</v>
      </c>
      <c r="I28" s="53" t="s">
        <v>159</v>
      </c>
      <c r="J28" s="53" t="s">
        <v>58</v>
      </c>
      <c r="K28" s="53" t="s">
        <v>59</v>
      </c>
      <c r="L28" s="53">
        <v>3</v>
      </c>
      <c r="N28" s="53">
        <v>5</v>
      </c>
      <c r="O28" s="53">
        <v>0.55000000000000004</v>
      </c>
      <c r="P28" s="53">
        <v>0.55000000000000004</v>
      </c>
      <c r="Q28" s="16">
        <f t="shared" si="0"/>
        <v>0.55000000000000004</v>
      </c>
      <c r="R28" s="53">
        <v>16.899999999999999</v>
      </c>
      <c r="S28" s="53">
        <v>73</v>
      </c>
      <c r="T28" s="16">
        <f t="shared" si="1"/>
        <v>42</v>
      </c>
      <c r="U28" s="53">
        <v>215</v>
      </c>
      <c r="V28" s="16">
        <f t="shared" si="2"/>
        <v>1806</v>
      </c>
      <c r="W28" s="53">
        <v>8</v>
      </c>
      <c r="X28" s="53" t="s">
        <v>39</v>
      </c>
      <c r="Y28" s="53" t="s">
        <v>84</v>
      </c>
      <c r="Z28" s="53" t="s">
        <v>55</v>
      </c>
      <c r="AA28" s="53" t="s">
        <v>90</v>
      </c>
      <c r="AB28" s="53" t="s">
        <v>240</v>
      </c>
    </row>
    <row r="29" spans="1:48" x14ac:dyDescent="0.15">
      <c r="A29" s="53" t="s">
        <v>56</v>
      </c>
      <c r="B29" s="53" t="s">
        <v>236</v>
      </c>
      <c r="C29" s="53">
        <v>2019</v>
      </c>
      <c r="D29" s="81" t="s">
        <v>237</v>
      </c>
      <c r="E29" s="53" t="s">
        <v>162</v>
      </c>
      <c r="F29" s="53" t="s">
        <v>253</v>
      </c>
      <c r="G29" s="53" t="s">
        <v>42</v>
      </c>
      <c r="H29" s="53" t="s">
        <v>164</v>
      </c>
      <c r="I29" s="53" t="s">
        <v>159</v>
      </c>
      <c r="J29" s="53" t="s">
        <v>38</v>
      </c>
      <c r="K29" s="53" t="s">
        <v>161</v>
      </c>
      <c r="L29" s="53">
        <v>1</v>
      </c>
      <c r="N29" s="53">
        <v>4</v>
      </c>
      <c r="O29" s="53">
        <v>0.55000000000000004</v>
      </c>
      <c r="P29" s="53">
        <v>0.6</v>
      </c>
      <c r="Q29" s="16">
        <f t="shared" si="0"/>
        <v>0.57499999999999996</v>
      </c>
      <c r="R29" s="53">
        <v>15</v>
      </c>
      <c r="S29" s="53">
        <v>89</v>
      </c>
      <c r="T29" s="16">
        <f t="shared" si="1"/>
        <v>36</v>
      </c>
      <c r="U29" s="53">
        <v>430</v>
      </c>
      <c r="V29" s="16">
        <f t="shared" si="2"/>
        <v>3870</v>
      </c>
      <c r="W29" s="53">
        <v>2</v>
      </c>
      <c r="X29" s="53" t="s">
        <v>46</v>
      </c>
      <c r="Y29" s="53" t="s">
        <v>84</v>
      </c>
      <c r="Z29" s="53" t="s">
        <v>90</v>
      </c>
      <c r="AA29" s="53" t="s">
        <v>50</v>
      </c>
      <c r="AB29" s="53" t="s">
        <v>240</v>
      </c>
    </row>
    <row r="30" spans="1:48" x14ac:dyDescent="0.15">
      <c r="A30" s="53" t="s">
        <v>56</v>
      </c>
      <c r="B30" s="53" t="s">
        <v>236</v>
      </c>
      <c r="C30" s="53">
        <v>2019</v>
      </c>
      <c r="D30" s="81" t="s">
        <v>237</v>
      </c>
      <c r="E30" s="53" t="s">
        <v>162</v>
      </c>
      <c r="F30" s="53" t="s">
        <v>253</v>
      </c>
      <c r="G30" s="53" t="s">
        <v>42</v>
      </c>
      <c r="H30" s="53" t="s">
        <v>164</v>
      </c>
      <c r="I30" s="53" t="s">
        <v>159</v>
      </c>
      <c r="J30" s="53" t="s">
        <v>38</v>
      </c>
      <c r="K30" s="53" t="s">
        <v>161</v>
      </c>
      <c r="L30" s="53">
        <v>2</v>
      </c>
      <c r="N30" s="53">
        <v>4</v>
      </c>
      <c r="O30" s="53">
        <v>0.55000000000000004</v>
      </c>
      <c r="P30" s="53">
        <v>0.55000000000000004</v>
      </c>
      <c r="Q30" s="16">
        <f t="shared" si="0"/>
        <v>0.55000000000000004</v>
      </c>
      <c r="R30" s="53">
        <v>16.899999999999999</v>
      </c>
      <c r="S30" s="53">
        <v>79</v>
      </c>
      <c r="T30" s="16">
        <f t="shared" si="1"/>
        <v>39</v>
      </c>
      <c r="U30" s="53">
        <v>430</v>
      </c>
      <c r="V30" s="16">
        <f t="shared" si="2"/>
        <v>4192.5</v>
      </c>
      <c r="W30" s="53">
        <v>2</v>
      </c>
      <c r="X30" s="53" t="s">
        <v>46</v>
      </c>
      <c r="Y30" s="53" t="s">
        <v>84</v>
      </c>
      <c r="Z30" s="53" t="s">
        <v>90</v>
      </c>
      <c r="AA30" s="53" t="s">
        <v>50</v>
      </c>
      <c r="AB30" s="53" t="s">
        <v>240</v>
      </c>
    </row>
    <row r="31" spans="1:48" x14ac:dyDescent="0.15">
      <c r="A31" s="53" t="s">
        <v>56</v>
      </c>
      <c r="B31" s="53" t="s">
        <v>236</v>
      </c>
      <c r="C31" s="53">
        <v>2019</v>
      </c>
      <c r="D31" s="81" t="s">
        <v>237</v>
      </c>
      <c r="E31" s="53" t="s">
        <v>162</v>
      </c>
      <c r="F31" s="53" t="s">
        <v>253</v>
      </c>
      <c r="G31" s="53" t="s">
        <v>42</v>
      </c>
      <c r="H31" s="53" t="s">
        <v>164</v>
      </c>
      <c r="I31" s="53" t="s">
        <v>159</v>
      </c>
      <c r="J31" s="53" t="s">
        <v>38</v>
      </c>
      <c r="K31" s="53" t="s">
        <v>161</v>
      </c>
      <c r="L31" s="53">
        <v>3</v>
      </c>
      <c r="N31" s="53">
        <v>4</v>
      </c>
      <c r="O31" s="53">
        <v>0.55000000000000004</v>
      </c>
      <c r="P31" s="53">
        <v>0.55000000000000004</v>
      </c>
      <c r="Q31" s="16">
        <f t="shared" si="0"/>
        <v>0.55000000000000004</v>
      </c>
      <c r="R31" s="53">
        <v>14.4</v>
      </c>
      <c r="S31" s="53">
        <v>89</v>
      </c>
      <c r="T31" s="16">
        <f t="shared" si="1"/>
        <v>36</v>
      </c>
      <c r="U31" s="53">
        <v>430</v>
      </c>
      <c r="V31" s="16">
        <f t="shared" si="2"/>
        <v>3870</v>
      </c>
      <c r="W31" s="53">
        <v>2</v>
      </c>
      <c r="X31" s="53" t="s">
        <v>46</v>
      </c>
      <c r="Y31" s="53" t="s">
        <v>84</v>
      </c>
      <c r="Z31" s="53" t="s">
        <v>90</v>
      </c>
      <c r="AA31" s="53" t="s">
        <v>50</v>
      </c>
      <c r="AB31" s="53" t="s">
        <v>240</v>
      </c>
    </row>
    <row r="32" spans="1:48" x14ac:dyDescent="0.15">
      <c r="A32" s="53" t="s">
        <v>56</v>
      </c>
      <c r="B32" s="53" t="s">
        <v>236</v>
      </c>
      <c r="C32" s="53">
        <v>2019</v>
      </c>
      <c r="D32" s="81" t="s">
        <v>237</v>
      </c>
      <c r="E32" s="53" t="s">
        <v>162</v>
      </c>
      <c r="F32" s="53" t="s">
        <v>253</v>
      </c>
      <c r="G32" s="53" t="s">
        <v>42</v>
      </c>
      <c r="H32" s="53" t="s">
        <v>128</v>
      </c>
      <c r="I32" s="53" t="s">
        <v>159</v>
      </c>
      <c r="J32" s="53" t="s">
        <v>80</v>
      </c>
      <c r="K32" s="53" t="s">
        <v>63</v>
      </c>
      <c r="L32" s="53">
        <v>1</v>
      </c>
      <c r="N32" s="53">
        <v>5</v>
      </c>
      <c r="O32" s="53">
        <v>0.6</v>
      </c>
      <c r="P32" s="53">
        <v>0.6</v>
      </c>
      <c r="Q32" s="16">
        <f t="shared" si="0"/>
        <v>0.6</v>
      </c>
      <c r="R32" s="53">
        <v>15.5</v>
      </c>
      <c r="S32" s="53">
        <v>78</v>
      </c>
      <c r="T32" s="16">
        <f t="shared" si="1"/>
        <v>39</v>
      </c>
      <c r="U32" s="53">
        <v>430</v>
      </c>
      <c r="V32" s="16">
        <f t="shared" si="2"/>
        <v>3354</v>
      </c>
      <c r="W32" s="53">
        <v>2</v>
      </c>
      <c r="X32" s="53" t="s">
        <v>46</v>
      </c>
      <c r="Y32" s="53" t="s">
        <v>84</v>
      </c>
      <c r="Z32" s="53" t="s">
        <v>90</v>
      </c>
      <c r="AA32" s="53" t="s">
        <v>50</v>
      </c>
      <c r="AB32" s="53" t="s">
        <v>240</v>
      </c>
    </row>
    <row r="33" spans="1:28" x14ac:dyDescent="0.15">
      <c r="A33" s="53" t="s">
        <v>56</v>
      </c>
      <c r="B33" s="53" t="s">
        <v>236</v>
      </c>
      <c r="C33" s="53">
        <v>2019</v>
      </c>
      <c r="D33" s="81" t="s">
        <v>237</v>
      </c>
      <c r="E33" s="53" t="s">
        <v>162</v>
      </c>
      <c r="F33" s="53" t="s">
        <v>253</v>
      </c>
      <c r="G33" s="53" t="s">
        <v>42</v>
      </c>
      <c r="H33" s="53" t="s">
        <v>128</v>
      </c>
      <c r="I33" s="53" t="s">
        <v>159</v>
      </c>
      <c r="J33" s="53" t="s">
        <v>80</v>
      </c>
      <c r="K33" s="53" t="s">
        <v>63</v>
      </c>
      <c r="L33" s="53">
        <v>2</v>
      </c>
      <c r="N33" s="53">
        <v>5</v>
      </c>
      <c r="O33" s="53">
        <v>0.55000000000000004</v>
      </c>
      <c r="P33" s="53">
        <v>0.6</v>
      </c>
      <c r="Q33" s="16">
        <f t="shared" si="0"/>
        <v>0.57499999999999996</v>
      </c>
      <c r="R33" s="53">
        <v>14.9</v>
      </c>
      <c r="S33" s="53">
        <v>85</v>
      </c>
      <c r="T33" s="16">
        <f t="shared" si="1"/>
        <v>36</v>
      </c>
      <c r="U33" s="53">
        <v>430</v>
      </c>
      <c r="V33" s="16">
        <f t="shared" si="2"/>
        <v>3096</v>
      </c>
      <c r="W33" s="53">
        <v>2</v>
      </c>
      <c r="X33" s="53" t="s">
        <v>46</v>
      </c>
      <c r="Y33" s="53" t="s">
        <v>84</v>
      </c>
      <c r="Z33" s="53" t="s">
        <v>90</v>
      </c>
      <c r="AA33" s="53" t="s">
        <v>50</v>
      </c>
      <c r="AB33" s="53" t="s">
        <v>240</v>
      </c>
    </row>
    <row r="34" spans="1:28" x14ac:dyDescent="0.15">
      <c r="A34" s="53" t="s">
        <v>56</v>
      </c>
      <c r="B34" s="53" t="s">
        <v>236</v>
      </c>
      <c r="C34" s="53">
        <v>2019</v>
      </c>
      <c r="D34" s="81" t="s">
        <v>237</v>
      </c>
      <c r="E34" s="53" t="s">
        <v>162</v>
      </c>
      <c r="F34" s="53" t="s">
        <v>253</v>
      </c>
      <c r="G34" s="53" t="s">
        <v>42</v>
      </c>
      <c r="H34" s="53" t="s">
        <v>128</v>
      </c>
      <c r="I34" s="53" t="s">
        <v>159</v>
      </c>
      <c r="J34" s="53" t="s">
        <v>80</v>
      </c>
      <c r="K34" s="53" t="s">
        <v>63</v>
      </c>
      <c r="L34" s="53">
        <v>3</v>
      </c>
      <c r="N34" s="53">
        <v>5</v>
      </c>
      <c r="O34" s="53">
        <v>0.6</v>
      </c>
      <c r="P34" s="53">
        <v>0.6</v>
      </c>
      <c r="Q34" s="16">
        <f t="shared" si="0"/>
        <v>0.6</v>
      </c>
      <c r="R34" s="53">
        <v>16.399999999999999</v>
      </c>
      <c r="S34" s="53">
        <v>78</v>
      </c>
      <c r="T34" s="16">
        <f t="shared" si="1"/>
        <v>39</v>
      </c>
      <c r="U34" s="53">
        <v>430</v>
      </c>
      <c r="V34" s="16">
        <f t="shared" si="2"/>
        <v>3354</v>
      </c>
      <c r="W34" s="53">
        <v>2</v>
      </c>
      <c r="X34" s="53" t="s">
        <v>46</v>
      </c>
      <c r="Y34" s="53" t="s">
        <v>84</v>
      </c>
      <c r="Z34" s="53" t="s">
        <v>90</v>
      </c>
      <c r="AA34" s="53" t="s">
        <v>50</v>
      </c>
      <c r="AB34" s="53" t="s">
        <v>240</v>
      </c>
    </row>
    <row r="35" spans="1:28" x14ac:dyDescent="0.15">
      <c r="A35" s="53" t="s">
        <v>56</v>
      </c>
      <c r="B35" s="53" t="s">
        <v>236</v>
      </c>
      <c r="C35" s="53">
        <v>2019</v>
      </c>
      <c r="D35" s="81" t="s">
        <v>237</v>
      </c>
      <c r="E35" s="53" t="s">
        <v>260</v>
      </c>
      <c r="F35" s="53" t="s">
        <v>253</v>
      </c>
      <c r="G35" s="53" t="s">
        <v>42</v>
      </c>
      <c r="H35" s="53" t="s">
        <v>164</v>
      </c>
      <c r="I35" s="53" t="s">
        <v>159</v>
      </c>
      <c r="J35" s="53" t="s">
        <v>38</v>
      </c>
      <c r="K35" s="53" t="s">
        <v>161</v>
      </c>
      <c r="L35" s="53">
        <v>1</v>
      </c>
      <c r="N35" s="53">
        <v>1</v>
      </c>
      <c r="O35" s="53">
        <v>0.75</v>
      </c>
      <c r="P35" s="53">
        <v>0.7</v>
      </c>
      <c r="Q35" s="16">
        <f t="shared" si="0"/>
        <v>0.72499999999999998</v>
      </c>
      <c r="R35" s="53">
        <v>14</v>
      </c>
      <c r="S35" s="53">
        <v>123</v>
      </c>
      <c r="T35" s="16">
        <f t="shared" si="1"/>
        <v>27</v>
      </c>
      <c r="U35" s="53">
        <v>138</v>
      </c>
      <c r="V35" s="16">
        <f t="shared" si="2"/>
        <v>3726</v>
      </c>
      <c r="W35" s="53">
        <v>1</v>
      </c>
      <c r="X35" s="53" t="s">
        <v>39</v>
      </c>
      <c r="Y35" s="53" t="s">
        <v>84</v>
      </c>
      <c r="Z35" s="53" t="s">
        <v>90</v>
      </c>
      <c r="AA35" s="53" t="s">
        <v>50</v>
      </c>
      <c r="AB35" s="53" t="s">
        <v>240</v>
      </c>
    </row>
    <row r="36" spans="1:28" x14ac:dyDescent="0.15">
      <c r="A36" s="53" t="s">
        <v>56</v>
      </c>
      <c r="B36" s="53" t="s">
        <v>236</v>
      </c>
      <c r="C36" s="53">
        <v>2019</v>
      </c>
      <c r="D36" s="81" t="s">
        <v>237</v>
      </c>
      <c r="E36" s="53" t="s">
        <v>260</v>
      </c>
      <c r="F36" s="53" t="s">
        <v>253</v>
      </c>
      <c r="G36" s="53" t="s">
        <v>42</v>
      </c>
      <c r="H36" s="53" t="s">
        <v>164</v>
      </c>
      <c r="I36" s="53" t="s">
        <v>159</v>
      </c>
      <c r="J36" s="53" t="s">
        <v>38</v>
      </c>
      <c r="K36" s="53" t="s">
        <v>161</v>
      </c>
      <c r="L36" s="53">
        <v>2</v>
      </c>
      <c r="N36" s="53">
        <v>1</v>
      </c>
      <c r="O36" s="53">
        <v>0.7</v>
      </c>
      <c r="P36" s="53">
        <v>0.6</v>
      </c>
      <c r="Q36" s="16">
        <f t="shared" si="0"/>
        <v>0.64999999999999991</v>
      </c>
      <c r="R36" s="53">
        <v>13.5</v>
      </c>
      <c r="S36" s="53">
        <v>124</v>
      </c>
      <c r="T36" s="16">
        <f t="shared" si="1"/>
        <v>27</v>
      </c>
      <c r="U36" s="53">
        <v>138</v>
      </c>
      <c r="V36" s="16">
        <f t="shared" si="2"/>
        <v>3726</v>
      </c>
      <c r="W36" s="53">
        <v>1</v>
      </c>
      <c r="X36" s="53" t="s">
        <v>39</v>
      </c>
      <c r="Y36" s="53" t="s">
        <v>84</v>
      </c>
      <c r="Z36" s="53" t="s">
        <v>90</v>
      </c>
      <c r="AA36" s="53" t="s">
        <v>50</v>
      </c>
      <c r="AB36" s="53" t="s">
        <v>240</v>
      </c>
    </row>
    <row r="37" spans="1:28" x14ac:dyDescent="0.15">
      <c r="A37" s="53" t="s">
        <v>56</v>
      </c>
      <c r="B37" s="53" t="s">
        <v>236</v>
      </c>
      <c r="C37" s="53">
        <v>2019</v>
      </c>
      <c r="D37" s="81" t="s">
        <v>237</v>
      </c>
      <c r="E37" s="53" t="s">
        <v>260</v>
      </c>
      <c r="F37" s="53" t="s">
        <v>253</v>
      </c>
      <c r="G37" s="53" t="s">
        <v>42</v>
      </c>
      <c r="H37" s="53" t="s">
        <v>164</v>
      </c>
      <c r="I37" s="53" t="s">
        <v>159</v>
      </c>
      <c r="J37" s="53" t="s">
        <v>38</v>
      </c>
      <c r="K37" s="53" t="s">
        <v>161</v>
      </c>
      <c r="L37" s="53">
        <v>3</v>
      </c>
      <c r="N37" s="53">
        <v>1</v>
      </c>
      <c r="O37" s="53">
        <v>0.7</v>
      </c>
      <c r="P37" s="53">
        <v>0.6</v>
      </c>
      <c r="Q37" s="16">
        <f t="shared" si="0"/>
        <v>0.64999999999999991</v>
      </c>
      <c r="R37" s="53">
        <v>11.8</v>
      </c>
      <c r="S37" s="53">
        <v>129</v>
      </c>
      <c r="T37" s="16">
        <f t="shared" si="1"/>
        <v>25</v>
      </c>
      <c r="U37" s="53">
        <v>138</v>
      </c>
      <c r="V37" s="16">
        <f t="shared" si="2"/>
        <v>3450</v>
      </c>
      <c r="W37" s="53">
        <v>1</v>
      </c>
      <c r="X37" s="53" t="s">
        <v>39</v>
      </c>
      <c r="Y37" s="53" t="s">
        <v>84</v>
      </c>
      <c r="Z37" s="53" t="s">
        <v>90</v>
      </c>
      <c r="AA37" s="53" t="s">
        <v>50</v>
      </c>
      <c r="AB37" s="53" t="s">
        <v>240</v>
      </c>
    </row>
    <row r="38" spans="1:28" x14ac:dyDescent="0.15">
      <c r="A38" s="53" t="s">
        <v>56</v>
      </c>
      <c r="B38" s="53" t="s">
        <v>236</v>
      </c>
      <c r="C38" s="53">
        <v>2019</v>
      </c>
      <c r="D38" s="81" t="s">
        <v>237</v>
      </c>
      <c r="E38" s="53" t="s">
        <v>260</v>
      </c>
      <c r="F38" s="53" t="s">
        <v>253</v>
      </c>
      <c r="G38" s="53" t="s">
        <v>42</v>
      </c>
      <c r="H38" s="53" t="s">
        <v>168</v>
      </c>
      <c r="I38" s="53" t="s">
        <v>159</v>
      </c>
      <c r="J38" s="53" t="s">
        <v>38</v>
      </c>
      <c r="K38" s="53" t="s">
        <v>87</v>
      </c>
      <c r="L38" s="53">
        <v>1</v>
      </c>
      <c r="N38" s="53">
        <v>1</v>
      </c>
      <c r="O38" s="53">
        <v>0.8</v>
      </c>
      <c r="P38" s="53">
        <v>0.65</v>
      </c>
      <c r="Q38" s="16">
        <f t="shared" si="0"/>
        <v>0.72500000000000009</v>
      </c>
      <c r="R38" s="53">
        <v>14.6</v>
      </c>
      <c r="S38" s="53">
        <v>94</v>
      </c>
      <c r="T38" s="16">
        <f t="shared" si="1"/>
        <v>39</v>
      </c>
      <c r="U38" s="53">
        <v>214</v>
      </c>
      <c r="V38" s="16">
        <f t="shared" si="2"/>
        <v>8346</v>
      </c>
      <c r="W38" s="53">
        <v>1</v>
      </c>
      <c r="X38" s="53" t="s">
        <v>39</v>
      </c>
      <c r="Y38" s="53" t="s">
        <v>84</v>
      </c>
      <c r="Z38" s="53" t="s">
        <v>90</v>
      </c>
      <c r="AA38" s="53" t="s">
        <v>50</v>
      </c>
      <c r="AB38" s="53" t="s">
        <v>240</v>
      </c>
    </row>
    <row r="39" spans="1:28" x14ac:dyDescent="0.15">
      <c r="A39" s="53" t="s">
        <v>56</v>
      </c>
      <c r="B39" s="53" t="s">
        <v>236</v>
      </c>
      <c r="C39" s="53">
        <v>2019</v>
      </c>
      <c r="D39" s="81" t="s">
        <v>237</v>
      </c>
      <c r="E39" s="53" t="s">
        <v>260</v>
      </c>
      <c r="F39" s="53" t="s">
        <v>253</v>
      </c>
      <c r="G39" s="53" t="s">
        <v>42</v>
      </c>
      <c r="H39" s="53" t="s">
        <v>168</v>
      </c>
      <c r="I39" s="53" t="s">
        <v>159</v>
      </c>
      <c r="J39" s="53" t="s">
        <v>38</v>
      </c>
      <c r="K39" s="53" t="s">
        <v>87</v>
      </c>
      <c r="L39" s="53">
        <v>2</v>
      </c>
      <c r="N39" s="53">
        <v>1</v>
      </c>
      <c r="O39" s="53">
        <v>0.75</v>
      </c>
      <c r="P39" s="53">
        <v>0.75</v>
      </c>
      <c r="Q39" s="16">
        <f t="shared" si="0"/>
        <v>0.75</v>
      </c>
      <c r="R39" s="53">
        <v>13.9</v>
      </c>
      <c r="S39" s="53">
        <v>101</v>
      </c>
      <c r="T39" s="16">
        <f t="shared" si="1"/>
        <v>36</v>
      </c>
      <c r="U39" s="53">
        <v>214</v>
      </c>
      <c r="V39" s="16">
        <f t="shared" si="2"/>
        <v>7704</v>
      </c>
      <c r="W39" s="53">
        <v>1</v>
      </c>
      <c r="X39" s="53" t="s">
        <v>39</v>
      </c>
      <c r="Y39" s="53" t="s">
        <v>84</v>
      </c>
      <c r="Z39" s="53" t="s">
        <v>90</v>
      </c>
      <c r="AA39" s="53" t="s">
        <v>50</v>
      </c>
      <c r="AB39" s="53" t="s">
        <v>240</v>
      </c>
    </row>
    <row r="40" spans="1:28" x14ac:dyDescent="0.15">
      <c r="A40" s="53" t="s">
        <v>56</v>
      </c>
      <c r="B40" s="53" t="s">
        <v>236</v>
      </c>
      <c r="C40" s="53">
        <v>2019</v>
      </c>
      <c r="D40" s="81" t="s">
        <v>237</v>
      </c>
      <c r="E40" s="53" t="s">
        <v>260</v>
      </c>
      <c r="F40" s="53" t="s">
        <v>253</v>
      </c>
      <c r="G40" s="53" t="s">
        <v>42</v>
      </c>
      <c r="H40" s="53" t="s">
        <v>168</v>
      </c>
      <c r="I40" s="53" t="s">
        <v>159</v>
      </c>
      <c r="J40" s="53" t="s">
        <v>38</v>
      </c>
      <c r="K40" s="53" t="s">
        <v>87</v>
      </c>
      <c r="L40" s="53">
        <v>3</v>
      </c>
      <c r="N40" s="53">
        <v>1</v>
      </c>
      <c r="O40" s="53">
        <v>0.75</v>
      </c>
      <c r="P40" s="53">
        <v>0.8</v>
      </c>
      <c r="Q40" s="16">
        <f t="shared" si="0"/>
        <v>0.77500000000000002</v>
      </c>
      <c r="R40" s="53">
        <v>15.1</v>
      </c>
      <c r="S40" s="53">
        <v>96</v>
      </c>
      <c r="T40" s="16">
        <f t="shared" si="1"/>
        <v>39</v>
      </c>
      <c r="U40" s="53">
        <v>214</v>
      </c>
      <c r="V40" s="16">
        <f t="shared" si="2"/>
        <v>8346</v>
      </c>
      <c r="W40" s="53">
        <v>1</v>
      </c>
      <c r="X40" s="53" t="s">
        <v>39</v>
      </c>
      <c r="Y40" s="53" t="s">
        <v>84</v>
      </c>
      <c r="Z40" s="53" t="s">
        <v>90</v>
      </c>
      <c r="AA40" s="53" t="s">
        <v>50</v>
      </c>
      <c r="AB40" s="53" t="s">
        <v>240</v>
      </c>
    </row>
    <row r="41" spans="1:28" x14ac:dyDescent="0.15">
      <c r="A41" s="53" t="s">
        <v>56</v>
      </c>
      <c r="B41" s="53" t="s">
        <v>236</v>
      </c>
      <c r="C41" s="53">
        <v>2019</v>
      </c>
      <c r="D41" s="81" t="s">
        <v>237</v>
      </c>
      <c r="E41" s="53" t="s">
        <v>261</v>
      </c>
      <c r="F41" s="53" t="s">
        <v>242</v>
      </c>
      <c r="G41" s="53" t="s">
        <v>42</v>
      </c>
      <c r="H41" s="53" t="s">
        <v>164</v>
      </c>
      <c r="I41" s="53" t="s">
        <v>159</v>
      </c>
      <c r="J41" s="53" t="s">
        <v>38</v>
      </c>
      <c r="K41" s="53" t="s">
        <v>161</v>
      </c>
      <c r="L41" s="53">
        <v>1</v>
      </c>
      <c r="N41" s="53">
        <v>5</v>
      </c>
      <c r="O41" s="53">
        <v>0.7</v>
      </c>
      <c r="P41" s="53">
        <v>0.6</v>
      </c>
      <c r="Q41" s="16">
        <f t="shared" si="0"/>
        <v>0.64999999999999991</v>
      </c>
      <c r="R41" s="53">
        <v>13</v>
      </c>
      <c r="S41" s="53">
        <v>96</v>
      </c>
      <c r="T41" s="16">
        <f t="shared" si="1"/>
        <v>36</v>
      </c>
      <c r="U41" s="53">
        <v>386</v>
      </c>
      <c r="V41" s="16">
        <f t="shared" si="2"/>
        <v>2779.2000000000003</v>
      </c>
      <c r="W41" s="53">
        <v>1</v>
      </c>
      <c r="X41" s="53" t="s">
        <v>39</v>
      </c>
      <c r="Y41" s="53" t="s">
        <v>84</v>
      </c>
      <c r="Z41" s="53" t="s">
        <v>90</v>
      </c>
      <c r="AA41" s="53" t="s">
        <v>40</v>
      </c>
      <c r="AB41" s="53" t="s">
        <v>240</v>
      </c>
    </row>
    <row r="42" spans="1:28" x14ac:dyDescent="0.15">
      <c r="A42" s="53" t="s">
        <v>56</v>
      </c>
      <c r="B42" s="53" t="s">
        <v>236</v>
      </c>
      <c r="C42" s="53">
        <v>2019</v>
      </c>
      <c r="D42" s="81" t="s">
        <v>237</v>
      </c>
      <c r="E42" s="53" t="s">
        <v>261</v>
      </c>
      <c r="F42" s="53" t="s">
        <v>242</v>
      </c>
      <c r="G42" s="53" t="s">
        <v>42</v>
      </c>
      <c r="H42" s="53" t="s">
        <v>164</v>
      </c>
      <c r="I42" s="53" t="s">
        <v>159</v>
      </c>
      <c r="J42" s="53" t="s">
        <v>38</v>
      </c>
      <c r="K42" s="53" t="s">
        <v>161</v>
      </c>
      <c r="L42" s="53">
        <v>2</v>
      </c>
      <c r="N42" s="53">
        <v>5</v>
      </c>
      <c r="O42" s="53">
        <v>0.7</v>
      </c>
      <c r="P42" s="53">
        <v>0.7</v>
      </c>
      <c r="Q42" s="16">
        <f t="shared" si="0"/>
        <v>0.7</v>
      </c>
      <c r="R42" s="53">
        <v>13.9</v>
      </c>
      <c r="S42" s="53">
        <v>105</v>
      </c>
      <c r="T42" s="16">
        <f t="shared" si="1"/>
        <v>33</v>
      </c>
      <c r="U42" s="53">
        <v>386</v>
      </c>
      <c r="V42" s="16">
        <f t="shared" si="2"/>
        <v>2547.6</v>
      </c>
      <c r="W42" s="53">
        <v>1</v>
      </c>
      <c r="X42" s="53" t="s">
        <v>39</v>
      </c>
      <c r="Y42" s="53" t="s">
        <v>84</v>
      </c>
      <c r="Z42" s="53" t="s">
        <v>90</v>
      </c>
      <c r="AA42" s="53" t="s">
        <v>40</v>
      </c>
      <c r="AB42" s="53" t="s">
        <v>240</v>
      </c>
    </row>
    <row r="43" spans="1:28" x14ac:dyDescent="0.15">
      <c r="A43" s="53" t="s">
        <v>56</v>
      </c>
      <c r="B43" s="53" t="s">
        <v>236</v>
      </c>
      <c r="C43" s="53">
        <v>2019</v>
      </c>
      <c r="D43" s="81" t="s">
        <v>237</v>
      </c>
      <c r="E43" s="53" t="s">
        <v>261</v>
      </c>
      <c r="F43" s="53" t="s">
        <v>242</v>
      </c>
      <c r="G43" s="53" t="s">
        <v>42</v>
      </c>
      <c r="H43" s="53" t="s">
        <v>164</v>
      </c>
      <c r="I43" s="53" t="s">
        <v>159</v>
      </c>
      <c r="J43" s="53" t="s">
        <v>38</v>
      </c>
      <c r="K43" s="53" t="s">
        <v>161</v>
      </c>
      <c r="L43" s="53">
        <v>3</v>
      </c>
      <c r="N43" s="53">
        <v>5</v>
      </c>
      <c r="O43" s="53">
        <v>0.65</v>
      </c>
      <c r="P43" s="53">
        <v>0.55000000000000004</v>
      </c>
      <c r="Q43" s="16">
        <f t="shared" si="0"/>
        <v>0.60000000000000009</v>
      </c>
      <c r="R43" s="53">
        <v>13.7</v>
      </c>
      <c r="S43" s="53">
        <v>98</v>
      </c>
      <c r="T43" s="16">
        <f t="shared" si="1"/>
        <v>36</v>
      </c>
      <c r="U43" s="53">
        <v>386</v>
      </c>
      <c r="V43" s="16">
        <f t="shared" si="2"/>
        <v>2779.2000000000003</v>
      </c>
      <c r="W43" s="53">
        <v>1</v>
      </c>
      <c r="X43" s="53" t="s">
        <v>39</v>
      </c>
      <c r="Y43" s="53" t="s">
        <v>84</v>
      </c>
      <c r="Z43" s="53" t="s">
        <v>90</v>
      </c>
      <c r="AA43" s="53" t="s">
        <v>40</v>
      </c>
      <c r="AB43" s="53" t="s">
        <v>240</v>
      </c>
    </row>
    <row r="44" spans="1:28" x14ac:dyDescent="0.15">
      <c r="A44" s="53" t="s">
        <v>56</v>
      </c>
      <c r="B44" s="53" t="s">
        <v>236</v>
      </c>
      <c r="C44" s="53">
        <v>2019</v>
      </c>
      <c r="D44" s="81" t="s">
        <v>237</v>
      </c>
      <c r="E44" s="53" t="s">
        <v>261</v>
      </c>
      <c r="F44" s="53" t="s">
        <v>242</v>
      </c>
      <c r="G44" s="53" t="s">
        <v>42</v>
      </c>
      <c r="H44" s="53" t="s">
        <v>128</v>
      </c>
      <c r="I44" s="53" t="s">
        <v>159</v>
      </c>
      <c r="J44" s="53" t="s">
        <v>80</v>
      </c>
      <c r="K44" s="53" t="s">
        <v>63</v>
      </c>
      <c r="L44" s="53">
        <v>1</v>
      </c>
      <c r="N44" s="53">
        <v>4</v>
      </c>
      <c r="O44" s="53">
        <v>0.85</v>
      </c>
      <c r="P44" s="53">
        <v>0.8</v>
      </c>
      <c r="Q44" s="16">
        <f t="shared" si="0"/>
        <v>0.82499999999999996</v>
      </c>
      <c r="R44" s="53">
        <v>16.100000000000001</v>
      </c>
      <c r="S44" s="53">
        <v>105</v>
      </c>
      <c r="T44" s="16">
        <f t="shared" si="1"/>
        <v>33</v>
      </c>
      <c r="U44" s="53">
        <v>386</v>
      </c>
      <c r="V44" s="16">
        <f t="shared" si="2"/>
        <v>3184.5</v>
      </c>
      <c r="W44" s="53">
        <v>1</v>
      </c>
      <c r="X44" s="53" t="s">
        <v>39</v>
      </c>
      <c r="Y44" s="53" t="s">
        <v>84</v>
      </c>
      <c r="Z44" s="53" t="s">
        <v>90</v>
      </c>
      <c r="AA44" s="53" t="s">
        <v>40</v>
      </c>
      <c r="AB44" s="53" t="s">
        <v>240</v>
      </c>
    </row>
    <row r="45" spans="1:28" x14ac:dyDescent="0.15">
      <c r="A45" s="53" t="s">
        <v>56</v>
      </c>
      <c r="B45" s="53" t="s">
        <v>236</v>
      </c>
      <c r="C45" s="53">
        <v>2019</v>
      </c>
      <c r="D45" s="81" t="s">
        <v>237</v>
      </c>
      <c r="E45" s="53" t="s">
        <v>261</v>
      </c>
      <c r="F45" s="53" t="s">
        <v>242</v>
      </c>
      <c r="G45" s="53" t="s">
        <v>42</v>
      </c>
      <c r="H45" s="53" t="s">
        <v>128</v>
      </c>
      <c r="I45" s="53" t="s">
        <v>159</v>
      </c>
      <c r="J45" s="53" t="s">
        <v>80</v>
      </c>
      <c r="K45" s="53" t="s">
        <v>63</v>
      </c>
      <c r="L45" s="53">
        <v>2</v>
      </c>
      <c r="N45" s="53">
        <v>4</v>
      </c>
      <c r="O45" s="53">
        <v>0.75</v>
      </c>
      <c r="P45" s="53">
        <v>0.75</v>
      </c>
      <c r="Q45" s="16">
        <f t="shared" si="0"/>
        <v>0.75</v>
      </c>
      <c r="R45" s="53">
        <v>15.4</v>
      </c>
      <c r="S45" s="53">
        <v>83</v>
      </c>
      <c r="T45" s="16">
        <f t="shared" si="1"/>
        <v>39</v>
      </c>
      <c r="U45" s="53">
        <v>386</v>
      </c>
      <c r="V45" s="16">
        <f t="shared" si="2"/>
        <v>3763.5</v>
      </c>
      <c r="W45" s="53">
        <v>1</v>
      </c>
      <c r="X45" s="53" t="s">
        <v>39</v>
      </c>
      <c r="Y45" s="53" t="s">
        <v>84</v>
      </c>
      <c r="Z45" s="53" t="s">
        <v>90</v>
      </c>
      <c r="AA45" s="53" t="s">
        <v>40</v>
      </c>
      <c r="AB45" s="53" t="s">
        <v>240</v>
      </c>
    </row>
    <row r="46" spans="1:28" x14ac:dyDescent="0.15">
      <c r="A46" s="53" t="s">
        <v>56</v>
      </c>
      <c r="B46" s="53" t="s">
        <v>236</v>
      </c>
      <c r="C46" s="53">
        <v>2019</v>
      </c>
      <c r="D46" s="81" t="s">
        <v>237</v>
      </c>
      <c r="E46" s="53" t="s">
        <v>261</v>
      </c>
      <c r="F46" s="53" t="s">
        <v>242</v>
      </c>
      <c r="G46" s="53" t="s">
        <v>42</v>
      </c>
      <c r="H46" s="53" t="s">
        <v>128</v>
      </c>
      <c r="I46" s="53" t="s">
        <v>159</v>
      </c>
      <c r="J46" s="53" t="s">
        <v>80</v>
      </c>
      <c r="K46" s="53" t="s">
        <v>63</v>
      </c>
      <c r="L46" s="53">
        <v>3</v>
      </c>
      <c r="N46" s="53">
        <v>4</v>
      </c>
      <c r="O46" s="53">
        <v>0.7</v>
      </c>
      <c r="P46" s="53">
        <v>0.6</v>
      </c>
      <c r="Q46" s="16">
        <f t="shared" si="0"/>
        <v>0.64999999999999991</v>
      </c>
      <c r="R46" s="53">
        <v>14.6</v>
      </c>
      <c r="S46" s="53">
        <v>97</v>
      </c>
      <c r="T46" s="16">
        <f t="shared" si="1"/>
        <v>36</v>
      </c>
      <c r="U46" s="53">
        <v>386</v>
      </c>
      <c r="V46" s="16">
        <f t="shared" si="2"/>
        <v>3474</v>
      </c>
      <c r="W46" s="53">
        <v>1</v>
      </c>
      <c r="X46" s="53" t="s">
        <v>39</v>
      </c>
      <c r="Y46" s="53" t="s">
        <v>84</v>
      </c>
      <c r="Z46" s="53" t="s">
        <v>90</v>
      </c>
      <c r="AA46" s="53" t="s">
        <v>40</v>
      </c>
      <c r="AB46" s="53" t="s">
        <v>240</v>
      </c>
    </row>
    <row r="47" spans="1:28" x14ac:dyDescent="0.15">
      <c r="A47" s="53" t="s">
        <v>56</v>
      </c>
      <c r="B47" s="53" t="s">
        <v>236</v>
      </c>
      <c r="C47" s="53">
        <v>2019</v>
      </c>
      <c r="D47" s="81" t="s">
        <v>237</v>
      </c>
      <c r="E47" s="53" t="s">
        <v>247</v>
      </c>
      <c r="F47" s="53" t="s">
        <v>255</v>
      </c>
      <c r="G47" s="53" t="s">
        <v>42</v>
      </c>
      <c r="H47" s="53" t="s">
        <v>164</v>
      </c>
      <c r="I47" s="53" t="s">
        <v>159</v>
      </c>
      <c r="J47" s="53" t="s">
        <v>38</v>
      </c>
      <c r="K47" s="53" t="s">
        <v>161</v>
      </c>
      <c r="L47" s="53">
        <v>1</v>
      </c>
      <c r="N47" s="53">
        <v>5</v>
      </c>
      <c r="O47" s="53">
        <v>0.65</v>
      </c>
      <c r="P47" s="53">
        <v>0.65</v>
      </c>
      <c r="Q47" s="16">
        <f t="shared" si="0"/>
        <v>0.65</v>
      </c>
      <c r="R47" s="53">
        <v>14.5</v>
      </c>
      <c r="S47" s="53">
        <v>96</v>
      </c>
      <c r="T47" s="16">
        <f t="shared" si="1"/>
        <v>36</v>
      </c>
      <c r="U47" s="53">
        <v>430</v>
      </c>
      <c r="V47" s="16">
        <f t="shared" si="2"/>
        <v>3096</v>
      </c>
      <c r="W47" s="53">
        <v>4</v>
      </c>
      <c r="X47" s="53" t="s">
        <v>46</v>
      </c>
      <c r="Y47" s="53" t="s">
        <v>84</v>
      </c>
      <c r="Z47" s="53" t="s">
        <v>90</v>
      </c>
      <c r="AA47" s="53" t="s">
        <v>50</v>
      </c>
      <c r="AB47" s="53" t="s">
        <v>240</v>
      </c>
    </row>
    <row r="48" spans="1:28" x14ac:dyDescent="0.15">
      <c r="A48" s="53" t="s">
        <v>56</v>
      </c>
      <c r="B48" s="53" t="s">
        <v>236</v>
      </c>
      <c r="C48" s="53">
        <v>2019</v>
      </c>
      <c r="D48" s="81" t="s">
        <v>237</v>
      </c>
      <c r="E48" s="53" t="s">
        <v>247</v>
      </c>
      <c r="F48" s="53" t="s">
        <v>255</v>
      </c>
      <c r="G48" s="53" t="s">
        <v>42</v>
      </c>
      <c r="H48" s="53" t="s">
        <v>164</v>
      </c>
      <c r="I48" s="53" t="s">
        <v>159</v>
      </c>
      <c r="J48" s="53" t="s">
        <v>38</v>
      </c>
      <c r="K48" s="53" t="s">
        <v>161</v>
      </c>
      <c r="L48" s="53">
        <v>2</v>
      </c>
      <c r="N48" s="53">
        <v>5</v>
      </c>
      <c r="O48" s="53">
        <v>0.65</v>
      </c>
      <c r="P48" s="53">
        <v>0.7</v>
      </c>
      <c r="Q48" s="16">
        <f t="shared" si="0"/>
        <v>0.67500000000000004</v>
      </c>
      <c r="R48" s="53">
        <v>13</v>
      </c>
      <c r="S48" s="53">
        <v>97</v>
      </c>
      <c r="T48" s="16">
        <f t="shared" si="1"/>
        <v>36</v>
      </c>
      <c r="U48" s="53">
        <v>430</v>
      </c>
      <c r="V48" s="16">
        <f t="shared" si="2"/>
        <v>3096</v>
      </c>
      <c r="W48" s="53">
        <v>4</v>
      </c>
      <c r="X48" s="53" t="s">
        <v>46</v>
      </c>
      <c r="Y48" s="53" t="s">
        <v>84</v>
      </c>
      <c r="Z48" s="53" t="s">
        <v>90</v>
      </c>
      <c r="AA48" s="53" t="s">
        <v>50</v>
      </c>
      <c r="AB48" s="53" t="s">
        <v>240</v>
      </c>
    </row>
    <row r="49" spans="1:28" x14ac:dyDescent="0.15">
      <c r="A49" s="53" t="s">
        <v>56</v>
      </c>
      <c r="B49" s="53" t="s">
        <v>236</v>
      </c>
      <c r="C49" s="53">
        <v>2019</v>
      </c>
      <c r="D49" s="81" t="s">
        <v>237</v>
      </c>
      <c r="E49" s="53" t="s">
        <v>247</v>
      </c>
      <c r="F49" s="53" t="s">
        <v>255</v>
      </c>
      <c r="G49" s="53" t="s">
        <v>42</v>
      </c>
      <c r="H49" s="53" t="s">
        <v>164</v>
      </c>
      <c r="I49" s="53" t="s">
        <v>159</v>
      </c>
      <c r="J49" s="53" t="s">
        <v>38</v>
      </c>
      <c r="K49" s="53" t="s">
        <v>161</v>
      </c>
      <c r="L49" s="53">
        <v>3</v>
      </c>
      <c r="N49" s="53">
        <v>5</v>
      </c>
      <c r="O49" s="53">
        <v>0.55000000000000004</v>
      </c>
      <c r="P49" s="53">
        <v>0.6</v>
      </c>
      <c r="Q49" s="16">
        <f t="shared" si="0"/>
        <v>0.57499999999999996</v>
      </c>
      <c r="R49" s="53">
        <v>13.6</v>
      </c>
      <c r="S49" s="53">
        <v>92</v>
      </c>
      <c r="T49" s="16">
        <f t="shared" si="1"/>
        <v>36</v>
      </c>
      <c r="U49" s="53">
        <v>430</v>
      </c>
      <c r="V49" s="16">
        <f t="shared" si="2"/>
        <v>3096</v>
      </c>
      <c r="W49" s="53">
        <v>4</v>
      </c>
      <c r="X49" s="53" t="s">
        <v>46</v>
      </c>
      <c r="Y49" s="53" t="s">
        <v>84</v>
      </c>
      <c r="Z49" s="53" t="s">
        <v>90</v>
      </c>
      <c r="AA49" s="53" t="s">
        <v>50</v>
      </c>
      <c r="AB49" s="53" t="s">
        <v>240</v>
      </c>
    </row>
    <row r="50" spans="1:28" x14ac:dyDescent="0.15">
      <c r="A50" s="53" t="s">
        <v>56</v>
      </c>
      <c r="B50" s="53" t="s">
        <v>236</v>
      </c>
      <c r="C50" s="53">
        <v>2019</v>
      </c>
      <c r="D50" s="81" t="s">
        <v>237</v>
      </c>
      <c r="E50" s="53" t="s">
        <v>247</v>
      </c>
      <c r="F50" s="53" t="s">
        <v>255</v>
      </c>
      <c r="G50" s="53" t="s">
        <v>42</v>
      </c>
      <c r="H50" s="53" t="s">
        <v>168</v>
      </c>
      <c r="I50" s="53" t="s">
        <v>159</v>
      </c>
      <c r="J50" s="53" t="s">
        <v>38</v>
      </c>
      <c r="K50" s="53" t="s">
        <v>87</v>
      </c>
      <c r="L50" s="53">
        <v>1</v>
      </c>
      <c r="N50" s="53">
        <v>1</v>
      </c>
      <c r="O50" s="53">
        <v>0.75</v>
      </c>
      <c r="P50" s="53">
        <v>0.85</v>
      </c>
      <c r="Q50" s="16">
        <f t="shared" si="0"/>
        <v>0.8</v>
      </c>
      <c r="R50" s="53">
        <v>15.8</v>
      </c>
      <c r="S50" s="53">
        <v>123</v>
      </c>
      <c r="T50" s="16">
        <f t="shared" si="1"/>
        <v>30</v>
      </c>
      <c r="U50" s="53">
        <v>162</v>
      </c>
      <c r="V50" s="16">
        <f t="shared" si="2"/>
        <v>4860</v>
      </c>
      <c r="W50" s="53">
        <v>2</v>
      </c>
      <c r="X50" s="53" t="s">
        <v>46</v>
      </c>
      <c r="Y50" s="53" t="s">
        <v>84</v>
      </c>
      <c r="Z50" s="53" t="s">
        <v>90</v>
      </c>
      <c r="AA50" s="53" t="s">
        <v>50</v>
      </c>
      <c r="AB50" s="53" t="s">
        <v>240</v>
      </c>
    </row>
    <row r="51" spans="1:28" x14ac:dyDescent="0.15">
      <c r="A51" s="53" t="s">
        <v>56</v>
      </c>
      <c r="B51" s="53" t="s">
        <v>236</v>
      </c>
      <c r="C51" s="53">
        <v>2019</v>
      </c>
      <c r="D51" s="81" t="s">
        <v>237</v>
      </c>
      <c r="E51" s="53" t="s">
        <v>247</v>
      </c>
      <c r="F51" s="53" t="s">
        <v>255</v>
      </c>
      <c r="G51" s="53" t="s">
        <v>42</v>
      </c>
      <c r="H51" s="53" t="s">
        <v>168</v>
      </c>
      <c r="I51" s="53" t="s">
        <v>159</v>
      </c>
      <c r="J51" s="53" t="s">
        <v>38</v>
      </c>
      <c r="K51" s="53" t="s">
        <v>87</v>
      </c>
      <c r="L51" s="53">
        <v>2</v>
      </c>
      <c r="N51" s="53">
        <v>1</v>
      </c>
      <c r="O51" s="53">
        <v>1</v>
      </c>
      <c r="P51" s="53">
        <v>1</v>
      </c>
      <c r="Q51" s="16">
        <f t="shared" si="0"/>
        <v>1</v>
      </c>
      <c r="R51" s="53">
        <v>15.4</v>
      </c>
      <c r="S51" s="53">
        <v>118</v>
      </c>
      <c r="T51" s="16">
        <f t="shared" si="1"/>
        <v>33</v>
      </c>
      <c r="U51" s="53">
        <v>162</v>
      </c>
      <c r="V51" s="16">
        <f t="shared" si="2"/>
        <v>5346</v>
      </c>
      <c r="W51" s="53">
        <v>2</v>
      </c>
      <c r="X51" s="53" t="s">
        <v>46</v>
      </c>
      <c r="Y51" s="53" t="s">
        <v>84</v>
      </c>
      <c r="Z51" s="53" t="s">
        <v>90</v>
      </c>
      <c r="AA51" s="53" t="s">
        <v>50</v>
      </c>
      <c r="AB51" s="53" t="s">
        <v>240</v>
      </c>
    </row>
    <row r="52" spans="1:28" x14ac:dyDescent="0.15">
      <c r="A52" s="53" t="s">
        <v>56</v>
      </c>
      <c r="B52" s="53" t="s">
        <v>236</v>
      </c>
      <c r="C52" s="53">
        <v>2019</v>
      </c>
      <c r="D52" s="81" t="s">
        <v>237</v>
      </c>
      <c r="E52" s="53" t="s">
        <v>247</v>
      </c>
      <c r="F52" s="53" t="s">
        <v>255</v>
      </c>
      <c r="G52" s="53" t="s">
        <v>42</v>
      </c>
      <c r="H52" s="53" t="s">
        <v>168</v>
      </c>
      <c r="I52" s="53" t="s">
        <v>159</v>
      </c>
      <c r="J52" s="53" t="s">
        <v>38</v>
      </c>
      <c r="K52" s="53" t="s">
        <v>87</v>
      </c>
      <c r="L52" s="53">
        <v>3</v>
      </c>
      <c r="N52" s="53">
        <v>1</v>
      </c>
      <c r="O52" s="53">
        <v>1</v>
      </c>
      <c r="P52" s="53">
        <v>0.85</v>
      </c>
      <c r="Q52" s="16">
        <f t="shared" si="0"/>
        <v>0.92500000000000004</v>
      </c>
      <c r="R52" s="53">
        <v>12.8</v>
      </c>
      <c r="S52" s="53">
        <v>116</v>
      </c>
      <c r="T52" s="16">
        <f t="shared" si="1"/>
        <v>33</v>
      </c>
      <c r="U52" s="53">
        <v>162</v>
      </c>
      <c r="V52" s="16">
        <f t="shared" si="2"/>
        <v>5346</v>
      </c>
      <c r="W52" s="53">
        <v>2</v>
      </c>
      <c r="X52" s="53" t="s">
        <v>46</v>
      </c>
      <c r="Y52" s="53" t="s">
        <v>84</v>
      </c>
      <c r="Z52" s="53" t="s">
        <v>90</v>
      </c>
      <c r="AA52" s="53" t="s">
        <v>50</v>
      </c>
      <c r="AB52" s="53" t="s">
        <v>240</v>
      </c>
    </row>
    <row r="53" spans="1:28" x14ac:dyDescent="0.15">
      <c r="A53" s="53" t="s">
        <v>56</v>
      </c>
      <c r="B53" s="53" t="s">
        <v>236</v>
      </c>
      <c r="C53" s="53">
        <v>2019</v>
      </c>
      <c r="D53" s="81" t="s">
        <v>237</v>
      </c>
      <c r="E53" s="53" t="s">
        <v>262</v>
      </c>
      <c r="F53" s="53" t="s">
        <v>255</v>
      </c>
      <c r="G53" s="53" t="s">
        <v>42</v>
      </c>
      <c r="H53" s="53" t="s">
        <v>164</v>
      </c>
      <c r="I53" s="53" t="s">
        <v>159</v>
      </c>
      <c r="J53" s="53" t="s">
        <v>38</v>
      </c>
      <c r="K53" s="53" t="s">
        <v>161</v>
      </c>
      <c r="L53" s="53">
        <v>1</v>
      </c>
      <c r="N53" s="53">
        <v>5</v>
      </c>
      <c r="O53" s="53">
        <v>0.65</v>
      </c>
      <c r="P53" s="53">
        <v>0.6</v>
      </c>
      <c r="Q53" s="16">
        <f t="shared" si="0"/>
        <v>0.625</v>
      </c>
      <c r="R53" s="53">
        <v>15.4</v>
      </c>
      <c r="S53" s="53">
        <v>100</v>
      </c>
      <c r="T53" s="16">
        <f t="shared" si="1"/>
        <v>33</v>
      </c>
      <c r="U53" s="53">
        <v>429</v>
      </c>
      <c r="V53" s="16">
        <f t="shared" si="2"/>
        <v>2831.4</v>
      </c>
      <c r="W53" s="53">
        <v>4</v>
      </c>
      <c r="X53" s="53" t="s">
        <v>46</v>
      </c>
      <c r="Y53" s="53" t="s">
        <v>84</v>
      </c>
      <c r="Z53" s="53" t="s">
        <v>90</v>
      </c>
      <c r="AA53" s="53" t="s">
        <v>50</v>
      </c>
      <c r="AB53" s="53" t="s">
        <v>240</v>
      </c>
    </row>
    <row r="54" spans="1:28" x14ac:dyDescent="0.15">
      <c r="A54" s="53" t="s">
        <v>56</v>
      </c>
      <c r="B54" s="53" t="s">
        <v>236</v>
      </c>
      <c r="C54" s="53">
        <v>2019</v>
      </c>
      <c r="D54" s="81" t="s">
        <v>237</v>
      </c>
      <c r="E54" s="53" t="s">
        <v>262</v>
      </c>
      <c r="F54" s="53" t="s">
        <v>255</v>
      </c>
      <c r="G54" s="53" t="s">
        <v>42</v>
      </c>
      <c r="H54" s="53" t="s">
        <v>164</v>
      </c>
      <c r="I54" s="53" t="s">
        <v>159</v>
      </c>
      <c r="J54" s="53" t="s">
        <v>38</v>
      </c>
      <c r="K54" s="53" t="s">
        <v>161</v>
      </c>
      <c r="L54" s="53">
        <v>2</v>
      </c>
      <c r="N54" s="53">
        <v>5</v>
      </c>
      <c r="O54" s="53">
        <v>0.6</v>
      </c>
      <c r="P54" s="53">
        <v>0.6</v>
      </c>
      <c r="Q54" s="16">
        <f t="shared" si="0"/>
        <v>0.6</v>
      </c>
      <c r="R54" s="53">
        <v>14.6</v>
      </c>
      <c r="S54" s="53">
        <v>99</v>
      </c>
      <c r="T54" s="16">
        <f t="shared" si="1"/>
        <v>33</v>
      </c>
      <c r="U54" s="53">
        <v>429</v>
      </c>
      <c r="V54" s="16">
        <f t="shared" si="2"/>
        <v>2831.4</v>
      </c>
      <c r="W54" s="53">
        <v>4</v>
      </c>
      <c r="X54" s="53" t="s">
        <v>46</v>
      </c>
      <c r="Y54" s="53" t="s">
        <v>84</v>
      </c>
      <c r="Z54" s="53" t="s">
        <v>90</v>
      </c>
      <c r="AA54" s="53" t="s">
        <v>50</v>
      </c>
      <c r="AB54" s="53" t="s">
        <v>240</v>
      </c>
    </row>
    <row r="55" spans="1:28" x14ac:dyDescent="0.15">
      <c r="A55" s="53" t="s">
        <v>56</v>
      </c>
      <c r="B55" s="53" t="s">
        <v>236</v>
      </c>
      <c r="C55" s="53">
        <v>2019</v>
      </c>
      <c r="D55" s="81" t="s">
        <v>237</v>
      </c>
      <c r="E55" s="53" t="s">
        <v>262</v>
      </c>
      <c r="F55" s="53" t="s">
        <v>255</v>
      </c>
      <c r="G55" s="53" t="s">
        <v>42</v>
      </c>
      <c r="H55" s="53" t="s">
        <v>164</v>
      </c>
      <c r="I55" s="53" t="s">
        <v>159</v>
      </c>
      <c r="J55" s="53" t="s">
        <v>38</v>
      </c>
      <c r="K55" s="53" t="s">
        <v>161</v>
      </c>
      <c r="L55" s="53">
        <v>3</v>
      </c>
      <c r="N55" s="53">
        <v>5</v>
      </c>
      <c r="O55" s="53">
        <v>0.75</v>
      </c>
      <c r="P55" s="53">
        <v>0.6</v>
      </c>
      <c r="Q55" s="16">
        <f t="shared" si="0"/>
        <v>0.67500000000000004</v>
      </c>
      <c r="R55" s="53">
        <v>14.6</v>
      </c>
      <c r="S55" s="53">
        <v>101</v>
      </c>
      <c r="T55" s="16">
        <f t="shared" si="1"/>
        <v>33</v>
      </c>
      <c r="U55" s="53">
        <v>429</v>
      </c>
      <c r="V55" s="16">
        <f t="shared" si="2"/>
        <v>2831.4</v>
      </c>
      <c r="W55" s="53">
        <v>4</v>
      </c>
      <c r="X55" s="53" t="s">
        <v>46</v>
      </c>
      <c r="Y55" s="53" t="s">
        <v>84</v>
      </c>
      <c r="Z55" s="53" t="s">
        <v>90</v>
      </c>
      <c r="AA55" s="53" t="s">
        <v>50</v>
      </c>
      <c r="AB55" s="53" t="s">
        <v>240</v>
      </c>
    </row>
    <row r="56" spans="1:28" x14ac:dyDescent="0.15">
      <c r="D56" s="81"/>
    </row>
    <row r="57" spans="1:28" x14ac:dyDescent="0.15">
      <c r="D57" s="81"/>
    </row>
    <row r="58" spans="1:28" x14ac:dyDescent="0.15">
      <c r="D58" s="81"/>
    </row>
    <row r="59" spans="1:28" x14ac:dyDescent="0.15">
      <c r="D59" s="81"/>
    </row>
    <row r="60" spans="1:28" x14ac:dyDescent="0.15">
      <c r="D60" s="81"/>
    </row>
    <row r="61" spans="1:28" x14ac:dyDescent="0.15">
      <c r="D61" s="81"/>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12ED0068-9EEB-409B-8863-3A165D3D04C4}">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8B8926EE-011B-4072-B240-DA5C29921B5A}">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46C9D9AE-16FD-40C1-BA4A-46C0D79DC71A}">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26F66FD6-7032-44A8-A627-70A39BE0C3E1}">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50E2E702-750A-4866-ACF5-EE5A51140E94}">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2AB26ECE-E9B1-4854-9CDC-33005CC56C44}"/>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343A3EE6-4BA4-4AFD-B5A9-7ACA5F4EEBC0}">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122810CB-EF2F-471C-B866-98440D483E04}">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F89A6FA1-6664-4F0F-900C-D732C4DBDE2B}">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15C8B272-65C2-4600-A36C-4E74E29C183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839B3F7A-DF66-4450-A041-8A828D1DDC29}">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A2E83241-83ED-4755-876B-99782908B257}">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F70E5B34-8BDD-4251-AECC-F0B7EB2411D3}">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D43B77B0-2FF2-4593-8852-FA5B064DF62D}">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886796AB-6438-48F7-BCF3-B59838FD5D79}">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65:O500 P2:P500" xr:uid="{5171D643-125A-4A57-A986-5D235704DA2C}">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0AF75D8F-0C95-48DE-8186-233888F8B355}">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1369414F-DC26-486B-967B-3F7CC45237ED}">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5AF-0FC8-4478-90A5-5CCEDA8218CC}">
  <dimension ref="A1:BA91"/>
  <sheetViews>
    <sheetView zoomScale="70" zoomScaleNormal="70" workbookViewId="0">
      <selection activeCell="A2" sqref="A2"/>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169</v>
      </c>
      <c r="C1" s="85" t="s">
        <v>170</v>
      </c>
      <c r="D1" s="86" t="s">
        <v>3</v>
      </c>
      <c r="E1" s="87" t="s">
        <v>4</v>
      </c>
      <c r="F1" s="87" t="s">
        <v>5</v>
      </c>
      <c r="G1" s="87" t="s">
        <v>6</v>
      </c>
      <c r="H1" s="87" t="s">
        <v>7</v>
      </c>
      <c r="I1" s="87" t="s">
        <v>8</v>
      </c>
      <c r="J1" s="87" t="s">
        <v>9</v>
      </c>
      <c r="K1" s="87" t="s">
        <v>10</v>
      </c>
      <c r="L1" s="86" t="s">
        <v>171</v>
      </c>
      <c r="M1" s="86" t="s">
        <v>172</v>
      </c>
      <c r="N1" s="86" t="s">
        <v>13</v>
      </c>
      <c r="O1" s="86" t="s">
        <v>173</v>
      </c>
      <c r="P1" s="86" t="s">
        <v>174</v>
      </c>
      <c r="Q1" s="88" t="s">
        <v>175</v>
      </c>
      <c r="R1" s="86" t="s">
        <v>176</v>
      </c>
      <c r="S1" s="86" t="s">
        <v>177</v>
      </c>
      <c r="T1" s="88" t="s">
        <v>19</v>
      </c>
      <c r="U1" s="89" t="s">
        <v>108</v>
      </c>
      <c r="V1" s="90" t="s">
        <v>20</v>
      </c>
      <c r="W1" s="86" t="s">
        <v>178</v>
      </c>
      <c r="X1" s="87" t="s">
        <v>22</v>
      </c>
      <c r="Y1" s="87" t="s">
        <v>23</v>
      </c>
      <c r="Z1" s="87" t="s">
        <v>24</v>
      </c>
      <c r="AA1" s="91" t="s">
        <v>25</v>
      </c>
      <c r="AB1" s="92" t="s">
        <v>179</v>
      </c>
      <c r="AE1" s="94" t="s">
        <v>0</v>
      </c>
      <c r="AF1" s="95"/>
      <c r="AG1" s="94" t="s">
        <v>4</v>
      </c>
      <c r="AH1" s="94" t="s">
        <v>5</v>
      </c>
      <c r="AI1" s="95"/>
      <c r="AJ1" s="94" t="s">
        <v>6</v>
      </c>
      <c r="AK1" s="95"/>
      <c r="AL1" s="96" t="s">
        <v>7</v>
      </c>
      <c r="AM1" s="95"/>
      <c r="AN1" s="96" t="s">
        <v>8</v>
      </c>
      <c r="AO1" s="95"/>
      <c r="AP1" s="96" t="s">
        <v>27</v>
      </c>
      <c r="AQ1" s="95"/>
      <c r="AR1" s="96" t="s">
        <v>10</v>
      </c>
      <c r="AS1" s="95"/>
      <c r="AT1" s="97" t="s">
        <v>180</v>
      </c>
      <c r="AU1" s="95"/>
      <c r="AV1" s="96" t="s">
        <v>29</v>
      </c>
      <c r="AX1" s="98" t="s">
        <v>263</v>
      </c>
      <c r="AY1" s="99" t="s">
        <v>182</v>
      </c>
      <c r="AZ1" s="99" t="s">
        <v>264</v>
      </c>
      <c r="BA1" s="100" t="s">
        <v>184</v>
      </c>
    </row>
    <row r="2" spans="1:53" x14ac:dyDescent="0.15">
      <c r="A2" s="93" t="s">
        <v>51</v>
      </c>
      <c r="B2" s="93" t="s">
        <v>157</v>
      </c>
      <c r="C2" s="93">
        <v>2019</v>
      </c>
      <c r="D2" s="101" t="s">
        <v>265</v>
      </c>
      <c r="E2" s="93" t="s">
        <v>266</v>
      </c>
      <c r="F2" s="93" t="s">
        <v>267</v>
      </c>
      <c r="G2" s="93" t="s">
        <v>42</v>
      </c>
      <c r="H2" s="93" t="s">
        <v>164</v>
      </c>
      <c r="I2" s="93" t="s">
        <v>159</v>
      </c>
      <c r="J2" s="93" t="s">
        <v>38</v>
      </c>
      <c r="K2" s="93" t="s">
        <v>161</v>
      </c>
      <c r="L2" s="93">
        <v>1</v>
      </c>
      <c r="N2" s="93">
        <v>1</v>
      </c>
      <c r="O2" s="93">
        <v>0.65</v>
      </c>
      <c r="P2" s="93">
        <v>0.7</v>
      </c>
      <c r="Q2" s="102">
        <f t="shared" ref="Q2:Q65" si="0">IF(OR(O2="",P2=""),"",AVERAGE(O2,P2))</f>
        <v>0.67500000000000004</v>
      </c>
      <c r="R2" s="93">
        <v>15.1</v>
      </c>
      <c r="S2" s="93">
        <v>120</v>
      </c>
      <c r="T2" s="103">
        <f t="shared" ref="T2:T65" si="1">IF(H2="","",IF(OR(H2="GREEN",H2="GK"),IF(S2&gt;=$AX$2,VLOOKUP(S2,$AX$2:$AY$12,2,1),""),IF(S2&gt;=$AZ$2,VLOOKUP(S2,$AZ$2:$BA$12,2,1),"")))</f>
        <v>30</v>
      </c>
      <c r="U2" s="93">
        <v>98</v>
      </c>
      <c r="V2" s="104">
        <f t="shared" ref="V2:V65" si="2">IF(OR(N2="",U2="",T2=""),"",U2/N2*T2)</f>
        <v>2940</v>
      </c>
      <c r="W2" s="93">
        <v>5</v>
      </c>
      <c r="X2" s="93" t="s">
        <v>39</v>
      </c>
      <c r="Y2" s="93" t="s">
        <v>84</v>
      </c>
      <c r="Z2" s="93" t="s">
        <v>69</v>
      </c>
      <c r="AA2" s="93" t="s">
        <v>90</v>
      </c>
      <c r="AB2" s="93" t="s">
        <v>158</v>
      </c>
      <c r="AE2" s="105" t="s">
        <v>35</v>
      </c>
      <c r="AG2" s="106" t="s">
        <v>211</v>
      </c>
      <c r="AH2" s="106" t="s">
        <v>268</v>
      </c>
      <c r="AJ2" s="106" t="s">
        <v>36</v>
      </c>
      <c r="AL2" s="106" t="s">
        <v>187</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265</v>
      </c>
      <c r="E3" s="93" t="s">
        <v>266</v>
      </c>
      <c r="F3" s="93" t="s">
        <v>267</v>
      </c>
      <c r="G3" s="93" t="s">
        <v>42</v>
      </c>
      <c r="H3" s="93" t="s">
        <v>164</v>
      </c>
      <c r="I3" s="93" t="s">
        <v>159</v>
      </c>
      <c r="J3" s="93" t="s">
        <v>38</v>
      </c>
      <c r="K3" s="93" t="s">
        <v>161</v>
      </c>
      <c r="L3" s="93">
        <v>2</v>
      </c>
      <c r="N3" s="93">
        <v>1</v>
      </c>
      <c r="O3" s="93">
        <v>0.7</v>
      </c>
      <c r="P3" s="93">
        <v>0.7</v>
      </c>
      <c r="Q3" s="102">
        <f t="shared" si="0"/>
        <v>0.7</v>
      </c>
      <c r="R3" s="93">
        <v>15.5</v>
      </c>
      <c r="S3" s="93">
        <v>124</v>
      </c>
      <c r="T3" s="103">
        <f t="shared" si="1"/>
        <v>27</v>
      </c>
      <c r="U3" s="93">
        <v>98</v>
      </c>
      <c r="V3" s="104">
        <f t="shared" si="2"/>
        <v>2646</v>
      </c>
      <c r="W3" s="93">
        <v>5</v>
      </c>
      <c r="X3" s="93" t="s">
        <v>39</v>
      </c>
      <c r="Y3" s="93" t="s">
        <v>84</v>
      </c>
      <c r="Z3" s="93" t="s">
        <v>69</v>
      </c>
      <c r="AA3" s="93" t="s">
        <v>90</v>
      </c>
      <c r="AB3" s="93" t="s">
        <v>158</v>
      </c>
      <c r="AE3" s="110" t="s">
        <v>41</v>
      </c>
      <c r="AG3" s="106" t="s">
        <v>269</v>
      </c>
      <c r="AH3" s="106" t="s">
        <v>270</v>
      </c>
      <c r="AJ3" s="111" t="s">
        <v>42</v>
      </c>
      <c r="AL3" s="111" t="s">
        <v>189</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265</v>
      </c>
      <c r="E4" s="93" t="s">
        <v>266</v>
      </c>
      <c r="F4" s="93" t="s">
        <v>267</v>
      </c>
      <c r="G4" s="93" t="s">
        <v>42</v>
      </c>
      <c r="H4" s="93" t="s">
        <v>164</v>
      </c>
      <c r="I4" s="93" t="s">
        <v>159</v>
      </c>
      <c r="J4" s="93" t="s">
        <v>38</v>
      </c>
      <c r="K4" s="93" t="s">
        <v>161</v>
      </c>
      <c r="L4" s="93">
        <v>3</v>
      </c>
      <c r="N4" s="93">
        <v>1</v>
      </c>
      <c r="O4" s="93">
        <v>0.75</v>
      </c>
      <c r="P4" s="93">
        <v>0.65</v>
      </c>
      <c r="Q4" s="102">
        <f t="shared" si="0"/>
        <v>0.7</v>
      </c>
      <c r="R4" s="93">
        <v>15.7</v>
      </c>
      <c r="S4" s="93">
        <v>126</v>
      </c>
      <c r="T4" s="103">
        <f t="shared" si="1"/>
        <v>27</v>
      </c>
      <c r="U4" s="93">
        <v>98</v>
      </c>
      <c r="V4" s="104">
        <f t="shared" si="2"/>
        <v>2646</v>
      </c>
      <c r="W4" s="93">
        <v>5</v>
      </c>
      <c r="X4" s="93" t="s">
        <v>39</v>
      </c>
      <c r="Y4" s="93" t="s">
        <v>84</v>
      </c>
      <c r="Z4" s="93" t="s">
        <v>69</v>
      </c>
      <c r="AA4" s="93" t="s">
        <v>90</v>
      </c>
      <c r="AB4" s="93" t="s">
        <v>158</v>
      </c>
      <c r="AE4" s="110" t="s">
        <v>34</v>
      </c>
      <c r="AG4" s="106" t="s">
        <v>271</v>
      </c>
      <c r="AH4" s="106" t="s">
        <v>272</v>
      </c>
      <c r="AJ4" s="115" t="s">
        <v>48</v>
      </c>
      <c r="AL4" s="115" t="s">
        <v>192</v>
      </c>
      <c r="AN4" s="116" t="s">
        <v>193</v>
      </c>
      <c r="AP4" s="111" t="s">
        <v>194</v>
      </c>
      <c r="AR4" s="111" t="s">
        <v>195</v>
      </c>
      <c r="AT4" s="116"/>
      <c r="AV4" s="111" t="s">
        <v>50</v>
      </c>
      <c r="AX4" s="112">
        <v>75</v>
      </c>
      <c r="AY4" s="113">
        <v>42</v>
      </c>
      <c r="AZ4" s="113">
        <v>76</v>
      </c>
      <c r="BA4" s="114">
        <v>39</v>
      </c>
    </row>
    <row r="5" spans="1:53" x14ac:dyDescent="0.15">
      <c r="A5" s="93" t="s">
        <v>51</v>
      </c>
      <c r="B5" s="93" t="s">
        <v>157</v>
      </c>
      <c r="C5" s="93">
        <v>2019</v>
      </c>
      <c r="D5" s="101" t="s">
        <v>265</v>
      </c>
      <c r="E5" s="93" t="s">
        <v>269</v>
      </c>
      <c r="F5" s="93" t="s">
        <v>270</v>
      </c>
      <c r="G5" s="93" t="s">
        <v>36</v>
      </c>
      <c r="H5" s="93" t="s">
        <v>164</v>
      </c>
      <c r="I5" s="93" t="s">
        <v>159</v>
      </c>
      <c r="J5" s="93" t="s">
        <v>38</v>
      </c>
      <c r="K5" s="93" t="s">
        <v>161</v>
      </c>
      <c r="L5" s="93">
        <v>1</v>
      </c>
      <c r="N5" s="93">
        <v>1</v>
      </c>
      <c r="O5" s="93">
        <v>0.65</v>
      </c>
      <c r="P5" s="93">
        <v>0.6</v>
      </c>
      <c r="Q5" s="102">
        <f t="shared" si="0"/>
        <v>0.625</v>
      </c>
      <c r="R5" s="93">
        <v>16.100000000000001</v>
      </c>
      <c r="S5" s="93">
        <v>126</v>
      </c>
      <c r="T5" s="103">
        <f t="shared" si="1"/>
        <v>27</v>
      </c>
      <c r="U5" s="93">
        <v>138</v>
      </c>
      <c r="V5" s="104">
        <f t="shared" si="2"/>
        <v>3726</v>
      </c>
      <c r="W5" s="93">
        <v>4</v>
      </c>
      <c r="X5" s="93" t="s">
        <v>39</v>
      </c>
      <c r="Y5" s="93" t="s">
        <v>84</v>
      </c>
      <c r="Z5" s="93" t="s">
        <v>69</v>
      </c>
      <c r="AA5" s="93" t="s">
        <v>90</v>
      </c>
      <c r="AB5" s="93" t="s">
        <v>158</v>
      </c>
      <c r="AE5" s="110" t="s">
        <v>51</v>
      </c>
      <c r="AG5" s="106" t="s">
        <v>273</v>
      </c>
      <c r="AH5" s="106" t="s">
        <v>267</v>
      </c>
      <c r="AJ5" s="116"/>
      <c r="AL5" s="117" t="s">
        <v>164</v>
      </c>
      <c r="AN5" s="117" t="s">
        <v>159</v>
      </c>
      <c r="AP5" s="111" t="s">
        <v>197</v>
      </c>
      <c r="AR5" s="111" t="s">
        <v>54</v>
      </c>
      <c r="AV5" s="111" t="s">
        <v>55</v>
      </c>
      <c r="AX5" s="112">
        <v>84</v>
      </c>
      <c r="AY5" s="113">
        <v>39</v>
      </c>
      <c r="AZ5" s="113">
        <v>84</v>
      </c>
      <c r="BA5" s="114">
        <v>36</v>
      </c>
    </row>
    <row r="6" spans="1:53" x14ac:dyDescent="0.15">
      <c r="A6" s="93" t="s">
        <v>51</v>
      </c>
      <c r="B6" s="93" t="s">
        <v>157</v>
      </c>
      <c r="C6" s="93">
        <v>2019</v>
      </c>
      <c r="D6" s="101" t="s">
        <v>265</v>
      </c>
      <c r="E6" s="93" t="s">
        <v>269</v>
      </c>
      <c r="F6" s="93" t="s">
        <v>270</v>
      </c>
      <c r="G6" s="93" t="s">
        <v>36</v>
      </c>
      <c r="H6" s="93" t="s">
        <v>164</v>
      </c>
      <c r="I6" s="93" t="s">
        <v>159</v>
      </c>
      <c r="J6" s="93" t="s">
        <v>38</v>
      </c>
      <c r="K6" s="93" t="s">
        <v>161</v>
      </c>
      <c r="L6" s="93">
        <v>2</v>
      </c>
      <c r="N6" s="93">
        <v>1</v>
      </c>
      <c r="O6" s="93">
        <v>0.7</v>
      </c>
      <c r="P6" s="93">
        <v>0.7</v>
      </c>
      <c r="Q6" s="102">
        <f t="shared" si="0"/>
        <v>0.7</v>
      </c>
      <c r="R6" s="93">
        <v>15.2</v>
      </c>
      <c r="S6" s="93">
        <v>122</v>
      </c>
      <c r="T6" s="103">
        <f t="shared" si="1"/>
        <v>27</v>
      </c>
      <c r="U6" s="93">
        <v>138</v>
      </c>
      <c r="V6" s="104">
        <f t="shared" si="2"/>
        <v>3726</v>
      </c>
      <c r="W6" s="93">
        <v>4</v>
      </c>
      <c r="X6" s="93" t="s">
        <v>39</v>
      </c>
      <c r="Y6" s="93" t="s">
        <v>84</v>
      </c>
      <c r="Z6" s="93" t="s">
        <v>69</v>
      </c>
      <c r="AA6" s="93" t="s">
        <v>90</v>
      </c>
      <c r="AB6" s="93" t="s">
        <v>158</v>
      </c>
      <c r="AE6" s="110" t="s">
        <v>56</v>
      </c>
      <c r="AG6" s="106" t="s">
        <v>274</v>
      </c>
      <c r="AH6" s="106" t="s">
        <v>275</v>
      </c>
      <c r="AL6" s="117" t="s">
        <v>168</v>
      </c>
      <c r="AN6" s="117" t="s">
        <v>165</v>
      </c>
      <c r="AP6" s="111" t="s">
        <v>53</v>
      </c>
      <c r="AR6" s="111" t="s">
        <v>59</v>
      </c>
      <c r="AV6" s="111" t="s">
        <v>60</v>
      </c>
      <c r="AX6" s="112">
        <v>97</v>
      </c>
      <c r="AY6" s="113">
        <v>36</v>
      </c>
      <c r="AZ6" s="113">
        <v>99</v>
      </c>
      <c r="BA6" s="114">
        <v>33</v>
      </c>
    </row>
    <row r="7" spans="1:53" x14ac:dyDescent="0.15">
      <c r="A7" s="93" t="s">
        <v>51</v>
      </c>
      <c r="B7" s="93" t="s">
        <v>157</v>
      </c>
      <c r="C7" s="93">
        <v>2019</v>
      </c>
      <c r="D7" s="101" t="s">
        <v>265</v>
      </c>
      <c r="E7" s="93" t="s">
        <v>269</v>
      </c>
      <c r="F7" s="93" t="s">
        <v>270</v>
      </c>
      <c r="G7" s="93" t="s">
        <v>36</v>
      </c>
      <c r="H7" s="93" t="s">
        <v>164</v>
      </c>
      <c r="I7" s="93" t="s">
        <v>159</v>
      </c>
      <c r="J7" s="93" t="s">
        <v>38</v>
      </c>
      <c r="K7" s="93" t="s">
        <v>161</v>
      </c>
      <c r="L7" s="93">
        <v>3</v>
      </c>
      <c r="N7" s="93">
        <v>1</v>
      </c>
      <c r="O7" s="93">
        <v>0.65</v>
      </c>
      <c r="P7" s="93">
        <v>0.7</v>
      </c>
      <c r="Q7" s="102">
        <f t="shared" si="0"/>
        <v>0.67500000000000004</v>
      </c>
      <c r="R7" s="93">
        <v>15.6</v>
      </c>
      <c r="S7" s="93">
        <v>126</v>
      </c>
      <c r="T7" s="103">
        <f t="shared" si="1"/>
        <v>27</v>
      </c>
      <c r="U7" s="93">
        <v>138</v>
      </c>
      <c r="V7" s="104">
        <f t="shared" si="2"/>
        <v>3726</v>
      </c>
      <c r="W7" s="93">
        <v>4</v>
      </c>
      <c r="X7" s="93" t="s">
        <v>39</v>
      </c>
      <c r="Y7" s="93" t="s">
        <v>84</v>
      </c>
      <c r="Z7" s="93" t="s">
        <v>69</v>
      </c>
      <c r="AA7" s="93" t="s">
        <v>90</v>
      </c>
      <c r="AB7" s="93" t="s">
        <v>158</v>
      </c>
      <c r="AE7" s="110" t="s">
        <v>61</v>
      </c>
      <c r="AG7" s="106" t="s">
        <v>276</v>
      </c>
      <c r="AH7" s="106" t="s">
        <v>268</v>
      </c>
      <c r="AL7" s="93" t="s">
        <v>200</v>
      </c>
      <c r="AP7" s="111" t="s">
        <v>58</v>
      </c>
      <c r="AR7" s="111" t="s">
        <v>201</v>
      </c>
      <c r="AV7" s="111" t="s">
        <v>64</v>
      </c>
      <c r="AX7" s="112">
        <v>109</v>
      </c>
      <c r="AY7" s="113">
        <v>33</v>
      </c>
      <c r="AZ7" s="113">
        <v>113</v>
      </c>
      <c r="BA7" s="114">
        <v>30</v>
      </c>
    </row>
    <row r="8" spans="1:53" x14ac:dyDescent="0.15">
      <c r="A8" s="93" t="s">
        <v>51</v>
      </c>
      <c r="B8" s="93" t="s">
        <v>157</v>
      </c>
      <c r="C8" s="93">
        <v>2019</v>
      </c>
      <c r="D8" s="101" t="s">
        <v>265</v>
      </c>
      <c r="E8" s="93" t="s">
        <v>139</v>
      </c>
      <c r="F8" s="93" t="s">
        <v>277</v>
      </c>
      <c r="G8" s="93" t="s">
        <v>42</v>
      </c>
      <c r="H8" s="93" t="s">
        <v>164</v>
      </c>
      <c r="I8" s="93" t="s">
        <v>159</v>
      </c>
      <c r="J8" s="93" t="s">
        <v>38</v>
      </c>
      <c r="K8" s="93" t="s">
        <v>161</v>
      </c>
      <c r="L8" s="93">
        <v>1</v>
      </c>
      <c r="N8" s="93">
        <v>1</v>
      </c>
      <c r="O8" s="93">
        <v>0.85</v>
      </c>
      <c r="P8" s="93">
        <v>0.7</v>
      </c>
      <c r="Q8" s="102">
        <f t="shared" si="0"/>
        <v>0.77499999999999991</v>
      </c>
      <c r="R8" s="93">
        <v>15.5</v>
      </c>
      <c r="S8" s="93">
        <v>114</v>
      </c>
      <c r="T8" s="103">
        <f t="shared" si="1"/>
        <v>30</v>
      </c>
      <c r="U8" s="93">
        <v>78</v>
      </c>
      <c r="V8" s="104">
        <f t="shared" si="2"/>
        <v>2340</v>
      </c>
      <c r="W8" s="93">
        <v>5</v>
      </c>
      <c r="X8" s="93" t="s">
        <v>46</v>
      </c>
      <c r="Y8" s="93" t="s">
        <v>84</v>
      </c>
      <c r="Z8" s="93" t="s">
        <v>90</v>
      </c>
      <c r="AA8" s="93" t="s">
        <v>69</v>
      </c>
      <c r="AB8" s="93" t="s">
        <v>158</v>
      </c>
      <c r="AE8" s="110" t="s">
        <v>59</v>
      </c>
      <c r="AG8" s="106" t="s">
        <v>278</v>
      </c>
      <c r="AH8" s="106" t="s">
        <v>279</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265</v>
      </c>
      <c r="E9" s="93" t="s">
        <v>139</v>
      </c>
      <c r="F9" s="93" t="s">
        <v>277</v>
      </c>
      <c r="G9" s="93" t="s">
        <v>42</v>
      </c>
      <c r="H9" s="93" t="s">
        <v>164</v>
      </c>
      <c r="I9" s="93" t="s">
        <v>159</v>
      </c>
      <c r="J9" s="93" t="s">
        <v>38</v>
      </c>
      <c r="K9" s="93" t="s">
        <v>161</v>
      </c>
      <c r="L9" s="93">
        <v>2</v>
      </c>
      <c r="N9" s="93">
        <v>1</v>
      </c>
      <c r="O9" s="93">
        <v>0.8</v>
      </c>
      <c r="P9" s="93">
        <v>0.8</v>
      </c>
      <c r="Q9" s="102">
        <f t="shared" si="0"/>
        <v>0.8</v>
      </c>
      <c r="R9" s="93">
        <v>15.8</v>
      </c>
      <c r="S9" s="93">
        <v>116</v>
      </c>
      <c r="T9" s="103">
        <f t="shared" si="1"/>
        <v>30</v>
      </c>
      <c r="U9" s="93">
        <v>78</v>
      </c>
      <c r="V9" s="104">
        <f t="shared" si="2"/>
        <v>2340</v>
      </c>
      <c r="W9" s="93">
        <v>5</v>
      </c>
      <c r="X9" s="93" t="s">
        <v>46</v>
      </c>
      <c r="Y9" s="93" t="s">
        <v>84</v>
      </c>
      <c r="Z9" s="93" t="s">
        <v>90</v>
      </c>
      <c r="AA9" s="93" t="s">
        <v>69</v>
      </c>
      <c r="AB9" s="93" t="s">
        <v>158</v>
      </c>
      <c r="AE9" s="110" t="s">
        <v>204</v>
      </c>
      <c r="AG9" s="106" t="s">
        <v>280</v>
      </c>
      <c r="AH9" s="106" t="s">
        <v>267</v>
      </c>
      <c r="AL9" s="117"/>
      <c r="AP9" s="111" t="s">
        <v>95</v>
      </c>
      <c r="AR9" s="111" t="s">
        <v>207</v>
      </c>
      <c r="AV9" s="111" t="s">
        <v>102</v>
      </c>
      <c r="AX9" s="112">
        <v>128</v>
      </c>
      <c r="AY9" s="113">
        <v>27</v>
      </c>
      <c r="AZ9" s="113">
        <v>129</v>
      </c>
      <c r="BA9" s="114">
        <v>25</v>
      </c>
    </row>
    <row r="10" spans="1:53" x14ac:dyDescent="0.15">
      <c r="A10" s="93" t="s">
        <v>51</v>
      </c>
      <c r="B10" s="93" t="s">
        <v>157</v>
      </c>
      <c r="C10" s="93">
        <v>2019</v>
      </c>
      <c r="D10" s="101" t="s">
        <v>265</v>
      </c>
      <c r="E10" s="93" t="s">
        <v>139</v>
      </c>
      <c r="F10" s="93" t="s">
        <v>277</v>
      </c>
      <c r="G10" s="93" t="s">
        <v>42</v>
      </c>
      <c r="H10" s="93" t="s">
        <v>164</v>
      </c>
      <c r="I10" s="93" t="s">
        <v>159</v>
      </c>
      <c r="J10" s="93" t="s">
        <v>38</v>
      </c>
      <c r="K10" s="93" t="s">
        <v>161</v>
      </c>
      <c r="L10" s="93">
        <v>3</v>
      </c>
      <c r="N10" s="93">
        <v>1</v>
      </c>
      <c r="O10" s="93">
        <v>0.75</v>
      </c>
      <c r="P10" s="93">
        <v>0.7</v>
      </c>
      <c r="Q10" s="102">
        <f t="shared" si="0"/>
        <v>0.72499999999999998</v>
      </c>
      <c r="R10" s="93">
        <v>16</v>
      </c>
      <c r="S10" s="93">
        <v>116</v>
      </c>
      <c r="T10" s="103">
        <f t="shared" si="1"/>
        <v>30</v>
      </c>
      <c r="U10" s="93">
        <v>78</v>
      </c>
      <c r="V10" s="104">
        <f t="shared" si="2"/>
        <v>2340</v>
      </c>
      <c r="W10" s="93">
        <v>5</v>
      </c>
      <c r="X10" s="93" t="s">
        <v>46</v>
      </c>
      <c r="Y10" s="93" t="s">
        <v>84</v>
      </c>
      <c r="Z10" s="93" t="s">
        <v>90</v>
      </c>
      <c r="AA10" s="93" t="s">
        <v>69</v>
      </c>
      <c r="AB10" s="93" t="s">
        <v>158</v>
      </c>
      <c r="AE10" s="110" t="s">
        <v>208</v>
      </c>
      <c r="AG10" s="106" t="s">
        <v>266</v>
      </c>
      <c r="AH10" s="111" t="s">
        <v>267</v>
      </c>
      <c r="AP10" s="111" t="s">
        <v>100</v>
      </c>
      <c r="AR10" s="111" t="s">
        <v>210</v>
      </c>
      <c r="AV10" s="111" t="s">
        <v>106</v>
      </c>
      <c r="AX10" s="112">
        <v>138</v>
      </c>
      <c r="AY10" s="113">
        <v>25</v>
      </c>
      <c r="AZ10" s="113">
        <v>138</v>
      </c>
      <c r="BA10" s="114">
        <v>22</v>
      </c>
    </row>
    <row r="11" spans="1:53" x14ac:dyDescent="0.15">
      <c r="A11" s="93" t="s">
        <v>51</v>
      </c>
      <c r="B11" s="93" t="s">
        <v>157</v>
      </c>
      <c r="C11" s="93">
        <v>2019</v>
      </c>
      <c r="D11" s="101" t="s">
        <v>265</v>
      </c>
      <c r="E11" s="93" t="s">
        <v>274</v>
      </c>
      <c r="F11" s="93" t="s">
        <v>275</v>
      </c>
      <c r="G11" s="93" t="s">
        <v>36</v>
      </c>
      <c r="H11" s="93" t="s">
        <v>164</v>
      </c>
      <c r="I11" s="93" t="s">
        <v>159</v>
      </c>
      <c r="J11" s="93" t="s">
        <v>38</v>
      </c>
      <c r="K11" s="93" t="s">
        <v>161</v>
      </c>
      <c r="L11" s="93">
        <v>1</v>
      </c>
      <c r="N11" s="93">
        <v>1</v>
      </c>
      <c r="O11" s="93">
        <v>0.75</v>
      </c>
      <c r="P11" s="93">
        <v>0.75</v>
      </c>
      <c r="Q11" s="102">
        <f t="shared" si="0"/>
        <v>0.75</v>
      </c>
      <c r="R11" s="93">
        <v>12.9</v>
      </c>
      <c r="S11" s="93">
        <v>118</v>
      </c>
      <c r="T11" s="103">
        <f t="shared" si="1"/>
        <v>30</v>
      </c>
      <c r="U11" s="93">
        <v>98</v>
      </c>
      <c r="V11" s="104">
        <f t="shared" si="2"/>
        <v>2940</v>
      </c>
      <c r="W11" s="93">
        <v>6</v>
      </c>
      <c r="X11" s="93" t="s">
        <v>46</v>
      </c>
      <c r="Y11" s="93" t="s">
        <v>84</v>
      </c>
      <c r="Z11" s="93" t="s">
        <v>90</v>
      </c>
      <c r="AA11" s="93" t="s">
        <v>69</v>
      </c>
      <c r="AB11" s="93" t="s">
        <v>158</v>
      </c>
      <c r="AE11" s="110" t="s">
        <v>68</v>
      </c>
      <c r="AG11" s="106" t="s">
        <v>139</v>
      </c>
      <c r="AH11" s="111" t="s">
        <v>277</v>
      </c>
      <c r="AP11" s="111" t="s">
        <v>104</v>
      </c>
      <c r="AR11" s="111" t="s">
        <v>213</v>
      </c>
      <c r="AV11" s="111" t="s">
        <v>69</v>
      </c>
      <c r="AX11" s="112">
        <v>151</v>
      </c>
      <c r="AY11" s="113">
        <v>22</v>
      </c>
      <c r="AZ11" s="113">
        <v>152</v>
      </c>
      <c r="BA11" s="114">
        <v>18</v>
      </c>
    </row>
    <row r="12" spans="1:53" x14ac:dyDescent="0.15">
      <c r="A12" s="93" t="s">
        <v>51</v>
      </c>
      <c r="B12" s="93" t="s">
        <v>157</v>
      </c>
      <c r="C12" s="93">
        <v>2019</v>
      </c>
      <c r="D12" s="101" t="s">
        <v>265</v>
      </c>
      <c r="E12" s="93" t="s">
        <v>274</v>
      </c>
      <c r="F12" s="93" t="s">
        <v>275</v>
      </c>
      <c r="G12" s="93" t="s">
        <v>36</v>
      </c>
      <c r="H12" s="93" t="s">
        <v>164</v>
      </c>
      <c r="I12" s="93" t="s">
        <v>159</v>
      </c>
      <c r="J12" s="93" t="s">
        <v>38</v>
      </c>
      <c r="K12" s="93" t="s">
        <v>161</v>
      </c>
      <c r="L12" s="93">
        <v>2</v>
      </c>
      <c r="N12" s="93">
        <v>1</v>
      </c>
      <c r="O12" s="93">
        <v>0.7</v>
      </c>
      <c r="P12" s="93">
        <v>0.8</v>
      </c>
      <c r="Q12" s="102">
        <f t="shared" si="0"/>
        <v>0.75</v>
      </c>
      <c r="R12" s="93">
        <v>13.7</v>
      </c>
      <c r="S12" s="93">
        <v>124</v>
      </c>
      <c r="T12" s="103">
        <f t="shared" si="1"/>
        <v>27</v>
      </c>
      <c r="U12" s="93">
        <v>98</v>
      </c>
      <c r="V12" s="104">
        <f t="shared" si="2"/>
        <v>2646</v>
      </c>
      <c r="W12" s="93">
        <v>6</v>
      </c>
      <c r="X12" s="93" t="s">
        <v>46</v>
      </c>
      <c r="Y12" s="93" t="s">
        <v>84</v>
      </c>
      <c r="Z12" s="93" t="s">
        <v>90</v>
      </c>
      <c r="AA12" s="93" t="s">
        <v>69</v>
      </c>
      <c r="AB12" s="93" t="s">
        <v>158</v>
      </c>
      <c r="AE12" s="110" t="s">
        <v>214</v>
      </c>
      <c r="AG12" s="111"/>
      <c r="AH12" s="111"/>
      <c r="AP12" s="111" t="s">
        <v>67</v>
      </c>
      <c r="AR12" s="111" t="s">
        <v>215</v>
      </c>
      <c r="AV12" s="111" t="s">
        <v>72</v>
      </c>
      <c r="AX12" s="118">
        <v>180</v>
      </c>
      <c r="AY12" s="119">
        <v>18</v>
      </c>
      <c r="AZ12" s="119">
        <v>181</v>
      </c>
      <c r="BA12" s="120">
        <v>16</v>
      </c>
    </row>
    <row r="13" spans="1:53" x14ac:dyDescent="0.15">
      <c r="A13" s="93" t="s">
        <v>51</v>
      </c>
      <c r="B13" s="93" t="s">
        <v>157</v>
      </c>
      <c r="C13" s="93">
        <v>2019</v>
      </c>
      <c r="D13" s="101" t="s">
        <v>265</v>
      </c>
      <c r="E13" s="93" t="s">
        <v>274</v>
      </c>
      <c r="F13" s="93" t="s">
        <v>275</v>
      </c>
      <c r="G13" s="93" t="s">
        <v>36</v>
      </c>
      <c r="H13" s="93" t="s">
        <v>164</v>
      </c>
      <c r="I13" s="93" t="s">
        <v>159</v>
      </c>
      <c r="J13" s="93" t="s">
        <v>38</v>
      </c>
      <c r="K13" s="93" t="s">
        <v>161</v>
      </c>
      <c r="L13" s="93">
        <v>3</v>
      </c>
      <c r="N13" s="93">
        <v>1</v>
      </c>
      <c r="O13" s="93">
        <v>0.75</v>
      </c>
      <c r="P13" s="93">
        <v>0.8</v>
      </c>
      <c r="Q13" s="102">
        <f t="shared" si="0"/>
        <v>0.77500000000000002</v>
      </c>
      <c r="R13" s="93">
        <v>14.3</v>
      </c>
      <c r="S13" s="93">
        <v>128</v>
      </c>
      <c r="T13" s="103">
        <f t="shared" si="1"/>
        <v>27</v>
      </c>
      <c r="U13" s="93">
        <v>98</v>
      </c>
      <c r="V13" s="104">
        <f t="shared" si="2"/>
        <v>2646</v>
      </c>
      <c r="W13" s="93">
        <v>6</v>
      </c>
      <c r="X13" s="93" t="s">
        <v>46</v>
      </c>
      <c r="Y13" s="93" t="s">
        <v>84</v>
      </c>
      <c r="Z13" s="93" t="s">
        <v>90</v>
      </c>
      <c r="AA13" s="93" t="s">
        <v>69</v>
      </c>
      <c r="AB13" s="93" t="s">
        <v>158</v>
      </c>
      <c r="AE13" s="110" t="s">
        <v>216</v>
      </c>
      <c r="AG13" s="111"/>
      <c r="AH13" s="111"/>
      <c r="AP13" s="111" t="s">
        <v>71</v>
      </c>
      <c r="AR13" s="111" t="s">
        <v>208</v>
      </c>
      <c r="AV13" s="111" t="s">
        <v>75</v>
      </c>
    </row>
    <row r="14" spans="1:53" x14ac:dyDescent="0.15">
      <c r="A14" s="93" t="s">
        <v>51</v>
      </c>
      <c r="B14" s="93" t="s">
        <v>157</v>
      </c>
      <c r="C14" s="93">
        <v>2019</v>
      </c>
      <c r="D14" s="101" t="s">
        <v>265</v>
      </c>
      <c r="E14" s="93" t="s">
        <v>274</v>
      </c>
      <c r="F14" s="93" t="s">
        <v>275</v>
      </c>
      <c r="G14" s="93" t="s">
        <v>36</v>
      </c>
      <c r="H14" s="93" t="s">
        <v>160</v>
      </c>
      <c r="I14" s="93" t="s">
        <v>159</v>
      </c>
      <c r="J14" s="93" t="s">
        <v>38</v>
      </c>
      <c r="K14" s="93" t="s">
        <v>213</v>
      </c>
      <c r="L14" s="93">
        <v>1</v>
      </c>
      <c r="N14" s="93">
        <v>2</v>
      </c>
      <c r="O14" s="93">
        <v>0.7</v>
      </c>
      <c r="P14" s="93">
        <v>0.7</v>
      </c>
      <c r="Q14" s="102">
        <f t="shared" si="0"/>
        <v>0.7</v>
      </c>
      <c r="R14" s="93">
        <v>15.8</v>
      </c>
      <c r="S14" s="93">
        <v>132</v>
      </c>
      <c r="T14" s="103">
        <f t="shared" si="1"/>
        <v>25</v>
      </c>
      <c r="U14" s="93">
        <v>398</v>
      </c>
      <c r="V14" s="104">
        <f t="shared" si="2"/>
        <v>4975</v>
      </c>
      <c r="W14" s="93">
        <v>6</v>
      </c>
      <c r="X14" s="93" t="s">
        <v>46</v>
      </c>
      <c r="Y14" s="93" t="s">
        <v>84</v>
      </c>
      <c r="Z14" s="93" t="s">
        <v>90</v>
      </c>
      <c r="AA14" s="93" t="s">
        <v>69</v>
      </c>
      <c r="AB14" s="93" t="s">
        <v>158</v>
      </c>
      <c r="AE14" s="110" t="s">
        <v>96</v>
      </c>
      <c r="AG14" s="111"/>
      <c r="AH14" s="111"/>
      <c r="AP14" s="111" t="s">
        <v>74</v>
      </c>
      <c r="AR14" s="111" t="s">
        <v>217</v>
      </c>
      <c r="AV14" s="111" t="s">
        <v>78</v>
      </c>
    </row>
    <row r="15" spans="1:53" x14ac:dyDescent="0.15">
      <c r="A15" s="93" t="s">
        <v>51</v>
      </c>
      <c r="B15" s="93" t="s">
        <v>157</v>
      </c>
      <c r="C15" s="93">
        <v>2019</v>
      </c>
      <c r="D15" s="101" t="s">
        <v>265</v>
      </c>
      <c r="E15" s="93" t="s">
        <v>274</v>
      </c>
      <c r="F15" s="93" t="s">
        <v>275</v>
      </c>
      <c r="G15" s="93" t="s">
        <v>36</v>
      </c>
      <c r="H15" s="93" t="s">
        <v>160</v>
      </c>
      <c r="I15" s="93" t="s">
        <v>159</v>
      </c>
      <c r="J15" s="93" t="s">
        <v>38</v>
      </c>
      <c r="K15" s="93" t="s">
        <v>213</v>
      </c>
      <c r="L15" s="93">
        <v>2</v>
      </c>
      <c r="N15" s="93">
        <v>2</v>
      </c>
      <c r="O15" s="93">
        <v>0.75</v>
      </c>
      <c r="P15" s="93">
        <v>0.6</v>
      </c>
      <c r="Q15" s="102">
        <f t="shared" si="0"/>
        <v>0.67500000000000004</v>
      </c>
      <c r="R15" s="93">
        <v>16.2</v>
      </c>
      <c r="S15" s="93">
        <v>128</v>
      </c>
      <c r="T15" s="103">
        <f t="shared" si="1"/>
        <v>27</v>
      </c>
      <c r="U15" s="93">
        <v>398</v>
      </c>
      <c r="V15" s="104">
        <f t="shared" si="2"/>
        <v>5373</v>
      </c>
      <c r="W15" s="93">
        <v>6</v>
      </c>
      <c r="X15" s="93" t="s">
        <v>46</v>
      </c>
      <c r="Y15" s="93" t="s">
        <v>84</v>
      </c>
      <c r="Z15" s="93" t="s">
        <v>90</v>
      </c>
      <c r="AA15" s="93" t="s">
        <v>69</v>
      </c>
      <c r="AB15" s="93" t="s">
        <v>158</v>
      </c>
      <c r="AE15" s="110" t="s">
        <v>218</v>
      </c>
      <c r="AG15" s="111"/>
      <c r="AH15" s="111"/>
      <c r="AP15" s="111" t="s">
        <v>77</v>
      </c>
      <c r="AR15" s="111" t="s">
        <v>80</v>
      </c>
      <c r="AV15" s="111" t="s">
        <v>107</v>
      </c>
    </row>
    <row r="16" spans="1:53" x14ac:dyDescent="0.15">
      <c r="A16" s="93" t="s">
        <v>51</v>
      </c>
      <c r="B16" s="93" t="s">
        <v>157</v>
      </c>
      <c r="C16" s="93">
        <v>2019</v>
      </c>
      <c r="D16" s="101" t="s">
        <v>265</v>
      </c>
      <c r="E16" s="93" t="s">
        <v>274</v>
      </c>
      <c r="F16" s="93" t="s">
        <v>275</v>
      </c>
      <c r="G16" s="93" t="s">
        <v>36</v>
      </c>
      <c r="H16" s="93" t="s">
        <v>160</v>
      </c>
      <c r="I16" s="93" t="s">
        <v>159</v>
      </c>
      <c r="J16" s="93" t="s">
        <v>38</v>
      </c>
      <c r="K16" s="93" t="s">
        <v>213</v>
      </c>
      <c r="L16" s="93">
        <v>3</v>
      </c>
      <c r="N16" s="93">
        <v>2</v>
      </c>
      <c r="O16" s="93">
        <v>0.75</v>
      </c>
      <c r="P16" s="93">
        <v>0.65</v>
      </c>
      <c r="Q16" s="102">
        <f t="shared" si="0"/>
        <v>0.7</v>
      </c>
      <c r="R16" s="93">
        <v>16.899999999999999</v>
      </c>
      <c r="S16" s="93">
        <v>130</v>
      </c>
      <c r="T16" s="103">
        <f t="shared" si="1"/>
        <v>25</v>
      </c>
      <c r="U16" s="93">
        <v>398</v>
      </c>
      <c r="V16" s="104">
        <f t="shared" si="2"/>
        <v>4975</v>
      </c>
      <c r="W16" s="93">
        <v>6</v>
      </c>
      <c r="X16" s="93" t="s">
        <v>46</v>
      </c>
      <c r="Y16" s="93" t="s">
        <v>84</v>
      </c>
      <c r="Z16" s="93" t="s">
        <v>90</v>
      </c>
      <c r="AA16" s="93" t="s">
        <v>69</v>
      </c>
      <c r="AB16" s="93" t="s">
        <v>158</v>
      </c>
      <c r="AE16" s="110" t="s">
        <v>219</v>
      </c>
      <c r="AG16" s="116"/>
      <c r="AH16" s="116"/>
      <c r="AP16" s="111" t="s">
        <v>80</v>
      </c>
      <c r="AR16" s="111" t="s">
        <v>63</v>
      </c>
      <c r="AV16" s="111" t="s">
        <v>84</v>
      </c>
    </row>
    <row r="17" spans="1:48" x14ac:dyDescent="0.15">
      <c r="A17" s="93" t="s">
        <v>51</v>
      </c>
      <c r="B17" s="93" t="s">
        <v>157</v>
      </c>
      <c r="C17" s="93">
        <v>2019</v>
      </c>
      <c r="D17" s="101" t="s">
        <v>265</v>
      </c>
      <c r="E17" s="93" t="s">
        <v>211</v>
      </c>
      <c r="F17" s="93" t="s">
        <v>268</v>
      </c>
      <c r="G17" s="93" t="s">
        <v>42</v>
      </c>
      <c r="H17" s="93" t="s">
        <v>164</v>
      </c>
      <c r="I17" s="93" t="s">
        <v>159</v>
      </c>
      <c r="J17" s="93" t="s">
        <v>38</v>
      </c>
      <c r="K17" s="93" t="s">
        <v>161</v>
      </c>
      <c r="L17" s="93">
        <v>1</v>
      </c>
      <c r="N17" s="93">
        <v>1</v>
      </c>
      <c r="O17" s="93">
        <v>0.5</v>
      </c>
      <c r="P17" s="93">
        <v>0.55000000000000004</v>
      </c>
      <c r="Q17" s="102">
        <f t="shared" si="0"/>
        <v>0.52500000000000002</v>
      </c>
      <c r="R17" s="93">
        <v>16.3</v>
      </c>
      <c r="S17" s="93">
        <v>128</v>
      </c>
      <c r="T17" s="103">
        <f t="shared" si="1"/>
        <v>27</v>
      </c>
      <c r="U17" s="93">
        <v>97</v>
      </c>
      <c r="V17" s="104">
        <f t="shared" si="2"/>
        <v>2619</v>
      </c>
      <c r="W17" s="93">
        <v>5</v>
      </c>
      <c r="X17" s="93" t="s">
        <v>46</v>
      </c>
      <c r="Y17" s="93" t="s">
        <v>84</v>
      </c>
      <c r="Z17" s="93" t="s">
        <v>90</v>
      </c>
      <c r="AA17" s="93" t="s">
        <v>69</v>
      </c>
      <c r="AB17" s="93" t="s">
        <v>158</v>
      </c>
      <c r="AE17" s="110" t="s">
        <v>220</v>
      </c>
      <c r="AP17" s="115" t="s">
        <v>221</v>
      </c>
      <c r="AR17" s="111" t="s">
        <v>96</v>
      </c>
      <c r="AV17" s="111" t="s">
        <v>86</v>
      </c>
    </row>
    <row r="18" spans="1:48" x14ac:dyDescent="0.15">
      <c r="A18" s="93" t="s">
        <v>51</v>
      </c>
      <c r="B18" s="93" t="s">
        <v>157</v>
      </c>
      <c r="C18" s="93">
        <v>2019</v>
      </c>
      <c r="D18" s="101" t="s">
        <v>265</v>
      </c>
      <c r="E18" s="93" t="s">
        <v>211</v>
      </c>
      <c r="F18" s="93" t="s">
        <v>268</v>
      </c>
      <c r="G18" s="93" t="s">
        <v>42</v>
      </c>
      <c r="H18" s="93" t="s">
        <v>164</v>
      </c>
      <c r="I18" s="93" t="s">
        <v>159</v>
      </c>
      <c r="J18" s="93" t="s">
        <v>38</v>
      </c>
      <c r="K18" s="93" t="s">
        <v>161</v>
      </c>
      <c r="L18" s="93">
        <v>2</v>
      </c>
      <c r="N18" s="93">
        <v>1</v>
      </c>
      <c r="O18" s="93">
        <v>0.25</v>
      </c>
      <c r="P18" s="93">
        <v>0.25</v>
      </c>
      <c r="Q18" s="102">
        <f t="shared" si="0"/>
        <v>0.25</v>
      </c>
      <c r="R18" s="93">
        <v>15.7</v>
      </c>
      <c r="S18" s="93">
        <v>124</v>
      </c>
      <c r="T18" s="103">
        <f t="shared" si="1"/>
        <v>27</v>
      </c>
      <c r="U18" s="93">
        <v>97</v>
      </c>
      <c r="V18" s="104">
        <f t="shared" si="2"/>
        <v>2619</v>
      </c>
      <c r="W18" s="93">
        <v>5</v>
      </c>
      <c r="X18" s="93" t="s">
        <v>46</v>
      </c>
      <c r="Y18" s="93" t="s">
        <v>84</v>
      </c>
      <c r="Z18" s="93" t="s">
        <v>90</v>
      </c>
      <c r="AA18" s="93" t="s">
        <v>69</v>
      </c>
      <c r="AB18" s="93" t="s">
        <v>158</v>
      </c>
      <c r="AE18" s="110" t="s">
        <v>213</v>
      </c>
      <c r="AP18" s="115" t="s">
        <v>222</v>
      </c>
      <c r="AR18" s="111" t="s">
        <v>101</v>
      </c>
      <c r="AV18" s="111" t="s">
        <v>88</v>
      </c>
    </row>
    <row r="19" spans="1:48" x14ac:dyDescent="0.15">
      <c r="A19" s="93" t="s">
        <v>51</v>
      </c>
      <c r="B19" s="93" t="s">
        <v>157</v>
      </c>
      <c r="C19" s="93">
        <v>2019</v>
      </c>
      <c r="D19" s="101" t="s">
        <v>265</v>
      </c>
      <c r="E19" s="93" t="s">
        <v>211</v>
      </c>
      <c r="F19" s="93" t="s">
        <v>268</v>
      </c>
      <c r="G19" s="93" t="s">
        <v>42</v>
      </c>
      <c r="H19" s="93" t="s">
        <v>164</v>
      </c>
      <c r="I19" s="93" t="s">
        <v>159</v>
      </c>
      <c r="J19" s="93" t="s">
        <v>38</v>
      </c>
      <c r="K19" s="93" t="s">
        <v>161</v>
      </c>
      <c r="L19" s="93">
        <v>3</v>
      </c>
      <c r="N19" s="93">
        <v>1</v>
      </c>
      <c r="O19" s="93">
        <v>0.25</v>
      </c>
      <c r="P19" s="93">
        <v>0.25</v>
      </c>
      <c r="Q19" s="102">
        <f t="shared" si="0"/>
        <v>0.25</v>
      </c>
      <c r="R19" s="93">
        <v>15.5</v>
      </c>
      <c r="S19" s="93">
        <v>124</v>
      </c>
      <c r="T19" s="103">
        <f t="shared" si="1"/>
        <v>27</v>
      </c>
      <c r="U19" s="93">
        <v>97</v>
      </c>
      <c r="V19" s="104">
        <f t="shared" si="2"/>
        <v>2619</v>
      </c>
      <c r="W19" s="93">
        <v>5</v>
      </c>
      <c r="X19" s="93" t="s">
        <v>46</v>
      </c>
      <c r="Y19" s="93" t="s">
        <v>84</v>
      </c>
      <c r="Z19" s="93" t="s">
        <v>90</v>
      </c>
      <c r="AA19" s="93" t="s">
        <v>69</v>
      </c>
      <c r="AB19" s="93" t="s">
        <v>158</v>
      </c>
      <c r="AE19" s="121" t="s">
        <v>207</v>
      </c>
      <c r="AP19" s="115" t="s">
        <v>223</v>
      </c>
      <c r="AR19" s="111" t="s">
        <v>224</v>
      </c>
      <c r="AV19" s="111" t="s">
        <v>90</v>
      </c>
    </row>
    <row r="20" spans="1:48" x14ac:dyDescent="0.15">
      <c r="A20" s="93" t="s">
        <v>51</v>
      </c>
      <c r="B20" s="93" t="s">
        <v>157</v>
      </c>
      <c r="C20" s="93">
        <v>2019</v>
      </c>
      <c r="D20" s="101" t="s">
        <v>265</v>
      </c>
      <c r="E20" s="93" t="s">
        <v>276</v>
      </c>
      <c r="F20" s="93" t="s">
        <v>268</v>
      </c>
      <c r="G20" s="93" t="s">
        <v>42</v>
      </c>
      <c r="H20" s="93" t="s">
        <v>164</v>
      </c>
      <c r="I20" s="93" t="s">
        <v>159</v>
      </c>
      <c r="J20" s="93" t="s">
        <v>38</v>
      </c>
      <c r="K20" s="93" t="s">
        <v>161</v>
      </c>
      <c r="L20" s="93">
        <v>1</v>
      </c>
      <c r="N20" s="93">
        <v>4</v>
      </c>
      <c r="O20" s="93">
        <v>0.6</v>
      </c>
      <c r="P20" s="93">
        <v>0.25</v>
      </c>
      <c r="Q20" s="102">
        <f t="shared" si="0"/>
        <v>0.42499999999999999</v>
      </c>
      <c r="R20" s="93">
        <v>16</v>
      </c>
      <c r="S20" s="93">
        <v>92</v>
      </c>
      <c r="T20" s="103">
        <f t="shared" si="1"/>
        <v>36</v>
      </c>
      <c r="U20" s="93">
        <v>398</v>
      </c>
      <c r="V20" s="104">
        <f t="shared" si="2"/>
        <v>3582</v>
      </c>
      <c r="W20" s="93">
        <v>5</v>
      </c>
      <c r="X20" s="93" t="s">
        <v>39</v>
      </c>
      <c r="Y20" s="93" t="s">
        <v>84</v>
      </c>
      <c r="Z20" s="93" t="s">
        <v>90</v>
      </c>
      <c r="AA20" s="93" t="s">
        <v>69</v>
      </c>
      <c r="AB20" s="93" t="s">
        <v>158</v>
      </c>
      <c r="AE20" s="121"/>
      <c r="AP20" s="115" t="s">
        <v>225</v>
      </c>
      <c r="AR20" s="111" t="s">
        <v>105</v>
      </c>
      <c r="AV20" s="115" t="s">
        <v>226</v>
      </c>
    </row>
    <row r="21" spans="1:48" x14ac:dyDescent="0.15">
      <c r="A21" s="93" t="s">
        <v>51</v>
      </c>
      <c r="B21" s="93" t="s">
        <v>157</v>
      </c>
      <c r="C21" s="93">
        <v>2019</v>
      </c>
      <c r="D21" s="101" t="s">
        <v>265</v>
      </c>
      <c r="E21" s="93" t="s">
        <v>276</v>
      </c>
      <c r="F21" s="93" t="s">
        <v>268</v>
      </c>
      <c r="G21" s="93" t="s">
        <v>42</v>
      </c>
      <c r="H21" s="93" t="s">
        <v>164</v>
      </c>
      <c r="I21" s="93" t="s">
        <v>159</v>
      </c>
      <c r="J21" s="93" t="s">
        <v>38</v>
      </c>
      <c r="K21" s="93" t="s">
        <v>161</v>
      </c>
      <c r="L21" s="93">
        <v>2</v>
      </c>
      <c r="N21" s="93">
        <v>4</v>
      </c>
      <c r="O21" s="93">
        <v>0.5</v>
      </c>
      <c r="P21" s="93">
        <v>0.25</v>
      </c>
      <c r="Q21" s="102">
        <f t="shared" si="0"/>
        <v>0.375</v>
      </c>
      <c r="R21" s="93">
        <v>16.2</v>
      </c>
      <c r="S21" s="93">
        <v>94</v>
      </c>
      <c r="T21" s="103">
        <f t="shared" si="1"/>
        <v>36</v>
      </c>
      <c r="U21" s="93">
        <v>398</v>
      </c>
      <c r="V21" s="104">
        <f t="shared" si="2"/>
        <v>3582</v>
      </c>
      <c r="W21" s="93">
        <v>5</v>
      </c>
      <c r="X21" s="93" t="s">
        <v>39</v>
      </c>
      <c r="Y21" s="93" t="s">
        <v>84</v>
      </c>
      <c r="Z21" s="93" t="s">
        <v>90</v>
      </c>
      <c r="AA21" s="93" t="s">
        <v>69</v>
      </c>
      <c r="AB21" s="93" t="s">
        <v>158</v>
      </c>
      <c r="AE21" s="116"/>
      <c r="AP21" s="115" t="s">
        <v>227</v>
      </c>
      <c r="AR21" s="111" t="s">
        <v>68</v>
      </c>
      <c r="AV21" s="115" t="s">
        <v>228</v>
      </c>
    </row>
    <row r="22" spans="1:48" x14ac:dyDescent="0.15">
      <c r="A22" s="93" t="s">
        <v>51</v>
      </c>
      <c r="B22" s="93" t="s">
        <v>157</v>
      </c>
      <c r="C22" s="93">
        <v>2019</v>
      </c>
      <c r="D22" s="101" t="s">
        <v>265</v>
      </c>
      <c r="E22" s="93" t="s">
        <v>276</v>
      </c>
      <c r="F22" s="93" t="s">
        <v>268</v>
      </c>
      <c r="G22" s="93" t="s">
        <v>42</v>
      </c>
      <c r="H22" s="93" t="s">
        <v>164</v>
      </c>
      <c r="I22" s="93" t="s">
        <v>159</v>
      </c>
      <c r="J22" s="93" t="s">
        <v>38</v>
      </c>
      <c r="K22" s="93" t="s">
        <v>161</v>
      </c>
      <c r="L22" s="93">
        <v>3</v>
      </c>
      <c r="N22" s="93">
        <v>4</v>
      </c>
      <c r="O22" s="93">
        <v>0.55000000000000004</v>
      </c>
      <c r="P22" s="93">
        <v>0.5</v>
      </c>
      <c r="Q22" s="102">
        <f t="shared" si="0"/>
        <v>0.52500000000000002</v>
      </c>
      <c r="R22" s="93">
        <v>15.9</v>
      </c>
      <c r="S22" s="93">
        <v>94</v>
      </c>
      <c r="T22" s="103">
        <f t="shared" si="1"/>
        <v>36</v>
      </c>
      <c r="U22" s="93">
        <v>398</v>
      </c>
      <c r="V22" s="104">
        <f t="shared" si="2"/>
        <v>3582</v>
      </c>
      <c r="W22" s="93">
        <v>5</v>
      </c>
      <c r="X22" s="93" t="s">
        <v>39</v>
      </c>
      <c r="Y22" s="93" t="s">
        <v>84</v>
      </c>
      <c r="Z22" s="93" t="s">
        <v>90</v>
      </c>
      <c r="AA22" s="93" t="s">
        <v>69</v>
      </c>
      <c r="AB22" s="93" t="s">
        <v>158</v>
      </c>
      <c r="AP22" s="115" t="s">
        <v>229</v>
      </c>
      <c r="AR22" s="111" t="s">
        <v>83</v>
      </c>
      <c r="AV22" s="115"/>
    </row>
    <row r="23" spans="1:48" x14ac:dyDescent="0.15">
      <c r="A23" s="93" t="s">
        <v>51</v>
      </c>
      <c r="B23" s="93" t="s">
        <v>157</v>
      </c>
      <c r="C23" s="93">
        <v>2019</v>
      </c>
      <c r="D23" s="101" t="s">
        <v>265</v>
      </c>
      <c r="E23" s="93" t="s">
        <v>276</v>
      </c>
      <c r="F23" s="93" t="s">
        <v>268</v>
      </c>
      <c r="G23" s="93" t="s">
        <v>42</v>
      </c>
      <c r="H23" s="93" t="s">
        <v>164</v>
      </c>
      <c r="I23" s="93" t="s">
        <v>165</v>
      </c>
      <c r="J23" s="93" t="s">
        <v>38</v>
      </c>
      <c r="K23" s="93" t="s">
        <v>161</v>
      </c>
      <c r="L23" s="93">
        <v>1</v>
      </c>
      <c r="N23" s="93">
        <v>4</v>
      </c>
      <c r="O23" s="93">
        <v>0.7</v>
      </c>
      <c r="P23" s="93">
        <v>0.65</v>
      </c>
      <c r="Q23" s="102">
        <f t="shared" si="0"/>
        <v>0.67500000000000004</v>
      </c>
      <c r="R23" s="93">
        <v>16.399999999999999</v>
      </c>
      <c r="S23" s="93">
        <v>94</v>
      </c>
      <c r="T23" s="103">
        <f t="shared" si="1"/>
        <v>36</v>
      </c>
      <c r="U23" s="93">
        <v>398</v>
      </c>
      <c r="V23" s="104">
        <f t="shared" si="2"/>
        <v>3582</v>
      </c>
      <c r="W23" s="93">
        <v>5</v>
      </c>
      <c r="X23" s="93" t="s">
        <v>39</v>
      </c>
      <c r="Y23" s="93" t="s">
        <v>84</v>
      </c>
      <c r="Z23" s="93" t="s">
        <v>90</v>
      </c>
      <c r="AA23" s="93" t="s">
        <v>69</v>
      </c>
      <c r="AB23" s="93" t="s">
        <v>158</v>
      </c>
      <c r="AP23" s="115" t="s">
        <v>230</v>
      </c>
      <c r="AR23" s="111" t="s">
        <v>61</v>
      </c>
    </row>
    <row r="24" spans="1:48" x14ac:dyDescent="0.15">
      <c r="A24" s="93" t="s">
        <v>51</v>
      </c>
      <c r="B24" s="93" t="s">
        <v>157</v>
      </c>
      <c r="C24" s="93">
        <v>2019</v>
      </c>
      <c r="D24" s="101" t="s">
        <v>265</v>
      </c>
      <c r="E24" s="93" t="s">
        <v>276</v>
      </c>
      <c r="F24" s="93" t="s">
        <v>268</v>
      </c>
      <c r="G24" s="93" t="s">
        <v>42</v>
      </c>
      <c r="H24" s="93" t="s">
        <v>164</v>
      </c>
      <c r="I24" s="93" t="s">
        <v>165</v>
      </c>
      <c r="J24" s="93" t="s">
        <v>38</v>
      </c>
      <c r="K24" s="93" t="s">
        <v>161</v>
      </c>
      <c r="L24" s="93">
        <v>2</v>
      </c>
      <c r="N24" s="93">
        <v>4</v>
      </c>
      <c r="O24" s="93">
        <v>0.7</v>
      </c>
      <c r="P24" s="93">
        <v>0.7</v>
      </c>
      <c r="Q24" s="102">
        <f t="shared" si="0"/>
        <v>0.7</v>
      </c>
      <c r="R24" s="93">
        <v>16.7</v>
      </c>
      <c r="S24" s="93">
        <v>97</v>
      </c>
      <c r="T24" s="103">
        <f t="shared" si="1"/>
        <v>36</v>
      </c>
      <c r="U24" s="93">
        <v>398</v>
      </c>
      <c r="V24" s="104">
        <f t="shared" si="2"/>
        <v>3582</v>
      </c>
      <c r="W24" s="93">
        <v>5</v>
      </c>
      <c r="X24" s="93" t="s">
        <v>39</v>
      </c>
      <c r="Y24" s="93" t="s">
        <v>84</v>
      </c>
      <c r="Z24" s="93" t="s">
        <v>90</v>
      </c>
      <c r="AA24" s="93" t="s">
        <v>69</v>
      </c>
      <c r="AB24" s="93" t="s">
        <v>158</v>
      </c>
      <c r="AP24" s="115" t="s">
        <v>231</v>
      </c>
      <c r="AR24" s="111" t="s">
        <v>91</v>
      </c>
    </row>
    <row r="25" spans="1:48" x14ac:dyDescent="0.15">
      <c r="A25" s="93" t="s">
        <v>51</v>
      </c>
      <c r="B25" s="93" t="s">
        <v>157</v>
      </c>
      <c r="C25" s="93">
        <v>2019</v>
      </c>
      <c r="D25" s="101" t="s">
        <v>265</v>
      </c>
      <c r="E25" s="93" t="s">
        <v>276</v>
      </c>
      <c r="F25" s="93" t="s">
        <v>268</v>
      </c>
      <c r="G25" s="93" t="s">
        <v>42</v>
      </c>
      <c r="H25" s="93" t="s">
        <v>164</v>
      </c>
      <c r="I25" s="93" t="s">
        <v>165</v>
      </c>
      <c r="J25" s="93" t="s">
        <v>38</v>
      </c>
      <c r="K25" s="93" t="s">
        <v>161</v>
      </c>
      <c r="L25" s="93">
        <v>3</v>
      </c>
      <c r="N25" s="93">
        <v>4</v>
      </c>
      <c r="O25" s="93">
        <v>0.75</v>
      </c>
      <c r="P25" s="93">
        <v>0.6</v>
      </c>
      <c r="Q25" s="102">
        <f t="shared" si="0"/>
        <v>0.67500000000000004</v>
      </c>
      <c r="R25" s="93">
        <v>16.5</v>
      </c>
      <c r="S25" s="93">
        <v>97</v>
      </c>
      <c r="T25" s="103">
        <f t="shared" si="1"/>
        <v>36</v>
      </c>
      <c r="U25" s="93">
        <v>398</v>
      </c>
      <c r="V25" s="104">
        <f t="shared" si="2"/>
        <v>3582</v>
      </c>
      <c r="W25" s="93">
        <v>5</v>
      </c>
      <c r="X25" s="93" t="s">
        <v>39</v>
      </c>
      <c r="Y25" s="93" t="s">
        <v>84</v>
      </c>
      <c r="Z25" s="93" t="s">
        <v>90</v>
      </c>
      <c r="AA25" s="93" t="s">
        <v>69</v>
      </c>
      <c r="AB25" s="93" t="s">
        <v>158</v>
      </c>
      <c r="AP25" s="115" t="s">
        <v>232</v>
      </c>
      <c r="AR25" s="115" t="s">
        <v>51</v>
      </c>
    </row>
    <row r="26" spans="1:48" x14ac:dyDescent="0.15">
      <c r="A26" s="93" t="s">
        <v>51</v>
      </c>
      <c r="B26" s="93" t="s">
        <v>157</v>
      </c>
      <c r="C26" s="93">
        <v>2019</v>
      </c>
      <c r="D26" s="101" t="s">
        <v>265</v>
      </c>
      <c r="E26" s="93" t="s">
        <v>271</v>
      </c>
      <c r="F26" s="93" t="s">
        <v>272</v>
      </c>
      <c r="G26" s="93" t="s">
        <v>42</v>
      </c>
      <c r="H26" s="93" t="s">
        <v>164</v>
      </c>
      <c r="I26" s="93" t="s">
        <v>159</v>
      </c>
      <c r="J26" s="93" t="s">
        <v>38</v>
      </c>
      <c r="K26" s="93" t="s">
        <v>161</v>
      </c>
      <c r="L26" s="93">
        <v>1</v>
      </c>
      <c r="N26" s="93">
        <v>1</v>
      </c>
      <c r="O26" s="93">
        <v>0.8</v>
      </c>
      <c r="P26" s="93">
        <v>0.8</v>
      </c>
      <c r="Q26" s="102">
        <f t="shared" si="0"/>
        <v>0.8</v>
      </c>
      <c r="R26" s="93">
        <v>16.2</v>
      </c>
      <c r="S26" s="93">
        <v>136</v>
      </c>
      <c r="T26" s="103">
        <f t="shared" si="1"/>
        <v>25</v>
      </c>
      <c r="U26" s="93">
        <v>99</v>
      </c>
      <c r="V26" s="104">
        <f t="shared" si="2"/>
        <v>2475</v>
      </c>
      <c r="W26" s="93">
        <v>3</v>
      </c>
      <c r="X26" s="93" t="s">
        <v>39</v>
      </c>
      <c r="Y26" s="93" t="s">
        <v>84</v>
      </c>
      <c r="Z26" s="93" t="s">
        <v>90</v>
      </c>
      <c r="AA26" s="93" t="s">
        <v>69</v>
      </c>
      <c r="AB26" s="93" t="s">
        <v>158</v>
      </c>
      <c r="AP26" s="115" t="s">
        <v>233</v>
      </c>
      <c r="AR26" s="93" t="s">
        <v>234</v>
      </c>
    </row>
    <row r="27" spans="1:48" x14ac:dyDescent="0.15">
      <c r="A27" s="93" t="s">
        <v>51</v>
      </c>
      <c r="B27" s="93" t="s">
        <v>157</v>
      </c>
      <c r="C27" s="93">
        <v>2019</v>
      </c>
      <c r="D27" s="101" t="s">
        <v>265</v>
      </c>
      <c r="E27" s="93" t="s">
        <v>271</v>
      </c>
      <c r="F27" s="93" t="s">
        <v>272</v>
      </c>
      <c r="G27" s="93" t="s">
        <v>42</v>
      </c>
      <c r="H27" s="93" t="s">
        <v>164</v>
      </c>
      <c r="I27" s="93" t="s">
        <v>159</v>
      </c>
      <c r="J27" s="93" t="s">
        <v>38</v>
      </c>
      <c r="K27" s="93" t="s">
        <v>161</v>
      </c>
      <c r="L27" s="93">
        <v>2</v>
      </c>
      <c r="N27" s="93">
        <v>1</v>
      </c>
      <c r="O27" s="93">
        <v>0.85</v>
      </c>
      <c r="P27" s="93">
        <v>0.85</v>
      </c>
      <c r="Q27" s="102">
        <f t="shared" si="0"/>
        <v>0.85</v>
      </c>
      <c r="R27" s="93">
        <v>15.8</v>
      </c>
      <c r="S27" s="93">
        <v>132</v>
      </c>
      <c r="T27" s="103">
        <f t="shared" si="1"/>
        <v>25</v>
      </c>
      <c r="U27" s="93">
        <v>99</v>
      </c>
      <c r="V27" s="104">
        <f t="shared" si="2"/>
        <v>2475</v>
      </c>
      <c r="W27" s="93">
        <v>3</v>
      </c>
      <c r="X27" s="93" t="s">
        <v>39</v>
      </c>
      <c r="Y27" s="93" t="s">
        <v>84</v>
      </c>
      <c r="Z27" s="93" t="s">
        <v>90</v>
      </c>
      <c r="AA27" s="93" t="s">
        <v>69</v>
      </c>
      <c r="AB27" s="93" t="s">
        <v>158</v>
      </c>
      <c r="AP27" s="115" t="s">
        <v>235</v>
      </c>
    </row>
    <row r="28" spans="1:48" x14ac:dyDescent="0.15">
      <c r="A28" s="93" t="s">
        <v>51</v>
      </c>
      <c r="B28" s="93" t="s">
        <v>157</v>
      </c>
      <c r="C28" s="93">
        <v>2019</v>
      </c>
      <c r="D28" s="101" t="s">
        <v>265</v>
      </c>
      <c r="E28" s="93" t="s">
        <v>271</v>
      </c>
      <c r="F28" s="93" t="s">
        <v>272</v>
      </c>
      <c r="G28" s="93" t="s">
        <v>42</v>
      </c>
      <c r="H28" s="93" t="s">
        <v>164</v>
      </c>
      <c r="I28" s="93" t="s">
        <v>159</v>
      </c>
      <c r="J28" s="93" t="s">
        <v>38</v>
      </c>
      <c r="K28" s="93" t="s">
        <v>161</v>
      </c>
      <c r="L28" s="93">
        <v>3</v>
      </c>
      <c r="N28" s="93">
        <v>1</v>
      </c>
      <c r="O28" s="93">
        <v>0.9</v>
      </c>
      <c r="P28" s="93">
        <v>0.85</v>
      </c>
      <c r="Q28" s="102">
        <f t="shared" si="0"/>
        <v>0.875</v>
      </c>
      <c r="R28" s="93">
        <v>15.5</v>
      </c>
      <c r="S28" s="93">
        <v>132</v>
      </c>
      <c r="T28" s="103">
        <f t="shared" si="1"/>
        <v>25</v>
      </c>
      <c r="U28" s="93">
        <v>99</v>
      </c>
      <c r="V28" s="104">
        <f t="shared" si="2"/>
        <v>2475</v>
      </c>
      <c r="W28" s="93">
        <v>3</v>
      </c>
      <c r="X28" s="93" t="s">
        <v>39</v>
      </c>
      <c r="Y28" s="93" t="s">
        <v>84</v>
      </c>
      <c r="Z28" s="93" t="s">
        <v>90</v>
      </c>
      <c r="AA28" s="93" t="s">
        <v>69</v>
      </c>
      <c r="AB28" s="93" t="s">
        <v>158</v>
      </c>
    </row>
    <row r="29" spans="1:48" x14ac:dyDescent="0.15">
      <c r="A29" s="93" t="s">
        <v>51</v>
      </c>
      <c r="B29" s="93" t="s">
        <v>157</v>
      </c>
      <c r="C29" s="93">
        <v>2019</v>
      </c>
      <c r="D29" s="101" t="s">
        <v>265</v>
      </c>
      <c r="E29" s="93" t="s">
        <v>271</v>
      </c>
      <c r="F29" s="93" t="s">
        <v>272</v>
      </c>
      <c r="G29" s="93" t="s">
        <v>42</v>
      </c>
      <c r="H29" s="93" t="s">
        <v>160</v>
      </c>
      <c r="I29" s="93" t="s">
        <v>159</v>
      </c>
      <c r="J29" s="93" t="s">
        <v>38</v>
      </c>
      <c r="K29" s="93" t="s">
        <v>213</v>
      </c>
      <c r="L29" s="93">
        <v>1</v>
      </c>
      <c r="N29" s="93">
        <v>4</v>
      </c>
      <c r="O29" s="93">
        <v>0.6</v>
      </c>
      <c r="P29" s="93">
        <v>0.55000000000000004</v>
      </c>
      <c r="Q29" s="102">
        <f t="shared" si="0"/>
        <v>0.57499999999999996</v>
      </c>
      <c r="R29" s="93">
        <v>15.4</v>
      </c>
      <c r="S29" s="93">
        <v>106</v>
      </c>
      <c r="T29" s="103">
        <f t="shared" si="1"/>
        <v>33</v>
      </c>
      <c r="U29" s="93">
        <v>498</v>
      </c>
      <c r="V29" s="104">
        <f t="shared" si="2"/>
        <v>4108.5</v>
      </c>
      <c r="W29" s="93">
        <v>2</v>
      </c>
      <c r="X29" s="93" t="s">
        <v>46</v>
      </c>
      <c r="Y29" s="93" t="s">
        <v>84</v>
      </c>
      <c r="Z29" s="93" t="s">
        <v>90</v>
      </c>
      <c r="AA29" s="93" t="s">
        <v>69</v>
      </c>
      <c r="AB29" s="93" t="s">
        <v>158</v>
      </c>
    </row>
    <row r="30" spans="1:48" x14ac:dyDescent="0.15">
      <c r="A30" s="93" t="s">
        <v>51</v>
      </c>
      <c r="B30" s="93" t="s">
        <v>157</v>
      </c>
      <c r="C30" s="93">
        <v>2019</v>
      </c>
      <c r="D30" s="101" t="s">
        <v>265</v>
      </c>
      <c r="E30" s="93" t="s">
        <v>271</v>
      </c>
      <c r="F30" s="93" t="s">
        <v>272</v>
      </c>
      <c r="G30" s="93" t="s">
        <v>42</v>
      </c>
      <c r="H30" s="93" t="s">
        <v>160</v>
      </c>
      <c r="I30" s="93" t="s">
        <v>159</v>
      </c>
      <c r="J30" s="93" t="s">
        <v>38</v>
      </c>
      <c r="K30" s="93" t="s">
        <v>213</v>
      </c>
      <c r="L30" s="93">
        <v>2</v>
      </c>
      <c r="N30" s="93">
        <v>4</v>
      </c>
      <c r="O30" s="93">
        <v>0.5</v>
      </c>
      <c r="P30" s="93">
        <v>0.5</v>
      </c>
      <c r="Q30" s="102">
        <f t="shared" si="0"/>
        <v>0.5</v>
      </c>
      <c r="R30" s="93">
        <v>15.8</v>
      </c>
      <c r="S30" s="93">
        <v>106</v>
      </c>
      <c r="T30" s="103">
        <f t="shared" si="1"/>
        <v>33</v>
      </c>
      <c r="U30" s="93">
        <v>498</v>
      </c>
      <c r="V30" s="104">
        <f t="shared" si="2"/>
        <v>4108.5</v>
      </c>
      <c r="W30" s="93">
        <v>2</v>
      </c>
      <c r="X30" s="93" t="s">
        <v>46</v>
      </c>
      <c r="Y30" s="93" t="s">
        <v>84</v>
      </c>
      <c r="Z30" s="93" t="s">
        <v>90</v>
      </c>
      <c r="AA30" s="93" t="s">
        <v>69</v>
      </c>
      <c r="AB30" s="93" t="s">
        <v>158</v>
      </c>
    </row>
    <row r="31" spans="1:48" x14ac:dyDescent="0.15">
      <c r="A31" s="93" t="s">
        <v>51</v>
      </c>
      <c r="B31" s="93" t="s">
        <v>157</v>
      </c>
      <c r="C31" s="93">
        <v>2019</v>
      </c>
      <c r="D31" s="101" t="s">
        <v>265</v>
      </c>
      <c r="E31" s="93" t="s">
        <v>271</v>
      </c>
      <c r="F31" s="93" t="s">
        <v>272</v>
      </c>
      <c r="G31" s="93" t="s">
        <v>42</v>
      </c>
      <c r="H31" s="93" t="s">
        <v>160</v>
      </c>
      <c r="I31" s="93" t="s">
        <v>159</v>
      </c>
      <c r="J31" s="93" t="s">
        <v>38</v>
      </c>
      <c r="K31" s="93" t="s">
        <v>213</v>
      </c>
      <c r="L31" s="93">
        <v>3</v>
      </c>
      <c r="N31" s="93">
        <v>4</v>
      </c>
      <c r="O31" s="93">
        <v>0.5</v>
      </c>
      <c r="P31" s="93">
        <v>0.25</v>
      </c>
      <c r="Q31" s="102">
        <f t="shared" si="0"/>
        <v>0.375</v>
      </c>
      <c r="R31" s="93">
        <v>16</v>
      </c>
      <c r="S31" s="93">
        <v>100</v>
      </c>
      <c r="T31" s="103">
        <f t="shared" si="1"/>
        <v>33</v>
      </c>
      <c r="U31" s="93">
        <v>498</v>
      </c>
      <c r="V31" s="104">
        <f t="shared" si="2"/>
        <v>4108.5</v>
      </c>
      <c r="W31" s="93">
        <v>2</v>
      </c>
      <c r="X31" s="93" t="s">
        <v>46</v>
      </c>
      <c r="Y31" s="93" t="s">
        <v>84</v>
      </c>
      <c r="Z31" s="93" t="s">
        <v>90</v>
      </c>
      <c r="AA31" s="93" t="s">
        <v>69</v>
      </c>
      <c r="AB31" s="93" t="s">
        <v>158</v>
      </c>
    </row>
    <row r="32" spans="1:48" x14ac:dyDescent="0.15">
      <c r="A32" s="93" t="s">
        <v>51</v>
      </c>
      <c r="B32" s="93" t="s">
        <v>157</v>
      </c>
      <c r="C32" s="93">
        <v>2019</v>
      </c>
      <c r="D32" s="101" t="s">
        <v>265</v>
      </c>
      <c r="E32" s="93" t="s">
        <v>271</v>
      </c>
      <c r="F32" s="93" t="s">
        <v>272</v>
      </c>
      <c r="G32" s="93" t="s">
        <v>42</v>
      </c>
      <c r="H32" s="93" t="s">
        <v>160</v>
      </c>
      <c r="I32" s="93" t="s">
        <v>159</v>
      </c>
      <c r="J32" s="93" t="s">
        <v>38</v>
      </c>
      <c r="K32" s="93" t="s">
        <v>234</v>
      </c>
      <c r="L32" s="93">
        <v>1</v>
      </c>
      <c r="N32" s="93">
        <v>2</v>
      </c>
      <c r="O32" s="93">
        <v>0.5</v>
      </c>
      <c r="P32" s="93">
        <v>0.65</v>
      </c>
      <c r="Q32" s="102">
        <f t="shared" si="0"/>
        <v>0.57499999999999996</v>
      </c>
      <c r="R32" s="93">
        <v>14.8</v>
      </c>
      <c r="S32" s="93">
        <v>128</v>
      </c>
      <c r="T32" s="103">
        <f t="shared" si="1"/>
        <v>27</v>
      </c>
      <c r="U32" s="93">
        <v>298</v>
      </c>
      <c r="V32" s="104">
        <f t="shared" si="2"/>
        <v>4023</v>
      </c>
      <c r="W32" s="93">
        <v>5</v>
      </c>
      <c r="X32" s="93" t="s">
        <v>46</v>
      </c>
      <c r="Y32" s="93" t="s">
        <v>84</v>
      </c>
      <c r="Z32" s="93" t="s">
        <v>69</v>
      </c>
      <c r="AA32" s="93" t="s">
        <v>90</v>
      </c>
      <c r="AB32" s="93" t="s">
        <v>158</v>
      </c>
    </row>
    <row r="33" spans="1:28" x14ac:dyDescent="0.15">
      <c r="A33" s="93" t="s">
        <v>51</v>
      </c>
      <c r="B33" s="93" t="s">
        <v>157</v>
      </c>
      <c r="C33" s="93">
        <v>2019</v>
      </c>
      <c r="D33" s="101" t="s">
        <v>265</v>
      </c>
      <c r="E33" s="93" t="s">
        <v>271</v>
      </c>
      <c r="F33" s="93" t="s">
        <v>272</v>
      </c>
      <c r="G33" s="93" t="s">
        <v>42</v>
      </c>
      <c r="H33" s="93" t="s">
        <v>160</v>
      </c>
      <c r="I33" s="93" t="s">
        <v>159</v>
      </c>
      <c r="J33" s="93" t="s">
        <v>38</v>
      </c>
      <c r="K33" s="93" t="s">
        <v>234</v>
      </c>
      <c r="L33" s="93">
        <v>2</v>
      </c>
      <c r="N33" s="93">
        <v>2</v>
      </c>
      <c r="O33" s="93">
        <v>0.55000000000000004</v>
      </c>
      <c r="P33" s="93">
        <v>0.65</v>
      </c>
      <c r="Q33" s="102">
        <f t="shared" si="0"/>
        <v>0.60000000000000009</v>
      </c>
      <c r="R33" s="93">
        <v>14.5</v>
      </c>
      <c r="S33" s="93">
        <v>120</v>
      </c>
      <c r="T33" s="103">
        <f t="shared" si="1"/>
        <v>30</v>
      </c>
      <c r="U33" s="93">
        <v>298</v>
      </c>
      <c r="V33" s="104">
        <f t="shared" si="2"/>
        <v>4470</v>
      </c>
      <c r="W33" s="93">
        <v>5</v>
      </c>
      <c r="X33" s="93" t="s">
        <v>46</v>
      </c>
      <c r="Y33" s="93" t="s">
        <v>84</v>
      </c>
      <c r="Z33" s="93" t="s">
        <v>69</v>
      </c>
      <c r="AA33" s="93" t="s">
        <v>90</v>
      </c>
      <c r="AB33" s="93" t="s">
        <v>158</v>
      </c>
    </row>
    <row r="34" spans="1:28" x14ac:dyDescent="0.15">
      <c r="A34" s="93" t="s">
        <v>51</v>
      </c>
      <c r="B34" s="93" t="s">
        <v>157</v>
      </c>
      <c r="C34" s="93">
        <v>2019</v>
      </c>
      <c r="D34" s="101" t="s">
        <v>265</v>
      </c>
      <c r="E34" s="93" t="s">
        <v>271</v>
      </c>
      <c r="F34" s="93" t="s">
        <v>272</v>
      </c>
      <c r="G34" s="93" t="s">
        <v>42</v>
      </c>
      <c r="H34" s="93" t="s">
        <v>160</v>
      </c>
      <c r="I34" s="93" t="s">
        <v>159</v>
      </c>
      <c r="J34" s="93" t="s">
        <v>38</v>
      </c>
      <c r="K34" s="93" t="s">
        <v>234</v>
      </c>
      <c r="L34" s="93">
        <v>3</v>
      </c>
      <c r="N34" s="93">
        <v>2</v>
      </c>
      <c r="O34" s="93">
        <v>0.6</v>
      </c>
      <c r="P34" s="93">
        <v>0.55000000000000004</v>
      </c>
      <c r="Q34" s="102">
        <f t="shared" si="0"/>
        <v>0.57499999999999996</v>
      </c>
      <c r="R34" s="93">
        <v>15.2</v>
      </c>
      <c r="S34" s="93">
        <v>126</v>
      </c>
      <c r="T34" s="103">
        <f t="shared" si="1"/>
        <v>27</v>
      </c>
      <c r="U34" s="93">
        <v>298</v>
      </c>
      <c r="V34" s="104">
        <f t="shared" si="2"/>
        <v>4023</v>
      </c>
      <c r="W34" s="93">
        <v>5</v>
      </c>
      <c r="X34" s="93" t="s">
        <v>46</v>
      </c>
      <c r="Y34" s="93" t="s">
        <v>84</v>
      </c>
      <c r="Z34" s="93" t="s">
        <v>69</v>
      </c>
      <c r="AA34" s="93" t="s">
        <v>90</v>
      </c>
      <c r="AB34" s="93" t="s">
        <v>158</v>
      </c>
    </row>
    <row r="35" spans="1:28" x14ac:dyDescent="0.15">
      <c r="A35" s="93" t="s">
        <v>51</v>
      </c>
      <c r="B35" s="93" t="s">
        <v>157</v>
      </c>
      <c r="C35" s="93">
        <v>2019</v>
      </c>
      <c r="D35" s="101" t="s">
        <v>265</v>
      </c>
      <c r="E35" s="93" t="s">
        <v>273</v>
      </c>
      <c r="F35" s="93" t="s">
        <v>267</v>
      </c>
      <c r="G35" s="93" t="s">
        <v>36</v>
      </c>
      <c r="H35" s="93" t="s">
        <v>164</v>
      </c>
      <c r="I35" s="93" t="s">
        <v>159</v>
      </c>
      <c r="J35" s="93" t="s">
        <v>38</v>
      </c>
      <c r="K35" s="93" t="s">
        <v>161</v>
      </c>
      <c r="L35" s="93">
        <v>1</v>
      </c>
      <c r="N35" s="93">
        <v>5</v>
      </c>
      <c r="O35" s="93">
        <v>0.7</v>
      </c>
      <c r="P35" s="93">
        <v>0.65</v>
      </c>
      <c r="Q35" s="102">
        <f t="shared" si="0"/>
        <v>0.67500000000000004</v>
      </c>
      <c r="R35" s="93">
        <v>14.6</v>
      </c>
      <c r="S35" s="93">
        <v>95</v>
      </c>
      <c r="T35" s="103">
        <f t="shared" si="1"/>
        <v>36</v>
      </c>
      <c r="U35" s="93">
        <v>398</v>
      </c>
      <c r="V35" s="104">
        <f t="shared" si="2"/>
        <v>2865.6</v>
      </c>
      <c r="W35" s="93">
        <v>5</v>
      </c>
      <c r="X35" s="93" t="s">
        <v>46</v>
      </c>
      <c r="Y35" s="93" t="s">
        <v>84</v>
      </c>
      <c r="Z35" s="93" t="s">
        <v>69</v>
      </c>
      <c r="AA35" s="93" t="s">
        <v>90</v>
      </c>
      <c r="AB35" s="93" t="s">
        <v>158</v>
      </c>
    </row>
    <row r="36" spans="1:28" x14ac:dyDescent="0.15">
      <c r="A36" s="93" t="s">
        <v>51</v>
      </c>
      <c r="B36" s="93" t="s">
        <v>157</v>
      </c>
      <c r="C36" s="93">
        <v>2019</v>
      </c>
      <c r="D36" s="101" t="s">
        <v>265</v>
      </c>
      <c r="E36" s="93" t="s">
        <v>273</v>
      </c>
      <c r="F36" s="93" t="s">
        <v>267</v>
      </c>
      <c r="G36" s="93" t="s">
        <v>36</v>
      </c>
      <c r="H36" s="93" t="s">
        <v>164</v>
      </c>
      <c r="I36" s="93" t="s">
        <v>159</v>
      </c>
      <c r="J36" s="93" t="s">
        <v>38</v>
      </c>
      <c r="K36" s="93" t="s">
        <v>161</v>
      </c>
      <c r="L36" s="93">
        <v>2</v>
      </c>
      <c r="N36" s="93">
        <v>5</v>
      </c>
      <c r="O36" s="93">
        <v>0.75</v>
      </c>
      <c r="P36" s="93">
        <v>0.7</v>
      </c>
      <c r="Q36" s="102">
        <f t="shared" si="0"/>
        <v>0.72499999999999998</v>
      </c>
      <c r="R36" s="93">
        <v>14.1</v>
      </c>
      <c r="S36" s="93">
        <v>90</v>
      </c>
      <c r="T36" s="103">
        <f t="shared" si="1"/>
        <v>36</v>
      </c>
      <c r="U36" s="93">
        <v>398</v>
      </c>
      <c r="V36" s="104">
        <f t="shared" si="2"/>
        <v>2865.6</v>
      </c>
      <c r="W36" s="93">
        <v>5</v>
      </c>
      <c r="X36" s="93" t="s">
        <v>46</v>
      </c>
      <c r="Y36" s="93" t="s">
        <v>84</v>
      </c>
      <c r="Z36" s="93" t="s">
        <v>69</v>
      </c>
      <c r="AA36" s="93" t="s">
        <v>90</v>
      </c>
      <c r="AB36" s="93" t="s">
        <v>158</v>
      </c>
    </row>
    <row r="37" spans="1:28" x14ac:dyDescent="0.15">
      <c r="A37" s="93" t="s">
        <v>51</v>
      </c>
      <c r="B37" s="93" t="s">
        <v>157</v>
      </c>
      <c r="C37" s="93">
        <v>2019</v>
      </c>
      <c r="D37" s="101" t="s">
        <v>265</v>
      </c>
      <c r="E37" s="93" t="s">
        <v>273</v>
      </c>
      <c r="F37" s="93" t="s">
        <v>267</v>
      </c>
      <c r="G37" s="93" t="s">
        <v>36</v>
      </c>
      <c r="H37" s="93" t="s">
        <v>164</v>
      </c>
      <c r="I37" s="93" t="s">
        <v>159</v>
      </c>
      <c r="J37" s="93" t="s">
        <v>38</v>
      </c>
      <c r="K37" s="93" t="s">
        <v>161</v>
      </c>
      <c r="L37" s="93">
        <v>3</v>
      </c>
      <c r="N37" s="93">
        <v>5</v>
      </c>
      <c r="O37" s="93">
        <v>0.7</v>
      </c>
      <c r="P37" s="93">
        <v>0.7</v>
      </c>
      <c r="Q37" s="102">
        <f t="shared" si="0"/>
        <v>0.7</v>
      </c>
      <c r="R37" s="93">
        <v>13.7</v>
      </c>
      <c r="S37" s="93">
        <v>85</v>
      </c>
      <c r="T37" s="103">
        <f t="shared" si="1"/>
        <v>36</v>
      </c>
      <c r="U37" s="93">
        <v>398</v>
      </c>
      <c r="V37" s="104">
        <f t="shared" si="2"/>
        <v>2865.6</v>
      </c>
      <c r="W37" s="93">
        <v>5</v>
      </c>
      <c r="X37" s="93" t="s">
        <v>46</v>
      </c>
      <c r="Y37" s="93" t="s">
        <v>84</v>
      </c>
      <c r="Z37" s="93" t="s">
        <v>69</v>
      </c>
      <c r="AA37" s="93" t="s">
        <v>90</v>
      </c>
      <c r="AB37" s="93" t="s">
        <v>158</v>
      </c>
    </row>
    <row r="38" spans="1:28" x14ac:dyDescent="0.15">
      <c r="A38" s="93" t="s">
        <v>51</v>
      </c>
      <c r="B38" s="93" t="s">
        <v>157</v>
      </c>
      <c r="C38" s="93">
        <v>2019</v>
      </c>
      <c r="D38" s="101" t="s">
        <v>265</v>
      </c>
      <c r="E38" s="93" t="s">
        <v>278</v>
      </c>
      <c r="F38" s="93" t="s">
        <v>279</v>
      </c>
      <c r="G38" s="93" t="s">
        <v>36</v>
      </c>
      <c r="H38" s="93" t="s">
        <v>164</v>
      </c>
      <c r="I38" s="93" t="s">
        <v>159</v>
      </c>
      <c r="J38" s="93" t="s">
        <v>38</v>
      </c>
      <c r="K38" s="93" t="s">
        <v>161</v>
      </c>
      <c r="L38" s="93">
        <v>1</v>
      </c>
      <c r="N38" s="93">
        <v>1</v>
      </c>
      <c r="O38" s="93">
        <v>0.9</v>
      </c>
      <c r="P38" s="93">
        <v>0.9</v>
      </c>
      <c r="Q38" s="102">
        <f t="shared" si="0"/>
        <v>0.9</v>
      </c>
      <c r="R38" s="93">
        <v>16</v>
      </c>
      <c r="S38" s="93">
        <v>124</v>
      </c>
      <c r="T38" s="103">
        <f t="shared" si="1"/>
        <v>27</v>
      </c>
      <c r="U38" s="93">
        <v>128</v>
      </c>
      <c r="V38" s="104">
        <f t="shared" si="2"/>
        <v>3456</v>
      </c>
      <c r="W38" s="93">
        <v>5</v>
      </c>
      <c r="X38" s="93" t="s">
        <v>46</v>
      </c>
      <c r="Y38" s="93" t="s">
        <v>84</v>
      </c>
      <c r="Z38" s="93" t="s">
        <v>69</v>
      </c>
      <c r="AA38" s="93" t="s">
        <v>90</v>
      </c>
      <c r="AB38" s="93" t="s">
        <v>158</v>
      </c>
    </row>
    <row r="39" spans="1:28" x14ac:dyDescent="0.15">
      <c r="A39" s="93" t="s">
        <v>51</v>
      </c>
      <c r="B39" s="93" t="s">
        <v>157</v>
      </c>
      <c r="C39" s="93">
        <v>2019</v>
      </c>
      <c r="D39" s="101" t="s">
        <v>265</v>
      </c>
      <c r="E39" s="93" t="s">
        <v>278</v>
      </c>
      <c r="F39" s="93" t="s">
        <v>279</v>
      </c>
      <c r="G39" s="93" t="s">
        <v>36</v>
      </c>
      <c r="H39" s="93" t="s">
        <v>164</v>
      </c>
      <c r="I39" s="93" t="s">
        <v>159</v>
      </c>
      <c r="J39" s="93" t="s">
        <v>38</v>
      </c>
      <c r="K39" s="93" t="s">
        <v>161</v>
      </c>
      <c r="L39" s="93">
        <v>2</v>
      </c>
      <c r="N39" s="93">
        <v>1</v>
      </c>
      <c r="O39" s="93">
        <v>1</v>
      </c>
      <c r="P39" s="93">
        <v>1</v>
      </c>
      <c r="Q39" s="102">
        <f t="shared" si="0"/>
        <v>1</v>
      </c>
      <c r="R39" s="93">
        <v>15.7</v>
      </c>
      <c r="S39" s="93">
        <v>110</v>
      </c>
      <c r="T39" s="103">
        <f t="shared" si="1"/>
        <v>33</v>
      </c>
      <c r="U39" s="93">
        <v>128</v>
      </c>
      <c r="V39" s="104">
        <f t="shared" si="2"/>
        <v>4224</v>
      </c>
      <c r="W39" s="93">
        <v>5</v>
      </c>
      <c r="X39" s="93" t="s">
        <v>46</v>
      </c>
      <c r="Y39" s="93" t="s">
        <v>84</v>
      </c>
      <c r="Z39" s="93" t="s">
        <v>69</v>
      </c>
      <c r="AA39" s="93" t="s">
        <v>90</v>
      </c>
      <c r="AB39" s="93" t="s">
        <v>158</v>
      </c>
    </row>
    <row r="40" spans="1:28" x14ac:dyDescent="0.15">
      <c r="A40" s="93" t="s">
        <v>51</v>
      </c>
      <c r="B40" s="93" t="s">
        <v>157</v>
      </c>
      <c r="C40" s="93">
        <v>2019</v>
      </c>
      <c r="D40" s="101" t="s">
        <v>265</v>
      </c>
      <c r="E40" s="93" t="s">
        <v>278</v>
      </c>
      <c r="F40" s="93" t="s">
        <v>279</v>
      </c>
      <c r="G40" s="93" t="s">
        <v>36</v>
      </c>
      <c r="H40" s="93" t="s">
        <v>164</v>
      </c>
      <c r="I40" s="93" t="s">
        <v>159</v>
      </c>
      <c r="J40" s="93" t="s">
        <v>38</v>
      </c>
      <c r="K40" s="93" t="s">
        <v>161</v>
      </c>
      <c r="L40" s="93">
        <v>3</v>
      </c>
      <c r="N40" s="93">
        <v>1</v>
      </c>
      <c r="O40" s="93">
        <v>0.95</v>
      </c>
      <c r="P40" s="93">
        <v>1</v>
      </c>
      <c r="Q40" s="102">
        <f t="shared" si="0"/>
        <v>0.97499999999999998</v>
      </c>
      <c r="R40" s="93">
        <v>15.9</v>
      </c>
      <c r="S40" s="93">
        <v>114</v>
      </c>
      <c r="T40" s="103">
        <f t="shared" si="1"/>
        <v>30</v>
      </c>
      <c r="U40" s="93">
        <v>128</v>
      </c>
      <c r="V40" s="104">
        <f t="shared" si="2"/>
        <v>3840</v>
      </c>
      <c r="W40" s="93">
        <v>5</v>
      </c>
      <c r="X40" s="93" t="s">
        <v>46</v>
      </c>
      <c r="Y40" s="93" t="s">
        <v>84</v>
      </c>
      <c r="Z40" s="93" t="s">
        <v>69</v>
      </c>
      <c r="AA40" s="93" t="s">
        <v>90</v>
      </c>
      <c r="AB40" s="93" t="s">
        <v>158</v>
      </c>
    </row>
    <row r="41" spans="1:28" x14ac:dyDescent="0.15">
      <c r="A41" s="93" t="s">
        <v>51</v>
      </c>
      <c r="B41" s="93" t="s">
        <v>157</v>
      </c>
      <c r="C41" s="93">
        <v>2019</v>
      </c>
      <c r="D41" s="101" t="s">
        <v>265</v>
      </c>
      <c r="E41" s="93" t="s">
        <v>278</v>
      </c>
      <c r="F41" s="93" t="s">
        <v>279</v>
      </c>
      <c r="G41" s="93" t="s">
        <v>36</v>
      </c>
      <c r="H41" s="93" t="s">
        <v>164</v>
      </c>
      <c r="I41" s="93" t="s">
        <v>165</v>
      </c>
      <c r="J41" s="93" t="s">
        <v>38</v>
      </c>
      <c r="K41" s="93" t="s">
        <v>161</v>
      </c>
      <c r="L41" s="93">
        <v>1</v>
      </c>
      <c r="N41" s="93">
        <v>4</v>
      </c>
      <c r="O41" s="93">
        <v>0.25</v>
      </c>
      <c r="P41" s="93">
        <v>0.25</v>
      </c>
      <c r="Q41" s="102">
        <f t="shared" si="0"/>
        <v>0.25</v>
      </c>
      <c r="R41" s="93">
        <v>14.7</v>
      </c>
      <c r="S41" s="93">
        <v>100</v>
      </c>
      <c r="T41" s="103">
        <f t="shared" si="1"/>
        <v>33</v>
      </c>
      <c r="U41" s="93">
        <v>398</v>
      </c>
      <c r="V41" s="104">
        <f t="shared" si="2"/>
        <v>3283.5</v>
      </c>
      <c r="W41" s="93">
        <v>3</v>
      </c>
      <c r="X41" s="93" t="s">
        <v>39</v>
      </c>
      <c r="Y41" s="93" t="s">
        <v>84</v>
      </c>
      <c r="Z41" s="93" t="s">
        <v>90</v>
      </c>
      <c r="AA41" s="93" t="s">
        <v>69</v>
      </c>
      <c r="AB41" s="93" t="s">
        <v>158</v>
      </c>
    </row>
    <row r="42" spans="1:28" x14ac:dyDescent="0.15">
      <c r="A42" s="93" t="s">
        <v>51</v>
      </c>
      <c r="B42" s="93" t="s">
        <v>157</v>
      </c>
      <c r="C42" s="93">
        <v>2019</v>
      </c>
      <c r="D42" s="101" t="s">
        <v>265</v>
      </c>
      <c r="E42" s="93" t="s">
        <v>278</v>
      </c>
      <c r="F42" s="93" t="s">
        <v>279</v>
      </c>
      <c r="G42" s="93" t="s">
        <v>36</v>
      </c>
      <c r="H42" s="93" t="s">
        <v>164</v>
      </c>
      <c r="I42" s="93" t="s">
        <v>165</v>
      </c>
      <c r="J42" s="93" t="s">
        <v>38</v>
      </c>
      <c r="K42" s="93" t="s">
        <v>161</v>
      </c>
      <c r="L42" s="93">
        <v>2</v>
      </c>
      <c r="N42" s="93">
        <v>4</v>
      </c>
      <c r="O42" s="93">
        <v>0.5</v>
      </c>
      <c r="P42" s="93">
        <v>0.25</v>
      </c>
      <c r="Q42" s="102">
        <f t="shared" si="0"/>
        <v>0.375</v>
      </c>
      <c r="R42" s="93">
        <v>15.2</v>
      </c>
      <c r="S42" s="93">
        <v>104</v>
      </c>
      <c r="T42" s="103">
        <f t="shared" si="1"/>
        <v>33</v>
      </c>
      <c r="U42" s="93">
        <v>398</v>
      </c>
      <c r="V42" s="104">
        <f t="shared" si="2"/>
        <v>3283.5</v>
      </c>
      <c r="W42" s="93">
        <v>3</v>
      </c>
      <c r="X42" s="93" t="s">
        <v>39</v>
      </c>
      <c r="Y42" s="93" t="s">
        <v>84</v>
      </c>
      <c r="Z42" s="93" t="s">
        <v>90</v>
      </c>
      <c r="AA42" s="93" t="s">
        <v>69</v>
      </c>
      <c r="AB42" s="93" t="s">
        <v>158</v>
      </c>
    </row>
    <row r="43" spans="1:28" x14ac:dyDescent="0.15">
      <c r="A43" s="93" t="s">
        <v>51</v>
      </c>
      <c r="B43" s="93" t="s">
        <v>157</v>
      </c>
      <c r="C43" s="93">
        <v>2019</v>
      </c>
      <c r="D43" s="101" t="s">
        <v>265</v>
      </c>
      <c r="E43" s="93" t="s">
        <v>278</v>
      </c>
      <c r="F43" s="93" t="s">
        <v>279</v>
      </c>
      <c r="G43" s="93" t="s">
        <v>36</v>
      </c>
      <c r="H43" s="93" t="s">
        <v>164</v>
      </c>
      <c r="I43" s="93" t="s">
        <v>165</v>
      </c>
      <c r="J43" s="93" t="s">
        <v>38</v>
      </c>
      <c r="K43" s="93" t="s">
        <v>161</v>
      </c>
      <c r="L43" s="93">
        <v>3</v>
      </c>
      <c r="N43" s="93">
        <v>4</v>
      </c>
      <c r="O43" s="93">
        <v>0.25</v>
      </c>
      <c r="P43" s="93">
        <v>0.25</v>
      </c>
      <c r="Q43" s="102">
        <f t="shared" si="0"/>
        <v>0.25</v>
      </c>
      <c r="R43" s="93">
        <v>14.4</v>
      </c>
      <c r="S43" s="93">
        <v>98</v>
      </c>
      <c r="T43" s="103">
        <f t="shared" si="1"/>
        <v>36</v>
      </c>
      <c r="U43" s="93">
        <v>398</v>
      </c>
      <c r="V43" s="104">
        <f t="shared" si="2"/>
        <v>3582</v>
      </c>
      <c r="W43" s="93">
        <v>3</v>
      </c>
      <c r="X43" s="93" t="s">
        <v>39</v>
      </c>
      <c r="Y43" s="93" t="s">
        <v>84</v>
      </c>
      <c r="Z43" s="93" t="s">
        <v>90</v>
      </c>
      <c r="AA43" s="93" t="s">
        <v>69</v>
      </c>
      <c r="AB43" s="93" t="s">
        <v>158</v>
      </c>
    </row>
    <row r="44" spans="1:28" x14ac:dyDescent="0.15">
      <c r="A44" s="93" t="s">
        <v>51</v>
      </c>
      <c r="B44" s="93" t="s">
        <v>157</v>
      </c>
      <c r="C44" s="93">
        <v>2019</v>
      </c>
      <c r="D44" s="101" t="s">
        <v>265</v>
      </c>
      <c r="E44" s="93" t="s">
        <v>278</v>
      </c>
      <c r="F44" s="93" t="s">
        <v>279</v>
      </c>
      <c r="G44" s="93" t="s">
        <v>36</v>
      </c>
      <c r="H44" s="93" t="s">
        <v>189</v>
      </c>
      <c r="I44" s="93" t="s">
        <v>159</v>
      </c>
      <c r="J44" s="93" t="s">
        <v>80</v>
      </c>
      <c r="K44" s="93" t="s">
        <v>45</v>
      </c>
      <c r="L44" s="93">
        <v>1</v>
      </c>
      <c r="N44" s="93">
        <v>1</v>
      </c>
      <c r="O44" s="93">
        <v>0.9</v>
      </c>
      <c r="P44" s="93">
        <v>0.95</v>
      </c>
      <c r="Q44" s="102">
        <f t="shared" si="0"/>
        <v>0.92500000000000004</v>
      </c>
      <c r="R44" s="93">
        <v>12.9</v>
      </c>
      <c r="S44" s="93">
        <v>102</v>
      </c>
      <c r="T44" s="103">
        <f t="shared" si="1"/>
        <v>33</v>
      </c>
      <c r="U44" s="93">
        <v>98</v>
      </c>
      <c r="V44" s="104">
        <f t="shared" si="2"/>
        <v>3234</v>
      </c>
      <c r="W44" s="93">
        <v>2</v>
      </c>
      <c r="X44" s="93" t="s">
        <v>46</v>
      </c>
      <c r="Y44" s="93" t="s">
        <v>84</v>
      </c>
      <c r="Z44" s="93" t="s">
        <v>90</v>
      </c>
      <c r="AA44" s="93" t="s">
        <v>69</v>
      </c>
      <c r="AB44" s="93" t="s">
        <v>158</v>
      </c>
    </row>
    <row r="45" spans="1:28" x14ac:dyDescent="0.15">
      <c r="A45" s="93" t="s">
        <v>51</v>
      </c>
      <c r="B45" s="93" t="s">
        <v>157</v>
      </c>
      <c r="C45" s="93">
        <v>2019</v>
      </c>
      <c r="D45" s="101" t="s">
        <v>265</v>
      </c>
      <c r="E45" s="93" t="s">
        <v>278</v>
      </c>
      <c r="F45" s="93" t="s">
        <v>279</v>
      </c>
      <c r="G45" s="93" t="s">
        <v>36</v>
      </c>
      <c r="H45" s="93" t="s">
        <v>189</v>
      </c>
      <c r="I45" s="93" t="s">
        <v>159</v>
      </c>
      <c r="J45" s="93" t="s">
        <v>80</v>
      </c>
      <c r="K45" s="93" t="s">
        <v>45</v>
      </c>
      <c r="L45" s="93">
        <v>2</v>
      </c>
      <c r="N45" s="93">
        <v>1</v>
      </c>
      <c r="O45" s="93">
        <v>1</v>
      </c>
      <c r="P45" s="93">
        <v>1</v>
      </c>
      <c r="Q45" s="102">
        <f t="shared" si="0"/>
        <v>1</v>
      </c>
      <c r="R45" s="93">
        <v>12.5</v>
      </c>
      <c r="S45" s="93">
        <v>102</v>
      </c>
      <c r="T45" s="103">
        <f t="shared" si="1"/>
        <v>33</v>
      </c>
      <c r="U45" s="93">
        <v>98</v>
      </c>
      <c r="V45" s="104">
        <f t="shared" si="2"/>
        <v>3234</v>
      </c>
      <c r="W45" s="93">
        <v>2</v>
      </c>
      <c r="X45" s="93" t="s">
        <v>46</v>
      </c>
      <c r="Y45" s="93" t="s">
        <v>84</v>
      </c>
      <c r="Z45" s="93" t="s">
        <v>90</v>
      </c>
      <c r="AA45" s="93" t="s">
        <v>69</v>
      </c>
      <c r="AB45" s="93" t="s">
        <v>158</v>
      </c>
    </row>
    <row r="46" spans="1:28" x14ac:dyDescent="0.15">
      <c r="A46" s="93" t="s">
        <v>51</v>
      </c>
      <c r="B46" s="93" t="s">
        <v>157</v>
      </c>
      <c r="C46" s="93">
        <v>2019</v>
      </c>
      <c r="D46" s="101" t="s">
        <v>265</v>
      </c>
      <c r="E46" s="93" t="s">
        <v>278</v>
      </c>
      <c r="F46" s="93" t="s">
        <v>279</v>
      </c>
      <c r="G46" s="93" t="s">
        <v>36</v>
      </c>
      <c r="H46" s="93" t="s">
        <v>189</v>
      </c>
      <c r="I46" s="93" t="s">
        <v>159</v>
      </c>
      <c r="J46" s="93" t="s">
        <v>80</v>
      </c>
      <c r="K46" s="93" t="s">
        <v>45</v>
      </c>
      <c r="L46" s="93">
        <v>3</v>
      </c>
      <c r="N46" s="93">
        <v>1</v>
      </c>
      <c r="O46" s="93">
        <v>0.85</v>
      </c>
      <c r="P46" s="93">
        <v>0.9</v>
      </c>
      <c r="Q46" s="102">
        <f t="shared" si="0"/>
        <v>0.875</v>
      </c>
      <c r="R46" s="93">
        <v>13.4</v>
      </c>
      <c r="S46" s="93">
        <v>102</v>
      </c>
      <c r="T46" s="103">
        <f t="shared" si="1"/>
        <v>33</v>
      </c>
      <c r="U46" s="93">
        <v>98</v>
      </c>
      <c r="V46" s="104">
        <f t="shared" si="2"/>
        <v>3234</v>
      </c>
      <c r="W46" s="93">
        <v>2</v>
      </c>
      <c r="X46" s="93" t="s">
        <v>46</v>
      </c>
      <c r="Y46" s="93" t="s">
        <v>84</v>
      </c>
      <c r="Z46" s="93" t="s">
        <v>90</v>
      </c>
      <c r="AA46" s="93" t="s">
        <v>69</v>
      </c>
      <c r="AB46" s="93" t="s">
        <v>158</v>
      </c>
    </row>
    <row r="47" spans="1:28" x14ac:dyDescent="0.15">
      <c r="A47" s="93" t="s">
        <v>51</v>
      </c>
      <c r="B47" s="93" t="s">
        <v>157</v>
      </c>
      <c r="C47" s="93">
        <v>2019</v>
      </c>
      <c r="D47" s="101" t="s">
        <v>265</v>
      </c>
      <c r="E47" s="93" t="s">
        <v>280</v>
      </c>
      <c r="F47" s="93" t="s">
        <v>267</v>
      </c>
      <c r="G47" s="93" t="s">
        <v>42</v>
      </c>
      <c r="H47" s="93" t="s">
        <v>164</v>
      </c>
      <c r="I47" s="93" t="s">
        <v>159</v>
      </c>
      <c r="J47" s="93" t="s">
        <v>38</v>
      </c>
      <c r="K47" s="93" t="s">
        <v>161</v>
      </c>
      <c r="L47" s="93">
        <v>1</v>
      </c>
      <c r="N47" s="93">
        <v>1</v>
      </c>
      <c r="O47" s="93">
        <v>0.75</v>
      </c>
      <c r="P47" s="93">
        <v>0.8</v>
      </c>
      <c r="Q47" s="102">
        <f t="shared" si="0"/>
        <v>0.77500000000000002</v>
      </c>
      <c r="R47" s="93">
        <v>14.9</v>
      </c>
      <c r="S47" s="93">
        <v>116</v>
      </c>
      <c r="T47" s="103">
        <f t="shared" si="1"/>
        <v>30</v>
      </c>
      <c r="U47" s="93">
        <v>98</v>
      </c>
      <c r="V47" s="104">
        <f t="shared" si="2"/>
        <v>2940</v>
      </c>
      <c r="W47" s="93">
        <v>4</v>
      </c>
      <c r="X47" s="93" t="s">
        <v>39</v>
      </c>
      <c r="Y47" s="93" t="s">
        <v>84</v>
      </c>
      <c r="Z47" s="93" t="s">
        <v>90</v>
      </c>
      <c r="AA47" s="93" t="s">
        <v>69</v>
      </c>
      <c r="AB47" s="93" t="s">
        <v>158</v>
      </c>
    </row>
    <row r="48" spans="1:28" x14ac:dyDescent="0.15">
      <c r="A48" s="93" t="s">
        <v>51</v>
      </c>
      <c r="B48" s="93" t="s">
        <v>157</v>
      </c>
      <c r="C48" s="93">
        <v>2019</v>
      </c>
      <c r="D48" s="101" t="s">
        <v>265</v>
      </c>
      <c r="E48" s="93" t="s">
        <v>280</v>
      </c>
      <c r="F48" s="93" t="s">
        <v>267</v>
      </c>
      <c r="G48" s="93" t="s">
        <v>42</v>
      </c>
      <c r="H48" s="93" t="s">
        <v>164</v>
      </c>
      <c r="I48" s="93" t="s">
        <v>159</v>
      </c>
      <c r="J48" s="93" t="s">
        <v>38</v>
      </c>
      <c r="K48" s="93" t="s">
        <v>161</v>
      </c>
      <c r="L48" s="93">
        <v>2</v>
      </c>
      <c r="N48" s="93">
        <v>1</v>
      </c>
      <c r="O48" s="93">
        <v>0.95</v>
      </c>
      <c r="P48" s="93">
        <v>0.85</v>
      </c>
      <c r="Q48" s="102">
        <f t="shared" si="0"/>
        <v>0.89999999999999991</v>
      </c>
      <c r="R48" s="93">
        <v>14.5</v>
      </c>
      <c r="S48" s="93">
        <v>114</v>
      </c>
      <c r="T48" s="103">
        <f t="shared" si="1"/>
        <v>30</v>
      </c>
      <c r="U48" s="93">
        <v>98</v>
      </c>
      <c r="V48" s="104">
        <f t="shared" si="2"/>
        <v>2940</v>
      </c>
      <c r="W48" s="93">
        <v>4</v>
      </c>
      <c r="X48" s="93" t="s">
        <v>39</v>
      </c>
      <c r="Y48" s="93" t="s">
        <v>84</v>
      </c>
      <c r="Z48" s="93" t="s">
        <v>90</v>
      </c>
      <c r="AA48" s="93" t="s">
        <v>69</v>
      </c>
      <c r="AB48" s="93" t="s">
        <v>158</v>
      </c>
    </row>
    <row r="49" spans="1:28" x14ac:dyDescent="0.15">
      <c r="A49" s="93" t="s">
        <v>51</v>
      </c>
      <c r="B49" s="93" t="s">
        <v>157</v>
      </c>
      <c r="C49" s="93">
        <v>2019</v>
      </c>
      <c r="D49" s="101" t="s">
        <v>265</v>
      </c>
      <c r="E49" s="93" t="s">
        <v>280</v>
      </c>
      <c r="F49" s="93" t="s">
        <v>267</v>
      </c>
      <c r="G49" s="93" t="s">
        <v>42</v>
      </c>
      <c r="H49" s="93" t="s">
        <v>164</v>
      </c>
      <c r="I49" s="93" t="s">
        <v>159</v>
      </c>
      <c r="J49" s="93" t="s">
        <v>38</v>
      </c>
      <c r="K49" s="93" t="s">
        <v>161</v>
      </c>
      <c r="L49" s="93">
        <v>3</v>
      </c>
      <c r="N49" s="93">
        <v>1</v>
      </c>
      <c r="O49" s="93">
        <v>0.9</v>
      </c>
      <c r="P49" s="93">
        <v>0.9</v>
      </c>
      <c r="Q49" s="102">
        <f t="shared" si="0"/>
        <v>0.9</v>
      </c>
      <c r="R49" s="93">
        <v>14.3</v>
      </c>
      <c r="S49" s="93">
        <v>108</v>
      </c>
      <c r="T49" s="103">
        <f t="shared" si="1"/>
        <v>33</v>
      </c>
      <c r="U49" s="93">
        <v>98</v>
      </c>
      <c r="V49" s="104">
        <f t="shared" si="2"/>
        <v>3234</v>
      </c>
      <c r="W49" s="93">
        <v>4</v>
      </c>
      <c r="X49" s="93" t="s">
        <v>39</v>
      </c>
      <c r="Y49" s="93" t="s">
        <v>84</v>
      </c>
      <c r="Z49" s="93" t="s">
        <v>90</v>
      </c>
      <c r="AA49" s="93" t="s">
        <v>69</v>
      </c>
      <c r="AB49" s="93" t="s">
        <v>158</v>
      </c>
    </row>
    <row r="50" spans="1:28" x14ac:dyDescent="0.15">
      <c r="A50" s="93" t="s">
        <v>51</v>
      </c>
      <c r="B50" s="93" t="s">
        <v>157</v>
      </c>
      <c r="C50" s="93">
        <v>2019</v>
      </c>
      <c r="D50" s="101" t="s">
        <v>265</v>
      </c>
      <c r="E50" s="93" t="s">
        <v>280</v>
      </c>
      <c r="F50" s="93" t="s">
        <v>267</v>
      </c>
      <c r="G50" s="93" t="s">
        <v>42</v>
      </c>
      <c r="H50" s="93" t="s">
        <v>160</v>
      </c>
      <c r="I50" s="93" t="s">
        <v>159</v>
      </c>
      <c r="J50" s="93" t="s">
        <v>38</v>
      </c>
      <c r="K50" s="93" t="s">
        <v>213</v>
      </c>
      <c r="L50" s="93">
        <v>1</v>
      </c>
      <c r="N50" s="93">
        <v>1</v>
      </c>
      <c r="O50" s="93">
        <v>0.7</v>
      </c>
      <c r="P50" s="93">
        <v>0.7</v>
      </c>
      <c r="Q50" s="102">
        <f t="shared" si="0"/>
        <v>0.7</v>
      </c>
      <c r="R50" s="93">
        <v>17.899999999999999</v>
      </c>
      <c r="S50" s="93">
        <v>98</v>
      </c>
      <c r="T50" s="103">
        <f t="shared" si="1"/>
        <v>36</v>
      </c>
      <c r="U50" s="93">
        <v>158</v>
      </c>
      <c r="V50" s="104">
        <f t="shared" si="2"/>
        <v>5688</v>
      </c>
      <c r="W50" s="93">
        <v>4</v>
      </c>
      <c r="X50" s="93" t="s">
        <v>39</v>
      </c>
      <c r="Y50" s="93" t="s">
        <v>84</v>
      </c>
      <c r="Z50" s="93" t="s">
        <v>90</v>
      </c>
      <c r="AA50" s="93" t="s">
        <v>69</v>
      </c>
      <c r="AB50" s="93" t="s">
        <v>158</v>
      </c>
    </row>
    <row r="51" spans="1:28" x14ac:dyDescent="0.15">
      <c r="A51" s="93" t="s">
        <v>51</v>
      </c>
      <c r="B51" s="93" t="s">
        <v>157</v>
      </c>
      <c r="C51" s="93">
        <v>2019</v>
      </c>
      <c r="D51" s="101" t="s">
        <v>265</v>
      </c>
      <c r="E51" s="93" t="s">
        <v>280</v>
      </c>
      <c r="F51" s="93" t="s">
        <v>267</v>
      </c>
      <c r="G51" s="93" t="s">
        <v>42</v>
      </c>
      <c r="H51" s="93" t="s">
        <v>160</v>
      </c>
      <c r="I51" s="93" t="s">
        <v>159</v>
      </c>
      <c r="J51" s="93" t="s">
        <v>38</v>
      </c>
      <c r="K51" s="93" t="s">
        <v>213</v>
      </c>
      <c r="L51" s="93">
        <v>2</v>
      </c>
      <c r="N51" s="93">
        <v>1</v>
      </c>
      <c r="O51" s="93">
        <v>0.65</v>
      </c>
      <c r="P51" s="93">
        <v>0.65</v>
      </c>
      <c r="Q51" s="102">
        <f t="shared" si="0"/>
        <v>0.65</v>
      </c>
      <c r="R51" s="93">
        <v>17.600000000000001</v>
      </c>
      <c r="S51" s="93">
        <v>99</v>
      </c>
      <c r="T51" s="103">
        <f t="shared" si="1"/>
        <v>33</v>
      </c>
      <c r="U51" s="93">
        <v>158</v>
      </c>
      <c r="V51" s="104">
        <f t="shared" si="2"/>
        <v>5214</v>
      </c>
      <c r="W51" s="93">
        <v>4</v>
      </c>
      <c r="X51" s="93" t="s">
        <v>39</v>
      </c>
      <c r="Y51" s="93" t="s">
        <v>84</v>
      </c>
      <c r="Z51" s="93" t="s">
        <v>90</v>
      </c>
      <c r="AA51" s="93" t="s">
        <v>69</v>
      </c>
      <c r="AB51" s="93" t="s">
        <v>158</v>
      </c>
    </row>
    <row r="52" spans="1:28" x14ac:dyDescent="0.15">
      <c r="A52" s="93" t="s">
        <v>51</v>
      </c>
      <c r="B52" s="93" t="s">
        <v>157</v>
      </c>
      <c r="C52" s="93">
        <v>2019</v>
      </c>
      <c r="D52" s="101" t="s">
        <v>265</v>
      </c>
      <c r="E52" s="93" t="s">
        <v>280</v>
      </c>
      <c r="F52" s="93" t="s">
        <v>267</v>
      </c>
      <c r="G52" s="93" t="s">
        <v>42</v>
      </c>
      <c r="H52" s="93" t="s">
        <v>160</v>
      </c>
      <c r="I52" s="93" t="s">
        <v>159</v>
      </c>
      <c r="J52" s="93" t="s">
        <v>38</v>
      </c>
      <c r="K52" s="93" t="s">
        <v>213</v>
      </c>
      <c r="L52" s="93">
        <v>3</v>
      </c>
      <c r="N52" s="93">
        <v>1</v>
      </c>
      <c r="O52" s="93">
        <v>0.75</v>
      </c>
      <c r="P52" s="93">
        <v>0.7</v>
      </c>
      <c r="Q52" s="102">
        <f t="shared" si="0"/>
        <v>0.72499999999999998</v>
      </c>
      <c r="R52" s="93">
        <v>18</v>
      </c>
      <c r="S52" s="93">
        <v>110</v>
      </c>
      <c r="T52" s="103">
        <f t="shared" si="1"/>
        <v>33</v>
      </c>
      <c r="U52" s="93">
        <v>158</v>
      </c>
      <c r="V52" s="104">
        <f t="shared" si="2"/>
        <v>5214</v>
      </c>
      <c r="W52" s="93">
        <v>4</v>
      </c>
      <c r="X52" s="93" t="s">
        <v>39</v>
      </c>
      <c r="Y52" s="93" t="s">
        <v>84</v>
      </c>
      <c r="Z52" s="93" t="s">
        <v>90</v>
      </c>
      <c r="AA52" s="93" t="s">
        <v>69</v>
      </c>
      <c r="AB52" s="93" t="s">
        <v>158</v>
      </c>
    </row>
    <row r="53" spans="1:28" x14ac:dyDescent="0.15">
      <c r="D53" s="101"/>
      <c r="Q53" s="102" t="str">
        <f t="shared" si="0"/>
        <v/>
      </c>
      <c r="T53" s="103" t="str">
        <f t="shared" si="1"/>
        <v/>
      </c>
      <c r="V53" s="104" t="str">
        <f t="shared" si="2"/>
        <v/>
      </c>
    </row>
    <row r="54" spans="1:28" x14ac:dyDescent="0.15">
      <c r="D54" s="101"/>
      <c r="Q54" s="102" t="str">
        <f t="shared" si="0"/>
        <v/>
      </c>
      <c r="T54" s="103" t="str">
        <f t="shared" si="1"/>
        <v/>
      </c>
      <c r="V54" s="104" t="str">
        <f t="shared" si="2"/>
        <v/>
      </c>
    </row>
    <row r="55" spans="1:28" x14ac:dyDescent="0.15">
      <c r="D55" s="101"/>
      <c r="Q55" s="102" t="str">
        <f t="shared" si="0"/>
        <v/>
      </c>
      <c r="T55" s="103" t="str">
        <f t="shared" si="1"/>
        <v/>
      </c>
      <c r="V55" s="104" t="str">
        <f t="shared" si="2"/>
        <v/>
      </c>
    </row>
    <row r="56" spans="1:28" x14ac:dyDescent="0.15">
      <c r="D56" s="101"/>
      <c r="Q56" s="102" t="str">
        <f t="shared" si="0"/>
        <v/>
      </c>
      <c r="T56" s="103" t="str">
        <f t="shared" si="1"/>
        <v/>
      </c>
      <c r="V56" s="104" t="str">
        <f t="shared" si="2"/>
        <v/>
      </c>
    </row>
    <row r="57" spans="1:28" x14ac:dyDescent="0.15">
      <c r="D57" s="101"/>
      <c r="Q57" s="102" t="str">
        <f t="shared" si="0"/>
        <v/>
      </c>
      <c r="T57" s="103" t="str">
        <f t="shared" si="1"/>
        <v/>
      </c>
      <c r="V57" s="104" t="str">
        <f t="shared" si="2"/>
        <v/>
      </c>
    </row>
    <row r="58" spans="1:28" x14ac:dyDescent="0.15">
      <c r="D58" s="101"/>
      <c r="Q58" s="102" t="str">
        <f t="shared" si="0"/>
        <v/>
      </c>
      <c r="T58" s="103" t="str">
        <f t="shared" si="1"/>
        <v/>
      </c>
      <c r="V58" s="104" t="str">
        <f t="shared" si="2"/>
        <v/>
      </c>
    </row>
    <row r="59" spans="1:28" x14ac:dyDescent="0.15">
      <c r="D59" s="101"/>
      <c r="Q59" s="102" t="str">
        <f t="shared" si="0"/>
        <v/>
      </c>
      <c r="T59" s="103" t="str">
        <f t="shared" si="1"/>
        <v/>
      </c>
      <c r="V59" s="104" t="str">
        <f t="shared" si="2"/>
        <v/>
      </c>
    </row>
    <row r="60" spans="1:28" x14ac:dyDescent="0.15">
      <c r="D60" s="101"/>
      <c r="Q60" s="102" t="str">
        <f t="shared" si="0"/>
        <v/>
      </c>
      <c r="T60" s="103" t="str">
        <f t="shared" si="1"/>
        <v/>
      </c>
      <c r="V60" s="104" t="str">
        <f t="shared" si="2"/>
        <v/>
      </c>
    </row>
    <row r="61" spans="1:28" x14ac:dyDescent="0.15">
      <c r="D61" s="101"/>
      <c r="Q61" s="102" t="str">
        <f t="shared" si="0"/>
        <v/>
      </c>
      <c r="T61" s="103" t="str">
        <f t="shared" si="1"/>
        <v/>
      </c>
      <c r="V61" s="104" t="str">
        <f t="shared" si="2"/>
        <v/>
      </c>
    </row>
    <row r="62" spans="1:28" x14ac:dyDescent="0.15">
      <c r="D62" s="101"/>
      <c r="Q62" s="102" t="str">
        <f t="shared" si="0"/>
        <v/>
      </c>
      <c r="T62" s="103" t="str">
        <f t="shared" si="1"/>
        <v/>
      </c>
      <c r="V62" s="104" t="str">
        <f t="shared" si="2"/>
        <v/>
      </c>
    </row>
    <row r="63" spans="1:28" x14ac:dyDescent="0.15">
      <c r="D63" s="101"/>
      <c r="Q63" s="102" t="str">
        <f t="shared" si="0"/>
        <v/>
      </c>
      <c r="T63" s="103" t="str">
        <f t="shared" si="1"/>
        <v/>
      </c>
      <c r="V63" s="104" t="str">
        <f t="shared" si="2"/>
        <v/>
      </c>
    </row>
    <row r="64" spans="1:28" x14ac:dyDescent="0.15">
      <c r="D64" s="101"/>
      <c r="Q64" s="102" t="str">
        <f t="shared" si="0"/>
        <v/>
      </c>
      <c r="T64" s="103" t="str">
        <f t="shared" si="1"/>
        <v/>
      </c>
      <c r="V64" s="104" t="str">
        <f t="shared" si="2"/>
        <v/>
      </c>
    </row>
    <row r="65" spans="4:22" x14ac:dyDescent="0.15">
      <c r="D65" s="101"/>
      <c r="Q65" s="103" t="str">
        <f t="shared" si="0"/>
        <v/>
      </c>
      <c r="T65" s="103" t="str">
        <f t="shared" si="1"/>
        <v/>
      </c>
      <c r="V65" s="103" t="str">
        <f t="shared" si="2"/>
        <v/>
      </c>
    </row>
    <row r="66" spans="4:22" x14ac:dyDescent="0.15">
      <c r="D66" s="101"/>
      <c r="Q66" s="103" t="str">
        <f t="shared" ref="Q66:Q85" si="3">IF(OR(O66="",P66=""),"",AVERAGE(O66,P66))</f>
        <v/>
      </c>
      <c r="T66" s="103" t="str">
        <f t="shared" ref="T66:T85" si="4">IF(H66="","",IF(OR(H66="GREEN",H66="GK"),IF(S66&gt;=$AX$2,VLOOKUP(S66,$AX$2:$AY$12,2,1),""),IF(S66&gt;=$AZ$2,VLOOKUP(S66,$AZ$2:$BA$12,2,1),"")))</f>
        <v/>
      </c>
      <c r="V66" s="103" t="str">
        <f t="shared" ref="V66:V85" si="5">IF(OR(N66="",U66="",T66=""),"",U66/N66*T66)</f>
        <v/>
      </c>
    </row>
    <row r="67" spans="4:22" x14ac:dyDescent="0.15">
      <c r="D67" s="101"/>
      <c r="Q67" s="103" t="str">
        <f t="shared" si="3"/>
        <v/>
      </c>
      <c r="T67" s="103" t="str">
        <f t="shared" si="4"/>
        <v/>
      </c>
      <c r="V67" s="103" t="str">
        <f t="shared" si="5"/>
        <v/>
      </c>
    </row>
    <row r="68" spans="4:22" x14ac:dyDescent="0.15">
      <c r="D68" s="101"/>
      <c r="Q68" s="103" t="str">
        <f t="shared" si="3"/>
        <v/>
      </c>
      <c r="T68" s="103" t="str">
        <f t="shared" si="4"/>
        <v/>
      </c>
      <c r="V68" s="103" t="str">
        <f t="shared" si="5"/>
        <v/>
      </c>
    </row>
    <row r="69" spans="4:22" x14ac:dyDescent="0.15">
      <c r="D69" s="101"/>
      <c r="Q69" s="103" t="str">
        <f t="shared" si="3"/>
        <v/>
      </c>
      <c r="T69" s="103" t="str">
        <f t="shared" si="4"/>
        <v/>
      </c>
      <c r="V69" s="103" t="str">
        <f t="shared" si="5"/>
        <v/>
      </c>
    </row>
    <row r="70" spans="4:22" x14ac:dyDescent="0.15">
      <c r="D70" s="101"/>
      <c r="Q70" s="103" t="str">
        <f t="shared" si="3"/>
        <v/>
      </c>
      <c r="T70" s="103" t="str">
        <f t="shared" si="4"/>
        <v/>
      </c>
      <c r="V70" s="103" t="str">
        <f t="shared" si="5"/>
        <v/>
      </c>
    </row>
    <row r="71" spans="4:22" x14ac:dyDescent="0.15">
      <c r="D71" s="101"/>
      <c r="Q71" s="103" t="str">
        <f t="shared" si="3"/>
        <v/>
      </c>
      <c r="T71" s="103" t="str">
        <f t="shared" si="4"/>
        <v/>
      </c>
      <c r="V71" s="103" t="str">
        <f t="shared" si="5"/>
        <v/>
      </c>
    </row>
    <row r="72" spans="4:22" x14ac:dyDescent="0.15">
      <c r="D72" s="101"/>
      <c r="Q72" s="103" t="str">
        <f t="shared" si="3"/>
        <v/>
      </c>
      <c r="T72" s="103" t="str">
        <f t="shared" si="4"/>
        <v/>
      </c>
      <c r="V72" s="103" t="str">
        <f t="shared" si="5"/>
        <v/>
      </c>
    </row>
    <row r="73" spans="4:22" x14ac:dyDescent="0.15">
      <c r="D73" s="101"/>
      <c r="Q73" s="103" t="str">
        <f t="shared" si="3"/>
        <v/>
      </c>
      <c r="T73" s="103" t="str">
        <f t="shared" si="4"/>
        <v/>
      </c>
      <c r="V73" s="103" t="str">
        <f t="shared" si="5"/>
        <v/>
      </c>
    </row>
    <row r="74" spans="4:22" x14ac:dyDescent="0.15">
      <c r="D74" s="101"/>
      <c r="Q74" s="103" t="str">
        <f t="shared" si="3"/>
        <v/>
      </c>
      <c r="T74" s="103" t="str">
        <f t="shared" si="4"/>
        <v/>
      </c>
      <c r="V74" s="103" t="str">
        <f t="shared" si="5"/>
        <v/>
      </c>
    </row>
    <row r="75" spans="4:22" x14ac:dyDescent="0.15">
      <c r="D75" s="101"/>
      <c r="Q75" s="103" t="str">
        <f t="shared" si="3"/>
        <v/>
      </c>
      <c r="T75" s="103" t="str">
        <f t="shared" si="4"/>
        <v/>
      </c>
      <c r="V75" s="103" t="str">
        <f t="shared" si="5"/>
        <v/>
      </c>
    </row>
    <row r="76" spans="4:22" x14ac:dyDescent="0.15">
      <c r="D76" s="101"/>
      <c r="Q76" s="103" t="str">
        <f t="shared" si="3"/>
        <v/>
      </c>
      <c r="T76" s="103" t="str">
        <f t="shared" si="4"/>
        <v/>
      </c>
      <c r="V76" s="103" t="str">
        <f t="shared" si="5"/>
        <v/>
      </c>
    </row>
    <row r="77" spans="4:22" x14ac:dyDescent="0.15">
      <c r="D77" s="101"/>
      <c r="Q77" s="103" t="str">
        <f t="shared" si="3"/>
        <v/>
      </c>
      <c r="T77" s="103" t="str">
        <f t="shared" si="4"/>
        <v/>
      </c>
      <c r="V77" s="103" t="str">
        <f t="shared" si="5"/>
        <v/>
      </c>
    </row>
    <row r="78" spans="4:22" x14ac:dyDescent="0.15">
      <c r="D78" s="101"/>
      <c r="Q78" s="103" t="str">
        <f t="shared" si="3"/>
        <v/>
      </c>
      <c r="T78" s="103" t="str">
        <f t="shared" si="4"/>
        <v/>
      </c>
      <c r="V78" s="103" t="str">
        <f t="shared" si="5"/>
        <v/>
      </c>
    </row>
    <row r="79" spans="4:22" x14ac:dyDescent="0.15">
      <c r="D79" s="101"/>
      <c r="Q79" s="103" t="str">
        <f t="shared" si="3"/>
        <v/>
      </c>
      <c r="T79" s="103" t="str">
        <f t="shared" si="4"/>
        <v/>
      </c>
      <c r="V79" s="103" t="str">
        <f t="shared" si="5"/>
        <v/>
      </c>
    </row>
    <row r="80" spans="4:22"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51E092DA-E105-412C-8857-729B61E8C89F}">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C86931DD-9CD3-413B-9681-517F6C1E8F8E}">
      <formula1>$AV$2:$AV$20</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D8F717D7-876C-4188-BE1A-0963013627C0}">
      <formula1>$AL$4:$AL$12</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E6659895-D8AB-4E47-BF72-FCCA3DCCA6FA}">
      <formula1>$AT$2:$AT$3</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78C4D9C2-C381-457E-BAF1-850AF3079ABE}">
      <formula1>$AN$5:$AN$6</formula1>
    </dataValidation>
    <dataValidation type="list" allowBlank="1" showInputMessage="1" showErrorMessage="1" sqref="Y2:AA500" xr:uid="{10628276-D72B-45D3-98AC-B8761C6EE87F}">
      <formula1>$AV$2:$AV$21</formula1>
    </dataValidation>
    <dataValidation type="list" allowBlank="1" showInputMessage="1" showErrorMessage="1" sqref="H2:H500" xr:uid="{B90EDB6C-C59E-469A-8148-88CD3F287102}">
      <formula1>$AL$2:$AL$8</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BC00E7B0-9131-4961-A77E-D7922A777F14}">
      <formula1>$AP$2:$AP$27</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0B7F4DF8-D6B0-4D7D-9E29-C0BDFDCE2F0C}">
      <formula1>$AH$2:$AH$11</formula1>
    </dataValidation>
    <dataValidation type="list" allowBlank="1" showInputMessage="1" showErrorMessage="1" sqref="K2:K89" xr:uid="{47F319B8-2FA4-4DE8-9349-2D209ACFFF7D}">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60683AA9-05DE-45E7-81BB-33BF54757BC2}">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82381687-A5EC-404A-8836-553CDC4331E7}"/>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AC261AE0-2C1A-40B1-8C42-7CE9B2A61433}">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C55A872F-98E7-4792-A327-7F9485F39629}">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74A13B76-2524-4D6E-B105-307E2D1585AA}">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42869-0920-4132-8DC9-D66174F674A1}">
  <sheetPr>
    <pageSetUpPr fitToPage="1"/>
  </sheetPr>
  <dimension ref="A1:BA102"/>
  <sheetViews>
    <sheetView zoomScale="70" zoomScaleNormal="70" workbookViewId="0">
      <selection activeCell="Z98" sqref="Z98"/>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3" t="s">
        <v>281</v>
      </c>
      <c r="B1" s="55" t="s">
        <v>1</v>
      </c>
      <c r="C1" s="55" t="s">
        <v>2</v>
      </c>
      <c r="D1" s="56" t="s">
        <v>3</v>
      </c>
      <c r="E1" s="56" t="s">
        <v>282</v>
      </c>
      <c r="F1" s="56" t="s">
        <v>5</v>
      </c>
      <c r="G1" s="56" t="s">
        <v>6</v>
      </c>
      <c r="H1" s="56" t="s">
        <v>283</v>
      </c>
      <c r="I1" s="56" t="s">
        <v>8</v>
      </c>
      <c r="J1" s="56" t="s">
        <v>9</v>
      </c>
      <c r="K1" s="56" t="s">
        <v>10</v>
      </c>
      <c r="L1" s="56" t="s">
        <v>11</v>
      </c>
      <c r="M1" s="56" t="s">
        <v>12</v>
      </c>
      <c r="N1" s="56" t="s">
        <v>13</v>
      </c>
      <c r="O1" s="56" t="s">
        <v>14</v>
      </c>
      <c r="P1" s="56" t="s">
        <v>15</v>
      </c>
      <c r="Q1" s="3" t="s">
        <v>16</v>
      </c>
      <c r="R1" s="56" t="s">
        <v>17</v>
      </c>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236</v>
      </c>
      <c r="C2" s="127">
        <v>2019</v>
      </c>
      <c r="D2" s="128" t="s">
        <v>284</v>
      </c>
      <c r="E2" s="127" t="s">
        <v>285</v>
      </c>
      <c r="F2" s="127" t="s">
        <v>286</v>
      </c>
      <c r="G2" s="127" t="s">
        <v>42</v>
      </c>
      <c r="H2" s="53" t="s">
        <v>164</v>
      </c>
      <c r="I2" s="53" t="s">
        <v>159</v>
      </c>
      <c r="J2" s="127" t="s">
        <v>38</v>
      </c>
      <c r="K2" s="53" t="s">
        <v>59</v>
      </c>
      <c r="L2" s="53">
        <v>1</v>
      </c>
      <c r="M2" s="53"/>
      <c r="N2" s="53">
        <v>1</v>
      </c>
      <c r="O2" s="53">
        <v>1.5</v>
      </c>
      <c r="P2" s="53">
        <v>1.8</v>
      </c>
      <c r="Q2" s="74">
        <f t="shared" ref="Q2:Q13" si="0">IF(OR(O2="",P2=""),"",AVERAGE(O2,P2))</f>
        <v>1.65</v>
      </c>
      <c r="R2" s="53">
        <v>11.7</v>
      </c>
      <c r="S2" s="53">
        <v>78</v>
      </c>
      <c r="T2" s="16">
        <f t="shared" ref="T2:T31" si="1">IF(H2="","",IF(OR(H2="GREEN",H2="GK"),IF(S2&gt;=$AX$2,VLOOKUP(S2,$AX$2:$AY$9,2,1),""),IF(S2&gt;=$AZ$2,VLOOKUP(S2,$AZ$2:$BA$9,2,1),"")))</f>
        <v>39</v>
      </c>
      <c r="U2" s="53">
        <v>90</v>
      </c>
      <c r="V2" s="129">
        <f t="shared" ref="V2:V13" si="2">IF(OR(N2="",U2="",T2=""),"",U2/N2*T2)</f>
        <v>3510</v>
      </c>
      <c r="W2" s="53">
        <v>2</v>
      </c>
      <c r="X2" s="127" t="s">
        <v>39</v>
      </c>
      <c r="Y2" s="53" t="s">
        <v>287</v>
      </c>
      <c r="Z2" s="53" t="s">
        <v>90</v>
      </c>
      <c r="AA2" s="53" t="s">
        <v>69</v>
      </c>
      <c r="AB2" s="127" t="s">
        <v>240</v>
      </c>
      <c r="AC2" s="34"/>
      <c r="AE2" s="64" t="s">
        <v>35</v>
      </c>
      <c r="AG2" s="49" t="s">
        <v>285</v>
      </c>
      <c r="AH2" s="49" t="s">
        <v>288</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236</v>
      </c>
      <c r="C3" s="127">
        <v>2019</v>
      </c>
      <c r="D3" s="128" t="s">
        <v>284</v>
      </c>
      <c r="E3" s="127" t="s">
        <v>285</v>
      </c>
      <c r="F3" s="127" t="s">
        <v>286</v>
      </c>
      <c r="G3" s="127" t="s">
        <v>42</v>
      </c>
      <c r="H3" s="53" t="s">
        <v>164</v>
      </c>
      <c r="I3" s="53" t="s">
        <v>159</v>
      </c>
      <c r="J3" s="127" t="s">
        <v>38</v>
      </c>
      <c r="K3" s="53" t="s">
        <v>59</v>
      </c>
      <c r="L3" s="53">
        <v>2</v>
      </c>
      <c r="N3" s="53">
        <v>1</v>
      </c>
      <c r="O3" s="53">
        <v>2.25</v>
      </c>
      <c r="P3" s="53">
        <v>2.4</v>
      </c>
      <c r="Q3" s="74">
        <f t="shared" si="0"/>
        <v>2.3250000000000002</v>
      </c>
      <c r="R3" s="53">
        <v>10.6</v>
      </c>
      <c r="S3" s="53">
        <v>90</v>
      </c>
      <c r="T3" s="16">
        <f t="shared" si="1"/>
        <v>39</v>
      </c>
      <c r="U3" s="53">
        <v>90</v>
      </c>
      <c r="V3" s="129">
        <f t="shared" si="2"/>
        <v>3510</v>
      </c>
      <c r="W3" s="53">
        <v>2</v>
      </c>
      <c r="X3" s="127" t="s">
        <v>39</v>
      </c>
      <c r="Y3" s="53" t="s">
        <v>287</v>
      </c>
      <c r="Z3" s="53" t="s">
        <v>90</v>
      </c>
      <c r="AA3" s="53" t="s">
        <v>69</v>
      </c>
      <c r="AB3" s="127" t="s">
        <v>240</v>
      </c>
      <c r="AC3" s="34"/>
      <c r="AE3" s="22" t="s">
        <v>41</v>
      </c>
      <c r="AG3" s="49" t="s">
        <v>289</v>
      </c>
      <c r="AH3" s="49" t="s">
        <v>290</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236</v>
      </c>
      <c r="C4" s="127">
        <v>2019</v>
      </c>
      <c r="D4" s="128" t="s">
        <v>284</v>
      </c>
      <c r="E4" s="127" t="s">
        <v>285</v>
      </c>
      <c r="F4" s="127" t="s">
        <v>286</v>
      </c>
      <c r="G4" s="127" t="s">
        <v>42</v>
      </c>
      <c r="H4" s="53" t="s">
        <v>164</v>
      </c>
      <c r="I4" s="53" t="s">
        <v>159</v>
      </c>
      <c r="J4" s="127" t="s">
        <v>38</v>
      </c>
      <c r="K4" s="53" t="s">
        <v>59</v>
      </c>
      <c r="L4" s="53">
        <v>3</v>
      </c>
      <c r="N4" s="53">
        <v>1</v>
      </c>
      <c r="O4" s="53">
        <v>1.6</v>
      </c>
      <c r="P4" s="53">
        <v>1.75</v>
      </c>
      <c r="Q4" s="74">
        <f t="shared" si="0"/>
        <v>1.675</v>
      </c>
      <c r="R4" s="53">
        <v>10.6</v>
      </c>
      <c r="S4" s="53">
        <v>95.5</v>
      </c>
      <c r="T4" s="16">
        <f t="shared" si="1"/>
        <v>39</v>
      </c>
      <c r="U4" s="53">
        <v>90</v>
      </c>
      <c r="V4" s="129">
        <f t="shared" si="2"/>
        <v>3510</v>
      </c>
      <c r="W4" s="53">
        <v>2</v>
      </c>
      <c r="X4" s="127" t="s">
        <v>39</v>
      </c>
      <c r="Y4" s="53" t="s">
        <v>287</v>
      </c>
      <c r="Z4" s="53" t="s">
        <v>90</v>
      </c>
      <c r="AA4" s="53" t="s">
        <v>69</v>
      </c>
      <c r="AB4" s="127" t="s">
        <v>240</v>
      </c>
      <c r="AC4" s="34"/>
      <c r="AE4" s="22" t="s">
        <v>34</v>
      </c>
      <c r="AG4" s="49" t="s">
        <v>291</v>
      </c>
      <c r="AH4" s="49" t="s">
        <v>292</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236</v>
      </c>
      <c r="C5" s="127">
        <v>2019</v>
      </c>
      <c r="D5" s="128" t="s">
        <v>284</v>
      </c>
      <c r="E5" s="127" t="s">
        <v>285</v>
      </c>
      <c r="F5" s="127" t="s">
        <v>286</v>
      </c>
      <c r="G5" s="127" t="s">
        <v>42</v>
      </c>
      <c r="H5" s="53" t="s">
        <v>127</v>
      </c>
      <c r="I5" s="53" t="s">
        <v>159</v>
      </c>
      <c r="J5" s="127" t="s">
        <v>80</v>
      </c>
      <c r="K5" s="53" t="s">
        <v>87</v>
      </c>
      <c r="L5" s="53">
        <v>1</v>
      </c>
      <c r="N5" s="53">
        <v>6</v>
      </c>
      <c r="O5" s="53">
        <v>1.75</v>
      </c>
      <c r="P5" s="53">
        <v>2.2000000000000002</v>
      </c>
      <c r="Q5" s="74">
        <f t="shared" si="0"/>
        <v>1.9750000000000001</v>
      </c>
      <c r="R5" s="53">
        <v>10.4</v>
      </c>
      <c r="S5" s="53">
        <v>73</v>
      </c>
      <c r="T5" s="16">
        <f t="shared" si="1"/>
        <v>42</v>
      </c>
      <c r="U5" s="53">
        <v>298</v>
      </c>
      <c r="V5" s="129">
        <f t="shared" si="2"/>
        <v>2086</v>
      </c>
      <c r="W5" s="53">
        <v>2</v>
      </c>
      <c r="X5" s="127" t="s">
        <v>39</v>
      </c>
      <c r="Y5" s="53" t="s">
        <v>287</v>
      </c>
      <c r="Z5" s="53" t="s">
        <v>90</v>
      </c>
      <c r="AA5" s="53" t="s">
        <v>69</v>
      </c>
      <c r="AB5" s="127" t="s">
        <v>240</v>
      </c>
      <c r="AC5" s="34"/>
      <c r="AE5" s="22" t="s">
        <v>59</v>
      </c>
      <c r="AG5" s="49" t="s">
        <v>293</v>
      </c>
      <c r="AH5" s="49" t="s">
        <v>294</v>
      </c>
      <c r="AJ5" s="28"/>
      <c r="AL5" s="34" t="s">
        <v>134</v>
      </c>
      <c r="AN5" s="73"/>
      <c r="AP5" s="23" t="s">
        <v>62</v>
      </c>
      <c r="AR5" s="23" t="s">
        <v>81</v>
      </c>
      <c r="AV5" s="23" t="s">
        <v>97</v>
      </c>
      <c r="AX5" s="24">
        <v>119</v>
      </c>
      <c r="AY5" s="25">
        <v>30</v>
      </c>
      <c r="AZ5" s="25">
        <v>121</v>
      </c>
      <c r="BA5" s="26">
        <v>27</v>
      </c>
    </row>
    <row r="6" spans="1:53" x14ac:dyDescent="0.15">
      <c r="A6" s="127" t="s">
        <v>61</v>
      </c>
      <c r="B6" s="127" t="s">
        <v>236</v>
      </c>
      <c r="C6" s="127">
        <v>2019</v>
      </c>
      <c r="D6" s="128" t="s">
        <v>284</v>
      </c>
      <c r="E6" s="127" t="s">
        <v>285</v>
      </c>
      <c r="F6" s="127" t="s">
        <v>286</v>
      </c>
      <c r="G6" s="127" t="s">
        <v>42</v>
      </c>
      <c r="H6" s="53" t="s">
        <v>127</v>
      </c>
      <c r="I6" s="53" t="s">
        <v>159</v>
      </c>
      <c r="J6" s="127" t="s">
        <v>80</v>
      </c>
      <c r="K6" s="53" t="s">
        <v>87</v>
      </c>
      <c r="L6" s="53">
        <v>2</v>
      </c>
      <c r="N6" s="53">
        <v>6</v>
      </c>
      <c r="O6" s="53">
        <v>1.25</v>
      </c>
      <c r="P6" s="53">
        <v>0.5</v>
      </c>
      <c r="Q6" s="74">
        <f t="shared" si="0"/>
        <v>0.875</v>
      </c>
      <c r="R6" s="34">
        <v>10.9</v>
      </c>
      <c r="S6" s="53">
        <v>65</v>
      </c>
      <c r="T6" s="16">
        <f t="shared" si="1"/>
        <v>50</v>
      </c>
      <c r="U6" s="53">
        <v>298</v>
      </c>
      <c r="V6" s="129">
        <f t="shared" si="2"/>
        <v>2483.333333333333</v>
      </c>
      <c r="W6" s="53">
        <v>2</v>
      </c>
      <c r="X6" s="127" t="s">
        <v>39</v>
      </c>
      <c r="Y6" s="53" t="s">
        <v>287</v>
      </c>
      <c r="Z6" s="53" t="s">
        <v>90</v>
      </c>
      <c r="AA6" s="53" t="s">
        <v>69</v>
      </c>
      <c r="AB6" s="127" t="s">
        <v>240</v>
      </c>
      <c r="AC6" s="34"/>
      <c r="AE6" s="22" t="s">
        <v>98</v>
      </c>
      <c r="AG6" s="49" t="s">
        <v>133</v>
      </c>
      <c r="AH6" s="49" t="s">
        <v>295</v>
      </c>
      <c r="AL6" s="73"/>
      <c r="AN6" s="73"/>
      <c r="AP6" s="23" t="s">
        <v>95</v>
      </c>
      <c r="AR6" s="23" t="s">
        <v>89</v>
      </c>
      <c r="AV6" s="23" t="s">
        <v>102</v>
      </c>
      <c r="AX6" s="24">
        <v>128</v>
      </c>
      <c r="AY6" s="25">
        <v>27</v>
      </c>
      <c r="AZ6" s="25">
        <v>129</v>
      </c>
      <c r="BA6" s="26">
        <v>25</v>
      </c>
    </row>
    <row r="7" spans="1:53" x14ac:dyDescent="0.15">
      <c r="A7" s="127" t="s">
        <v>61</v>
      </c>
      <c r="B7" s="127" t="s">
        <v>236</v>
      </c>
      <c r="C7" s="127">
        <v>2019</v>
      </c>
      <c r="D7" s="128" t="s">
        <v>284</v>
      </c>
      <c r="E7" s="127" t="s">
        <v>285</v>
      </c>
      <c r="F7" s="127" t="s">
        <v>286</v>
      </c>
      <c r="G7" s="127" t="s">
        <v>42</v>
      </c>
      <c r="H7" s="53" t="s">
        <v>127</v>
      </c>
      <c r="I7" s="53" t="s">
        <v>159</v>
      </c>
      <c r="J7" s="127" t="s">
        <v>80</v>
      </c>
      <c r="K7" s="53" t="s">
        <v>87</v>
      </c>
      <c r="L7" s="53">
        <v>3</v>
      </c>
      <c r="N7" s="53">
        <v>6</v>
      </c>
      <c r="O7" s="53">
        <v>2.25</v>
      </c>
      <c r="P7" s="53">
        <v>2.25</v>
      </c>
      <c r="Q7" s="74">
        <f t="shared" si="0"/>
        <v>2.25</v>
      </c>
      <c r="R7" s="53">
        <v>9.8000000000000007</v>
      </c>
      <c r="S7" s="53">
        <v>72</v>
      </c>
      <c r="T7" s="16">
        <f t="shared" si="1"/>
        <v>42</v>
      </c>
      <c r="U7" s="53">
        <v>298</v>
      </c>
      <c r="V7" s="129">
        <f t="shared" si="2"/>
        <v>2086</v>
      </c>
      <c r="W7" s="53">
        <v>2</v>
      </c>
      <c r="X7" s="127" t="s">
        <v>39</v>
      </c>
      <c r="Y7" s="53" t="s">
        <v>287</v>
      </c>
      <c r="Z7" s="53" t="s">
        <v>90</v>
      </c>
      <c r="AA7" s="53" t="s">
        <v>69</v>
      </c>
      <c r="AB7" s="127" t="s">
        <v>240</v>
      </c>
      <c r="AC7" s="34"/>
      <c r="AE7" s="22" t="s">
        <v>103</v>
      </c>
      <c r="AG7" s="49" t="s">
        <v>296</v>
      </c>
      <c r="AH7" s="49" t="s">
        <v>297</v>
      </c>
      <c r="AL7" s="27"/>
      <c r="AP7" s="23" t="s">
        <v>100</v>
      </c>
      <c r="AR7" s="23" t="s">
        <v>123</v>
      </c>
      <c r="AV7" s="23" t="s">
        <v>106</v>
      </c>
      <c r="AX7" s="24">
        <v>138</v>
      </c>
      <c r="AY7" s="25">
        <v>25</v>
      </c>
      <c r="AZ7" s="25">
        <v>138</v>
      </c>
      <c r="BA7" s="26">
        <v>22</v>
      </c>
    </row>
    <row r="8" spans="1:53" x14ac:dyDescent="0.15">
      <c r="A8" s="127" t="s">
        <v>61</v>
      </c>
      <c r="B8" s="127" t="s">
        <v>236</v>
      </c>
      <c r="C8" s="127">
        <v>2019</v>
      </c>
      <c r="D8" s="128" t="s">
        <v>284</v>
      </c>
      <c r="E8" s="127" t="s">
        <v>289</v>
      </c>
      <c r="F8" s="127" t="s">
        <v>290</v>
      </c>
      <c r="G8" s="127" t="s">
        <v>42</v>
      </c>
      <c r="H8" s="53" t="s">
        <v>164</v>
      </c>
      <c r="I8" s="53" t="s">
        <v>159</v>
      </c>
      <c r="J8" s="127" t="s">
        <v>38</v>
      </c>
      <c r="K8" s="53" t="s">
        <v>161</v>
      </c>
      <c r="L8" s="53">
        <v>1</v>
      </c>
      <c r="N8" s="53">
        <v>4</v>
      </c>
      <c r="O8" s="53">
        <v>1.2</v>
      </c>
      <c r="P8" s="53">
        <v>1.2</v>
      </c>
      <c r="Q8" s="74">
        <f t="shared" si="0"/>
        <v>1.2</v>
      </c>
      <c r="R8" s="53">
        <v>11.8</v>
      </c>
      <c r="S8" s="53">
        <v>102.5</v>
      </c>
      <c r="T8" s="16">
        <f t="shared" si="1"/>
        <v>39</v>
      </c>
      <c r="U8" s="53">
        <v>398</v>
      </c>
      <c r="V8" s="129">
        <f t="shared" si="2"/>
        <v>3880.5</v>
      </c>
      <c r="W8" s="53">
        <v>3</v>
      </c>
      <c r="X8" s="127" t="s">
        <v>46</v>
      </c>
      <c r="Y8" s="53" t="s">
        <v>287</v>
      </c>
      <c r="Z8" s="53" t="s">
        <v>90</v>
      </c>
      <c r="AA8" s="53" t="s">
        <v>69</v>
      </c>
      <c r="AB8" s="127" t="s">
        <v>240</v>
      </c>
      <c r="AC8" s="34"/>
      <c r="AE8" s="22" t="s">
        <v>76</v>
      </c>
      <c r="AG8" s="23"/>
      <c r="AH8" s="22"/>
      <c r="AL8" s="34"/>
      <c r="AP8" s="23" t="s">
        <v>74</v>
      </c>
      <c r="AR8" s="23" t="s">
        <v>125</v>
      </c>
      <c r="AV8" s="134" t="s">
        <v>298</v>
      </c>
      <c r="AX8" s="24"/>
      <c r="AY8" s="25"/>
      <c r="AZ8" s="25"/>
      <c r="BA8" s="26"/>
    </row>
    <row r="9" spans="1:53" x14ac:dyDescent="0.15">
      <c r="A9" s="127" t="s">
        <v>61</v>
      </c>
      <c r="B9" s="127" t="s">
        <v>236</v>
      </c>
      <c r="C9" s="127">
        <v>2019</v>
      </c>
      <c r="D9" s="128" t="s">
        <v>284</v>
      </c>
      <c r="E9" s="127" t="s">
        <v>289</v>
      </c>
      <c r="F9" s="127" t="s">
        <v>290</v>
      </c>
      <c r="G9" s="127" t="s">
        <v>42</v>
      </c>
      <c r="H9" s="53" t="s">
        <v>164</v>
      </c>
      <c r="I9" s="53" t="s">
        <v>159</v>
      </c>
      <c r="J9" s="127" t="s">
        <v>38</v>
      </c>
      <c r="K9" s="53" t="s">
        <v>161</v>
      </c>
      <c r="L9" s="53">
        <v>2</v>
      </c>
      <c r="N9" s="53">
        <v>4</v>
      </c>
      <c r="O9" s="53">
        <v>1.25</v>
      </c>
      <c r="P9" s="53">
        <v>1.2</v>
      </c>
      <c r="Q9" s="74">
        <f t="shared" si="0"/>
        <v>1.2250000000000001</v>
      </c>
      <c r="R9" s="34">
        <v>10.6</v>
      </c>
      <c r="S9" s="53">
        <v>110.5</v>
      </c>
      <c r="T9" s="16">
        <f t="shared" si="1"/>
        <v>39</v>
      </c>
      <c r="U9" s="53">
        <v>398</v>
      </c>
      <c r="V9" s="129">
        <f t="shared" si="2"/>
        <v>3880.5</v>
      </c>
      <c r="W9" s="53">
        <v>3</v>
      </c>
      <c r="X9" s="127" t="s">
        <v>46</v>
      </c>
      <c r="Y9" s="53" t="s">
        <v>287</v>
      </c>
      <c r="Z9" s="53" t="s">
        <v>90</v>
      </c>
      <c r="AA9" s="53" t="s">
        <v>69</v>
      </c>
      <c r="AB9" s="127" t="s">
        <v>240</v>
      </c>
      <c r="AC9" s="34"/>
      <c r="AE9" s="22" t="s">
        <v>79</v>
      </c>
      <c r="AG9" s="23"/>
      <c r="AH9" s="23"/>
      <c r="AL9" s="34"/>
      <c r="AP9" s="23" t="s">
        <v>77</v>
      </c>
      <c r="AR9" s="23" t="s">
        <v>94</v>
      </c>
      <c r="AV9" s="134" t="s">
        <v>299</v>
      </c>
      <c r="AX9" s="31"/>
      <c r="AY9" s="32"/>
      <c r="AZ9" s="32"/>
      <c r="BA9" s="33"/>
    </row>
    <row r="10" spans="1:53" x14ac:dyDescent="0.15">
      <c r="A10" s="127" t="s">
        <v>61</v>
      </c>
      <c r="B10" s="127" t="s">
        <v>236</v>
      </c>
      <c r="C10" s="127">
        <v>2019</v>
      </c>
      <c r="D10" s="128" t="s">
        <v>284</v>
      </c>
      <c r="E10" s="127" t="s">
        <v>289</v>
      </c>
      <c r="F10" s="127" t="s">
        <v>290</v>
      </c>
      <c r="G10" s="127" t="s">
        <v>42</v>
      </c>
      <c r="H10" s="53" t="s">
        <v>164</v>
      </c>
      <c r="I10" s="53" t="s">
        <v>159</v>
      </c>
      <c r="J10" s="127" t="s">
        <v>38</v>
      </c>
      <c r="K10" s="53" t="s">
        <v>161</v>
      </c>
      <c r="L10" s="53">
        <v>3</v>
      </c>
      <c r="N10" s="53">
        <v>4</v>
      </c>
      <c r="O10" s="53">
        <v>1</v>
      </c>
      <c r="P10" s="53">
        <v>0.8</v>
      </c>
      <c r="Q10" s="74">
        <f t="shared" si="0"/>
        <v>0.9</v>
      </c>
      <c r="R10" s="53">
        <v>10.6</v>
      </c>
      <c r="S10" s="53">
        <v>92.5</v>
      </c>
      <c r="T10" s="16">
        <f t="shared" si="1"/>
        <v>39</v>
      </c>
      <c r="U10" s="53">
        <v>398</v>
      </c>
      <c r="V10" s="129">
        <f t="shared" si="2"/>
        <v>3880.5</v>
      </c>
      <c r="W10" s="53">
        <v>3</v>
      </c>
      <c r="X10" s="127" t="s">
        <v>46</v>
      </c>
      <c r="Y10" s="53" t="s">
        <v>287</v>
      </c>
      <c r="Z10" s="53" t="s">
        <v>90</v>
      </c>
      <c r="AA10" s="53" t="s">
        <v>69</v>
      </c>
      <c r="AB10" s="127" t="s">
        <v>240</v>
      </c>
      <c r="AC10" s="34"/>
      <c r="AE10" s="22" t="s">
        <v>82</v>
      </c>
      <c r="AG10" s="23"/>
      <c r="AH10" s="23"/>
      <c r="AP10" s="23" t="s">
        <v>80</v>
      </c>
      <c r="AR10" s="23" t="s">
        <v>63</v>
      </c>
      <c r="AV10" s="134" t="s">
        <v>300</v>
      </c>
    </row>
    <row r="11" spans="1:53" x14ac:dyDescent="0.15">
      <c r="A11" s="127" t="s">
        <v>61</v>
      </c>
      <c r="B11" s="127" t="s">
        <v>236</v>
      </c>
      <c r="C11" s="127">
        <v>2019</v>
      </c>
      <c r="D11" s="128" t="s">
        <v>284</v>
      </c>
      <c r="E11" s="127" t="s">
        <v>289</v>
      </c>
      <c r="F11" s="127" t="s">
        <v>290</v>
      </c>
      <c r="G11" s="127" t="s">
        <v>42</v>
      </c>
      <c r="H11" s="53" t="s">
        <v>160</v>
      </c>
      <c r="I11" s="53" t="s">
        <v>159</v>
      </c>
      <c r="J11" s="127" t="s">
        <v>38</v>
      </c>
      <c r="K11" s="53" t="s">
        <v>87</v>
      </c>
      <c r="L11" s="53">
        <v>1</v>
      </c>
      <c r="N11" s="53">
        <v>4</v>
      </c>
      <c r="O11" s="53">
        <v>0.3</v>
      </c>
      <c r="P11" s="53">
        <v>0.3</v>
      </c>
      <c r="Q11" s="74">
        <f t="shared" si="0"/>
        <v>0.3</v>
      </c>
      <c r="R11" s="53">
        <v>13.7</v>
      </c>
      <c r="S11" s="53">
        <v>110.5</v>
      </c>
      <c r="T11" s="16">
        <f t="shared" si="1"/>
        <v>39</v>
      </c>
      <c r="U11" s="53">
        <v>598</v>
      </c>
      <c r="V11" s="129">
        <f t="shared" si="2"/>
        <v>5830.5</v>
      </c>
      <c r="W11" s="53">
        <v>3</v>
      </c>
      <c r="X11" s="127" t="s">
        <v>46</v>
      </c>
      <c r="Y11" s="53" t="s">
        <v>287</v>
      </c>
      <c r="Z11" s="53" t="s">
        <v>90</v>
      </c>
      <c r="AA11" s="53" t="s">
        <v>69</v>
      </c>
      <c r="AB11" s="127" t="s">
        <v>240</v>
      </c>
      <c r="AC11" s="34"/>
      <c r="AE11" s="22"/>
      <c r="AP11" s="27" t="s">
        <v>113</v>
      </c>
      <c r="AR11" s="23" t="s">
        <v>105</v>
      </c>
      <c r="AV11" s="134" t="s">
        <v>301</v>
      </c>
    </row>
    <row r="12" spans="1:53" x14ac:dyDescent="0.15">
      <c r="A12" s="127" t="s">
        <v>61</v>
      </c>
      <c r="B12" s="127" t="s">
        <v>236</v>
      </c>
      <c r="C12" s="127">
        <v>2019</v>
      </c>
      <c r="D12" s="128" t="s">
        <v>284</v>
      </c>
      <c r="E12" s="127" t="s">
        <v>289</v>
      </c>
      <c r="F12" s="127" t="s">
        <v>290</v>
      </c>
      <c r="G12" s="127" t="s">
        <v>42</v>
      </c>
      <c r="H12" s="53" t="s">
        <v>160</v>
      </c>
      <c r="I12" s="53" t="s">
        <v>159</v>
      </c>
      <c r="J12" s="127" t="s">
        <v>38</v>
      </c>
      <c r="K12" s="53" t="s">
        <v>87</v>
      </c>
      <c r="L12" s="53">
        <v>2</v>
      </c>
      <c r="N12" s="53">
        <v>4</v>
      </c>
      <c r="O12" s="53">
        <v>0.2</v>
      </c>
      <c r="P12" s="53">
        <v>0.2</v>
      </c>
      <c r="Q12" s="74">
        <f t="shared" si="0"/>
        <v>0.2</v>
      </c>
      <c r="R12" s="53">
        <v>14.1</v>
      </c>
      <c r="S12" s="53">
        <v>109</v>
      </c>
      <c r="T12" s="16">
        <f t="shared" si="1"/>
        <v>39</v>
      </c>
      <c r="U12" s="53">
        <v>598</v>
      </c>
      <c r="V12" s="129">
        <f t="shared" si="2"/>
        <v>5830.5</v>
      </c>
      <c r="W12" s="53">
        <v>3</v>
      </c>
      <c r="X12" s="127" t="s">
        <v>46</v>
      </c>
      <c r="Y12" s="53" t="s">
        <v>287</v>
      </c>
      <c r="Z12" s="53" t="s">
        <v>90</v>
      </c>
      <c r="AA12" s="53" t="s">
        <v>69</v>
      </c>
      <c r="AB12" s="127" t="s">
        <v>240</v>
      </c>
      <c r="AC12" s="34"/>
      <c r="AE12" s="22"/>
      <c r="AP12" s="27" t="s">
        <v>114</v>
      </c>
      <c r="AR12" s="23" t="s">
        <v>68</v>
      </c>
      <c r="AV12" s="134" t="s">
        <v>302</v>
      </c>
    </row>
    <row r="13" spans="1:53" x14ac:dyDescent="0.15">
      <c r="A13" s="127" t="s">
        <v>61</v>
      </c>
      <c r="B13" s="127" t="s">
        <v>236</v>
      </c>
      <c r="C13" s="127">
        <v>2019</v>
      </c>
      <c r="D13" s="128" t="s">
        <v>284</v>
      </c>
      <c r="E13" s="127" t="s">
        <v>289</v>
      </c>
      <c r="F13" s="127" t="s">
        <v>290</v>
      </c>
      <c r="G13" s="127" t="s">
        <v>42</v>
      </c>
      <c r="H13" s="53" t="s">
        <v>160</v>
      </c>
      <c r="I13" s="53" t="s">
        <v>159</v>
      </c>
      <c r="J13" s="127" t="s">
        <v>38</v>
      </c>
      <c r="K13" s="53" t="s">
        <v>87</v>
      </c>
      <c r="L13" s="53">
        <v>3</v>
      </c>
      <c r="N13" s="53">
        <v>4</v>
      </c>
      <c r="O13" s="53">
        <v>0.2</v>
      </c>
      <c r="P13" s="53">
        <v>0.8</v>
      </c>
      <c r="Q13" s="74">
        <f t="shared" si="0"/>
        <v>0.5</v>
      </c>
      <c r="R13" s="53">
        <v>13.6</v>
      </c>
      <c r="S13" s="53">
        <v>112</v>
      </c>
      <c r="T13" s="16">
        <f t="shared" si="1"/>
        <v>39</v>
      </c>
      <c r="U13" s="53">
        <v>598</v>
      </c>
      <c r="V13" s="129">
        <f t="shared" si="2"/>
        <v>5830.5</v>
      </c>
      <c r="W13" s="53">
        <v>3</v>
      </c>
      <c r="X13" s="127" t="s">
        <v>46</v>
      </c>
      <c r="Y13" s="53" t="s">
        <v>287</v>
      </c>
      <c r="Z13" s="53" t="s">
        <v>90</v>
      </c>
      <c r="AA13" s="53" t="s">
        <v>69</v>
      </c>
      <c r="AB13" s="127" t="s">
        <v>240</v>
      </c>
      <c r="AC13" s="34"/>
      <c r="AE13" s="35"/>
      <c r="AP13" s="27" t="s">
        <v>115</v>
      </c>
      <c r="AR13" s="23" t="s">
        <v>83</v>
      </c>
      <c r="AV13" s="23"/>
    </row>
    <row r="14" spans="1:53" x14ac:dyDescent="0.15">
      <c r="A14" s="127" t="s">
        <v>61</v>
      </c>
      <c r="B14" s="127" t="s">
        <v>236</v>
      </c>
      <c r="C14" s="127">
        <v>2019</v>
      </c>
      <c r="D14" s="128" t="s">
        <v>284</v>
      </c>
      <c r="E14" s="127" t="s">
        <v>291</v>
      </c>
      <c r="F14" s="127" t="s">
        <v>292</v>
      </c>
      <c r="G14" s="127" t="s">
        <v>42</v>
      </c>
      <c r="H14" s="53" t="s">
        <v>164</v>
      </c>
      <c r="I14" s="53" t="s">
        <v>159</v>
      </c>
      <c r="J14" s="127" t="s">
        <v>38</v>
      </c>
      <c r="K14" s="53" t="s">
        <v>161</v>
      </c>
      <c r="L14" s="53">
        <v>1</v>
      </c>
      <c r="N14" s="53">
        <v>1</v>
      </c>
      <c r="O14" s="34">
        <v>0.5</v>
      </c>
      <c r="P14" s="53">
        <v>1.2</v>
      </c>
      <c r="Q14" s="74">
        <f>IF(OR(O14="",P14=""),"",AVERAGE(O14,P14))</f>
        <v>0.85</v>
      </c>
      <c r="R14" s="53">
        <v>11.2</v>
      </c>
      <c r="S14" s="53">
        <v>123.5</v>
      </c>
      <c r="T14" s="16">
        <f t="shared" si="1"/>
        <v>27</v>
      </c>
      <c r="U14" s="53">
        <v>98</v>
      </c>
      <c r="V14" s="129">
        <f>IF(OR(N14="",U14="",T14=""),"",U14/N14*T14)</f>
        <v>2646</v>
      </c>
      <c r="W14" s="53">
        <v>7</v>
      </c>
      <c r="X14" s="127" t="s">
        <v>46</v>
      </c>
      <c r="Y14" s="53" t="s">
        <v>287</v>
      </c>
      <c r="Z14" s="53" t="s">
        <v>90</v>
      </c>
      <c r="AA14" s="53" t="s">
        <v>69</v>
      </c>
      <c r="AB14" s="127" t="s">
        <v>240</v>
      </c>
      <c r="AC14" s="34"/>
      <c r="AD14" s="34"/>
      <c r="AE14" s="35"/>
      <c r="AP14" s="27" t="s">
        <v>117</v>
      </c>
      <c r="AR14" s="23" t="s">
        <v>153</v>
      </c>
    </row>
    <row r="15" spans="1:53" x14ac:dyDescent="0.15">
      <c r="A15" s="127" t="s">
        <v>61</v>
      </c>
      <c r="B15" s="127" t="s">
        <v>236</v>
      </c>
      <c r="C15" s="127">
        <v>2019</v>
      </c>
      <c r="D15" s="128" t="s">
        <v>284</v>
      </c>
      <c r="E15" s="127" t="s">
        <v>291</v>
      </c>
      <c r="F15" s="127" t="s">
        <v>292</v>
      </c>
      <c r="G15" s="127" t="s">
        <v>42</v>
      </c>
      <c r="H15" s="53" t="s">
        <v>164</v>
      </c>
      <c r="I15" s="53" t="s">
        <v>159</v>
      </c>
      <c r="J15" s="127" t="s">
        <v>38</v>
      </c>
      <c r="K15" s="53" t="s">
        <v>161</v>
      </c>
      <c r="L15" s="53">
        <v>2</v>
      </c>
      <c r="N15" s="53">
        <v>1</v>
      </c>
      <c r="O15" s="34">
        <v>0.4</v>
      </c>
      <c r="P15" s="53">
        <v>0.8</v>
      </c>
      <c r="Q15" s="74">
        <f>IF(OR(O15="",P15=""),"",AVERAGE(O15,P15))</f>
        <v>0.60000000000000009</v>
      </c>
      <c r="R15" s="53">
        <v>14.8</v>
      </c>
      <c r="S15" s="53">
        <v>119.5</v>
      </c>
      <c r="T15" s="16">
        <f t="shared" si="1"/>
        <v>39</v>
      </c>
      <c r="U15" s="53">
        <v>98</v>
      </c>
      <c r="V15" s="129">
        <f t="shared" ref="V15:V78" si="3">IF(OR(N15="",U15="",T15=""),"",U15/N15*T15)</f>
        <v>3822</v>
      </c>
      <c r="W15" s="53">
        <v>7</v>
      </c>
      <c r="X15" s="127" t="s">
        <v>46</v>
      </c>
      <c r="Y15" s="53" t="s">
        <v>287</v>
      </c>
      <c r="Z15" s="53" t="s">
        <v>90</v>
      </c>
      <c r="AA15" s="53" t="s">
        <v>69</v>
      </c>
      <c r="AB15" s="127" t="s">
        <v>240</v>
      </c>
      <c r="AC15" s="34"/>
      <c r="AD15" s="34"/>
      <c r="AE15" s="28"/>
      <c r="AP15" s="27" t="s">
        <v>118</v>
      </c>
      <c r="AR15" s="23"/>
    </row>
    <row r="16" spans="1:53" x14ac:dyDescent="0.15">
      <c r="A16" s="127" t="s">
        <v>61</v>
      </c>
      <c r="B16" s="127" t="s">
        <v>236</v>
      </c>
      <c r="C16" s="127">
        <v>2019</v>
      </c>
      <c r="D16" s="128" t="s">
        <v>284</v>
      </c>
      <c r="E16" s="127" t="s">
        <v>291</v>
      </c>
      <c r="F16" s="127" t="s">
        <v>292</v>
      </c>
      <c r="G16" s="127" t="s">
        <v>42</v>
      </c>
      <c r="H16" s="53" t="s">
        <v>164</v>
      </c>
      <c r="I16" s="53" t="s">
        <v>159</v>
      </c>
      <c r="J16" s="127" t="s">
        <v>38</v>
      </c>
      <c r="K16" s="53" t="s">
        <v>161</v>
      </c>
      <c r="L16" s="53">
        <v>3</v>
      </c>
      <c r="N16" s="53">
        <v>1</v>
      </c>
      <c r="O16" s="34">
        <v>0.7</v>
      </c>
      <c r="P16" s="53">
        <v>0.8</v>
      </c>
      <c r="Q16" s="74">
        <f>IF(OR(O16="",P16=""),"",AVERAGE(O16,P16))</f>
        <v>0.75</v>
      </c>
      <c r="R16" s="53">
        <v>10.4</v>
      </c>
      <c r="S16" s="53">
        <v>121</v>
      </c>
      <c r="T16" s="16">
        <f t="shared" si="1"/>
        <v>27</v>
      </c>
      <c r="U16" s="53">
        <v>98</v>
      </c>
      <c r="V16" s="129">
        <f t="shared" si="3"/>
        <v>2646</v>
      </c>
      <c r="W16" s="53">
        <v>7</v>
      </c>
      <c r="X16" s="127" t="s">
        <v>46</v>
      </c>
      <c r="Y16" s="53" t="s">
        <v>287</v>
      </c>
      <c r="Z16" s="53" t="s">
        <v>90</v>
      </c>
      <c r="AA16" s="53" t="s">
        <v>69</v>
      </c>
      <c r="AB16" s="127" t="s">
        <v>240</v>
      </c>
      <c r="AC16" s="34"/>
      <c r="AD16" s="34"/>
      <c r="AP16" s="27"/>
      <c r="AR16" s="23"/>
    </row>
    <row r="17" spans="1:48" x14ac:dyDescent="0.15">
      <c r="A17" s="127" t="s">
        <v>61</v>
      </c>
      <c r="B17" s="127" t="s">
        <v>236</v>
      </c>
      <c r="C17" s="127">
        <v>2019</v>
      </c>
      <c r="D17" s="128" t="s">
        <v>284</v>
      </c>
      <c r="E17" s="127" t="s">
        <v>291</v>
      </c>
      <c r="F17" s="127" t="s">
        <v>292</v>
      </c>
      <c r="G17" s="127" t="s">
        <v>42</v>
      </c>
      <c r="H17" s="53" t="s">
        <v>127</v>
      </c>
      <c r="I17" s="53" t="s">
        <v>159</v>
      </c>
      <c r="J17" s="127" t="s">
        <v>80</v>
      </c>
      <c r="K17" s="53" t="s">
        <v>61</v>
      </c>
      <c r="L17" s="53">
        <v>1</v>
      </c>
      <c r="N17" s="53">
        <v>3</v>
      </c>
      <c r="O17" s="34">
        <v>1.25</v>
      </c>
      <c r="P17" s="53">
        <v>0.75</v>
      </c>
      <c r="Q17" s="74">
        <f t="shared" ref="Q17:Q80" si="4">IF(OR(O17="",P17=""),"",AVERAGE(O17,P17))</f>
        <v>1</v>
      </c>
      <c r="R17" s="53">
        <v>10.9</v>
      </c>
      <c r="S17" s="53">
        <v>106</v>
      </c>
      <c r="T17" s="16">
        <f t="shared" si="1"/>
        <v>39</v>
      </c>
      <c r="U17" s="53">
        <v>198</v>
      </c>
      <c r="V17" s="129">
        <f t="shared" si="3"/>
        <v>2574</v>
      </c>
      <c r="W17" s="53">
        <v>7</v>
      </c>
      <c r="X17" s="127" t="s">
        <v>46</v>
      </c>
      <c r="Y17" s="53" t="s">
        <v>287</v>
      </c>
      <c r="Z17" s="53" t="s">
        <v>90</v>
      </c>
      <c r="AA17" s="53" t="s">
        <v>69</v>
      </c>
      <c r="AB17" s="127" t="s">
        <v>240</v>
      </c>
      <c r="AC17" s="34"/>
      <c r="AD17" s="34"/>
      <c r="AE17" s="35"/>
      <c r="AP17" s="27" t="s">
        <v>117</v>
      </c>
      <c r="AR17" s="23" t="s">
        <v>153</v>
      </c>
    </row>
    <row r="18" spans="1:48" x14ac:dyDescent="0.15">
      <c r="A18" s="127" t="s">
        <v>61</v>
      </c>
      <c r="B18" s="127" t="s">
        <v>236</v>
      </c>
      <c r="C18" s="127">
        <v>2019</v>
      </c>
      <c r="D18" s="128" t="s">
        <v>284</v>
      </c>
      <c r="E18" s="127" t="s">
        <v>291</v>
      </c>
      <c r="F18" s="127" t="s">
        <v>292</v>
      </c>
      <c r="G18" s="127" t="s">
        <v>42</v>
      </c>
      <c r="H18" s="53" t="s">
        <v>127</v>
      </c>
      <c r="I18" s="53" t="s">
        <v>159</v>
      </c>
      <c r="J18" s="127" t="s">
        <v>80</v>
      </c>
      <c r="K18" s="53" t="s">
        <v>61</v>
      </c>
      <c r="L18" s="53">
        <v>2</v>
      </c>
      <c r="N18" s="53">
        <v>3</v>
      </c>
      <c r="O18" s="34">
        <v>0.9</v>
      </c>
      <c r="P18" s="53">
        <v>1</v>
      </c>
      <c r="Q18" s="74">
        <f t="shared" si="4"/>
        <v>0.95</v>
      </c>
      <c r="R18" s="53">
        <v>13.6</v>
      </c>
      <c r="S18" s="53">
        <v>105.5</v>
      </c>
      <c r="T18" s="16">
        <f t="shared" si="1"/>
        <v>39</v>
      </c>
      <c r="U18" s="53">
        <v>198</v>
      </c>
      <c r="V18" s="129">
        <f t="shared" si="3"/>
        <v>2574</v>
      </c>
      <c r="W18" s="53">
        <v>7</v>
      </c>
      <c r="X18" s="127" t="s">
        <v>46</v>
      </c>
      <c r="Y18" s="53" t="s">
        <v>287</v>
      </c>
      <c r="Z18" s="53" t="s">
        <v>90</v>
      </c>
      <c r="AA18" s="53" t="s">
        <v>69</v>
      </c>
      <c r="AB18" s="127" t="s">
        <v>240</v>
      </c>
      <c r="AC18" s="34"/>
      <c r="AD18" s="34"/>
      <c r="AE18" s="28"/>
      <c r="AP18" s="27" t="s">
        <v>118</v>
      </c>
      <c r="AR18" s="23"/>
    </row>
    <row r="19" spans="1:48" x14ac:dyDescent="0.15">
      <c r="A19" s="127" t="s">
        <v>61</v>
      </c>
      <c r="B19" s="127" t="s">
        <v>236</v>
      </c>
      <c r="C19" s="127">
        <v>2019</v>
      </c>
      <c r="D19" s="128" t="s">
        <v>284</v>
      </c>
      <c r="E19" s="127" t="s">
        <v>291</v>
      </c>
      <c r="F19" s="127" t="s">
        <v>292</v>
      </c>
      <c r="G19" s="127" t="s">
        <v>42</v>
      </c>
      <c r="H19" s="53" t="s">
        <v>127</v>
      </c>
      <c r="I19" s="53" t="s">
        <v>159</v>
      </c>
      <c r="J19" s="127" t="s">
        <v>80</v>
      </c>
      <c r="K19" s="53" t="s">
        <v>61</v>
      </c>
      <c r="L19" s="53">
        <v>3</v>
      </c>
      <c r="N19" s="53">
        <v>3</v>
      </c>
      <c r="O19" s="34">
        <v>0.5</v>
      </c>
      <c r="P19" s="53">
        <v>0.5</v>
      </c>
      <c r="Q19" s="74">
        <f t="shared" si="4"/>
        <v>0.5</v>
      </c>
      <c r="R19" s="53">
        <v>10.3</v>
      </c>
      <c r="S19" s="53">
        <v>103.5</v>
      </c>
      <c r="T19" s="16">
        <f t="shared" si="1"/>
        <v>39</v>
      </c>
      <c r="U19" s="53">
        <v>198</v>
      </c>
      <c r="V19" s="129">
        <f t="shared" si="3"/>
        <v>2574</v>
      </c>
      <c r="W19" s="53">
        <v>7</v>
      </c>
      <c r="X19" s="127" t="s">
        <v>46</v>
      </c>
      <c r="Y19" s="53" t="s">
        <v>287</v>
      </c>
      <c r="Z19" s="53" t="s">
        <v>90</v>
      </c>
      <c r="AA19" s="53" t="s">
        <v>69</v>
      </c>
      <c r="AB19" s="127" t="s">
        <v>240</v>
      </c>
      <c r="AC19" s="34"/>
      <c r="AD19" s="34"/>
      <c r="AP19" s="27"/>
      <c r="AR19" s="23"/>
    </row>
    <row r="20" spans="1:48" x14ac:dyDescent="0.15">
      <c r="A20" s="127" t="s">
        <v>61</v>
      </c>
      <c r="B20" s="127" t="s">
        <v>236</v>
      </c>
      <c r="C20" s="127">
        <v>2019</v>
      </c>
      <c r="D20" s="128" t="s">
        <v>284</v>
      </c>
      <c r="E20" s="127" t="s">
        <v>291</v>
      </c>
      <c r="F20" s="127" t="s">
        <v>292</v>
      </c>
      <c r="G20" s="127" t="s">
        <v>42</v>
      </c>
      <c r="H20" s="53" t="s">
        <v>160</v>
      </c>
      <c r="I20" s="53" t="s">
        <v>159</v>
      </c>
      <c r="J20" s="127" t="s">
        <v>38</v>
      </c>
      <c r="K20" s="53" t="s">
        <v>87</v>
      </c>
      <c r="L20" s="53">
        <v>1</v>
      </c>
      <c r="N20" s="53">
        <v>4</v>
      </c>
      <c r="O20" s="53">
        <v>1.4</v>
      </c>
      <c r="P20" s="53">
        <v>1.3</v>
      </c>
      <c r="Q20" s="74">
        <f t="shared" si="4"/>
        <v>1.35</v>
      </c>
      <c r="R20" s="53">
        <v>12.4</v>
      </c>
      <c r="S20" s="53">
        <v>89</v>
      </c>
      <c r="T20" s="16">
        <f t="shared" si="1"/>
        <v>39</v>
      </c>
      <c r="U20" s="53">
        <v>498</v>
      </c>
      <c r="V20" s="129">
        <f t="shared" si="3"/>
        <v>4855.5</v>
      </c>
      <c r="W20" s="53">
        <v>7</v>
      </c>
      <c r="X20" s="127" t="s">
        <v>46</v>
      </c>
      <c r="Y20" s="53" t="s">
        <v>287</v>
      </c>
      <c r="Z20" s="53" t="s">
        <v>90</v>
      </c>
      <c r="AA20" s="53" t="s">
        <v>69</v>
      </c>
      <c r="AB20" s="127" t="s">
        <v>240</v>
      </c>
      <c r="AC20" s="34"/>
      <c r="AE20" s="22"/>
      <c r="AP20" s="27" t="s">
        <v>113</v>
      </c>
      <c r="AR20" s="23" t="s">
        <v>105</v>
      </c>
      <c r="AV20" s="134" t="s">
        <v>301</v>
      </c>
    </row>
    <row r="21" spans="1:48" x14ac:dyDescent="0.15">
      <c r="A21" s="127" t="s">
        <v>61</v>
      </c>
      <c r="B21" s="127" t="s">
        <v>236</v>
      </c>
      <c r="C21" s="127">
        <v>2019</v>
      </c>
      <c r="D21" s="128" t="s">
        <v>284</v>
      </c>
      <c r="E21" s="127" t="s">
        <v>291</v>
      </c>
      <c r="F21" s="127" t="s">
        <v>292</v>
      </c>
      <c r="G21" s="127" t="s">
        <v>42</v>
      </c>
      <c r="H21" s="53" t="s">
        <v>160</v>
      </c>
      <c r="I21" s="53" t="s">
        <v>159</v>
      </c>
      <c r="J21" s="127" t="s">
        <v>38</v>
      </c>
      <c r="K21" s="53" t="s">
        <v>87</v>
      </c>
      <c r="L21" s="53">
        <v>2</v>
      </c>
      <c r="N21" s="53">
        <v>4</v>
      </c>
      <c r="O21" s="53">
        <v>1.5</v>
      </c>
      <c r="P21" s="53">
        <v>1</v>
      </c>
      <c r="Q21" s="74">
        <f t="shared" si="4"/>
        <v>1.25</v>
      </c>
      <c r="R21" s="53">
        <v>14</v>
      </c>
      <c r="S21" s="53">
        <v>88.5</v>
      </c>
      <c r="T21" s="16">
        <f t="shared" si="1"/>
        <v>39</v>
      </c>
      <c r="U21" s="53">
        <v>498</v>
      </c>
      <c r="V21" s="129">
        <f t="shared" si="3"/>
        <v>4855.5</v>
      </c>
      <c r="W21" s="53">
        <v>7</v>
      </c>
      <c r="X21" s="127" t="s">
        <v>46</v>
      </c>
      <c r="Y21" s="53" t="s">
        <v>287</v>
      </c>
      <c r="Z21" s="53" t="s">
        <v>90</v>
      </c>
      <c r="AA21" s="53" t="s">
        <v>69</v>
      </c>
      <c r="AB21" s="127" t="s">
        <v>240</v>
      </c>
      <c r="AC21" s="34"/>
      <c r="AE21" s="22"/>
      <c r="AP21" s="27" t="s">
        <v>114</v>
      </c>
      <c r="AR21" s="23" t="s">
        <v>68</v>
      </c>
      <c r="AV21" s="134" t="s">
        <v>302</v>
      </c>
    </row>
    <row r="22" spans="1:48" x14ac:dyDescent="0.15">
      <c r="A22" s="127" t="s">
        <v>61</v>
      </c>
      <c r="B22" s="127" t="s">
        <v>236</v>
      </c>
      <c r="C22" s="127">
        <v>2019</v>
      </c>
      <c r="D22" s="128" t="s">
        <v>284</v>
      </c>
      <c r="E22" s="127" t="s">
        <v>291</v>
      </c>
      <c r="F22" s="127" t="s">
        <v>292</v>
      </c>
      <c r="G22" s="127" t="s">
        <v>42</v>
      </c>
      <c r="H22" s="53" t="s">
        <v>160</v>
      </c>
      <c r="I22" s="53" t="s">
        <v>159</v>
      </c>
      <c r="J22" s="127" t="s">
        <v>38</v>
      </c>
      <c r="K22" s="53" t="s">
        <v>87</v>
      </c>
      <c r="L22" s="53">
        <v>3</v>
      </c>
      <c r="N22" s="53">
        <v>4</v>
      </c>
      <c r="O22" s="53">
        <v>0.8</v>
      </c>
      <c r="P22" s="53">
        <v>0.4</v>
      </c>
      <c r="Q22" s="74">
        <f t="shared" si="4"/>
        <v>0.60000000000000009</v>
      </c>
      <c r="R22" s="53">
        <v>13.7</v>
      </c>
      <c r="S22" s="53">
        <v>82.5</v>
      </c>
      <c r="T22" s="16">
        <f t="shared" si="1"/>
        <v>39</v>
      </c>
      <c r="U22" s="53">
        <v>498</v>
      </c>
      <c r="V22" s="129">
        <f t="shared" si="3"/>
        <v>4855.5</v>
      </c>
      <c r="W22" s="53">
        <v>7</v>
      </c>
      <c r="X22" s="127" t="s">
        <v>46</v>
      </c>
      <c r="Y22" s="53" t="s">
        <v>287</v>
      </c>
      <c r="Z22" s="53" t="s">
        <v>90</v>
      </c>
      <c r="AA22" s="53" t="s">
        <v>69</v>
      </c>
      <c r="AB22" s="127" t="s">
        <v>240</v>
      </c>
      <c r="AC22" s="34"/>
      <c r="AE22" s="35"/>
      <c r="AP22" s="27" t="s">
        <v>115</v>
      </c>
      <c r="AR22" s="23" t="s">
        <v>83</v>
      </c>
      <c r="AV22" s="23"/>
    </row>
    <row r="23" spans="1:48" x14ac:dyDescent="0.15">
      <c r="A23" s="127" t="s">
        <v>61</v>
      </c>
      <c r="B23" s="127" t="s">
        <v>236</v>
      </c>
      <c r="C23" s="127">
        <v>2019</v>
      </c>
      <c r="D23" s="128" t="s">
        <v>284</v>
      </c>
      <c r="E23" s="127" t="s">
        <v>303</v>
      </c>
      <c r="F23" s="127" t="s">
        <v>304</v>
      </c>
      <c r="G23" s="127" t="s">
        <v>42</v>
      </c>
      <c r="H23" s="53" t="s">
        <v>164</v>
      </c>
      <c r="I23" s="53" t="s">
        <v>159</v>
      </c>
      <c r="J23" s="127" t="s">
        <v>38</v>
      </c>
      <c r="K23" s="53" t="s">
        <v>161</v>
      </c>
      <c r="L23" s="53">
        <v>1</v>
      </c>
      <c r="N23" s="53">
        <v>1</v>
      </c>
      <c r="O23" s="53">
        <v>1.1000000000000001</v>
      </c>
      <c r="P23" s="53">
        <v>0.9</v>
      </c>
      <c r="Q23" s="74">
        <f t="shared" si="4"/>
        <v>1</v>
      </c>
      <c r="R23" s="53">
        <v>13.5</v>
      </c>
      <c r="S23" s="53">
        <v>121</v>
      </c>
      <c r="T23" s="16">
        <f t="shared" si="1"/>
        <v>27</v>
      </c>
      <c r="U23" s="53">
        <v>128</v>
      </c>
      <c r="V23" s="129">
        <f t="shared" si="3"/>
        <v>3456</v>
      </c>
      <c r="W23" s="53">
        <v>4</v>
      </c>
      <c r="X23" s="127" t="s">
        <v>46</v>
      </c>
      <c r="Y23" s="53" t="s">
        <v>287</v>
      </c>
      <c r="Z23" s="53" t="s">
        <v>90</v>
      </c>
      <c r="AA23" s="53" t="s">
        <v>69</v>
      </c>
      <c r="AB23" s="127" t="s">
        <v>240</v>
      </c>
      <c r="AC23" s="34"/>
      <c r="AE23" s="22"/>
      <c r="AP23" s="27" t="s">
        <v>113</v>
      </c>
      <c r="AR23" s="23" t="s">
        <v>105</v>
      </c>
      <c r="AV23" s="134" t="s">
        <v>301</v>
      </c>
    </row>
    <row r="24" spans="1:48" x14ac:dyDescent="0.15">
      <c r="A24" s="127" t="s">
        <v>61</v>
      </c>
      <c r="B24" s="127" t="s">
        <v>236</v>
      </c>
      <c r="C24" s="127">
        <v>2019</v>
      </c>
      <c r="D24" s="128" t="s">
        <v>284</v>
      </c>
      <c r="E24" s="127" t="s">
        <v>303</v>
      </c>
      <c r="F24" s="127" t="s">
        <v>304</v>
      </c>
      <c r="G24" s="127" t="s">
        <v>42</v>
      </c>
      <c r="H24" s="53" t="s">
        <v>164</v>
      </c>
      <c r="I24" s="53" t="s">
        <v>159</v>
      </c>
      <c r="J24" s="127" t="s">
        <v>38</v>
      </c>
      <c r="K24" s="53" t="s">
        <v>161</v>
      </c>
      <c r="L24" s="53">
        <v>2</v>
      </c>
      <c r="N24" s="53">
        <v>1</v>
      </c>
      <c r="O24" s="53">
        <v>1</v>
      </c>
      <c r="P24" s="53">
        <v>1</v>
      </c>
      <c r="Q24" s="74">
        <f t="shared" si="4"/>
        <v>1</v>
      </c>
      <c r="R24" s="53">
        <v>11.3</v>
      </c>
      <c r="S24" s="53">
        <v>119</v>
      </c>
      <c r="T24" s="16">
        <f t="shared" si="1"/>
        <v>39</v>
      </c>
      <c r="U24" s="53">
        <v>128</v>
      </c>
      <c r="V24" s="129">
        <f t="shared" si="3"/>
        <v>4992</v>
      </c>
      <c r="W24" s="53">
        <v>4</v>
      </c>
      <c r="X24" s="127" t="s">
        <v>46</v>
      </c>
      <c r="Y24" s="53" t="s">
        <v>287</v>
      </c>
      <c r="Z24" s="53" t="s">
        <v>90</v>
      </c>
      <c r="AA24" s="53" t="s">
        <v>69</v>
      </c>
      <c r="AB24" s="127" t="s">
        <v>240</v>
      </c>
      <c r="AC24" s="34"/>
      <c r="AE24" s="22"/>
      <c r="AP24" s="27" t="s">
        <v>114</v>
      </c>
      <c r="AR24" s="23" t="s">
        <v>68</v>
      </c>
      <c r="AV24" s="134" t="s">
        <v>302</v>
      </c>
    </row>
    <row r="25" spans="1:48" x14ac:dyDescent="0.15">
      <c r="A25" s="127" t="s">
        <v>61</v>
      </c>
      <c r="B25" s="127" t="s">
        <v>236</v>
      </c>
      <c r="C25" s="127">
        <v>2019</v>
      </c>
      <c r="D25" s="128" t="s">
        <v>284</v>
      </c>
      <c r="E25" s="127" t="s">
        <v>303</v>
      </c>
      <c r="F25" s="127" t="s">
        <v>304</v>
      </c>
      <c r="G25" s="127" t="s">
        <v>42</v>
      </c>
      <c r="H25" s="53" t="s">
        <v>164</v>
      </c>
      <c r="I25" s="53" t="s">
        <v>159</v>
      </c>
      <c r="J25" s="127" t="s">
        <v>38</v>
      </c>
      <c r="K25" s="53" t="s">
        <v>161</v>
      </c>
      <c r="L25" s="53">
        <v>3</v>
      </c>
      <c r="N25" s="53">
        <v>1</v>
      </c>
      <c r="O25" s="53">
        <v>1.2</v>
      </c>
      <c r="P25" s="53">
        <v>0.9</v>
      </c>
      <c r="Q25" s="74">
        <f t="shared" si="4"/>
        <v>1.05</v>
      </c>
      <c r="R25" s="53">
        <v>10.199999999999999</v>
      </c>
      <c r="S25" s="53">
        <v>116.5</v>
      </c>
      <c r="T25" s="16">
        <f t="shared" si="1"/>
        <v>39</v>
      </c>
      <c r="U25" s="53">
        <v>128</v>
      </c>
      <c r="V25" s="129">
        <f t="shared" si="3"/>
        <v>4992</v>
      </c>
      <c r="W25" s="53">
        <v>4</v>
      </c>
      <c r="X25" s="127" t="s">
        <v>46</v>
      </c>
      <c r="Y25" s="53" t="s">
        <v>287</v>
      </c>
      <c r="Z25" s="53" t="s">
        <v>90</v>
      </c>
      <c r="AA25" s="53" t="s">
        <v>69</v>
      </c>
      <c r="AB25" s="127" t="s">
        <v>240</v>
      </c>
      <c r="AC25" s="34"/>
      <c r="AE25" s="35"/>
      <c r="AP25" s="27" t="s">
        <v>115</v>
      </c>
      <c r="AR25" s="23" t="s">
        <v>83</v>
      </c>
      <c r="AV25" s="23"/>
    </row>
    <row r="26" spans="1:48" x14ac:dyDescent="0.15">
      <c r="A26" s="127" t="s">
        <v>61</v>
      </c>
      <c r="B26" s="127" t="s">
        <v>236</v>
      </c>
      <c r="C26" s="127">
        <v>2019</v>
      </c>
      <c r="D26" s="128" t="s">
        <v>284</v>
      </c>
      <c r="E26" s="127" t="s">
        <v>303</v>
      </c>
      <c r="F26" s="127" t="s">
        <v>304</v>
      </c>
      <c r="G26" s="127" t="s">
        <v>42</v>
      </c>
      <c r="H26" s="53" t="s">
        <v>128</v>
      </c>
      <c r="I26" s="53" t="s">
        <v>159</v>
      </c>
      <c r="J26" s="127" t="s">
        <v>80</v>
      </c>
      <c r="K26" s="53" t="s">
        <v>105</v>
      </c>
      <c r="L26" s="53">
        <v>1</v>
      </c>
      <c r="N26" s="53">
        <v>4</v>
      </c>
      <c r="O26" s="34">
        <v>0.6</v>
      </c>
      <c r="P26" s="34">
        <v>0.2</v>
      </c>
      <c r="Q26" s="74">
        <f t="shared" si="4"/>
        <v>0.4</v>
      </c>
      <c r="R26" s="53">
        <v>18.899999999999999</v>
      </c>
      <c r="S26" s="53">
        <v>61.5</v>
      </c>
      <c r="T26" s="16">
        <f t="shared" si="1"/>
        <v>50</v>
      </c>
      <c r="U26" s="53">
        <v>398</v>
      </c>
      <c r="V26" s="129">
        <f t="shared" si="3"/>
        <v>4975</v>
      </c>
      <c r="W26" s="53">
        <v>4</v>
      </c>
      <c r="X26" s="127" t="s">
        <v>46</v>
      </c>
      <c r="Y26" s="53" t="s">
        <v>287</v>
      </c>
      <c r="Z26" s="53" t="s">
        <v>90</v>
      </c>
      <c r="AA26" s="53" t="s">
        <v>69</v>
      </c>
      <c r="AB26" s="127" t="s">
        <v>240</v>
      </c>
      <c r="AC26" s="34"/>
    </row>
    <row r="27" spans="1:48" x14ac:dyDescent="0.15">
      <c r="A27" s="127" t="s">
        <v>61</v>
      </c>
      <c r="B27" s="127" t="s">
        <v>236</v>
      </c>
      <c r="C27" s="127">
        <v>2019</v>
      </c>
      <c r="D27" s="128" t="s">
        <v>284</v>
      </c>
      <c r="E27" s="127" t="s">
        <v>303</v>
      </c>
      <c r="F27" s="127" t="s">
        <v>304</v>
      </c>
      <c r="G27" s="127" t="s">
        <v>42</v>
      </c>
      <c r="H27" s="53" t="s">
        <v>128</v>
      </c>
      <c r="I27" s="53" t="s">
        <v>159</v>
      </c>
      <c r="J27" s="127" t="s">
        <v>80</v>
      </c>
      <c r="K27" s="53" t="s">
        <v>105</v>
      </c>
      <c r="L27" s="53">
        <v>2</v>
      </c>
      <c r="N27" s="53">
        <v>4</v>
      </c>
      <c r="O27" s="34">
        <v>0.5</v>
      </c>
      <c r="P27" s="34">
        <v>0.5</v>
      </c>
      <c r="Q27" s="74">
        <f t="shared" si="4"/>
        <v>0.5</v>
      </c>
      <c r="R27" s="53">
        <v>19.100000000000001</v>
      </c>
      <c r="S27" s="53">
        <v>56.5</v>
      </c>
      <c r="T27" s="16">
        <f t="shared" si="1"/>
        <v>50</v>
      </c>
      <c r="U27" s="53">
        <v>398</v>
      </c>
      <c r="V27" s="129">
        <f t="shared" si="3"/>
        <v>4975</v>
      </c>
      <c r="W27" s="53">
        <v>4</v>
      </c>
      <c r="X27" s="127" t="s">
        <v>46</v>
      </c>
      <c r="Y27" s="53" t="s">
        <v>287</v>
      </c>
      <c r="Z27" s="53" t="s">
        <v>90</v>
      </c>
      <c r="AA27" s="53" t="s">
        <v>69</v>
      </c>
      <c r="AB27" s="127" t="s">
        <v>240</v>
      </c>
      <c r="AC27" s="34"/>
    </row>
    <row r="28" spans="1:48" x14ac:dyDescent="0.15">
      <c r="A28" s="127" t="s">
        <v>61</v>
      </c>
      <c r="B28" s="127" t="s">
        <v>236</v>
      </c>
      <c r="C28" s="127">
        <v>2019</v>
      </c>
      <c r="D28" s="128" t="s">
        <v>284</v>
      </c>
      <c r="E28" s="127" t="s">
        <v>303</v>
      </c>
      <c r="F28" s="127" t="s">
        <v>304</v>
      </c>
      <c r="G28" s="127" t="s">
        <v>42</v>
      </c>
      <c r="H28" s="53" t="s">
        <v>128</v>
      </c>
      <c r="I28" s="53" t="s">
        <v>159</v>
      </c>
      <c r="J28" s="127" t="s">
        <v>80</v>
      </c>
      <c r="K28" s="53" t="s">
        <v>105</v>
      </c>
      <c r="L28" s="53">
        <v>3</v>
      </c>
      <c r="N28" s="53">
        <v>4</v>
      </c>
      <c r="O28" s="34">
        <v>0.3</v>
      </c>
      <c r="P28" s="34">
        <v>0.3</v>
      </c>
      <c r="Q28" s="74">
        <f t="shared" si="4"/>
        <v>0.3</v>
      </c>
      <c r="R28" s="53">
        <v>18.8</v>
      </c>
      <c r="S28" s="53">
        <v>59.5</v>
      </c>
      <c r="T28" s="16">
        <f t="shared" si="1"/>
        <v>50</v>
      </c>
      <c r="U28" s="53">
        <v>398</v>
      </c>
      <c r="V28" s="129">
        <f t="shared" si="3"/>
        <v>4975</v>
      </c>
      <c r="W28" s="53">
        <v>4</v>
      </c>
      <c r="X28" s="127" t="s">
        <v>46</v>
      </c>
      <c r="Y28" s="53" t="s">
        <v>287</v>
      </c>
      <c r="Z28" s="53" t="s">
        <v>90</v>
      </c>
      <c r="AA28" s="53" t="s">
        <v>69</v>
      </c>
      <c r="AB28" s="127" t="s">
        <v>240</v>
      </c>
      <c r="AC28" s="34"/>
    </row>
    <row r="29" spans="1:48" x14ac:dyDescent="0.15">
      <c r="A29" s="127" t="s">
        <v>61</v>
      </c>
      <c r="B29" s="127" t="s">
        <v>236</v>
      </c>
      <c r="C29" s="127">
        <v>2019</v>
      </c>
      <c r="D29" s="128" t="s">
        <v>284</v>
      </c>
      <c r="E29" s="127" t="s">
        <v>303</v>
      </c>
      <c r="F29" s="127" t="s">
        <v>304</v>
      </c>
      <c r="G29" s="127" t="s">
        <v>42</v>
      </c>
      <c r="H29" s="53" t="s">
        <v>127</v>
      </c>
      <c r="I29" s="53" t="s">
        <v>159</v>
      </c>
      <c r="J29" s="127" t="s">
        <v>80</v>
      </c>
      <c r="K29" s="53" t="s">
        <v>94</v>
      </c>
      <c r="L29" s="53">
        <v>1</v>
      </c>
      <c r="N29" s="53">
        <v>5</v>
      </c>
      <c r="O29" s="34">
        <v>0.7</v>
      </c>
      <c r="P29" s="34">
        <v>0.75</v>
      </c>
      <c r="Q29" s="74">
        <f t="shared" si="4"/>
        <v>0.72499999999999998</v>
      </c>
      <c r="R29" s="53">
        <v>13.7</v>
      </c>
      <c r="S29" s="53">
        <v>85</v>
      </c>
      <c r="T29" s="16">
        <f t="shared" si="1"/>
        <v>39</v>
      </c>
      <c r="U29" s="53">
        <v>398</v>
      </c>
      <c r="V29" s="129">
        <f t="shared" si="3"/>
        <v>3104.3999999999996</v>
      </c>
      <c r="W29" s="53">
        <v>4</v>
      </c>
      <c r="X29" s="127" t="s">
        <v>46</v>
      </c>
      <c r="Y29" s="53" t="s">
        <v>287</v>
      </c>
      <c r="Z29" s="53" t="s">
        <v>90</v>
      </c>
      <c r="AA29" s="53" t="s">
        <v>69</v>
      </c>
      <c r="AB29" s="127" t="s">
        <v>240</v>
      </c>
    </row>
    <row r="30" spans="1:48" x14ac:dyDescent="0.15">
      <c r="A30" s="127" t="s">
        <v>61</v>
      </c>
      <c r="B30" s="127" t="s">
        <v>236</v>
      </c>
      <c r="C30" s="127">
        <v>2019</v>
      </c>
      <c r="D30" s="128" t="s">
        <v>284</v>
      </c>
      <c r="E30" s="127" t="s">
        <v>303</v>
      </c>
      <c r="F30" s="127" t="s">
        <v>304</v>
      </c>
      <c r="G30" s="127" t="s">
        <v>42</v>
      </c>
      <c r="H30" s="53" t="s">
        <v>127</v>
      </c>
      <c r="I30" s="53" t="s">
        <v>159</v>
      </c>
      <c r="J30" s="127" t="s">
        <v>80</v>
      </c>
      <c r="K30" s="53" t="s">
        <v>94</v>
      </c>
      <c r="L30" s="53">
        <v>2</v>
      </c>
      <c r="N30" s="53">
        <v>5</v>
      </c>
      <c r="O30" s="34">
        <v>1.2</v>
      </c>
      <c r="P30" s="34">
        <v>0.6</v>
      </c>
      <c r="Q30" s="74">
        <f t="shared" si="4"/>
        <v>0.89999999999999991</v>
      </c>
      <c r="R30" s="53">
        <v>11.1</v>
      </c>
      <c r="S30" s="53">
        <v>87.5</v>
      </c>
      <c r="T30" s="16">
        <f t="shared" si="1"/>
        <v>39</v>
      </c>
      <c r="U30" s="53">
        <v>398</v>
      </c>
      <c r="V30" s="129">
        <f t="shared" si="3"/>
        <v>3104.3999999999996</v>
      </c>
      <c r="W30" s="53">
        <v>4</v>
      </c>
      <c r="X30" s="127" t="s">
        <v>46</v>
      </c>
      <c r="Y30" s="53" t="s">
        <v>287</v>
      </c>
      <c r="Z30" s="53" t="s">
        <v>90</v>
      </c>
      <c r="AA30" s="53" t="s">
        <v>69</v>
      </c>
      <c r="AB30" s="127" t="s">
        <v>240</v>
      </c>
    </row>
    <row r="31" spans="1:48" x14ac:dyDescent="0.15">
      <c r="A31" s="127" t="s">
        <v>61</v>
      </c>
      <c r="B31" s="127" t="s">
        <v>236</v>
      </c>
      <c r="C31" s="127">
        <v>2019</v>
      </c>
      <c r="D31" s="128" t="s">
        <v>284</v>
      </c>
      <c r="E31" s="127" t="s">
        <v>303</v>
      </c>
      <c r="F31" s="127" t="s">
        <v>304</v>
      </c>
      <c r="G31" s="127" t="s">
        <v>42</v>
      </c>
      <c r="H31" s="53" t="s">
        <v>127</v>
      </c>
      <c r="I31" s="53" t="s">
        <v>159</v>
      </c>
      <c r="J31" s="127" t="s">
        <v>80</v>
      </c>
      <c r="K31" s="53" t="s">
        <v>94</v>
      </c>
      <c r="L31" s="53">
        <v>3</v>
      </c>
      <c r="N31" s="53">
        <v>5</v>
      </c>
      <c r="O31" s="34">
        <v>0.6</v>
      </c>
      <c r="P31" s="34">
        <v>0.5</v>
      </c>
      <c r="Q31" s="74">
        <f t="shared" si="4"/>
        <v>0.55000000000000004</v>
      </c>
      <c r="R31" s="53">
        <v>10</v>
      </c>
      <c r="S31" s="53">
        <v>92</v>
      </c>
      <c r="T31" s="16">
        <f t="shared" si="1"/>
        <v>39</v>
      </c>
      <c r="U31" s="53">
        <v>398</v>
      </c>
      <c r="V31" s="129">
        <f t="shared" si="3"/>
        <v>3104.3999999999996</v>
      </c>
      <c r="W31" s="53">
        <v>4</v>
      </c>
      <c r="X31" s="127" t="s">
        <v>46</v>
      </c>
      <c r="Y31" s="53" t="s">
        <v>287</v>
      </c>
      <c r="Z31" s="53" t="s">
        <v>90</v>
      </c>
      <c r="AA31" s="53" t="s">
        <v>69</v>
      </c>
      <c r="AB31" s="127" t="s">
        <v>240</v>
      </c>
    </row>
    <row r="32" spans="1:48" x14ac:dyDescent="0.15">
      <c r="A32" s="127" t="s">
        <v>61</v>
      </c>
      <c r="B32" s="127" t="s">
        <v>236</v>
      </c>
      <c r="C32" s="127">
        <v>2019</v>
      </c>
      <c r="D32" s="128" t="s">
        <v>284</v>
      </c>
      <c r="E32" s="127" t="s">
        <v>303</v>
      </c>
      <c r="F32" s="127" t="s">
        <v>304</v>
      </c>
      <c r="G32" s="127" t="s">
        <v>42</v>
      </c>
      <c r="H32" s="53" t="s">
        <v>164</v>
      </c>
      <c r="I32" s="53" t="s">
        <v>165</v>
      </c>
      <c r="J32" s="127" t="s">
        <v>38</v>
      </c>
      <c r="K32" s="53" t="s">
        <v>161</v>
      </c>
      <c r="L32" s="53">
        <v>1</v>
      </c>
      <c r="N32" s="53">
        <v>5</v>
      </c>
      <c r="O32" s="53">
        <v>1</v>
      </c>
      <c r="P32" s="53">
        <v>1</v>
      </c>
      <c r="Q32" s="74">
        <f t="shared" si="4"/>
        <v>1</v>
      </c>
      <c r="R32" s="53">
        <v>13.5</v>
      </c>
      <c r="S32" s="53">
        <v>79.5</v>
      </c>
      <c r="T32" s="16">
        <f>IF(H35="","",IF(OR(H35="GREEN",H35="GK"),IF(S32&gt;=$AX$2,VLOOKUP(S32,$AX$2:$AY$9,2,1),""),IF(S32&gt;=$AZ$2,VLOOKUP(S32,$AZ$2:$BA$9,2,1),"")))</f>
        <v>39</v>
      </c>
      <c r="U32" s="53">
        <v>398</v>
      </c>
      <c r="V32" s="129">
        <f t="shared" si="3"/>
        <v>3104.3999999999996</v>
      </c>
      <c r="W32" s="53">
        <v>4</v>
      </c>
      <c r="X32" s="127" t="s">
        <v>46</v>
      </c>
      <c r="Y32" s="53" t="s">
        <v>287</v>
      </c>
      <c r="Z32" s="53" t="s">
        <v>90</v>
      </c>
      <c r="AA32" s="53" t="s">
        <v>69</v>
      </c>
      <c r="AB32" s="127" t="s">
        <v>240</v>
      </c>
      <c r="AC32" s="34"/>
    </row>
    <row r="33" spans="1:29" x14ac:dyDescent="0.15">
      <c r="A33" s="127" t="s">
        <v>61</v>
      </c>
      <c r="B33" s="127" t="s">
        <v>236</v>
      </c>
      <c r="C33" s="127">
        <v>2019</v>
      </c>
      <c r="D33" s="128" t="s">
        <v>284</v>
      </c>
      <c r="E33" s="127" t="s">
        <v>303</v>
      </c>
      <c r="F33" s="127" t="s">
        <v>304</v>
      </c>
      <c r="G33" s="127" t="s">
        <v>42</v>
      </c>
      <c r="H33" s="53" t="s">
        <v>164</v>
      </c>
      <c r="I33" s="53" t="s">
        <v>165</v>
      </c>
      <c r="J33" s="127" t="s">
        <v>38</v>
      </c>
      <c r="K33" s="53" t="s">
        <v>161</v>
      </c>
      <c r="L33" s="53">
        <v>2</v>
      </c>
      <c r="N33" s="53">
        <v>5</v>
      </c>
      <c r="O33" s="53">
        <v>0.55000000000000004</v>
      </c>
      <c r="P33" s="53">
        <v>0.2</v>
      </c>
      <c r="Q33" s="74">
        <f t="shared" si="4"/>
        <v>0.375</v>
      </c>
      <c r="R33" s="53">
        <v>13.5</v>
      </c>
      <c r="S33" s="53">
        <v>81</v>
      </c>
      <c r="T33" s="16">
        <f>IF(H36="","",IF(OR(H36="GREEN",H36="GK"),IF(S33&gt;=$AX$2,VLOOKUP(S33,$AX$2:$AY$9,2,1),""),IF(S33&gt;=$AZ$2,VLOOKUP(S33,$AZ$2:$BA$9,2,1),"")))</f>
        <v>39</v>
      </c>
      <c r="U33" s="53">
        <v>398</v>
      </c>
      <c r="V33" s="129">
        <f t="shared" si="3"/>
        <v>3104.3999999999996</v>
      </c>
      <c r="W33" s="53">
        <v>4</v>
      </c>
      <c r="X33" s="127" t="s">
        <v>46</v>
      </c>
      <c r="Y33" s="53" t="s">
        <v>287</v>
      </c>
      <c r="Z33" s="53" t="s">
        <v>90</v>
      </c>
      <c r="AA33" s="53" t="s">
        <v>69</v>
      </c>
      <c r="AB33" s="127" t="s">
        <v>240</v>
      </c>
      <c r="AC33" s="34"/>
    </row>
    <row r="34" spans="1:29" x14ac:dyDescent="0.15">
      <c r="A34" s="127" t="s">
        <v>61</v>
      </c>
      <c r="B34" s="127" t="s">
        <v>236</v>
      </c>
      <c r="C34" s="127">
        <v>2019</v>
      </c>
      <c r="D34" s="128" t="s">
        <v>284</v>
      </c>
      <c r="E34" s="127" t="s">
        <v>303</v>
      </c>
      <c r="F34" s="127" t="s">
        <v>304</v>
      </c>
      <c r="G34" s="127" t="s">
        <v>42</v>
      </c>
      <c r="H34" s="53" t="s">
        <v>164</v>
      </c>
      <c r="I34" s="53" t="s">
        <v>165</v>
      </c>
      <c r="J34" s="127" t="s">
        <v>38</v>
      </c>
      <c r="K34" s="53" t="s">
        <v>161</v>
      </c>
      <c r="L34" s="53">
        <v>3</v>
      </c>
      <c r="N34" s="53">
        <v>5</v>
      </c>
      <c r="O34" s="53">
        <v>1</v>
      </c>
      <c r="P34" s="53">
        <v>0.95</v>
      </c>
      <c r="Q34" s="74">
        <f t="shared" si="4"/>
        <v>0.97499999999999998</v>
      </c>
      <c r="R34" s="53">
        <v>10.4</v>
      </c>
      <c r="S34" s="53">
        <v>80.5</v>
      </c>
      <c r="T34" s="16">
        <f>IF(H37="","",IF(OR(H37="GREEN",H37="GK"),IF(S34&gt;=$AX$2,VLOOKUP(S34,$AX$2:$AY$9,2,1),""),IF(S34&gt;=$AZ$2,VLOOKUP(S34,$AZ$2:$BA$9,2,1),"")))</f>
        <v>39</v>
      </c>
      <c r="U34" s="53">
        <v>398</v>
      </c>
      <c r="V34" s="129">
        <f t="shared" si="3"/>
        <v>3104.3999999999996</v>
      </c>
      <c r="W34" s="53">
        <v>4</v>
      </c>
      <c r="X34" s="127" t="s">
        <v>46</v>
      </c>
      <c r="Y34" s="53" t="s">
        <v>287</v>
      </c>
      <c r="Z34" s="53" t="s">
        <v>90</v>
      </c>
      <c r="AA34" s="53" t="s">
        <v>69</v>
      </c>
      <c r="AB34" s="127" t="s">
        <v>240</v>
      </c>
      <c r="AC34" s="34"/>
    </row>
    <row r="35" spans="1:29" x14ac:dyDescent="0.15">
      <c r="A35" s="127" t="s">
        <v>61</v>
      </c>
      <c r="B35" s="127" t="s">
        <v>236</v>
      </c>
      <c r="C35" s="127">
        <v>2019</v>
      </c>
      <c r="D35" s="128" t="s">
        <v>284</v>
      </c>
      <c r="E35" s="127" t="s">
        <v>305</v>
      </c>
      <c r="F35" s="127" t="s">
        <v>306</v>
      </c>
      <c r="G35" s="127" t="s">
        <v>42</v>
      </c>
      <c r="H35" s="53" t="s">
        <v>164</v>
      </c>
      <c r="I35" s="53" t="s">
        <v>165</v>
      </c>
      <c r="J35" s="127" t="s">
        <v>38</v>
      </c>
      <c r="K35" s="53" t="s">
        <v>161</v>
      </c>
      <c r="L35" s="53">
        <v>1</v>
      </c>
      <c r="N35" s="53">
        <v>1</v>
      </c>
      <c r="O35" s="53">
        <v>1.25</v>
      </c>
      <c r="P35" s="53">
        <v>1.3</v>
      </c>
      <c r="Q35" s="74">
        <f t="shared" si="4"/>
        <v>1.2749999999999999</v>
      </c>
      <c r="R35" s="53">
        <v>10.6</v>
      </c>
      <c r="S35" s="53">
        <v>117</v>
      </c>
      <c r="T35" s="16">
        <f>IF(H32="","",IF(OR(H32="GREEN",H32="GK"),IF(S35&gt;=$AX$2,VLOOKUP(S35,$AX$2:$AY$9,2,1),""),IF(S35&gt;=$AZ$2,VLOOKUP(S35,$AZ$2:$BA$9,2,1),"")))</f>
        <v>39</v>
      </c>
      <c r="U35" s="53">
        <v>108</v>
      </c>
      <c r="V35" s="129">
        <f t="shared" si="3"/>
        <v>4212</v>
      </c>
      <c r="W35" s="53">
        <v>3</v>
      </c>
      <c r="X35" s="127" t="s">
        <v>39</v>
      </c>
      <c r="Y35" s="53" t="s">
        <v>287</v>
      </c>
      <c r="Z35" s="53" t="s">
        <v>90</v>
      </c>
      <c r="AA35" s="53" t="s">
        <v>69</v>
      </c>
      <c r="AB35" s="127" t="s">
        <v>240</v>
      </c>
      <c r="AC35" s="34"/>
    </row>
    <row r="36" spans="1:29" x14ac:dyDescent="0.15">
      <c r="A36" s="127" t="s">
        <v>61</v>
      </c>
      <c r="B36" s="127" t="s">
        <v>236</v>
      </c>
      <c r="C36" s="127">
        <v>2019</v>
      </c>
      <c r="D36" s="128" t="s">
        <v>284</v>
      </c>
      <c r="E36" s="127" t="s">
        <v>305</v>
      </c>
      <c r="F36" s="127" t="s">
        <v>306</v>
      </c>
      <c r="G36" s="127" t="s">
        <v>42</v>
      </c>
      <c r="H36" s="53" t="s">
        <v>164</v>
      </c>
      <c r="I36" s="53" t="s">
        <v>165</v>
      </c>
      <c r="J36" s="127" t="s">
        <v>38</v>
      </c>
      <c r="K36" s="53" t="s">
        <v>161</v>
      </c>
      <c r="L36" s="53">
        <v>2</v>
      </c>
      <c r="N36" s="53">
        <v>1</v>
      </c>
      <c r="O36" s="53">
        <v>1.25</v>
      </c>
      <c r="P36" s="53">
        <v>1.1000000000000001</v>
      </c>
      <c r="Q36" s="74">
        <f t="shared" si="4"/>
        <v>1.175</v>
      </c>
      <c r="R36" s="53">
        <v>10</v>
      </c>
      <c r="S36" s="53">
        <v>123.5</v>
      </c>
      <c r="T36" s="16">
        <f>IF(H33="","",IF(OR(H33="GREEN",H33="GK"),IF(S36&gt;=$AX$2,VLOOKUP(S36,$AX$2:$AY$9,2,1),""),IF(S36&gt;=$AZ$2,VLOOKUP(S36,$AZ$2:$BA$9,2,1),"")))</f>
        <v>27</v>
      </c>
      <c r="U36" s="53">
        <v>108</v>
      </c>
      <c r="V36" s="129">
        <f t="shared" si="3"/>
        <v>2916</v>
      </c>
      <c r="W36" s="53">
        <v>3</v>
      </c>
      <c r="X36" s="127" t="s">
        <v>39</v>
      </c>
      <c r="Y36" s="53" t="s">
        <v>287</v>
      </c>
      <c r="Z36" s="53" t="s">
        <v>90</v>
      </c>
      <c r="AA36" s="53" t="s">
        <v>69</v>
      </c>
      <c r="AB36" s="127" t="s">
        <v>240</v>
      </c>
      <c r="AC36" s="34"/>
    </row>
    <row r="37" spans="1:29" x14ac:dyDescent="0.15">
      <c r="A37" s="127" t="s">
        <v>61</v>
      </c>
      <c r="B37" s="127" t="s">
        <v>236</v>
      </c>
      <c r="C37" s="127">
        <v>2019</v>
      </c>
      <c r="D37" s="128" t="s">
        <v>284</v>
      </c>
      <c r="E37" s="127" t="s">
        <v>305</v>
      </c>
      <c r="F37" s="127" t="s">
        <v>306</v>
      </c>
      <c r="G37" s="127" t="s">
        <v>42</v>
      </c>
      <c r="H37" s="53" t="s">
        <v>164</v>
      </c>
      <c r="I37" s="53" t="s">
        <v>165</v>
      </c>
      <c r="J37" s="127" t="s">
        <v>38</v>
      </c>
      <c r="K37" s="53" t="s">
        <v>161</v>
      </c>
      <c r="L37" s="53">
        <v>3</v>
      </c>
      <c r="N37" s="53">
        <v>1</v>
      </c>
      <c r="O37" s="53">
        <v>1.1000000000000001</v>
      </c>
      <c r="P37" s="53">
        <v>1.35</v>
      </c>
      <c r="Q37" s="74">
        <f t="shared" si="4"/>
        <v>1.2250000000000001</v>
      </c>
      <c r="R37" s="53">
        <v>13.4</v>
      </c>
      <c r="S37" s="53">
        <v>115</v>
      </c>
      <c r="T37" s="16">
        <f>IF(H34="","",IF(OR(H34="GREEN",H34="GK"),IF(S37&gt;=$AX$2,VLOOKUP(S37,$AX$2:$AY$9,2,1),""),IF(S37&gt;=$AZ$2,VLOOKUP(S37,$AZ$2:$BA$9,2,1),"")))</f>
        <v>39</v>
      </c>
      <c r="U37" s="53">
        <v>108</v>
      </c>
      <c r="V37" s="129">
        <f t="shared" si="3"/>
        <v>4212</v>
      </c>
      <c r="W37" s="53">
        <v>3</v>
      </c>
      <c r="X37" s="127" t="s">
        <v>39</v>
      </c>
      <c r="Y37" s="53" t="s">
        <v>287</v>
      </c>
      <c r="Z37" s="53" t="s">
        <v>90</v>
      </c>
      <c r="AA37" s="53" t="s">
        <v>69</v>
      </c>
      <c r="AB37" s="127" t="s">
        <v>240</v>
      </c>
      <c r="AC37" s="34"/>
    </row>
    <row r="38" spans="1:29" x14ac:dyDescent="0.15">
      <c r="A38" s="127" t="s">
        <v>61</v>
      </c>
      <c r="B38" s="127" t="s">
        <v>236</v>
      </c>
      <c r="C38" s="127">
        <v>2019</v>
      </c>
      <c r="D38" s="128" t="s">
        <v>284</v>
      </c>
      <c r="E38" s="127" t="s">
        <v>307</v>
      </c>
      <c r="F38" s="127" t="s">
        <v>308</v>
      </c>
      <c r="G38" s="127" t="s">
        <v>42</v>
      </c>
      <c r="H38" s="53" t="s">
        <v>164</v>
      </c>
      <c r="I38" s="53" t="s">
        <v>159</v>
      </c>
      <c r="J38" s="127" t="s">
        <v>38</v>
      </c>
      <c r="K38" s="53" t="s">
        <v>161</v>
      </c>
      <c r="L38" s="53">
        <v>1</v>
      </c>
      <c r="N38" s="53">
        <v>1</v>
      </c>
      <c r="O38" s="53">
        <v>1.1000000000000001</v>
      </c>
      <c r="P38" s="53">
        <v>0.5</v>
      </c>
      <c r="Q38" s="74">
        <f t="shared" si="4"/>
        <v>0.8</v>
      </c>
      <c r="R38" s="53">
        <v>10.7</v>
      </c>
      <c r="S38" s="53">
        <v>111</v>
      </c>
      <c r="T38" s="16">
        <f t="shared" ref="T38:T88" si="5">IF(H38="","",IF(OR(H38="GREEN",H38="GK"),IF(S38&gt;=$AX$2,VLOOKUP(S38,$AX$2:$AY$9,2,1),""),IF(S38&gt;=$AZ$2,VLOOKUP(S38,$AZ$2:$BA$9,2,1),"")))</f>
        <v>39</v>
      </c>
      <c r="U38" s="53">
        <v>98</v>
      </c>
      <c r="V38" s="129">
        <f t="shared" si="3"/>
        <v>3822</v>
      </c>
      <c r="W38" s="53">
        <v>3</v>
      </c>
      <c r="X38" s="127" t="s">
        <v>46</v>
      </c>
      <c r="Y38" s="53" t="s">
        <v>287</v>
      </c>
      <c r="Z38" s="53" t="s">
        <v>90</v>
      </c>
      <c r="AA38" s="53" t="s">
        <v>69</v>
      </c>
      <c r="AB38" s="127" t="s">
        <v>240</v>
      </c>
      <c r="AC38" s="34"/>
    </row>
    <row r="39" spans="1:29" x14ac:dyDescent="0.15">
      <c r="A39" s="127" t="s">
        <v>61</v>
      </c>
      <c r="B39" s="127" t="s">
        <v>236</v>
      </c>
      <c r="C39" s="127">
        <v>2019</v>
      </c>
      <c r="D39" s="128" t="s">
        <v>284</v>
      </c>
      <c r="E39" s="127" t="s">
        <v>307</v>
      </c>
      <c r="F39" s="127" t="s">
        <v>308</v>
      </c>
      <c r="G39" s="127" t="s">
        <v>42</v>
      </c>
      <c r="H39" s="53" t="s">
        <v>164</v>
      </c>
      <c r="I39" s="53" t="s">
        <v>159</v>
      </c>
      <c r="J39" s="127" t="s">
        <v>38</v>
      </c>
      <c r="K39" s="53" t="s">
        <v>161</v>
      </c>
      <c r="L39" s="53">
        <v>2</v>
      </c>
      <c r="N39" s="53">
        <v>1</v>
      </c>
      <c r="O39" s="53">
        <v>0.95</v>
      </c>
      <c r="P39" s="53">
        <v>0.35</v>
      </c>
      <c r="Q39" s="74">
        <f t="shared" si="4"/>
        <v>0.64999999999999991</v>
      </c>
      <c r="R39" s="53">
        <v>13.4</v>
      </c>
      <c r="S39" s="53">
        <v>113</v>
      </c>
      <c r="T39" s="16">
        <f t="shared" si="5"/>
        <v>39</v>
      </c>
      <c r="U39" s="53">
        <v>98</v>
      </c>
      <c r="V39" s="129">
        <f t="shared" si="3"/>
        <v>3822</v>
      </c>
      <c r="W39" s="53">
        <v>3</v>
      </c>
      <c r="X39" s="127" t="s">
        <v>46</v>
      </c>
      <c r="Y39" s="53" t="s">
        <v>287</v>
      </c>
      <c r="Z39" s="53" t="s">
        <v>90</v>
      </c>
      <c r="AA39" s="53" t="s">
        <v>69</v>
      </c>
      <c r="AB39" s="127" t="s">
        <v>240</v>
      </c>
      <c r="AC39" s="34"/>
    </row>
    <row r="40" spans="1:29" x14ac:dyDescent="0.15">
      <c r="A40" s="127" t="s">
        <v>61</v>
      </c>
      <c r="B40" s="127" t="s">
        <v>236</v>
      </c>
      <c r="C40" s="127">
        <v>2019</v>
      </c>
      <c r="D40" s="128" t="s">
        <v>284</v>
      </c>
      <c r="E40" s="127" t="s">
        <v>307</v>
      </c>
      <c r="F40" s="127" t="s">
        <v>308</v>
      </c>
      <c r="G40" s="127" t="s">
        <v>42</v>
      </c>
      <c r="H40" s="53" t="s">
        <v>164</v>
      </c>
      <c r="I40" s="53" t="s">
        <v>159</v>
      </c>
      <c r="J40" s="127" t="s">
        <v>38</v>
      </c>
      <c r="K40" s="53" t="s">
        <v>161</v>
      </c>
      <c r="L40" s="53">
        <v>3</v>
      </c>
      <c r="N40" s="53">
        <v>1</v>
      </c>
      <c r="O40" s="53">
        <v>1.1000000000000001</v>
      </c>
      <c r="P40" s="53">
        <v>1</v>
      </c>
      <c r="Q40" s="74">
        <f t="shared" si="4"/>
        <v>1.05</v>
      </c>
      <c r="R40" s="53">
        <v>10.1</v>
      </c>
      <c r="S40" s="53">
        <v>112.5</v>
      </c>
      <c r="T40" s="16">
        <f t="shared" si="5"/>
        <v>39</v>
      </c>
      <c r="U40" s="53">
        <v>98</v>
      </c>
      <c r="V40" s="129">
        <f t="shared" si="3"/>
        <v>3822</v>
      </c>
      <c r="W40" s="53">
        <v>3</v>
      </c>
      <c r="X40" s="127" t="s">
        <v>46</v>
      </c>
      <c r="Y40" s="53" t="s">
        <v>287</v>
      </c>
      <c r="Z40" s="53" t="s">
        <v>90</v>
      </c>
      <c r="AA40" s="53" t="s">
        <v>69</v>
      </c>
      <c r="AB40" s="127" t="s">
        <v>240</v>
      </c>
      <c r="AC40" s="34"/>
    </row>
    <row r="41" spans="1:29" x14ac:dyDescent="0.15">
      <c r="A41" s="127" t="s">
        <v>61</v>
      </c>
      <c r="B41" s="127" t="s">
        <v>236</v>
      </c>
      <c r="C41" s="127">
        <v>2019</v>
      </c>
      <c r="D41" s="128" t="s">
        <v>284</v>
      </c>
      <c r="E41" s="127" t="s">
        <v>293</v>
      </c>
      <c r="F41" s="127" t="s">
        <v>309</v>
      </c>
      <c r="G41" s="127" t="s">
        <v>42</v>
      </c>
      <c r="H41" s="53" t="s">
        <v>164</v>
      </c>
      <c r="I41" s="53" t="s">
        <v>159</v>
      </c>
      <c r="J41" s="127" t="s">
        <v>38</v>
      </c>
      <c r="K41" s="53" t="s">
        <v>161</v>
      </c>
      <c r="L41" s="53">
        <v>1</v>
      </c>
      <c r="N41" s="53">
        <v>1</v>
      </c>
      <c r="O41" s="53">
        <v>0.5</v>
      </c>
      <c r="P41" s="53">
        <v>0.55000000000000004</v>
      </c>
      <c r="Q41" s="74">
        <f t="shared" si="4"/>
        <v>0.52500000000000002</v>
      </c>
      <c r="R41" s="53">
        <v>12.3</v>
      </c>
      <c r="S41" s="53">
        <v>124.5</v>
      </c>
      <c r="T41" s="16">
        <f t="shared" si="5"/>
        <v>27</v>
      </c>
      <c r="U41" s="53">
        <v>138</v>
      </c>
      <c r="V41" s="129">
        <f t="shared" si="3"/>
        <v>3726</v>
      </c>
      <c r="W41" s="53">
        <v>3</v>
      </c>
      <c r="X41" s="127" t="s">
        <v>39</v>
      </c>
      <c r="Y41" s="53" t="s">
        <v>287</v>
      </c>
      <c r="Z41" s="53" t="s">
        <v>69</v>
      </c>
      <c r="AA41" s="53" t="s">
        <v>90</v>
      </c>
      <c r="AB41" s="127" t="s">
        <v>240</v>
      </c>
      <c r="AC41" s="34"/>
    </row>
    <row r="42" spans="1:29" x14ac:dyDescent="0.15">
      <c r="A42" s="127" t="s">
        <v>61</v>
      </c>
      <c r="B42" s="127" t="s">
        <v>236</v>
      </c>
      <c r="C42" s="127">
        <v>2019</v>
      </c>
      <c r="D42" s="128" t="s">
        <v>284</v>
      </c>
      <c r="E42" s="127" t="s">
        <v>293</v>
      </c>
      <c r="F42" s="127" t="s">
        <v>309</v>
      </c>
      <c r="G42" s="127" t="s">
        <v>42</v>
      </c>
      <c r="H42" s="53" t="s">
        <v>164</v>
      </c>
      <c r="I42" s="53" t="s">
        <v>159</v>
      </c>
      <c r="J42" s="127" t="s">
        <v>38</v>
      </c>
      <c r="K42" s="53" t="s">
        <v>161</v>
      </c>
      <c r="L42" s="53">
        <v>2</v>
      </c>
      <c r="N42" s="53">
        <v>1</v>
      </c>
      <c r="O42" s="53">
        <v>1</v>
      </c>
      <c r="P42" s="53">
        <v>0.5</v>
      </c>
      <c r="Q42" s="74">
        <f t="shared" si="4"/>
        <v>0.75</v>
      </c>
      <c r="R42" s="53">
        <v>11.2</v>
      </c>
      <c r="S42" s="53">
        <v>102</v>
      </c>
      <c r="T42" s="16">
        <f t="shared" si="5"/>
        <v>39</v>
      </c>
      <c r="U42" s="53">
        <v>138</v>
      </c>
      <c r="V42" s="129">
        <f t="shared" si="3"/>
        <v>5382</v>
      </c>
      <c r="W42" s="53">
        <v>3</v>
      </c>
      <c r="X42" s="127" t="s">
        <v>39</v>
      </c>
      <c r="Y42" s="53" t="s">
        <v>287</v>
      </c>
      <c r="Z42" s="53" t="s">
        <v>69</v>
      </c>
      <c r="AA42" s="53" t="s">
        <v>90</v>
      </c>
      <c r="AB42" s="127" t="s">
        <v>240</v>
      </c>
      <c r="AC42" s="34"/>
    </row>
    <row r="43" spans="1:29" x14ac:dyDescent="0.15">
      <c r="A43" s="127" t="s">
        <v>61</v>
      </c>
      <c r="B43" s="127" t="s">
        <v>236</v>
      </c>
      <c r="C43" s="127">
        <v>2019</v>
      </c>
      <c r="D43" s="128" t="s">
        <v>284</v>
      </c>
      <c r="E43" s="127" t="s">
        <v>293</v>
      </c>
      <c r="F43" s="127" t="s">
        <v>309</v>
      </c>
      <c r="G43" s="127" t="s">
        <v>42</v>
      </c>
      <c r="H43" s="53" t="s">
        <v>164</v>
      </c>
      <c r="I43" s="53" t="s">
        <v>159</v>
      </c>
      <c r="J43" s="127" t="s">
        <v>38</v>
      </c>
      <c r="K43" s="53" t="s">
        <v>161</v>
      </c>
      <c r="L43" s="53">
        <v>3</v>
      </c>
      <c r="N43" s="53">
        <v>1</v>
      </c>
      <c r="O43" s="53">
        <v>0.3</v>
      </c>
      <c r="P43" s="53">
        <v>0.3</v>
      </c>
      <c r="Q43" s="74">
        <f t="shared" si="4"/>
        <v>0.3</v>
      </c>
      <c r="R43" s="53">
        <v>12.2</v>
      </c>
      <c r="S43" s="53">
        <v>116</v>
      </c>
      <c r="T43" s="16">
        <f t="shared" si="5"/>
        <v>39</v>
      </c>
      <c r="U43" s="53">
        <v>138</v>
      </c>
      <c r="V43" s="129">
        <f t="shared" si="3"/>
        <v>5382</v>
      </c>
      <c r="W43" s="53">
        <v>3</v>
      </c>
      <c r="X43" s="127" t="s">
        <v>39</v>
      </c>
      <c r="Y43" s="53" t="s">
        <v>287</v>
      </c>
      <c r="Z43" s="53" t="s">
        <v>69</v>
      </c>
      <c r="AA43" s="53" t="s">
        <v>90</v>
      </c>
      <c r="AB43" s="127" t="s">
        <v>240</v>
      </c>
      <c r="AC43" s="34"/>
    </row>
    <row r="44" spans="1:29" x14ac:dyDescent="0.15">
      <c r="A44" s="127" t="s">
        <v>61</v>
      </c>
      <c r="B44" s="127" t="s">
        <v>236</v>
      </c>
      <c r="C44" s="127">
        <v>2019</v>
      </c>
      <c r="D44" s="128" t="s">
        <v>284</v>
      </c>
      <c r="E44" s="127" t="s">
        <v>293</v>
      </c>
      <c r="F44" s="127" t="s">
        <v>309</v>
      </c>
      <c r="G44" s="127" t="s">
        <v>42</v>
      </c>
      <c r="H44" s="53" t="s">
        <v>160</v>
      </c>
      <c r="I44" s="53" t="s">
        <v>159</v>
      </c>
      <c r="J44" s="127" t="s">
        <v>38</v>
      </c>
      <c r="K44" s="53" t="s">
        <v>54</v>
      </c>
      <c r="L44" s="53">
        <v>1</v>
      </c>
      <c r="N44" s="53">
        <v>1</v>
      </c>
      <c r="O44" s="53">
        <v>0.5</v>
      </c>
      <c r="P44" s="53">
        <v>0.3</v>
      </c>
      <c r="Q44" s="74">
        <f t="shared" si="4"/>
        <v>0.4</v>
      </c>
      <c r="R44" s="53">
        <v>19</v>
      </c>
      <c r="S44" s="53">
        <v>132.5</v>
      </c>
      <c r="T44" s="16">
        <f t="shared" si="5"/>
        <v>25</v>
      </c>
      <c r="U44" s="53">
        <v>213</v>
      </c>
      <c r="V44" s="129">
        <f t="shared" si="3"/>
        <v>5325</v>
      </c>
      <c r="W44" s="53">
        <v>3</v>
      </c>
      <c r="X44" s="127" t="s">
        <v>39</v>
      </c>
      <c r="Y44" s="53" t="s">
        <v>287</v>
      </c>
      <c r="Z44" s="53" t="s">
        <v>69</v>
      </c>
      <c r="AA44" s="53" t="s">
        <v>90</v>
      </c>
      <c r="AB44" s="127" t="s">
        <v>240</v>
      </c>
      <c r="AC44" s="34"/>
    </row>
    <row r="45" spans="1:29" x14ac:dyDescent="0.15">
      <c r="A45" s="127" t="s">
        <v>61</v>
      </c>
      <c r="B45" s="127" t="s">
        <v>236</v>
      </c>
      <c r="C45" s="127">
        <v>2019</v>
      </c>
      <c r="D45" s="128" t="s">
        <v>284</v>
      </c>
      <c r="E45" s="127" t="s">
        <v>293</v>
      </c>
      <c r="F45" s="127" t="s">
        <v>309</v>
      </c>
      <c r="G45" s="127" t="s">
        <v>42</v>
      </c>
      <c r="H45" s="53" t="s">
        <v>160</v>
      </c>
      <c r="I45" s="53" t="s">
        <v>159</v>
      </c>
      <c r="J45" s="127" t="s">
        <v>38</v>
      </c>
      <c r="K45" s="53" t="s">
        <v>54</v>
      </c>
      <c r="L45" s="53">
        <v>2</v>
      </c>
      <c r="N45" s="53">
        <v>1</v>
      </c>
      <c r="O45" s="53">
        <v>0.85</v>
      </c>
      <c r="P45" s="53">
        <v>0.75</v>
      </c>
      <c r="Q45" s="74">
        <f t="shared" si="4"/>
        <v>0.8</v>
      </c>
      <c r="R45" s="53">
        <v>12.8</v>
      </c>
      <c r="S45" s="53">
        <v>126</v>
      </c>
      <c r="T45" s="16">
        <f t="shared" si="5"/>
        <v>27</v>
      </c>
      <c r="U45" s="53">
        <v>213</v>
      </c>
      <c r="V45" s="129">
        <f t="shared" si="3"/>
        <v>5751</v>
      </c>
      <c r="W45" s="53">
        <v>3</v>
      </c>
      <c r="X45" s="127" t="s">
        <v>39</v>
      </c>
      <c r="Y45" s="53" t="s">
        <v>287</v>
      </c>
      <c r="Z45" s="53" t="s">
        <v>69</v>
      </c>
      <c r="AA45" s="53" t="s">
        <v>90</v>
      </c>
      <c r="AB45" s="127" t="s">
        <v>240</v>
      </c>
      <c r="AC45" s="34"/>
    </row>
    <row r="46" spans="1:29" x14ac:dyDescent="0.15">
      <c r="A46" s="127" t="s">
        <v>61</v>
      </c>
      <c r="B46" s="127" t="s">
        <v>236</v>
      </c>
      <c r="C46" s="127">
        <v>2019</v>
      </c>
      <c r="D46" s="128" t="s">
        <v>284</v>
      </c>
      <c r="E46" s="127" t="s">
        <v>293</v>
      </c>
      <c r="F46" s="127" t="s">
        <v>309</v>
      </c>
      <c r="G46" s="127" t="s">
        <v>42</v>
      </c>
      <c r="H46" s="53" t="s">
        <v>160</v>
      </c>
      <c r="I46" s="53" t="s">
        <v>159</v>
      </c>
      <c r="J46" s="127" t="s">
        <v>38</v>
      </c>
      <c r="K46" s="53" t="s">
        <v>54</v>
      </c>
      <c r="L46" s="53">
        <v>3</v>
      </c>
      <c r="N46" s="53">
        <v>1</v>
      </c>
      <c r="O46" s="53">
        <v>0.6</v>
      </c>
      <c r="P46" s="53">
        <v>0.9</v>
      </c>
      <c r="Q46" s="74">
        <f t="shared" si="4"/>
        <v>0.75</v>
      </c>
      <c r="R46" s="53">
        <v>13.5</v>
      </c>
      <c r="S46" s="53">
        <v>131</v>
      </c>
      <c r="T46" s="16">
        <f t="shared" si="5"/>
        <v>25</v>
      </c>
      <c r="U46" s="53">
        <v>213</v>
      </c>
      <c r="V46" s="129">
        <f t="shared" si="3"/>
        <v>5325</v>
      </c>
      <c r="W46" s="53">
        <v>3</v>
      </c>
      <c r="X46" s="127" t="s">
        <v>39</v>
      </c>
      <c r="Y46" s="53" t="s">
        <v>287</v>
      </c>
      <c r="Z46" s="53" t="s">
        <v>69</v>
      </c>
      <c r="AA46" s="53" t="s">
        <v>90</v>
      </c>
      <c r="AB46" s="127" t="s">
        <v>240</v>
      </c>
      <c r="AC46" s="34"/>
    </row>
    <row r="47" spans="1:29" x14ac:dyDescent="0.15">
      <c r="A47" s="127" t="s">
        <v>61</v>
      </c>
      <c r="B47" s="127" t="s">
        <v>236</v>
      </c>
      <c r="C47" s="127">
        <v>2019</v>
      </c>
      <c r="D47" s="128" t="s">
        <v>284</v>
      </c>
      <c r="E47" s="127" t="s">
        <v>293</v>
      </c>
      <c r="F47" s="127" t="s">
        <v>309</v>
      </c>
      <c r="G47" s="127" t="s">
        <v>42</v>
      </c>
      <c r="H47" s="53" t="s">
        <v>160</v>
      </c>
      <c r="I47" s="53" t="s">
        <v>159</v>
      </c>
      <c r="J47" s="127" t="s">
        <v>38</v>
      </c>
      <c r="K47" s="53" t="s">
        <v>213</v>
      </c>
      <c r="L47" s="53">
        <v>1</v>
      </c>
      <c r="N47" s="53">
        <v>5</v>
      </c>
      <c r="O47" s="53">
        <v>0.5</v>
      </c>
      <c r="P47" s="53">
        <v>0.8</v>
      </c>
      <c r="Q47" s="74">
        <f t="shared" si="4"/>
        <v>0.65</v>
      </c>
      <c r="R47" s="53">
        <v>10.1</v>
      </c>
      <c r="S47" s="53">
        <v>89</v>
      </c>
      <c r="T47" s="16">
        <f t="shared" si="5"/>
        <v>39</v>
      </c>
      <c r="U47" s="53">
        <v>537</v>
      </c>
      <c r="V47" s="129">
        <f t="shared" si="3"/>
        <v>4188.6000000000004</v>
      </c>
      <c r="W47" s="53">
        <v>3</v>
      </c>
      <c r="X47" s="127" t="s">
        <v>39</v>
      </c>
      <c r="Y47" s="53" t="s">
        <v>287</v>
      </c>
      <c r="Z47" s="53" t="s">
        <v>69</v>
      </c>
      <c r="AA47" s="53" t="s">
        <v>90</v>
      </c>
      <c r="AB47" s="127" t="s">
        <v>240</v>
      </c>
      <c r="AC47" s="34"/>
    </row>
    <row r="48" spans="1:29" x14ac:dyDescent="0.15">
      <c r="A48" s="127" t="s">
        <v>61</v>
      </c>
      <c r="B48" s="127" t="s">
        <v>236</v>
      </c>
      <c r="C48" s="127">
        <v>2019</v>
      </c>
      <c r="D48" s="128" t="s">
        <v>284</v>
      </c>
      <c r="E48" s="127" t="s">
        <v>293</v>
      </c>
      <c r="F48" s="127" t="s">
        <v>309</v>
      </c>
      <c r="G48" s="127" t="s">
        <v>42</v>
      </c>
      <c r="H48" s="53" t="s">
        <v>160</v>
      </c>
      <c r="I48" s="53" t="s">
        <v>159</v>
      </c>
      <c r="J48" s="127" t="s">
        <v>38</v>
      </c>
      <c r="K48" s="53" t="s">
        <v>213</v>
      </c>
      <c r="L48" s="53">
        <v>2</v>
      </c>
      <c r="N48" s="53">
        <v>5</v>
      </c>
      <c r="O48" s="53">
        <v>0.5</v>
      </c>
      <c r="P48" s="53">
        <v>0.2</v>
      </c>
      <c r="Q48" s="74">
        <f t="shared" si="4"/>
        <v>0.35</v>
      </c>
      <c r="R48" s="53">
        <v>12.3</v>
      </c>
      <c r="S48" s="53">
        <v>89.5</v>
      </c>
      <c r="T48" s="16">
        <f t="shared" si="5"/>
        <v>39</v>
      </c>
      <c r="U48" s="53">
        <v>537</v>
      </c>
      <c r="V48" s="129">
        <f t="shared" si="3"/>
        <v>4188.6000000000004</v>
      </c>
      <c r="W48" s="53">
        <v>3</v>
      </c>
      <c r="X48" s="127" t="s">
        <v>39</v>
      </c>
      <c r="Y48" s="53" t="s">
        <v>287</v>
      </c>
      <c r="Z48" s="53" t="s">
        <v>69</v>
      </c>
      <c r="AA48" s="53" t="s">
        <v>90</v>
      </c>
      <c r="AB48" s="127" t="s">
        <v>240</v>
      </c>
      <c r="AC48" s="34"/>
    </row>
    <row r="49" spans="1:29" x14ac:dyDescent="0.15">
      <c r="A49" s="127" t="s">
        <v>61</v>
      </c>
      <c r="B49" s="127" t="s">
        <v>236</v>
      </c>
      <c r="C49" s="127">
        <v>2019</v>
      </c>
      <c r="D49" s="128" t="s">
        <v>284</v>
      </c>
      <c r="E49" s="127" t="s">
        <v>293</v>
      </c>
      <c r="F49" s="127" t="s">
        <v>309</v>
      </c>
      <c r="G49" s="127" t="s">
        <v>42</v>
      </c>
      <c r="H49" s="53" t="s">
        <v>160</v>
      </c>
      <c r="I49" s="53" t="s">
        <v>159</v>
      </c>
      <c r="J49" s="127" t="s">
        <v>38</v>
      </c>
      <c r="K49" s="53" t="s">
        <v>213</v>
      </c>
      <c r="L49" s="53">
        <v>3</v>
      </c>
      <c r="N49" s="53">
        <v>5</v>
      </c>
      <c r="O49" s="53">
        <v>0.2</v>
      </c>
      <c r="P49" s="53">
        <v>0.3</v>
      </c>
      <c r="Q49" s="74">
        <f t="shared" si="4"/>
        <v>0.25</v>
      </c>
      <c r="R49" s="53">
        <v>12.1</v>
      </c>
      <c r="S49" s="53">
        <v>85.5</v>
      </c>
      <c r="T49" s="16">
        <f t="shared" si="5"/>
        <v>39</v>
      </c>
      <c r="U49" s="53">
        <v>537</v>
      </c>
      <c r="V49" s="129">
        <f t="shared" si="3"/>
        <v>4188.6000000000004</v>
      </c>
      <c r="W49" s="53">
        <v>3</v>
      </c>
      <c r="X49" s="127" t="s">
        <v>39</v>
      </c>
      <c r="Y49" s="53" t="s">
        <v>287</v>
      </c>
      <c r="Z49" s="53" t="s">
        <v>69</v>
      </c>
      <c r="AA49" s="53" t="s">
        <v>90</v>
      </c>
      <c r="AB49" s="127" t="s">
        <v>240</v>
      </c>
      <c r="AC49" s="34"/>
    </row>
    <row r="50" spans="1:29" x14ac:dyDescent="0.15">
      <c r="A50" s="127" t="s">
        <v>61</v>
      </c>
      <c r="B50" s="127" t="s">
        <v>236</v>
      </c>
      <c r="C50" s="127">
        <v>2019</v>
      </c>
      <c r="D50" s="128" t="s">
        <v>284</v>
      </c>
      <c r="E50" s="127" t="s">
        <v>133</v>
      </c>
      <c r="F50" s="127" t="s">
        <v>295</v>
      </c>
      <c r="G50" s="127" t="s">
        <v>42</v>
      </c>
      <c r="H50" s="53" t="s">
        <v>164</v>
      </c>
      <c r="I50" s="53" t="s">
        <v>159</v>
      </c>
      <c r="J50" s="127" t="s">
        <v>38</v>
      </c>
      <c r="K50" s="53" t="s">
        <v>161</v>
      </c>
      <c r="L50" s="53">
        <v>1</v>
      </c>
      <c r="N50" s="53">
        <v>1</v>
      </c>
      <c r="O50" s="53">
        <v>0.4</v>
      </c>
      <c r="P50" s="53">
        <v>0.2</v>
      </c>
      <c r="Q50" s="74">
        <f t="shared" si="4"/>
        <v>0.30000000000000004</v>
      </c>
      <c r="R50" s="53">
        <v>15.2</v>
      </c>
      <c r="S50" s="53">
        <v>106</v>
      </c>
      <c r="T50" s="16">
        <f t="shared" si="5"/>
        <v>39</v>
      </c>
      <c r="U50" s="53">
        <v>98</v>
      </c>
      <c r="V50" s="129">
        <f t="shared" si="3"/>
        <v>3822</v>
      </c>
      <c r="W50" s="53">
        <v>13</v>
      </c>
      <c r="X50" s="127" t="s">
        <v>46</v>
      </c>
      <c r="Y50" s="53" t="s">
        <v>287</v>
      </c>
      <c r="Z50" s="53" t="s">
        <v>90</v>
      </c>
      <c r="AA50" s="53" t="s">
        <v>69</v>
      </c>
      <c r="AB50" s="127" t="s">
        <v>240</v>
      </c>
      <c r="AC50" s="34"/>
    </row>
    <row r="51" spans="1:29" x14ac:dyDescent="0.15">
      <c r="A51" s="127" t="s">
        <v>61</v>
      </c>
      <c r="B51" s="127" t="s">
        <v>236</v>
      </c>
      <c r="C51" s="127">
        <v>2019</v>
      </c>
      <c r="D51" s="128" t="s">
        <v>284</v>
      </c>
      <c r="E51" s="127" t="s">
        <v>133</v>
      </c>
      <c r="F51" s="127" t="s">
        <v>295</v>
      </c>
      <c r="G51" s="127" t="s">
        <v>42</v>
      </c>
      <c r="H51" s="53" t="s">
        <v>164</v>
      </c>
      <c r="I51" s="53" t="s">
        <v>159</v>
      </c>
      <c r="J51" s="127" t="s">
        <v>38</v>
      </c>
      <c r="K51" s="53" t="s">
        <v>161</v>
      </c>
      <c r="L51" s="53">
        <v>2</v>
      </c>
      <c r="N51" s="53">
        <v>1</v>
      </c>
      <c r="O51" s="53">
        <v>0.5</v>
      </c>
      <c r="P51" s="53">
        <v>0.45</v>
      </c>
      <c r="Q51" s="74">
        <f t="shared" si="4"/>
        <v>0.47499999999999998</v>
      </c>
      <c r="R51" s="53">
        <v>15.1</v>
      </c>
      <c r="S51" s="53">
        <v>112.5</v>
      </c>
      <c r="T51" s="16">
        <f t="shared" si="5"/>
        <v>39</v>
      </c>
      <c r="U51" s="53">
        <v>98</v>
      </c>
      <c r="V51" s="129">
        <f t="shared" si="3"/>
        <v>3822</v>
      </c>
      <c r="W51" s="53">
        <v>13</v>
      </c>
      <c r="X51" s="127" t="s">
        <v>46</v>
      </c>
      <c r="Y51" s="53" t="s">
        <v>287</v>
      </c>
      <c r="Z51" s="53" t="s">
        <v>90</v>
      </c>
      <c r="AA51" s="53" t="s">
        <v>69</v>
      </c>
      <c r="AB51" s="127" t="s">
        <v>240</v>
      </c>
      <c r="AC51" s="34"/>
    </row>
    <row r="52" spans="1:29" x14ac:dyDescent="0.15">
      <c r="A52" s="127" t="s">
        <v>61</v>
      </c>
      <c r="B52" s="127" t="s">
        <v>236</v>
      </c>
      <c r="C52" s="127">
        <v>2019</v>
      </c>
      <c r="D52" s="128" t="s">
        <v>284</v>
      </c>
      <c r="E52" s="127" t="s">
        <v>133</v>
      </c>
      <c r="F52" s="127" t="s">
        <v>295</v>
      </c>
      <c r="G52" s="127" t="s">
        <v>42</v>
      </c>
      <c r="H52" s="53" t="s">
        <v>164</v>
      </c>
      <c r="I52" s="53" t="s">
        <v>159</v>
      </c>
      <c r="J52" s="127" t="s">
        <v>38</v>
      </c>
      <c r="K52" s="53" t="s">
        <v>161</v>
      </c>
      <c r="L52" s="53">
        <v>3</v>
      </c>
      <c r="N52" s="53">
        <v>1</v>
      </c>
      <c r="O52" s="53">
        <v>0.3</v>
      </c>
      <c r="P52" s="53">
        <v>0.3</v>
      </c>
      <c r="Q52" s="74">
        <f t="shared" si="4"/>
        <v>0.3</v>
      </c>
      <c r="R52" s="53">
        <v>13.6</v>
      </c>
      <c r="S52" s="53">
        <v>115.5</v>
      </c>
      <c r="T52" s="16">
        <f t="shared" si="5"/>
        <v>39</v>
      </c>
      <c r="U52" s="53">
        <v>98</v>
      </c>
      <c r="V52" s="129">
        <f t="shared" si="3"/>
        <v>3822</v>
      </c>
      <c r="W52" s="53">
        <v>13</v>
      </c>
      <c r="X52" s="127" t="s">
        <v>46</v>
      </c>
      <c r="Y52" s="53" t="s">
        <v>287</v>
      </c>
      <c r="Z52" s="53" t="s">
        <v>90</v>
      </c>
      <c r="AA52" s="53" t="s">
        <v>69</v>
      </c>
      <c r="AB52" s="127" t="s">
        <v>240</v>
      </c>
      <c r="AC52" s="34"/>
    </row>
    <row r="53" spans="1:29" x14ac:dyDescent="0.15">
      <c r="A53" s="127" t="s">
        <v>61</v>
      </c>
      <c r="B53" s="127" t="s">
        <v>236</v>
      </c>
      <c r="C53" s="127">
        <v>2019</v>
      </c>
      <c r="D53" s="128" t="s">
        <v>284</v>
      </c>
      <c r="E53" s="127" t="s">
        <v>133</v>
      </c>
      <c r="F53" s="127" t="s">
        <v>295</v>
      </c>
      <c r="G53" s="127" t="s">
        <v>42</v>
      </c>
      <c r="H53" s="53" t="s">
        <v>127</v>
      </c>
      <c r="I53" s="53" t="s">
        <v>159</v>
      </c>
      <c r="J53" s="127" t="s">
        <v>80</v>
      </c>
      <c r="K53" s="127" t="s">
        <v>80</v>
      </c>
      <c r="L53" s="53">
        <v>1</v>
      </c>
      <c r="N53" s="53">
        <v>1</v>
      </c>
      <c r="O53" s="53">
        <v>0.45</v>
      </c>
      <c r="P53" s="53">
        <v>0.45</v>
      </c>
      <c r="Q53" s="74">
        <f>IF(OR(O53="",P53=""),"",AVERAGE(O53,P53))</f>
        <v>0.45</v>
      </c>
      <c r="R53" s="53">
        <v>10.5</v>
      </c>
      <c r="S53" s="53">
        <v>103.5</v>
      </c>
      <c r="T53" s="16">
        <f t="shared" si="5"/>
        <v>39</v>
      </c>
      <c r="U53" s="53">
        <v>148</v>
      </c>
      <c r="V53" s="129">
        <f>IF(OR(N53="",U53="",T53=""),"",U53/N53*T53)</f>
        <v>5772</v>
      </c>
      <c r="W53" s="53">
        <v>13</v>
      </c>
      <c r="X53" s="127" t="s">
        <v>46</v>
      </c>
      <c r="Y53" s="53" t="s">
        <v>287</v>
      </c>
      <c r="Z53" s="53" t="s">
        <v>90</v>
      </c>
      <c r="AA53" s="53" t="s">
        <v>69</v>
      </c>
      <c r="AB53" s="127" t="s">
        <v>240</v>
      </c>
      <c r="AC53" s="34"/>
    </row>
    <row r="54" spans="1:29" x14ac:dyDescent="0.15">
      <c r="A54" s="127" t="s">
        <v>61</v>
      </c>
      <c r="B54" s="127" t="s">
        <v>236</v>
      </c>
      <c r="C54" s="127">
        <v>2019</v>
      </c>
      <c r="D54" s="128" t="s">
        <v>284</v>
      </c>
      <c r="E54" s="127" t="s">
        <v>133</v>
      </c>
      <c r="F54" s="127" t="s">
        <v>295</v>
      </c>
      <c r="G54" s="127" t="s">
        <v>42</v>
      </c>
      <c r="H54" s="53" t="s">
        <v>127</v>
      </c>
      <c r="I54" s="53" t="s">
        <v>159</v>
      </c>
      <c r="J54" s="127" t="s">
        <v>80</v>
      </c>
      <c r="K54" s="127" t="s">
        <v>80</v>
      </c>
      <c r="L54" s="53">
        <v>2</v>
      </c>
      <c r="N54" s="53">
        <v>1</v>
      </c>
      <c r="O54" s="53">
        <v>0.25</v>
      </c>
      <c r="P54" s="53">
        <v>0.2</v>
      </c>
      <c r="Q54" s="74">
        <f>IF(OR(O54="",P54=""),"",AVERAGE(O54,P54))</f>
        <v>0.22500000000000001</v>
      </c>
      <c r="R54" s="53">
        <v>15</v>
      </c>
      <c r="S54" s="53">
        <v>115.5</v>
      </c>
      <c r="T54" s="16">
        <f t="shared" si="5"/>
        <v>39</v>
      </c>
      <c r="U54" s="53">
        <v>148</v>
      </c>
      <c r="V54" s="129">
        <f>IF(OR(N54="",U54="",T54=""),"",U54/N54*T54)</f>
        <v>5772</v>
      </c>
      <c r="W54" s="53">
        <v>13</v>
      </c>
      <c r="X54" s="127" t="s">
        <v>46</v>
      </c>
      <c r="Y54" s="53" t="s">
        <v>287</v>
      </c>
      <c r="Z54" s="53" t="s">
        <v>90</v>
      </c>
      <c r="AA54" s="53" t="s">
        <v>69</v>
      </c>
      <c r="AB54" s="127" t="s">
        <v>240</v>
      </c>
      <c r="AC54" s="34"/>
    </row>
    <row r="55" spans="1:29" x14ac:dyDescent="0.15">
      <c r="A55" s="127" t="s">
        <v>61</v>
      </c>
      <c r="B55" s="127" t="s">
        <v>236</v>
      </c>
      <c r="C55" s="127">
        <v>2019</v>
      </c>
      <c r="D55" s="128" t="s">
        <v>284</v>
      </c>
      <c r="E55" s="127" t="s">
        <v>133</v>
      </c>
      <c r="F55" s="127" t="s">
        <v>295</v>
      </c>
      <c r="G55" s="127" t="s">
        <v>42</v>
      </c>
      <c r="H55" s="53" t="s">
        <v>127</v>
      </c>
      <c r="I55" s="53" t="s">
        <v>159</v>
      </c>
      <c r="J55" s="127" t="s">
        <v>80</v>
      </c>
      <c r="K55" s="127" t="s">
        <v>80</v>
      </c>
      <c r="L55" s="53">
        <v>3</v>
      </c>
      <c r="N55" s="53">
        <v>1</v>
      </c>
      <c r="O55" s="53">
        <v>0.55000000000000004</v>
      </c>
      <c r="P55" s="53">
        <v>0.45</v>
      </c>
      <c r="Q55" s="74">
        <f>IF(OR(O55="",P55=""),"",AVERAGE(O55,P55))</f>
        <v>0.5</v>
      </c>
      <c r="R55" s="53">
        <v>9.6</v>
      </c>
      <c r="S55" s="53">
        <v>110</v>
      </c>
      <c r="T55" s="16">
        <f t="shared" si="5"/>
        <v>39</v>
      </c>
      <c r="U55" s="53">
        <v>148</v>
      </c>
      <c r="V55" s="129">
        <f>IF(OR(N55="",U55="",T55=""),"",U55/N55*T55)</f>
        <v>5772</v>
      </c>
      <c r="W55" s="53">
        <v>13</v>
      </c>
      <c r="X55" s="127" t="s">
        <v>46</v>
      </c>
      <c r="Y55" s="53" t="s">
        <v>287</v>
      </c>
      <c r="Z55" s="53" t="s">
        <v>90</v>
      </c>
      <c r="AA55" s="53" t="s">
        <v>69</v>
      </c>
      <c r="AB55" s="127" t="s">
        <v>240</v>
      </c>
      <c r="AC55" s="34"/>
    </row>
    <row r="56" spans="1:29" x14ac:dyDescent="0.15">
      <c r="A56" s="127" t="s">
        <v>61</v>
      </c>
      <c r="B56" s="127" t="s">
        <v>236</v>
      </c>
      <c r="C56" s="127">
        <v>2019</v>
      </c>
      <c r="D56" s="128" t="s">
        <v>284</v>
      </c>
      <c r="E56" s="127" t="s">
        <v>133</v>
      </c>
      <c r="F56" s="127" t="s">
        <v>295</v>
      </c>
      <c r="G56" s="127" t="s">
        <v>42</v>
      </c>
      <c r="H56" s="53" t="s">
        <v>160</v>
      </c>
      <c r="I56" s="53" t="s">
        <v>159</v>
      </c>
      <c r="J56" s="127" t="s">
        <v>38</v>
      </c>
      <c r="K56" s="53" t="s">
        <v>54</v>
      </c>
      <c r="L56" s="53">
        <v>1</v>
      </c>
      <c r="N56" s="53">
        <v>4</v>
      </c>
      <c r="O56" s="53">
        <v>1.25</v>
      </c>
      <c r="P56" s="53">
        <v>1.25</v>
      </c>
      <c r="Q56" s="74">
        <f t="shared" si="4"/>
        <v>1.25</v>
      </c>
      <c r="R56" s="53">
        <v>12.3</v>
      </c>
      <c r="S56" s="53">
        <v>85.5</v>
      </c>
      <c r="T56" s="16">
        <f t="shared" si="5"/>
        <v>39</v>
      </c>
      <c r="U56" s="53">
        <v>598</v>
      </c>
      <c r="V56" s="129">
        <f t="shared" si="3"/>
        <v>5830.5</v>
      </c>
      <c r="W56" s="53">
        <v>13</v>
      </c>
      <c r="X56" s="127" t="s">
        <v>46</v>
      </c>
      <c r="Y56" s="53" t="s">
        <v>287</v>
      </c>
      <c r="Z56" s="53" t="s">
        <v>90</v>
      </c>
      <c r="AA56" s="53" t="s">
        <v>69</v>
      </c>
      <c r="AB56" s="127" t="s">
        <v>240</v>
      </c>
    </row>
    <row r="57" spans="1:29" x14ac:dyDescent="0.15">
      <c r="A57" s="127" t="s">
        <v>61</v>
      </c>
      <c r="B57" s="127" t="s">
        <v>236</v>
      </c>
      <c r="C57" s="127">
        <v>2019</v>
      </c>
      <c r="D57" s="128" t="s">
        <v>284</v>
      </c>
      <c r="E57" s="127" t="s">
        <v>133</v>
      </c>
      <c r="F57" s="127" t="s">
        <v>295</v>
      </c>
      <c r="G57" s="127" t="s">
        <v>42</v>
      </c>
      <c r="H57" s="53" t="s">
        <v>160</v>
      </c>
      <c r="I57" s="53" t="s">
        <v>159</v>
      </c>
      <c r="J57" s="127" t="s">
        <v>38</v>
      </c>
      <c r="K57" s="53" t="s">
        <v>54</v>
      </c>
      <c r="L57" s="53">
        <v>2</v>
      </c>
      <c r="N57" s="53">
        <v>4</v>
      </c>
      <c r="O57" s="53">
        <v>0.2</v>
      </c>
      <c r="P57" s="53">
        <v>0.2</v>
      </c>
      <c r="Q57" s="74">
        <f t="shared" si="4"/>
        <v>0.2</v>
      </c>
      <c r="R57" s="53">
        <v>15</v>
      </c>
      <c r="S57" s="53">
        <v>92.5</v>
      </c>
      <c r="T57" s="16">
        <f t="shared" si="5"/>
        <v>39</v>
      </c>
      <c r="U57" s="53">
        <v>598</v>
      </c>
      <c r="V57" s="129">
        <f t="shared" si="3"/>
        <v>5830.5</v>
      </c>
      <c r="W57" s="53">
        <v>13</v>
      </c>
      <c r="X57" s="127" t="s">
        <v>46</v>
      </c>
      <c r="Y57" s="53" t="s">
        <v>287</v>
      </c>
      <c r="Z57" s="53" t="s">
        <v>90</v>
      </c>
      <c r="AA57" s="53" t="s">
        <v>69</v>
      </c>
      <c r="AB57" s="127" t="s">
        <v>240</v>
      </c>
    </row>
    <row r="58" spans="1:29" x14ac:dyDescent="0.15">
      <c r="A58" s="127" t="s">
        <v>61</v>
      </c>
      <c r="B58" s="127" t="s">
        <v>236</v>
      </c>
      <c r="C58" s="127">
        <v>2019</v>
      </c>
      <c r="D58" s="128" t="s">
        <v>284</v>
      </c>
      <c r="E58" s="127" t="s">
        <v>133</v>
      </c>
      <c r="F58" s="127" t="s">
        <v>295</v>
      </c>
      <c r="G58" s="127" t="s">
        <v>42</v>
      </c>
      <c r="H58" s="53" t="s">
        <v>160</v>
      </c>
      <c r="I58" s="53" t="s">
        <v>159</v>
      </c>
      <c r="J58" s="127" t="s">
        <v>38</v>
      </c>
      <c r="K58" s="53" t="s">
        <v>54</v>
      </c>
      <c r="L58" s="53">
        <v>3</v>
      </c>
      <c r="N58" s="53">
        <v>4</v>
      </c>
      <c r="O58" s="53">
        <v>0.45</v>
      </c>
      <c r="P58" s="53">
        <v>0.2</v>
      </c>
      <c r="Q58" s="74">
        <f t="shared" si="4"/>
        <v>0.32500000000000001</v>
      </c>
      <c r="R58" s="53">
        <v>13.4</v>
      </c>
      <c r="S58" s="53">
        <v>86</v>
      </c>
      <c r="T58" s="16">
        <f t="shared" si="5"/>
        <v>39</v>
      </c>
      <c r="U58" s="53">
        <v>598</v>
      </c>
      <c r="V58" s="129">
        <f t="shared" si="3"/>
        <v>5830.5</v>
      </c>
      <c r="W58" s="53">
        <v>13</v>
      </c>
      <c r="X58" s="127" t="s">
        <v>46</v>
      </c>
      <c r="Y58" s="53" t="s">
        <v>287</v>
      </c>
      <c r="Z58" s="53" t="s">
        <v>90</v>
      </c>
      <c r="AA58" s="53" t="s">
        <v>69</v>
      </c>
      <c r="AB58" s="127" t="s">
        <v>240</v>
      </c>
    </row>
    <row r="59" spans="1:29" x14ac:dyDescent="0.15">
      <c r="A59" s="127" t="s">
        <v>61</v>
      </c>
      <c r="B59" s="127" t="s">
        <v>236</v>
      </c>
      <c r="C59" s="127">
        <v>2019</v>
      </c>
      <c r="D59" s="128" t="s">
        <v>284</v>
      </c>
      <c r="E59" s="127" t="s">
        <v>133</v>
      </c>
      <c r="F59" s="127" t="s">
        <v>295</v>
      </c>
      <c r="G59" s="127" t="s">
        <v>42</v>
      </c>
      <c r="H59" s="53" t="s">
        <v>128</v>
      </c>
      <c r="I59" s="53" t="s">
        <v>159</v>
      </c>
      <c r="J59" s="127" t="s">
        <v>44</v>
      </c>
      <c r="K59" s="53" t="s">
        <v>45</v>
      </c>
      <c r="L59" s="53">
        <v>1</v>
      </c>
      <c r="N59" s="53">
        <v>5</v>
      </c>
      <c r="O59" s="53">
        <v>0.9</v>
      </c>
      <c r="P59" s="53">
        <v>0.45</v>
      </c>
      <c r="Q59" s="74">
        <f t="shared" si="4"/>
        <v>0.67500000000000004</v>
      </c>
      <c r="R59" s="53">
        <v>15.1</v>
      </c>
      <c r="S59" s="53">
        <v>90.5</v>
      </c>
      <c r="T59" s="16">
        <f t="shared" si="5"/>
        <v>39</v>
      </c>
      <c r="U59" s="53">
        <v>398</v>
      </c>
      <c r="V59" s="129">
        <f t="shared" si="3"/>
        <v>3104.3999999999996</v>
      </c>
      <c r="W59" s="53">
        <v>13</v>
      </c>
      <c r="X59" s="127" t="s">
        <v>46</v>
      </c>
      <c r="Y59" s="53" t="s">
        <v>287</v>
      </c>
      <c r="Z59" s="53" t="s">
        <v>90</v>
      </c>
      <c r="AA59" s="53" t="s">
        <v>69</v>
      </c>
      <c r="AB59" s="127" t="s">
        <v>240</v>
      </c>
      <c r="AC59" s="34"/>
    </row>
    <row r="60" spans="1:29" x14ac:dyDescent="0.15">
      <c r="A60" s="127" t="s">
        <v>61</v>
      </c>
      <c r="B60" s="127" t="s">
        <v>236</v>
      </c>
      <c r="C60" s="127">
        <v>2019</v>
      </c>
      <c r="D60" s="128" t="s">
        <v>284</v>
      </c>
      <c r="E60" s="127" t="s">
        <v>133</v>
      </c>
      <c r="F60" s="127" t="s">
        <v>295</v>
      </c>
      <c r="G60" s="127" t="s">
        <v>42</v>
      </c>
      <c r="H60" s="53" t="s">
        <v>128</v>
      </c>
      <c r="I60" s="53" t="s">
        <v>159</v>
      </c>
      <c r="J60" s="127" t="s">
        <v>44</v>
      </c>
      <c r="K60" s="53" t="s">
        <v>45</v>
      </c>
      <c r="L60" s="53">
        <v>2</v>
      </c>
      <c r="N60" s="53">
        <v>5</v>
      </c>
      <c r="O60" s="53">
        <v>0.4</v>
      </c>
      <c r="P60" s="53">
        <v>0.4</v>
      </c>
      <c r="Q60" s="74">
        <f t="shared" si="4"/>
        <v>0.4</v>
      </c>
      <c r="R60" s="53">
        <v>15.2</v>
      </c>
      <c r="S60" s="53">
        <v>84</v>
      </c>
      <c r="T60" s="16">
        <f t="shared" si="5"/>
        <v>39</v>
      </c>
      <c r="U60" s="53">
        <v>398</v>
      </c>
      <c r="V60" s="129">
        <f t="shared" si="3"/>
        <v>3104.3999999999996</v>
      </c>
      <c r="W60" s="53">
        <v>13</v>
      </c>
      <c r="X60" s="127" t="s">
        <v>46</v>
      </c>
      <c r="Y60" s="53" t="s">
        <v>287</v>
      </c>
      <c r="Z60" s="53" t="s">
        <v>90</v>
      </c>
      <c r="AA60" s="53" t="s">
        <v>69</v>
      </c>
      <c r="AB60" s="127" t="s">
        <v>240</v>
      </c>
      <c r="AC60" s="34"/>
    </row>
    <row r="61" spans="1:29" x14ac:dyDescent="0.15">
      <c r="A61" s="127" t="s">
        <v>61</v>
      </c>
      <c r="B61" s="127" t="s">
        <v>236</v>
      </c>
      <c r="C61" s="127">
        <v>2019</v>
      </c>
      <c r="D61" s="128" t="s">
        <v>284</v>
      </c>
      <c r="E61" s="127" t="s">
        <v>133</v>
      </c>
      <c r="F61" s="127" t="s">
        <v>295</v>
      </c>
      <c r="G61" s="127" t="s">
        <v>42</v>
      </c>
      <c r="H61" s="53" t="s">
        <v>128</v>
      </c>
      <c r="I61" s="53" t="s">
        <v>159</v>
      </c>
      <c r="J61" s="127" t="s">
        <v>44</v>
      </c>
      <c r="K61" s="53" t="s">
        <v>45</v>
      </c>
      <c r="L61" s="53">
        <v>3</v>
      </c>
      <c r="N61" s="53">
        <v>5</v>
      </c>
      <c r="O61" s="53">
        <v>0.6</v>
      </c>
      <c r="P61" s="53">
        <v>0.55000000000000004</v>
      </c>
      <c r="Q61" s="74">
        <f t="shared" si="4"/>
        <v>0.57499999999999996</v>
      </c>
      <c r="R61" s="53">
        <v>13.5</v>
      </c>
      <c r="S61" s="53">
        <v>89.5</v>
      </c>
      <c r="T61" s="16">
        <f t="shared" si="5"/>
        <v>39</v>
      </c>
      <c r="U61" s="53">
        <v>398</v>
      </c>
      <c r="V61" s="129">
        <f t="shared" si="3"/>
        <v>3104.3999999999996</v>
      </c>
      <c r="W61" s="53">
        <v>13</v>
      </c>
      <c r="X61" s="127" t="s">
        <v>46</v>
      </c>
      <c r="Y61" s="53" t="s">
        <v>287</v>
      </c>
      <c r="Z61" s="53" t="s">
        <v>90</v>
      </c>
      <c r="AA61" s="53" t="s">
        <v>69</v>
      </c>
      <c r="AB61" s="127" t="s">
        <v>240</v>
      </c>
      <c r="AC61" s="34"/>
    </row>
    <row r="62" spans="1:29" x14ac:dyDescent="0.15">
      <c r="A62" s="127" t="s">
        <v>61</v>
      </c>
      <c r="B62" s="127" t="s">
        <v>236</v>
      </c>
      <c r="C62" s="127">
        <v>2019</v>
      </c>
      <c r="D62" s="128" t="s">
        <v>284</v>
      </c>
      <c r="E62" s="127" t="s">
        <v>296</v>
      </c>
      <c r="F62" s="127" t="s">
        <v>297</v>
      </c>
      <c r="G62" s="127" t="s">
        <v>42</v>
      </c>
      <c r="H62" s="53" t="s">
        <v>164</v>
      </c>
      <c r="I62" s="53" t="s">
        <v>159</v>
      </c>
      <c r="J62" s="127" t="s">
        <v>38</v>
      </c>
      <c r="K62" s="53" t="s">
        <v>161</v>
      </c>
      <c r="L62" s="53">
        <v>1</v>
      </c>
      <c r="N62" s="53">
        <v>8</v>
      </c>
      <c r="O62" s="53">
        <v>1</v>
      </c>
      <c r="P62" s="53">
        <v>0.75</v>
      </c>
      <c r="Q62" s="74">
        <f t="shared" si="4"/>
        <v>0.875</v>
      </c>
      <c r="R62" s="53">
        <v>13.7</v>
      </c>
      <c r="S62" s="53">
        <v>89.5</v>
      </c>
      <c r="T62" s="16">
        <f t="shared" si="5"/>
        <v>39</v>
      </c>
      <c r="U62" s="53">
        <v>498</v>
      </c>
      <c r="V62" s="129">
        <f t="shared" si="3"/>
        <v>2427.75</v>
      </c>
      <c r="W62" s="53">
        <v>3</v>
      </c>
      <c r="X62" s="127" t="s">
        <v>39</v>
      </c>
      <c r="Y62" s="53" t="s">
        <v>287</v>
      </c>
      <c r="Z62" s="53" t="s">
        <v>90</v>
      </c>
      <c r="AA62" s="53" t="s">
        <v>69</v>
      </c>
      <c r="AB62" s="127" t="s">
        <v>240</v>
      </c>
    </row>
    <row r="63" spans="1:29" x14ac:dyDescent="0.15">
      <c r="A63" s="127" t="s">
        <v>61</v>
      </c>
      <c r="B63" s="127" t="s">
        <v>236</v>
      </c>
      <c r="C63" s="127">
        <v>2019</v>
      </c>
      <c r="D63" s="128" t="s">
        <v>284</v>
      </c>
      <c r="E63" s="127" t="s">
        <v>296</v>
      </c>
      <c r="F63" s="127" t="s">
        <v>297</v>
      </c>
      <c r="G63" s="127" t="s">
        <v>42</v>
      </c>
      <c r="H63" s="53" t="s">
        <v>164</v>
      </c>
      <c r="I63" s="53" t="s">
        <v>159</v>
      </c>
      <c r="J63" s="127" t="s">
        <v>38</v>
      </c>
      <c r="K63" s="53" t="s">
        <v>161</v>
      </c>
      <c r="L63" s="53">
        <v>2</v>
      </c>
      <c r="N63" s="53">
        <v>8</v>
      </c>
      <c r="O63" s="53">
        <v>1.1000000000000001</v>
      </c>
      <c r="P63" s="53">
        <v>0.8</v>
      </c>
      <c r="Q63" s="74">
        <f t="shared" si="4"/>
        <v>0.95000000000000007</v>
      </c>
      <c r="R63" s="53">
        <v>12.4</v>
      </c>
      <c r="S63" s="53">
        <v>90.5</v>
      </c>
      <c r="T63" s="16">
        <f t="shared" si="5"/>
        <v>39</v>
      </c>
      <c r="U63" s="53">
        <v>498</v>
      </c>
      <c r="V63" s="129">
        <f t="shared" si="3"/>
        <v>2427.75</v>
      </c>
      <c r="W63" s="53">
        <v>3</v>
      </c>
      <c r="X63" s="127" t="s">
        <v>39</v>
      </c>
      <c r="Y63" s="53" t="s">
        <v>287</v>
      </c>
      <c r="Z63" s="53" t="s">
        <v>90</v>
      </c>
      <c r="AA63" s="53" t="s">
        <v>69</v>
      </c>
      <c r="AB63" s="127" t="s">
        <v>240</v>
      </c>
    </row>
    <row r="64" spans="1:29" x14ac:dyDescent="0.15">
      <c r="A64" s="127" t="s">
        <v>61</v>
      </c>
      <c r="B64" s="127" t="s">
        <v>236</v>
      </c>
      <c r="C64" s="127">
        <v>2019</v>
      </c>
      <c r="D64" s="128" t="s">
        <v>284</v>
      </c>
      <c r="E64" s="127" t="s">
        <v>296</v>
      </c>
      <c r="F64" s="127" t="s">
        <v>297</v>
      </c>
      <c r="G64" s="127" t="s">
        <v>42</v>
      </c>
      <c r="H64" s="53" t="s">
        <v>164</v>
      </c>
      <c r="I64" s="53" t="s">
        <v>159</v>
      </c>
      <c r="J64" s="127" t="s">
        <v>38</v>
      </c>
      <c r="K64" s="53" t="s">
        <v>161</v>
      </c>
      <c r="L64" s="53">
        <v>3</v>
      </c>
      <c r="N64" s="53">
        <v>8</v>
      </c>
      <c r="O64" s="53">
        <v>0.5</v>
      </c>
      <c r="P64" s="53">
        <v>0.5</v>
      </c>
      <c r="Q64" s="74">
        <f t="shared" si="4"/>
        <v>0.5</v>
      </c>
      <c r="R64" s="53">
        <v>10.1</v>
      </c>
      <c r="S64" s="53">
        <v>88.5</v>
      </c>
      <c r="T64" s="16">
        <f t="shared" si="5"/>
        <v>39</v>
      </c>
      <c r="U64" s="53">
        <v>498</v>
      </c>
      <c r="V64" s="129">
        <f t="shared" si="3"/>
        <v>2427.75</v>
      </c>
      <c r="W64" s="53">
        <v>3</v>
      </c>
      <c r="X64" s="127" t="s">
        <v>39</v>
      </c>
      <c r="Y64" s="53" t="s">
        <v>287</v>
      </c>
      <c r="Z64" s="53" t="s">
        <v>90</v>
      </c>
      <c r="AA64" s="53" t="s">
        <v>69</v>
      </c>
      <c r="AB64" s="127" t="s">
        <v>240</v>
      </c>
    </row>
    <row r="65" spans="1:28" x14ac:dyDescent="0.15">
      <c r="A65" s="127" t="s">
        <v>61</v>
      </c>
      <c r="B65" s="127" t="s">
        <v>236</v>
      </c>
      <c r="C65" s="127">
        <v>2019</v>
      </c>
      <c r="D65" s="128" t="s">
        <v>284</v>
      </c>
      <c r="E65" s="127" t="s">
        <v>296</v>
      </c>
      <c r="F65" s="127" t="s">
        <v>297</v>
      </c>
      <c r="G65" s="127" t="s">
        <v>42</v>
      </c>
      <c r="H65" s="53" t="s">
        <v>164</v>
      </c>
      <c r="I65" s="53" t="s">
        <v>165</v>
      </c>
      <c r="J65" s="127" t="s">
        <v>38</v>
      </c>
      <c r="K65" s="53" t="s">
        <v>161</v>
      </c>
      <c r="L65" s="53">
        <v>1</v>
      </c>
      <c r="N65" s="53">
        <v>5</v>
      </c>
      <c r="O65" s="53">
        <v>0.2</v>
      </c>
      <c r="P65" s="53">
        <v>0.25</v>
      </c>
      <c r="Q65" s="74">
        <f t="shared" si="4"/>
        <v>0.22500000000000001</v>
      </c>
      <c r="R65" s="53">
        <v>13.8</v>
      </c>
      <c r="S65" s="53">
        <v>72.5</v>
      </c>
      <c r="T65" s="16">
        <f t="shared" si="5"/>
        <v>42</v>
      </c>
      <c r="U65" s="53">
        <v>398</v>
      </c>
      <c r="V65" s="129">
        <f t="shared" si="3"/>
        <v>3343.2</v>
      </c>
      <c r="W65" s="53">
        <v>3</v>
      </c>
      <c r="X65" s="127" t="s">
        <v>39</v>
      </c>
      <c r="Y65" s="53" t="s">
        <v>287</v>
      </c>
      <c r="Z65" s="53" t="s">
        <v>90</v>
      </c>
      <c r="AA65" s="53" t="s">
        <v>69</v>
      </c>
      <c r="AB65" s="127" t="s">
        <v>240</v>
      </c>
    </row>
    <row r="66" spans="1:28" x14ac:dyDescent="0.15">
      <c r="A66" s="127" t="s">
        <v>61</v>
      </c>
      <c r="B66" s="127" t="s">
        <v>236</v>
      </c>
      <c r="C66" s="127">
        <v>2019</v>
      </c>
      <c r="D66" s="128" t="s">
        <v>284</v>
      </c>
      <c r="E66" s="127" t="s">
        <v>296</v>
      </c>
      <c r="F66" s="127" t="s">
        <v>297</v>
      </c>
      <c r="G66" s="127" t="s">
        <v>42</v>
      </c>
      <c r="H66" s="53" t="s">
        <v>164</v>
      </c>
      <c r="I66" s="53" t="s">
        <v>165</v>
      </c>
      <c r="J66" s="127" t="s">
        <v>38</v>
      </c>
      <c r="K66" s="53" t="s">
        <v>161</v>
      </c>
      <c r="L66" s="53">
        <v>2</v>
      </c>
      <c r="N66" s="53">
        <v>5</v>
      </c>
      <c r="O66" s="53">
        <v>0.3</v>
      </c>
      <c r="P66" s="53">
        <v>0.3</v>
      </c>
      <c r="Q66" s="74">
        <f t="shared" si="4"/>
        <v>0.3</v>
      </c>
      <c r="R66" s="53">
        <v>12.6</v>
      </c>
      <c r="S66" s="53">
        <v>76</v>
      </c>
      <c r="T66" s="16">
        <f t="shared" si="5"/>
        <v>39</v>
      </c>
      <c r="U66" s="53">
        <v>398</v>
      </c>
      <c r="V66" s="129">
        <f t="shared" si="3"/>
        <v>3104.3999999999996</v>
      </c>
      <c r="W66" s="53">
        <v>3</v>
      </c>
      <c r="X66" s="127" t="s">
        <v>39</v>
      </c>
      <c r="Y66" s="53" t="s">
        <v>287</v>
      </c>
      <c r="Z66" s="53" t="s">
        <v>90</v>
      </c>
      <c r="AA66" s="53" t="s">
        <v>69</v>
      </c>
      <c r="AB66" s="127" t="s">
        <v>240</v>
      </c>
    </row>
    <row r="67" spans="1:28" x14ac:dyDescent="0.15">
      <c r="A67" s="127" t="s">
        <v>61</v>
      </c>
      <c r="B67" s="127" t="s">
        <v>236</v>
      </c>
      <c r="C67" s="127">
        <v>2019</v>
      </c>
      <c r="D67" s="128" t="s">
        <v>284</v>
      </c>
      <c r="E67" s="127" t="s">
        <v>296</v>
      </c>
      <c r="F67" s="127" t="s">
        <v>297</v>
      </c>
      <c r="G67" s="127" t="s">
        <v>42</v>
      </c>
      <c r="H67" s="53" t="s">
        <v>164</v>
      </c>
      <c r="I67" s="53" t="s">
        <v>165</v>
      </c>
      <c r="J67" s="127" t="s">
        <v>38</v>
      </c>
      <c r="K67" s="53" t="s">
        <v>161</v>
      </c>
      <c r="L67" s="53">
        <v>3</v>
      </c>
      <c r="N67" s="53">
        <v>5</v>
      </c>
      <c r="O67" s="53">
        <v>0.2</v>
      </c>
      <c r="P67" s="53">
        <v>0.2</v>
      </c>
      <c r="Q67" s="74">
        <f t="shared" si="4"/>
        <v>0.2</v>
      </c>
      <c r="R67" s="53">
        <v>14.9</v>
      </c>
      <c r="S67" s="53">
        <v>79</v>
      </c>
      <c r="T67" s="16">
        <f t="shared" si="5"/>
        <v>39</v>
      </c>
      <c r="U67" s="53">
        <v>398</v>
      </c>
      <c r="V67" s="129">
        <f t="shared" si="3"/>
        <v>3104.3999999999996</v>
      </c>
      <c r="W67" s="53">
        <v>3</v>
      </c>
      <c r="X67" s="127" t="s">
        <v>39</v>
      </c>
      <c r="Y67" s="53" t="s">
        <v>287</v>
      </c>
      <c r="Z67" s="53" t="s">
        <v>90</v>
      </c>
      <c r="AA67" s="53" t="s">
        <v>69</v>
      </c>
      <c r="AB67" s="127" t="s">
        <v>240</v>
      </c>
    </row>
    <row r="68" spans="1:28" x14ac:dyDescent="0.15">
      <c r="A68" s="127" t="s">
        <v>61</v>
      </c>
      <c r="B68" s="127" t="s">
        <v>236</v>
      </c>
      <c r="C68" s="127">
        <v>2019</v>
      </c>
      <c r="D68" s="128" t="s">
        <v>284</v>
      </c>
      <c r="E68" s="127" t="s">
        <v>296</v>
      </c>
      <c r="F68" s="127" t="s">
        <v>297</v>
      </c>
      <c r="G68" s="127" t="s">
        <v>42</v>
      </c>
      <c r="H68" s="53" t="s">
        <v>127</v>
      </c>
      <c r="I68" s="53" t="s">
        <v>159</v>
      </c>
      <c r="J68" s="127" t="s">
        <v>80</v>
      </c>
      <c r="K68" s="53" t="s">
        <v>63</v>
      </c>
      <c r="L68" s="53">
        <v>1</v>
      </c>
      <c r="N68" s="53">
        <v>5</v>
      </c>
      <c r="O68" s="53">
        <v>0.2</v>
      </c>
      <c r="P68" s="53">
        <v>0.25</v>
      </c>
      <c r="Q68" s="74">
        <f t="shared" si="4"/>
        <v>0.22500000000000001</v>
      </c>
      <c r="R68" s="53">
        <v>15.6</v>
      </c>
      <c r="S68" s="53">
        <v>72.5</v>
      </c>
      <c r="T68" s="16">
        <f t="shared" si="5"/>
        <v>42</v>
      </c>
      <c r="U68" s="53">
        <v>398</v>
      </c>
      <c r="V68" s="129">
        <f t="shared" si="3"/>
        <v>3343.2</v>
      </c>
      <c r="W68" s="53">
        <v>3</v>
      </c>
      <c r="X68" s="127" t="s">
        <v>39</v>
      </c>
      <c r="Y68" s="53" t="s">
        <v>287</v>
      </c>
      <c r="Z68" s="53" t="s">
        <v>90</v>
      </c>
      <c r="AA68" s="53" t="s">
        <v>69</v>
      </c>
      <c r="AB68" s="127" t="s">
        <v>240</v>
      </c>
    </row>
    <row r="69" spans="1:28" x14ac:dyDescent="0.15">
      <c r="A69" s="127" t="s">
        <v>61</v>
      </c>
      <c r="B69" s="127" t="s">
        <v>236</v>
      </c>
      <c r="C69" s="127">
        <v>2019</v>
      </c>
      <c r="D69" s="128" t="s">
        <v>284</v>
      </c>
      <c r="E69" s="127" t="s">
        <v>296</v>
      </c>
      <c r="F69" s="127" t="s">
        <v>297</v>
      </c>
      <c r="G69" s="127" t="s">
        <v>42</v>
      </c>
      <c r="H69" s="53" t="s">
        <v>127</v>
      </c>
      <c r="I69" s="53" t="s">
        <v>159</v>
      </c>
      <c r="J69" s="127" t="s">
        <v>80</v>
      </c>
      <c r="K69" s="53" t="s">
        <v>63</v>
      </c>
      <c r="L69" s="53">
        <v>2</v>
      </c>
      <c r="N69" s="53">
        <v>5</v>
      </c>
      <c r="O69" s="53">
        <v>0.3</v>
      </c>
      <c r="P69" s="53">
        <v>0.3</v>
      </c>
      <c r="Q69" s="74">
        <f t="shared" si="4"/>
        <v>0.3</v>
      </c>
      <c r="R69" s="53">
        <v>13.6</v>
      </c>
      <c r="S69" s="53">
        <v>79</v>
      </c>
      <c r="T69" s="16">
        <f t="shared" si="5"/>
        <v>39</v>
      </c>
      <c r="U69" s="53">
        <v>398</v>
      </c>
      <c r="V69" s="129">
        <f t="shared" si="3"/>
        <v>3104.3999999999996</v>
      </c>
      <c r="W69" s="53">
        <v>3</v>
      </c>
      <c r="X69" s="127" t="s">
        <v>39</v>
      </c>
      <c r="Y69" s="53" t="s">
        <v>287</v>
      </c>
      <c r="Z69" s="53" t="s">
        <v>90</v>
      </c>
      <c r="AA69" s="53" t="s">
        <v>69</v>
      </c>
      <c r="AB69" s="127" t="s">
        <v>240</v>
      </c>
    </row>
    <row r="70" spans="1:28" x14ac:dyDescent="0.15">
      <c r="A70" s="127" t="s">
        <v>61</v>
      </c>
      <c r="B70" s="127" t="s">
        <v>236</v>
      </c>
      <c r="C70" s="127">
        <v>2019</v>
      </c>
      <c r="D70" s="128" t="s">
        <v>284</v>
      </c>
      <c r="E70" s="127" t="s">
        <v>296</v>
      </c>
      <c r="F70" s="127" t="s">
        <v>297</v>
      </c>
      <c r="G70" s="127" t="s">
        <v>42</v>
      </c>
      <c r="H70" s="53" t="s">
        <v>127</v>
      </c>
      <c r="I70" s="53" t="s">
        <v>159</v>
      </c>
      <c r="J70" s="127" t="s">
        <v>80</v>
      </c>
      <c r="K70" s="53" t="s">
        <v>63</v>
      </c>
      <c r="L70" s="53">
        <v>3</v>
      </c>
      <c r="N70" s="53">
        <v>5</v>
      </c>
      <c r="O70" s="53">
        <v>0.6</v>
      </c>
      <c r="P70" s="53">
        <v>0.6</v>
      </c>
      <c r="Q70" s="74">
        <f t="shared" si="4"/>
        <v>0.6</v>
      </c>
      <c r="R70" s="53">
        <v>13.5</v>
      </c>
      <c r="S70" s="53">
        <v>70.5</v>
      </c>
      <c r="T70" s="16">
        <f t="shared" si="5"/>
        <v>50</v>
      </c>
      <c r="U70" s="53">
        <v>398</v>
      </c>
      <c r="V70" s="129">
        <f t="shared" si="3"/>
        <v>3979.9999999999995</v>
      </c>
      <c r="W70" s="53">
        <v>3</v>
      </c>
      <c r="X70" s="127" t="s">
        <v>39</v>
      </c>
      <c r="Y70" s="53" t="s">
        <v>287</v>
      </c>
      <c r="Z70" s="53" t="s">
        <v>90</v>
      </c>
      <c r="AA70" s="53" t="s">
        <v>69</v>
      </c>
      <c r="AB70" s="127" t="s">
        <v>240</v>
      </c>
    </row>
    <row r="71" spans="1:28" x14ac:dyDescent="0.15">
      <c r="A71" s="127" t="s">
        <v>61</v>
      </c>
      <c r="B71" s="127" t="s">
        <v>236</v>
      </c>
      <c r="C71" s="127">
        <v>2019</v>
      </c>
      <c r="D71" s="128" t="s">
        <v>284</v>
      </c>
      <c r="E71" s="127" t="s">
        <v>310</v>
      </c>
      <c r="F71" s="127" t="s">
        <v>297</v>
      </c>
      <c r="G71" s="127" t="s">
        <v>42</v>
      </c>
      <c r="H71" s="53" t="s">
        <v>160</v>
      </c>
      <c r="I71" s="53" t="s">
        <v>159</v>
      </c>
      <c r="J71" s="127" t="s">
        <v>38</v>
      </c>
      <c r="K71" s="53" t="s">
        <v>54</v>
      </c>
      <c r="L71" s="53">
        <v>1</v>
      </c>
      <c r="N71" s="53">
        <v>5</v>
      </c>
      <c r="O71" s="53">
        <v>0.45</v>
      </c>
      <c r="P71" s="53">
        <v>0.5</v>
      </c>
      <c r="Q71" s="74">
        <f t="shared" si="4"/>
        <v>0.47499999999999998</v>
      </c>
      <c r="R71" s="53">
        <v>12.3</v>
      </c>
      <c r="S71" s="53">
        <v>90.5</v>
      </c>
      <c r="T71" s="16">
        <f t="shared" si="5"/>
        <v>39</v>
      </c>
      <c r="U71" s="53">
        <v>537</v>
      </c>
      <c r="V71" s="129">
        <f t="shared" si="3"/>
        <v>4188.6000000000004</v>
      </c>
      <c r="W71" s="53">
        <v>14</v>
      </c>
      <c r="X71" s="127" t="s">
        <v>46</v>
      </c>
      <c r="Y71" s="53" t="s">
        <v>90</v>
      </c>
      <c r="Z71" s="53" t="s">
        <v>287</v>
      </c>
      <c r="AA71" s="53" t="s">
        <v>69</v>
      </c>
      <c r="AB71" s="127" t="s">
        <v>240</v>
      </c>
    </row>
    <row r="72" spans="1:28" x14ac:dyDescent="0.15">
      <c r="A72" s="127" t="s">
        <v>61</v>
      </c>
      <c r="B72" s="127" t="s">
        <v>236</v>
      </c>
      <c r="C72" s="127">
        <v>2019</v>
      </c>
      <c r="D72" s="128" t="s">
        <v>284</v>
      </c>
      <c r="E72" s="127" t="s">
        <v>310</v>
      </c>
      <c r="F72" s="127" t="s">
        <v>297</v>
      </c>
      <c r="G72" s="127" t="s">
        <v>42</v>
      </c>
      <c r="H72" s="53" t="s">
        <v>160</v>
      </c>
      <c r="I72" s="53" t="s">
        <v>159</v>
      </c>
      <c r="J72" s="127" t="s">
        <v>38</v>
      </c>
      <c r="K72" s="53" t="s">
        <v>54</v>
      </c>
      <c r="L72" s="53">
        <v>2</v>
      </c>
      <c r="N72" s="53">
        <v>5</v>
      </c>
      <c r="O72" s="53">
        <v>0.5</v>
      </c>
      <c r="P72" s="53">
        <v>0.45</v>
      </c>
      <c r="Q72" s="74">
        <f t="shared" si="4"/>
        <v>0.47499999999999998</v>
      </c>
      <c r="R72" s="53">
        <v>12.5</v>
      </c>
      <c r="S72" s="53">
        <v>94</v>
      </c>
      <c r="T72" s="16">
        <f t="shared" si="5"/>
        <v>39</v>
      </c>
      <c r="U72" s="53">
        <v>537</v>
      </c>
      <c r="V72" s="129">
        <f t="shared" si="3"/>
        <v>4188.6000000000004</v>
      </c>
      <c r="W72" s="53">
        <v>14</v>
      </c>
      <c r="X72" s="127" t="s">
        <v>46</v>
      </c>
      <c r="Y72" s="53" t="s">
        <v>90</v>
      </c>
      <c r="Z72" s="53" t="s">
        <v>287</v>
      </c>
      <c r="AA72" s="53" t="s">
        <v>69</v>
      </c>
      <c r="AB72" s="127" t="s">
        <v>240</v>
      </c>
    </row>
    <row r="73" spans="1:28" x14ac:dyDescent="0.15">
      <c r="A73" s="127" t="s">
        <v>61</v>
      </c>
      <c r="B73" s="127" t="s">
        <v>236</v>
      </c>
      <c r="C73" s="127">
        <v>2019</v>
      </c>
      <c r="D73" s="128" t="s">
        <v>284</v>
      </c>
      <c r="E73" s="127" t="s">
        <v>310</v>
      </c>
      <c r="F73" s="127" t="s">
        <v>297</v>
      </c>
      <c r="G73" s="127" t="s">
        <v>42</v>
      </c>
      <c r="H73" s="53" t="s">
        <v>160</v>
      </c>
      <c r="I73" s="53" t="s">
        <v>159</v>
      </c>
      <c r="J73" s="127" t="s">
        <v>38</v>
      </c>
      <c r="K73" s="53" t="s">
        <v>54</v>
      </c>
      <c r="L73" s="53">
        <v>3</v>
      </c>
      <c r="N73" s="53">
        <v>5</v>
      </c>
      <c r="O73" s="53">
        <v>0.5</v>
      </c>
      <c r="P73" s="53">
        <v>1.1000000000000001</v>
      </c>
      <c r="Q73" s="74">
        <f t="shared" si="4"/>
        <v>0.8</v>
      </c>
      <c r="R73" s="53">
        <v>13.8</v>
      </c>
      <c r="S73" s="53">
        <v>73.5</v>
      </c>
      <c r="T73" s="16">
        <f t="shared" si="5"/>
        <v>42</v>
      </c>
      <c r="U73" s="53">
        <v>537</v>
      </c>
      <c r="V73" s="129">
        <f t="shared" si="3"/>
        <v>4510.8</v>
      </c>
      <c r="W73" s="53">
        <v>14</v>
      </c>
      <c r="X73" s="127" t="s">
        <v>46</v>
      </c>
      <c r="Y73" s="53" t="s">
        <v>90</v>
      </c>
      <c r="Z73" s="53" t="s">
        <v>287</v>
      </c>
      <c r="AA73" s="53" t="s">
        <v>69</v>
      </c>
      <c r="AB73" s="127" t="s">
        <v>240</v>
      </c>
    </row>
    <row r="74" spans="1:28" x14ac:dyDescent="0.15">
      <c r="A74" s="127" t="s">
        <v>61</v>
      </c>
      <c r="B74" s="127" t="s">
        <v>236</v>
      </c>
      <c r="C74" s="127">
        <v>2019</v>
      </c>
      <c r="D74" s="128" t="s">
        <v>284</v>
      </c>
      <c r="E74" s="127" t="s">
        <v>310</v>
      </c>
      <c r="F74" s="127" t="s">
        <v>297</v>
      </c>
      <c r="G74" s="127" t="s">
        <v>42</v>
      </c>
      <c r="H74" s="53" t="s">
        <v>128</v>
      </c>
      <c r="I74" s="53" t="s">
        <v>159</v>
      </c>
      <c r="J74" s="127" t="s">
        <v>44</v>
      </c>
      <c r="K74" s="53" t="s">
        <v>45</v>
      </c>
      <c r="L74" s="53">
        <v>1</v>
      </c>
      <c r="N74" s="53">
        <v>5</v>
      </c>
      <c r="O74" s="53">
        <v>1.25</v>
      </c>
      <c r="P74" s="53">
        <v>0.65</v>
      </c>
      <c r="Q74" s="74">
        <f t="shared" si="4"/>
        <v>0.95</v>
      </c>
      <c r="R74" s="53">
        <v>13.8</v>
      </c>
      <c r="S74" s="53">
        <v>96</v>
      </c>
      <c r="T74" s="16">
        <f t="shared" si="5"/>
        <v>39</v>
      </c>
      <c r="U74" s="53">
        <v>429</v>
      </c>
      <c r="V74" s="129">
        <f t="shared" si="3"/>
        <v>3346.2</v>
      </c>
      <c r="W74" s="53">
        <v>14</v>
      </c>
      <c r="X74" s="127" t="s">
        <v>46</v>
      </c>
      <c r="Y74" s="53" t="s">
        <v>90</v>
      </c>
      <c r="Z74" s="53" t="s">
        <v>287</v>
      </c>
      <c r="AA74" s="53" t="s">
        <v>69</v>
      </c>
      <c r="AB74" s="127" t="s">
        <v>240</v>
      </c>
    </row>
    <row r="75" spans="1:28" x14ac:dyDescent="0.15">
      <c r="A75" s="127" t="s">
        <v>61</v>
      </c>
      <c r="B75" s="127" t="s">
        <v>236</v>
      </c>
      <c r="C75" s="127">
        <v>2019</v>
      </c>
      <c r="D75" s="128" t="s">
        <v>284</v>
      </c>
      <c r="E75" s="127" t="s">
        <v>310</v>
      </c>
      <c r="F75" s="127" t="s">
        <v>297</v>
      </c>
      <c r="G75" s="127" t="s">
        <v>42</v>
      </c>
      <c r="H75" s="53" t="s">
        <v>128</v>
      </c>
      <c r="I75" s="53" t="s">
        <v>159</v>
      </c>
      <c r="J75" s="127" t="s">
        <v>44</v>
      </c>
      <c r="K75" s="53" t="s">
        <v>45</v>
      </c>
      <c r="L75" s="53">
        <v>2</v>
      </c>
      <c r="N75" s="53">
        <v>5</v>
      </c>
      <c r="O75" s="53">
        <v>1.2</v>
      </c>
      <c r="P75" s="53">
        <v>1.2</v>
      </c>
      <c r="Q75" s="74">
        <f t="shared" si="4"/>
        <v>1.2</v>
      </c>
      <c r="R75" s="53">
        <v>9.6</v>
      </c>
      <c r="S75" s="53">
        <v>88.5</v>
      </c>
      <c r="T75" s="16">
        <f t="shared" si="5"/>
        <v>39</v>
      </c>
      <c r="U75" s="53">
        <v>429</v>
      </c>
      <c r="V75" s="129">
        <f t="shared" si="3"/>
        <v>3346.2</v>
      </c>
      <c r="W75" s="53">
        <v>14</v>
      </c>
      <c r="X75" s="127" t="s">
        <v>46</v>
      </c>
      <c r="Y75" s="53" t="s">
        <v>90</v>
      </c>
      <c r="Z75" s="53" t="s">
        <v>287</v>
      </c>
      <c r="AA75" s="53" t="s">
        <v>69</v>
      </c>
      <c r="AB75" s="127" t="s">
        <v>240</v>
      </c>
    </row>
    <row r="76" spans="1:28" x14ac:dyDescent="0.15">
      <c r="A76" s="127" t="s">
        <v>61</v>
      </c>
      <c r="B76" s="127" t="s">
        <v>236</v>
      </c>
      <c r="C76" s="127">
        <v>2019</v>
      </c>
      <c r="D76" s="128" t="s">
        <v>284</v>
      </c>
      <c r="E76" s="127" t="s">
        <v>310</v>
      </c>
      <c r="F76" s="127" t="s">
        <v>297</v>
      </c>
      <c r="G76" s="127" t="s">
        <v>42</v>
      </c>
      <c r="H76" s="53" t="s">
        <v>128</v>
      </c>
      <c r="I76" s="53" t="s">
        <v>159</v>
      </c>
      <c r="J76" s="127" t="s">
        <v>44</v>
      </c>
      <c r="K76" s="53" t="s">
        <v>45</v>
      </c>
      <c r="L76" s="53">
        <v>3</v>
      </c>
      <c r="N76" s="53">
        <v>5</v>
      </c>
      <c r="O76" s="53">
        <v>0.5</v>
      </c>
      <c r="P76" s="53">
        <v>0.2</v>
      </c>
      <c r="Q76" s="74">
        <f t="shared" si="4"/>
        <v>0.35</v>
      </c>
      <c r="R76" s="53">
        <v>13.5</v>
      </c>
      <c r="S76" s="53">
        <v>72</v>
      </c>
      <c r="T76" s="16">
        <f t="shared" si="5"/>
        <v>42</v>
      </c>
      <c r="U76" s="53">
        <v>429</v>
      </c>
      <c r="V76" s="129">
        <f t="shared" si="3"/>
        <v>3603.6</v>
      </c>
      <c r="W76" s="53">
        <v>14</v>
      </c>
      <c r="X76" s="127" t="s">
        <v>46</v>
      </c>
      <c r="Y76" s="53" t="s">
        <v>90</v>
      </c>
      <c r="Z76" s="53" t="s">
        <v>287</v>
      </c>
      <c r="AA76" s="53" t="s">
        <v>69</v>
      </c>
      <c r="AB76" s="127" t="s">
        <v>240</v>
      </c>
    </row>
    <row r="77" spans="1:28" x14ac:dyDescent="0.15">
      <c r="A77" s="127" t="s">
        <v>61</v>
      </c>
      <c r="B77" s="127" t="s">
        <v>236</v>
      </c>
      <c r="C77" s="127">
        <v>2019</v>
      </c>
      <c r="D77" s="128" t="s">
        <v>284</v>
      </c>
      <c r="E77" s="127" t="s">
        <v>310</v>
      </c>
      <c r="F77" s="127" t="s">
        <v>297</v>
      </c>
      <c r="G77" s="127" t="s">
        <v>42</v>
      </c>
      <c r="H77" s="53" t="s">
        <v>127</v>
      </c>
      <c r="I77" s="53" t="s">
        <v>159</v>
      </c>
      <c r="J77" s="127" t="s">
        <v>80</v>
      </c>
      <c r="K77" s="53" t="s">
        <v>61</v>
      </c>
      <c r="L77" s="53">
        <v>1</v>
      </c>
      <c r="N77" s="53">
        <v>1</v>
      </c>
      <c r="O77" s="53">
        <v>0.45</v>
      </c>
      <c r="P77" s="53">
        <v>0.45</v>
      </c>
      <c r="Q77" s="74">
        <f t="shared" si="4"/>
        <v>0.45</v>
      </c>
      <c r="R77" s="53">
        <v>10.199999999999999</v>
      </c>
      <c r="S77" s="53">
        <v>172</v>
      </c>
      <c r="T77" s="16">
        <f t="shared" si="5"/>
        <v>22</v>
      </c>
      <c r="U77" s="53">
        <v>213</v>
      </c>
      <c r="V77" s="129">
        <f t="shared" si="3"/>
        <v>4686</v>
      </c>
      <c r="W77" s="53">
        <v>14</v>
      </c>
      <c r="X77" s="127" t="s">
        <v>46</v>
      </c>
      <c r="Y77" s="53" t="s">
        <v>90</v>
      </c>
      <c r="Z77" s="53" t="s">
        <v>287</v>
      </c>
      <c r="AA77" s="53" t="s">
        <v>69</v>
      </c>
      <c r="AB77" s="127" t="s">
        <v>240</v>
      </c>
    </row>
    <row r="78" spans="1:28" x14ac:dyDescent="0.15">
      <c r="A78" s="127" t="s">
        <v>61</v>
      </c>
      <c r="B78" s="127" t="s">
        <v>236</v>
      </c>
      <c r="C78" s="127">
        <v>2019</v>
      </c>
      <c r="D78" s="128" t="s">
        <v>284</v>
      </c>
      <c r="E78" s="127" t="s">
        <v>310</v>
      </c>
      <c r="F78" s="127" t="s">
        <v>297</v>
      </c>
      <c r="G78" s="127" t="s">
        <v>42</v>
      </c>
      <c r="H78" s="53" t="s">
        <v>127</v>
      </c>
      <c r="I78" s="53" t="s">
        <v>159</v>
      </c>
      <c r="J78" s="127" t="s">
        <v>80</v>
      </c>
      <c r="K78" s="53" t="s">
        <v>61</v>
      </c>
      <c r="L78" s="53">
        <v>2</v>
      </c>
      <c r="N78" s="53">
        <v>1</v>
      </c>
      <c r="O78" s="53">
        <v>1</v>
      </c>
      <c r="P78" s="53">
        <v>1.25</v>
      </c>
      <c r="Q78" s="74">
        <f t="shared" si="4"/>
        <v>1.125</v>
      </c>
      <c r="R78" s="53">
        <v>10.4</v>
      </c>
      <c r="S78" s="53">
        <v>145.5</v>
      </c>
      <c r="T78" s="16">
        <f t="shared" si="5"/>
        <v>22</v>
      </c>
      <c r="U78" s="53">
        <v>213</v>
      </c>
      <c r="V78" s="129">
        <f t="shared" si="3"/>
        <v>4686</v>
      </c>
      <c r="W78" s="53">
        <v>14</v>
      </c>
      <c r="X78" s="127" t="s">
        <v>46</v>
      </c>
      <c r="Y78" s="53" t="s">
        <v>90</v>
      </c>
      <c r="Z78" s="53" t="s">
        <v>287</v>
      </c>
      <c r="AA78" s="53" t="s">
        <v>69</v>
      </c>
      <c r="AB78" s="127" t="s">
        <v>240</v>
      </c>
    </row>
    <row r="79" spans="1:28" x14ac:dyDescent="0.15">
      <c r="A79" s="127" t="s">
        <v>61</v>
      </c>
      <c r="B79" s="127" t="s">
        <v>236</v>
      </c>
      <c r="C79" s="127">
        <v>2019</v>
      </c>
      <c r="D79" s="128" t="s">
        <v>284</v>
      </c>
      <c r="E79" s="127" t="s">
        <v>310</v>
      </c>
      <c r="F79" s="127" t="s">
        <v>297</v>
      </c>
      <c r="G79" s="127" t="s">
        <v>42</v>
      </c>
      <c r="H79" s="53" t="s">
        <v>127</v>
      </c>
      <c r="I79" s="53" t="s">
        <v>159</v>
      </c>
      <c r="J79" s="127" t="s">
        <v>80</v>
      </c>
      <c r="K79" s="53" t="s">
        <v>61</v>
      </c>
      <c r="L79" s="53">
        <v>3</v>
      </c>
      <c r="N79" s="53">
        <v>1</v>
      </c>
      <c r="O79" s="53">
        <v>0.5</v>
      </c>
      <c r="P79" s="53">
        <v>0.5</v>
      </c>
      <c r="Q79" s="74">
        <f t="shared" si="4"/>
        <v>0.5</v>
      </c>
      <c r="R79" s="53">
        <v>10.199999999999999</v>
      </c>
      <c r="S79" s="53">
        <v>142</v>
      </c>
      <c r="T79" s="16">
        <f t="shared" si="5"/>
        <v>22</v>
      </c>
      <c r="U79" s="53">
        <v>213</v>
      </c>
      <c r="V79" s="129">
        <f t="shared" ref="V79:V102" si="6">IF(OR(N79="",U79="",T79=""),"",U79/N79*T79)</f>
        <v>4686</v>
      </c>
      <c r="W79" s="53">
        <v>14</v>
      </c>
      <c r="X79" s="127" t="s">
        <v>46</v>
      </c>
      <c r="Y79" s="53" t="s">
        <v>90</v>
      </c>
      <c r="Z79" s="53" t="s">
        <v>287</v>
      </c>
      <c r="AA79" s="53" t="s">
        <v>69</v>
      </c>
      <c r="AB79" s="127" t="s">
        <v>240</v>
      </c>
    </row>
    <row r="80" spans="1:28" x14ac:dyDescent="0.15">
      <c r="A80" s="127" t="s">
        <v>61</v>
      </c>
      <c r="B80" s="127" t="s">
        <v>236</v>
      </c>
      <c r="C80" s="127">
        <v>2019</v>
      </c>
      <c r="D80" s="128" t="s">
        <v>284</v>
      </c>
      <c r="E80" s="127" t="s">
        <v>310</v>
      </c>
      <c r="F80" s="127" t="s">
        <v>297</v>
      </c>
      <c r="G80" s="127" t="s">
        <v>42</v>
      </c>
      <c r="H80" s="53" t="s">
        <v>164</v>
      </c>
      <c r="I80" s="53" t="s">
        <v>159</v>
      </c>
      <c r="J80" s="127" t="s">
        <v>38</v>
      </c>
      <c r="K80" s="53" t="s">
        <v>161</v>
      </c>
      <c r="L80" s="53">
        <v>1</v>
      </c>
      <c r="N80" s="53">
        <v>1</v>
      </c>
      <c r="O80" s="53">
        <v>0.45</v>
      </c>
      <c r="P80" s="53">
        <v>0.5</v>
      </c>
      <c r="Q80" s="74">
        <f t="shared" si="4"/>
        <v>0.47499999999999998</v>
      </c>
      <c r="R80" s="53">
        <v>14.9</v>
      </c>
      <c r="S80" s="53">
        <v>116</v>
      </c>
      <c r="T80" s="16">
        <f t="shared" si="5"/>
        <v>39</v>
      </c>
      <c r="U80" s="53">
        <v>138</v>
      </c>
      <c r="V80" s="129">
        <f t="shared" si="6"/>
        <v>5382</v>
      </c>
      <c r="W80" s="53">
        <v>14</v>
      </c>
      <c r="X80" s="127" t="s">
        <v>46</v>
      </c>
      <c r="Y80" s="53" t="s">
        <v>90</v>
      </c>
      <c r="Z80" s="53" t="s">
        <v>287</v>
      </c>
      <c r="AA80" s="53" t="s">
        <v>69</v>
      </c>
      <c r="AB80" s="127" t="s">
        <v>240</v>
      </c>
    </row>
    <row r="81" spans="1:28" x14ac:dyDescent="0.15">
      <c r="A81" s="127" t="s">
        <v>61</v>
      </c>
      <c r="B81" s="127" t="s">
        <v>236</v>
      </c>
      <c r="C81" s="127">
        <v>2019</v>
      </c>
      <c r="D81" s="128" t="s">
        <v>284</v>
      </c>
      <c r="E81" s="127" t="s">
        <v>310</v>
      </c>
      <c r="F81" s="127" t="s">
        <v>297</v>
      </c>
      <c r="G81" s="127" t="s">
        <v>42</v>
      </c>
      <c r="H81" s="53" t="s">
        <v>164</v>
      </c>
      <c r="I81" s="53" t="s">
        <v>159</v>
      </c>
      <c r="J81" s="127" t="s">
        <v>38</v>
      </c>
      <c r="K81" s="53" t="s">
        <v>161</v>
      </c>
      <c r="L81" s="53">
        <v>2</v>
      </c>
      <c r="N81" s="53">
        <v>1</v>
      </c>
      <c r="O81" s="53">
        <v>0.9</v>
      </c>
      <c r="P81" s="53">
        <v>0.5</v>
      </c>
      <c r="Q81" s="74">
        <f t="shared" ref="Q81:Q104" si="7">IF(OR(O81="",P81=""),"",AVERAGE(O81,P81))</f>
        <v>0.7</v>
      </c>
      <c r="R81" s="53">
        <v>11.5</v>
      </c>
      <c r="S81" s="53">
        <v>116</v>
      </c>
      <c r="T81" s="16">
        <f t="shared" si="5"/>
        <v>39</v>
      </c>
      <c r="U81" s="53">
        <v>138</v>
      </c>
      <c r="V81" s="129">
        <f t="shared" si="6"/>
        <v>5382</v>
      </c>
      <c r="W81" s="53">
        <v>14</v>
      </c>
      <c r="X81" s="127" t="s">
        <v>46</v>
      </c>
      <c r="Y81" s="53" t="s">
        <v>90</v>
      </c>
      <c r="Z81" s="53" t="s">
        <v>287</v>
      </c>
      <c r="AA81" s="53" t="s">
        <v>69</v>
      </c>
      <c r="AB81" s="127" t="s">
        <v>240</v>
      </c>
    </row>
    <row r="82" spans="1:28" x14ac:dyDescent="0.15">
      <c r="A82" s="127" t="s">
        <v>61</v>
      </c>
      <c r="B82" s="127" t="s">
        <v>236</v>
      </c>
      <c r="C82" s="127">
        <v>2019</v>
      </c>
      <c r="D82" s="128" t="s">
        <v>284</v>
      </c>
      <c r="E82" s="127" t="s">
        <v>310</v>
      </c>
      <c r="F82" s="127" t="s">
        <v>297</v>
      </c>
      <c r="G82" s="127" t="s">
        <v>42</v>
      </c>
      <c r="H82" s="53" t="s">
        <v>164</v>
      </c>
      <c r="I82" s="53" t="s">
        <v>159</v>
      </c>
      <c r="J82" s="127" t="s">
        <v>38</v>
      </c>
      <c r="K82" s="53" t="s">
        <v>161</v>
      </c>
      <c r="L82" s="53">
        <v>3</v>
      </c>
      <c r="N82" s="53">
        <v>1</v>
      </c>
      <c r="O82" s="53">
        <v>0.2</v>
      </c>
      <c r="P82" s="53">
        <v>0.35</v>
      </c>
      <c r="Q82" s="74">
        <f t="shared" si="7"/>
        <v>0.27500000000000002</v>
      </c>
      <c r="R82" s="53">
        <v>13.5</v>
      </c>
      <c r="S82" s="53">
        <v>123</v>
      </c>
      <c r="T82" s="16">
        <f t="shared" si="5"/>
        <v>27</v>
      </c>
      <c r="U82" s="53">
        <v>138</v>
      </c>
      <c r="V82" s="129">
        <f t="shared" si="6"/>
        <v>3726</v>
      </c>
      <c r="W82" s="53">
        <v>14</v>
      </c>
      <c r="X82" s="127" t="s">
        <v>46</v>
      </c>
      <c r="Y82" s="53" t="s">
        <v>90</v>
      </c>
      <c r="Z82" s="53" t="s">
        <v>287</v>
      </c>
      <c r="AA82" s="53" t="s">
        <v>69</v>
      </c>
      <c r="AB82" s="127" t="s">
        <v>240</v>
      </c>
    </row>
    <row r="83" spans="1:28" x14ac:dyDescent="0.15">
      <c r="A83" s="127" t="s">
        <v>61</v>
      </c>
      <c r="B83" s="127" t="s">
        <v>236</v>
      </c>
      <c r="C83" s="127">
        <v>2019</v>
      </c>
      <c r="D83" s="128" t="s">
        <v>284</v>
      </c>
      <c r="E83" s="127" t="s">
        <v>310</v>
      </c>
      <c r="F83" s="127" t="s">
        <v>297</v>
      </c>
      <c r="G83" s="127" t="s">
        <v>42</v>
      </c>
      <c r="H83" s="53" t="s">
        <v>128</v>
      </c>
      <c r="I83" s="53" t="s">
        <v>159</v>
      </c>
      <c r="J83" s="53" t="s">
        <v>112</v>
      </c>
      <c r="K83" s="53" t="s">
        <v>105</v>
      </c>
      <c r="L83" s="53">
        <v>1</v>
      </c>
      <c r="N83" s="53">
        <v>1</v>
      </c>
      <c r="O83" s="53">
        <v>0.2</v>
      </c>
      <c r="P83" s="53">
        <v>0.2</v>
      </c>
      <c r="Q83" s="16">
        <f t="shared" si="7"/>
        <v>0.2</v>
      </c>
      <c r="R83" s="53">
        <v>11.2</v>
      </c>
      <c r="S83" s="53">
        <v>151.5</v>
      </c>
      <c r="T83" s="16">
        <f t="shared" si="5"/>
        <v>22</v>
      </c>
      <c r="U83" s="53">
        <v>213</v>
      </c>
      <c r="V83" s="16">
        <f t="shared" si="6"/>
        <v>4686</v>
      </c>
      <c r="W83" s="53">
        <v>14</v>
      </c>
      <c r="X83" s="127" t="s">
        <v>46</v>
      </c>
      <c r="Y83" s="53" t="s">
        <v>90</v>
      </c>
      <c r="Z83" s="53" t="s">
        <v>287</v>
      </c>
      <c r="AA83" s="53" t="s">
        <v>69</v>
      </c>
      <c r="AB83" s="127" t="s">
        <v>240</v>
      </c>
    </row>
    <row r="84" spans="1:28" x14ac:dyDescent="0.15">
      <c r="A84" s="127" t="s">
        <v>61</v>
      </c>
      <c r="B84" s="127" t="s">
        <v>236</v>
      </c>
      <c r="C84" s="127">
        <v>2019</v>
      </c>
      <c r="D84" s="128" t="s">
        <v>284</v>
      </c>
      <c r="E84" s="127" t="s">
        <v>310</v>
      </c>
      <c r="F84" s="127" t="s">
        <v>297</v>
      </c>
      <c r="G84" s="127" t="s">
        <v>42</v>
      </c>
      <c r="H84" s="53" t="s">
        <v>128</v>
      </c>
      <c r="I84" s="53" t="s">
        <v>159</v>
      </c>
      <c r="J84" s="53" t="s">
        <v>112</v>
      </c>
      <c r="K84" s="53" t="s">
        <v>105</v>
      </c>
      <c r="L84" s="53">
        <v>2</v>
      </c>
      <c r="N84" s="53">
        <v>1</v>
      </c>
      <c r="O84" s="53">
        <v>0.2</v>
      </c>
      <c r="P84" s="53">
        <v>0.2</v>
      </c>
      <c r="Q84" s="74">
        <f t="shared" si="7"/>
        <v>0.2</v>
      </c>
      <c r="R84" s="53">
        <v>13.6</v>
      </c>
      <c r="S84" s="53">
        <v>105.5</v>
      </c>
      <c r="T84" s="16">
        <f t="shared" si="5"/>
        <v>39</v>
      </c>
      <c r="U84" s="53">
        <v>213</v>
      </c>
      <c r="V84" s="129">
        <f t="shared" si="6"/>
        <v>8307</v>
      </c>
      <c r="W84" s="53">
        <v>14</v>
      </c>
      <c r="X84" s="127" t="s">
        <v>46</v>
      </c>
      <c r="Y84" s="53" t="s">
        <v>90</v>
      </c>
      <c r="Z84" s="53" t="s">
        <v>287</v>
      </c>
      <c r="AA84" s="53" t="s">
        <v>69</v>
      </c>
      <c r="AB84" s="127" t="s">
        <v>240</v>
      </c>
    </row>
    <row r="85" spans="1:28" x14ac:dyDescent="0.15">
      <c r="A85" s="127" t="s">
        <v>61</v>
      </c>
      <c r="B85" s="127" t="s">
        <v>236</v>
      </c>
      <c r="C85" s="127">
        <v>2019</v>
      </c>
      <c r="D85" s="128" t="s">
        <v>284</v>
      </c>
      <c r="E85" s="127" t="s">
        <v>310</v>
      </c>
      <c r="F85" s="127" t="s">
        <v>297</v>
      </c>
      <c r="G85" s="127" t="s">
        <v>42</v>
      </c>
      <c r="H85" s="53" t="s">
        <v>128</v>
      </c>
      <c r="I85" s="53" t="s">
        <v>159</v>
      </c>
      <c r="J85" s="53" t="s">
        <v>112</v>
      </c>
      <c r="K85" s="53" t="s">
        <v>105</v>
      </c>
      <c r="L85" s="53">
        <v>3</v>
      </c>
      <c r="N85" s="53">
        <v>1</v>
      </c>
      <c r="O85" s="53">
        <v>0.25</v>
      </c>
      <c r="P85" s="53">
        <v>0.2</v>
      </c>
      <c r="Q85" s="74">
        <f t="shared" si="7"/>
        <v>0.22500000000000001</v>
      </c>
      <c r="R85" s="53">
        <v>13</v>
      </c>
      <c r="S85" s="53">
        <v>140.5</v>
      </c>
      <c r="T85" s="16">
        <f t="shared" si="5"/>
        <v>22</v>
      </c>
      <c r="U85" s="53">
        <v>213</v>
      </c>
      <c r="V85" s="129">
        <f t="shared" si="6"/>
        <v>4686</v>
      </c>
      <c r="W85" s="53">
        <v>14</v>
      </c>
      <c r="X85" s="127" t="s">
        <v>46</v>
      </c>
      <c r="Y85" s="53" t="s">
        <v>90</v>
      </c>
      <c r="Z85" s="53" t="s">
        <v>287</v>
      </c>
      <c r="AA85" s="53" t="s">
        <v>69</v>
      </c>
      <c r="AB85" s="127" t="s">
        <v>240</v>
      </c>
    </row>
    <row r="86" spans="1:28" x14ac:dyDescent="0.15">
      <c r="A86" s="127" t="s">
        <v>61</v>
      </c>
      <c r="B86" s="127" t="s">
        <v>236</v>
      </c>
      <c r="C86" s="127">
        <v>2019</v>
      </c>
      <c r="D86" s="128" t="s">
        <v>284</v>
      </c>
      <c r="E86" s="127" t="s">
        <v>310</v>
      </c>
      <c r="F86" s="127" t="s">
        <v>297</v>
      </c>
      <c r="G86" s="127" t="s">
        <v>42</v>
      </c>
      <c r="H86" s="53" t="s">
        <v>127</v>
      </c>
      <c r="I86" s="53" t="s">
        <v>159</v>
      </c>
      <c r="J86" s="127" t="s">
        <v>80</v>
      </c>
      <c r="K86" s="127" t="s">
        <v>80</v>
      </c>
      <c r="L86" s="53">
        <v>1</v>
      </c>
      <c r="N86" s="53">
        <v>5</v>
      </c>
      <c r="O86" s="53">
        <v>0.2</v>
      </c>
      <c r="P86" s="53">
        <v>0.2</v>
      </c>
      <c r="Q86" s="74">
        <f t="shared" si="7"/>
        <v>0.2</v>
      </c>
      <c r="R86" s="53">
        <v>14.8</v>
      </c>
      <c r="S86" s="53">
        <v>65.5</v>
      </c>
      <c r="T86" s="16">
        <f t="shared" si="5"/>
        <v>50</v>
      </c>
      <c r="U86" s="53">
        <v>429</v>
      </c>
      <c r="V86" s="129">
        <f t="shared" si="6"/>
        <v>4290</v>
      </c>
      <c r="W86" s="53">
        <v>14</v>
      </c>
      <c r="X86" s="127" t="s">
        <v>46</v>
      </c>
      <c r="Y86" s="53" t="s">
        <v>90</v>
      </c>
      <c r="Z86" s="53" t="s">
        <v>287</v>
      </c>
      <c r="AA86" s="53" t="s">
        <v>69</v>
      </c>
      <c r="AB86" s="127" t="s">
        <v>240</v>
      </c>
    </row>
    <row r="87" spans="1:28" x14ac:dyDescent="0.15">
      <c r="A87" s="127" t="s">
        <v>61</v>
      </c>
      <c r="B87" s="127" t="s">
        <v>236</v>
      </c>
      <c r="C87" s="127">
        <v>2019</v>
      </c>
      <c r="D87" s="128" t="s">
        <v>284</v>
      </c>
      <c r="E87" s="127" t="s">
        <v>310</v>
      </c>
      <c r="F87" s="127" t="s">
        <v>297</v>
      </c>
      <c r="G87" s="127" t="s">
        <v>42</v>
      </c>
      <c r="H87" s="53" t="s">
        <v>127</v>
      </c>
      <c r="I87" s="53" t="s">
        <v>159</v>
      </c>
      <c r="J87" s="127" t="s">
        <v>80</v>
      </c>
      <c r="K87" s="127" t="s">
        <v>80</v>
      </c>
      <c r="L87" s="53">
        <v>2</v>
      </c>
      <c r="N87" s="53">
        <v>5</v>
      </c>
      <c r="O87" s="53">
        <v>0.2</v>
      </c>
      <c r="P87" s="53">
        <v>0.2</v>
      </c>
      <c r="Q87" s="74">
        <f t="shared" si="7"/>
        <v>0.2</v>
      </c>
      <c r="R87" s="53">
        <v>15</v>
      </c>
      <c r="S87" s="53">
        <v>72</v>
      </c>
      <c r="T87" s="16">
        <f t="shared" si="5"/>
        <v>42</v>
      </c>
      <c r="U87" s="53">
        <v>429</v>
      </c>
      <c r="V87" s="129">
        <f t="shared" si="6"/>
        <v>3603.6</v>
      </c>
      <c r="W87" s="53">
        <v>14</v>
      </c>
      <c r="X87" s="127" t="s">
        <v>46</v>
      </c>
      <c r="Y87" s="53" t="s">
        <v>90</v>
      </c>
      <c r="Z87" s="53" t="s">
        <v>287</v>
      </c>
      <c r="AA87" s="53" t="s">
        <v>69</v>
      </c>
      <c r="AB87" s="127" t="s">
        <v>240</v>
      </c>
    </row>
    <row r="88" spans="1:28" x14ac:dyDescent="0.15">
      <c r="A88" s="127" t="s">
        <v>61</v>
      </c>
      <c r="B88" s="127" t="s">
        <v>236</v>
      </c>
      <c r="C88" s="127">
        <v>2019</v>
      </c>
      <c r="D88" s="128" t="s">
        <v>284</v>
      </c>
      <c r="E88" s="127" t="s">
        <v>310</v>
      </c>
      <c r="F88" s="127" t="s">
        <v>297</v>
      </c>
      <c r="G88" s="127" t="s">
        <v>42</v>
      </c>
      <c r="H88" s="53" t="s">
        <v>127</v>
      </c>
      <c r="I88" s="53" t="s">
        <v>159</v>
      </c>
      <c r="J88" s="127" t="s">
        <v>80</v>
      </c>
      <c r="K88" s="127" t="s">
        <v>80</v>
      </c>
      <c r="L88" s="53">
        <v>3</v>
      </c>
      <c r="N88" s="53">
        <v>5</v>
      </c>
      <c r="O88" s="53">
        <v>0.2</v>
      </c>
      <c r="P88" s="53">
        <v>0.2</v>
      </c>
      <c r="Q88" s="74">
        <f t="shared" si="7"/>
        <v>0.2</v>
      </c>
      <c r="R88" s="53">
        <v>14.2</v>
      </c>
      <c r="S88" s="53">
        <v>73.5</v>
      </c>
      <c r="T88" s="16">
        <f t="shared" si="5"/>
        <v>42</v>
      </c>
      <c r="U88" s="53">
        <v>429</v>
      </c>
      <c r="V88" s="129">
        <f t="shared" si="6"/>
        <v>3603.6</v>
      </c>
      <c r="W88" s="53">
        <v>14</v>
      </c>
      <c r="X88" s="127" t="s">
        <v>46</v>
      </c>
      <c r="Y88" s="53" t="s">
        <v>90</v>
      </c>
      <c r="Z88" s="53" t="s">
        <v>287</v>
      </c>
      <c r="AA88" s="53" t="s">
        <v>69</v>
      </c>
      <c r="AB88" s="127" t="s">
        <v>240</v>
      </c>
    </row>
    <row r="89" spans="1:28" x14ac:dyDescent="0.15">
      <c r="A89" s="127"/>
      <c r="B89" s="127"/>
      <c r="C89" s="127"/>
      <c r="D89" s="128"/>
      <c r="G89" s="127"/>
      <c r="J89" s="127"/>
      <c r="Q89" s="74"/>
      <c r="V89" s="129"/>
      <c r="X89" s="127"/>
      <c r="AB89" s="127"/>
    </row>
    <row r="90" spans="1:28" x14ac:dyDescent="0.15">
      <c r="A90" s="127"/>
      <c r="B90" s="127"/>
      <c r="C90" s="127"/>
      <c r="D90" s="128"/>
      <c r="G90" s="127"/>
      <c r="J90" s="127"/>
      <c r="Q90" s="74"/>
      <c r="V90" s="129"/>
      <c r="X90" s="127"/>
      <c r="AB90" s="127"/>
    </row>
    <row r="91" spans="1:28" x14ac:dyDescent="0.15">
      <c r="A91" s="127"/>
      <c r="B91" s="127"/>
      <c r="C91" s="127"/>
      <c r="D91" s="128"/>
      <c r="G91" s="127"/>
      <c r="J91" s="127"/>
      <c r="Q91" s="74"/>
      <c r="V91" s="129"/>
      <c r="X91" s="127"/>
      <c r="AB91" s="127"/>
    </row>
    <row r="92" spans="1:28" x14ac:dyDescent="0.15">
      <c r="A92" s="127"/>
      <c r="B92" s="127"/>
      <c r="C92" s="127"/>
      <c r="D92" s="128"/>
      <c r="G92" s="127"/>
      <c r="J92" s="127"/>
      <c r="Q92" s="74"/>
      <c r="V92" s="129"/>
      <c r="X92" s="127"/>
      <c r="AB92" s="127"/>
    </row>
    <row r="93" spans="1:28" x14ac:dyDescent="0.15">
      <c r="A93" s="127"/>
      <c r="B93" s="127"/>
      <c r="C93" s="127"/>
      <c r="D93" s="128"/>
      <c r="G93" s="127"/>
      <c r="J93" s="127"/>
      <c r="Q93" s="74"/>
      <c r="V93" s="129"/>
      <c r="X93" s="127"/>
      <c r="AB93" s="127"/>
    </row>
    <row r="94" spans="1:28" x14ac:dyDescent="0.15">
      <c r="A94" s="127"/>
      <c r="B94" s="127"/>
      <c r="C94" s="127"/>
      <c r="D94" s="128"/>
      <c r="G94" s="127"/>
      <c r="J94" s="127"/>
      <c r="Q94" s="74"/>
      <c r="V94" s="129"/>
      <c r="X94" s="127"/>
      <c r="AB94" s="127"/>
    </row>
    <row r="95" spans="1:28" x14ac:dyDescent="0.15">
      <c r="A95" s="127"/>
      <c r="B95" s="127"/>
      <c r="C95" s="127"/>
      <c r="D95" s="128"/>
      <c r="G95" s="127"/>
      <c r="J95" s="127"/>
      <c r="Q95" s="74"/>
      <c r="V95" s="129"/>
      <c r="X95" s="127"/>
      <c r="AB95" s="127"/>
    </row>
    <row r="96" spans="1:28" x14ac:dyDescent="0.15">
      <c r="A96" s="127"/>
      <c r="B96" s="127"/>
      <c r="C96" s="127"/>
      <c r="D96" s="128"/>
      <c r="G96" s="127"/>
      <c r="J96" s="127"/>
      <c r="Q96" s="74"/>
      <c r="V96" s="129"/>
      <c r="X96" s="127"/>
      <c r="AB96" s="127"/>
    </row>
    <row r="97" spans="1:28" x14ac:dyDescent="0.15">
      <c r="A97" s="127"/>
      <c r="B97" s="127"/>
      <c r="C97" s="127"/>
      <c r="D97" s="128"/>
      <c r="G97" s="127"/>
      <c r="J97" s="127"/>
      <c r="Q97" s="74"/>
      <c r="V97" s="129"/>
      <c r="X97" s="127"/>
      <c r="AB97" s="127"/>
    </row>
    <row r="98" spans="1:28" x14ac:dyDescent="0.15">
      <c r="A98" s="127"/>
      <c r="B98" s="127"/>
      <c r="C98" s="127"/>
      <c r="D98" s="128"/>
      <c r="G98" s="127"/>
      <c r="J98" s="127"/>
      <c r="Q98" s="74"/>
      <c r="V98" s="129"/>
      <c r="X98" s="127"/>
      <c r="AB98" s="127"/>
    </row>
    <row r="99" spans="1:28" x14ac:dyDescent="0.15">
      <c r="A99" s="127"/>
      <c r="B99" s="127"/>
      <c r="C99" s="127"/>
      <c r="D99" s="128"/>
      <c r="G99" s="127"/>
      <c r="J99" s="127"/>
      <c r="Q99" s="74"/>
      <c r="V99" s="129"/>
      <c r="X99" s="127"/>
      <c r="AB99" s="127"/>
    </row>
    <row r="100" spans="1:28" x14ac:dyDescent="0.15">
      <c r="A100" s="127"/>
      <c r="B100" s="127"/>
      <c r="C100" s="127"/>
      <c r="D100" s="128"/>
      <c r="G100" s="127"/>
      <c r="J100" s="127"/>
      <c r="Q100" s="74"/>
      <c r="V100" s="129"/>
      <c r="X100" s="127"/>
      <c r="AB100" s="127"/>
    </row>
    <row r="101" spans="1:28" x14ac:dyDescent="0.15">
      <c r="D101" s="128"/>
    </row>
    <row r="102" spans="1:28" x14ac:dyDescent="0.15">
      <c r="D102" s="128"/>
    </row>
  </sheetData>
  <autoFilter ref="A1:BA88" xr:uid="{00000000-0009-0000-0000-000004000000}"/>
  <phoneticPr fontId="3"/>
  <dataValidations count="21">
    <dataValidation type="list" allowBlank="1" showInputMessage="1" showErrorMessage="1" sqref="J83:J85" xr:uid="{4B431EE3-5FD3-4D25-9110-5CD06FE70878}">
      <formula1>$AP$2:$AP$27</formula1>
    </dataValidation>
    <dataValidation type="list" allowBlank="1" showInputMessage="1" showErrorMessage="1" sqref="Z2:Z40 AA41:AA49 Z50:Z70 Y71:Y88" xr:uid="{8D7F7E26-88AC-438F-84CF-41677C6017AC}">
      <formula1>$AV$2:$AV$21</formula1>
    </dataValidation>
    <dataValidation type="list" allowBlank="1" showInputMessage="1" showErrorMessage="1" sqref="H2:H25 H62:H73 H77:H82 H29:H58 H86:H88" xr:uid="{A21E5C60-5BBC-4F8B-8221-1BAE4B5B5637}">
      <formula1>$AL$2:$AL$8</formula1>
    </dataValidation>
    <dataValidation type="list" allowBlank="1" showInputMessage="1" showErrorMessage="1" sqref="K89:K488 K56:K85 K2:K52" xr:uid="{ADA1F166-7474-4357-AF59-6A0A8A67E370}">
      <formula1>$AR$2:$AR$25</formula1>
    </dataValidation>
    <dataValidation type="list" allowBlank="1" showInputMessage="1" showErrorMessage="1" sqref="J2:J82 K53:K55 J86:J488 K86:K88" xr:uid="{DA34C2FC-E424-4C25-A182-1868925F12AF}">
      <formula1>$AP$2:$AP$25</formula1>
    </dataValidation>
    <dataValidation type="list" allowBlank="1" showInputMessage="1" showErrorMessage="1" sqref="WVS981793:WVS981882 WCA981793:WCA981882 WLW981793:WLW981882 K64298:K64387 JG64289:JG64378 TC64289:TC64378 ACY64289:ACY64378 AMU64289:AMU64378 AWQ64289:AWQ64378 BGM64289:BGM64378 BQI64289:BQI64378 CAE64289:CAE64378 CKA64289:CKA64378 CTW64289:CTW64378 DDS64289:DDS64378 DNO64289:DNO64378 DXK64289:DXK64378 EHG64289:EHG64378 ERC64289:ERC64378 FAY64289:FAY64378 FKU64289:FKU64378 FUQ64289:FUQ64378 GEM64289:GEM64378 GOI64289:GOI64378 GYE64289:GYE64378 HIA64289:HIA64378 HRW64289:HRW64378 IBS64289:IBS64378 ILO64289:ILO64378 IVK64289:IVK64378 JFG64289:JFG64378 JPC64289:JPC64378 JYY64289:JYY64378 KIU64289:KIU64378 KSQ64289:KSQ64378 LCM64289:LCM64378 LMI64289:LMI64378 LWE64289:LWE64378 MGA64289:MGA64378 MPW64289:MPW64378 MZS64289:MZS64378 NJO64289:NJO64378 NTK64289:NTK64378 ODG64289:ODG64378 ONC64289:ONC64378 OWY64289:OWY64378 PGU64289:PGU64378 PQQ64289:PQQ64378 QAM64289:QAM64378 QKI64289:QKI64378 QUE64289:QUE64378 REA64289:REA64378 RNW64289:RNW64378 RXS64289:RXS64378 SHO64289:SHO64378 SRK64289:SRK64378 TBG64289:TBG64378 TLC64289:TLC64378 TUY64289:TUY64378 UEU64289:UEU64378 UOQ64289:UOQ64378 UYM64289:UYM64378 VII64289:VII64378 VSE64289:VSE64378 WCA64289:WCA64378 WLW64289:WLW64378 WVS64289:WVS64378 K129834:K129923 JG129825:JG129914 TC129825:TC129914 ACY129825:ACY129914 AMU129825:AMU129914 AWQ129825:AWQ129914 BGM129825:BGM129914 BQI129825:BQI129914 CAE129825:CAE129914 CKA129825:CKA129914 CTW129825:CTW129914 DDS129825:DDS129914 DNO129825:DNO129914 DXK129825:DXK129914 EHG129825:EHG129914 ERC129825:ERC129914 FAY129825:FAY129914 FKU129825:FKU129914 FUQ129825:FUQ129914 GEM129825:GEM129914 GOI129825:GOI129914 GYE129825:GYE129914 HIA129825:HIA129914 HRW129825:HRW129914 IBS129825:IBS129914 ILO129825:ILO129914 IVK129825:IVK129914 JFG129825:JFG129914 JPC129825:JPC129914 JYY129825:JYY129914 KIU129825:KIU129914 KSQ129825:KSQ129914 LCM129825:LCM129914 LMI129825:LMI129914 LWE129825:LWE129914 MGA129825:MGA129914 MPW129825:MPW129914 MZS129825:MZS129914 NJO129825:NJO129914 NTK129825:NTK129914 ODG129825:ODG129914 ONC129825:ONC129914 OWY129825:OWY129914 PGU129825:PGU129914 PQQ129825:PQQ129914 QAM129825:QAM129914 QKI129825:QKI129914 QUE129825:QUE129914 REA129825:REA129914 RNW129825:RNW129914 RXS129825:RXS129914 SHO129825:SHO129914 SRK129825:SRK129914 TBG129825:TBG129914 TLC129825:TLC129914 TUY129825:TUY129914 UEU129825:UEU129914 UOQ129825:UOQ129914 UYM129825:UYM129914 VII129825:VII129914 VSE129825:VSE129914 WCA129825:WCA129914 WLW129825:WLW129914 WVS129825:WVS129914 K195370:K195459 JG195361:JG195450 TC195361:TC195450 ACY195361:ACY195450 AMU195361:AMU195450 AWQ195361:AWQ195450 BGM195361:BGM195450 BQI195361:BQI195450 CAE195361:CAE195450 CKA195361:CKA195450 CTW195361:CTW195450 DDS195361:DDS195450 DNO195361:DNO195450 DXK195361:DXK195450 EHG195361:EHG195450 ERC195361:ERC195450 FAY195361:FAY195450 FKU195361:FKU195450 FUQ195361:FUQ195450 GEM195361:GEM195450 GOI195361:GOI195450 GYE195361:GYE195450 HIA195361:HIA195450 HRW195361:HRW195450 IBS195361:IBS195450 ILO195361:ILO195450 IVK195361:IVK195450 JFG195361:JFG195450 JPC195361:JPC195450 JYY195361:JYY195450 KIU195361:KIU195450 KSQ195361:KSQ195450 LCM195361:LCM195450 LMI195361:LMI195450 LWE195361:LWE195450 MGA195361:MGA195450 MPW195361:MPW195450 MZS195361:MZS195450 NJO195361:NJO195450 NTK195361:NTK195450 ODG195361:ODG195450 ONC195361:ONC195450 OWY195361:OWY195450 PGU195361:PGU195450 PQQ195361:PQQ195450 QAM195361:QAM195450 QKI195361:QKI195450 QUE195361:QUE195450 REA195361:REA195450 RNW195361:RNW195450 RXS195361:RXS195450 SHO195361:SHO195450 SRK195361:SRK195450 TBG195361:TBG195450 TLC195361:TLC195450 TUY195361:TUY195450 UEU195361:UEU195450 UOQ195361:UOQ195450 UYM195361:UYM195450 VII195361:VII195450 VSE195361:VSE195450 WCA195361:WCA195450 WLW195361:WLW195450 WVS195361:WVS195450 K260906:K260995 JG260897:JG260986 TC260897:TC260986 ACY260897:ACY260986 AMU260897:AMU260986 AWQ260897:AWQ260986 BGM260897:BGM260986 BQI260897:BQI260986 CAE260897:CAE260986 CKA260897:CKA260986 CTW260897:CTW260986 DDS260897:DDS260986 DNO260897:DNO260986 DXK260897:DXK260986 EHG260897:EHG260986 ERC260897:ERC260986 FAY260897:FAY260986 FKU260897:FKU260986 FUQ260897:FUQ260986 GEM260897:GEM260986 GOI260897:GOI260986 GYE260897:GYE260986 HIA260897:HIA260986 HRW260897:HRW260986 IBS260897:IBS260986 ILO260897:ILO260986 IVK260897:IVK260986 JFG260897:JFG260986 JPC260897:JPC260986 JYY260897:JYY260986 KIU260897:KIU260986 KSQ260897:KSQ260986 LCM260897:LCM260986 LMI260897:LMI260986 LWE260897:LWE260986 MGA260897:MGA260986 MPW260897:MPW260986 MZS260897:MZS260986 NJO260897:NJO260986 NTK260897:NTK260986 ODG260897:ODG260986 ONC260897:ONC260986 OWY260897:OWY260986 PGU260897:PGU260986 PQQ260897:PQQ260986 QAM260897:QAM260986 QKI260897:QKI260986 QUE260897:QUE260986 REA260897:REA260986 RNW260897:RNW260986 RXS260897:RXS260986 SHO260897:SHO260986 SRK260897:SRK260986 TBG260897:TBG260986 TLC260897:TLC260986 TUY260897:TUY260986 UEU260897:UEU260986 UOQ260897:UOQ260986 UYM260897:UYM260986 VII260897:VII260986 VSE260897:VSE260986 WCA260897:WCA260986 WLW260897:WLW260986 WVS260897:WVS260986 K326442:K326531 JG326433:JG326522 TC326433:TC326522 ACY326433:ACY326522 AMU326433:AMU326522 AWQ326433:AWQ326522 BGM326433:BGM326522 BQI326433:BQI326522 CAE326433:CAE326522 CKA326433:CKA326522 CTW326433:CTW326522 DDS326433:DDS326522 DNO326433:DNO326522 DXK326433:DXK326522 EHG326433:EHG326522 ERC326433:ERC326522 FAY326433:FAY326522 FKU326433:FKU326522 FUQ326433:FUQ326522 GEM326433:GEM326522 GOI326433:GOI326522 GYE326433:GYE326522 HIA326433:HIA326522 HRW326433:HRW326522 IBS326433:IBS326522 ILO326433:ILO326522 IVK326433:IVK326522 JFG326433:JFG326522 JPC326433:JPC326522 JYY326433:JYY326522 KIU326433:KIU326522 KSQ326433:KSQ326522 LCM326433:LCM326522 LMI326433:LMI326522 LWE326433:LWE326522 MGA326433:MGA326522 MPW326433:MPW326522 MZS326433:MZS326522 NJO326433:NJO326522 NTK326433:NTK326522 ODG326433:ODG326522 ONC326433:ONC326522 OWY326433:OWY326522 PGU326433:PGU326522 PQQ326433:PQQ326522 QAM326433:QAM326522 QKI326433:QKI326522 QUE326433:QUE326522 REA326433:REA326522 RNW326433:RNW326522 RXS326433:RXS326522 SHO326433:SHO326522 SRK326433:SRK326522 TBG326433:TBG326522 TLC326433:TLC326522 TUY326433:TUY326522 UEU326433:UEU326522 UOQ326433:UOQ326522 UYM326433:UYM326522 VII326433:VII326522 VSE326433:VSE326522 WCA326433:WCA326522 WLW326433:WLW326522 WVS326433:WVS326522 K391978:K392067 JG391969:JG392058 TC391969:TC392058 ACY391969:ACY392058 AMU391969:AMU392058 AWQ391969:AWQ392058 BGM391969:BGM392058 BQI391969:BQI392058 CAE391969:CAE392058 CKA391969:CKA392058 CTW391969:CTW392058 DDS391969:DDS392058 DNO391969:DNO392058 DXK391969:DXK392058 EHG391969:EHG392058 ERC391969:ERC392058 FAY391969:FAY392058 FKU391969:FKU392058 FUQ391969:FUQ392058 GEM391969:GEM392058 GOI391969:GOI392058 GYE391969:GYE392058 HIA391969:HIA392058 HRW391969:HRW392058 IBS391969:IBS392058 ILO391969:ILO392058 IVK391969:IVK392058 JFG391969:JFG392058 JPC391969:JPC392058 JYY391969:JYY392058 KIU391969:KIU392058 KSQ391969:KSQ392058 LCM391969:LCM392058 LMI391969:LMI392058 LWE391969:LWE392058 MGA391969:MGA392058 MPW391969:MPW392058 MZS391969:MZS392058 NJO391969:NJO392058 NTK391969:NTK392058 ODG391969:ODG392058 ONC391969:ONC392058 OWY391969:OWY392058 PGU391969:PGU392058 PQQ391969:PQQ392058 QAM391969:QAM392058 QKI391969:QKI392058 QUE391969:QUE392058 REA391969:REA392058 RNW391969:RNW392058 RXS391969:RXS392058 SHO391969:SHO392058 SRK391969:SRK392058 TBG391969:TBG392058 TLC391969:TLC392058 TUY391969:TUY392058 UEU391969:UEU392058 UOQ391969:UOQ392058 UYM391969:UYM392058 VII391969:VII392058 VSE391969:VSE392058 WCA391969:WCA392058 WLW391969:WLW392058 WVS391969:WVS392058 K457514:K457603 JG457505:JG457594 TC457505:TC457594 ACY457505:ACY457594 AMU457505:AMU457594 AWQ457505:AWQ457594 BGM457505:BGM457594 BQI457505:BQI457594 CAE457505:CAE457594 CKA457505:CKA457594 CTW457505:CTW457594 DDS457505:DDS457594 DNO457505:DNO457594 DXK457505:DXK457594 EHG457505:EHG457594 ERC457505:ERC457594 FAY457505:FAY457594 FKU457505:FKU457594 FUQ457505:FUQ457594 GEM457505:GEM457594 GOI457505:GOI457594 GYE457505:GYE457594 HIA457505:HIA457594 HRW457505:HRW457594 IBS457505:IBS457594 ILO457505:ILO457594 IVK457505:IVK457594 JFG457505:JFG457594 JPC457505:JPC457594 JYY457505:JYY457594 KIU457505:KIU457594 KSQ457505:KSQ457594 LCM457505:LCM457594 LMI457505:LMI457594 LWE457505:LWE457594 MGA457505:MGA457594 MPW457505:MPW457594 MZS457505:MZS457594 NJO457505:NJO457594 NTK457505:NTK457594 ODG457505:ODG457594 ONC457505:ONC457594 OWY457505:OWY457594 PGU457505:PGU457594 PQQ457505:PQQ457594 QAM457505:QAM457594 QKI457505:QKI457594 QUE457505:QUE457594 REA457505:REA457594 RNW457505:RNW457594 RXS457505:RXS457594 SHO457505:SHO457594 SRK457505:SRK457594 TBG457505:TBG457594 TLC457505:TLC457594 TUY457505:TUY457594 UEU457505:UEU457594 UOQ457505:UOQ457594 UYM457505:UYM457594 VII457505:VII457594 VSE457505:VSE457594 WCA457505:WCA457594 WLW457505:WLW457594 WVS457505:WVS457594 K523050:K523139 JG523041:JG523130 TC523041:TC523130 ACY523041:ACY523130 AMU523041:AMU523130 AWQ523041:AWQ523130 BGM523041:BGM523130 BQI523041:BQI523130 CAE523041:CAE523130 CKA523041:CKA523130 CTW523041:CTW523130 DDS523041:DDS523130 DNO523041:DNO523130 DXK523041:DXK523130 EHG523041:EHG523130 ERC523041:ERC523130 FAY523041:FAY523130 FKU523041:FKU523130 FUQ523041:FUQ523130 GEM523041:GEM523130 GOI523041:GOI523130 GYE523041:GYE523130 HIA523041:HIA523130 HRW523041:HRW523130 IBS523041:IBS523130 ILO523041:ILO523130 IVK523041:IVK523130 JFG523041:JFG523130 JPC523041:JPC523130 JYY523041:JYY523130 KIU523041:KIU523130 KSQ523041:KSQ523130 LCM523041:LCM523130 LMI523041:LMI523130 LWE523041:LWE523130 MGA523041:MGA523130 MPW523041:MPW523130 MZS523041:MZS523130 NJO523041:NJO523130 NTK523041:NTK523130 ODG523041:ODG523130 ONC523041:ONC523130 OWY523041:OWY523130 PGU523041:PGU523130 PQQ523041:PQQ523130 QAM523041:QAM523130 QKI523041:QKI523130 QUE523041:QUE523130 REA523041:REA523130 RNW523041:RNW523130 RXS523041:RXS523130 SHO523041:SHO523130 SRK523041:SRK523130 TBG523041:TBG523130 TLC523041:TLC523130 TUY523041:TUY523130 UEU523041:UEU523130 UOQ523041:UOQ523130 UYM523041:UYM523130 VII523041:VII523130 VSE523041:VSE523130 WCA523041:WCA523130 WLW523041:WLW523130 WVS523041:WVS523130 K588586:K588675 JG588577:JG588666 TC588577:TC588666 ACY588577:ACY588666 AMU588577:AMU588666 AWQ588577:AWQ588666 BGM588577:BGM588666 BQI588577:BQI588666 CAE588577:CAE588666 CKA588577:CKA588666 CTW588577:CTW588666 DDS588577:DDS588666 DNO588577:DNO588666 DXK588577:DXK588666 EHG588577:EHG588666 ERC588577:ERC588666 FAY588577:FAY588666 FKU588577:FKU588666 FUQ588577:FUQ588666 GEM588577:GEM588666 GOI588577:GOI588666 GYE588577:GYE588666 HIA588577:HIA588666 HRW588577:HRW588666 IBS588577:IBS588666 ILO588577:ILO588666 IVK588577:IVK588666 JFG588577:JFG588666 JPC588577:JPC588666 JYY588577:JYY588666 KIU588577:KIU588666 KSQ588577:KSQ588666 LCM588577:LCM588666 LMI588577:LMI588666 LWE588577:LWE588666 MGA588577:MGA588666 MPW588577:MPW588666 MZS588577:MZS588666 NJO588577:NJO588666 NTK588577:NTK588666 ODG588577:ODG588666 ONC588577:ONC588666 OWY588577:OWY588666 PGU588577:PGU588666 PQQ588577:PQQ588666 QAM588577:QAM588666 QKI588577:QKI588666 QUE588577:QUE588666 REA588577:REA588666 RNW588577:RNW588666 RXS588577:RXS588666 SHO588577:SHO588666 SRK588577:SRK588666 TBG588577:TBG588666 TLC588577:TLC588666 TUY588577:TUY588666 UEU588577:UEU588666 UOQ588577:UOQ588666 UYM588577:UYM588666 VII588577:VII588666 VSE588577:VSE588666 WCA588577:WCA588666 WLW588577:WLW588666 WVS588577:WVS588666 K654122:K654211 JG654113:JG654202 TC654113:TC654202 ACY654113:ACY654202 AMU654113:AMU654202 AWQ654113:AWQ654202 BGM654113:BGM654202 BQI654113:BQI654202 CAE654113:CAE654202 CKA654113:CKA654202 CTW654113:CTW654202 DDS654113:DDS654202 DNO654113:DNO654202 DXK654113:DXK654202 EHG654113:EHG654202 ERC654113:ERC654202 FAY654113:FAY654202 FKU654113:FKU654202 FUQ654113:FUQ654202 GEM654113:GEM654202 GOI654113:GOI654202 GYE654113:GYE654202 HIA654113:HIA654202 HRW654113:HRW654202 IBS654113:IBS654202 ILO654113:ILO654202 IVK654113:IVK654202 JFG654113:JFG654202 JPC654113:JPC654202 JYY654113:JYY654202 KIU654113:KIU654202 KSQ654113:KSQ654202 LCM654113:LCM654202 LMI654113:LMI654202 LWE654113:LWE654202 MGA654113:MGA654202 MPW654113:MPW654202 MZS654113:MZS654202 NJO654113:NJO654202 NTK654113:NTK654202 ODG654113:ODG654202 ONC654113:ONC654202 OWY654113:OWY654202 PGU654113:PGU654202 PQQ654113:PQQ654202 QAM654113:QAM654202 QKI654113:QKI654202 QUE654113:QUE654202 REA654113:REA654202 RNW654113:RNW654202 RXS654113:RXS654202 SHO654113:SHO654202 SRK654113:SRK654202 TBG654113:TBG654202 TLC654113:TLC654202 TUY654113:TUY654202 UEU654113:UEU654202 UOQ654113:UOQ654202 UYM654113:UYM654202 VII654113:VII654202 VSE654113:VSE654202 WCA654113:WCA654202 WLW654113:WLW654202 WVS654113:WVS654202 K719658:K719747 JG719649:JG719738 TC719649:TC719738 ACY719649:ACY719738 AMU719649:AMU719738 AWQ719649:AWQ719738 BGM719649:BGM719738 BQI719649:BQI719738 CAE719649:CAE719738 CKA719649:CKA719738 CTW719649:CTW719738 DDS719649:DDS719738 DNO719649:DNO719738 DXK719649:DXK719738 EHG719649:EHG719738 ERC719649:ERC719738 FAY719649:FAY719738 FKU719649:FKU719738 FUQ719649:FUQ719738 GEM719649:GEM719738 GOI719649:GOI719738 GYE719649:GYE719738 HIA719649:HIA719738 HRW719649:HRW719738 IBS719649:IBS719738 ILO719649:ILO719738 IVK719649:IVK719738 JFG719649:JFG719738 JPC719649:JPC719738 JYY719649:JYY719738 KIU719649:KIU719738 KSQ719649:KSQ719738 LCM719649:LCM719738 LMI719649:LMI719738 LWE719649:LWE719738 MGA719649:MGA719738 MPW719649:MPW719738 MZS719649:MZS719738 NJO719649:NJO719738 NTK719649:NTK719738 ODG719649:ODG719738 ONC719649:ONC719738 OWY719649:OWY719738 PGU719649:PGU719738 PQQ719649:PQQ719738 QAM719649:QAM719738 QKI719649:QKI719738 QUE719649:QUE719738 REA719649:REA719738 RNW719649:RNW719738 RXS719649:RXS719738 SHO719649:SHO719738 SRK719649:SRK719738 TBG719649:TBG719738 TLC719649:TLC719738 TUY719649:TUY719738 UEU719649:UEU719738 UOQ719649:UOQ719738 UYM719649:UYM719738 VII719649:VII719738 VSE719649:VSE719738 WCA719649:WCA719738 WLW719649:WLW719738 WVS719649:WVS719738 K785194:K785283 JG785185:JG785274 TC785185:TC785274 ACY785185:ACY785274 AMU785185:AMU785274 AWQ785185:AWQ785274 BGM785185:BGM785274 BQI785185:BQI785274 CAE785185:CAE785274 CKA785185:CKA785274 CTW785185:CTW785274 DDS785185:DDS785274 DNO785185:DNO785274 DXK785185:DXK785274 EHG785185:EHG785274 ERC785185:ERC785274 FAY785185:FAY785274 FKU785185:FKU785274 FUQ785185:FUQ785274 GEM785185:GEM785274 GOI785185:GOI785274 GYE785185:GYE785274 HIA785185:HIA785274 HRW785185:HRW785274 IBS785185:IBS785274 ILO785185:ILO785274 IVK785185:IVK785274 JFG785185:JFG785274 JPC785185:JPC785274 JYY785185:JYY785274 KIU785185:KIU785274 KSQ785185:KSQ785274 LCM785185:LCM785274 LMI785185:LMI785274 LWE785185:LWE785274 MGA785185:MGA785274 MPW785185:MPW785274 MZS785185:MZS785274 NJO785185:NJO785274 NTK785185:NTK785274 ODG785185:ODG785274 ONC785185:ONC785274 OWY785185:OWY785274 PGU785185:PGU785274 PQQ785185:PQQ785274 QAM785185:QAM785274 QKI785185:QKI785274 QUE785185:QUE785274 REA785185:REA785274 RNW785185:RNW785274 RXS785185:RXS785274 SHO785185:SHO785274 SRK785185:SRK785274 TBG785185:TBG785274 TLC785185:TLC785274 TUY785185:TUY785274 UEU785185:UEU785274 UOQ785185:UOQ785274 UYM785185:UYM785274 VII785185:VII785274 VSE785185:VSE785274 WCA785185:WCA785274 WLW785185:WLW785274 WVS785185:WVS785274 K850730:K850819 JG850721:JG850810 TC850721:TC850810 ACY850721:ACY850810 AMU850721:AMU850810 AWQ850721:AWQ850810 BGM850721:BGM850810 BQI850721:BQI850810 CAE850721:CAE850810 CKA850721:CKA850810 CTW850721:CTW850810 DDS850721:DDS850810 DNO850721:DNO850810 DXK850721:DXK850810 EHG850721:EHG850810 ERC850721:ERC850810 FAY850721:FAY850810 FKU850721:FKU850810 FUQ850721:FUQ850810 GEM850721:GEM850810 GOI850721:GOI850810 GYE850721:GYE850810 HIA850721:HIA850810 HRW850721:HRW850810 IBS850721:IBS850810 ILO850721:ILO850810 IVK850721:IVK850810 JFG850721:JFG850810 JPC850721:JPC850810 JYY850721:JYY850810 KIU850721:KIU850810 KSQ850721:KSQ850810 LCM850721:LCM850810 LMI850721:LMI850810 LWE850721:LWE850810 MGA850721:MGA850810 MPW850721:MPW850810 MZS850721:MZS850810 NJO850721:NJO850810 NTK850721:NTK850810 ODG850721:ODG850810 ONC850721:ONC850810 OWY850721:OWY850810 PGU850721:PGU850810 PQQ850721:PQQ850810 QAM850721:QAM850810 QKI850721:QKI850810 QUE850721:QUE850810 REA850721:REA850810 RNW850721:RNW850810 RXS850721:RXS850810 SHO850721:SHO850810 SRK850721:SRK850810 TBG850721:TBG850810 TLC850721:TLC850810 TUY850721:TUY850810 UEU850721:UEU850810 UOQ850721:UOQ850810 UYM850721:UYM850810 VII850721:VII850810 VSE850721:VSE850810 WCA850721:WCA850810 WLW850721:WLW850810 WVS850721:WVS850810 K916266:K916355 JG916257:JG916346 TC916257:TC916346 ACY916257:ACY916346 AMU916257:AMU916346 AWQ916257:AWQ916346 BGM916257:BGM916346 BQI916257:BQI916346 CAE916257:CAE916346 CKA916257:CKA916346 CTW916257:CTW916346 DDS916257:DDS916346 DNO916257:DNO916346 DXK916257:DXK916346 EHG916257:EHG916346 ERC916257:ERC916346 FAY916257:FAY916346 FKU916257:FKU916346 FUQ916257:FUQ916346 GEM916257:GEM916346 GOI916257:GOI916346 GYE916257:GYE916346 HIA916257:HIA916346 HRW916257:HRW916346 IBS916257:IBS916346 ILO916257:ILO916346 IVK916257:IVK916346 JFG916257:JFG916346 JPC916257:JPC916346 JYY916257:JYY916346 KIU916257:KIU916346 KSQ916257:KSQ916346 LCM916257:LCM916346 LMI916257:LMI916346 LWE916257:LWE916346 MGA916257:MGA916346 MPW916257:MPW916346 MZS916257:MZS916346 NJO916257:NJO916346 NTK916257:NTK916346 ODG916257:ODG916346 ONC916257:ONC916346 OWY916257:OWY916346 PGU916257:PGU916346 PQQ916257:PQQ916346 QAM916257:QAM916346 QKI916257:QKI916346 QUE916257:QUE916346 REA916257:REA916346 RNW916257:RNW916346 RXS916257:RXS916346 SHO916257:SHO916346 SRK916257:SRK916346 TBG916257:TBG916346 TLC916257:TLC916346 TUY916257:TUY916346 UEU916257:UEU916346 UOQ916257:UOQ916346 UYM916257:UYM916346 VII916257:VII916346 VSE916257:VSE916346 WCA916257:WCA916346 WLW916257:WLW916346 WVS916257:WVS916346 K981802:K981891 JG981793:JG981882 TC981793:TC981882 ACY981793:ACY981882 AMU981793:AMU981882 AWQ981793:AWQ981882 BGM981793:BGM981882 BQI981793:BQI981882 CAE981793:CAE981882 CKA981793:CKA981882 CTW981793:CTW981882 DDS981793:DDS981882 DNO981793:DNO981882 DXK981793:DXK981882 EHG981793:EHG981882 ERC981793:ERC981882 FAY981793:FAY981882 FKU981793:FKU981882 FUQ981793:FUQ981882 GEM981793:GEM981882 GOI981793:GOI981882 GYE981793:GYE981882 HIA981793:HIA981882 HRW981793:HRW981882 IBS981793:IBS981882 ILO981793:ILO981882 IVK981793:IVK981882 JFG981793:JFG981882 JPC981793:JPC981882 JYY981793:JYY981882 KIU981793:KIU981882 KSQ981793:KSQ981882 LCM981793:LCM981882 LMI981793:LMI981882 LWE981793:LWE981882 MGA981793:MGA981882 MPW981793:MPW981882 MZS981793:MZS981882 NJO981793:NJO981882 NTK981793:NTK981882 ODG981793:ODG981882 ONC981793:ONC981882 OWY981793:OWY981882 PGU981793:PGU981882 PQQ981793:PQQ981882 QAM981793:QAM981882 QKI981793:QKI981882 QUE981793:QUE981882 REA981793:REA981882 RNW981793:RNW981882 RXS981793:RXS981882 SHO981793:SHO981882 SRK981793:SRK981882 TBG981793:TBG981882 TLC981793:TLC981882 TUY981793:TUY981882 UEU981793:UEU981882 UOQ981793:UOQ981882 UYM981793:UYM981882 VII981793:VII981882 VSE981793:VSE981882 WVS2:WVS64 WLW2:WLW64 WCA2:WCA64 VSE2:VSE64 VII2:VII64 UYM2:UYM64 UOQ2:UOQ64 UEU2:UEU64 TUY2:TUY64 TLC2:TLC64 TBG2:TBG64 SRK2:SRK64 SHO2:SHO64 RXS2:RXS64 RNW2:RNW64 REA2:REA64 QUE2:QUE64 QKI2:QKI64 QAM2:QAM64 PQQ2:PQQ64 PGU2:PGU64 OWY2:OWY64 ONC2:ONC64 ODG2:ODG64 NTK2:NTK64 NJO2:NJO64 MZS2:MZS64 MPW2:MPW64 MGA2:MGA64 LWE2:LWE64 LMI2:LMI64 LCM2:LCM64 KSQ2:KSQ64 KIU2:KIU64 JYY2:JYY64 JPC2:JPC64 JFG2:JFG64 IVK2:IVK64 ILO2:ILO64 IBS2:IBS64 HRW2:HRW64 HIA2:HIA64 GYE2:GYE64 GOI2:GOI64 GEM2:GEM64 FUQ2:FUQ64 FKU2:FKU64 FAY2:FAY64 ERC2:ERC64 EHG2:EHG64 DXK2:DXK64 DNO2:DNO64 DDS2:DDS64 CTW2:CTW64 CKA2:CKA64 CAE2:CAE64 BQI2:BQI64 BGM2:BGM64 AWQ2:AWQ64 AMU2:AMU64 ACY2:ACY64 TC2:TC64 JG2:JG64" xr:uid="{CFDA6BE3-57CA-4B87-A643-1C3694E76B05}">
      <formula1>$AR$2:$AR$13</formula1>
    </dataValidation>
    <dataValidation type="list" allowBlank="1" showInputMessage="1" showErrorMessage="1" sqref="I64394:I64399 JE64373:JE64378 TA64373:TA64378 ACW64373:ACW64378 AMS64373:AMS64378 AWO64373:AWO64378 BGK64373:BGK64378 BQG64373:BQG64378 CAC64373:CAC64378 CJY64373:CJY64378 CTU64373:CTU64378 DDQ64373:DDQ64378 DNM64373:DNM64378 DXI64373:DXI64378 EHE64373:EHE64378 ERA64373:ERA64378 FAW64373:FAW64378 FKS64373:FKS64378 FUO64373:FUO64378 GEK64373:GEK64378 GOG64373:GOG64378 GYC64373:GYC64378 HHY64373:HHY64378 HRU64373:HRU64378 IBQ64373:IBQ64378 ILM64373:ILM64378 IVI64373:IVI64378 JFE64373:JFE64378 JPA64373:JPA64378 JYW64373:JYW64378 KIS64373:KIS64378 KSO64373:KSO64378 LCK64373:LCK64378 LMG64373:LMG64378 LWC64373:LWC64378 MFY64373:MFY64378 MPU64373:MPU64378 MZQ64373:MZQ64378 NJM64373:NJM64378 NTI64373:NTI64378 ODE64373:ODE64378 ONA64373:ONA64378 OWW64373:OWW64378 PGS64373:PGS64378 PQO64373:PQO64378 QAK64373:QAK64378 QKG64373:QKG64378 QUC64373:QUC64378 RDY64373:RDY64378 RNU64373:RNU64378 RXQ64373:RXQ64378 SHM64373:SHM64378 SRI64373:SRI64378 TBE64373:TBE64378 TLA64373:TLA64378 TUW64373:TUW64378 UES64373:UES64378 UOO64373:UOO64378 UYK64373:UYK64378 VIG64373:VIG64378 VSC64373:VSC64378 WBY64373:WBY64378 WLU64373:WLU64378 WVQ64373:WVQ64378 I129930:I129935 JE129909:JE129914 TA129909:TA129914 ACW129909:ACW129914 AMS129909:AMS129914 AWO129909:AWO129914 BGK129909:BGK129914 BQG129909:BQG129914 CAC129909:CAC129914 CJY129909:CJY129914 CTU129909:CTU129914 DDQ129909:DDQ129914 DNM129909:DNM129914 DXI129909:DXI129914 EHE129909:EHE129914 ERA129909:ERA129914 FAW129909:FAW129914 FKS129909:FKS129914 FUO129909:FUO129914 GEK129909:GEK129914 GOG129909:GOG129914 GYC129909:GYC129914 HHY129909:HHY129914 HRU129909:HRU129914 IBQ129909:IBQ129914 ILM129909:ILM129914 IVI129909:IVI129914 JFE129909:JFE129914 JPA129909:JPA129914 JYW129909:JYW129914 KIS129909:KIS129914 KSO129909:KSO129914 LCK129909:LCK129914 LMG129909:LMG129914 LWC129909:LWC129914 MFY129909:MFY129914 MPU129909:MPU129914 MZQ129909:MZQ129914 NJM129909:NJM129914 NTI129909:NTI129914 ODE129909:ODE129914 ONA129909:ONA129914 OWW129909:OWW129914 PGS129909:PGS129914 PQO129909:PQO129914 QAK129909:QAK129914 QKG129909:QKG129914 QUC129909:QUC129914 RDY129909:RDY129914 RNU129909:RNU129914 RXQ129909:RXQ129914 SHM129909:SHM129914 SRI129909:SRI129914 TBE129909:TBE129914 TLA129909:TLA129914 TUW129909:TUW129914 UES129909:UES129914 UOO129909:UOO129914 UYK129909:UYK129914 VIG129909:VIG129914 VSC129909:VSC129914 WBY129909:WBY129914 WLU129909:WLU129914 WVQ129909:WVQ129914 I195466:I195471 JE195445:JE195450 TA195445:TA195450 ACW195445:ACW195450 AMS195445:AMS195450 AWO195445:AWO195450 BGK195445:BGK195450 BQG195445:BQG195450 CAC195445:CAC195450 CJY195445:CJY195450 CTU195445:CTU195450 DDQ195445:DDQ195450 DNM195445:DNM195450 DXI195445:DXI195450 EHE195445:EHE195450 ERA195445:ERA195450 FAW195445:FAW195450 FKS195445:FKS195450 FUO195445:FUO195450 GEK195445:GEK195450 GOG195445:GOG195450 GYC195445:GYC195450 HHY195445:HHY195450 HRU195445:HRU195450 IBQ195445:IBQ195450 ILM195445:ILM195450 IVI195445:IVI195450 JFE195445:JFE195450 JPA195445:JPA195450 JYW195445:JYW195450 KIS195445:KIS195450 KSO195445:KSO195450 LCK195445:LCK195450 LMG195445:LMG195450 LWC195445:LWC195450 MFY195445:MFY195450 MPU195445:MPU195450 MZQ195445:MZQ195450 NJM195445:NJM195450 NTI195445:NTI195450 ODE195445:ODE195450 ONA195445:ONA195450 OWW195445:OWW195450 PGS195445:PGS195450 PQO195445:PQO195450 QAK195445:QAK195450 QKG195445:QKG195450 QUC195445:QUC195450 RDY195445:RDY195450 RNU195445:RNU195450 RXQ195445:RXQ195450 SHM195445:SHM195450 SRI195445:SRI195450 TBE195445:TBE195450 TLA195445:TLA195450 TUW195445:TUW195450 UES195445:UES195450 UOO195445:UOO195450 UYK195445:UYK195450 VIG195445:VIG195450 VSC195445:VSC195450 WBY195445:WBY195450 WLU195445:WLU195450 WVQ195445:WVQ195450 I261002:I261007 JE260981:JE260986 TA260981:TA260986 ACW260981:ACW260986 AMS260981:AMS260986 AWO260981:AWO260986 BGK260981:BGK260986 BQG260981:BQG260986 CAC260981:CAC260986 CJY260981:CJY260986 CTU260981:CTU260986 DDQ260981:DDQ260986 DNM260981:DNM260986 DXI260981:DXI260986 EHE260981:EHE260986 ERA260981:ERA260986 FAW260981:FAW260986 FKS260981:FKS260986 FUO260981:FUO260986 GEK260981:GEK260986 GOG260981:GOG260986 GYC260981:GYC260986 HHY260981:HHY260986 HRU260981:HRU260986 IBQ260981:IBQ260986 ILM260981:ILM260986 IVI260981:IVI260986 JFE260981:JFE260986 JPA260981:JPA260986 JYW260981:JYW260986 KIS260981:KIS260986 KSO260981:KSO260986 LCK260981:LCK260986 LMG260981:LMG260986 LWC260981:LWC260986 MFY260981:MFY260986 MPU260981:MPU260986 MZQ260981:MZQ260986 NJM260981:NJM260986 NTI260981:NTI260986 ODE260981:ODE260986 ONA260981:ONA260986 OWW260981:OWW260986 PGS260981:PGS260986 PQO260981:PQO260986 QAK260981:QAK260986 QKG260981:QKG260986 QUC260981:QUC260986 RDY260981:RDY260986 RNU260981:RNU260986 RXQ260981:RXQ260986 SHM260981:SHM260986 SRI260981:SRI260986 TBE260981:TBE260986 TLA260981:TLA260986 TUW260981:TUW260986 UES260981:UES260986 UOO260981:UOO260986 UYK260981:UYK260986 VIG260981:VIG260986 VSC260981:VSC260986 WBY260981:WBY260986 WLU260981:WLU260986 WVQ260981:WVQ260986 I326538:I326543 JE326517:JE326522 TA326517:TA326522 ACW326517:ACW326522 AMS326517:AMS326522 AWO326517:AWO326522 BGK326517:BGK326522 BQG326517:BQG326522 CAC326517:CAC326522 CJY326517:CJY326522 CTU326517:CTU326522 DDQ326517:DDQ326522 DNM326517:DNM326522 DXI326517:DXI326522 EHE326517:EHE326522 ERA326517:ERA326522 FAW326517:FAW326522 FKS326517:FKS326522 FUO326517:FUO326522 GEK326517:GEK326522 GOG326517:GOG326522 GYC326517:GYC326522 HHY326517:HHY326522 HRU326517:HRU326522 IBQ326517:IBQ326522 ILM326517:ILM326522 IVI326517:IVI326522 JFE326517:JFE326522 JPA326517:JPA326522 JYW326517:JYW326522 KIS326517:KIS326522 KSO326517:KSO326522 LCK326517:LCK326522 LMG326517:LMG326522 LWC326517:LWC326522 MFY326517:MFY326522 MPU326517:MPU326522 MZQ326517:MZQ326522 NJM326517:NJM326522 NTI326517:NTI326522 ODE326517:ODE326522 ONA326517:ONA326522 OWW326517:OWW326522 PGS326517:PGS326522 PQO326517:PQO326522 QAK326517:QAK326522 QKG326517:QKG326522 QUC326517:QUC326522 RDY326517:RDY326522 RNU326517:RNU326522 RXQ326517:RXQ326522 SHM326517:SHM326522 SRI326517:SRI326522 TBE326517:TBE326522 TLA326517:TLA326522 TUW326517:TUW326522 UES326517:UES326522 UOO326517:UOO326522 UYK326517:UYK326522 VIG326517:VIG326522 VSC326517:VSC326522 WBY326517:WBY326522 WLU326517:WLU326522 WVQ326517:WVQ326522 I392074:I392079 JE392053:JE392058 TA392053:TA392058 ACW392053:ACW392058 AMS392053:AMS392058 AWO392053:AWO392058 BGK392053:BGK392058 BQG392053:BQG392058 CAC392053:CAC392058 CJY392053:CJY392058 CTU392053:CTU392058 DDQ392053:DDQ392058 DNM392053:DNM392058 DXI392053:DXI392058 EHE392053:EHE392058 ERA392053:ERA392058 FAW392053:FAW392058 FKS392053:FKS392058 FUO392053:FUO392058 GEK392053:GEK392058 GOG392053:GOG392058 GYC392053:GYC392058 HHY392053:HHY392058 HRU392053:HRU392058 IBQ392053:IBQ392058 ILM392053:ILM392058 IVI392053:IVI392058 JFE392053:JFE392058 JPA392053:JPA392058 JYW392053:JYW392058 KIS392053:KIS392058 KSO392053:KSO392058 LCK392053:LCK392058 LMG392053:LMG392058 LWC392053:LWC392058 MFY392053:MFY392058 MPU392053:MPU392058 MZQ392053:MZQ392058 NJM392053:NJM392058 NTI392053:NTI392058 ODE392053:ODE392058 ONA392053:ONA392058 OWW392053:OWW392058 PGS392053:PGS392058 PQO392053:PQO392058 QAK392053:QAK392058 QKG392053:QKG392058 QUC392053:QUC392058 RDY392053:RDY392058 RNU392053:RNU392058 RXQ392053:RXQ392058 SHM392053:SHM392058 SRI392053:SRI392058 TBE392053:TBE392058 TLA392053:TLA392058 TUW392053:TUW392058 UES392053:UES392058 UOO392053:UOO392058 UYK392053:UYK392058 VIG392053:VIG392058 VSC392053:VSC392058 WBY392053:WBY392058 WLU392053:WLU392058 WVQ392053:WVQ392058 I457610:I457615 JE457589:JE457594 TA457589:TA457594 ACW457589:ACW457594 AMS457589:AMS457594 AWO457589:AWO457594 BGK457589:BGK457594 BQG457589:BQG457594 CAC457589:CAC457594 CJY457589:CJY457594 CTU457589:CTU457594 DDQ457589:DDQ457594 DNM457589:DNM457594 DXI457589:DXI457594 EHE457589:EHE457594 ERA457589:ERA457594 FAW457589:FAW457594 FKS457589:FKS457594 FUO457589:FUO457594 GEK457589:GEK457594 GOG457589:GOG457594 GYC457589:GYC457594 HHY457589:HHY457594 HRU457589:HRU457594 IBQ457589:IBQ457594 ILM457589:ILM457594 IVI457589:IVI457594 JFE457589:JFE457594 JPA457589:JPA457594 JYW457589:JYW457594 KIS457589:KIS457594 KSO457589:KSO457594 LCK457589:LCK457594 LMG457589:LMG457594 LWC457589:LWC457594 MFY457589:MFY457594 MPU457589:MPU457594 MZQ457589:MZQ457594 NJM457589:NJM457594 NTI457589:NTI457594 ODE457589:ODE457594 ONA457589:ONA457594 OWW457589:OWW457594 PGS457589:PGS457594 PQO457589:PQO457594 QAK457589:QAK457594 QKG457589:QKG457594 QUC457589:QUC457594 RDY457589:RDY457594 RNU457589:RNU457594 RXQ457589:RXQ457594 SHM457589:SHM457594 SRI457589:SRI457594 TBE457589:TBE457594 TLA457589:TLA457594 TUW457589:TUW457594 UES457589:UES457594 UOO457589:UOO457594 UYK457589:UYK457594 VIG457589:VIG457594 VSC457589:VSC457594 WBY457589:WBY457594 WLU457589:WLU457594 WVQ457589:WVQ457594 I523146:I523151 JE523125:JE523130 TA523125:TA523130 ACW523125:ACW523130 AMS523125:AMS523130 AWO523125:AWO523130 BGK523125:BGK523130 BQG523125:BQG523130 CAC523125:CAC523130 CJY523125:CJY523130 CTU523125:CTU523130 DDQ523125:DDQ523130 DNM523125:DNM523130 DXI523125:DXI523130 EHE523125:EHE523130 ERA523125:ERA523130 FAW523125:FAW523130 FKS523125:FKS523130 FUO523125:FUO523130 GEK523125:GEK523130 GOG523125:GOG523130 GYC523125:GYC523130 HHY523125:HHY523130 HRU523125:HRU523130 IBQ523125:IBQ523130 ILM523125:ILM523130 IVI523125:IVI523130 JFE523125:JFE523130 JPA523125:JPA523130 JYW523125:JYW523130 KIS523125:KIS523130 KSO523125:KSO523130 LCK523125:LCK523130 LMG523125:LMG523130 LWC523125:LWC523130 MFY523125:MFY523130 MPU523125:MPU523130 MZQ523125:MZQ523130 NJM523125:NJM523130 NTI523125:NTI523130 ODE523125:ODE523130 ONA523125:ONA523130 OWW523125:OWW523130 PGS523125:PGS523130 PQO523125:PQO523130 QAK523125:QAK523130 QKG523125:QKG523130 QUC523125:QUC523130 RDY523125:RDY523130 RNU523125:RNU523130 RXQ523125:RXQ523130 SHM523125:SHM523130 SRI523125:SRI523130 TBE523125:TBE523130 TLA523125:TLA523130 TUW523125:TUW523130 UES523125:UES523130 UOO523125:UOO523130 UYK523125:UYK523130 VIG523125:VIG523130 VSC523125:VSC523130 WBY523125:WBY523130 WLU523125:WLU523130 WVQ523125:WVQ523130 I588682:I588687 JE588661:JE588666 TA588661:TA588666 ACW588661:ACW588666 AMS588661:AMS588666 AWO588661:AWO588666 BGK588661:BGK588666 BQG588661:BQG588666 CAC588661:CAC588666 CJY588661:CJY588666 CTU588661:CTU588666 DDQ588661:DDQ588666 DNM588661:DNM588666 DXI588661:DXI588666 EHE588661:EHE588666 ERA588661:ERA588666 FAW588661:FAW588666 FKS588661:FKS588666 FUO588661:FUO588666 GEK588661:GEK588666 GOG588661:GOG588666 GYC588661:GYC588666 HHY588661:HHY588666 HRU588661:HRU588666 IBQ588661:IBQ588666 ILM588661:ILM588666 IVI588661:IVI588666 JFE588661:JFE588666 JPA588661:JPA588666 JYW588661:JYW588666 KIS588661:KIS588666 KSO588661:KSO588666 LCK588661:LCK588666 LMG588661:LMG588666 LWC588661:LWC588666 MFY588661:MFY588666 MPU588661:MPU588666 MZQ588661:MZQ588666 NJM588661:NJM588666 NTI588661:NTI588666 ODE588661:ODE588666 ONA588661:ONA588666 OWW588661:OWW588666 PGS588661:PGS588666 PQO588661:PQO588666 QAK588661:QAK588666 QKG588661:QKG588666 QUC588661:QUC588666 RDY588661:RDY588666 RNU588661:RNU588666 RXQ588661:RXQ588666 SHM588661:SHM588666 SRI588661:SRI588666 TBE588661:TBE588666 TLA588661:TLA588666 TUW588661:TUW588666 UES588661:UES588666 UOO588661:UOO588666 UYK588661:UYK588666 VIG588661:VIG588666 VSC588661:VSC588666 WBY588661:WBY588666 WLU588661:WLU588666 WVQ588661:WVQ588666 I654218:I654223 JE654197:JE654202 TA654197:TA654202 ACW654197:ACW654202 AMS654197:AMS654202 AWO654197:AWO654202 BGK654197:BGK654202 BQG654197:BQG654202 CAC654197:CAC654202 CJY654197:CJY654202 CTU654197:CTU654202 DDQ654197:DDQ654202 DNM654197:DNM654202 DXI654197:DXI654202 EHE654197:EHE654202 ERA654197:ERA654202 FAW654197:FAW654202 FKS654197:FKS654202 FUO654197:FUO654202 GEK654197:GEK654202 GOG654197:GOG654202 GYC654197:GYC654202 HHY654197:HHY654202 HRU654197:HRU654202 IBQ654197:IBQ654202 ILM654197:ILM654202 IVI654197:IVI654202 JFE654197:JFE654202 JPA654197:JPA654202 JYW654197:JYW654202 KIS654197:KIS654202 KSO654197:KSO654202 LCK654197:LCK654202 LMG654197:LMG654202 LWC654197:LWC654202 MFY654197:MFY654202 MPU654197:MPU654202 MZQ654197:MZQ654202 NJM654197:NJM654202 NTI654197:NTI654202 ODE654197:ODE654202 ONA654197:ONA654202 OWW654197:OWW654202 PGS654197:PGS654202 PQO654197:PQO654202 QAK654197:QAK654202 QKG654197:QKG654202 QUC654197:QUC654202 RDY654197:RDY654202 RNU654197:RNU654202 RXQ654197:RXQ654202 SHM654197:SHM654202 SRI654197:SRI654202 TBE654197:TBE654202 TLA654197:TLA654202 TUW654197:TUW654202 UES654197:UES654202 UOO654197:UOO654202 UYK654197:UYK654202 VIG654197:VIG654202 VSC654197:VSC654202 WBY654197:WBY654202 WLU654197:WLU654202 WVQ654197:WVQ654202 I719754:I719759 JE719733:JE719738 TA719733:TA719738 ACW719733:ACW719738 AMS719733:AMS719738 AWO719733:AWO719738 BGK719733:BGK719738 BQG719733:BQG719738 CAC719733:CAC719738 CJY719733:CJY719738 CTU719733:CTU719738 DDQ719733:DDQ719738 DNM719733:DNM719738 DXI719733:DXI719738 EHE719733:EHE719738 ERA719733:ERA719738 FAW719733:FAW719738 FKS719733:FKS719738 FUO719733:FUO719738 GEK719733:GEK719738 GOG719733:GOG719738 GYC719733:GYC719738 HHY719733:HHY719738 HRU719733:HRU719738 IBQ719733:IBQ719738 ILM719733:ILM719738 IVI719733:IVI719738 JFE719733:JFE719738 JPA719733:JPA719738 JYW719733:JYW719738 KIS719733:KIS719738 KSO719733:KSO719738 LCK719733:LCK719738 LMG719733:LMG719738 LWC719733:LWC719738 MFY719733:MFY719738 MPU719733:MPU719738 MZQ719733:MZQ719738 NJM719733:NJM719738 NTI719733:NTI719738 ODE719733:ODE719738 ONA719733:ONA719738 OWW719733:OWW719738 PGS719733:PGS719738 PQO719733:PQO719738 QAK719733:QAK719738 QKG719733:QKG719738 QUC719733:QUC719738 RDY719733:RDY719738 RNU719733:RNU719738 RXQ719733:RXQ719738 SHM719733:SHM719738 SRI719733:SRI719738 TBE719733:TBE719738 TLA719733:TLA719738 TUW719733:TUW719738 UES719733:UES719738 UOO719733:UOO719738 UYK719733:UYK719738 VIG719733:VIG719738 VSC719733:VSC719738 WBY719733:WBY719738 WLU719733:WLU719738 WVQ719733:WVQ719738 I785290:I785295 JE785269:JE785274 TA785269:TA785274 ACW785269:ACW785274 AMS785269:AMS785274 AWO785269:AWO785274 BGK785269:BGK785274 BQG785269:BQG785274 CAC785269:CAC785274 CJY785269:CJY785274 CTU785269:CTU785274 DDQ785269:DDQ785274 DNM785269:DNM785274 DXI785269:DXI785274 EHE785269:EHE785274 ERA785269:ERA785274 FAW785269:FAW785274 FKS785269:FKS785274 FUO785269:FUO785274 GEK785269:GEK785274 GOG785269:GOG785274 GYC785269:GYC785274 HHY785269:HHY785274 HRU785269:HRU785274 IBQ785269:IBQ785274 ILM785269:ILM785274 IVI785269:IVI785274 JFE785269:JFE785274 JPA785269:JPA785274 JYW785269:JYW785274 KIS785269:KIS785274 KSO785269:KSO785274 LCK785269:LCK785274 LMG785269:LMG785274 LWC785269:LWC785274 MFY785269:MFY785274 MPU785269:MPU785274 MZQ785269:MZQ785274 NJM785269:NJM785274 NTI785269:NTI785274 ODE785269:ODE785274 ONA785269:ONA785274 OWW785269:OWW785274 PGS785269:PGS785274 PQO785269:PQO785274 QAK785269:QAK785274 QKG785269:QKG785274 QUC785269:QUC785274 RDY785269:RDY785274 RNU785269:RNU785274 RXQ785269:RXQ785274 SHM785269:SHM785274 SRI785269:SRI785274 TBE785269:TBE785274 TLA785269:TLA785274 TUW785269:TUW785274 UES785269:UES785274 UOO785269:UOO785274 UYK785269:UYK785274 VIG785269:VIG785274 VSC785269:VSC785274 WBY785269:WBY785274 WLU785269:WLU785274 WVQ785269:WVQ785274 I850826:I850831 JE850805:JE850810 TA850805:TA850810 ACW850805:ACW850810 AMS850805:AMS850810 AWO850805:AWO850810 BGK850805:BGK850810 BQG850805:BQG850810 CAC850805:CAC850810 CJY850805:CJY850810 CTU850805:CTU850810 DDQ850805:DDQ850810 DNM850805:DNM850810 DXI850805:DXI850810 EHE850805:EHE850810 ERA850805:ERA850810 FAW850805:FAW850810 FKS850805:FKS850810 FUO850805:FUO850810 GEK850805:GEK850810 GOG850805:GOG850810 GYC850805:GYC850810 HHY850805:HHY850810 HRU850805:HRU850810 IBQ850805:IBQ850810 ILM850805:ILM850810 IVI850805:IVI850810 JFE850805:JFE850810 JPA850805:JPA850810 JYW850805:JYW850810 KIS850805:KIS850810 KSO850805:KSO850810 LCK850805:LCK850810 LMG850805:LMG850810 LWC850805:LWC850810 MFY850805:MFY850810 MPU850805:MPU850810 MZQ850805:MZQ850810 NJM850805:NJM850810 NTI850805:NTI850810 ODE850805:ODE850810 ONA850805:ONA850810 OWW850805:OWW850810 PGS850805:PGS850810 PQO850805:PQO850810 QAK850805:QAK850810 QKG850805:QKG850810 QUC850805:QUC850810 RDY850805:RDY850810 RNU850805:RNU850810 RXQ850805:RXQ850810 SHM850805:SHM850810 SRI850805:SRI850810 TBE850805:TBE850810 TLA850805:TLA850810 TUW850805:TUW850810 UES850805:UES850810 UOO850805:UOO850810 UYK850805:UYK850810 VIG850805:VIG850810 VSC850805:VSC850810 WBY850805:WBY850810 WLU850805:WLU850810 WVQ850805:WVQ850810 I916362:I916367 JE916341:JE916346 TA916341:TA916346 ACW916341:ACW916346 AMS916341:AMS916346 AWO916341:AWO916346 BGK916341:BGK916346 BQG916341:BQG916346 CAC916341:CAC916346 CJY916341:CJY916346 CTU916341:CTU916346 DDQ916341:DDQ916346 DNM916341:DNM916346 DXI916341:DXI916346 EHE916341:EHE916346 ERA916341:ERA916346 FAW916341:FAW916346 FKS916341:FKS916346 FUO916341:FUO916346 GEK916341:GEK916346 GOG916341:GOG916346 GYC916341:GYC916346 HHY916341:HHY916346 HRU916341:HRU916346 IBQ916341:IBQ916346 ILM916341:ILM916346 IVI916341:IVI916346 JFE916341:JFE916346 JPA916341:JPA916346 JYW916341:JYW916346 KIS916341:KIS916346 KSO916341:KSO916346 LCK916341:LCK916346 LMG916341:LMG916346 LWC916341:LWC916346 MFY916341:MFY916346 MPU916341:MPU916346 MZQ916341:MZQ916346 NJM916341:NJM916346 NTI916341:NTI916346 ODE916341:ODE916346 ONA916341:ONA916346 OWW916341:OWW916346 PGS916341:PGS916346 PQO916341:PQO916346 QAK916341:QAK916346 QKG916341:QKG916346 QUC916341:QUC916346 RDY916341:RDY916346 RNU916341:RNU916346 RXQ916341:RXQ916346 SHM916341:SHM916346 SRI916341:SRI916346 TBE916341:TBE916346 TLA916341:TLA916346 TUW916341:TUW916346 UES916341:UES916346 UOO916341:UOO916346 UYK916341:UYK916346 VIG916341:VIG916346 VSC916341:VSC916346 WBY916341:WBY916346 WLU916341:WLU916346 WVQ916341:WVQ916346 I981898:I981903 JE981877:JE981882 TA981877:TA981882 ACW981877:ACW981882 AMS981877:AMS981882 AWO981877:AWO981882 BGK981877:BGK981882 BQG981877:BQG981882 CAC981877:CAC981882 CJY981877:CJY981882 CTU981877:CTU981882 DDQ981877:DDQ981882 DNM981877:DNM981882 DXI981877:DXI981882 EHE981877:EHE981882 ERA981877:ERA981882 FAW981877:FAW981882 FKS981877:FKS981882 FUO981877:FUO981882 GEK981877:GEK981882 GOG981877:GOG981882 GYC981877:GYC981882 HHY981877:HHY981882 HRU981877:HRU981882 IBQ981877:IBQ981882 ILM981877:ILM981882 IVI981877:IVI981882 JFE981877:JFE981882 JPA981877:JPA981882 JYW981877:JYW981882 KIS981877:KIS981882 KSO981877:KSO981882 LCK981877:LCK981882 LMG981877:LMG981882 LWC981877:LWC981882 MFY981877:MFY981882 MPU981877:MPU981882 MZQ981877:MZQ981882 NJM981877:NJM981882 NTI981877:NTI981882 ODE981877:ODE981882 ONA981877:ONA981882 OWW981877:OWW981882 PGS981877:PGS981882 PQO981877:PQO981882 QAK981877:QAK981882 QKG981877:QKG981882 QUC981877:QUC981882 RDY981877:RDY981882 RNU981877:RNU981882 RXQ981877:RXQ981882 SHM981877:SHM981882 SRI981877:SRI981882 TBE981877:TBE981882 TLA981877:TLA981882 TUW981877:TUW981882 UES981877:UES981882 UOO981877:UOO981882 UYK981877:UYK981882 VIG981877:VIG981882 VSC981877:VSC981882 WBY981877:WBY981882 WLU981877:WLU981882 WVQ981877:WVQ981882" xr:uid="{2E1FE621-664F-420D-B911-8BE18354DBBE}">
      <formula1>$AN$5:$AN$6</formula1>
    </dataValidation>
    <dataValidation type="list" allowBlank="1" showInputMessage="1" showErrorMessage="1" sqref="WVR981793:WVR981882 J64298:J64387 WLV981793:WLV981882 WBZ981793:WBZ981882 VSD981793:VSD981882 VIH981793:VIH981882 UYL981793:UYL981882 UOP981793:UOP981882 UET981793:UET981882 TUX981793:TUX981882 TLB981793:TLB981882 TBF981793:TBF981882 SRJ981793:SRJ981882 SHN981793:SHN981882 RXR981793:RXR981882 RNV981793:RNV981882 RDZ981793:RDZ981882 QUD981793:QUD981882 QKH981793:QKH981882 QAL981793:QAL981882 PQP981793:PQP981882 PGT981793:PGT981882 OWX981793:OWX981882 ONB981793:ONB981882 ODF981793:ODF981882 NTJ981793:NTJ981882 NJN981793:NJN981882 MZR981793:MZR981882 MPV981793:MPV981882 MFZ981793:MFZ981882 LWD981793:LWD981882 LMH981793:LMH981882 LCL981793:LCL981882 KSP981793:KSP981882 KIT981793:KIT981882 JYX981793:JYX981882 JPB981793:JPB981882 JFF981793:JFF981882 IVJ981793:IVJ981882 ILN981793:ILN981882 IBR981793:IBR981882 HRV981793:HRV981882 HHZ981793:HHZ981882 GYD981793:GYD981882 GOH981793:GOH981882 GEL981793:GEL981882 FUP981793:FUP981882 FKT981793:FKT981882 FAX981793:FAX981882 ERB981793:ERB981882 EHF981793:EHF981882 DXJ981793:DXJ981882 DNN981793:DNN981882 DDR981793:DDR981882 CTV981793:CTV981882 CJZ981793:CJZ981882 CAD981793:CAD981882 BQH981793:BQH981882 BGL981793:BGL981882 AWP981793:AWP981882 AMT981793:AMT981882 ACX981793:ACX981882 TB981793:TB981882 JF981793:JF981882 J981802:J981891 WVR916257:WVR916346 WLV916257:WLV916346 WBZ916257:WBZ916346 VSD916257:VSD916346 VIH916257:VIH916346 UYL916257:UYL916346 UOP916257:UOP916346 UET916257:UET916346 TUX916257:TUX916346 TLB916257:TLB916346 TBF916257:TBF916346 SRJ916257:SRJ916346 SHN916257:SHN916346 RXR916257:RXR916346 RNV916257:RNV916346 RDZ916257:RDZ916346 QUD916257:QUD916346 QKH916257:QKH916346 QAL916257:QAL916346 PQP916257:PQP916346 PGT916257:PGT916346 OWX916257:OWX916346 ONB916257:ONB916346 ODF916257:ODF916346 NTJ916257:NTJ916346 NJN916257:NJN916346 MZR916257:MZR916346 MPV916257:MPV916346 MFZ916257:MFZ916346 LWD916257:LWD916346 LMH916257:LMH916346 LCL916257:LCL916346 KSP916257:KSP916346 KIT916257:KIT916346 JYX916257:JYX916346 JPB916257:JPB916346 JFF916257:JFF916346 IVJ916257:IVJ916346 ILN916257:ILN916346 IBR916257:IBR916346 HRV916257:HRV916346 HHZ916257:HHZ916346 GYD916257:GYD916346 GOH916257:GOH916346 GEL916257:GEL916346 FUP916257:FUP916346 FKT916257:FKT916346 FAX916257:FAX916346 ERB916257:ERB916346 EHF916257:EHF916346 DXJ916257:DXJ916346 DNN916257:DNN916346 DDR916257:DDR916346 CTV916257:CTV916346 CJZ916257:CJZ916346 CAD916257:CAD916346 BQH916257:BQH916346 BGL916257:BGL916346 AWP916257:AWP916346 AMT916257:AMT916346 ACX916257:ACX916346 TB916257:TB916346 JF916257:JF916346 J916266:J916355 WVR850721:WVR850810 WLV850721:WLV850810 WBZ850721:WBZ850810 VSD850721:VSD850810 VIH850721:VIH850810 UYL850721:UYL850810 UOP850721:UOP850810 UET850721:UET850810 TUX850721:TUX850810 TLB850721:TLB850810 TBF850721:TBF850810 SRJ850721:SRJ850810 SHN850721:SHN850810 RXR850721:RXR850810 RNV850721:RNV850810 RDZ850721:RDZ850810 QUD850721:QUD850810 QKH850721:QKH850810 QAL850721:QAL850810 PQP850721:PQP850810 PGT850721:PGT850810 OWX850721:OWX850810 ONB850721:ONB850810 ODF850721:ODF850810 NTJ850721:NTJ850810 NJN850721:NJN850810 MZR850721:MZR850810 MPV850721:MPV850810 MFZ850721:MFZ850810 LWD850721:LWD850810 LMH850721:LMH850810 LCL850721:LCL850810 KSP850721:KSP850810 KIT850721:KIT850810 JYX850721:JYX850810 JPB850721:JPB850810 JFF850721:JFF850810 IVJ850721:IVJ850810 ILN850721:ILN850810 IBR850721:IBR850810 HRV850721:HRV850810 HHZ850721:HHZ850810 GYD850721:GYD850810 GOH850721:GOH850810 GEL850721:GEL850810 FUP850721:FUP850810 FKT850721:FKT850810 FAX850721:FAX850810 ERB850721:ERB850810 EHF850721:EHF850810 DXJ850721:DXJ850810 DNN850721:DNN850810 DDR850721:DDR850810 CTV850721:CTV850810 CJZ850721:CJZ850810 CAD850721:CAD850810 BQH850721:BQH850810 BGL850721:BGL850810 AWP850721:AWP850810 AMT850721:AMT850810 ACX850721:ACX850810 TB850721:TB850810 JF850721:JF850810 J850730:J850819 WVR785185:WVR785274 WLV785185:WLV785274 WBZ785185:WBZ785274 VSD785185:VSD785274 VIH785185:VIH785274 UYL785185:UYL785274 UOP785185:UOP785274 UET785185:UET785274 TUX785185:TUX785274 TLB785185:TLB785274 TBF785185:TBF785274 SRJ785185:SRJ785274 SHN785185:SHN785274 RXR785185:RXR785274 RNV785185:RNV785274 RDZ785185:RDZ785274 QUD785185:QUD785274 QKH785185:QKH785274 QAL785185:QAL785274 PQP785185:PQP785274 PGT785185:PGT785274 OWX785185:OWX785274 ONB785185:ONB785274 ODF785185:ODF785274 NTJ785185:NTJ785274 NJN785185:NJN785274 MZR785185:MZR785274 MPV785185:MPV785274 MFZ785185:MFZ785274 LWD785185:LWD785274 LMH785185:LMH785274 LCL785185:LCL785274 KSP785185:KSP785274 KIT785185:KIT785274 JYX785185:JYX785274 JPB785185:JPB785274 JFF785185:JFF785274 IVJ785185:IVJ785274 ILN785185:ILN785274 IBR785185:IBR785274 HRV785185:HRV785274 HHZ785185:HHZ785274 GYD785185:GYD785274 GOH785185:GOH785274 GEL785185:GEL785274 FUP785185:FUP785274 FKT785185:FKT785274 FAX785185:FAX785274 ERB785185:ERB785274 EHF785185:EHF785274 DXJ785185:DXJ785274 DNN785185:DNN785274 DDR785185:DDR785274 CTV785185:CTV785274 CJZ785185:CJZ785274 CAD785185:CAD785274 BQH785185:BQH785274 BGL785185:BGL785274 AWP785185:AWP785274 AMT785185:AMT785274 ACX785185:ACX785274 TB785185:TB785274 JF785185:JF785274 J785194:J785283 WVR719649:WVR719738 WLV719649:WLV719738 WBZ719649:WBZ719738 VSD719649:VSD719738 VIH719649:VIH719738 UYL719649:UYL719738 UOP719649:UOP719738 UET719649:UET719738 TUX719649:TUX719738 TLB719649:TLB719738 TBF719649:TBF719738 SRJ719649:SRJ719738 SHN719649:SHN719738 RXR719649:RXR719738 RNV719649:RNV719738 RDZ719649:RDZ719738 QUD719649:QUD719738 QKH719649:QKH719738 QAL719649:QAL719738 PQP719649:PQP719738 PGT719649:PGT719738 OWX719649:OWX719738 ONB719649:ONB719738 ODF719649:ODF719738 NTJ719649:NTJ719738 NJN719649:NJN719738 MZR719649:MZR719738 MPV719649:MPV719738 MFZ719649:MFZ719738 LWD719649:LWD719738 LMH719649:LMH719738 LCL719649:LCL719738 KSP719649:KSP719738 KIT719649:KIT719738 JYX719649:JYX719738 JPB719649:JPB719738 JFF719649:JFF719738 IVJ719649:IVJ719738 ILN719649:ILN719738 IBR719649:IBR719738 HRV719649:HRV719738 HHZ719649:HHZ719738 GYD719649:GYD719738 GOH719649:GOH719738 GEL719649:GEL719738 FUP719649:FUP719738 FKT719649:FKT719738 FAX719649:FAX719738 ERB719649:ERB719738 EHF719649:EHF719738 DXJ719649:DXJ719738 DNN719649:DNN719738 DDR719649:DDR719738 CTV719649:CTV719738 CJZ719649:CJZ719738 CAD719649:CAD719738 BQH719649:BQH719738 BGL719649:BGL719738 AWP719649:AWP719738 AMT719649:AMT719738 ACX719649:ACX719738 TB719649:TB719738 JF719649:JF719738 J719658:J719747 WVR654113:WVR654202 WLV654113:WLV654202 WBZ654113:WBZ654202 VSD654113:VSD654202 VIH654113:VIH654202 UYL654113:UYL654202 UOP654113:UOP654202 UET654113:UET654202 TUX654113:TUX654202 TLB654113:TLB654202 TBF654113:TBF654202 SRJ654113:SRJ654202 SHN654113:SHN654202 RXR654113:RXR654202 RNV654113:RNV654202 RDZ654113:RDZ654202 QUD654113:QUD654202 QKH654113:QKH654202 QAL654113:QAL654202 PQP654113:PQP654202 PGT654113:PGT654202 OWX654113:OWX654202 ONB654113:ONB654202 ODF654113:ODF654202 NTJ654113:NTJ654202 NJN654113:NJN654202 MZR654113:MZR654202 MPV654113:MPV654202 MFZ654113:MFZ654202 LWD654113:LWD654202 LMH654113:LMH654202 LCL654113:LCL654202 KSP654113:KSP654202 KIT654113:KIT654202 JYX654113:JYX654202 JPB654113:JPB654202 JFF654113:JFF654202 IVJ654113:IVJ654202 ILN654113:ILN654202 IBR654113:IBR654202 HRV654113:HRV654202 HHZ654113:HHZ654202 GYD654113:GYD654202 GOH654113:GOH654202 GEL654113:GEL654202 FUP654113:FUP654202 FKT654113:FKT654202 FAX654113:FAX654202 ERB654113:ERB654202 EHF654113:EHF654202 DXJ654113:DXJ654202 DNN654113:DNN654202 DDR654113:DDR654202 CTV654113:CTV654202 CJZ654113:CJZ654202 CAD654113:CAD654202 BQH654113:BQH654202 BGL654113:BGL654202 AWP654113:AWP654202 AMT654113:AMT654202 ACX654113:ACX654202 TB654113:TB654202 JF654113:JF654202 J654122:J654211 WVR588577:WVR588666 WLV588577:WLV588666 WBZ588577:WBZ588666 VSD588577:VSD588666 VIH588577:VIH588666 UYL588577:UYL588666 UOP588577:UOP588666 UET588577:UET588666 TUX588577:TUX588666 TLB588577:TLB588666 TBF588577:TBF588666 SRJ588577:SRJ588666 SHN588577:SHN588666 RXR588577:RXR588666 RNV588577:RNV588666 RDZ588577:RDZ588666 QUD588577:QUD588666 QKH588577:QKH588666 QAL588577:QAL588666 PQP588577:PQP588666 PGT588577:PGT588666 OWX588577:OWX588666 ONB588577:ONB588666 ODF588577:ODF588666 NTJ588577:NTJ588666 NJN588577:NJN588666 MZR588577:MZR588666 MPV588577:MPV588666 MFZ588577:MFZ588666 LWD588577:LWD588666 LMH588577:LMH588666 LCL588577:LCL588666 KSP588577:KSP588666 KIT588577:KIT588666 JYX588577:JYX588666 JPB588577:JPB588666 JFF588577:JFF588666 IVJ588577:IVJ588666 ILN588577:ILN588666 IBR588577:IBR588666 HRV588577:HRV588666 HHZ588577:HHZ588666 GYD588577:GYD588666 GOH588577:GOH588666 GEL588577:GEL588666 FUP588577:FUP588666 FKT588577:FKT588666 FAX588577:FAX588666 ERB588577:ERB588666 EHF588577:EHF588666 DXJ588577:DXJ588666 DNN588577:DNN588666 DDR588577:DDR588666 CTV588577:CTV588666 CJZ588577:CJZ588666 CAD588577:CAD588666 BQH588577:BQH588666 BGL588577:BGL588666 AWP588577:AWP588666 AMT588577:AMT588666 ACX588577:ACX588666 TB588577:TB588666 JF588577:JF588666 J588586:J588675 WVR523041:WVR523130 WLV523041:WLV523130 WBZ523041:WBZ523130 VSD523041:VSD523130 VIH523041:VIH523130 UYL523041:UYL523130 UOP523041:UOP523130 UET523041:UET523130 TUX523041:TUX523130 TLB523041:TLB523130 TBF523041:TBF523130 SRJ523041:SRJ523130 SHN523041:SHN523130 RXR523041:RXR523130 RNV523041:RNV523130 RDZ523041:RDZ523130 QUD523041:QUD523130 QKH523041:QKH523130 QAL523041:QAL523130 PQP523041:PQP523130 PGT523041:PGT523130 OWX523041:OWX523130 ONB523041:ONB523130 ODF523041:ODF523130 NTJ523041:NTJ523130 NJN523041:NJN523130 MZR523041:MZR523130 MPV523041:MPV523130 MFZ523041:MFZ523130 LWD523041:LWD523130 LMH523041:LMH523130 LCL523041:LCL523130 KSP523041:KSP523130 KIT523041:KIT523130 JYX523041:JYX523130 JPB523041:JPB523130 JFF523041:JFF523130 IVJ523041:IVJ523130 ILN523041:ILN523130 IBR523041:IBR523130 HRV523041:HRV523130 HHZ523041:HHZ523130 GYD523041:GYD523130 GOH523041:GOH523130 GEL523041:GEL523130 FUP523041:FUP523130 FKT523041:FKT523130 FAX523041:FAX523130 ERB523041:ERB523130 EHF523041:EHF523130 DXJ523041:DXJ523130 DNN523041:DNN523130 DDR523041:DDR523130 CTV523041:CTV523130 CJZ523041:CJZ523130 CAD523041:CAD523130 BQH523041:BQH523130 BGL523041:BGL523130 AWP523041:AWP523130 AMT523041:AMT523130 ACX523041:ACX523130 TB523041:TB523130 JF523041:JF523130 J523050:J523139 WVR457505:WVR457594 WLV457505:WLV457594 WBZ457505:WBZ457594 VSD457505:VSD457594 VIH457505:VIH457594 UYL457505:UYL457594 UOP457505:UOP457594 UET457505:UET457594 TUX457505:TUX457594 TLB457505:TLB457594 TBF457505:TBF457594 SRJ457505:SRJ457594 SHN457505:SHN457594 RXR457505:RXR457594 RNV457505:RNV457594 RDZ457505:RDZ457594 QUD457505:QUD457594 QKH457505:QKH457594 QAL457505:QAL457594 PQP457505:PQP457594 PGT457505:PGT457594 OWX457505:OWX457594 ONB457505:ONB457594 ODF457505:ODF457594 NTJ457505:NTJ457594 NJN457505:NJN457594 MZR457505:MZR457594 MPV457505:MPV457594 MFZ457505:MFZ457594 LWD457505:LWD457594 LMH457505:LMH457594 LCL457505:LCL457594 KSP457505:KSP457594 KIT457505:KIT457594 JYX457505:JYX457594 JPB457505:JPB457594 JFF457505:JFF457594 IVJ457505:IVJ457594 ILN457505:ILN457594 IBR457505:IBR457594 HRV457505:HRV457594 HHZ457505:HHZ457594 GYD457505:GYD457594 GOH457505:GOH457594 GEL457505:GEL457594 FUP457505:FUP457594 FKT457505:FKT457594 FAX457505:FAX457594 ERB457505:ERB457594 EHF457505:EHF457594 DXJ457505:DXJ457594 DNN457505:DNN457594 DDR457505:DDR457594 CTV457505:CTV457594 CJZ457505:CJZ457594 CAD457505:CAD457594 BQH457505:BQH457594 BGL457505:BGL457594 AWP457505:AWP457594 AMT457505:AMT457594 ACX457505:ACX457594 TB457505:TB457594 JF457505:JF457594 J457514:J457603 WVR391969:WVR392058 WLV391969:WLV392058 WBZ391969:WBZ392058 VSD391969:VSD392058 VIH391969:VIH392058 UYL391969:UYL392058 UOP391969:UOP392058 UET391969:UET392058 TUX391969:TUX392058 TLB391969:TLB392058 TBF391969:TBF392058 SRJ391969:SRJ392058 SHN391969:SHN392058 RXR391969:RXR392058 RNV391969:RNV392058 RDZ391969:RDZ392058 QUD391969:QUD392058 QKH391969:QKH392058 QAL391969:QAL392058 PQP391969:PQP392058 PGT391969:PGT392058 OWX391969:OWX392058 ONB391969:ONB392058 ODF391969:ODF392058 NTJ391969:NTJ392058 NJN391969:NJN392058 MZR391969:MZR392058 MPV391969:MPV392058 MFZ391969:MFZ392058 LWD391969:LWD392058 LMH391969:LMH392058 LCL391969:LCL392058 KSP391969:KSP392058 KIT391969:KIT392058 JYX391969:JYX392058 JPB391969:JPB392058 JFF391969:JFF392058 IVJ391969:IVJ392058 ILN391969:ILN392058 IBR391969:IBR392058 HRV391969:HRV392058 HHZ391969:HHZ392058 GYD391969:GYD392058 GOH391969:GOH392058 GEL391969:GEL392058 FUP391969:FUP392058 FKT391969:FKT392058 FAX391969:FAX392058 ERB391969:ERB392058 EHF391969:EHF392058 DXJ391969:DXJ392058 DNN391969:DNN392058 DDR391969:DDR392058 CTV391969:CTV392058 CJZ391969:CJZ392058 CAD391969:CAD392058 BQH391969:BQH392058 BGL391969:BGL392058 AWP391969:AWP392058 AMT391969:AMT392058 ACX391969:ACX392058 TB391969:TB392058 JF391969:JF392058 J391978:J392067 WVR326433:WVR326522 WLV326433:WLV326522 WBZ326433:WBZ326522 VSD326433:VSD326522 VIH326433:VIH326522 UYL326433:UYL326522 UOP326433:UOP326522 UET326433:UET326522 TUX326433:TUX326522 TLB326433:TLB326522 TBF326433:TBF326522 SRJ326433:SRJ326522 SHN326433:SHN326522 RXR326433:RXR326522 RNV326433:RNV326522 RDZ326433:RDZ326522 QUD326433:QUD326522 QKH326433:QKH326522 QAL326433:QAL326522 PQP326433:PQP326522 PGT326433:PGT326522 OWX326433:OWX326522 ONB326433:ONB326522 ODF326433:ODF326522 NTJ326433:NTJ326522 NJN326433:NJN326522 MZR326433:MZR326522 MPV326433:MPV326522 MFZ326433:MFZ326522 LWD326433:LWD326522 LMH326433:LMH326522 LCL326433:LCL326522 KSP326433:KSP326522 KIT326433:KIT326522 JYX326433:JYX326522 JPB326433:JPB326522 JFF326433:JFF326522 IVJ326433:IVJ326522 ILN326433:ILN326522 IBR326433:IBR326522 HRV326433:HRV326522 HHZ326433:HHZ326522 GYD326433:GYD326522 GOH326433:GOH326522 GEL326433:GEL326522 FUP326433:FUP326522 FKT326433:FKT326522 FAX326433:FAX326522 ERB326433:ERB326522 EHF326433:EHF326522 DXJ326433:DXJ326522 DNN326433:DNN326522 DDR326433:DDR326522 CTV326433:CTV326522 CJZ326433:CJZ326522 CAD326433:CAD326522 BQH326433:BQH326522 BGL326433:BGL326522 AWP326433:AWP326522 AMT326433:AMT326522 ACX326433:ACX326522 TB326433:TB326522 JF326433:JF326522 J326442:J326531 WVR260897:WVR260986 WLV260897:WLV260986 WBZ260897:WBZ260986 VSD260897:VSD260986 VIH260897:VIH260986 UYL260897:UYL260986 UOP260897:UOP260986 UET260897:UET260986 TUX260897:TUX260986 TLB260897:TLB260986 TBF260897:TBF260986 SRJ260897:SRJ260986 SHN260897:SHN260986 RXR260897:RXR260986 RNV260897:RNV260986 RDZ260897:RDZ260986 QUD260897:QUD260986 QKH260897:QKH260986 QAL260897:QAL260986 PQP260897:PQP260986 PGT260897:PGT260986 OWX260897:OWX260986 ONB260897:ONB260986 ODF260897:ODF260986 NTJ260897:NTJ260986 NJN260897:NJN260986 MZR260897:MZR260986 MPV260897:MPV260986 MFZ260897:MFZ260986 LWD260897:LWD260986 LMH260897:LMH260986 LCL260897:LCL260986 KSP260897:KSP260986 KIT260897:KIT260986 JYX260897:JYX260986 JPB260897:JPB260986 JFF260897:JFF260986 IVJ260897:IVJ260986 ILN260897:ILN260986 IBR260897:IBR260986 HRV260897:HRV260986 HHZ260897:HHZ260986 GYD260897:GYD260986 GOH260897:GOH260986 GEL260897:GEL260986 FUP260897:FUP260986 FKT260897:FKT260986 FAX260897:FAX260986 ERB260897:ERB260986 EHF260897:EHF260986 DXJ260897:DXJ260986 DNN260897:DNN260986 DDR260897:DDR260986 CTV260897:CTV260986 CJZ260897:CJZ260986 CAD260897:CAD260986 BQH260897:BQH260986 BGL260897:BGL260986 AWP260897:AWP260986 AMT260897:AMT260986 ACX260897:ACX260986 TB260897:TB260986 JF260897:JF260986 J260906:J260995 WVR195361:WVR195450 WLV195361:WLV195450 WBZ195361:WBZ195450 VSD195361:VSD195450 VIH195361:VIH195450 UYL195361:UYL195450 UOP195361:UOP195450 UET195361:UET195450 TUX195361:TUX195450 TLB195361:TLB195450 TBF195361:TBF195450 SRJ195361:SRJ195450 SHN195361:SHN195450 RXR195361:RXR195450 RNV195361:RNV195450 RDZ195361:RDZ195450 QUD195361:QUD195450 QKH195361:QKH195450 QAL195361:QAL195450 PQP195361:PQP195450 PGT195361:PGT195450 OWX195361:OWX195450 ONB195361:ONB195450 ODF195361:ODF195450 NTJ195361:NTJ195450 NJN195361:NJN195450 MZR195361:MZR195450 MPV195361:MPV195450 MFZ195361:MFZ195450 LWD195361:LWD195450 LMH195361:LMH195450 LCL195361:LCL195450 KSP195361:KSP195450 KIT195361:KIT195450 JYX195361:JYX195450 JPB195361:JPB195450 JFF195361:JFF195450 IVJ195361:IVJ195450 ILN195361:ILN195450 IBR195361:IBR195450 HRV195361:HRV195450 HHZ195361:HHZ195450 GYD195361:GYD195450 GOH195361:GOH195450 GEL195361:GEL195450 FUP195361:FUP195450 FKT195361:FKT195450 FAX195361:FAX195450 ERB195361:ERB195450 EHF195361:EHF195450 DXJ195361:DXJ195450 DNN195361:DNN195450 DDR195361:DDR195450 CTV195361:CTV195450 CJZ195361:CJZ195450 CAD195361:CAD195450 BQH195361:BQH195450 BGL195361:BGL195450 AWP195361:AWP195450 AMT195361:AMT195450 ACX195361:ACX195450 TB195361:TB195450 JF195361:JF195450 J195370:J195459 WVR129825:WVR129914 WLV129825:WLV129914 WBZ129825:WBZ129914 VSD129825:VSD129914 VIH129825:VIH129914 UYL129825:UYL129914 UOP129825:UOP129914 UET129825:UET129914 TUX129825:TUX129914 TLB129825:TLB129914 TBF129825:TBF129914 SRJ129825:SRJ129914 SHN129825:SHN129914 RXR129825:RXR129914 RNV129825:RNV129914 RDZ129825:RDZ129914 QUD129825:QUD129914 QKH129825:QKH129914 QAL129825:QAL129914 PQP129825:PQP129914 PGT129825:PGT129914 OWX129825:OWX129914 ONB129825:ONB129914 ODF129825:ODF129914 NTJ129825:NTJ129914 NJN129825:NJN129914 MZR129825:MZR129914 MPV129825:MPV129914 MFZ129825:MFZ129914 LWD129825:LWD129914 LMH129825:LMH129914 LCL129825:LCL129914 KSP129825:KSP129914 KIT129825:KIT129914 JYX129825:JYX129914 JPB129825:JPB129914 JFF129825:JFF129914 IVJ129825:IVJ129914 ILN129825:ILN129914 IBR129825:IBR129914 HRV129825:HRV129914 HHZ129825:HHZ129914 GYD129825:GYD129914 GOH129825:GOH129914 GEL129825:GEL129914 FUP129825:FUP129914 FKT129825:FKT129914 FAX129825:FAX129914 ERB129825:ERB129914 EHF129825:EHF129914 DXJ129825:DXJ129914 DNN129825:DNN129914 DDR129825:DDR129914 CTV129825:CTV129914 CJZ129825:CJZ129914 CAD129825:CAD129914 BQH129825:BQH129914 BGL129825:BGL129914 AWP129825:AWP129914 AMT129825:AMT129914 ACX129825:ACX129914 TB129825:TB129914 JF129825:JF129914 J129834:J129923 WVR64289:WVR64378 WLV64289:WLV64378 WBZ64289:WBZ64378 VSD64289:VSD64378 VIH64289:VIH64378 UYL64289:UYL64378 UOP64289:UOP64378 UET64289:UET64378 TUX64289:TUX64378 TLB64289:TLB64378 TBF64289:TBF64378 SRJ64289:SRJ64378 SHN64289:SHN64378 RXR64289:RXR64378 RNV64289:RNV64378 RDZ64289:RDZ64378 QUD64289:QUD64378 QKH64289:QKH64378 QAL64289:QAL64378 PQP64289:PQP64378 PGT64289:PGT64378 OWX64289:OWX64378 ONB64289:ONB64378 ODF64289:ODF64378 NTJ64289:NTJ64378 NJN64289:NJN64378 MZR64289:MZR64378 MPV64289:MPV64378 MFZ64289:MFZ64378 LWD64289:LWD64378 LMH64289:LMH64378 LCL64289:LCL64378 KSP64289:KSP64378 KIT64289:KIT64378 JYX64289:JYX64378 JPB64289:JPB64378 JFF64289:JFF64378 IVJ64289:IVJ64378 ILN64289:ILN64378 IBR64289:IBR64378 HRV64289:HRV64378 HHZ64289:HHZ64378 GYD64289:GYD64378 GOH64289:GOH64378 GEL64289:GEL64378 FUP64289:FUP64378 FKT64289:FKT64378 FAX64289:FAX64378 ERB64289:ERB64378 EHF64289:EHF64378 DXJ64289:DXJ64378 DNN64289:DNN64378 DDR64289:DDR64378 CTV64289:CTV64378 CJZ64289:CJZ64378 CAD64289:CAD64378 BQH64289:BQH64378 BGL64289:BGL64378 AWP64289:AWP64378 AMT64289:AMT64378 ACX64289:ACX64378 TB64289:TB64378 JF64289:JF64378 WVR2:WVR64 WLV2:WLV64 WBZ2:WBZ64 VSD2:VSD64 VIH2:VIH64 UYL2:UYL64 UOP2:UOP64 UET2:UET64 TUX2:TUX64 TLB2:TLB64 TBF2:TBF64 SRJ2:SRJ64 SHN2:SHN64 RXR2:RXR64 RNV2:RNV64 RDZ2:RDZ64 QUD2:QUD64 QKH2:QKH64 QAL2:QAL64 PQP2:PQP64 PGT2:PGT64 OWX2:OWX64 ONB2:ONB64 ODF2:ODF64 NTJ2:NTJ64 NJN2:NJN64 MZR2:MZR64 MPV2:MPV64 MFZ2:MFZ64 LWD2:LWD64 LMH2:LMH64 LCL2:LCL64 KSP2:KSP64 KIT2:KIT64 JYX2:JYX64 JPB2:JPB64 JFF2:JFF64 IVJ2:IVJ64 ILN2:ILN64 IBR2:IBR64 HRV2:HRV64 HHZ2:HHZ64 GYD2:GYD64 GOH2:GOH64 GEL2:GEL64 FUP2:FUP64 FKT2:FKT64 FAX2:FAX64 ERB2:ERB64 EHF2:EHF64 DXJ2:DXJ64 DNN2:DNN64 DDR2:DDR64 CTV2:CTV64 CJZ2:CJZ64 CAD2:CAD64 BQH2:BQH64 BGL2:BGL64 AWP2:AWP64 AMT2:AMT64 ACX2:ACX64 TB2:TB64 JF2:JF64" xr:uid="{9CD8E6FC-66C1-4C73-BEBD-DC377B9A6A65}">
      <formula1>$AP$2:$AP$9</formula1>
    </dataValidation>
    <dataValidation type="list" allowBlank="1" showInputMessage="1" showErrorMessage="1" sqref="WWF981793:WWF981876 WMJ981793:WMJ981876 WCN981793:WCN981876 VSR981793:VSR981876 VIV981793:VIV981876 UYZ981793:UYZ981876 UPD981793:UPD981876 UFH981793:UFH981876 TVL981793:TVL981876 TLP981793:TLP981876 TBT981793:TBT981876 SRX981793:SRX981876 SIB981793:SIB981876 RYF981793:RYF981876 ROJ981793:ROJ981876 REN981793:REN981876 QUR981793:QUR981876 QKV981793:QKV981876 QAZ981793:QAZ981876 PRD981793:PRD981876 PHH981793:PHH981876 OXL981793:OXL981876 ONP981793:ONP981876 ODT981793:ODT981876 NTX981793:NTX981876 NKB981793:NKB981876 NAF981793:NAF981876 MQJ981793:MQJ981876 MGN981793:MGN981876 LWR981793:LWR981876 LMV981793:LMV981876 LCZ981793:LCZ981876 KTD981793:KTD981876 KJH981793:KJH981876 JZL981793:JZL981876 JPP981793:JPP981876 JFT981793:JFT981876 IVX981793:IVX981876 IMB981793:IMB981876 ICF981793:ICF981876 HSJ981793:HSJ981876 HIN981793:HIN981876 GYR981793:GYR981876 GOV981793:GOV981876 GEZ981793:GEZ981876 FVD981793:FVD981876 FLH981793:FLH981876 FBL981793:FBL981876 ERP981793:ERP981876 EHT981793:EHT981876 DXX981793:DXX981876 DOB981793:DOB981876 DEF981793:DEF981876 CUJ981793:CUJ981876 CKN981793:CKN981876 CAR981793:CAR981876 BQV981793:BQV981876 BGZ981793:BGZ981876 AXD981793:AXD981876 ANH981793:ANH981876 ADL981793:ADL981876 TP981793:TP981876 JT981793:JT981876 X981793:X981876 WWF916257:WWF916340 WMJ916257:WMJ916340 WCN916257:WCN916340 VSR916257:VSR916340 VIV916257:VIV916340 UYZ916257:UYZ916340 UPD916257:UPD916340 UFH916257:UFH916340 TVL916257:TVL916340 TLP916257:TLP916340 TBT916257:TBT916340 SRX916257:SRX916340 SIB916257:SIB916340 RYF916257:RYF916340 ROJ916257:ROJ916340 REN916257:REN916340 QUR916257:QUR916340 QKV916257:QKV916340 QAZ916257:QAZ916340 PRD916257:PRD916340 PHH916257:PHH916340 OXL916257:OXL916340 ONP916257:ONP916340 ODT916257:ODT916340 NTX916257:NTX916340 NKB916257:NKB916340 NAF916257:NAF916340 MQJ916257:MQJ916340 MGN916257:MGN916340 LWR916257:LWR916340 LMV916257:LMV916340 LCZ916257:LCZ916340 KTD916257:KTD916340 KJH916257:KJH916340 JZL916257:JZL916340 JPP916257:JPP916340 JFT916257:JFT916340 IVX916257:IVX916340 IMB916257:IMB916340 ICF916257:ICF916340 HSJ916257:HSJ916340 HIN916257:HIN916340 GYR916257:GYR916340 GOV916257:GOV916340 GEZ916257:GEZ916340 FVD916257:FVD916340 FLH916257:FLH916340 FBL916257:FBL916340 ERP916257:ERP916340 EHT916257:EHT916340 DXX916257:DXX916340 DOB916257:DOB916340 DEF916257:DEF916340 CUJ916257:CUJ916340 CKN916257:CKN916340 CAR916257:CAR916340 BQV916257:BQV916340 BGZ916257:BGZ916340 AXD916257:AXD916340 ANH916257:ANH916340 ADL916257:ADL916340 TP916257:TP916340 JT916257:JT916340 X916257:X916340 WWF850721:WWF850804 WMJ850721:WMJ850804 WCN850721:WCN850804 VSR850721:VSR850804 VIV850721:VIV850804 UYZ850721:UYZ850804 UPD850721:UPD850804 UFH850721:UFH850804 TVL850721:TVL850804 TLP850721:TLP850804 TBT850721:TBT850804 SRX850721:SRX850804 SIB850721:SIB850804 RYF850721:RYF850804 ROJ850721:ROJ850804 REN850721:REN850804 QUR850721:QUR850804 QKV850721:QKV850804 QAZ850721:QAZ850804 PRD850721:PRD850804 PHH850721:PHH850804 OXL850721:OXL850804 ONP850721:ONP850804 ODT850721:ODT850804 NTX850721:NTX850804 NKB850721:NKB850804 NAF850721:NAF850804 MQJ850721:MQJ850804 MGN850721:MGN850804 LWR850721:LWR850804 LMV850721:LMV850804 LCZ850721:LCZ850804 KTD850721:KTD850804 KJH850721:KJH850804 JZL850721:JZL850804 JPP850721:JPP850804 JFT850721:JFT850804 IVX850721:IVX850804 IMB850721:IMB850804 ICF850721:ICF850804 HSJ850721:HSJ850804 HIN850721:HIN850804 GYR850721:GYR850804 GOV850721:GOV850804 GEZ850721:GEZ850804 FVD850721:FVD850804 FLH850721:FLH850804 FBL850721:FBL850804 ERP850721:ERP850804 EHT850721:EHT850804 DXX850721:DXX850804 DOB850721:DOB850804 DEF850721:DEF850804 CUJ850721:CUJ850804 CKN850721:CKN850804 CAR850721:CAR850804 BQV850721:BQV850804 BGZ850721:BGZ850804 AXD850721:AXD850804 ANH850721:ANH850804 ADL850721:ADL850804 TP850721:TP850804 JT850721:JT850804 X850721:X850804 WWF785185:WWF785268 WMJ785185:WMJ785268 WCN785185:WCN785268 VSR785185:VSR785268 VIV785185:VIV785268 UYZ785185:UYZ785268 UPD785185:UPD785268 UFH785185:UFH785268 TVL785185:TVL785268 TLP785185:TLP785268 TBT785185:TBT785268 SRX785185:SRX785268 SIB785185:SIB785268 RYF785185:RYF785268 ROJ785185:ROJ785268 REN785185:REN785268 QUR785185:QUR785268 QKV785185:QKV785268 QAZ785185:QAZ785268 PRD785185:PRD785268 PHH785185:PHH785268 OXL785185:OXL785268 ONP785185:ONP785268 ODT785185:ODT785268 NTX785185:NTX785268 NKB785185:NKB785268 NAF785185:NAF785268 MQJ785185:MQJ785268 MGN785185:MGN785268 LWR785185:LWR785268 LMV785185:LMV785268 LCZ785185:LCZ785268 KTD785185:KTD785268 KJH785185:KJH785268 JZL785185:JZL785268 JPP785185:JPP785268 JFT785185:JFT785268 IVX785185:IVX785268 IMB785185:IMB785268 ICF785185:ICF785268 HSJ785185:HSJ785268 HIN785185:HIN785268 GYR785185:GYR785268 GOV785185:GOV785268 GEZ785185:GEZ785268 FVD785185:FVD785268 FLH785185:FLH785268 FBL785185:FBL785268 ERP785185:ERP785268 EHT785185:EHT785268 DXX785185:DXX785268 DOB785185:DOB785268 DEF785185:DEF785268 CUJ785185:CUJ785268 CKN785185:CKN785268 CAR785185:CAR785268 BQV785185:BQV785268 BGZ785185:BGZ785268 AXD785185:AXD785268 ANH785185:ANH785268 ADL785185:ADL785268 TP785185:TP785268 JT785185:JT785268 X785185:X785268 WWF719649:WWF719732 WMJ719649:WMJ719732 WCN719649:WCN719732 VSR719649:VSR719732 VIV719649:VIV719732 UYZ719649:UYZ719732 UPD719649:UPD719732 UFH719649:UFH719732 TVL719649:TVL719732 TLP719649:TLP719732 TBT719649:TBT719732 SRX719649:SRX719732 SIB719649:SIB719732 RYF719649:RYF719732 ROJ719649:ROJ719732 REN719649:REN719732 QUR719649:QUR719732 QKV719649:QKV719732 QAZ719649:QAZ719732 PRD719649:PRD719732 PHH719649:PHH719732 OXL719649:OXL719732 ONP719649:ONP719732 ODT719649:ODT719732 NTX719649:NTX719732 NKB719649:NKB719732 NAF719649:NAF719732 MQJ719649:MQJ719732 MGN719649:MGN719732 LWR719649:LWR719732 LMV719649:LMV719732 LCZ719649:LCZ719732 KTD719649:KTD719732 KJH719649:KJH719732 JZL719649:JZL719732 JPP719649:JPP719732 JFT719649:JFT719732 IVX719649:IVX719732 IMB719649:IMB719732 ICF719649:ICF719732 HSJ719649:HSJ719732 HIN719649:HIN719732 GYR719649:GYR719732 GOV719649:GOV719732 GEZ719649:GEZ719732 FVD719649:FVD719732 FLH719649:FLH719732 FBL719649:FBL719732 ERP719649:ERP719732 EHT719649:EHT719732 DXX719649:DXX719732 DOB719649:DOB719732 DEF719649:DEF719732 CUJ719649:CUJ719732 CKN719649:CKN719732 CAR719649:CAR719732 BQV719649:BQV719732 BGZ719649:BGZ719732 AXD719649:AXD719732 ANH719649:ANH719732 ADL719649:ADL719732 TP719649:TP719732 JT719649:JT719732 X719649:X719732 WWF654113:WWF654196 WMJ654113:WMJ654196 WCN654113:WCN654196 VSR654113:VSR654196 VIV654113:VIV654196 UYZ654113:UYZ654196 UPD654113:UPD654196 UFH654113:UFH654196 TVL654113:TVL654196 TLP654113:TLP654196 TBT654113:TBT654196 SRX654113:SRX654196 SIB654113:SIB654196 RYF654113:RYF654196 ROJ654113:ROJ654196 REN654113:REN654196 QUR654113:QUR654196 QKV654113:QKV654196 QAZ654113:QAZ654196 PRD654113:PRD654196 PHH654113:PHH654196 OXL654113:OXL654196 ONP654113:ONP654196 ODT654113:ODT654196 NTX654113:NTX654196 NKB654113:NKB654196 NAF654113:NAF654196 MQJ654113:MQJ654196 MGN654113:MGN654196 LWR654113:LWR654196 LMV654113:LMV654196 LCZ654113:LCZ654196 KTD654113:KTD654196 KJH654113:KJH654196 JZL654113:JZL654196 JPP654113:JPP654196 JFT654113:JFT654196 IVX654113:IVX654196 IMB654113:IMB654196 ICF654113:ICF654196 HSJ654113:HSJ654196 HIN654113:HIN654196 GYR654113:GYR654196 GOV654113:GOV654196 GEZ654113:GEZ654196 FVD654113:FVD654196 FLH654113:FLH654196 FBL654113:FBL654196 ERP654113:ERP654196 EHT654113:EHT654196 DXX654113:DXX654196 DOB654113:DOB654196 DEF654113:DEF654196 CUJ654113:CUJ654196 CKN654113:CKN654196 CAR654113:CAR654196 BQV654113:BQV654196 BGZ654113:BGZ654196 AXD654113:AXD654196 ANH654113:ANH654196 ADL654113:ADL654196 TP654113:TP654196 JT654113:JT654196 X654113:X654196 WWF588577:WWF588660 WMJ588577:WMJ588660 WCN588577:WCN588660 VSR588577:VSR588660 VIV588577:VIV588660 UYZ588577:UYZ588660 UPD588577:UPD588660 UFH588577:UFH588660 TVL588577:TVL588660 TLP588577:TLP588660 TBT588577:TBT588660 SRX588577:SRX588660 SIB588577:SIB588660 RYF588577:RYF588660 ROJ588577:ROJ588660 REN588577:REN588660 QUR588577:QUR588660 QKV588577:QKV588660 QAZ588577:QAZ588660 PRD588577:PRD588660 PHH588577:PHH588660 OXL588577:OXL588660 ONP588577:ONP588660 ODT588577:ODT588660 NTX588577:NTX588660 NKB588577:NKB588660 NAF588577:NAF588660 MQJ588577:MQJ588660 MGN588577:MGN588660 LWR588577:LWR588660 LMV588577:LMV588660 LCZ588577:LCZ588660 KTD588577:KTD588660 KJH588577:KJH588660 JZL588577:JZL588660 JPP588577:JPP588660 JFT588577:JFT588660 IVX588577:IVX588660 IMB588577:IMB588660 ICF588577:ICF588660 HSJ588577:HSJ588660 HIN588577:HIN588660 GYR588577:GYR588660 GOV588577:GOV588660 GEZ588577:GEZ588660 FVD588577:FVD588660 FLH588577:FLH588660 FBL588577:FBL588660 ERP588577:ERP588660 EHT588577:EHT588660 DXX588577:DXX588660 DOB588577:DOB588660 DEF588577:DEF588660 CUJ588577:CUJ588660 CKN588577:CKN588660 CAR588577:CAR588660 BQV588577:BQV588660 BGZ588577:BGZ588660 AXD588577:AXD588660 ANH588577:ANH588660 ADL588577:ADL588660 TP588577:TP588660 JT588577:JT588660 X588577:X588660 WWF523041:WWF523124 WMJ523041:WMJ523124 WCN523041:WCN523124 VSR523041:VSR523124 VIV523041:VIV523124 UYZ523041:UYZ523124 UPD523041:UPD523124 UFH523041:UFH523124 TVL523041:TVL523124 TLP523041:TLP523124 TBT523041:TBT523124 SRX523041:SRX523124 SIB523041:SIB523124 RYF523041:RYF523124 ROJ523041:ROJ523124 REN523041:REN523124 QUR523041:QUR523124 QKV523041:QKV523124 QAZ523041:QAZ523124 PRD523041:PRD523124 PHH523041:PHH523124 OXL523041:OXL523124 ONP523041:ONP523124 ODT523041:ODT523124 NTX523041:NTX523124 NKB523041:NKB523124 NAF523041:NAF523124 MQJ523041:MQJ523124 MGN523041:MGN523124 LWR523041:LWR523124 LMV523041:LMV523124 LCZ523041:LCZ523124 KTD523041:KTD523124 KJH523041:KJH523124 JZL523041:JZL523124 JPP523041:JPP523124 JFT523041:JFT523124 IVX523041:IVX523124 IMB523041:IMB523124 ICF523041:ICF523124 HSJ523041:HSJ523124 HIN523041:HIN523124 GYR523041:GYR523124 GOV523041:GOV523124 GEZ523041:GEZ523124 FVD523041:FVD523124 FLH523041:FLH523124 FBL523041:FBL523124 ERP523041:ERP523124 EHT523041:EHT523124 DXX523041:DXX523124 DOB523041:DOB523124 DEF523041:DEF523124 CUJ523041:CUJ523124 CKN523041:CKN523124 CAR523041:CAR523124 BQV523041:BQV523124 BGZ523041:BGZ523124 AXD523041:AXD523124 ANH523041:ANH523124 ADL523041:ADL523124 TP523041:TP523124 JT523041:JT523124 X523041:X523124 WWF457505:WWF457588 WMJ457505:WMJ457588 WCN457505:WCN457588 VSR457505:VSR457588 VIV457505:VIV457588 UYZ457505:UYZ457588 UPD457505:UPD457588 UFH457505:UFH457588 TVL457505:TVL457588 TLP457505:TLP457588 TBT457505:TBT457588 SRX457505:SRX457588 SIB457505:SIB457588 RYF457505:RYF457588 ROJ457505:ROJ457588 REN457505:REN457588 QUR457505:QUR457588 QKV457505:QKV457588 QAZ457505:QAZ457588 PRD457505:PRD457588 PHH457505:PHH457588 OXL457505:OXL457588 ONP457505:ONP457588 ODT457505:ODT457588 NTX457505:NTX457588 NKB457505:NKB457588 NAF457505:NAF457588 MQJ457505:MQJ457588 MGN457505:MGN457588 LWR457505:LWR457588 LMV457505:LMV457588 LCZ457505:LCZ457588 KTD457505:KTD457588 KJH457505:KJH457588 JZL457505:JZL457588 JPP457505:JPP457588 JFT457505:JFT457588 IVX457505:IVX457588 IMB457505:IMB457588 ICF457505:ICF457588 HSJ457505:HSJ457588 HIN457505:HIN457588 GYR457505:GYR457588 GOV457505:GOV457588 GEZ457505:GEZ457588 FVD457505:FVD457588 FLH457505:FLH457588 FBL457505:FBL457588 ERP457505:ERP457588 EHT457505:EHT457588 DXX457505:DXX457588 DOB457505:DOB457588 DEF457505:DEF457588 CUJ457505:CUJ457588 CKN457505:CKN457588 CAR457505:CAR457588 BQV457505:BQV457588 BGZ457505:BGZ457588 AXD457505:AXD457588 ANH457505:ANH457588 ADL457505:ADL457588 TP457505:TP457588 JT457505:JT457588 X457505:X457588 WWF391969:WWF392052 WMJ391969:WMJ392052 WCN391969:WCN392052 VSR391969:VSR392052 VIV391969:VIV392052 UYZ391969:UYZ392052 UPD391969:UPD392052 UFH391969:UFH392052 TVL391969:TVL392052 TLP391969:TLP392052 TBT391969:TBT392052 SRX391969:SRX392052 SIB391969:SIB392052 RYF391969:RYF392052 ROJ391969:ROJ392052 REN391969:REN392052 QUR391969:QUR392052 QKV391969:QKV392052 QAZ391969:QAZ392052 PRD391969:PRD392052 PHH391969:PHH392052 OXL391969:OXL392052 ONP391969:ONP392052 ODT391969:ODT392052 NTX391969:NTX392052 NKB391969:NKB392052 NAF391969:NAF392052 MQJ391969:MQJ392052 MGN391969:MGN392052 LWR391969:LWR392052 LMV391969:LMV392052 LCZ391969:LCZ392052 KTD391969:KTD392052 KJH391969:KJH392052 JZL391969:JZL392052 JPP391969:JPP392052 JFT391969:JFT392052 IVX391969:IVX392052 IMB391969:IMB392052 ICF391969:ICF392052 HSJ391969:HSJ392052 HIN391969:HIN392052 GYR391969:GYR392052 GOV391969:GOV392052 GEZ391969:GEZ392052 FVD391969:FVD392052 FLH391969:FLH392052 FBL391969:FBL392052 ERP391969:ERP392052 EHT391969:EHT392052 DXX391969:DXX392052 DOB391969:DOB392052 DEF391969:DEF392052 CUJ391969:CUJ392052 CKN391969:CKN392052 CAR391969:CAR392052 BQV391969:BQV392052 BGZ391969:BGZ392052 AXD391969:AXD392052 ANH391969:ANH392052 ADL391969:ADL392052 TP391969:TP392052 JT391969:JT392052 X391969:X392052 WWF326433:WWF326516 WMJ326433:WMJ326516 WCN326433:WCN326516 VSR326433:VSR326516 VIV326433:VIV326516 UYZ326433:UYZ326516 UPD326433:UPD326516 UFH326433:UFH326516 TVL326433:TVL326516 TLP326433:TLP326516 TBT326433:TBT326516 SRX326433:SRX326516 SIB326433:SIB326516 RYF326433:RYF326516 ROJ326433:ROJ326516 REN326433:REN326516 QUR326433:QUR326516 QKV326433:QKV326516 QAZ326433:QAZ326516 PRD326433:PRD326516 PHH326433:PHH326516 OXL326433:OXL326516 ONP326433:ONP326516 ODT326433:ODT326516 NTX326433:NTX326516 NKB326433:NKB326516 NAF326433:NAF326516 MQJ326433:MQJ326516 MGN326433:MGN326516 LWR326433:LWR326516 LMV326433:LMV326516 LCZ326433:LCZ326516 KTD326433:KTD326516 KJH326433:KJH326516 JZL326433:JZL326516 JPP326433:JPP326516 JFT326433:JFT326516 IVX326433:IVX326516 IMB326433:IMB326516 ICF326433:ICF326516 HSJ326433:HSJ326516 HIN326433:HIN326516 GYR326433:GYR326516 GOV326433:GOV326516 GEZ326433:GEZ326516 FVD326433:FVD326516 FLH326433:FLH326516 FBL326433:FBL326516 ERP326433:ERP326516 EHT326433:EHT326516 DXX326433:DXX326516 DOB326433:DOB326516 DEF326433:DEF326516 CUJ326433:CUJ326516 CKN326433:CKN326516 CAR326433:CAR326516 BQV326433:BQV326516 BGZ326433:BGZ326516 AXD326433:AXD326516 ANH326433:ANH326516 ADL326433:ADL326516 TP326433:TP326516 JT326433:JT326516 X326433:X326516 WWF260897:WWF260980 WMJ260897:WMJ260980 WCN260897:WCN260980 VSR260897:VSR260980 VIV260897:VIV260980 UYZ260897:UYZ260980 UPD260897:UPD260980 UFH260897:UFH260980 TVL260897:TVL260980 TLP260897:TLP260980 TBT260897:TBT260980 SRX260897:SRX260980 SIB260897:SIB260980 RYF260897:RYF260980 ROJ260897:ROJ260980 REN260897:REN260980 QUR260897:QUR260980 QKV260897:QKV260980 QAZ260897:QAZ260980 PRD260897:PRD260980 PHH260897:PHH260980 OXL260897:OXL260980 ONP260897:ONP260980 ODT260897:ODT260980 NTX260897:NTX260980 NKB260897:NKB260980 NAF260897:NAF260980 MQJ260897:MQJ260980 MGN260897:MGN260980 LWR260897:LWR260980 LMV260897:LMV260980 LCZ260897:LCZ260980 KTD260897:KTD260980 KJH260897:KJH260980 JZL260897:JZL260980 JPP260897:JPP260980 JFT260897:JFT260980 IVX260897:IVX260980 IMB260897:IMB260980 ICF260897:ICF260980 HSJ260897:HSJ260980 HIN260897:HIN260980 GYR260897:GYR260980 GOV260897:GOV260980 GEZ260897:GEZ260980 FVD260897:FVD260980 FLH260897:FLH260980 FBL260897:FBL260980 ERP260897:ERP260980 EHT260897:EHT260980 DXX260897:DXX260980 DOB260897:DOB260980 DEF260897:DEF260980 CUJ260897:CUJ260980 CKN260897:CKN260980 CAR260897:CAR260980 BQV260897:BQV260980 BGZ260897:BGZ260980 AXD260897:AXD260980 ANH260897:ANH260980 ADL260897:ADL260980 TP260897:TP260980 JT260897:JT260980 X260897:X260980 WWF195361:WWF195444 WMJ195361:WMJ195444 WCN195361:WCN195444 VSR195361:VSR195444 VIV195361:VIV195444 UYZ195361:UYZ195444 UPD195361:UPD195444 UFH195361:UFH195444 TVL195361:TVL195444 TLP195361:TLP195444 TBT195361:TBT195444 SRX195361:SRX195444 SIB195361:SIB195444 RYF195361:RYF195444 ROJ195361:ROJ195444 REN195361:REN195444 QUR195361:QUR195444 QKV195361:QKV195444 QAZ195361:QAZ195444 PRD195361:PRD195444 PHH195361:PHH195444 OXL195361:OXL195444 ONP195361:ONP195444 ODT195361:ODT195444 NTX195361:NTX195444 NKB195361:NKB195444 NAF195361:NAF195444 MQJ195361:MQJ195444 MGN195361:MGN195444 LWR195361:LWR195444 LMV195361:LMV195444 LCZ195361:LCZ195444 KTD195361:KTD195444 KJH195361:KJH195444 JZL195361:JZL195444 JPP195361:JPP195444 JFT195361:JFT195444 IVX195361:IVX195444 IMB195361:IMB195444 ICF195361:ICF195444 HSJ195361:HSJ195444 HIN195361:HIN195444 GYR195361:GYR195444 GOV195361:GOV195444 GEZ195361:GEZ195444 FVD195361:FVD195444 FLH195361:FLH195444 FBL195361:FBL195444 ERP195361:ERP195444 EHT195361:EHT195444 DXX195361:DXX195444 DOB195361:DOB195444 DEF195361:DEF195444 CUJ195361:CUJ195444 CKN195361:CKN195444 CAR195361:CAR195444 BQV195361:BQV195444 BGZ195361:BGZ195444 AXD195361:AXD195444 ANH195361:ANH195444 ADL195361:ADL195444 TP195361:TP195444 JT195361:JT195444 X195361:X195444 WWF129825:WWF129908 WMJ129825:WMJ129908 WCN129825:WCN129908 VSR129825:VSR129908 VIV129825:VIV129908 UYZ129825:UYZ129908 UPD129825:UPD129908 UFH129825:UFH129908 TVL129825:TVL129908 TLP129825:TLP129908 TBT129825:TBT129908 SRX129825:SRX129908 SIB129825:SIB129908 RYF129825:RYF129908 ROJ129825:ROJ129908 REN129825:REN129908 QUR129825:QUR129908 QKV129825:QKV129908 QAZ129825:QAZ129908 PRD129825:PRD129908 PHH129825:PHH129908 OXL129825:OXL129908 ONP129825:ONP129908 ODT129825:ODT129908 NTX129825:NTX129908 NKB129825:NKB129908 NAF129825:NAF129908 MQJ129825:MQJ129908 MGN129825:MGN129908 LWR129825:LWR129908 LMV129825:LMV129908 LCZ129825:LCZ129908 KTD129825:KTD129908 KJH129825:KJH129908 JZL129825:JZL129908 JPP129825:JPP129908 JFT129825:JFT129908 IVX129825:IVX129908 IMB129825:IMB129908 ICF129825:ICF129908 HSJ129825:HSJ129908 HIN129825:HIN129908 GYR129825:GYR129908 GOV129825:GOV129908 GEZ129825:GEZ129908 FVD129825:FVD129908 FLH129825:FLH129908 FBL129825:FBL129908 ERP129825:ERP129908 EHT129825:EHT129908 DXX129825:DXX129908 DOB129825:DOB129908 DEF129825:DEF129908 CUJ129825:CUJ129908 CKN129825:CKN129908 CAR129825:CAR129908 BQV129825:BQV129908 BGZ129825:BGZ129908 AXD129825:AXD129908 ANH129825:ANH129908 ADL129825:ADL129908 TP129825:TP129908 JT129825:JT129908 X129825:X129908 WWF64289:WWF64372 WMJ64289:WMJ64372 WCN64289:WCN64372 VSR64289:VSR64372 VIV64289:VIV64372 UYZ64289:UYZ64372 UPD64289:UPD64372 UFH64289:UFH64372 TVL64289:TVL64372 TLP64289:TLP64372 TBT64289:TBT64372 SRX64289:SRX64372 SIB64289:SIB64372 RYF64289:RYF64372 ROJ64289:ROJ64372 REN64289:REN64372 QUR64289:QUR64372 QKV64289:QKV64372 QAZ64289:QAZ64372 PRD64289:PRD64372 PHH64289:PHH64372 OXL64289:OXL64372 ONP64289:ONP64372 ODT64289:ODT64372 NTX64289:NTX64372 NKB64289:NKB64372 NAF64289:NAF64372 MQJ64289:MQJ64372 MGN64289:MGN64372 LWR64289:LWR64372 LMV64289:LMV64372 LCZ64289:LCZ64372 KTD64289:KTD64372 KJH64289:KJH64372 JZL64289:JZL64372 JPP64289:JPP64372 JFT64289:JFT64372 IVX64289:IVX64372 IMB64289:IMB64372 ICF64289:ICF64372 HSJ64289:HSJ64372 HIN64289:HIN64372 GYR64289:GYR64372 GOV64289:GOV64372 GEZ64289:GEZ64372 FVD64289:FVD64372 FLH64289:FLH64372 FBL64289:FBL64372 ERP64289:ERP64372 EHT64289:EHT64372 DXX64289:DXX64372 DOB64289:DOB64372 DEF64289:DEF64372 CUJ64289:CUJ64372 CKN64289:CKN64372 CAR64289:CAR64372 BQV64289:BQV64372 BGZ64289:BGZ64372 AXD64289:AXD64372 ANH64289:ANH64372 ADL64289:ADL64372 TP64289:TP64372 JT64289:JT64372 X64289:X64372 WWF2:WWF64 WMJ2:WMJ64 WCN2:WCN64 VSR2:VSR64 VIV2:VIV64 UYZ2:UYZ64 UPD2:UPD64 UFH2:UFH64 TVL2:TVL64 TLP2:TLP64 TBT2:TBT64 SRX2:SRX64 SIB2:SIB64 RYF2:RYF64 ROJ2:ROJ64 REN2:REN64 QUR2:QUR64 QKV2:QKV64 QAZ2:QAZ64 PRD2:PRD64 PHH2:PHH64 OXL2:OXL64 ONP2:ONP64 ODT2:ODT64 NTX2:NTX64 NKB2:NKB64 NAF2:NAF64 MQJ2:MQJ64 MGN2:MGN64 LWR2:LWR64 LMV2:LMV64 LCZ2:LCZ64 KTD2:KTD64 KJH2:KJH64 JZL2:JZL64 JPP2:JPP64 JFT2:JFT64 IVX2:IVX64 IMB2:IMB64 ICF2:ICF64 HSJ2:HSJ64 HIN2:HIN64 GYR2:GYR64 GOV2:GOV64 GEZ2:GEZ64 FVD2:FVD64 FLH2:FLH64 FBL2:FBL64 ERP2:ERP64 EHT2:EHT64 DXX2:DXX64 DOB2:DOB64 DEF2:DEF64 CUJ2:CUJ64 CKN2:CKN64 CAR2:CAR64 BQV2:BQV64 BGZ2:BGZ64 AXD2:AXD64 ANH2:ANH64 ADL2:ADL64 TP2:TP64 JT2:JT64 X2:X488" xr:uid="{C3792912-806D-416A-A418-8ADEE112FA3E}">
      <formula1>$AT$2:$AT$3</formula1>
    </dataValidation>
    <dataValidation operator="equal" allowBlank="1" showInputMessage="1" showErrorMessage="1" sqref="WVJ981793:WVJ981882 WLN981793:WLN981882 WBR981793:WBR981882 VRV981793:VRV981882 VHZ981793:VHZ981882 UYD981793:UYD981882 UOH981793:UOH981882 UEL981793:UEL981882 TUP981793:TUP981882 TKT981793:TKT981882 TAX981793:TAX981882 SRB981793:SRB981882 SHF981793:SHF981882 RXJ981793:RXJ981882 RNN981793:RNN981882 RDR981793:RDR981882 QTV981793:QTV981882 QJZ981793:QJZ981882 QAD981793:QAD981882 PQH981793:PQH981882 PGL981793:PGL981882 OWP981793:OWP981882 OMT981793:OMT981882 OCX981793:OCX981882 NTB981793:NTB981882 NJF981793:NJF981882 MZJ981793:MZJ981882 MPN981793:MPN981882 MFR981793:MFR981882 LVV981793:LVV981882 LLZ981793:LLZ981882 LCD981793:LCD981882 KSH981793:KSH981882 KIL981793:KIL981882 JYP981793:JYP981882 JOT981793:JOT981882 JEX981793:JEX981882 IVB981793:IVB981882 ILF981793:ILF981882 IBJ981793:IBJ981882 HRN981793:HRN981882 HHR981793:HHR981882 GXV981793:GXV981882 GNZ981793:GNZ981882 GED981793:GED981882 FUH981793:FUH981882 FKL981793:FKL981882 FAP981793:FAP981882 EQT981793:EQT981882 EGX981793:EGX981882 DXB981793:DXB981882 DNF981793:DNF981882 DDJ981793:DDJ981882 CTN981793:CTN981882 CJR981793:CJR981882 BZV981793:BZV981882 BPZ981793:BPZ981882 BGD981793:BGD981882 AWH981793:AWH981882 AML981793:AML981882 ACP981793:ACP981882 ST981793:ST981882 IX981793:IX981882 B981799:B981888 WVJ916257:WVJ916346 WLN916257:WLN916346 WBR916257:WBR916346 VRV916257:VRV916346 VHZ916257:VHZ916346 UYD916257:UYD916346 UOH916257:UOH916346 UEL916257:UEL916346 TUP916257:TUP916346 TKT916257:TKT916346 TAX916257:TAX916346 SRB916257:SRB916346 SHF916257:SHF916346 RXJ916257:RXJ916346 RNN916257:RNN916346 RDR916257:RDR916346 QTV916257:QTV916346 QJZ916257:QJZ916346 QAD916257:QAD916346 PQH916257:PQH916346 PGL916257:PGL916346 OWP916257:OWP916346 OMT916257:OMT916346 OCX916257:OCX916346 NTB916257:NTB916346 NJF916257:NJF916346 MZJ916257:MZJ916346 MPN916257:MPN916346 MFR916257:MFR916346 LVV916257:LVV916346 LLZ916257:LLZ916346 LCD916257:LCD916346 KSH916257:KSH916346 KIL916257:KIL916346 JYP916257:JYP916346 JOT916257:JOT916346 JEX916257:JEX916346 IVB916257:IVB916346 ILF916257:ILF916346 IBJ916257:IBJ916346 HRN916257:HRN916346 HHR916257:HHR916346 GXV916257:GXV916346 GNZ916257:GNZ916346 GED916257:GED916346 FUH916257:FUH916346 FKL916257:FKL916346 FAP916257:FAP916346 EQT916257:EQT916346 EGX916257:EGX916346 DXB916257:DXB916346 DNF916257:DNF916346 DDJ916257:DDJ916346 CTN916257:CTN916346 CJR916257:CJR916346 BZV916257:BZV916346 BPZ916257:BPZ916346 BGD916257:BGD916346 AWH916257:AWH916346 AML916257:AML916346 ACP916257:ACP916346 ST916257:ST916346 IX916257:IX916346 B916263:B916352 WVJ850721:WVJ850810 WLN850721:WLN850810 WBR850721:WBR850810 VRV850721:VRV850810 VHZ850721:VHZ850810 UYD850721:UYD850810 UOH850721:UOH850810 UEL850721:UEL850810 TUP850721:TUP850810 TKT850721:TKT850810 TAX850721:TAX850810 SRB850721:SRB850810 SHF850721:SHF850810 RXJ850721:RXJ850810 RNN850721:RNN850810 RDR850721:RDR850810 QTV850721:QTV850810 QJZ850721:QJZ850810 QAD850721:QAD850810 PQH850721:PQH850810 PGL850721:PGL850810 OWP850721:OWP850810 OMT850721:OMT850810 OCX850721:OCX850810 NTB850721:NTB850810 NJF850721:NJF850810 MZJ850721:MZJ850810 MPN850721:MPN850810 MFR850721:MFR850810 LVV850721:LVV850810 LLZ850721:LLZ850810 LCD850721:LCD850810 KSH850721:KSH850810 KIL850721:KIL850810 JYP850721:JYP850810 JOT850721:JOT850810 JEX850721:JEX850810 IVB850721:IVB850810 ILF850721:ILF850810 IBJ850721:IBJ850810 HRN850721:HRN850810 HHR850721:HHR850810 GXV850721:GXV850810 GNZ850721:GNZ850810 GED850721:GED850810 FUH850721:FUH850810 FKL850721:FKL850810 FAP850721:FAP850810 EQT850721:EQT850810 EGX850721:EGX850810 DXB850721:DXB850810 DNF850721:DNF850810 DDJ850721:DDJ850810 CTN850721:CTN850810 CJR850721:CJR850810 BZV850721:BZV850810 BPZ850721:BPZ850810 BGD850721:BGD850810 AWH850721:AWH850810 AML850721:AML850810 ACP850721:ACP850810 ST850721:ST850810 IX850721:IX850810 B850727:B850816 WVJ785185:WVJ785274 WLN785185:WLN785274 WBR785185:WBR785274 VRV785185:VRV785274 VHZ785185:VHZ785274 UYD785185:UYD785274 UOH785185:UOH785274 UEL785185:UEL785274 TUP785185:TUP785274 TKT785185:TKT785274 TAX785185:TAX785274 SRB785185:SRB785274 SHF785185:SHF785274 RXJ785185:RXJ785274 RNN785185:RNN785274 RDR785185:RDR785274 QTV785185:QTV785274 QJZ785185:QJZ785274 QAD785185:QAD785274 PQH785185:PQH785274 PGL785185:PGL785274 OWP785185:OWP785274 OMT785185:OMT785274 OCX785185:OCX785274 NTB785185:NTB785274 NJF785185:NJF785274 MZJ785185:MZJ785274 MPN785185:MPN785274 MFR785185:MFR785274 LVV785185:LVV785274 LLZ785185:LLZ785274 LCD785185:LCD785274 KSH785185:KSH785274 KIL785185:KIL785274 JYP785185:JYP785274 JOT785185:JOT785274 JEX785185:JEX785274 IVB785185:IVB785274 ILF785185:ILF785274 IBJ785185:IBJ785274 HRN785185:HRN785274 HHR785185:HHR785274 GXV785185:GXV785274 GNZ785185:GNZ785274 GED785185:GED785274 FUH785185:FUH785274 FKL785185:FKL785274 FAP785185:FAP785274 EQT785185:EQT785274 EGX785185:EGX785274 DXB785185:DXB785274 DNF785185:DNF785274 DDJ785185:DDJ785274 CTN785185:CTN785274 CJR785185:CJR785274 BZV785185:BZV785274 BPZ785185:BPZ785274 BGD785185:BGD785274 AWH785185:AWH785274 AML785185:AML785274 ACP785185:ACP785274 ST785185:ST785274 IX785185:IX785274 B785191:B785280 WVJ719649:WVJ719738 WLN719649:WLN719738 WBR719649:WBR719738 VRV719649:VRV719738 VHZ719649:VHZ719738 UYD719649:UYD719738 UOH719649:UOH719738 UEL719649:UEL719738 TUP719649:TUP719738 TKT719649:TKT719738 TAX719649:TAX719738 SRB719649:SRB719738 SHF719649:SHF719738 RXJ719649:RXJ719738 RNN719649:RNN719738 RDR719649:RDR719738 QTV719649:QTV719738 QJZ719649:QJZ719738 QAD719649:QAD719738 PQH719649:PQH719738 PGL719649:PGL719738 OWP719649:OWP719738 OMT719649:OMT719738 OCX719649:OCX719738 NTB719649:NTB719738 NJF719649:NJF719738 MZJ719649:MZJ719738 MPN719649:MPN719738 MFR719649:MFR719738 LVV719649:LVV719738 LLZ719649:LLZ719738 LCD719649:LCD719738 KSH719649:KSH719738 KIL719649:KIL719738 JYP719649:JYP719738 JOT719649:JOT719738 JEX719649:JEX719738 IVB719649:IVB719738 ILF719649:ILF719738 IBJ719649:IBJ719738 HRN719649:HRN719738 HHR719649:HHR719738 GXV719649:GXV719738 GNZ719649:GNZ719738 GED719649:GED719738 FUH719649:FUH719738 FKL719649:FKL719738 FAP719649:FAP719738 EQT719649:EQT719738 EGX719649:EGX719738 DXB719649:DXB719738 DNF719649:DNF719738 DDJ719649:DDJ719738 CTN719649:CTN719738 CJR719649:CJR719738 BZV719649:BZV719738 BPZ719649:BPZ719738 BGD719649:BGD719738 AWH719649:AWH719738 AML719649:AML719738 ACP719649:ACP719738 ST719649:ST719738 IX719649:IX719738 B719655:B719744 WVJ654113:WVJ654202 WLN654113:WLN654202 WBR654113:WBR654202 VRV654113:VRV654202 VHZ654113:VHZ654202 UYD654113:UYD654202 UOH654113:UOH654202 UEL654113:UEL654202 TUP654113:TUP654202 TKT654113:TKT654202 TAX654113:TAX654202 SRB654113:SRB654202 SHF654113:SHF654202 RXJ654113:RXJ654202 RNN654113:RNN654202 RDR654113:RDR654202 QTV654113:QTV654202 QJZ654113:QJZ654202 QAD654113:QAD654202 PQH654113:PQH654202 PGL654113:PGL654202 OWP654113:OWP654202 OMT654113:OMT654202 OCX654113:OCX654202 NTB654113:NTB654202 NJF654113:NJF654202 MZJ654113:MZJ654202 MPN654113:MPN654202 MFR654113:MFR654202 LVV654113:LVV654202 LLZ654113:LLZ654202 LCD654113:LCD654202 KSH654113:KSH654202 KIL654113:KIL654202 JYP654113:JYP654202 JOT654113:JOT654202 JEX654113:JEX654202 IVB654113:IVB654202 ILF654113:ILF654202 IBJ654113:IBJ654202 HRN654113:HRN654202 HHR654113:HHR654202 GXV654113:GXV654202 GNZ654113:GNZ654202 GED654113:GED654202 FUH654113:FUH654202 FKL654113:FKL654202 FAP654113:FAP654202 EQT654113:EQT654202 EGX654113:EGX654202 DXB654113:DXB654202 DNF654113:DNF654202 DDJ654113:DDJ654202 CTN654113:CTN654202 CJR654113:CJR654202 BZV654113:BZV654202 BPZ654113:BPZ654202 BGD654113:BGD654202 AWH654113:AWH654202 AML654113:AML654202 ACP654113:ACP654202 ST654113:ST654202 IX654113:IX654202 B654119:B654208 WVJ588577:WVJ588666 WLN588577:WLN588666 WBR588577:WBR588666 VRV588577:VRV588666 VHZ588577:VHZ588666 UYD588577:UYD588666 UOH588577:UOH588666 UEL588577:UEL588666 TUP588577:TUP588666 TKT588577:TKT588666 TAX588577:TAX588666 SRB588577:SRB588666 SHF588577:SHF588666 RXJ588577:RXJ588666 RNN588577:RNN588666 RDR588577:RDR588666 QTV588577:QTV588666 QJZ588577:QJZ588666 QAD588577:QAD588666 PQH588577:PQH588666 PGL588577:PGL588666 OWP588577:OWP588666 OMT588577:OMT588666 OCX588577:OCX588666 NTB588577:NTB588666 NJF588577:NJF588666 MZJ588577:MZJ588666 MPN588577:MPN588666 MFR588577:MFR588666 LVV588577:LVV588666 LLZ588577:LLZ588666 LCD588577:LCD588666 KSH588577:KSH588666 KIL588577:KIL588666 JYP588577:JYP588666 JOT588577:JOT588666 JEX588577:JEX588666 IVB588577:IVB588666 ILF588577:ILF588666 IBJ588577:IBJ588666 HRN588577:HRN588666 HHR588577:HHR588666 GXV588577:GXV588666 GNZ588577:GNZ588666 GED588577:GED588666 FUH588577:FUH588666 FKL588577:FKL588666 FAP588577:FAP588666 EQT588577:EQT588666 EGX588577:EGX588666 DXB588577:DXB588666 DNF588577:DNF588666 DDJ588577:DDJ588666 CTN588577:CTN588666 CJR588577:CJR588666 BZV588577:BZV588666 BPZ588577:BPZ588666 BGD588577:BGD588666 AWH588577:AWH588666 AML588577:AML588666 ACP588577:ACP588666 ST588577:ST588666 IX588577:IX588666 B588583:B588672 WVJ523041:WVJ523130 WLN523041:WLN523130 WBR523041:WBR523130 VRV523041:VRV523130 VHZ523041:VHZ523130 UYD523041:UYD523130 UOH523041:UOH523130 UEL523041:UEL523130 TUP523041:TUP523130 TKT523041:TKT523130 TAX523041:TAX523130 SRB523041:SRB523130 SHF523041:SHF523130 RXJ523041:RXJ523130 RNN523041:RNN523130 RDR523041:RDR523130 QTV523041:QTV523130 QJZ523041:QJZ523130 QAD523041:QAD523130 PQH523041:PQH523130 PGL523041:PGL523130 OWP523041:OWP523130 OMT523041:OMT523130 OCX523041:OCX523130 NTB523041:NTB523130 NJF523041:NJF523130 MZJ523041:MZJ523130 MPN523041:MPN523130 MFR523041:MFR523130 LVV523041:LVV523130 LLZ523041:LLZ523130 LCD523041:LCD523130 KSH523041:KSH523130 KIL523041:KIL523130 JYP523041:JYP523130 JOT523041:JOT523130 JEX523041:JEX523130 IVB523041:IVB523130 ILF523041:ILF523130 IBJ523041:IBJ523130 HRN523041:HRN523130 HHR523041:HHR523130 GXV523041:GXV523130 GNZ523041:GNZ523130 GED523041:GED523130 FUH523041:FUH523130 FKL523041:FKL523130 FAP523041:FAP523130 EQT523041:EQT523130 EGX523041:EGX523130 DXB523041:DXB523130 DNF523041:DNF523130 DDJ523041:DDJ523130 CTN523041:CTN523130 CJR523041:CJR523130 BZV523041:BZV523130 BPZ523041:BPZ523130 BGD523041:BGD523130 AWH523041:AWH523130 AML523041:AML523130 ACP523041:ACP523130 ST523041:ST523130 IX523041:IX523130 B523047:B523136 WVJ457505:WVJ457594 WLN457505:WLN457594 WBR457505:WBR457594 VRV457505:VRV457594 VHZ457505:VHZ457594 UYD457505:UYD457594 UOH457505:UOH457594 UEL457505:UEL457594 TUP457505:TUP457594 TKT457505:TKT457594 TAX457505:TAX457594 SRB457505:SRB457594 SHF457505:SHF457594 RXJ457505:RXJ457594 RNN457505:RNN457594 RDR457505:RDR457594 QTV457505:QTV457594 QJZ457505:QJZ457594 QAD457505:QAD457594 PQH457505:PQH457594 PGL457505:PGL457594 OWP457505:OWP457594 OMT457505:OMT457594 OCX457505:OCX457594 NTB457505:NTB457594 NJF457505:NJF457594 MZJ457505:MZJ457594 MPN457505:MPN457594 MFR457505:MFR457594 LVV457505:LVV457594 LLZ457505:LLZ457594 LCD457505:LCD457594 KSH457505:KSH457594 KIL457505:KIL457594 JYP457505:JYP457594 JOT457505:JOT457594 JEX457505:JEX457594 IVB457505:IVB457594 ILF457505:ILF457594 IBJ457505:IBJ457594 HRN457505:HRN457594 HHR457505:HHR457594 GXV457505:GXV457594 GNZ457505:GNZ457594 GED457505:GED457594 FUH457505:FUH457594 FKL457505:FKL457594 FAP457505:FAP457594 EQT457505:EQT457594 EGX457505:EGX457594 DXB457505:DXB457594 DNF457505:DNF457594 DDJ457505:DDJ457594 CTN457505:CTN457594 CJR457505:CJR457594 BZV457505:BZV457594 BPZ457505:BPZ457594 BGD457505:BGD457594 AWH457505:AWH457594 AML457505:AML457594 ACP457505:ACP457594 ST457505:ST457594 IX457505:IX457594 B457511:B457600 WVJ391969:WVJ392058 WLN391969:WLN392058 WBR391969:WBR392058 VRV391969:VRV392058 VHZ391969:VHZ392058 UYD391969:UYD392058 UOH391969:UOH392058 UEL391969:UEL392058 TUP391969:TUP392058 TKT391969:TKT392058 TAX391969:TAX392058 SRB391969:SRB392058 SHF391969:SHF392058 RXJ391969:RXJ392058 RNN391969:RNN392058 RDR391969:RDR392058 QTV391969:QTV392058 QJZ391969:QJZ392058 QAD391969:QAD392058 PQH391969:PQH392058 PGL391969:PGL392058 OWP391969:OWP392058 OMT391969:OMT392058 OCX391969:OCX392058 NTB391969:NTB392058 NJF391969:NJF392058 MZJ391969:MZJ392058 MPN391969:MPN392058 MFR391969:MFR392058 LVV391969:LVV392058 LLZ391969:LLZ392058 LCD391969:LCD392058 KSH391969:KSH392058 KIL391969:KIL392058 JYP391969:JYP392058 JOT391969:JOT392058 JEX391969:JEX392058 IVB391969:IVB392058 ILF391969:ILF392058 IBJ391969:IBJ392058 HRN391969:HRN392058 HHR391969:HHR392058 GXV391969:GXV392058 GNZ391969:GNZ392058 GED391969:GED392058 FUH391969:FUH392058 FKL391969:FKL392058 FAP391969:FAP392058 EQT391969:EQT392058 EGX391969:EGX392058 DXB391969:DXB392058 DNF391969:DNF392058 DDJ391969:DDJ392058 CTN391969:CTN392058 CJR391969:CJR392058 BZV391969:BZV392058 BPZ391969:BPZ392058 BGD391969:BGD392058 AWH391969:AWH392058 AML391969:AML392058 ACP391969:ACP392058 ST391969:ST392058 IX391969:IX392058 B391975:B392064 WVJ326433:WVJ326522 WLN326433:WLN326522 WBR326433:WBR326522 VRV326433:VRV326522 VHZ326433:VHZ326522 UYD326433:UYD326522 UOH326433:UOH326522 UEL326433:UEL326522 TUP326433:TUP326522 TKT326433:TKT326522 TAX326433:TAX326522 SRB326433:SRB326522 SHF326433:SHF326522 RXJ326433:RXJ326522 RNN326433:RNN326522 RDR326433:RDR326522 QTV326433:QTV326522 QJZ326433:QJZ326522 QAD326433:QAD326522 PQH326433:PQH326522 PGL326433:PGL326522 OWP326433:OWP326522 OMT326433:OMT326522 OCX326433:OCX326522 NTB326433:NTB326522 NJF326433:NJF326522 MZJ326433:MZJ326522 MPN326433:MPN326522 MFR326433:MFR326522 LVV326433:LVV326522 LLZ326433:LLZ326522 LCD326433:LCD326522 KSH326433:KSH326522 KIL326433:KIL326522 JYP326433:JYP326522 JOT326433:JOT326522 JEX326433:JEX326522 IVB326433:IVB326522 ILF326433:ILF326522 IBJ326433:IBJ326522 HRN326433:HRN326522 HHR326433:HHR326522 GXV326433:GXV326522 GNZ326433:GNZ326522 GED326433:GED326522 FUH326433:FUH326522 FKL326433:FKL326522 FAP326433:FAP326522 EQT326433:EQT326522 EGX326433:EGX326522 DXB326433:DXB326522 DNF326433:DNF326522 DDJ326433:DDJ326522 CTN326433:CTN326522 CJR326433:CJR326522 BZV326433:BZV326522 BPZ326433:BPZ326522 BGD326433:BGD326522 AWH326433:AWH326522 AML326433:AML326522 ACP326433:ACP326522 ST326433:ST326522 IX326433:IX326522 B326439:B326528 WVJ260897:WVJ260986 WLN260897:WLN260986 WBR260897:WBR260986 VRV260897:VRV260986 VHZ260897:VHZ260986 UYD260897:UYD260986 UOH260897:UOH260986 UEL260897:UEL260986 TUP260897:TUP260986 TKT260897:TKT260986 TAX260897:TAX260986 SRB260897:SRB260986 SHF260897:SHF260986 RXJ260897:RXJ260986 RNN260897:RNN260986 RDR260897:RDR260986 QTV260897:QTV260986 QJZ260897:QJZ260986 QAD260897:QAD260986 PQH260897:PQH260986 PGL260897:PGL260986 OWP260897:OWP260986 OMT260897:OMT260986 OCX260897:OCX260986 NTB260897:NTB260986 NJF260897:NJF260986 MZJ260897:MZJ260986 MPN260897:MPN260986 MFR260897:MFR260986 LVV260897:LVV260986 LLZ260897:LLZ260986 LCD260897:LCD260986 KSH260897:KSH260986 KIL260897:KIL260986 JYP260897:JYP260986 JOT260897:JOT260986 JEX260897:JEX260986 IVB260897:IVB260986 ILF260897:ILF260986 IBJ260897:IBJ260986 HRN260897:HRN260986 HHR260897:HHR260986 GXV260897:GXV260986 GNZ260897:GNZ260986 GED260897:GED260986 FUH260897:FUH260986 FKL260897:FKL260986 FAP260897:FAP260986 EQT260897:EQT260986 EGX260897:EGX260986 DXB260897:DXB260986 DNF260897:DNF260986 DDJ260897:DDJ260986 CTN260897:CTN260986 CJR260897:CJR260986 BZV260897:BZV260986 BPZ260897:BPZ260986 BGD260897:BGD260986 AWH260897:AWH260986 AML260897:AML260986 ACP260897:ACP260986 ST260897:ST260986 IX260897:IX260986 B260903:B260992 WVJ195361:WVJ195450 WLN195361:WLN195450 WBR195361:WBR195450 VRV195361:VRV195450 VHZ195361:VHZ195450 UYD195361:UYD195450 UOH195361:UOH195450 UEL195361:UEL195450 TUP195361:TUP195450 TKT195361:TKT195450 TAX195361:TAX195450 SRB195361:SRB195450 SHF195361:SHF195450 RXJ195361:RXJ195450 RNN195361:RNN195450 RDR195361:RDR195450 QTV195361:QTV195450 QJZ195361:QJZ195450 QAD195361:QAD195450 PQH195361:PQH195450 PGL195361:PGL195450 OWP195361:OWP195450 OMT195361:OMT195450 OCX195361:OCX195450 NTB195361:NTB195450 NJF195361:NJF195450 MZJ195361:MZJ195450 MPN195361:MPN195450 MFR195361:MFR195450 LVV195361:LVV195450 LLZ195361:LLZ195450 LCD195361:LCD195450 KSH195361:KSH195450 KIL195361:KIL195450 JYP195361:JYP195450 JOT195361:JOT195450 JEX195361:JEX195450 IVB195361:IVB195450 ILF195361:ILF195450 IBJ195361:IBJ195450 HRN195361:HRN195450 HHR195361:HHR195450 GXV195361:GXV195450 GNZ195361:GNZ195450 GED195361:GED195450 FUH195361:FUH195450 FKL195361:FKL195450 FAP195361:FAP195450 EQT195361:EQT195450 EGX195361:EGX195450 DXB195361:DXB195450 DNF195361:DNF195450 DDJ195361:DDJ195450 CTN195361:CTN195450 CJR195361:CJR195450 BZV195361:BZV195450 BPZ195361:BPZ195450 BGD195361:BGD195450 AWH195361:AWH195450 AML195361:AML195450 ACP195361:ACP195450 ST195361:ST195450 IX195361:IX195450 B195367:B195456 WVJ129825:WVJ129914 WLN129825:WLN129914 WBR129825:WBR129914 VRV129825:VRV129914 VHZ129825:VHZ129914 UYD129825:UYD129914 UOH129825:UOH129914 UEL129825:UEL129914 TUP129825:TUP129914 TKT129825:TKT129914 TAX129825:TAX129914 SRB129825:SRB129914 SHF129825:SHF129914 RXJ129825:RXJ129914 RNN129825:RNN129914 RDR129825:RDR129914 QTV129825:QTV129914 QJZ129825:QJZ129914 QAD129825:QAD129914 PQH129825:PQH129914 PGL129825:PGL129914 OWP129825:OWP129914 OMT129825:OMT129914 OCX129825:OCX129914 NTB129825:NTB129914 NJF129825:NJF129914 MZJ129825:MZJ129914 MPN129825:MPN129914 MFR129825:MFR129914 LVV129825:LVV129914 LLZ129825:LLZ129914 LCD129825:LCD129914 KSH129825:KSH129914 KIL129825:KIL129914 JYP129825:JYP129914 JOT129825:JOT129914 JEX129825:JEX129914 IVB129825:IVB129914 ILF129825:ILF129914 IBJ129825:IBJ129914 HRN129825:HRN129914 HHR129825:HHR129914 GXV129825:GXV129914 GNZ129825:GNZ129914 GED129825:GED129914 FUH129825:FUH129914 FKL129825:FKL129914 FAP129825:FAP129914 EQT129825:EQT129914 EGX129825:EGX129914 DXB129825:DXB129914 DNF129825:DNF129914 DDJ129825:DDJ129914 CTN129825:CTN129914 CJR129825:CJR129914 BZV129825:BZV129914 BPZ129825:BPZ129914 BGD129825:BGD129914 AWH129825:AWH129914 AML129825:AML129914 ACP129825:ACP129914 ST129825:ST129914 IX129825:IX129914 B129831:B129920 WVJ64289:WVJ64378 WLN64289:WLN64378 WBR64289:WBR64378 VRV64289:VRV64378 VHZ64289:VHZ64378 UYD64289:UYD64378 UOH64289:UOH64378 UEL64289:UEL64378 TUP64289:TUP64378 TKT64289:TKT64378 TAX64289:TAX64378 SRB64289:SRB64378 SHF64289:SHF64378 RXJ64289:RXJ64378 RNN64289:RNN64378 RDR64289:RDR64378 QTV64289:QTV64378 QJZ64289:QJZ64378 QAD64289:QAD64378 PQH64289:PQH64378 PGL64289:PGL64378 OWP64289:OWP64378 OMT64289:OMT64378 OCX64289:OCX64378 NTB64289:NTB64378 NJF64289:NJF64378 MZJ64289:MZJ64378 MPN64289:MPN64378 MFR64289:MFR64378 LVV64289:LVV64378 LLZ64289:LLZ64378 LCD64289:LCD64378 KSH64289:KSH64378 KIL64289:KIL64378 JYP64289:JYP64378 JOT64289:JOT64378 JEX64289:JEX64378 IVB64289:IVB64378 ILF64289:ILF64378 IBJ64289:IBJ64378 HRN64289:HRN64378 HHR64289:HHR64378 GXV64289:GXV64378 GNZ64289:GNZ64378 GED64289:GED64378 FUH64289:FUH64378 FKL64289:FKL64378 FAP64289:FAP64378 EQT64289:EQT64378 EGX64289:EGX64378 DXB64289:DXB64378 DNF64289:DNF64378 DDJ64289:DDJ64378 CTN64289:CTN64378 CJR64289:CJR64378 BZV64289:BZV64378 BPZ64289:BPZ64378 BGD64289:BGD64378 AWH64289:AWH64378 AML64289:AML64378 ACP64289:ACP64378 ST64289:ST64378 IX64289:IX64378 B64295:B64384 WVJ2:WVJ64 WLN2:WLN64 WBR2:WBR64 VRV2:VRV64 VHZ2:VHZ64 UYD2:UYD64 UOH2:UOH64 UEL2:UEL64 TUP2:TUP64 TKT2:TKT64 TAX2:TAX64 SRB2:SRB64 SHF2:SHF64 RXJ2:RXJ64 RNN2:RNN64 RDR2:RDR64 QTV2:QTV64 QJZ2:QJZ64 QAD2:QAD64 PQH2:PQH64 PGL2:PGL64 OWP2:OWP64 OMT2:OMT64 OCX2:OCX64 NTB2:NTB64 NJF2:NJF64 MZJ2:MZJ64 MPN2:MPN64 MFR2:MFR64 LVV2:LVV64 LLZ2:LLZ64 LCD2:LCD64 KSH2:KSH64 KIL2:KIL64 JYP2:JYP64 JOT2:JOT64 JEX2:JEX64 IVB2:IVB64 ILF2:ILF64 IBJ2:IBJ64 HRN2:HRN64 HHR2:HHR64 GXV2:GXV64 GNZ2:GNZ64 GED2:GED64 FUH2:FUH64 FKL2:FKL64 FAP2:FAP64 EQT2:EQT64 EGX2:EGX64 DXB2:DXB64 DNF2:DNF64 DDJ2:DDJ64 CTN2:CTN64 CJR2:CJR64 BZV2:BZV64 BPZ2:BPZ64 BGD2:BGD64 AWH2:AWH64 AML2:AML64 ACP2:ACP64 ST2:ST64 IX2:IX64 B2:B100" xr:uid="{8E9A4EFD-AA21-41F7-8561-A16F0C49E3B3}"/>
    <dataValidation type="list" allowBlank="1" showInputMessage="1" showErrorMessage="1" sqref="WVI981793:WVI981882 WLM981793:WLM981882 A64295:A64384 IW64289:IW64378 SS64289:SS64378 ACO64289:ACO64378 AMK64289:AMK64378 AWG64289:AWG64378 BGC64289:BGC64378 BPY64289:BPY64378 BZU64289:BZU64378 CJQ64289:CJQ64378 CTM64289:CTM64378 DDI64289:DDI64378 DNE64289:DNE64378 DXA64289:DXA64378 EGW64289:EGW64378 EQS64289:EQS64378 FAO64289:FAO64378 FKK64289:FKK64378 FUG64289:FUG64378 GEC64289:GEC64378 GNY64289:GNY64378 GXU64289:GXU64378 HHQ64289:HHQ64378 HRM64289:HRM64378 IBI64289:IBI64378 ILE64289:ILE64378 IVA64289:IVA64378 JEW64289:JEW64378 JOS64289:JOS64378 JYO64289:JYO64378 KIK64289:KIK64378 KSG64289:KSG64378 LCC64289:LCC64378 LLY64289:LLY64378 LVU64289:LVU64378 MFQ64289:MFQ64378 MPM64289:MPM64378 MZI64289:MZI64378 NJE64289:NJE64378 NTA64289:NTA64378 OCW64289:OCW64378 OMS64289:OMS64378 OWO64289:OWO64378 PGK64289:PGK64378 PQG64289:PQG64378 QAC64289:QAC64378 QJY64289:QJY64378 QTU64289:QTU64378 RDQ64289:RDQ64378 RNM64289:RNM64378 RXI64289:RXI64378 SHE64289:SHE64378 SRA64289:SRA64378 TAW64289:TAW64378 TKS64289:TKS64378 TUO64289:TUO64378 UEK64289:UEK64378 UOG64289:UOG64378 UYC64289:UYC64378 VHY64289:VHY64378 VRU64289:VRU64378 WBQ64289:WBQ64378 WLM64289:WLM64378 WVI64289:WVI64378 A129831:A129920 IW129825:IW129914 SS129825:SS129914 ACO129825:ACO129914 AMK129825:AMK129914 AWG129825:AWG129914 BGC129825:BGC129914 BPY129825:BPY129914 BZU129825:BZU129914 CJQ129825:CJQ129914 CTM129825:CTM129914 DDI129825:DDI129914 DNE129825:DNE129914 DXA129825:DXA129914 EGW129825:EGW129914 EQS129825:EQS129914 FAO129825:FAO129914 FKK129825:FKK129914 FUG129825:FUG129914 GEC129825:GEC129914 GNY129825:GNY129914 GXU129825:GXU129914 HHQ129825:HHQ129914 HRM129825:HRM129914 IBI129825:IBI129914 ILE129825:ILE129914 IVA129825:IVA129914 JEW129825:JEW129914 JOS129825:JOS129914 JYO129825:JYO129914 KIK129825:KIK129914 KSG129825:KSG129914 LCC129825:LCC129914 LLY129825:LLY129914 LVU129825:LVU129914 MFQ129825:MFQ129914 MPM129825:MPM129914 MZI129825:MZI129914 NJE129825:NJE129914 NTA129825:NTA129914 OCW129825:OCW129914 OMS129825:OMS129914 OWO129825:OWO129914 PGK129825:PGK129914 PQG129825:PQG129914 QAC129825:QAC129914 QJY129825:QJY129914 QTU129825:QTU129914 RDQ129825:RDQ129914 RNM129825:RNM129914 RXI129825:RXI129914 SHE129825:SHE129914 SRA129825:SRA129914 TAW129825:TAW129914 TKS129825:TKS129914 TUO129825:TUO129914 UEK129825:UEK129914 UOG129825:UOG129914 UYC129825:UYC129914 VHY129825:VHY129914 VRU129825:VRU129914 WBQ129825:WBQ129914 WLM129825:WLM129914 WVI129825:WVI129914 A195367:A195456 IW195361:IW195450 SS195361:SS195450 ACO195361:ACO195450 AMK195361:AMK195450 AWG195361:AWG195450 BGC195361:BGC195450 BPY195361:BPY195450 BZU195361:BZU195450 CJQ195361:CJQ195450 CTM195361:CTM195450 DDI195361:DDI195450 DNE195361:DNE195450 DXA195361:DXA195450 EGW195361:EGW195450 EQS195361:EQS195450 FAO195361:FAO195450 FKK195361:FKK195450 FUG195361:FUG195450 GEC195361:GEC195450 GNY195361:GNY195450 GXU195361:GXU195450 HHQ195361:HHQ195450 HRM195361:HRM195450 IBI195361:IBI195450 ILE195361:ILE195450 IVA195361:IVA195450 JEW195361:JEW195450 JOS195361:JOS195450 JYO195361:JYO195450 KIK195361:KIK195450 KSG195361:KSG195450 LCC195361:LCC195450 LLY195361:LLY195450 LVU195361:LVU195450 MFQ195361:MFQ195450 MPM195361:MPM195450 MZI195361:MZI195450 NJE195361:NJE195450 NTA195361:NTA195450 OCW195361:OCW195450 OMS195361:OMS195450 OWO195361:OWO195450 PGK195361:PGK195450 PQG195361:PQG195450 QAC195361:QAC195450 QJY195361:QJY195450 QTU195361:QTU195450 RDQ195361:RDQ195450 RNM195361:RNM195450 RXI195361:RXI195450 SHE195361:SHE195450 SRA195361:SRA195450 TAW195361:TAW195450 TKS195361:TKS195450 TUO195361:TUO195450 UEK195361:UEK195450 UOG195361:UOG195450 UYC195361:UYC195450 VHY195361:VHY195450 VRU195361:VRU195450 WBQ195361:WBQ195450 WLM195361:WLM195450 WVI195361:WVI195450 A260903:A260992 IW260897:IW260986 SS260897:SS260986 ACO260897:ACO260986 AMK260897:AMK260986 AWG260897:AWG260986 BGC260897:BGC260986 BPY260897:BPY260986 BZU260897:BZU260986 CJQ260897:CJQ260986 CTM260897:CTM260986 DDI260897:DDI260986 DNE260897:DNE260986 DXA260897:DXA260986 EGW260897:EGW260986 EQS260897:EQS260986 FAO260897:FAO260986 FKK260897:FKK260986 FUG260897:FUG260986 GEC260897:GEC260986 GNY260897:GNY260986 GXU260897:GXU260986 HHQ260897:HHQ260986 HRM260897:HRM260986 IBI260897:IBI260986 ILE260897:ILE260986 IVA260897:IVA260986 JEW260897:JEW260986 JOS260897:JOS260986 JYO260897:JYO260986 KIK260897:KIK260986 KSG260897:KSG260986 LCC260897:LCC260986 LLY260897:LLY260986 LVU260897:LVU260986 MFQ260897:MFQ260986 MPM260897:MPM260986 MZI260897:MZI260986 NJE260897:NJE260986 NTA260897:NTA260986 OCW260897:OCW260986 OMS260897:OMS260986 OWO260897:OWO260986 PGK260897:PGK260986 PQG260897:PQG260986 QAC260897:QAC260986 QJY260897:QJY260986 QTU260897:QTU260986 RDQ260897:RDQ260986 RNM260897:RNM260986 RXI260897:RXI260986 SHE260897:SHE260986 SRA260897:SRA260986 TAW260897:TAW260986 TKS260897:TKS260986 TUO260897:TUO260986 UEK260897:UEK260986 UOG260897:UOG260986 UYC260897:UYC260986 VHY260897:VHY260986 VRU260897:VRU260986 WBQ260897:WBQ260986 WLM260897:WLM260986 WVI260897:WVI260986 A326439:A326528 IW326433:IW326522 SS326433:SS326522 ACO326433:ACO326522 AMK326433:AMK326522 AWG326433:AWG326522 BGC326433:BGC326522 BPY326433:BPY326522 BZU326433:BZU326522 CJQ326433:CJQ326522 CTM326433:CTM326522 DDI326433:DDI326522 DNE326433:DNE326522 DXA326433:DXA326522 EGW326433:EGW326522 EQS326433:EQS326522 FAO326433:FAO326522 FKK326433:FKK326522 FUG326433:FUG326522 GEC326433:GEC326522 GNY326433:GNY326522 GXU326433:GXU326522 HHQ326433:HHQ326522 HRM326433:HRM326522 IBI326433:IBI326522 ILE326433:ILE326522 IVA326433:IVA326522 JEW326433:JEW326522 JOS326433:JOS326522 JYO326433:JYO326522 KIK326433:KIK326522 KSG326433:KSG326522 LCC326433:LCC326522 LLY326433:LLY326522 LVU326433:LVU326522 MFQ326433:MFQ326522 MPM326433:MPM326522 MZI326433:MZI326522 NJE326433:NJE326522 NTA326433:NTA326522 OCW326433:OCW326522 OMS326433:OMS326522 OWO326433:OWO326522 PGK326433:PGK326522 PQG326433:PQG326522 QAC326433:QAC326522 QJY326433:QJY326522 QTU326433:QTU326522 RDQ326433:RDQ326522 RNM326433:RNM326522 RXI326433:RXI326522 SHE326433:SHE326522 SRA326433:SRA326522 TAW326433:TAW326522 TKS326433:TKS326522 TUO326433:TUO326522 UEK326433:UEK326522 UOG326433:UOG326522 UYC326433:UYC326522 VHY326433:VHY326522 VRU326433:VRU326522 WBQ326433:WBQ326522 WLM326433:WLM326522 WVI326433:WVI326522 A391975:A392064 IW391969:IW392058 SS391969:SS392058 ACO391969:ACO392058 AMK391969:AMK392058 AWG391969:AWG392058 BGC391969:BGC392058 BPY391969:BPY392058 BZU391969:BZU392058 CJQ391969:CJQ392058 CTM391969:CTM392058 DDI391969:DDI392058 DNE391969:DNE392058 DXA391969:DXA392058 EGW391969:EGW392058 EQS391969:EQS392058 FAO391969:FAO392058 FKK391969:FKK392058 FUG391969:FUG392058 GEC391969:GEC392058 GNY391969:GNY392058 GXU391969:GXU392058 HHQ391969:HHQ392058 HRM391969:HRM392058 IBI391969:IBI392058 ILE391969:ILE392058 IVA391969:IVA392058 JEW391969:JEW392058 JOS391969:JOS392058 JYO391969:JYO392058 KIK391969:KIK392058 KSG391969:KSG392058 LCC391969:LCC392058 LLY391969:LLY392058 LVU391969:LVU392058 MFQ391969:MFQ392058 MPM391969:MPM392058 MZI391969:MZI392058 NJE391969:NJE392058 NTA391969:NTA392058 OCW391969:OCW392058 OMS391969:OMS392058 OWO391969:OWO392058 PGK391969:PGK392058 PQG391969:PQG392058 QAC391969:QAC392058 QJY391969:QJY392058 QTU391969:QTU392058 RDQ391969:RDQ392058 RNM391969:RNM392058 RXI391969:RXI392058 SHE391969:SHE392058 SRA391969:SRA392058 TAW391969:TAW392058 TKS391969:TKS392058 TUO391969:TUO392058 UEK391969:UEK392058 UOG391969:UOG392058 UYC391969:UYC392058 VHY391969:VHY392058 VRU391969:VRU392058 WBQ391969:WBQ392058 WLM391969:WLM392058 WVI391969:WVI392058 A457511:A457600 IW457505:IW457594 SS457505:SS457594 ACO457505:ACO457594 AMK457505:AMK457594 AWG457505:AWG457594 BGC457505:BGC457594 BPY457505:BPY457594 BZU457505:BZU457594 CJQ457505:CJQ457594 CTM457505:CTM457594 DDI457505:DDI457594 DNE457505:DNE457594 DXA457505:DXA457594 EGW457505:EGW457594 EQS457505:EQS457594 FAO457505:FAO457594 FKK457505:FKK457594 FUG457505:FUG457594 GEC457505:GEC457594 GNY457505:GNY457594 GXU457505:GXU457594 HHQ457505:HHQ457594 HRM457505:HRM457594 IBI457505:IBI457594 ILE457505:ILE457594 IVA457505:IVA457594 JEW457505:JEW457594 JOS457505:JOS457594 JYO457505:JYO457594 KIK457505:KIK457594 KSG457505:KSG457594 LCC457505:LCC457594 LLY457505:LLY457594 LVU457505:LVU457594 MFQ457505:MFQ457594 MPM457505:MPM457594 MZI457505:MZI457594 NJE457505:NJE457594 NTA457505:NTA457594 OCW457505:OCW457594 OMS457505:OMS457594 OWO457505:OWO457594 PGK457505:PGK457594 PQG457505:PQG457594 QAC457505:QAC457594 QJY457505:QJY457594 QTU457505:QTU457594 RDQ457505:RDQ457594 RNM457505:RNM457594 RXI457505:RXI457594 SHE457505:SHE457594 SRA457505:SRA457594 TAW457505:TAW457594 TKS457505:TKS457594 TUO457505:TUO457594 UEK457505:UEK457594 UOG457505:UOG457594 UYC457505:UYC457594 VHY457505:VHY457594 VRU457505:VRU457594 WBQ457505:WBQ457594 WLM457505:WLM457594 WVI457505:WVI457594 A523047:A523136 IW523041:IW523130 SS523041:SS523130 ACO523041:ACO523130 AMK523041:AMK523130 AWG523041:AWG523130 BGC523041:BGC523130 BPY523041:BPY523130 BZU523041:BZU523130 CJQ523041:CJQ523130 CTM523041:CTM523130 DDI523041:DDI523130 DNE523041:DNE523130 DXA523041:DXA523130 EGW523041:EGW523130 EQS523041:EQS523130 FAO523041:FAO523130 FKK523041:FKK523130 FUG523041:FUG523130 GEC523041:GEC523130 GNY523041:GNY523130 GXU523041:GXU523130 HHQ523041:HHQ523130 HRM523041:HRM523130 IBI523041:IBI523130 ILE523041:ILE523130 IVA523041:IVA523130 JEW523041:JEW523130 JOS523041:JOS523130 JYO523041:JYO523130 KIK523041:KIK523130 KSG523041:KSG523130 LCC523041:LCC523130 LLY523041:LLY523130 LVU523041:LVU523130 MFQ523041:MFQ523130 MPM523041:MPM523130 MZI523041:MZI523130 NJE523041:NJE523130 NTA523041:NTA523130 OCW523041:OCW523130 OMS523041:OMS523130 OWO523041:OWO523130 PGK523041:PGK523130 PQG523041:PQG523130 QAC523041:QAC523130 QJY523041:QJY523130 QTU523041:QTU523130 RDQ523041:RDQ523130 RNM523041:RNM523130 RXI523041:RXI523130 SHE523041:SHE523130 SRA523041:SRA523130 TAW523041:TAW523130 TKS523041:TKS523130 TUO523041:TUO523130 UEK523041:UEK523130 UOG523041:UOG523130 UYC523041:UYC523130 VHY523041:VHY523130 VRU523041:VRU523130 WBQ523041:WBQ523130 WLM523041:WLM523130 WVI523041:WVI523130 A588583:A588672 IW588577:IW588666 SS588577:SS588666 ACO588577:ACO588666 AMK588577:AMK588666 AWG588577:AWG588666 BGC588577:BGC588666 BPY588577:BPY588666 BZU588577:BZU588666 CJQ588577:CJQ588666 CTM588577:CTM588666 DDI588577:DDI588666 DNE588577:DNE588666 DXA588577:DXA588666 EGW588577:EGW588666 EQS588577:EQS588666 FAO588577:FAO588666 FKK588577:FKK588666 FUG588577:FUG588666 GEC588577:GEC588666 GNY588577:GNY588666 GXU588577:GXU588666 HHQ588577:HHQ588666 HRM588577:HRM588666 IBI588577:IBI588666 ILE588577:ILE588666 IVA588577:IVA588666 JEW588577:JEW588666 JOS588577:JOS588666 JYO588577:JYO588666 KIK588577:KIK588666 KSG588577:KSG588666 LCC588577:LCC588666 LLY588577:LLY588666 LVU588577:LVU588666 MFQ588577:MFQ588666 MPM588577:MPM588666 MZI588577:MZI588666 NJE588577:NJE588666 NTA588577:NTA588666 OCW588577:OCW588666 OMS588577:OMS588666 OWO588577:OWO588666 PGK588577:PGK588666 PQG588577:PQG588666 QAC588577:QAC588666 QJY588577:QJY588666 QTU588577:QTU588666 RDQ588577:RDQ588666 RNM588577:RNM588666 RXI588577:RXI588666 SHE588577:SHE588666 SRA588577:SRA588666 TAW588577:TAW588666 TKS588577:TKS588666 TUO588577:TUO588666 UEK588577:UEK588666 UOG588577:UOG588666 UYC588577:UYC588666 VHY588577:VHY588666 VRU588577:VRU588666 WBQ588577:WBQ588666 WLM588577:WLM588666 WVI588577:WVI588666 A654119:A654208 IW654113:IW654202 SS654113:SS654202 ACO654113:ACO654202 AMK654113:AMK654202 AWG654113:AWG654202 BGC654113:BGC654202 BPY654113:BPY654202 BZU654113:BZU654202 CJQ654113:CJQ654202 CTM654113:CTM654202 DDI654113:DDI654202 DNE654113:DNE654202 DXA654113:DXA654202 EGW654113:EGW654202 EQS654113:EQS654202 FAO654113:FAO654202 FKK654113:FKK654202 FUG654113:FUG654202 GEC654113:GEC654202 GNY654113:GNY654202 GXU654113:GXU654202 HHQ654113:HHQ654202 HRM654113:HRM654202 IBI654113:IBI654202 ILE654113:ILE654202 IVA654113:IVA654202 JEW654113:JEW654202 JOS654113:JOS654202 JYO654113:JYO654202 KIK654113:KIK654202 KSG654113:KSG654202 LCC654113:LCC654202 LLY654113:LLY654202 LVU654113:LVU654202 MFQ654113:MFQ654202 MPM654113:MPM654202 MZI654113:MZI654202 NJE654113:NJE654202 NTA654113:NTA654202 OCW654113:OCW654202 OMS654113:OMS654202 OWO654113:OWO654202 PGK654113:PGK654202 PQG654113:PQG654202 QAC654113:QAC654202 QJY654113:QJY654202 QTU654113:QTU654202 RDQ654113:RDQ654202 RNM654113:RNM654202 RXI654113:RXI654202 SHE654113:SHE654202 SRA654113:SRA654202 TAW654113:TAW654202 TKS654113:TKS654202 TUO654113:TUO654202 UEK654113:UEK654202 UOG654113:UOG654202 UYC654113:UYC654202 VHY654113:VHY654202 VRU654113:VRU654202 WBQ654113:WBQ654202 WLM654113:WLM654202 WVI654113:WVI654202 A719655:A719744 IW719649:IW719738 SS719649:SS719738 ACO719649:ACO719738 AMK719649:AMK719738 AWG719649:AWG719738 BGC719649:BGC719738 BPY719649:BPY719738 BZU719649:BZU719738 CJQ719649:CJQ719738 CTM719649:CTM719738 DDI719649:DDI719738 DNE719649:DNE719738 DXA719649:DXA719738 EGW719649:EGW719738 EQS719649:EQS719738 FAO719649:FAO719738 FKK719649:FKK719738 FUG719649:FUG719738 GEC719649:GEC719738 GNY719649:GNY719738 GXU719649:GXU719738 HHQ719649:HHQ719738 HRM719649:HRM719738 IBI719649:IBI719738 ILE719649:ILE719738 IVA719649:IVA719738 JEW719649:JEW719738 JOS719649:JOS719738 JYO719649:JYO719738 KIK719649:KIK719738 KSG719649:KSG719738 LCC719649:LCC719738 LLY719649:LLY719738 LVU719649:LVU719738 MFQ719649:MFQ719738 MPM719649:MPM719738 MZI719649:MZI719738 NJE719649:NJE719738 NTA719649:NTA719738 OCW719649:OCW719738 OMS719649:OMS719738 OWO719649:OWO719738 PGK719649:PGK719738 PQG719649:PQG719738 QAC719649:QAC719738 QJY719649:QJY719738 QTU719649:QTU719738 RDQ719649:RDQ719738 RNM719649:RNM719738 RXI719649:RXI719738 SHE719649:SHE719738 SRA719649:SRA719738 TAW719649:TAW719738 TKS719649:TKS719738 TUO719649:TUO719738 UEK719649:UEK719738 UOG719649:UOG719738 UYC719649:UYC719738 VHY719649:VHY719738 VRU719649:VRU719738 WBQ719649:WBQ719738 WLM719649:WLM719738 WVI719649:WVI719738 A785191:A785280 IW785185:IW785274 SS785185:SS785274 ACO785185:ACO785274 AMK785185:AMK785274 AWG785185:AWG785274 BGC785185:BGC785274 BPY785185:BPY785274 BZU785185:BZU785274 CJQ785185:CJQ785274 CTM785185:CTM785274 DDI785185:DDI785274 DNE785185:DNE785274 DXA785185:DXA785274 EGW785185:EGW785274 EQS785185:EQS785274 FAO785185:FAO785274 FKK785185:FKK785274 FUG785185:FUG785274 GEC785185:GEC785274 GNY785185:GNY785274 GXU785185:GXU785274 HHQ785185:HHQ785274 HRM785185:HRM785274 IBI785185:IBI785274 ILE785185:ILE785274 IVA785185:IVA785274 JEW785185:JEW785274 JOS785185:JOS785274 JYO785185:JYO785274 KIK785185:KIK785274 KSG785185:KSG785274 LCC785185:LCC785274 LLY785185:LLY785274 LVU785185:LVU785274 MFQ785185:MFQ785274 MPM785185:MPM785274 MZI785185:MZI785274 NJE785185:NJE785274 NTA785185:NTA785274 OCW785185:OCW785274 OMS785185:OMS785274 OWO785185:OWO785274 PGK785185:PGK785274 PQG785185:PQG785274 QAC785185:QAC785274 QJY785185:QJY785274 QTU785185:QTU785274 RDQ785185:RDQ785274 RNM785185:RNM785274 RXI785185:RXI785274 SHE785185:SHE785274 SRA785185:SRA785274 TAW785185:TAW785274 TKS785185:TKS785274 TUO785185:TUO785274 UEK785185:UEK785274 UOG785185:UOG785274 UYC785185:UYC785274 VHY785185:VHY785274 VRU785185:VRU785274 WBQ785185:WBQ785274 WLM785185:WLM785274 WVI785185:WVI785274 A850727:A850816 IW850721:IW850810 SS850721:SS850810 ACO850721:ACO850810 AMK850721:AMK850810 AWG850721:AWG850810 BGC850721:BGC850810 BPY850721:BPY850810 BZU850721:BZU850810 CJQ850721:CJQ850810 CTM850721:CTM850810 DDI850721:DDI850810 DNE850721:DNE850810 DXA850721:DXA850810 EGW850721:EGW850810 EQS850721:EQS850810 FAO850721:FAO850810 FKK850721:FKK850810 FUG850721:FUG850810 GEC850721:GEC850810 GNY850721:GNY850810 GXU850721:GXU850810 HHQ850721:HHQ850810 HRM850721:HRM850810 IBI850721:IBI850810 ILE850721:ILE850810 IVA850721:IVA850810 JEW850721:JEW850810 JOS850721:JOS850810 JYO850721:JYO850810 KIK850721:KIK850810 KSG850721:KSG850810 LCC850721:LCC850810 LLY850721:LLY850810 LVU850721:LVU850810 MFQ850721:MFQ850810 MPM850721:MPM850810 MZI850721:MZI850810 NJE850721:NJE850810 NTA850721:NTA850810 OCW850721:OCW850810 OMS850721:OMS850810 OWO850721:OWO850810 PGK850721:PGK850810 PQG850721:PQG850810 QAC850721:QAC850810 QJY850721:QJY850810 QTU850721:QTU850810 RDQ850721:RDQ850810 RNM850721:RNM850810 RXI850721:RXI850810 SHE850721:SHE850810 SRA850721:SRA850810 TAW850721:TAW850810 TKS850721:TKS850810 TUO850721:TUO850810 UEK850721:UEK850810 UOG850721:UOG850810 UYC850721:UYC850810 VHY850721:VHY850810 VRU850721:VRU850810 WBQ850721:WBQ850810 WLM850721:WLM850810 WVI850721:WVI850810 A916263:A916352 IW916257:IW916346 SS916257:SS916346 ACO916257:ACO916346 AMK916257:AMK916346 AWG916257:AWG916346 BGC916257:BGC916346 BPY916257:BPY916346 BZU916257:BZU916346 CJQ916257:CJQ916346 CTM916257:CTM916346 DDI916257:DDI916346 DNE916257:DNE916346 DXA916257:DXA916346 EGW916257:EGW916346 EQS916257:EQS916346 FAO916257:FAO916346 FKK916257:FKK916346 FUG916257:FUG916346 GEC916257:GEC916346 GNY916257:GNY916346 GXU916257:GXU916346 HHQ916257:HHQ916346 HRM916257:HRM916346 IBI916257:IBI916346 ILE916257:ILE916346 IVA916257:IVA916346 JEW916257:JEW916346 JOS916257:JOS916346 JYO916257:JYO916346 KIK916257:KIK916346 KSG916257:KSG916346 LCC916257:LCC916346 LLY916257:LLY916346 LVU916257:LVU916346 MFQ916257:MFQ916346 MPM916257:MPM916346 MZI916257:MZI916346 NJE916257:NJE916346 NTA916257:NTA916346 OCW916257:OCW916346 OMS916257:OMS916346 OWO916257:OWO916346 PGK916257:PGK916346 PQG916257:PQG916346 QAC916257:QAC916346 QJY916257:QJY916346 QTU916257:QTU916346 RDQ916257:RDQ916346 RNM916257:RNM916346 RXI916257:RXI916346 SHE916257:SHE916346 SRA916257:SRA916346 TAW916257:TAW916346 TKS916257:TKS916346 TUO916257:TUO916346 UEK916257:UEK916346 UOG916257:UOG916346 UYC916257:UYC916346 VHY916257:VHY916346 VRU916257:VRU916346 WBQ916257:WBQ916346 WLM916257:WLM916346 WVI916257:WVI916346 A981799:A981888 IW981793:IW981882 SS981793:SS981882 ACO981793:ACO981882 AMK981793:AMK981882 AWG981793:AWG981882 BGC981793:BGC981882 BPY981793:BPY981882 BZU981793:BZU981882 CJQ981793:CJQ981882 CTM981793:CTM981882 DDI981793:DDI981882 DNE981793:DNE981882 DXA981793:DXA981882 EGW981793:EGW981882 EQS981793:EQS981882 FAO981793:FAO981882 FKK981793:FKK981882 FUG981793:FUG981882 GEC981793:GEC981882 GNY981793:GNY981882 GXU981793:GXU981882 HHQ981793:HHQ981882 HRM981793:HRM981882 IBI981793:IBI981882 ILE981793:ILE981882 IVA981793:IVA981882 JEW981793:JEW981882 JOS981793:JOS981882 JYO981793:JYO981882 KIK981793:KIK981882 KSG981793:KSG981882 LCC981793:LCC981882 LLY981793:LLY981882 LVU981793:LVU981882 MFQ981793:MFQ981882 MPM981793:MPM981882 MZI981793:MZI981882 NJE981793:NJE981882 NTA981793:NTA981882 OCW981793:OCW981882 OMS981793:OMS981882 OWO981793:OWO981882 PGK981793:PGK981882 PQG981793:PQG981882 QAC981793:QAC981882 QJY981793:QJY981882 QTU981793:QTU981882 RDQ981793:RDQ981882 RNM981793:RNM981882 RXI981793:RXI981882 SHE981793:SHE981882 SRA981793:SRA981882 TAW981793:TAW981882 TKS981793:TKS981882 TUO981793:TUO981882 UEK981793:UEK981882 UOG981793:UOG981882 UYC981793:UYC981882 VHY981793:VHY981882 VRU981793:VRU981882 WBQ981793:WBQ981882 WVI2:WVI64 WLM2:WLM64 WBQ2:WBQ64 VRU2:VRU64 VHY2:VHY64 UYC2:UYC64 UOG2:UOG64 UEK2:UEK64 TUO2:TUO64 TKS2:TKS64 TAW2:TAW64 SRA2:SRA64 SHE2:SHE64 RXI2:RXI64 RNM2:RNM64 RDQ2:RDQ64 QTU2:QTU64 QJY2:QJY64 QAC2:QAC64 PQG2:PQG64 PGK2:PGK64 OWO2:OWO64 OMS2:OMS64 OCW2:OCW64 NTA2:NTA64 NJE2:NJE64 MZI2:MZI64 MPM2:MPM64 MFQ2:MFQ64 LVU2:LVU64 LLY2:LLY64 LCC2:LCC64 KSG2:KSG64 KIK2:KIK64 JYO2:JYO64 JOS2:JOS64 JEW2:JEW64 IVA2:IVA64 ILE2:ILE64 IBI2:IBI64 HRM2:HRM64 HHQ2:HHQ64 GXU2:GXU64 GNY2:GNY64 GEC2:GEC64 FUG2:FUG64 FKK2:FKK64 FAO2:FAO64 EQS2:EQS64 EGW2:EGW64 DXA2:DXA64 DNE2:DNE64 DDI2:DDI64 CTM2:CTM64 CJQ2:CJQ64 BZU2:BZU64 BPY2:BPY64 BGC2:BGC64 AWG2:AWG64 AMK2:AMK64 ACO2:ACO64 SS2:SS64 IW2:IW64" xr:uid="{A0155486-0046-4248-AC4C-D8146260453F}">
      <formula1>$AE$2:$AE$13</formula1>
    </dataValidation>
    <dataValidation type="list" allowBlank="1" showInputMessage="1" showErrorMessage="1" sqref="WVO981793:WVO981882 WLS981793:WLS981882 WBW981793:WBW981882 VSA981793:VSA981882 VIE981793:VIE981882 UYI981793:UYI981882 UOM981793:UOM981882 UEQ981793:UEQ981882 TUU981793:TUU981882 TKY981793:TKY981882 TBC981793:TBC981882 SRG981793:SRG981882 SHK981793:SHK981882 RXO981793:RXO981882 RNS981793:RNS981882 RDW981793:RDW981882 QUA981793:QUA981882 QKE981793:QKE981882 QAI981793:QAI981882 PQM981793:PQM981882 PGQ981793:PGQ981882 OWU981793:OWU981882 OMY981793:OMY981882 ODC981793:ODC981882 NTG981793:NTG981882 NJK981793:NJK981882 MZO981793:MZO981882 MPS981793:MPS981882 MFW981793:MFW981882 LWA981793:LWA981882 LME981793:LME981882 LCI981793:LCI981882 KSM981793:KSM981882 KIQ981793:KIQ981882 JYU981793:JYU981882 JOY981793:JOY981882 JFC981793:JFC981882 IVG981793:IVG981882 ILK981793:ILK981882 IBO981793:IBO981882 HRS981793:HRS981882 HHW981793:HHW981882 GYA981793:GYA981882 GOE981793:GOE981882 GEI981793:GEI981882 FUM981793:FUM981882 FKQ981793:FKQ981882 FAU981793:FAU981882 EQY981793:EQY981882 EHC981793:EHC981882 DXG981793:DXG981882 DNK981793:DNK981882 DDO981793:DDO981882 CTS981793:CTS981882 CJW981793:CJW981882 CAA981793:CAA981882 BQE981793:BQE981882 BGI981793:BGI981882 AWM981793:AWM981882 AMQ981793:AMQ981882 ACU981793:ACU981882 SY981793:SY981882 JC981793:JC981882 G981802:G981891 WVO916257:WVO916346 WLS916257:WLS916346 WBW916257:WBW916346 VSA916257:VSA916346 VIE916257:VIE916346 UYI916257:UYI916346 UOM916257:UOM916346 UEQ916257:UEQ916346 TUU916257:TUU916346 TKY916257:TKY916346 TBC916257:TBC916346 SRG916257:SRG916346 SHK916257:SHK916346 RXO916257:RXO916346 RNS916257:RNS916346 RDW916257:RDW916346 QUA916257:QUA916346 QKE916257:QKE916346 QAI916257:QAI916346 PQM916257:PQM916346 PGQ916257:PGQ916346 OWU916257:OWU916346 OMY916257:OMY916346 ODC916257:ODC916346 NTG916257:NTG916346 NJK916257:NJK916346 MZO916257:MZO916346 MPS916257:MPS916346 MFW916257:MFW916346 LWA916257:LWA916346 LME916257:LME916346 LCI916257:LCI916346 KSM916257:KSM916346 KIQ916257:KIQ916346 JYU916257:JYU916346 JOY916257:JOY916346 JFC916257:JFC916346 IVG916257:IVG916346 ILK916257:ILK916346 IBO916257:IBO916346 HRS916257:HRS916346 HHW916257:HHW916346 GYA916257:GYA916346 GOE916257:GOE916346 GEI916257:GEI916346 FUM916257:FUM916346 FKQ916257:FKQ916346 FAU916257:FAU916346 EQY916257:EQY916346 EHC916257:EHC916346 DXG916257:DXG916346 DNK916257:DNK916346 DDO916257:DDO916346 CTS916257:CTS916346 CJW916257:CJW916346 CAA916257:CAA916346 BQE916257:BQE916346 BGI916257:BGI916346 AWM916257:AWM916346 AMQ916257:AMQ916346 ACU916257:ACU916346 SY916257:SY916346 JC916257:JC916346 G916266:G916355 WVO850721:WVO850810 WLS850721:WLS850810 WBW850721:WBW850810 VSA850721:VSA850810 VIE850721:VIE850810 UYI850721:UYI850810 UOM850721:UOM850810 UEQ850721:UEQ850810 TUU850721:TUU850810 TKY850721:TKY850810 TBC850721:TBC850810 SRG850721:SRG850810 SHK850721:SHK850810 RXO850721:RXO850810 RNS850721:RNS850810 RDW850721:RDW850810 QUA850721:QUA850810 QKE850721:QKE850810 QAI850721:QAI850810 PQM850721:PQM850810 PGQ850721:PGQ850810 OWU850721:OWU850810 OMY850721:OMY850810 ODC850721:ODC850810 NTG850721:NTG850810 NJK850721:NJK850810 MZO850721:MZO850810 MPS850721:MPS850810 MFW850721:MFW850810 LWA850721:LWA850810 LME850721:LME850810 LCI850721:LCI850810 KSM850721:KSM850810 KIQ850721:KIQ850810 JYU850721:JYU850810 JOY850721:JOY850810 JFC850721:JFC850810 IVG850721:IVG850810 ILK850721:ILK850810 IBO850721:IBO850810 HRS850721:HRS850810 HHW850721:HHW850810 GYA850721:GYA850810 GOE850721:GOE850810 GEI850721:GEI850810 FUM850721:FUM850810 FKQ850721:FKQ850810 FAU850721:FAU850810 EQY850721:EQY850810 EHC850721:EHC850810 DXG850721:DXG850810 DNK850721:DNK850810 DDO850721:DDO850810 CTS850721:CTS850810 CJW850721:CJW850810 CAA850721:CAA850810 BQE850721:BQE850810 BGI850721:BGI850810 AWM850721:AWM850810 AMQ850721:AMQ850810 ACU850721:ACU850810 SY850721:SY850810 JC850721:JC850810 G850730:G850819 WVO785185:WVO785274 WLS785185:WLS785274 WBW785185:WBW785274 VSA785185:VSA785274 VIE785185:VIE785274 UYI785185:UYI785274 UOM785185:UOM785274 UEQ785185:UEQ785274 TUU785185:TUU785274 TKY785185:TKY785274 TBC785185:TBC785274 SRG785185:SRG785274 SHK785185:SHK785274 RXO785185:RXO785274 RNS785185:RNS785274 RDW785185:RDW785274 QUA785185:QUA785274 QKE785185:QKE785274 QAI785185:QAI785274 PQM785185:PQM785274 PGQ785185:PGQ785274 OWU785185:OWU785274 OMY785185:OMY785274 ODC785185:ODC785274 NTG785185:NTG785274 NJK785185:NJK785274 MZO785185:MZO785274 MPS785185:MPS785274 MFW785185:MFW785274 LWA785185:LWA785274 LME785185:LME785274 LCI785185:LCI785274 KSM785185:KSM785274 KIQ785185:KIQ785274 JYU785185:JYU785274 JOY785185:JOY785274 JFC785185:JFC785274 IVG785185:IVG785274 ILK785185:ILK785274 IBO785185:IBO785274 HRS785185:HRS785274 HHW785185:HHW785274 GYA785185:GYA785274 GOE785185:GOE785274 GEI785185:GEI785274 FUM785185:FUM785274 FKQ785185:FKQ785274 FAU785185:FAU785274 EQY785185:EQY785274 EHC785185:EHC785274 DXG785185:DXG785274 DNK785185:DNK785274 DDO785185:DDO785274 CTS785185:CTS785274 CJW785185:CJW785274 CAA785185:CAA785274 BQE785185:BQE785274 BGI785185:BGI785274 AWM785185:AWM785274 AMQ785185:AMQ785274 ACU785185:ACU785274 SY785185:SY785274 JC785185:JC785274 G785194:G785283 WVO719649:WVO719738 WLS719649:WLS719738 WBW719649:WBW719738 VSA719649:VSA719738 VIE719649:VIE719738 UYI719649:UYI719738 UOM719649:UOM719738 UEQ719649:UEQ719738 TUU719649:TUU719738 TKY719649:TKY719738 TBC719649:TBC719738 SRG719649:SRG719738 SHK719649:SHK719738 RXO719649:RXO719738 RNS719649:RNS719738 RDW719649:RDW719738 QUA719649:QUA719738 QKE719649:QKE719738 QAI719649:QAI719738 PQM719649:PQM719738 PGQ719649:PGQ719738 OWU719649:OWU719738 OMY719649:OMY719738 ODC719649:ODC719738 NTG719649:NTG719738 NJK719649:NJK719738 MZO719649:MZO719738 MPS719649:MPS719738 MFW719649:MFW719738 LWA719649:LWA719738 LME719649:LME719738 LCI719649:LCI719738 KSM719649:KSM719738 KIQ719649:KIQ719738 JYU719649:JYU719738 JOY719649:JOY719738 JFC719649:JFC719738 IVG719649:IVG719738 ILK719649:ILK719738 IBO719649:IBO719738 HRS719649:HRS719738 HHW719649:HHW719738 GYA719649:GYA719738 GOE719649:GOE719738 GEI719649:GEI719738 FUM719649:FUM719738 FKQ719649:FKQ719738 FAU719649:FAU719738 EQY719649:EQY719738 EHC719649:EHC719738 DXG719649:DXG719738 DNK719649:DNK719738 DDO719649:DDO719738 CTS719649:CTS719738 CJW719649:CJW719738 CAA719649:CAA719738 BQE719649:BQE719738 BGI719649:BGI719738 AWM719649:AWM719738 AMQ719649:AMQ719738 ACU719649:ACU719738 SY719649:SY719738 JC719649:JC719738 G719658:G719747 WVO654113:WVO654202 WLS654113:WLS654202 WBW654113:WBW654202 VSA654113:VSA654202 VIE654113:VIE654202 UYI654113:UYI654202 UOM654113:UOM654202 UEQ654113:UEQ654202 TUU654113:TUU654202 TKY654113:TKY654202 TBC654113:TBC654202 SRG654113:SRG654202 SHK654113:SHK654202 RXO654113:RXO654202 RNS654113:RNS654202 RDW654113:RDW654202 QUA654113:QUA654202 QKE654113:QKE654202 QAI654113:QAI654202 PQM654113:PQM654202 PGQ654113:PGQ654202 OWU654113:OWU654202 OMY654113:OMY654202 ODC654113:ODC654202 NTG654113:NTG654202 NJK654113:NJK654202 MZO654113:MZO654202 MPS654113:MPS654202 MFW654113:MFW654202 LWA654113:LWA654202 LME654113:LME654202 LCI654113:LCI654202 KSM654113:KSM654202 KIQ654113:KIQ654202 JYU654113:JYU654202 JOY654113:JOY654202 JFC654113:JFC654202 IVG654113:IVG654202 ILK654113:ILK654202 IBO654113:IBO654202 HRS654113:HRS654202 HHW654113:HHW654202 GYA654113:GYA654202 GOE654113:GOE654202 GEI654113:GEI654202 FUM654113:FUM654202 FKQ654113:FKQ654202 FAU654113:FAU654202 EQY654113:EQY654202 EHC654113:EHC654202 DXG654113:DXG654202 DNK654113:DNK654202 DDO654113:DDO654202 CTS654113:CTS654202 CJW654113:CJW654202 CAA654113:CAA654202 BQE654113:BQE654202 BGI654113:BGI654202 AWM654113:AWM654202 AMQ654113:AMQ654202 ACU654113:ACU654202 SY654113:SY654202 JC654113:JC654202 G654122:G654211 WVO588577:WVO588666 WLS588577:WLS588666 WBW588577:WBW588666 VSA588577:VSA588666 VIE588577:VIE588666 UYI588577:UYI588666 UOM588577:UOM588666 UEQ588577:UEQ588666 TUU588577:TUU588666 TKY588577:TKY588666 TBC588577:TBC588666 SRG588577:SRG588666 SHK588577:SHK588666 RXO588577:RXO588666 RNS588577:RNS588666 RDW588577:RDW588666 QUA588577:QUA588666 QKE588577:QKE588666 QAI588577:QAI588666 PQM588577:PQM588666 PGQ588577:PGQ588666 OWU588577:OWU588666 OMY588577:OMY588666 ODC588577:ODC588666 NTG588577:NTG588666 NJK588577:NJK588666 MZO588577:MZO588666 MPS588577:MPS588666 MFW588577:MFW588666 LWA588577:LWA588666 LME588577:LME588666 LCI588577:LCI588666 KSM588577:KSM588666 KIQ588577:KIQ588666 JYU588577:JYU588666 JOY588577:JOY588666 JFC588577:JFC588666 IVG588577:IVG588666 ILK588577:ILK588666 IBO588577:IBO588666 HRS588577:HRS588666 HHW588577:HHW588666 GYA588577:GYA588666 GOE588577:GOE588666 GEI588577:GEI588666 FUM588577:FUM588666 FKQ588577:FKQ588666 FAU588577:FAU588666 EQY588577:EQY588666 EHC588577:EHC588666 DXG588577:DXG588666 DNK588577:DNK588666 DDO588577:DDO588666 CTS588577:CTS588666 CJW588577:CJW588666 CAA588577:CAA588666 BQE588577:BQE588666 BGI588577:BGI588666 AWM588577:AWM588666 AMQ588577:AMQ588666 ACU588577:ACU588666 SY588577:SY588666 JC588577:JC588666 G588586:G588675 WVO523041:WVO523130 WLS523041:WLS523130 WBW523041:WBW523130 VSA523041:VSA523130 VIE523041:VIE523130 UYI523041:UYI523130 UOM523041:UOM523130 UEQ523041:UEQ523130 TUU523041:TUU523130 TKY523041:TKY523130 TBC523041:TBC523130 SRG523041:SRG523130 SHK523041:SHK523130 RXO523041:RXO523130 RNS523041:RNS523130 RDW523041:RDW523130 QUA523041:QUA523130 QKE523041:QKE523130 QAI523041:QAI523130 PQM523041:PQM523130 PGQ523041:PGQ523130 OWU523041:OWU523130 OMY523041:OMY523130 ODC523041:ODC523130 NTG523041:NTG523130 NJK523041:NJK523130 MZO523041:MZO523130 MPS523041:MPS523130 MFW523041:MFW523130 LWA523041:LWA523130 LME523041:LME523130 LCI523041:LCI523130 KSM523041:KSM523130 KIQ523041:KIQ523130 JYU523041:JYU523130 JOY523041:JOY523130 JFC523041:JFC523130 IVG523041:IVG523130 ILK523041:ILK523130 IBO523041:IBO523130 HRS523041:HRS523130 HHW523041:HHW523130 GYA523041:GYA523130 GOE523041:GOE523130 GEI523041:GEI523130 FUM523041:FUM523130 FKQ523041:FKQ523130 FAU523041:FAU523130 EQY523041:EQY523130 EHC523041:EHC523130 DXG523041:DXG523130 DNK523041:DNK523130 DDO523041:DDO523130 CTS523041:CTS523130 CJW523041:CJW523130 CAA523041:CAA523130 BQE523041:BQE523130 BGI523041:BGI523130 AWM523041:AWM523130 AMQ523041:AMQ523130 ACU523041:ACU523130 SY523041:SY523130 JC523041:JC523130 G523050:G523139 WVO457505:WVO457594 WLS457505:WLS457594 WBW457505:WBW457594 VSA457505:VSA457594 VIE457505:VIE457594 UYI457505:UYI457594 UOM457505:UOM457594 UEQ457505:UEQ457594 TUU457505:TUU457594 TKY457505:TKY457594 TBC457505:TBC457594 SRG457505:SRG457594 SHK457505:SHK457594 RXO457505:RXO457594 RNS457505:RNS457594 RDW457505:RDW457594 QUA457505:QUA457594 QKE457505:QKE457594 QAI457505:QAI457594 PQM457505:PQM457594 PGQ457505:PGQ457594 OWU457505:OWU457594 OMY457505:OMY457594 ODC457505:ODC457594 NTG457505:NTG457594 NJK457505:NJK457594 MZO457505:MZO457594 MPS457505:MPS457594 MFW457505:MFW457594 LWA457505:LWA457594 LME457505:LME457594 LCI457505:LCI457594 KSM457505:KSM457594 KIQ457505:KIQ457594 JYU457505:JYU457594 JOY457505:JOY457594 JFC457505:JFC457594 IVG457505:IVG457594 ILK457505:ILK457594 IBO457505:IBO457594 HRS457505:HRS457594 HHW457505:HHW457594 GYA457505:GYA457594 GOE457505:GOE457594 GEI457505:GEI457594 FUM457505:FUM457594 FKQ457505:FKQ457594 FAU457505:FAU457594 EQY457505:EQY457594 EHC457505:EHC457594 DXG457505:DXG457594 DNK457505:DNK457594 DDO457505:DDO457594 CTS457505:CTS457594 CJW457505:CJW457594 CAA457505:CAA457594 BQE457505:BQE457594 BGI457505:BGI457594 AWM457505:AWM457594 AMQ457505:AMQ457594 ACU457505:ACU457594 SY457505:SY457594 JC457505:JC457594 G457514:G457603 WVO391969:WVO392058 WLS391969:WLS392058 WBW391969:WBW392058 VSA391969:VSA392058 VIE391969:VIE392058 UYI391969:UYI392058 UOM391969:UOM392058 UEQ391969:UEQ392058 TUU391969:TUU392058 TKY391969:TKY392058 TBC391969:TBC392058 SRG391969:SRG392058 SHK391969:SHK392058 RXO391969:RXO392058 RNS391969:RNS392058 RDW391969:RDW392058 QUA391969:QUA392058 QKE391969:QKE392058 QAI391969:QAI392058 PQM391969:PQM392058 PGQ391969:PGQ392058 OWU391969:OWU392058 OMY391969:OMY392058 ODC391969:ODC392058 NTG391969:NTG392058 NJK391969:NJK392058 MZO391969:MZO392058 MPS391969:MPS392058 MFW391969:MFW392058 LWA391969:LWA392058 LME391969:LME392058 LCI391969:LCI392058 KSM391969:KSM392058 KIQ391969:KIQ392058 JYU391969:JYU392058 JOY391969:JOY392058 JFC391969:JFC392058 IVG391969:IVG392058 ILK391969:ILK392058 IBO391969:IBO392058 HRS391969:HRS392058 HHW391969:HHW392058 GYA391969:GYA392058 GOE391969:GOE392058 GEI391969:GEI392058 FUM391969:FUM392058 FKQ391969:FKQ392058 FAU391969:FAU392058 EQY391969:EQY392058 EHC391969:EHC392058 DXG391969:DXG392058 DNK391969:DNK392058 DDO391969:DDO392058 CTS391969:CTS392058 CJW391969:CJW392058 CAA391969:CAA392058 BQE391969:BQE392058 BGI391969:BGI392058 AWM391969:AWM392058 AMQ391969:AMQ392058 ACU391969:ACU392058 SY391969:SY392058 JC391969:JC392058 G391978:G392067 WVO326433:WVO326522 WLS326433:WLS326522 WBW326433:WBW326522 VSA326433:VSA326522 VIE326433:VIE326522 UYI326433:UYI326522 UOM326433:UOM326522 UEQ326433:UEQ326522 TUU326433:TUU326522 TKY326433:TKY326522 TBC326433:TBC326522 SRG326433:SRG326522 SHK326433:SHK326522 RXO326433:RXO326522 RNS326433:RNS326522 RDW326433:RDW326522 QUA326433:QUA326522 QKE326433:QKE326522 QAI326433:QAI326522 PQM326433:PQM326522 PGQ326433:PGQ326522 OWU326433:OWU326522 OMY326433:OMY326522 ODC326433:ODC326522 NTG326433:NTG326522 NJK326433:NJK326522 MZO326433:MZO326522 MPS326433:MPS326522 MFW326433:MFW326522 LWA326433:LWA326522 LME326433:LME326522 LCI326433:LCI326522 KSM326433:KSM326522 KIQ326433:KIQ326522 JYU326433:JYU326522 JOY326433:JOY326522 JFC326433:JFC326522 IVG326433:IVG326522 ILK326433:ILK326522 IBO326433:IBO326522 HRS326433:HRS326522 HHW326433:HHW326522 GYA326433:GYA326522 GOE326433:GOE326522 GEI326433:GEI326522 FUM326433:FUM326522 FKQ326433:FKQ326522 FAU326433:FAU326522 EQY326433:EQY326522 EHC326433:EHC326522 DXG326433:DXG326522 DNK326433:DNK326522 DDO326433:DDO326522 CTS326433:CTS326522 CJW326433:CJW326522 CAA326433:CAA326522 BQE326433:BQE326522 BGI326433:BGI326522 AWM326433:AWM326522 AMQ326433:AMQ326522 ACU326433:ACU326522 SY326433:SY326522 JC326433:JC326522 G326442:G326531 WVO260897:WVO260986 WLS260897:WLS260986 WBW260897:WBW260986 VSA260897:VSA260986 VIE260897:VIE260986 UYI260897:UYI260986 UOM260897:UOM260986 UEQ260897:UEQ260986 TUU260897:TUU260986 TKY260897:TKY260986 TBC260897:TBC260986 SRG260897:SRG260986 SHK260897:SHK260986 RXO260897:RXO260986 RNS260897:RNS260986 RDW260897:RDW260986 QUA260897:QUA260986 QKE260897:QKE260986 QAI260897:QAI260986 PQM260897:PQM260986 PGQ260897:PGQ260986 OWU260897:OWU260986 OMY260897:OMY260986 ODC260897:ODC260986 NTG260897:NTG260986 NJK260897:NJK260986 MZO260897:MZO260986 MPS260897:MPS260986 MFW260897:MFW260986 LWA260897:LWA260986 LME260897:LME260986 LCI260897:LCI260986 KSM260897:KSM260986 KIQ260897:KIQ260986 JYU260897:JYU260986 JOY260897:JOY260986 JFC260897:JFC260986 IVG260897:IVG260986 ILK260897:ILK260986 IBO260897:IBO260986 HRS260897:HRS260986 HHW260897:HHW260986 GYA260897:GYA260986 GOE260897:GOE260986 GEI260897:GEI260986 FUM260897:FUM260986 FKQ260897:FKQ260986 FAU260897:FAU260986 EQY260897:EQY260986 EHC260897:EHC260986 DXG260897:DXG260986 DNK260897:DNK260986 DDO260897:DDO260986 CTS260897:CTS260986 CJW260897:CJW260986 CAA260897:CAA260986 BQE260897:BQE260986 BGI260897:BGI260986 AWM260897:AWM260986 AMQ260897:AMQ260986 ACU260897:ACU260986 SY260897:SY260986 JC260897:JC260986 G260906:G260995 WVO195361:WVO195450 WLS195361:WLS195450 WBW195361:WBW195450 VSA195361:VSA195450 VIE195361:VIE195450 UYI195361:UYI195450 UOM195361:UOM195450 UEQ195361:UEQ195450 TUU195361:TUU195450 TKY195361:TKY195450 TBC195361:TBC195450 SRG195361:SRG195450 SHK195361:SHK195450 RXO195361:RXO195450 RNS195361:RNS195450 RDW195361:RDW195450 QUA195361:QUA195450 QKE195361:QKE195450 QAI195361:QAI195450 PQM195361:PQM195450 PGQ195361:PGQ195450 OWU195361:OWU195450 OMY195361:OMY195450 ODC195361:ODC195450 NTG195361:NTG195450 NJK195361:NJK195450 MZO195361:MZO195450 MPS195361:MPS195450 MFW195361:MFW195450 LWA195361:LWA195450 LME195361:LME195450 LCI195361:LCI195450 KSM195361:KSM195450 KIQ195361:KIQ195450 JYU195361:JYU195450 JOY195361:JOY195450 JFC195361:JFC195450 IVG195361:IVG195450 ILK195361:ILK195450 IBO195361:IBO195450 HRS195361:HRS195450 HHW195361:HHW195450 GYA195361:GYA195450 GOE195361:GOE195450 GEI195361:GEI195450 FUM195361:FUM195450 FKQ195361:FKQ195450 FAU195361:FAU195450 EQY195361:EQY195450 EHC195361:EHC195450 DXG195361:DXG195450 DNK195361:DNK195450 DDO195361:DDO195450 CTS195361:CTS195450 CJW195361:CJW195450 CAA195361:CAA195450 BQE195361:BQE195450 BGI195361:BGI195450 AWM195361:AWM195450 AMQ195361:AMQ195450 ACU195361:ACU195450 SY195361:SY195450 JC195361:JC195450 G195370:G195459 WVO129825:WVO129914 WLS129825:WLS129914 WBW129825:WBW129914 VSA129825:VSA129914 VIE129825:VIE129914 UYI129825:UYI129914 UOM129825:UOM129914 UEQ129825:UEQ129914 TUU129825:TUU129914 TKY129825:TKY129914 TBC129825:TBC129914 SRG129825:SRG129914 SHK129825:SHK129914 RXO129825:RXO129914 RNS129825:RNS129914 RDW129825:RDW129914 QUA129825:QUA129914 QKE129825:QKE129914 QAI129825:QAI129914 PQM129825:PQM129914 PGQ129825:PGQ129914 OWU129825:OWU129914 OMY129825:OMY129914 ODC129825:ODC129914 NTG129825:NTG129914 NJK129825:NJK129914 MZO129825:MZO129914 MPS129825:MPS129914 MFW129825:MFW129914 LWA129825:LWA129914 LME129825:LME129914 LCI129825:LCI129914 KSM129825:KSM129914 KIQ129825:KIQ129914 JYU129825:JYU129914 JOY129825:JOY129914 JFC129825:JFC129914 IVG129825:IVG129914 ILK129825:ILK129914 IBO129825:IBO129914 HRS129825:HRS129914 HHW129825:HHW129914 GYA129825:GYA129914 GOE129825:GOE129914 GEI129825:GEI129914 FUM129825:FUM129914 FKQ129825:FKQ129914 FAU129825:FAU129914 EQY129825:EQY129914 EHC129825:EHC129914 DXG129825:DXG129914 DNK129825:DNK129914 DDO129825:DDO129914 CTS129825:CTS129914 CJW129825:CJW129914 CAA129825:CAA129914 BQE129825:BQE129914 BGI129825:BGI129914 AWM129825:AWM129914 AMQ129825:AMQ129914 ACU129825:ACU129914 SY129825:SY129914 JC129825:JC129914 G129834:G129923 WVO64289:WVO64378 WLS64289:WLS64378 WBW64289:WBW64378 VSA64289:VSA64378 VIE64289:VIE64378 UYI64289:UYI64378 UOM64289:UOM64378 UEQ64289:UEQ64378 TUU64289:TUU64378 TKY64289:TKY64378 TBC64289:TBC64378 SRG64289:SRG64378 SHK64289:SHK64378 RXO64289:RXO64378 RNS64289:RNS64378 RDW64289:RDW64378 QUA64289:QUA64378 QKE64289:QKE64378 QAI64289:QAI64378 PQM64289:PQM64378 PGQ64289:PGQ64378 OWU64289:OWU64378 OMY64289:OMY64378 ODC64289:ODC64378 NTG64289:NTG64378 NJK64289:NJK64378 MZO64289:MZO64378 MPS64289:MPS64378 MFW64289:MFW64378 LWA64289:LWA64378 LME64289:LME64378 LCI64289:LCI64378 KSM64289:KSM64378 KIQ64289:KIQ64378 JYU64289:JYU64378 JOY64289:JOY64378 JFC64289:JFC64378 IVG64289:IVG64378 ILK64289:ILK64378 IBO64289:IBO64378 HRS64289:HRS64378 HHW64289:HHW64378 GYA64289:GYA64378 GOE64289:GOE64378 GEI64289:GEI64378 FUM64289:FUM64378 FKQ64289:FKQ64378 FAU64289:FAU64378 EQY64289:EQY64378 EHC64289:EHC64378 DXG64289:DXG64378 DNK64289:DNK64378 DDO64289:DDO64378 CTS64289:CTS64378 CJW64289:CJW64378 CAA64289:CAA64378 BQE64289:BQE64378 BGI64289:BGI64378 AWM64289:AWM64378 AMQ64289:AMQ64378 ACU64289:ACU64378 SY64289:SY64378 JC64289:JC64378 G64298:G64387 WVO2:WVO64 WLS2:WLS64 WBW2:WBW64 VSA2:VSA64 VIE2:VIE64 UYI2:UYI64 UOM2:UOM64 UEQ2:UEQ64 TUU2:TUU64 TKY2:TKY64 TBC2:TBC64 SRG2:SRG64 SHK2:SHK64 RXO2:RXO64 RNS2:RNS64 RDW2:RDW64 QUA2:QUA64 QKE2:QKE64 QAI2:QAI64 PQM2:PQM64 PGQ2:PGQ64 OWU2:OWU64 OMY2:OMY64 ODC2:ODC64 NTG2:NTG64 NJK2:NJK64 MZO2:MZO64 MPS2:MPS64 MFW2:MFW64 LWA2:LWA64 LME2:LME64 LCI2:LCI64 KSM2:KSM64 KIQ2:KIQ64 JYU2:JYU64 JOY2:JOY64 JFC2:JFC64 IVG2:IVG64 ILK2:ILK64 IBO2:IBO64 HRS2:HRS64 HHW2:HHW64 GYA2:GYA64 GOE2:GOE64 GEI2:GEI64 FUM2:FUM64 FKQ2:FKQ64 FAU2:FAU64 EQY2:EQY64 EHC2:EHC64 DXG2:DXG64 DNK2:DNK64 DDO2:DDO64 CTS2:CTS64 CJW2:CJW64 CAA2:CAA64 BQE2:BQE64 BGI2:BGI64 AWM2:AWM64 AMQ2:AMQ64 ACU2:ACU64 SY2:SY64 JC2:JC64 G2:G488" xr:uid="{2DC29D2E-8FA2-4588-965B-3B79188A95BE}">
      <formula1>$AJ$2:$AJ$4</formula1>
    </dataValidation>
    <dataValidation type="list" allowBlank="1" showInputMessage="1" showErrorMessage="1" sqref="WVP981793:WVP981882 H64310:H64399 WLT981793:WLT981882 WBX981793:WBX981882 VSB981793:VSB981882 VIF981793:VIF981882 UYJ981793:UYJ981882 UON981793:UON981882 UER981793:UER981882 TUV981793:TUV981882 TKZ981793:TKZ981882 TBD981793:TBD981882 SRH981793:SRH981882 SHL981793:SHL981882 RXP981793:RXP981882 RNT981793:RNT981882 RDX981793:RDX981882 QUB981793:QUB981882 QKF981793:QKF981882 QAJ981793:QAJ981882 PQN981793:PQN981882 PGR981793:PGR981882 OWV981793:OWV981882 OMZ981793:OMZ981882 ODD981793:ODD981882 NTH981793:NTH981882 NJL981793:NJL981882 MZP981793:MZP981882 MPT981793:MPT981882 MFX981793:MFX981882 LWB981793:LWB981882 LMF981793:LMF981882 LCJ981793:LCJ981882 KSN981793:KSN981882 KIR981793:KIR981882 JYV981793:JYV981882 JOZ981793:JOZ981882 JFD981793:JFD981882 IVH981793:IVH981882 ILL981793:ILL981882 IBP981793:IBP981882 HRT981793:HRT981882 HHX981793:HHX981882 GYB981793:GYB981882 GOF981793:GOF981882 GEJ981793:GEJ981882 FUN981793:FUN981882 FKR981793:FKR981882 FAV981793:FAV981882 EQZ981793:EQZ981882 EHD981793:EHD981882 DXH981793:DXH981882 DNL981793:DNL981882 DDP981793:DDP981882 CTT981793:CTT981882 CJX981793:CJX981882 CAB981793:CAB981882 BQF981793:BQF981882 BGJ981793:BGJ981882 AWN981793:AWN981882 AMR981793:AMR981882 ACV981793:ACV981882 SZ981793:SZ981882 JD981793:JD981882 H981814:H981903 WVP916257:WVP916346 WLT916257:WLT916346 WBX916257:WBX916346 VSB916257:VSB916346 VIF916257:VIF916346 UYJ916257:UYJ916346 UON916257:UON916346 UER916257:UER916346 TUV916257:TUV916346 TKZ916257:TKZ916346 TBD916257:TBD916346 SRH916257:SRH916346 SHL916257:SHL916346 RXP916257:RXP916346 RNT916257:RNT916346 RDX916257:RDX916346 QUB916257:QUB916346 QKF916257:QKF916346 QAJ916257:QAJ916346 PQN916257:PQN916346 PGR916257:PGR916346 OWV916257:OWV916346 OMZ916257:OMZ916346 ODD916257:ODD916346 NTH916257:NTH916346 NJL916257:NJL916346 MZP916257:MZP916346 MPT916257:MPT916346 MFX916257:MFX916346 LWB916257:LWB916346 LMF916257:LMF916346 LCJ916257:LCJ916346 KSN916257:KSN916346 KIR916257:KIR916346 JYV916257:JYV916346 JOZ916257:JOZ916346 JFD916257:JFD916346 IVH916257:IVH916346 ILL916257:ILL916346 IBP916257:IBP916346 HRT916257:HRT916346 HHX916257:HHX916346 GYB916257:GYB916346 GOF916257:GOF916346 GEJ916257:GEJ916346 FUN916257:FUN916346 FKR916257:FKR916346 FAV916257:FAV916346 EQZ916257:EQZ916346 EHD916257:EHD916346 DXH916257:DXH916346 DNL916257:DNL916346 DDP916257:DDP916346 CTT916257:CTT916346 CJX916257:CJX916346 CAB916257:CAB916346 BQF916257:BQF916346 BGJ916257:BGJ916346 AWN916257:AWN916346 AMR916257:AMR916346 ACV916257:ACV916346 SZ916257:SZ916346 JD916257:JD916346 H916278:H916367 WVP850721:WVP850810 WLT850721:WLT850810 WBX850721:WBX850810 VSB850721:VSB850810 VIF850721:VIF850810 UYJ850721:UYJ850810 UON850721:UON850810 UER850721:UER850810 TUV850721:TUV850810 TKZ850721:TKZ850810 TBD850721:TBD850810 SRH850721:SRH850810 SHL850721:SHL850810 RXP850721:RXP850810 RNT850721:RNT850810 RDX850721:RDX850810 QUB850721:QUB850810 QKF850721:QKF850810 QAJ850721:QAJ850810 PQN850721:PQN850810 PGR850721:PGR850810 OWV850721:OWV850810 OMZ850721:OMZ850810 ODD850721:ODD850810 NTH850721:NTH850810 NJL850721:NJL850810 MZP850721:MZP850810 MPT850721:MPT850810 MFX850721:MFX850810 LWB850721:LWB850810 LMF850721:LMF850810 LCJ850721:LCJ850810 KSN850721:KSN850810 KIR850721:KIR850810 JYV850721:JYV850810 JOZ850721:JOZ850810 JFD850721:JFD850810 IVH850721:IVH850810 ILL850721:ILL850810 IBP850721:IBP850810 HRT850721:HRT850810 HHX850721:HHX850810 GYB850721:GYB850810 GOF850721:GOF850810 GEJ850721:GEJ850810 FUN850721:FUN850810 FKR850721:FKR850810 FAV850721:FAV850810 EQZ850721:EQZ850810 EHD850721:EHD850810 DXH850721:DXH850810 DNL850721:DNL850810 DDP850721:DDP850810 CTT850721:CTT850810 CJX850721:CJX850810 CAB850721:CAB850810 BQF850721:BQF850810 BGJ850721:BGJ850810 AWN850721:AWN850810 AMR850721:AMR850810 ACV850721:ACV850810 SZ850721:SZ850810 JD850721:JD850810 H850742:H850831 WVP785185:WVP785274 WLT785185:WLT785274 WBX785185:WBX785274 VSB785185:VSB785274 VIF785185:VIF785274 UYJ785185:UYJ785274 UON785185:UON785274 UER785185:UER785274 TUV785185:TUV785274 TKZ785185:TKZ785274 TBD785185:TBD785274 SRH785185:SRH785274 SHL785185:SHL785274 RXP785185:RXP785274 RNT785185:RNT785274 RDX785185:RDX785274 QUB785185:QUB785274 QKF785185:QKF785274 QAJ785185:QAJ785274 PQN785185:PQN785274 PGR785185:PGR785274 OWV785185:OWV785274 OMZ785185:OMZ785274 ODD785185:ODD785274 NTH785185:NTH785274 NJL785185:NJL785274 MZP785185:MZP785274 MPT785185:MPT785274 MFX785185:MFX785274 LWB785185:LWB785274 LMF785185:LMF785274 LCJ785185:LCJ785274 KSN785185:KSN785274 KIR785185:KIR785274 JYV785185:JYV785274 JOZ785185:JOZ785274 JFD785185:JFD785274 IVH785185:IVH785274 ILL785185:ILL785274 IBP785185:IBP785274 HRT785185:HRT785274 HHX785185:HHX785274 GYB785185:GYB785274 GOF785185:GOF785274 GEJ785185:GEJ785274 FUN785185:FUN785274 FKR785185:FKR785274 FAV785185:FAV785274 EQZ785185:EQZ785274 EHD785185:EHD785274 DXH785185:DXH785274 DNL785185:DNL785274 DDP785185:DDP785274 CTT785185:CTT785274 CJX785185:CJX785274 CAB785185:CAB785274 BQF785185:BQF785274 BGJ785185:BGJ785274 AWN785185:AWN785274 AMR785185:AMR785274 ACV785185:ACV785274 SZ785185:SZ785274 JD785185:JD785274 H785206:H785295 WVP719649:WVP719738 WLT719649:WLT719738 WBX719649:WBX719738 VSB719649:VSB719738 VIF719649:VIF719738 UYJ719649:UYJ719738 UON719649:UON719738 UER719649:UER719738 TUV719649:TUV719738 TKZ719649:TKZ719738 TBD719649:TBD719738 SRH719649:SRH719738 SHL719649:SHL719738 RXP719649:RXP719738 RNT719649:RNT719738 RDX719649:RDX719738 QUB719649:QUB719738 QKF719649:QKF719738 QAJ719649:QAJ719738 PQN719649:PQN719738 PGR719649:PGR719738 OWV719649:OWV719738 OMZ719649:OMZ719738 ODD719649:ODD719738 NTH719649:NTH719738 NJL719649:NJL719738 MZP719649:MZP719738 MPT719649:MPT719738 MFX719649:MFX719738 LWB719649:LWB719738 LMF719649:LMF719738 LCJ719649:LCJ719738 KSN719649:KSN719738 KIR719649:KIR719738 JYV719649:JYV719738 JOZ719649:JOZ719738 JFD719649:JFD719738 IVH719649:IVH719738 ILL719649:ILL719738 IBP719649:IBP719738 HRT719649:HRT719738 HHX719649:HHX719738 GYB719649:GYB719738 GOF719649:GOF719738 GEJ719649:GEJ719738 FUN719649:FUN719738 FKR719649:FKR719738 FAV719649:FAV719738 EQZ719649:EQZ719738 EHD719649:EHD719738 DXH719649:DXH719738 DNL719649:DNL719738 DDP719649:DDP719738 CTT719649:CTT719738 CJX719649:CJX719738 CAB719649:CAB719738 BQF719649:BQF719738 BGJ719649:BGJ719738 AWN719649:AWN719738 AMR719649:AMR719738 ACV719649:ACV719738 SZ719649:SZ719738 JD719649:JD719738 H719670:H719759 WVP654113:WVP654202 WLT654113:WLT654202 WBX654113:WBX654202 VSB654113:VSB654202 VIF654113:VIF654202 UYJ654113:UYJ654202 UON654113:UON654202 UER654113:UER654202 TUV654113:TUV654202 TKZ654113:TKZ654202 TBD654113:TBD654202 SRH654113:SRH654202 SHL654113:SHL654202 RXP654113:RXP654202 RNT654113:RNT654202 RDX654113:RDX654202 QUB654113:QUB654202 QKF654113:QKF654202 QAJ654113:QAJ654202 PQN654113:PQN654202 PGR654113:PGR654202 OWV654113:OWV654202 OMZ654113:OMZ654202 ODD654113:ODD654202 NTH654113:NTH654202 NJL654113:NJL654202 MZP654113:MZP654202 MPT654113:MPT654202 MFX654113:MFX654202 LWB654113:LWB654202 LMF654113:LMF654202 LCJ654113:LCJ654202 KSN654113:KSN654202 KIR654113:KIR654202 JYV654113:JYV654202 JOZ654113:JOZ654202 JFD654113:JFD654202 IVH654113:IVH654202 ILL654113:ILL654202 IBP654113:IBP654202 HRT654113:HRT654202 HHX654113:HHX654202 GYB654113:GYB654202 GOF654113:GOF654202 GEJ654113:GEJ654202 FUN654113:FUN654202 FKR654113:FKR654202 FAV654113:FAV654202 EQZ654113:EQZ654202 EHD654113:EHD654202 DXH654113:DXH654202 DNL654113:DNL654202 DDP654113:DDP654202 CTT654113:CTT654202 CJX654113:CJX654202 CAB654113:CAB654202 BQF654113:BQF654202 BGJ654113:BGJ654202 AWN654113:AWN654202 AMR654113:AMR654202 ACV654113:ACV654202 SZ654113:SZ654202 JD654113:JD654202 H654134:H654223 WVP588577:WVP588666 WLT588577:WLT588666 WBX588577:WBX588666 VSB588577:VSB588666 VIF588577:VIF588666 UYJ588577:UYJ588666 UON588577:UON588666 UER588577:UER588666 TUV588577:TUV588666 TKZ588577:TKZ588666 TBD588577:TBD588666 SRH588577:SRH588666 SHL588577:SHL588666 RXP588577:RXP588666 RNT588577:RNT588666 RDX588577:RDX588666 QUB588577:QUB588666 QKF588577:QKF588666 QAJ588577:QAJ588666 PQN588577:PQN588666 PGR588577:PGR588666 OWV588577:OWV588666 OMZ588577:OMZ588666 ODD588577:ODD588666 NTH588577:NTH588666 NJL588577:NJL588666 MZP588577:MZP588666 MPT588577:MPT588666 MFX588577:MFX588666 LWB588577:LWB588666 LMF588577:LMF588666 LCJ588577:LCJ588666 KSN588577:KSN588666 KIR588577:KIR588666 JYV588577:JYV588666 JOZ588577:JOZ588666 JFD588577:JFD588666 IVH588577:IVH588666 ILL588577:ILL588666 IBP588577:IBP588666 HRT588577:HRT588666 HHX588577:HHX588666 GYB588577:GYB588666 GOF588577:GOF588666 GEJ588577:GEJ588666 FUN588577:FUN588666 FKR588577:FKR588666 FAV588577:FAV588666 EQZ588577:EQZ588666 EHD588577:EHD588666 DXH588577:DXH588666 DNL588577:DNL588666 DDP588577:DDP588666 CTT588577:CTT588666 CJX588577:CJX588666 CAB588577:CAB588666 BQF588577:BQF588666 BGJ588577:BGJ588666 AWN588577:AWN588666 AMR588577:AMR588666 ACV588577:ACV588666 SZ588577:SZ588666 JD588577:JD588666 H588598:H588687 WVP523041:WVP523130 WLT523041:WLT523130 WBX523041:WBX523130 VSB523041:VSB523130 VIF523041:VIF523130 UYJ523041:UYJ523130 UON523041:UON523130 UER523041:UER523130 TUV523041:TUV523130 TKZ523041:TKZ523130 TBD523041:TBD523130 SRH523041:SRH523130 SHL523041:SHL523130 RXP523041:RXP523130 RNT523041:RNT523130 RDX523041:RDX523130 QUB523041:QUB523130 QKF523041:QKF523130 QAJ523041:QAJ523130 PQN523041:PQN523130 PGR523041:PGR523130 OWV523041:OWV523130 OMZ523041:OMZ523130 ODD523041:ODD523130 NTH523041:NTH523130 NJL523041:NJL523130 MZP523041:MZP523130 MPT523041:MPT523130 MFX523041:MFX523130 LWB523041:LWB523130 LMF523041:LMF523130 LCJ523041:LCJ523130 KSN523041:KSN523130 KIR523041:KIR523130 JYV523041:JYV523130 JOZ523041:JOZ523130 JFD523041:JFD523130 IVH523041:IVH523130 ILL523041:ILL523130 IBP523041:IBP523130 HRT523041:HRT523130 HHX523041:HHX523130 GYB523041:GYB523130 GOF523041:GOF523130 GEJ523041:GEJ523130 FUN523041:FUN523130 FKR523041:FKR523130 FAV523041:FAV523130 EQZ523041:EQZ523130 EHD523041:EHD523130 DXH523041:DXH523130 DNL523041:DNL523130 DDP523041:DDP523130 CTT523041:CTT523130 CJX523041:CJX523130 CAB523041:CAB523130 BQF523041:BQF523130 BGJ523041:BGJ523130 AWN523041:AWN523130 AMR523041:AMR523130 ACV523041:ACV523130 SZ523041:SZ523130 JD523041:JD523130 H523062:H523151 WVP457505:WVP457594 WLT457505:WLT457594 WBX457505:WBX457594 VSB457505:VSB457594 VIF457505:VIF457594 UYJ457505:UYJ457594 UON457505:UON457594 UER457505:UER457594 TUV457505:TUV457594 TKZ457505:TKZ457594 TBD457505:TBD457594 SRH457505:SRH457594 SHL457505:SHL457594 RXP457505:RXP457594 RNT457505:RNT457594 RDX457505:RDX457594 QUB457505:QUB457594 QKF457505:QKF457594 QAJ457505:QAJ457594 PQN457505:PQN457594 PGR457505:PGR457594 OWV457505:OWV457594 OMZ457505:OMZ457594 ODD457505:ODD457594 NTH457505:NTH457594 NJL457505:NJL457594 MZP457505:MZP457594 MPT457505:MPT457594 MFX457505:MFX457594 LWB457505:LWB457594 LMF457505:LMF457594 LCJ457505:LCJ457594 KSN457505:KSN457594 KIR457505:KIR457594 JYV457505:JYV457594 JOZ457505:JOZ457594 JFD457505:JFD457594 IVH457505:IVH457594 ILL457505:ILL457594 IBP457505:IBP457594 HRT457505:HRT457594 HHX457505:HHX457594 GYB457505:GYB457594 GOF457505:GOF457594 GEJ457505:GEJ457594 FUN457505:FUN457594 FKR457505:FKR457594 FAV457505:FAV457594 EQZ457505:EQZ457594 EHD457505:EHD457594 DXH457505:DXH457594 DNL457505:DNL457594 DDP457505:DDP457594 CTT457505:CTT457594 CJX457505:CJX457594 CAB457505:CAB457594 BQF457505:BQF457594 BGJ457505:BGJ457594 AWN457505:AWN457594 AMR457505:AMR457594 ACV457505:ACV457594 SZ457505:SZ457594 JD457505:JD457594 H457526:H457615 WVP391969:WVP392058 WLT391969:WLT392058 WBX391969:WBX392058 VSB391969:VSB392058 VIF391969:VIF392058 UYJ391969:UYJ392058 UON391969:UON392058 UER391969:UER392058 TUV391969:TUV392058 TKZ391969:TKZ392058 TBD391969:TBD392058 SRH391969:SRH392058 SHL391969:SHL392058 RXP391969:RXP392058 RNT391969:RNT392058 RDX391969:RDX392058 QUB391969:QUB392058 QKF391969:QKF392058 QAJ391969:QAJ392058 PQN391969:PQN392058 PGR391969:PGR392058 OWV391969:OWV392058 OMZ391969:OMZ392058 ODD391969:ODD392058 NTH391969:NTH392058 NJL391969:NJL392058 MZP391969:MZP392058 MPT391969:MPT392058 MFX391969:MFX392058 LWB391969:LWB392058 LMF391969:LMF392058 LCJ391969:LCJ392058 KSN391969:KSN392058 KIR391969:KIR392058 JYV391969:JYV392058 JOZ391969:JOZ392058 JFD391969:JFD392058 IVH391969:IVH392058 ILL391969:ILL392058 IBP391969:IBP392058 HRT391969:HRT392058 HHX391969:HHX392058 GYB391969:GYB392058 GOF391969:GOF392058 GEJ391969:GEJ392058 FUN391969:FUN392058 FKR391969:FKR392058 FAV391969:FAV392058 EQZ391969:EQZ392058 EHD391969:EHD392058 DXH391969:DXH392058 DNL391969:DNL392058 DDP391969:DDP392058 CTT391969:CTT392058 CJX391969:CJX392058 CAB391969:CAB392058 BQF391969:BQF392058 BGJ391969:BGJ392058 AWN391969:AWN392058 AMR391969:AMR392058 ACV391969:ACV392058 SZ391969:SZ392058 JD391969:JD392058 H391990:H392079 WVP326433:WVP326522 WLT326433:WLT326522 WBX326433:WBX326522 VSB326433:VSB326522 VIF326433:VIF326522 UYJ326433:UYJ326522 UON326433:UON326522 UER326433:UER326522 TUV326433:TUV326522 TKZ326433:TKZ326522 TBD326433:TBD326522 SRH326433:SRH326522 SHL326433:SHL326522 RXP326433:RXP326522 RNT326433:RNT326522 RDX326433:RDX326522 QUB326433:QUB326522 QKF326433:QKF326522 QAJ326433:QAJ326522 PQN326433:PQN326522 PGR326433:PGR326522 OWV326433:OWV326522 OMZ326433:OMZ326522 ODD326433:ODD326522 NTH326433:NTH326522 NJL326433:NJL326522 MZP326433:MZP326522 MPT326433:MPT326522 MFX326433:MFX326522 LWB326433:LWB326522 LMF326433:LMF326522 LCJ326433:LCJ326522 KSN326433:KSN326522 KIR326433:KIR326522 JYV326433:JYV326522 JOZ326433:JOZ326522 JFD326433:JFD326522 IVH326433:IVH326522 ILL326433:ILL326522 IBP326433:IBP326522 HRT326433:HRT326522 HHX326433:HHX326522 GYB326433:GYB326522 GOF326433:GOF326522 GEJ326433:GEJ326522 FUN326433:FUN326522 FKR326433:FKR326522 FAV326433:FAV326522 EQZ326433:EQZ326522 EHD326433:EHD326522 DXH326433:DXH326522 DNL326433:DNL326522 DDP326433:DDP326522 CTT326433:CTT326522 CJX326433:CJX326522 CAB326433:CAB326522 BQF326433:BQF326522 BGJ326433:BGJ326522 AWN326433:AWN326522 AMR326433:AMR326522 ACV326433:ACV326522 SZ326433:SZ326522 JD326433:JD326522 H326454:H326543 WVP260897:WVP260986 WLT260897:WLT260986 WBX260897:WBX260986 VSB260897:VSB260986 VIF260897:VIF260986 UYJ260897:UYJ260986 UON260897:UON260986 UER260897:UER260986 TUV260897:TUV260986 TKZ260897:TKZ260986 TBD260897:TBD260986 SRH260897:SRH260986 SHL260897:SHL260986 RXP260897:RXP260986 RNT260897:RNT260986 RDX260897:RDX260986 QUB260897:QUB260986 QKF260897:QKF260986 QAJ260897:QAJ260986 PQN260897:PQN260986 PGR260897:PGR260986 OWV260897:OWV260986 OMZ260897:OMZ260986 ODD260897:ODD260986 NTH260897:NTH260986 NJL260897:NJL260986 MZP260897:MZP260986 MPT260897:MPT260986 MFX260897:MFX260986 LWB260897:LWB260986 LMF260897:LMF260986 LCJ260897:LCJ260986 KSN260897:KSN260986 KIR260897:KIR260986 JYV260897:JYV260986 JOZ260897:JOZ260986 JFD260897:JFD260986 IVH260897:IVH260986 ILL260897:ILL260986 IBP260897:IBP260986 HRT260897:HRT260986 HHX260897:HHX260986 GYB260897:GYB260986 GOF260897:GOF260986 GEJ260897:GEJ260986 FUN260897:FUN260986 FKR260897:FKR260986 FAV260897:FAV260986 EQZ260897:EQZ260986 EHD260897:EHD260986 DXH260897:DXH260986 DNL260897:DNL260986 DDP260897:DDP260986 CTT260897:CTT260986 CJX260897:CJX260986 CAB260897:CAB260986 BQF260897:BQF260986 BGJ260897:BGJ260986 AWN260897:AWN260986 AMR260897:AMR260986 ACV260897:ACV260986 SZ260897:SZ260986 JD260897:JD260986 H260918:H261007 WVP195361:WVP195450 WLT195361:WLT195450 WBX195361:WBX195450 VSB195361:VSB195450 VIF195361:VIF195450 UYJ195361:UYJ195450 UON195361:UON195450 UER195361:UER195450 TUV195361:TUV195450 TKZ195361:TKZ195450 TBD195361:TBD195450 SRH195361:SRH195450 SHL195361:SHL195450 RXP195361:RXP195450 RNT195361:RNT195450 RDX195361:RDX195450 QUB195361:QUB195450 QKF195361:QKF195450 QAJ195361:QAJ195450 PQN195361:PQN195450 PGR195361:PGR195450 OWV195361:OWV195450 OMZ195361:OMZ195450 ODD195361:ODD195450 NTH195361:NTH195450 NJL195361:NJL195450 MZP195361:MZP195450 MPT195361:MPT195450 MFX195361:MFX195450 LWB195361:LWB195450 LMF195361:LMF195450 LCJ195361:LCJ195450 KSN195361:KSN195450 KIR195361:KIR195450 JYV195361:JYV195450 JOZ195361:JOZ195450 JFD195361:JFD195450 IVH195361:IVH195450 ILL195361:ILL195450 IBP195361:IBP195450 HRT195361:HRT195450 HHX195361:HHX195450 GYB195361:GYB195450 GOF195361:GOF195450 GEJ195361:GEJ195450 FUN195361:FUN195450 FKR195361:FKR195450 FAV195361:FAV195450 EQZ195361:EQZ195450 EHD195361:EHD195450 DXH195361:DXH195450 DNL195361:DNL195450 DDP195361:DDP195450 CTT195361:CTT195450 CJX195361:CJX195450 CAB195361:CAB195450 BQF195361:BQF195450 BGJ195361:BGJ195450 AWN195361:AWN195450 AMR195361:AMR195450 ACV195361:ACV195450 SZ195361:SZ195450 JD195361:JD195450 H195382:H195471 WVP129825:WVP129914 WLT129825:WLT129914 WBX129825:WBX129914 VSB129825:VSB129914 VIF129825:VIF129914 UYJ129825:UYJ129914 UON129825:UON129914 UER129825:UER129914 TUV129825:TUV129914 TKZ129825:TKZ129914 TBD129825:TBD129914 SRH129825:SRH129914 SHL129825:SHL129914 RXP129825:RXP129914 RNT129825:RNT129914 RDX129825:RDX129914 QUB129825:QUB129914 QKF129825:QKF129914 QAJ129825:QAJ129914 PQN129825:PQN129914 PGR129825:PGR129914 OWV129825:OWV129914 OMZ129825:OMZ129914 ODD129825:ODD129914 NTH129825:NTH129914 NJL129825:NJL129914 MZP129825:MZP129914 MPT129825:MPT129914 MFX129825:MFX129914 LWB129825:LWB129914 LMF129825:LMF129914 LCJ129825:LCJ129914 KSN129825:KSN129914 KIR129825:KIR129914 JYV129825:JYV129914 JOZ129825:JOZ129914 JFD129825:JFD129914 IVH129825:IVH129914 ILL129825:ILL129914 IBP129825:IBP129914 HRT129825:HRT129914 HHX129825:HHX129914 GYB129825:GYB129914 GOF129825:GOF129914 GEJ129825:GEJ129914 FUN129825:FUN129914 FKR129825:FKR129914 FAV129825:FAV129914 EQZ129825:EQZ129914 EHD129825:EHD129914 DXH129825:DXH129914 DNL129825:DNL129914 DDP129825:DDP129914 CTT129825:CTT129914 CJX129825:CJX129914 CAB129825:CAB129914 BQF129825:BQF129914 BGJ129825:BGJ129914 AWN129825:AWN129914 AMR129825:AMR129914 ACV129825:ACV129914 SZ129825:SZ129914 JD129825:JD129914 H129846:H129935 WVP64289:WVP64378 WLT64289:WLT64378 WBX64289:WBX64378 VSB64289:VSB64378 VIF64289:VIF64378 UYJ64289:UYJ64378 UON64289:UON64378 UER64289:UER64378 TUV64289:TUV64378 TKZ64289:TKZ64378 TBD64289:TBD64378 SRH64289:SRH64378 SHL64289:SHL64378 RXP64289:RXP64378 RNT64289:RNT64378 RDX64289:RDX64378 QUB64289:QUB64378 QKF64289:QKF64378 QAJ64289:QAJ64378 PQN64289:PQN64378 PGR64289:PGR64378 OWV64289:OWV64378 OMZ64289:OMZ64378 ODD64289:ODD64378 NTH64289:NTH64378 NJL64289:NJL64378 MZP64289:MZP64378 MPT64289:MPT64378 MFX64289:MFX64378 LWB64289:LWB64378 LMF64289:LMF64378 LCJ64289:LCJ64378 KSN64289:KSN64378 KIR64289:KIR64378 JYV64289:JYV64378 JOZ64289:JOZ64378 JFD64289:JFD64378 IVH64289:IVH64378 ILL64289:ILL64378 IBP64289:IBP64378 HRT64289:HRT64378 HHX64289:HHX64378 GYB64289:GYB64378 GOF64289:GOF64378 GEJ64289:GEJ64378 FUN64289:FUN64378 FKR64289:FKR64378 FAV64289:FAV64378 EQZ64289:EQZ64378 EHD64289:EHD64378 DXH64289:DXH64378 DNL64289:DNL64378 DDP64289:DDP64378 CTT64289:CTT64378 CJX64289:CJX64378 CAB64289:CAB64378 BQF64289:BQF64378 BGJ64289:BGJ64378 AWN64289:AWN64378 AMR64289:AMR64378 ACV64289:ACV64378 SZ64289:SZ64378 JD64289:JD64378 JD2:JD64 SZ2:SZ64 ACV2:ACV64 AMR2:AMR64 AWN2:AWN64 BGJ2:BGJ64 BQF2:BQF64 CAB2:CAB64 CJX2:CJX64 CTT2:CTT64 DDP2:DDP64 DNL2:DNL64 DXH2:DXH64 EHD2:EHD64 EQZ2:EQZ64 FAV2:FAV64 FKR2:FKR64 FUN2:FUN64 GEJ2:GEJ64 GOF2:GOF64 GYB2:GYB64 HHX2:HHX64 HRT2:HRT64 IBP2:IBP64 ILL2:ILL64 IVH2:IVH64 JFD2:JFD64 JOZ2:JOZ64 JYV2:JYV64 KIR2:KIR64 KSN2:KSN64 LCJ2:LCJ64 LMF2:LMF64 LWB2:LWB64 MFX2:MFX64 MPT2:MPT64 MZP2:MZP64 NJL2:NJL64 NTH2:NTH64 ODD2:ODD64 OMZ2:OMZ64 OWV2:OWV64 PGR2:PGR64 PQN2:PQN64 QAJ2:QAJ64 QKF2:QKF64 QUB2:QUB64 RDX2:RDX64 RNT2:RNT64 RXP2:RXP64 SHL2:SHL64 SRH2:SRH64 TBD2:TBD64 TKZ2:TKZ64 TUV2:TUV64 UER2:UER64 UON2:UON64 UYJ2:UYJ64 VIF2:VIF64 VSB2:VSB64 WBX2:WBX64 WLT2:WLT64 WVP2:WVP64" xr:uid="{F875550E-DC66-4FF6-981E-26EB46F1B8DB}">
      <formula1>$AL$5:$AL$7</formula1>
    </dataValidation>
    <dataValidation type="list" allowBlank="1" showInputMessage="1" showErrorMessage="1" sqref="WVQ981793:WVQ981876 WLU981793:WLU981876 I64310:I64393 JE64289:JE64372 TA64289:TA64372 ACW64289:ACW64372 AMS64289:AMS64372 AWO64289:AWO64372 BGK64289:BGK64372 BQG64289:BQG64372 CAC64289:CAC64372 CJY64289:CJY64372 CTU64289:CTU64372 DDQ64289:DDQ64372 DNM64289:DNM64372 DXI64289:DXI64372 EHE64289:EHE64372 ERA64289:ERA64372 FAW64289:FAW64372 FKS64289:FKS64372 FUO64289:FUO64372 GEK64289:GEK64372 GOG64289:GOG64372 GYC64289:GYC64372 HHY64289:HHY64372 HRU64289:HRU64372 IBQ64289:IBQ64372 ILM64289:ILM64372 IVI64289:IVI64372 JFE64289:JFE64372 JPA64289:JPA64372 JYW64289:JYW64372 KIS64289:KIS64372 KSO64289:KSO64372 LCK64289:LCK64372 LMG64289:LMG64372 LWC64289:LWC64372 MFY64289:MFY64372 MPU64289:MPU64372 MZQ64289:MZQ64372 NJM64289:NJM64372 NTI64289:NTI64372 ODE64289:ODE64372 ONA64289:ONA64372 OWW64289:OWW64372 PGS64289:PGS64372 PQO64289:PQO64372 QAK64289:QAK64372 QKG64289:QKG64372 QUC64289:QUC64372 RDY64289:RDY64372 RNU64289:RNU64372 RXQ64289:RXQ64372 SHM64289:SHM64372 SRI64289:SRI64372 TBE64289:TBE64372 TLA64289:TLA64372 TUW64289:TUW64372 UES64289:UES64372 UOO64289:UOO64372 UYK64289:UYK64372 VIG64289:VIG64372 VSC64289:VSC64372 WBY64289:WBY64372 WLU64289:WLU64372 WVQ64289:WVQ64372 I129846:I129929 JE129825:JE129908 TA129825:TA129908 ACW129825:ACW129908 AMS129825:AMS129908 AWO129825:AWO129908 BGK129825:BGK129908 BQG129825:BQG129908 CAC129825:CAC129908 CJY129825:CJY129908 CTU129825:CTU129908 DDQ129825:DDQ129908 DNM129825:DNM129908 DXI129825:DXI129908 EHE129825:EHE129908 ERA129825:ERA129908 FAW129825:FAW129908 FKS129825:FKS129908 FUO129825:FUO129908 GEK129825:GEK129908 GOG129825:GOG129908 GYC129825:GYC129908 HHY129825:HHY129908 HRU129825:HRU129908 IBQ129825:IBQ129908 ILM129825:ILM129908 IVI129825:IVI129908 JFE129825:JFE129908 JPA129825:JPA129908 JYW129825:JYW129908 KIS129825:KIS129908 KSO129825:KSO129908 LCK129825:LCK129908 LMG129825:LMG129908 LWC129825:LWC129908 MFY129825:MFY129908 MPU129825:MPU129908 MZQ129825:MZQ129908 NJM129825:NJM129908 NTI129825:NTI129908 ODE129825:ODE129908 ONA129825:ONA129908 OWW129825:OWW129908 PGS129825:PGS129908 PQO129825:PQO129908 QAK129825:QAK129908 QKG129825:QKG129908 QUC129825:QUC129908 RDY129825:RDY129908 RNU129825:RNU129908 RXQ129825:RXQ129908 SHM129825:SHM129908 SRI129825:SRI129908 TBE129825:TBE129908 TLA129825:TLA129908 TUW129825:TUW129908 UES129825:UES129908 UOO129825:UOO129908 UYK129825:UYK129908 VIG129825:VIG129908 VSC129825:VSC129908 WBY129825:WBY129908 WLU129825:WLU129908 WVQ129825:WVQ129908 I195382:I195465 JE195361:JE195444 TA195361:TA195444 ACW195361:ACW195444 AMS195361:AMS195444 AWO195361:AWO195444 BGK195361:BGK195444 BQG195361:BQG195444 CAC195361:CAC195444 CJY195361:CJY195444 CTU195361:CTU195444 DDQ195361:DDQ195444 DNM195361:DNM195444 DXI195361:DXI195444 EHE195361:EHE195444 ERA195361:ERA195444 FAW195361:FAW195444 FKS195361:FKS195444 FUO195361:FUO195444 GEK195361:GEK195444 GOG195361:GOG195444 GYC195361:GYC195444 HHY195361:HHY195444 HRU195361:HRU195444 IBQ195361:IBQ195444 ILM195361:ILM195444 IVI195361:IVI195444 JFE195361:JFE195444 JPA195361:JPA195444 JYW195361:JYW195444 KIS195361:KIS195444 KSO195361:KSO195444 LCK195361:LCK195444 LMG195361:LMG195444 LWC195361:LWC195444 MFY195361:MFY195444 MPU195361:MPU195444 MZQ195361:MZQ195444 NJM195361:NJM195444 NTI195361:NTI195444 ODE195361:ODE195444 ONA195361:ONA195444 OWW195361:OWW195444 PGS195361:PGS195444 PQO195361:PQO195444 QAK195361:QAK195444 QKG195361:QKG195444 QUC195361:QUC195444 RDY195361:RDY195444 RNU195361:RNU195444 RXQ195361:RXQ195444 SHM195361:SHM195444 SRI195361:SRI195444 TBE195361:TBE195444 TLA195361:TLA195444 TUW195361:TUW195444 UES195361:UES195444 UOO195361:UOO195444 UYK195361:UYK195444 VIG195361:VIG195444 VSC195361:VSC195444 WBY195361:WBY195444 WLU195361:WLU195444 WVQ195361:WVQ195444 I260918:I261001 JE260897:JE260980 TA260897:TA260980 ACW260897:ACW260980 AMS260897:AMS260980 AWO260897:AWO260980 BGK260897:BGK260980 BQG260897:BQG260980 CAC260897:CAC260980 CJY260897:CJY260980 CTU260897:CTU260980 DDQ260897:DDQ260980 DNM260897:DNM260980 DXI260897:DXI260980 EHE260897:EHE260980 ERA260897:ERA260980 FAW260897:FAW260980 FKS260897:FKS260980 FUO260897:FUO260980 GEK260897:GEK260980 GOG260897:GOG260980 GYC260897:GYC260980 HHY260897:HHY260980 HRU260897:HRU260980 IBQ260897:IBQ260980 ILM260897:ILM260980 IVI260897:IVI260980 JFE260897:JFE260980 JPA260897:JPA260980 JYW260897:JYW260980 KIS260897:KIS260980 KSO260897:KSO260980 LCK260897:LCK260980 LMG260897:LMG260980 LWC260897:LWC260980 MFY260897:MFY260980 MPU260897:MPU260980 MZQ260897:MZQ260980 NJM260897:NJM260980 NTI260897:NTI260980 ODE260897:ODE260980 ONA260897:ONA260980 OWW260897:OWW260980 PGS260897:PGS260980 PQO260897:PQO260980 QAK260897:QAK260980 QKG260897:QKG260980 QUC260897:QUC260980 RDY260897:RDY260980 RNU260897:RNU260980 RXQ260897:RXQ260980 SHM260897:SHM260980 SRI260897:SRI260980 TBE260897:TBE260980 TLA260897:TLA260980 TUW260897:TUW260980 UES260897:UES260980 UOO260897:UOO260980 UYK260897:UYK260980 VIG260897:VIG260980 VSC260897:VSC260980 WBY260897:WBY260980 WLU260897:WLU260980 WVQ260897:WVQ260980 I326454:I326537 JE326433:JE326516 TA326433:TA326516 ACW326433:ACW326516 AMS326433:AMS326516 AWO326433:AWO326516 BGK326433:BGK326516 BQG326433:BQG326516 CAC326433:CAC326516 CJY326433:CJY326516 CTU326433:CTU326516 DDQ326433:DDQ326516 DNM326433:DNM326516 DXI326433:DXI326516 EHE326433:EHE326516 ERA326433:ERA326516 FAW326433:FAW326516 FKS326433:FKS326516 FUO326433:FUO326516 GEK326433:GEK326516 GOG326433:GOG326516 GYC326433:GYC326516 HHY326433:HHY326516 HRU326433:HRU326516 IBQ326433:IBQ326516 ILM326433:ILM326516 IVI326433:IVI326516 JFE326433:JFE326516 JPA326433:JPA326516 JYW326433:JYW326516 KIS326433:KIS326516 KSO326433:KSO326516 LCK326433:LCK326516 LMG326433:LMG326516 LWC326433:LWC326516 MFY326433:MFY326516 MPU326433:MPU326516 MZQ326433:MZQ326516 NJM326433:NJM326516 NTI326433:NTI326516 ODE326433:ODE326516 ONA326433:ONA326516 OWW326433:OWW326516 PGS326433:PGS326516 PQO326433:PQO326516 QAK326433:QAK326516 QKG326433:QKG326516 QUC326433:QUC326516 RDY326433:RDY326516 RNU326433:RNU326516 RXQ326433:RXQ326516 SHM326433:SHM326516 SRI326433:SRI326516 TBE326433:TBE326516 TLA326433:TLA326516 TUW326433:TUW326516 UES326433:UES326516 UOO326433:UOO326516 UYK326433:UYK326516 VIG326433:VIG326516 VSC326433:VSC326516 WBY326433:WBY326516 WLU326433:WLU326516 WVQ326433:WVQ326516 I391990:I392073 JE391969:JE392052 TA391969:TA392052 ACW391969:ACW392052 AMS391969:AMS392052 AWO391969:AWO392052 BGK391969:BGK392052 BQG391969:BQG392052 CAC391969:CAC392052 CJY391969:CJY392052 CTU391969:CTU392052 DDQ391969:DDQ392052 DNM391969:DNM392052 DXI391969:DXI392052 EHE391969:EHE392052 ERA391969:ERA392052 FAW391969:FAW392052 FKS391969:FKS392052 FUO391969:FUO392052 GEK391969:GEK392052 GOG391969:GOG392052 GYC391969:GYC392052 HHY391969:HHY392052 HRU391969:HRU392052 IBQ391969:IBQ392052 ILM391969:ILM392052 IVI391969:IVI392052 JFE391969:JFE392052 JPA391969:JPA392052 JYW391969:JYW392052 KIS391969:KIS392052 KSO391969:KSO392052 LCK391969:LCK392052 LMG391969:LMG392052 LWC391969:LWC392052 MFY391969:MFY392052 MPU391969:MPU392052 MZQ391969:MZQ392052 NJM391969:NJM392052 NTI391969:NTI392052 ODE391969:ODE392052 ONA391969:ONA392052 OWW391969:OWW392052 PGS391969:PGS392052 PQO391969:PQO392052 QAK391969:QAK392052 QKG391969:QKG392052 QUC391969:QUC392052 RDY391969:RDY392052 RNU391969:RNU392052 RXQ391969:RXQ392052 SHM391969:SHM392052 SRI391969:SRI392052 TBE391969:TBE392052 TLA391969:TLA392052 TUW391969:TUW392052 UES391969:UES392052 UOO391969:UOO392052 UYK391969:UYK392052 VIG391969:VIG392052 VSC391969:VSC392052 WBY391969:WBY392052 WLU391969:WLU392052 WVQ391969:WVQ392052 I457526:I457609 JE457505:JE457588 TA457505:TA457588 ACW457505:ACW457588 AMS457505:AMS457588 AWO457505:AWO457588 BGK457505:BGK457588 BQG457505:BQG457588 CAC457505:CAC457588 CJY457505:CJY457588 CTU457505:CTU457588 DDQ457505:DDQ457588 DNM457505:DNM457588 DXI457505:DXI457588 EHE457505:EHE457588 ERA457505:ERA457588 FAW457505:FAW457588 FKS457505:FKS457588 FUO457505:FUO457588 GEK457505:GEK457588 GOG457505:GOG457588 GYC457505:GYC457588 HHY457505:HHY457588 HRU457505:HRU457588 IBQ457505:IBQ457588 ILM457505:ILM457588 IVI457505:IVI457588 JFE457505:JFE457588 JPA457505:JPA457588 JYW457505:JYW457588 KIS457505:KIS457588 KSO457505:KSO457588 LCK457505:LCK457588 LMG457505:LMG457588 LWC457505:LWC457588 MFY457505:MFY457588 MPU457505:MPU457588 MZQ457505:MZQ457588 NJM457505:NJM457588 NTI457505:NTI457588 ODE457505:ODE457588 ONA457505:ONA457588 OWW457505:OWW457588 PGS457505:PGS457588 PQO457505:PQO457588 QAK457505:QAK457588 QKG457505:QKG457588 QUC457505:QUC457588 RDY457505:RDY457588 RNU457505:RNU457588 RXQ457505:RXQ457588 SHM457505:SHM457588 SRI457505:SRI457588 TBE457505:TBE457588 TLA457505:TLA457588 TUW457505:TUW457588 UES457505:UES457588 UOO457505:UOO457588 UYK457505:UYK457588 VIG457505:VIG457588 VSC457505:VSC457588 WBY457505:WBY457588 WLU457505:WLU457588 WVQ457505:WVQ457588 I523062:I523145 JE523041:JE523124 TA523041:TA523124 ACW523041:ACW523124 AMS523041:AMS523124 AWO523041:AWO523124 BGK523041:BGK523124 BQG523041:BQG523124 CAC523041:CAC523124 CJY523041:CJY523124 CTU523041:CTU523124 DDQ523041:DDQ523124 DNM523041:DNM523124 DXI523041:DXI523124 EHE523041:EHE523124 ERA523041:ERA523124 FAW523041:FAW523124 FKS523041:FKS523124 FUO523041:FUO523124 GEK523041:GEK523124 GOG523041:GOG523124 GYC523041:GYC523124 HHY523041:HHY523124 HRU523041:HRU523124 IBQ523041:IBQ523124 ILM523041:ILM523124 IVI523041:IVI523124 JFE523041:JFE523124 JPA523041:JPA523124 JYW523041:JYW523124 KIS523041:KIS523124 KSO523041:KSO523124 LCK523041:LCK523124 LMG523041:LMG523124 LWC523041:LWC523124 MFY523041:MFY523124 MPU523041:MPU523124 MZQ523041:MZQ523124 NJM523041:NJM523124 NTI523041:NTI523124 ODE523041:ODE523124 ONA523041:ONA523124 OWW523041:OWW523124 PGS523041:PGS523124 PQO523041:PQO523124 QAK523041:QAK523124 QKG523041:QKG523124 QUC523041:QUC523124 RDY523041:RDY523124 RNU523041:RNU523124 RXQ523041:RXQ523124 SHM523041:SHM523124 SRI523041:SRI523124 TBE523041:TBE523124 TLA523041:TLA523124 TUW523041:TUW523124 UES523041:UES523124 UOO523041:UOO523124 UYK523041:UYK523124 VIG523041:VIG523124 VSC523041:VSC523124 WBY523041:WBY523124 WLU523041:WLU523124 WVQ523041:WVQ523124 I588598:I588681 JE588577:JE588660 TA588577:TA588660 ACW588577:ACW588660 AMS588577:AMS588660 AWO588577:AWO588660 BGK588577:BGK588660 BQG588577:BQG588660 CAC588577:CAC588660 CJY588577:CJY588660 CTU588577:CTU588660 DDQ588577:DDQ588660 DNM588577:DNM588660 DXI588577:DXI588660 EHE588577:EHE588660 ERA588577:ERA588660 FAW588577:FAW588660 FKS588577:FKS588660 FUO588577:FUO588660 GEK588577:GEK588660 GOG588577:GOG588660 GYC588577:GYC588660 HHY588577:HHY588660 HRU588577:HRU588660 IBQ588577:IBQ588660 ILM588577:ILM588660 IVI588577:IVI588660 JFE588577:JFE588660 JPA588577:JPA588660 JYW588577:JYW588660 KIS588577:KIS588660 KSO588577:KSO588660 LCK588577:LCK588660 LMG588577:LMG588660 LWC588577:LWC588660 MFY588577:MFY588660 MPU588577:MPU588660 MZQ588577:MZQ588660 NJM588577:NJM588660 NTI588577:NTI588660 ODE588577:ODE588660 ONA588577:ONA588660 OWW588577:OWW588660 PGS588577:PGS588660 PQO588577:PQO588660 QAK588577:QAK588660 QKG588577:QKG588660 QUC588577:QUC588660 RDY588577:RDY588660 RNU588577:RNU588660 RXQ588577:RXQ588660 SHM588577:SHM588660 SRI588577:SRI588660 TBE588577:TBE588660 TLA588577:TLA588660 TUW588577:TUW588660 UES588577:UES588660 UOO588577:UOO588660 UYK588577:UYK588660 VIG588577:VIG588660 VSC588577:VSC588660 WBY588577:WBY588660 WLU588577:WLU588660 WVQ588577:WVQ588660 I654134:I654217 JE654113:JE654196 TA654113:TA654196 ACW654113:ACW654196 AMS654113:AMS654196 AWO654113:AWO654196 BGK654113:BGK654196 BQG654113:BQG654196 CAC654113:CAC654196 CJY654113:CJY654196 CTU654113:CTU654196 DDQ654113:DDQ654196 DNM654113:DNM654196 DXI654113:DXI654196 EHE654113:EHE654196 ERA654113:ERA654196 FAW654113:FAW654196 FKS654113:FKS654196 FUO654113:FUO654196 GEK654113:GEK654196 GOG654113:GOG654196 GYC654113:GYC654196 HHY654113:HHY654196 HRU654113:HRU654196 IBQ654113:IBQ654196 ILM654113:ILM654196 IVI654113:IVI654196 JFE654113:JFE654196 JPA654113:JPA654196 JYW654113:JYW654196 KIS654113:KIS654196 KSO654113:KSO654196 LCK654113:LCK654196 LMG654113:LMG654196 LWC654113:LWC654196 MFY654113:MFY654196 MPU654113:MPU654196 MZQ654113:MZQ654196 NJM654113:NJM654196 NTI654113:NTI654196 ODE654113:ODE654196 ONA654113:ONA654196 OWW654113:OWW654196 PGS654113:PGS654196 PQO654113:PQO654196 QAK654113:QAK654196 QKG654113:QKG654196 QUC654113:QUC654196 RDY654113:RDY654196 RNU654113:RNU654196 RXQ654113:RXQ654196 SHM654113:SHM654196 SRI654113:SRI654196 TBE654113:TBE654196 TLA654113:TLA654196 TUW654113:TUW654196 UES654113:UES654196 UOO654113:UOO654196 UYK654113:UYK654196 VIG654113:VIG654196 VSC654113:VSC654196 WBY654113:WBY654196 WLU654113:WLU654196 WVQ654113:WVQ654196 I719670:I719753 JE719649:JE719732 TA719649:TA719732 ACW719649:ACW719732 AMS719649:AMS719732 AWO719649:AWO719732 BGK719649:BGK719732 BQG719649:BQG719732 CAC719649:CAC719732 CJY719649:CJY719732 CTU719649:CTU719732 DDQ719649:DDQ719732 DNM719649:DNM719732 DXI719649:DXI719732 EHE719649:EHE719732 ERA719649:ERA719732 FAW719649:FAW719732 FKS719649:FKS719732 FUO719649:FUO719732 GEK719649:GEK719732 GOG719649:GOG719732 GYC719649:GYC719732 HHY719649:HHY719732 HRU719649:HRU719732 IBQ719649:IBQ719732 ILM719649:ILM719732 IVI719649:IVI719732 JFE719649:JFE719732 JPA719649:JPA719732 JYW719649:JYW719732 KIS719649:KIS719732 KSO719649:KSO719732 LCK719649:LCK719732 LMG719649:LMG719732 LWC719649:LWC719732 MFY719649:MFY719732 MPU719649:MPU719732 MZQ719649:MZQ719732 NJM719649:NJM719732 NTI719649:NTI719732 ODE719649:ODE719732 ONA719649:ONA719732 OWW719649:OWW719732 PGS719649:PGS719732 PQO719649:PQO719732 QAK719649:QAK719732 QKG719649:QKG719732 QUC719649:QUC719732 RDY719649:RDY719732 RNU719649:RNU719732 RXQ719649:RXQ719732 SHM719649:SHM719732 SRI719649:SRI719732 TBE719649:TBE719732 TLA719649:TLA719732 TUW719649:TUW719732 UES719649:UES719732 UOO719649:UOO719732 UYK719649:UYK719732 VIG719649:VIG719732 VSC719649:VSC719732 WBY719649:WBY719732 WLU719649:WLU719732 WVQ719649:WVQ719732 I785206:I785289 JE785185:JE785268 TA785185:TA785268 ACW785185:ACW785268 AMS785185:AMS785268 AWO785185:AWO785268 BGK785185:BGK785268 BQG785185:BQG785268 CAC785185:CAC785268 CJY785185:CJY785268 CTU785185:CTU785268 DDQ785185:DDQ785268 DNM785185:DNM785268 DXI785185:DXI785268 EHE785185:EHE785268 ERA785185:ERA785268 FAW785185:FAW785268 FKS785185:FKS785268 FUO785185:FUO785268 GEK785185:GEK785268 GOG785185:GOG785268 GYC785185:GYC785268 HHY785185:HHY785268 HRU785185:HRU785268 IBQ785185:IBQ785268 ILM785185:ILM785268 IVI785185:IVI785268 JFE785185:JFE785268 JPA785185:JPA785268 JYW785185:JYW785268 KIS785185:KIS785268 KSO785185:KSO785268 LCK785185:LCK785268 LMG785185:LMG785268 LWC785185:LWC785268 MFY785185:MFY785268 MPU785185:MPU785268 MZQ785185:MZQ785268 NJM785185:NJM785268 NTI785185:NTI785268 ODE785185:ODE785268 ONA785185:ONA785268 OWW785185:OWW785268 PGS785185:PGS785268 PQO785185:PQO785268 QAK785185:QAK785268 QKG785185:QKG785268 QUC785185:QUC785268 RDY785185:RDY785268 RNU785185:RNU785268 RXQ785185:RXQ785268 SHM785185:SHM785268 SRI785185:SRI785268 TBE785185:TBE785268 TLA785185:TLA785268 TUW785185:TUW785268 UES785185:UES785268 UOO785185:UOO785268 UYK785185:UYK785268 VIG785185:VIG785268 VSC785185:VSC785268 WBY785185:WBY785268 WLU785185:WLU785268 WVQ785185:WVQ785268 I850742:I850825 JE850721:JE850804 TA850721:TA850804 ACW850721:ACW850804 AMS850721:AMS850804 AWO850721:AWO850804 BGK850721:BGK850804 BQG850721:BQG850804 CAC850721:CAC850804 CJY850721:CJY850804 CTU850721:CTU850804 DDQ850721:DDQ850804 DNM850721:DNM850804 DXI850721:DXI850804 EHE850721:EHE850804 ERA850721:ERA850804 FAW850721:FAW850804 FKS850721:FKS850804 FUO850721:FUO850804 GEK850721:GEK850804 GOG850721:GOG850804 GYC850721:GYC850804 HHY850721:HHY850804 HRU850721:HRU850804 IBQ850721:IBQ850804 ILM850721:ILM850804 IVI850721:IVI850804 JFE850721:JFE850804 JPA850721:JPA850804 JYW850721:JYW850804 KIS850721:KIS850804 KSO850721:KSO850804 LCK850721:LCK850804 LMG850721:LMG850804 LWC850721:LWC850804 MFY850721:MFY850804 MPU850721:MPU850804 MZQ850721:MZQ850804 NJM850721:NJM850804 NTI850721:NTI850804 ODE850721:ODE850804 ONA850721:ONA850804 OWW850721:OWW850804 PGS850721:PGS850804 PQO850721:PQO850804 QAK850721:QAK850804 QKG850721:QKG850804 QUC850721:QUC850804 RDY850721:RDY850804 RNU850721:RNU850804 RXQ850721:RXQ850804 SHM850721:SHM850804 SRI850721:SRI850804 TBE850721:TBE850804 TLA850721:TLA850804 TUW850721:TUW850804 UES850721:UES850804 UOO850721:UOO850804 UYK850721:UYK850804 VIG850721:VIG850804 VSC850721:VSC850804 WBY850721:WBY850804 WLU850721:WLU850804 WVQ850721:WVQ850804 I916278:I916361 JE916257:JE916340 TA916257:TA916340 ACW916257:ACW916340 AMS916257:AMS916340 AWO916257:AWO916340 BGK916257:BGK916340 BQG916257:BQG916340 CAC916257:CAC916340 CJY916257:CJY916340 CTU916257:CTU916340 DDQ916257:DDQ916340 DNM916257:DNM916340 DXI916257:DXI916340 EHE916257:EHE916340 ERA916257:ERA916340 FAW916257:FAW916340 FKS916257:FKS916340 FUO916257:FUO916340 GEK916257:GEK916340 GOG916257:GOG916340 GYC916257:GYC916340 HHY916257:HHY916340 HRU916257:HRU916340 IBQ916257:IBQ916340 ILM916257:ILM916340 IVI916257:IVI916340 JFE916257:JFE916340 JPA916257:JPA916340 JYW916257:JYW916340 KIS916257:KIS916340 KSO916257:KSO916340 LCK916257:LCK916340 LMG916257:LMG916340 LWC916257:LWC916340 MFY916257:MFY916340 MPU916257:MPU916340 MZQ916257:MZQ916340 NJM916257:NJM916340 NTI916257:NTI916340 ODE916257:ODE916340 ONA916257:ONA916340 OWW916257:OWW916340 PGS916257:PGS916340 PQO916257:PQO916340 QAK916257:QAK916340 QKG916257:QKG916340 QUC916257:QUC916340 RDY916257:RDY916340 RNU916257:RNU916340 RXQ916257:RXQ916340 SHM916257:SHM916340 SRI916257:SRI916340 TBE916257:TBE916340 TLA916257:TLA916340 TUW916257:TUW916340 UES916257:UES916340 UOO916257:UOO916340 UYK916257:UYK916340 VIG916257:VIG916340 VSC916257:VSC916340 WBY916257:WBY916340 WLU916257:WLU916340 WVQ916257:WVQ916340 I981814:I981897 JE981793:JE981876 TA981793:TA981876 ACW981793:ACW981876 AMS981793:AMS981876 AWO981793:AWO981876 BGK981793:BGK981876 BQG981793:BQG981876 CAC981793:CAC981876 CJY981793:CJY981876 CTU981793:CTU981876 DDQ981793:DDQ981876 DNM981793:DNM981876 DXI981793:DXI981876 EHE981793:EHE981876 ERA981793:ERA981876 FAW981793:FAW981876 FKS981793:FKS981876 FUO981793:FUO981876 GEK981793:GEK981876 GOG981793:GOG981876 GYC981793:GYC981876 HHY981793:HHY981876 HRU981793:HRU981876 IBQ981793:IBQ981876 ILM981793:ILM981876 IVI981793:IVI981876 JFE981793:JFE981876 JPA981793:JPA981876 JYW981793:JYW981876 KIS981793:KIS981876 KSO981793:KSO981876 LCK981793:LCK981876 LMG981793:LMG981876 LWC981793:LWC981876 MFY981793:MFY981876 MPU981793:MPU981876 MZQ981793:MZQ981876 NJM981793:NJM981876 NTI981793:NTI981876 ODE981793:ODE981876 ONA981793:ONA981876 OWW981793:OWW981876 PGS981793:PGS981876 PQO981793:PQO981876 QAK981793:QAK981876 QKG981793:QKG981876 QUC981793:QUC981876 RDY981793:RDY981876 RNU981793:RNU981876 RXQ981793:RXQ981876 SHM981793:SHM981876 SRI981793:SRI981876 TBE981793:TBE981876 TLA981793:TLA981876 TUW981793:TUW981876 UES981793:UES981876 UOO981793:UOO981876 UYK981793:UYK981876 VIG981793:VIG981876 VSC981793:VSC981876 WBY981793:WBY981876 JE2:JE64 WVQ2:WVQ64 WLU2:WLU64 WBY2:WBY64 VSC2:VSC64 VIG2:VIG64 UYK2:UYK64 UOO2:UOO64 UES2:UES64 TUW2:TUW64 TLA2:TLA64 TBE2:TBE64 SRI2:SRI64 SHM2:SHM64 RXQ2:RXQ64 RNU2:RNU64 RDY2:RDY64 QUC2:QUC64 QKG2:QKG64 QAK2:QAK64 PQO2:PQO64 PGS2:PGS64 OWW2:OWW64 ONA2:ONA64 ODE2:ODE64 NTI2:NTI64 NJM2:NJM64 MZQ2:MZQ64 MPU2:MPU64 MFY2:MFY64 LWC2:LWC64 LMG2:LMG64 LCK2:LCK64 KSO2:KSO64 KIS2:KIS64 JYW2:JYW64 JPA2:JPA64 JFE2:JFE64 IVI2:IVI64 ILM2:ILM64 IBQ2:IBQ64 HRU2:HRU64 HHY2:HHY64 GYC2:GYC64 GOG2:GOG64 GEK2:GEK64 FUO2:FUO64 FKS2:FKS64 FAW2:FAW64 ERA2:ERA64 EHE2:EHE64 DXI2:DXI64 DNM2:DNM64 DDQ2:DDQ64 CTU2:CTU64 CJY2:CJY64 CAC2:CAC64 BQG2:BQG64 BGK2:BGK64 AWO2:AWO64 AMS2:AMS64 ACW2:ACW64 TA2:TA64 I2:I488" xr:uid="{EDDA98A8-3DD8-40F0-A2E9-AC95F5738000}">
      <formula1>#REF!</formula1>
    </dataValidation>
    <dataValidation type="list" allowBlank="1" showInputMessage="1" showErrorMessage="1" sqref="WWG981793:WWI981876 WCO981793:WCQ981876 VSS981793:VSU981876 VIW981793:VIY981876 UZA981793:UZC981876 UPE981793:UPG981876 UFI981793:UFK981876 TVM981793:TVO981876 TLQ981793:TLS981876 TBU981793:TBW981876 SRY981793:SSA981876 SIC981793:SIE981876 RYG981793:RYI981876 ROK981793:ROM981876 REO981793:REQ981876 QUS981793:QUU981876 QKW981793:QKY981876 QBA981793:QBC981876 PRE981793:PRG981876 PHI981793:PHK981876 OXM981793:OXO981876 ONQ981793:ONS981876 ODU981793:ODW981876 NTY981793:NUA981876 NKC981793:NKE981876 NAG981793:NAI981876 MQK981793:MQM981876 MGO981793:MGQ981876 LWS981793:LWU981876 LMW981793:LMY981876 LDA981793:LDC981876 KTE981793:KTG981876 KJI981793:KJK981876 JZM981793:JZO981876 JPQ981793:JPS981876 JFU981793:JFW981876 IVY981793:IWA981876 IMC981793:IME981876 ICG981793:ICI981876 HSK981793:HSM981876 HIO981793:HIQ981876 GYS981793:GYU981876 GOW981793:GOY981876 GFA981793:GFC981876 FVE981793:FVG981876 FLI981793:FLK981876 FBM981793:FBO981876 ERQ981793:ERS981876 EHU981793:EHW981876 DXY981793:DYA981876 DOC981793:DOE981876 DEG981793:DEI981876 CUK981793:CUM981876 CKO981793:CKQ981876 CAS981793:CAU981876 BQW981793:BQY981876 BHA981793:BHC981876 AXE981793:AXG981876 ANI981793:ANK981876 ADM981793:ADO981876 TQ981793:TS981876 JU981793:JW981876 Y981793:AA981876 WWG916257:WWI916340 WMK916257:WMM916340 WCO916257:WCQ916340 VSS916257:VSU916340 VIW916257:VIY916340 UZA916257:UZC916340 UPE916257:UPG916340 UFI916257:UFK916340 TVM916257:TVO916340 TLQ916257:TLS916340 TBU916257:TBW916340 SRY916257:SSA916340 SIC916257:SIE916340 RYG916257:RYI916340 ROK916257:ROM916340 REO916257:REQ916340 QUS916257:QUU916340 QKW916257:QKY916340 QBA916257:QBC916340 PRE916257:PRG916340 PHI916257:PHK916340 OXM916257:OXO916340 ONQ916257:ONS916340 ODU916257:ODW916340 NTY916257:NUA916340 NKC916257:NKE916340 NAG916257:NAI916340 MQK916257:MQM916340 MGO916257:MGQ916340 LWS916257:LWU916340 LMW916257:LMY916340 LDA916257:LDC916340 KTE916257:KTG916340 KJI916257:KJK916340 JZM916257:JZO916340 JPQ916257:JPS916340 JFU916257:JFW916340 IVY916257:IWA916340 IMC916257:IME916340 ICG916257:ICI916340 HSK916257:HSM916340 HIO916257:HIQ916340 GYS916257:GYU916340 GOW916257:GOY916340 GFA916257:GFC916340 FVE916257:FVG916340 FLI916257:FLK916340 FBM916257:FBO916340 ERQ916257:ERS916340 EHU916257:EHW916340 DXY916257:DYA916340 DOC916257:DOE916340 DEG916257:DEI916340 CUK916257:CUM916340 CKO916257:CKQ916340 CAS916257:CAU916340 BQW916257:BQY916340 BHA916257:BHC916340 AXE916257:AXG916340 ANI916257:ANK916340 ADM916257:ADO916340 TQ916257:TS916340 JU916257:JW916340 Y916257:AA916340 WWG850721:WWI850804 WMK850721:WMM850804 WCO850721:WCQ850804 VSS850721:VSU850804 VIW850721:VIY850804 UZA850721:UZC850804 UPE850721:UPG850804 UFI850721:UFK850804 TVM850721:TVO850804 TLQ850721:TLS850804 TBU850721:TBW850804 SRY850721:SSA850804 SIC850721:SIE850804 RYG850721:RYI850804 ROK850721:ROM850804 REO850721:REQ850804 QUS850721:QUU850804 QKW850721:QKY850804 QBA850721:QBC850804 PRE850721:PRG850804 PHI850721:PHK850804 OXM850721:OXO850804 ONQ850721:ONS850804 ODU850721:ODW850804 NTY850721:NUA850804 NKC850721:NKE850804 NAG850721:NAI850804 MQK850721:MQM850804 MGO850721:MGQ850804 LWS850721:LWU850804 LMW850721:LMY850804 LDA850721:LDC850804 KTE850721:KTG850804 KJI850721:KJK850804 JZM850721:JZO850804 JPQ850721:JPS850804 JFU850721:JFW850804 IVY850721:IWA850804 IMC850721:IME850804 ICG850721:ICI850804 HSK850721:HSM850804 HIO850721:HIQ850804 GYS850721:GYU850804 GOW850721:GOY850804 GFA850721:GFC850804 FVE850721:FVG850804 FLI850721:FLK850804 FBM850721:FBO850804 ERQ850721:ERS850804 EHU850721:EHW850804 DXY850721:DYA850804 DOC850721:DOE850804 DEG850721:DEI850804 CUK850721:CUM850804 CKO850721:CKQ850804 CAS850721:CAU850804 BQW850721:BQY850804 BHA850721:BHC850804 AXE850721:AXG850804 ANI850721:ANK850804 ADM850721:ADO850804 TQ850721:TS850804 JU850721:JW850804 Y850721:AA850804 WWG785185:WWI785268 WMK785185:WMM785268 WCO785185:WCQ785268 VSS785185:VSU785268 VIW785185:VIY785268 UZA785185:UZC785268 UPE785185:UPG785268 UFI785185:UFK785268 TVM785185:TVO785268 TLQ785185:TLS785268 TBU785185:TBW785268 SRY785185:SSA785268 SIC785185:SIE785268 RYG785185:RYI785268 ROK785185:ROM785268 REO785185:REQ785268 QUS785185:QUU785268 QKW785185:QKY785268 QBA785185:QBC785268 PRE785185:PRG785268 PHI785185:PHK785268 OXM785185:OXO785268 ONQ785185:ONS785268 ODU785185:ODW785268 NTY785185:NUA785268 NKC785185:NKE785268 NAG785185:NAI785268 MQK785185:MQM785268 MGO785185:MGQ785268 LWS785185:LWU785268 LMW785185:LMY785268 LDA785185:LDC785268 KTE785185:KTG785268 KJI785185:KJK785268 JZM785185:JZO785268 JPQ785185:JPS785268 JFU785185:JFW785268 IVY785185:IWA785268 IMC785185:IME785268 ICG785185:ICI785268 HSK785185:HSM785268 HIO785185:HIQ785268 GYS785185:GYU785268 GOW785185:GOY785268 GFA785185:GFC785268 FVE785185:FVG785268 FLI785185:FLK785268 FBM785185:FBO785268 ERQ785185:ERS785268 EHU785185:EHW785268 DXY785185:DYA785268 DOC785185:DOE785268 DEG785185:DEI785268 CUK785185:CUM785268 CKO785185:CKQ785268 CAS785185:CAU785268 BQW785185:BQY785268 BHA785185:BHC785268 AXE785185:AXG785268 ANI785185:ANK785268 ADM785185:ADO785268 TQ785185:TS785268 JU785185:JW785268 Y785185:AA785268 WWG719649:WWI719732 WMK719649:WMM719732 WCO719649:WCQ719732 VSS719649:VSU719732 VIW719649:VIY719732 UZA719649:UZC719732 UPE719649:UPG719732 UFI719649:UFK719732 TVM719649:TVO719732 TLQ719649:TLS719732 TBU719649:TBW719732 SRY719649:SSA719732 SIC719649:SIE719732 RYG719649:RYI719732 ROK719649:ROM719732 REO719649:REQ719732 QUS719649:QUU719732 QKW719649:QKY719732 QBA719649:QBC719732 PRE719649:PRG719732 PHI719649:PHK719732 OXM719649:OXO719732 ONQ719649:ONS719732 ODU719649:ODW719732 NTY719649:NUA719732 NKC719649:NKE719732 NAG719649:NAI719732 MQK719649:MQM719732 MGO719649:MGQ719732 LWS719649:LWU719732 LMW719649:LMY719732 LDA719649:LDC719732 KTE719649:KTG719732 KJI719649:KJK719732 JZM719649:JZO719732 JPQ719649:JPS719732 JFU719649:JFW719732 IVY719649:IWA719732 IMC719649:IME719732 ICG719649:ICI719732 HSK719649:HSM719732 HIO719649:HIQ719732 GYS719649:GYU719732 GOW719649:GOY719732 GFA719649:GFC719732 FVE719649:FVG719732 FLI719649:FLK719732 FBM719649:FBO719732 ERQ719649:ERS719732 EHU719649:EHW719732 DXY719649:DYA719732 DOC719649:DOE719732 DEG719649:DEI719732 CUK719649:CUM719732 CKO719649:CKQ719732 CAS719649:CAU719732 BQW719649:BQY719732 BHA719649:BHC719732 AXE719649:AXG719732 ANI719649:ANK719732 ADM719649:ADO719732 TQ719649:TS719732 JU719649:JW719732 Y719649:AA719732 WWG654113:WWI654196 WMK654113:WMM654196 WCO654113:WCQ654196 VSS654113:VSU654196 VIW654113:VIY654196 UZA654113:UZC654196 UPE654113:UPG654196 UFI654113:UFK654196 TVM654113:TVO654196 TLQ654113:TLS654196 TBU654113:TBW654196 SRY654113:SSA654196 SIC654113:SIE654196 RYG654113:RYI654196 ROK654113:ROM654196 REO654113:REQ654196 QUS654113:QUU654196 QKW654113:QKY654196 QBA654113:QBC654196 PRE654113:PRG654196 PHI654113:PHK654196 OXM654113:OXO654196 ONQ654113:ONS654196 ODU654113:ODW654196 NTY654113:NUA654196 NKC654113:NKE654196 NAG654113:NAI654196 MQK654113:MQM654196 MGO654113:MGQ654196 LWS654113:LWU654196 LMW654113:LMY654196 LDA654113:LDC654196 KTE654113:KTG654196 KJI654113:KJK654196 JZM654113:JZO654196 JPQ654113:JPS654196 JFU654113:JFW654196 IVY654113:IWA654196 IMC654113:IME654196 ICG654113:ICI654196 HSK654113:HSM654196 HIO654113:HIQ654196 GYS654113:GYU654196 GOW654113:GOY654196 GFA654113:GFC654196 FVE654113:FVG654196 FLI654113:FLK654196 FBM654113:FBO654196 ERQ654113:ERS654196 EHU654113:EHW654196 DXY654113:DYA654196 DOC654113:DOE654196 DEG654113:DEI654196 CUK654113:CUM654196 CKO654113:CKQ654196 CAS654113:CAU654196 BQW654113:BQY654196 BHA654113:BHC654196 AXE654113:AXG654196 ANI654113:ANK654196 ADM654113:ADO654196 TQ654113:TS654196 JU654113:JW654196 Y654113:AA654196 WWG588577:WWI588660 WMK588577:WMM588660 WCO588577:WCQ588660 VSS588577:VSU588660 VIW588577:VIY588660 UZA588577:UZC588660 UPE588577:UPG588660 UFI588577:UFK588660 TVM588577:TVO588660 TLQ588577:TLS588660 TBU588577:TBW588660 SRY588577:SSA588660 SIC588577:SIE588660 RYG588577:RYI588660 ROK588577:ROM588660 REO588577:REQ588660 QUS588577:QUU588660 QKW588577:QKY588660 QBA588577:QBC588660 PRE588577:PRG588660 PHI588577:PHK588660 OXM588577:OXO588660 ONQ588577:ONS588660 ODU588577:ODW588660 NTY588577:NUA588660 NKC588577:NKE588660 NAG588577:NAI588660 MQK588577:MQM588660 MGO588577:MGQ588660 LWS588577:LWU588660 LMW588577:LMY588660 LDA588577:LDC588660 KTE588577:KTG588660 KJI588577:KJK588660 JZM588577:JZO588660 JPQ588577:JPS588660 JFU588577:JFW588660 IVY588577:IWA588660 IMC588577:IME588660 ICG588577:ICI588660 HSK588577:HSM588660 HIO588577:HIQ588660 GYS588577:GYU588660 GOW588577:GOY588660 GFA588577:GFC588660 FVE588577:FVG588660 FLI588577:FLK588660 FBM588577:FBO588660 ERQ588577:ERS588660 EHU588577:EHW588660 DXY588577:DYA588660 DOC588577:DOE588660 DEG588577:DEI588660 CUK588577:CUM588660 CKO588577:CKQ588660 CAS588577:CAU588660 BQW588577:BQY588660 BHA588577:BHC588660 AXE588577:AXG588660 ANI588577:ANK588660 ADM588577:ADO588660 TQ588577:TS588660 JU588577:JW588660 Y588577:AA588660 WWG523041:WWI523124 WMK523041:WMM523124 WCO523041:WCQ523124 VSS523041:VSU523124 VIW523041:VIY523124 UZA523041:UZC523124 UPE523041:UPG523124 UFI523041:UFK523124 TVM523041:TVO523124 TLQ523041:TLS523124 TBU523041:TBW523124 SRY523041:SSA523124 SIC523041:SIE523124 RYG523041:RYI523124 ROK523041:ROM523124 REO523041:REQ523124 QUS523041:QUU523124 QKW523041:QKY523124 QBA523041:QBC523124 PRE523041:PRG523124 PHI523041:PHK523124 OXM523041:OXO523124 ONQ523041:ONS523124 ODU523041:ODW523124 NTY523041:NUA523124 NKC523041:NKE523124 NAG523041:NAI523124 MQK523041:MQM523124 MGO523041:MGQ523124 LWS523041:LWU523124 LMW523041:LMY523124 LDA523041:LDC523124 KTE523041:KTG523124 KJI523041:KJK523124 JZM523041:JZO523124 JPQ523041:JPS523124 JFU523041:JFW523124 IVY523041:IWA523124 IMC523041:IME523124 ICG523041:ICI523124 HSK523041:HSM523124 HIO523041:HIQ523124 GYS523041:GYU523124 GOW523041:GOY523124 GFA523041:GFC523124 FVE523041:FVG523124 FLI523041:FLK523124 FBM523041:FBO523124 ERQ523041:ERS523124 EHU523041:EHW523124 DXY523041:DYA523124 DOC523041:DOE523124 DEG523041:DEI523124 CUK523041:CUM523124 CKO523041:CKQ523124 CAS523041:CAU523124 BQW523041:BQY523124 BHA523041:BHC523124 AXE523041:AXG523124 ANI523041:ANK523124 ADM523041:ADO523124 TQ523041:TS523124 JU523041:JW523124 Y523041:AA523124 WWG457505:WWI457588 WMK457505:WMM457588 WCO457505:WCQ457588 VSS457505:VSU457588 VIW457505:VIY457588 UZA457505:UZC457588 UPE457505:UPG457588 UFI457505:UFK457588 TVM457505:TVO457588 TLQ457505:TLS457588 TBU457505:TBW457588 SRY457505:SSA457588 SIC457505:SIE457588 RYG457505:RYI457588 ROK457505:ROM457588 REO457505:REQ457588 QUS457505:QUU457588 QKW457505:QKY457588 QBA457505:QBC457588 PRE457505:PRG457588 PHI457505:PHK457588 OXM457505:OXO457588 ONQ457505:ONS457588 ODU457505:ODW457588 NTY457505:NUA457588 NKC457505:NKE457588 NAG457505:NAI457588 MQK457505:MQM457588 MGO457505:MGQ457588 LWS457505:LWU457588 LMW457505:LMY457588 LDA457505:LDC457588 KTE457505:KTG457588 KJI457505:KJK457588 JZM457505:JZO457588 JPQ457505:JPS457588 JFU457505:JFW457588 IVY457505:IWA457588 IMC457505:IME457588 ICG457505:ICI457588 HSK457505:HSM457588 HIO457505:HIQ457588 GYS457505:GYU457588 GOW457505:GOY457588 GFA457505:GFC457588 FVE457505:FVG457588 FLI457505:FLK457588 FBM457505:FBO457588 ERQ457505:ERS457588 EHU457505:EHW457588 DXY457505:DYA457588 DOC457505:DOE457588 DEG457505:DEI457588 CUK457505:CUM457588 CKO457505:CKQ457588 CAS457505:CAU457588 BQW457505:BQY457588 BHA457505:BHC457588 AXE457505:AXG457588 ANI457505:ANK457588 ADM457505:ADO457588 TQ457505:TS457588 JU457505:JW457588 Y457505:AA457588 WWG391969:WWI392052 WMK391969:WMM392052 WCO391969:WCQ392052 VSS391969:VSU392052 VIW391969:VIY392052 UZA391969:UZC392052 UPE391969:UPG392052 UFI391969:UFK392052 TVM391969:TVO392052 TLQ391969:TLS392052 TBU391969:TBW392052 SRY391969:SSA392052 SIC391969:SIE392052 RYG391969:RYI392052 ROK391969:ROM392052 REO391969:REQ392052 QUS391969:QUU392052 QKW391969:QKY392052 QBA391969:QBC392052 PRE391969:PRG392052 PHI391969:PHK392052 OXM391969:OXO392052 ONQ391969:ONS392052 ODU391969:ODW392052 NTY391969:NUA392052 NKC391969:NKE392052 NAG391969:NAI392052 MQK391969:MQM392052 MGO391969:MGQ392052 LWS391969:LWU392052 LMW391969:LMY392052 LDA391969:LDC392052 KTE391969:KTG392052 KJI391969:KJK392052 JZM391969:JZO392052 JPQ391969:JPS392052 JFU391969:JFW392052 IVY391969:IWA392052 IMC391969:IME392052 ICG391969:ICI392052 HSK391969:HSM392052 HIO391969:HIQ392052 GYS391969:GYU392052 GOW391969:GOY392052 GFA391969:GFC392052 FVE391969:FVG392052 FLI391969:FLK392052 FBM391969:FBO392052 ERQ391969:ERS392052 EHU391969:EHW392052 DXY391969:DYA392052 DOC391969:DOE392052 DEG391969:DEI392052 CUK391969:CUM392052 CKO391969:CKQ392052 CAS391969:CAU392052 BQW391969:BQY392052 BHA391969:BHC392052 AXE391969:AXG392052 ANI391969:ANK392052 ADM391969:ADO392052 TQ391969:TS392052 JU391969:JW392052 Y391969:AA392052 WWG326433:WWI326516 WMK326433:WMM326516 WCO326433:WCQ326516 VSS326433:VSU326516 VIW326433:VIY326516 UZA326433:UZC326516 UPE326433:UPG326516 UFI326433:UFK326516 TVM326433:TVO326516 TLQ326433:TLS326516 TBU326433:TBW326516 SRY326433:SSA326516 SIC326433:SIE326516 RYG326433:RYI326516 ROK326433:ROM326516 REO326433:REQ326516 QUS326433:QUU326516 QKW326433:QKY326516 QBA326433:QBC326516 PRE326433:PRG326516 PHI326433:PHK326516 OXM326433:OXO326516 ONQ326433:ONS326516 ODU326433:ODW326516 NTY326433:NUA326516 NKC326433:NKE326516 NAG326433:NAI326516 MQK326433:MQM326516 MGO326433:MGQ326516 LWS326433:LWU326516 LMW326433:LMY326516 LDA326433:LDC326516 KTE326433:KTG326516 KJI326433:KJK326516 JZM326433:JZO326516 JPQ326433:JPS326516 JFU326433:JFW326516 IVY326433:IWA326516 IMC326433:IME326516 ICG326433:ICI326516 HSK326433:HSM326516 HIO326433:HIQ326516 GYS326433:GYU326516 GOW326433:GOY326516 GFA326433:GFC326516 FVE326433:FVG326516 FLI326433:FLK326516 FBM326433:FBO326516 ERQ326433:ERS326516 EHU326433:EHW326516 DXY326433:DYA326516 DOC326433:DOE326516 DEG326433:DEI326516 CUK326433:CUM326516 CKO326433:CKQ326516 CAS326433:CAU326516 BQW326433:BQY326516 BHA326433:BHC326516 AXE326433:AXG326516 ANI326433:ANK326516 ADM326433:ADO326516 TQ326433:TS326516 JU326433:JW326516 Y326433:AA326516 WWG260897:WWI260980 WMK260897:WMM260980 WCO260897:WCQ260980 VSS260897:VSU260980 VIW260897:VIY260980 UZA260897:UZC260980 UPE260897:UPG260980 UFI260897:UFK260980 TVM260897:TVO260980 TLQ260897:TLS260980 TBU260897:TBW260980 SRY260897:SSA260980 SIC260897:SIE260980 RYG260897:RYI260980 ROK260897:ROM260980 REO260897:REQ260980 QUS260897:QUU260980 QKW260897:QKY260980 QBA260897:QBC260980 PRE260897:PRG260980 PHI260897:PHK260980 OXM260897:OXO260980 ONQ260897:ONS260980 ODU260897:ODW260980 NTY260897:NUA260980 NKC260897:NKE260980 NAG260897:NAI260980 MQK260897:MQM260980 MGO260897:MGQ260980 LWS260897:LWU260980 LMW260897:LMY260980 LDA260897:LDC260980 KTE260897:KTG260980 KJI260897:KJK260980 JZM260897:JZO260980 JPQ260897:JPS260980 JFU260897:JFW260980 IVY260897:IWA260980 IMC260897:IME260980 ICG260897:ICI260980 HSK260897:HSM260980 HIO260897:HIQ260980 GYS260897:GYU260980 GOW260897:GOY260980 GFA260897:GFC260980 FVE260897:FVG260980 FLI260897:FLK260980 FBM260897:FBO260980 ERQ260897:ERS260980 EHU260897:EHW260980 DXY260897:DYA260980 DOC260897:DOE260980 DEG260897:DEI260980 CUK260897:CUM260980 CKO260897:CKQ260980 CAS260897:CAU260980 BQW260897:BQY260980 BHA260897:BHC260980 AXE260897:AXG260980 ANI260897:ANK260980 ADM260897:ADO260980 TQ260897:TS260980 JU260897:JW260980 Y260897:AA260980 WWG195361:WWI195444 WMK195361:WMM195444 WCO195361:WCQ195444 VSS195361:VSU195444 VIW195361:VIY195444 UZA195361:UZC195444 UPE195361:UPG195444 UFI195361:UFK195444 TVM195361:TVO195444 TLQ195361:TLS195444 TBU195361:TBW195444 SRY195361:SSA195444 SIC195361:SIE195444 RYG195361:RYI195444 ROK195361:ROM195444 REO195361:REQ195444 QUS195361:QUU195444 QKW195361:QKY195444 QBA195361:QBC195444 PRE195361:PRG195444 PHI195361:PHK195444 OXM195361:OXO195444 ONQ195361:ONS195444 ODU195361:ODW195444 NTY195361:NUA195444 NKC195361:NKE195444 NAG195361:NAI195444 MQK195361:MQM195444 MGO195361:MGQ195444 LWS195361:LWU195444 LMW195361:LMY195444 LDA195361:LDC195444 KTE195361:KTG195444 KJI195361:KJK195444 JZM195361:JZO195444 JPQ195361:JPS195444 JFU195361:JFW195444 IVY195361:IWA195444 IMC195361:IME195444 ICG195361:ICI195444 HSK195361:HSM195444 HIO195361:HIQ195444 GYS195361:GYU195444 GOW195361:GOY195444 GFA195361:GFC195444 FVE195361:FVG195444 FLI195361:FLK195444 FBM195361:FBO195444 ERQ195361:ERS195444 EHU195361:EHW195444 DXY195361:DYA195444 DOC195361:DOE195444 DEG195361:DEI195444 CUK195361:CUM195444 CKO195361:CKQ195444 CAS195361:CAU195444 BQW195361:BQY195444 BHA195361:BHC195444 AXE195361:AXG195444 ANI195361:ANK195444 ADM195361:ADO195444 TQ195361:TS195444 JU195361:JW195444 Y195361:AA195444 WWG129825:WWI129908 WMK129825:WMM129908 WCO129825:WCQ129908 VSS129825:VSU129908 VIW129825:VIY129908 UZA129825:UZC129908 UPE129825:UPG129908 UFI129825:UFK129908 TVM129825:TVO129908 TLQ129825:TLS129908 TBU129825:TBW129908 SRY129825:SSA129908 SIC129825:SIE129908 RYG129825:RYI129908 ROK129825:ROM129908 REO129825:REQ129908 QUS129825:QUU129908 QKW129825:QKY129908 QBA129825:QBC129908 PRE129825:PRG129908 PHI129825:PHK129908 OXM129825:OXO129908 ONQ129825:ONS129908 ODU129825:ODW129908 NTY129825:NUA129908 NKC129825:NKE129908 NAG129825:NAI129908 MQK129825:MQM129908 MGO129825:MGQ129908 LWS129825:LWU129908 LMW129825:LMY129908 LDA129825:LDC129908 KTE129825:KTG129908 KJI129825:KJK129908 JZM129825:JZO129908 JPQ129825:JPS129908 JFU129825:JFW129908 IVY129825:IWA129908 IMC129825:IME129908 ICG129825:ICI129908 HSK129825:HSM129908 HIO129825:HIQ129908 GYS129825:GYU129908 GOW129825:GOY129908 GFA129825:GFC129908 FVE129825:FVG129908 FLI129825:FLK129908 FBM129825:FBO129908 ERQ129825:ERS129908 EHU129825:EHW129908 DXY129825:DYA129908 DOC129825:DOE129908 DEG129825:DEI129908 CUK129825:CUM129908 CKO129825:CKQ129908 CAS129825:CAU129908 BQW129825:BQY129908 BHA129825:BHC129908 AXE129825:AXG129908 ANI129825:ANK129908 ADM129825:ADO129908 TQ129825:TS129908 JU129825:JW129908 Y129825:AA129908 WWG64289:WWI64372 WMK64289:WMM64372 WCO64289:WCQ64372 VSS64289:VSU64372 VIW64289:VIY64372 UZA64289:UZC64372 UPE64289:UPG64372 UFI64289:UFK64372 TVM64289:TVO64372 TLQ64289:TLS64372 TBU64289:TBW64372 SRY64289:SSA64372 SIC64289:SIE64372 RYG64289:RYI64372 ROK64289:ROM64372 REO64289:REQ64372 QUS64289:QUU64372 QKW64289:QKY64372 QBA64289:QBC64372 PRE64289:PRG64372 PHI64289:PHK64372 OXM64289:OXO64372 ONQ64289:ONS64372 ODU64289:ODW64372 NTY64289:NUA64372 NKC64289:NKE64372 NAG64289:NAI64372 MQK64289:MQM64372 MGO64289:MGQ64372 LWS64289:LWU64372 LMW64289:LMY64372 LDA64289:LDC64372 KTE64289:KTG64372 KJI64289:KJK64372 JZM64289:JZO64372 JPQ64289:JPS64372 JFU64289:JFW64372 IVY64289:IWA64372 IMC64289:IME64372 ICG64289:ICI64372 HSK64289:HSM64372 HIO64289:HIQ64372 GYS64289:GYU64372 GOW64289:GOY64372 GFA64289:GFC64372 FVE64289:FVG64372 FLI64289:FLK64372 FBM64289:FBO64372 ERQ64289:ERS64372 EHU64289:EHW64372 DXY64289:DYA64372 DOC64289:DOE64372 DEG64289:DEI64372 CUK64289:CUM64372 CKO64289:CKQ64372 CAS64289:CAU64372 BQW64289:BQY64372 BHA64289:BHC64372 AXE64289:AXG64372 ANI64289:ANK64372 ADM64289:ADO64372 TQ64289:TS64372 JU64289:JW64372 Y64289:AA64372 WMK981793:WMM981876 JU2:JW64 TQ2:TS64 ADM2:ADO64 ANI2:ANK64 AXE2:AXG64 BHA2:BHC64 BQW2:BQY64 CAS2:CAU64 CKO2:CKQ64 CUK2:CUM64 DEG2:DEI64 DOC2:DOE64 DXY2:DYA64 EHU2:EHW64 ERQ2:ERS64 FBM2:FBO64 FLI2:FLK64 FVE2:FVG64 GFA2:GFC64 GOW2:GOY64 GYS2:GYU64 HIO2:HIQ64 HSK2:HSM64 ICG2:ICI64 IMC2:IME64 IVY2:IWA64 JFU2:JFW64 JPQ2:JPS64 JZM2:JZO64 KJI2:KJK64 KTE2:KTG64 LDA2:LDC64 LMW2:LMY64 LWS2:LWU64 MGO2:MGQ64 MQK2:MQM64 NAG2:NAI64 NKC2:NKE64 NTY2:NUA64 ODU2:ODW64 ONQ2:ONS64 OXM2:OXO64 PHI2:PHK64 PRE2:PRG64 QBA2:QBC64 QKW2:QKY64 QUS2:QUU64 REO2:REQ64 ROK2:ROM64 RYG2:RYI64 SIC2:SIE64 SRY2:SSA64 TBU2:TBW64 TLQ2:TLS64 TVM2:TVO64 UFI2:UFK64 UPE2:UPG64 UZA2:UZC64 VIW2:VIY64 VSS2:VSU64 WCO2:WCQ64 WMK2:WMM64 WWG2:WWI64" xr:uid="{202F9566-71ED-4631-9483-B34E0E15BA18}">
      <formula1>$AV$2:$AV$13</formula1>
    </dataValidation>
    <dataValidation type="list" allowBlank="1" showInputMessage="1" showErrorMessage="1" sqref="WLR981793:WLR981882 WBV981793:WBV981882 VRZ981793:VRZ981882 VID981793:VID981882 UYH981793:UYH981882 UOL981793:UOL981882 UEP981793:UEP981882 TUT981793:TUT981882 TKX981793:TKX981882 TBB981793:TBB981882 SRF981793:SRF981882 SHJ981793:SHJ981882 RXN981793:RXN981882 RNR981793:RNR981882 RDV981793:RDV981882 QTZ981793:QTZ981882 QKD981793:QKD981882 QAH981793:QAH981882 PQL981793:PQL981882 PGP981793:PGP981882 OWT981793:OWT981882 OMX981793:OMX981882 ODB981793:ODB981882 NTF981793:NTF981882 NJJ981793:NJJ981882 MZN981793:MZN981882 MPR981793:MPR981882 MFV981793:MFV981882 LVZ981793:LVZ981882 LMD981793:LMD981882 LCH981793:LCH981882 KSL981793:KSL981882 KIP981793:KIP981882 JYT981793:JYT981882 JOX981793:JOX981882 JFB981793:JFB981882 IVF981793:IVF981882 ILJ981793:ILJ981882 IBN981793:IBN981882 HRR981793:HRR981882 HHV981793:HHV981882 GXZ981793:GXZ981882 GOD981793:GOD981882 GEH981793:GEH981882 FUL981793:FUL981882 FKP981793:FKP981882 FAT981793:FAT981882 EQX981793:EQX981882 EHB981793:EHB981882 DXF981793:DXF981882 DNJ981793:DNJ981882 DDN981793:DDN981882 CTR981793:CTR981882 CJV981793:CJV981882 BZZ981793:BZZ981882 BQD981793:BQD981882 BGH981793:BGH981882 AWL981793:AWL981882 AMP981793:AMP981882 ACT981793:ACT981882 SX981793:SX981882 JB981793:JB981882 F981804:F981893 WVN916257:WVN916346 WLR916257:WLR916346 WBV916257:WBV916346 VRZ916257:VRZ916346 VID916257:VID916346 UYH916257:UYH916346 UOL916257:UOL916346 UEP916257:UEP916346 TUT916257:TUT916346 TKX916257:TKX916346 TBB916257:TBB916346 SRF916257:SRF916346 SHJ916257:SHJ916346 RXN916257:RXN916346 RNR916257:RNR916346 RDV916257:RDV916346 QTZ916257:QTZ916346 QKD916257:QKD916346 QAH916257:QAH916346 PQL916257:PQL916346 PGP916257:PGP916346 OWT916257:OWT916346 OMX916257:OMX916346 ODB916257:ODB916346 NTF916257:NTF916346 NJJ916257:NJJ916346 MZN916257:MZN916346 MPR916257:MPR916346 MFV916257:MFV916346 LVZ916257:LVZ916346 LMD916257:LMD916346 LCH916257:LCH916346 KSL916257:KSL916346 KIP916257:KIP916346 JYT916257:JYT916346 JOX916257:JOX916346 JFB916257:JFB916346 IVF916257:IVF916346 ILJ916257:ILJ916346 IBN916257:IBN916346 HRR916257:HRR916346 HHV916257:HHV916346 GXZ916257:GXZ916346 GOD916257:GOD916346 GEH916257:GEH916346 FUL916257:FUL916346 FKP916257:FKP916346 FAT916257:FAT916346 EQX916257:EQX916346 EHB916257:EHB916346 DXF916257:DXF916346 DNJ916257:DNJ916346 DDN916257:DDN916346 CTR916257:CTR916346 CJV916257:CJV916346 BZZ916257:BZZ916346 BQD916257:BQD916346 BGH916257:BGH916346 AWL916257:AWL916346 AMP916257:AMP916346 ACT916257:ACT916346 SX916257:SX916346 JB916257:JB916346 F916268:F916357 WVN850721:WVN850810 WLR850721:WLR850810 WBV850721:WBV850810 VRZ850721:VRZ850810 VID850721:VID850810 UYH850721:UYH850810 UOL850721:UOL850810 UEP850721:UEP850810 TUT850721:TUT850810 TKX850721:TKX850810 TBB850721:TBB850810 SRF850721:SRF850810 SHJ850721:SHJ850810 RXN850721:RXN850810 RNR850721:RNR850810 RDV850721:RDV850810 QTZ850721:QTZ850810 QKD850721:QKD850810 QAH850721:QAH850810 PQL850721:PQL850810 PGP850721:PGP850810 OWT850721:OWT850810 OMX850721:OMX850810 ODB850721:ODB850810 NTF850721:NTF850810 NJJ850721:NJJ850810 MZN850721:MZN850810 MPR850721:MPR850810 MFV850721:MFV850810 LVZ850721:LVZ850810 LMD850721:LMD850810 LCH850721:LCH850810 KSL850721:KSL850810 KIP850721:KIP850810 JYT850721:JYT850810 JOX850721:JOX850810 JFB850721:JFB850810 IVF850721:IVF850810 ILJ850721:ILJ850810 IBN850721:IBN850810 HRR850721:HRR850810 HHV850721:HHV850810 GXZ850721:GXZ850810 GOD850721:GOD850810 GEH850721:GEH850810 FUL850721:FUL850810 FKP850721:FKP850810 FAT850721:FAT850810 EQX850721:EQX850810 EHB850721:EHB850810 DXF850721:DXF850810 DNJ850721:DNJ850810 DDN850721:DDN850810 CTR850721:CTR850810 CJV850721:CJV850810 BZZ850721:BZZ850810 BQD850721:BQD850810 BGH850721:BGH850810 AWL850721:AWL850810 AMP850721:AMP850810 ACT850721:ACT850810 SX850721:SX850810 JB850721:JB850810 F850732:F850821 WVN785185:WVN785274 WLR785185:WLR785274 WBV785185:WBV785274 VRZ785185:VRZ785274 VID785185:VID785274 UYH785185:UYH785274 UOL785185:UOL785274 UEP785185:UEP785274 TUT785185:TUT785274 TKX785185:TKX785274 TBB785185:TBB785274 SRF785185:SRF785274 SHJ785185:SHJ785274 RXN785185:RXN785274 RNR785185:RNR785274 RDV785185:RDV785274 QTZ785185:QTZ785274 QKD785185:QKD785274 QAH785185:QAH785274 PQL785185:PQL785274 PGP785185:PGP785274 OWT785185:OWT785274 OMX785185:OMX785274 ODB785185:ODB785274 NTF785185:NTF785274 NJJ785185:NJJ785274 MZN785185:MZN785274 MPR785185:MPR785274 MFV785185:MFV785274 LVZ785185:LVZ785274 LMD785185:LMD785274 LCH785185:LCH785274 KSL785185:KSL785274 KIP785185:KIP785274 JYT785185:JYT785274 JOX785185:JOX785274 JFB785185:JFB785274 IVF785185:IVF785274 ILJ785185:ILJ785274 IBN785185:IBN785274 HRR785185:HRR785274 HHV785185:HHV785274 GXZ785185:GXZ785274 GOD785185:GOD785274 GEH785185:GEH785274 FUL785185:FUL785274 FKP785185:FKP785274 FAT785185:FAT785274 EQX785185:EQX785274 EHB785185:EHB785274 DXF785185:DXF785274 DNJ785185:DNJ785274 DDN785185:DDN785274 CTR785185:CTR785274 CJV785185:CJV785274 BZZ785185:BZZ785274 BQD785185:BQD785274 BGH785185:BGH785274 AWL785185:AWL785274 AMP785185:AMP785274 ACT785185:ACT785274 SX785185:SX785274 JB785185:JB785274 F785196:F785285 WVN719649:WVN719738 WLR719649:WLR719738 WBV719649:WBV719738 VRZ719649:VRZ719738 VID719649:VID719738 UYH719649:UYH719738 UOL719649:UOL719738 UEP719649:UEP719738 TUT719649:TUT719738 TKX719649:TKX719738 TBB719649:TBB719738 SRF719649:SRF719738 SHJ719649:SHJ719738 RXN719649:RXN719738 RNR719649:RNR719738 RDV719649:RDV719738 QTZ719649:QTZ719738 QKD719649:QKD719738 QAH719649:QAH719738 PQL719649:PQL719738 PGP719649:PGP719738 OWT719649:OWT719738 OMX719649:OMX719738 ODB719649:ODB719738 NTF719649:NTF719738 NJJ719649:NJJ719738 MZN719649:MZN719738 MPR719649:MPR719738 MFV719649:MFV719738 LVZ719649:LVZ719738 LMD719649:LMD719738 LCH719649:LCH719738 KSL719649:KSL719738 KIP719649:KIP719738 JYT719649:JYT719738 JOX719649:JOX719738 JFB719649:JFB719738 IVF719649:IVF719738 ILJ719649:ILJ719738 IBN719649:IBN719738 HRR719649:HRR719738 HHV719649:HHV719738 GXZ719649:GXZ719738 GOD719649:GOD719738 GEH719649:GEH719738 FUL719649:FUL719738 FKP719649:FKP719738 FAT719649:FAT719738 EQX719649:EQX719738 EHB719649:EHB719738 DXF719649:DXF719738 DNJ719649:DNJ719738 DDN719649:DDN719738 CTR719649:CTR719738 CJV719649:CJV719738 BZZ719649:BZZ719738 BQD719649:BQD719738 BGH719649:BGH719738 AWL719649:AWL719738 AMP719649:AMP719738 ACT719649:ACT719738 SX719649:SX719738 JB719649:JB719738 F719660:F719749 WVN654113:WVN654202 WLR654113:WLR654202 WBV654113:WBV654202 VRZ654113:VRZ654202 VID654113:VID654202 UYH654113:UYH654202 UOL654113:UOL654202 UEP654113:UEP654202 TUT654113:TUT654202 TKX654113:TKX654202 TBB654113:TBB654202 SRF654113:SRF654202 SHJ654113:SHJ654202 RXN654113:RXN654202 RNR654113:RNR654202 RDV654113:RDV654202 QTZ654113:QTZ654202 QKD654113:QKD654202 QAH654113:QAH654202 PQL654113:PQL654202 PGP654113:PGP654202 OWT654113:OWT654202 OMX654113:OMX654202 ODB654113:ODB654202 NTF654113:NTF654202 NJJ654113:NJJ654202 MZN654113:MZN654202 MPR654113:MPR654202 MFV654113:MFV654202 LVZ654113:LVZ654202 LMD654113:LMD654202 LCH654113:LCH654202 KSL654113:KSL654202 KIP654113:KIP654202 JYT654113:JYT654202 JOX654113:JOX654202 JFB654113:JFB654202 IVF654113:IVF654202 ILJ654113:ILJ654202 IBN654113:IBN654202 HRR654113:HRR654202 HHV654113:HHV654202 GXZ654113:GXZ654202 GOD654113:GOD654202 GEH654113:GEH654202 FUL654113:FUL654202 FKP654113:FKP654202 FAT654113:FAT654202 EQX654113:EQX654202 EHB654113:EHB654202 DXF654113:DXF654202 DNJ654113:DNJ654202 DDN654113:DDN654202 CTR654113:CTR654202 CJV654113:CJV654202 BZZ654113:BZZ654202 BQD654113:BQD654202 BGH654113:BGH654202 AWL654113:AWL654202 AMP654113:AMP654202 ACT654113:ACT654202 SX654113:SX654202 JB654113:JB654202 F654124:F654213 WVN588577:WVN588666 WLR588577:WLR588666 WBV588577:WBV588666 VRZ588577:VRZ588666 VID588577:VID588666 UYH588577:UYH588666 UOL588577:UOL588666 UEP588577:UEP588666 TUT588577:TUT588666 TKX588577:TKX588666 TBB588577:TBB588666 SRF588577:SRF588666 SHJ588577:SHJ588666 RXN588577:RXN588666 RNR588577:RNR588666 RDV588577:RDV588666 QTZ588577:QTZ588666 QKD588577:QKD588666 QAH588577:QAH588666 PQL588577:PQL588666 PGP588577:PGP588666 OWT588577:OWT588666 OMX588577:OMX588666 ODB588577:ODB588666 NTF588577:NTF588666 NJJ588577:NJJ588666 MZN588577:MZN588666 MPR588577:MPR588666 MFV588577:MFV588666 LVZ588577:LVZ588666 LMD588577:LMD588666 LCH588577:LCH588666 KSL588577:KSL588666 KIP588577:KIP588666 JYT588577:JYT588666 JOX588577:JOX588666 JFB588577:JFB588666 IVF588577:IVF588666 ILJ588577:ILJ588666 IBN588577:IBN588666 HRR588577:HRR588666 HHV588577:HHV588666 GXZ588577:GXZ588666 GOD588577:GOD588666 GEH588577:GEH588666 FUL588577:FUL588666 FKP588577:FKP588666 FAT588577:FAT588666 EQX588577:EQX588666 EHB588577:EHB588666 DXF588577:DXF588666 DNJ588577:DNJ588666 DDN588577:DDN588666 CTR588577:CTR588666 CJV588577:CJV588666 BZZ588577:BZZ588666 BQD588577:BQD588666 BGH588577:BGH588666 AWL588577:AWL588666 AMP588577:AMP588666 ACT588577:ACT588666 SX588577:SX588666 JB588577:JB588666 F588588:F588677 WVN523041:WVN523130 WLR523041:WLR523130 WBV523041:WBV523130 VRZ523041:VRZ523130 VID523041:VID523130 UYH523041:UYH523130 UOL523041:UOL523130 UEP523041:UEP523130 TUT523041:TUT523130 TKX523041:TKX523130 TBB523041:TBB523130 SRF523041:SRF523130 SHJ523041:SHJ523130 RXN523041:RXN523130 RNR523041:RNR523130 RDV523041:RDV523130 QTZ523041:QTZ523130 QKD523041:QKD523130 QAH523041:QAH523130 PQL523041:PQL523130 PGP523041:PGP523130 OWT523041:OWT523130 OMX523041:OMX523130 ODB523041:ODB523130 NTF523041:NTF523130 NJJ523041:NJJ523130 MZN523041:MZN523130 MPR523041:MPR523130 MFV523041:MFV523130 LVZ523041:LVZ523130 LMD523041:LMD523130 LCH523041:LCH523130 KSL523041:KSL523130 KIP523041:KIP523130 JYT523041:JYT523130 JOX523041:JOX523130 JFB523041:JFB523130 IVF523041:IVF523130 ILJ523041:ILJ523130 IBN523041:IBN523130 HRR523041:HRR523130 HHV523041:HHV523130 GXZ523041:GXZ523130 GOD523041:GOD523130 GEH523041:GEH523130 FUL523041:FUL523130 FKP523041:FKP523130 FAT523041:FAT523130 EQX523041:EQX523130 EHB523041:EHB523130 DXF523041:DXF523130 DNJ523041:DNJ523130 DDN523041:DDN523130 CTR523041:CTR523130 CJV523041:CJV523130 BZZ523041:BZZ523130 BQD523041:BQD523130 BGH523041:BGH523130 AWL523041:AWL523130 AMP523041:AMP523130 ACT523041:ACT523130 SX523041:SX523130 JB523041:JB523130 F523052:F523141 WVN457505:WVN457594 WLR457505:WLR457594 WBV457505:WBV457594 VRZ457505:VRZ457594 VID457505:VID457594 UYH457505:UYH457594 UOL457505:UOL457594 UEP457505:UEP457594 TUT457505:TUT457594 TKX457505:TKX457594 TBB457505:TBB457594 SRF457505:SRF457594 SHJ457505:SHJ457594 RXN457505:RXN457594 RNR457505:RNR457594 RDV457505:RDV457594 QTZ457505:QTZ457594 QKD457505:QKD457594 QAH457505:QAH457594 PQL457505:PQL457594 PGP457505:PGP457594 OWT457505:OWT457594 OMX457505:OMX457594 ODB457505:ODB457594 NTF457505:NTF457594 NJJ457505:NJJ457594 MZN457505:MZN457594 MPR457505:MPR457594 MFV457505:MFV457594 LVZ457505:LVZ457594 LMD457505:LMD457594 LCH457505:LCH457594 KSL457505:KSL457594 KIP457505:KIP457594 JYT457505:JYT457594 JOX457505:JOX457594 JFB457505:JFB457594 IVF457505:IVF457594 ILJ457505:ILJ457594 IBN457505:IBN457594 HRR457505:HRR457594 HHV457505:HHV457594 GXZ457505:GXZ457594 GOD457505:GOD457594 GEH457505:GEH457594 FUL457505:FUL457594 FKP457505:FKP457594 FAT457505:FAT457594 EQX457505:EQX457594 EHB457505:EHB457594 DXF457505:DXF457594 DNJ457505:DNJ457594 DDN457505:DDN457594 CTR457505:CTR457594 CJV457505:CJV457594 BZZ457505:BZZ457594 BQD457505:BQD457594 BGH457505:BGH457594 AWL457505:AWL457594 AMP457505:AMP457594 ACT457505:ACT457594 SX457505:SX457594 JB457505:JB457594 F457516:F457605 WVN391969:WVN392058 WLR391969:WLR392058 WBV391969:WBV392058 VRZ391969:VRZ392058 VID391969:VID392058 UYH391969:UYH392058 UOL391969:UOL392058 UEP391969:UEP392058 TUT391969:TUT392058 TKX391969:TKX392058 TBB391969:TBB392058 SRF391969:SRF392058 SHJ391969:SHJ392058 RXN391969:RXN392058 RNR391969:RNR392058 RDV391969:RDV392058 QTZ391969:QTZ392058 QKD391969:QKD392058 QAH391969:QAH392058 PQL391969:PQL392058 PGP391969:PGP392058 OWT391969:OWT392058 OMX391969:OMX392058 ODB391969:ODB392058 NTF391969:NTF392058 NJJ391969:NJJ392058 MZN391969:MZN392058 MPR391969:MPR392058 MFV391969:MFV392058 LVZ391969:LVZ392058 LMD391969:LMD392058 LCH391969:LCH392058 KSL391969:KSL392058 KIP391969:KIP392058 JYT391969:JYT392058 JOX391969:JOX392058 JFB391969:JFB392058 IVF391969:IVF392058 ILJ391969:ILJ392058 IBN391969:IBN392058 HRR391969:HRR392058 HHV391969:HHV392058 GXZ391969:GXZ392058 GOD391969:GOD392058 GEH391969:GEH392058 FUL391969:FUL392058 FKP391969:FKP392058 FAT391969:FAT392058 EQX391969:EQX392058 EHB391969:EHB392058 DXF391969:DXF392058 DNJ391969:DNJ392058 DDN391969:DDN392058 CTR391969:CTR392058 CJV391969:CJV392058 BZZ391969:BZZ392058 BQD391969:BQD392058 BGH391969:BGH392058 AWL391969:AWL392058 AMP391969:AMP392058 ACT391969:ACT392058 SX391969:SX392058 JB391969:JB392058 F391980:F392069 WVN326433:WVN326522 WLR326433:WLR326522 WBV326433:WBV326522 VRZ326433:VRZ326522 VID326433:VID326522 UYH326433:UYH326522 UOL326433:UOL326522 UEP326433:UEP326522 TUT326433:TUT326522 TKX326433:TKX326522 TBB326433:TBB326522 SRF326433:SRF326522 SHJ326433:SHJ326522 RXN326433:RXN326522 RNR326433:RNR326522 RDV326433:RDV326522 QTZ326433:QTZ326522 QKD326433:QKD326522 QAH326433:QAH326522 PQL326433:PQL326522 PGP326433:PGP326522 OWT326433:OWT326522 OMX326433:OMX326522 ODB326433:ODB326522 NTF326433:NTF326522 NJJ326433:NJJ326522 MZN326433:MZN326522 MPR326433:MPR326522 MFV326433:MFV326522 LVZ326433:LVZ326522 LMD326433:LMD326522 LCH326433:LCH326522 KSL326433:KSL326522 KIP326433:KIP326522 JYT326433:JYT326522 JOX326433:JOX326522 JFB326433:JFB326522 IVF326433:IVF326522 ILJ326433:ILJ326522 IBN326433:IBN326522 HRR326433:HRR326522 HHV326433:HHV326522 GXZ326433:GXZ326522 GOD326433:GOD326522 GEH326433:GEH326522 FUL326433:FUL326522 FKP326433:FKP326522 FAT326433:FAT326522 EQX326433:EQX326522 EHB326433:EHB326522 DXF326433:DXF326522 DNJ326433:DNJ326522 DDN326433:DDN326522 CTR326433:CTR326522 CJV326433:CJV326522 BZZ326433:BZZ326522 BQD326433:BQD326522 BGH326433:BGH326522 AWL326433:AWL326522 AMP326433:AMP326522 ACT326433:ACT326522 SX326433:SX326522 JB326433:JB326522 F326444:F326533 WVN260897:WVN260986 WLR260897:WLR260986 WBV260897:WBV260986 VRZ260897:VRZ260986 VID260897:VID260986 UYH260897:UYH260986 UOL260897:UOL260986 UEP260897:UEP260986 TUT260897:TUT260986 TKX260897:TKX260986 TBB260897:TBB260986 SRF260897:SRF260986 SHJ260897:SHJ260986 RXN260897:RXN260986 RNR260897:RNR260986 RDV260897:RDV260986 QTZ260897:QTZ260986 QKD260897:QKD260986 QAH260897:QAH260986 PQL260897:PQL260986 PGP260897:PGP260986 OWT260897:OWT260986 OMX260897:OMX260986 ODB260897:ODB260986 NTF260897:NTF260986 NJJ260897:NJJ260986 MZN260897:MZN260986 MPR260897:MPR260986 MFV260897:MFV260986 LVZ260897:LVZ260986 LMD260897:LMD260986 LCH260897:LCH260986 KSL260897:KSL260986 KIP260897:KIP260986 JYT260897:JYT260986 JOX260897:JOX260986 JFB260897:JFB260986 IVF260897:IVF260986 ILJ260897:ILJ260986 IBN260897:IBN260986 HRR260897:HRR260986 HHV260897:HHV260986 GXZ260897:GXZ260986 GOD260897:GOD260986 GEH260897:GEH260986 FUL260897:FUL260986 FKP260897:FKP260986 FAT260897:FAT260986 EQX260897:EQX260986 EHB260897:EHB260986 DXF260897:DXF260986 DNJ260897:DNJ260986 DDN260897:DDN260986 CTR260897:CTR260986 CJV260897:CJV260986 BZZ260897:BZZ260986 BQD260897:BQD260986 BGH260897:BGH260986 AWL260897:AWL260986 AMP260897:AMP260986 ACT260897:ACT260986 SX260897:SX260986 JB260897:JB260986 F260908:F260997 WVN195361:WVN195450 WLR195361:WLR195450 WBV195361:WBV195450 VRZ195361:VRZ195450 VID195361:VID195450 UYH195361:UYH195450 UOL195361:UOL195450 UEP195361:UEP195450 TUT195361:TUT195450 TKX195361:TKX195450 TBB195361:TBB195450 SRF195361:SRF195450 SHJ195361:SHJ195450 RXN195361:RXN195450 RNR195361:RNR195450 RDV195361:RDV195450 QTZ195361:QTZ195450 QKD195361:QKD195450 QAH195361:QAH195450 PQL195361:PQL195450 PGP195361:PGP195450 OWT195361:OWT195450 OMX195361:OMX195450 ODB195361:ODB195450 NTF195361:NTF195450 NJJ195361:NJJ195450 MZN195361:MZN195450 MPR195361:MPR195450 MFV195361:MFV195450 LVZ195361:LVZ195450 LMD195361:LMD195450 LCH195361:LCH195450 KSL195361:KSL195450 KIP195361:KIP195450 JYT195361:JYT195450 JOX195361:JOX195450 JFB195361:JFB195450 IVF195361:IVF195450 ILJ195361:ILJ195450 IBN195361:IBN195450 HRR195361:HRR195450 HHV195361:HHV195450 GXZ195361:GXZ195450 GOD195361:GOD195450 GEH195361:GEH195450 FUL195361:FUL195450 FKP195361:FKP195450 FAT195361:FAT195450 EQX195361:EQX195450 EHB195361:EHB195450 DXF195361:DXF195450 DNJ195361:DNJ195450 DDN195361:DDN195450 CTR195361:CTR195450 CJV195361:CJV195450 BZZ195361:BZZ195450 BQD195361:BQD195450 BGH195361:BGH195450 AWL195361:AWL195450 AMP195361:AMP195450 ACT195361:ACT195450 SX195361:SX195450 JB195361:JB195450 F195372:F195461 WVN129825:WVN129914 WLR129825:WLR129914 WBV129825:WBV129914 VRZ129825:VRZ129914 VID129825:VID129914 UYH129825:UYH129914 UOL129825:UOL129914 UEP129825:UEP129914 TUT129825:TUT129914 TKX129825:TKX129914 TBB129825:TBB129914 SRF129825:SRF129914 SHJ129825:SHJ129914 RXN129825:RXN129914 RNR129825:RNR129914 RDV129825:RDV129914 QTZ129825:QTZ129914 QKD129825:QKD129914 QAH129825:QAH129914 PQL129825:PQL129914 PGP129825:PGP129914 OWT129825:OWT129914 OMX129825:OMX129914 ODB129825:ODB129914 NTF129825:NTF129914 NJJ129825:NJJ129914 MZN129825:MZN129914 MPR129825:MPR129914 MFV129825:MFV129914 LVZ129825:LVZ129914 LMD129825:LMD129914 LCH129825:LCH129914 KSL129825:KSL129914 KIP129825:KIP129914 JYT129825:JYT129914 JOX129825:JOX129914 JFB129825:JFB129914 IVF129825:IVF129914 ILJ129825:ILJ129914 IBN129825:IBN129914 HRR129825:HRR129914 HHV129825:HHV129914 GXZ129825:GXZ129914 GOD129825:GOD129914 GEH129825:GEH129914 FUL129825:FUL129914 FKP129825:FKP129914 FAT129825:FAT129914 EQX129825:EQX129914 EHB129825:EHB129914 DXF129825:DXF129914 DNJ129825:DNJ129914 DDN129825:DDN129914 CTR129825:CTR129914 CJV129825:CJV129914 BZZ129825:BZZ129914 BQD129825:BQD129914 BGH129825:BGH129914 AWL129825:AWL129914 AMP129825:AMP129914 ACT129825:ACT129914 SX129825:SX129914 JB129825:JB129914 F129836:F129925 WVN64289:WVN64378 WLR64289:WLR64378 WBV64289:WBV64378 VRZ64289:VRZ64378 VID64289:VID64378 UYH64289:UYH64378 UOL64289:UOL64378 UEP64289:UEP64378 TUT64289:TUT64378 TKX64289:TKX64378 TBB64289:TBB64378 SRF64289:SRF64378 SHJ64289:SHJ64378 RXN64289:RXN64378 RNR64289:RNR64378 RDV64289:RDV64378 QTZ64289:QTZ64378 QKD64289:QKD64378 QAH64289:QAH64378 PQL64289:PQL64378 PGP64289:PGP64378 OWT64289:OWT64378 OMX64289:OMX64378 ODB64289:ODB64378 NTF64289:NTF64378 NJJ64289:NJJ64378 MZN64289:MZN64378 MPR64289:MPR64378 MFV64289:MFV64378 LVZ64289:LVZ64378 LMD64289:LMD64378 LCH64289:LCH64378 KSL64289:KSL64378 KIP64289:KIP64378 JYT64289:JYT64378 JOX64289:JOX64378 JFB64289:JFB64378 IVF64289:IVF64378 ILJ64289:ILJ64378 IBN64289:IBN64378 HRR64289:HRR64378 HHV64289:HHV64378 GXZ64289:GXZ64378 GOD64289:GOD64378 GEH64289:GEH64378 FUL64289:FUL64378 FKP64289:FKP64378 FAT64289:FAT64378 EQX64289:EQX64378 EHB64289:EHB64378 DXF64289:DXF64378 DNJ64289:DNJ64378 DDN64289:DDN64378 CTR64289:CTR64378 CJV64289:CJV64378 BZZ64289:BZZ64378 BQD64289:BQD64378 BGH64289:BGH64378 AWL64289:AWL64378 AMP64289:AMP64378 ACT64289:ACT64378 SX64289:SX64378 JB64289:JB64378 F64300:F64389 WVN981793:WVN981882 JB2:JB64 SX2:SX64 ACT2:ACT64 AMP2:AMP64 AWL2:AWL64 BGH2:BGH64 BQD2:BQD64 BZZ2:BZZ64 CJV2:CJV64 CTR2:CTR64 DDN2:DDN64 DNJ2:DNJ64 DXF2:DXF64 EHB2:EHB64 EQX2:EQX64 FAT2:FAT64 FKP2:FKP64 FUL2:FUL64 GEH2:GEH64 GOD2:GOD64 GXZ2:GXZ64 HHV2:HHV64 HRR2:HRR64 IBN2:IBN64 ILJ2:ILJ64 IVF2:IVF64 JFB2:JFB64 JOX2:JOX64 JYT2:JYT64 KIP2:KIP64 KSL2:KSL64 LCH2:LCH64 LMD2:LMD64 LVZ2:LVZ64 MFV2:MFV64 MPR2:MPR64 MZN2:MZN64 NJJ2:NJJ64 NTF2:NTF64 ODB2:ODB64 OMX2:OMX64 OWT2:OWT64 PGP2:PGP64 PQL2:PQL64 QAH2:QAH64 QKD2:QKD64 QTZ2:QTZ64 RDV2:RDV64 RNR2:RNR64 RXN2:RXN64 SHJ2:SHJ64 SRF2:SRF64 TBB2:TBB64 TKX2:TKX64 TUT2:TUT64 UEP2:UEP64 UOL2:UOL64 UYH2:UYH64 VID2:VID64 VRZ2:VRZ64 WBV2:WBV64 WLR2:WLR64 WVN2:WVN64 F2:F490" xr:uid="{76A0E76D-F73B-49CE-B07C-BC166A05FF4C}">
      <formula1>$AH$2:$AH$7</formula1>
    </dataValidation>
    <dataValidation type="list" allowBlank="1" showInputMessage="1" showErrorMessage="1" sqref="WLQ981793:WLQ981882 WBU981793:WBU981882 VRY981793:VRY981882 VIC981793:VIC981882 UYG981793:UYG981882 UOK981793:UOK981882 UEO981793:UEO981882 TUS981793:TUS981882 TKW981793:TKW981882 TBA981793:TBA981882 SRE981793:SRE981882 SHI981793:SHI981882 RXM981793:RXM981882 RNQ981793:RNQ981882 RDU981793:RDU981882 QTY981793:QTY981882 QKC981793:QKC981882 QAG981793:QAG981882 PQK981793:PQK981882 PGO981793:PGO981882 OWS981793:OWS981882 OMW981793:OMW981882 ODA981793:ODA981882 NTE981793:NTE981882 NJI981793:NJI981882 MZM981793:MZM981882 MPQ981793:MPQ981882 MFU981793:MFU981882 LVY981793:LVY981882 LMC981793:LMC981882 LCG981793:LCG981882 KSK981793:KSK981882 KIO981793:KIO981882 JYS981793:JYS981882 JOW981793:JOW981882 JFA981793:JFA981882 IVE981793:IVE981882 ILI981793:ILI981882 IBM981793:IBM981882 HRQ981793:HRQ981882 HHU981793:HHU981882 GXY981793:GXY981882 GOC981793:GOC981882 GEG981793:GEG981882 FUK981793:FUK981882 FKO981793:FKO981882 FAS981793:FAS981882 EQW981793:EQW981882 EHA981793:EHA981882 DXE981793:DXE981882 DNI981793:DNI981882 DDM981793:DDM981882 CTQ981793:CTQ981882 CJU981793:CJU981882 BZY981793:BZY981882 BQC981793:BQC981882 BGG981793:BGG981882 AWK981793:AWK981882 AMO981793:AMO981882 ACS981793:ACS981882 SW981793:SW981882 JA981793:JA981882 E981804:E981893 WVM916257:WVM916346 WLQ916257:WLQ916346 WBU916257:WBU916346 VRY916257:VRY916346 VIC916257:VIC916346 UYG916257:UYG916346 UOK916257:UOK916346 UEO916257:UEO916346 TUS916257:TUS916346 TKW916257:TKW916346 TBA916257:TBA916346 SRE916257:SRE916346 SHI916257:SHI916346 RXM916257:RXM916346 RNQ916257:RNQ916346 RDU916257:RDU916346 QTY916257:QTY916346 QKC916257:QKC916346 QAG916257:QAG916346 PQK916257:PQK916346 PGO916257:PGO916346 OWS916257:OWS916346 OMW916257:OMW916346 ODA916257:ODA916346 NTE916257:NTE916346 NJI916257:NJI916346 MZM916257:MZM916346 MPQ916257:MPQ916346 MFU916257:MFU916346 LVY916257:LVY916346 LMC916257:LMC916346 LCG916257:LCG916346 KSK916257:KSK916346 KIO916257:KIO916346 JYS916257:JYS916346 JOW916257:JOW916346 JFA916257:JFA916346 IVE916257:IVE916346 ILI916257:ILI916346 IBM916257:IBM916346 HRQ916257:HRQ916346 HHU916257:HHU916346 GXY916257:GXY916346 GOC916257:GOC916346 GEG916257:GEG916346 FUK916257:FUK916346 FKO916257:FKO916346 FAS916257:FAS916346 EQW916257:EQW916346 EHA916257:EHA916346 DXE916257:DXE916346 DNI916257:DNI916346 DDM916257:DDM916346 CTQ916257:CTQ916346 CJU916257:CJU916346 BZY916257:BZY916346 BQC916257:BQC916346 BGG916257:BGG916346 AWK916257:AWK916346 AMO916257:AMO916346 ACS916257:ACS916346 SW916257:SW916346 JA916257:JA916346 E916268:E916357 WVM850721:WVM850810 WLQ850721:WLQ850810 WBU850721:WBU850810 VRY850721:VRY850810 VIC850721:VIC850810 UYG850721:UYG850810 UOK850721:UOK850810 UEO850721:UEO850810 TUS850721:TUS850810 TKW850721:TKW850810 TBA850721:TBA850810 SRE850721:SRE850810 SHI850721:SHI850810 RXM850721:RXM850810 RNQ850721:RNQ850810 RDU850721:RDU850810 QTY850721:QTY850810 QKC850721:QKC850810 QAG850721:QAG850810 PQK850721:PQK850810 PGO850721:PGO850810 OWS850721:OWS850810 OMW850721:OMW850810 ODA850721:ODA850810 NTE850721:NTE850810 NJI850721:NJI850810 MZM850721:MZM850810 MPQ850721:MPQ850810 MFU850721:MFU850810 LVY850721:LVY850810 LMC850721:LMC850810 LCG850721:LCG850810 KSK850721:KSK850810 KIO850721:KIO850810 JYS850721:JYS850810 JOW850721:JOW850810 JFA850721:JFA850810 IVE850721:IVE850810 ILI850721:ILI850810 IBM850721:IBM850810 HRQ850721:HRQ850810 HHU850721:HHU850810 GXY850721:GXY850810 GOC850721:GOC850810 GEG850721:GEG850810 FUK850721:FUK850810 FKO850721:FKO850810 FAS850721:FAS850810 EQW850721:EQW850810 EHA850721:EHA850810 DXE850721:DXE850810 DNI850721:DNI850810 DDM850721:DDM850810 CTQ850721:CTQ850810 CJU850721:CJU850810 BZY850721:BZY850810 BQC850721:BQC850810 BGG850721:BGG850810 AWK850721:AWK850810 AMO850721:AMO850810 ACS850721:ACS850810 SW850721:SW850810 JA850721:JA850810 E850732:E850821 WVM785185:WVM785274 WLQ785185:WLQ785274 WBU785185:WBU785274 VRY785185:VRY785274 VIC785185:VIC785274 UYG785185:UYG785274 UOK785185:UOK785274 UEO785185:UEO785274 TUS785185:TUS785274 TKW785185:TKW785274 TBA785185:TBA785274 SRE785185:SRE785274 SHI785185:SHI785274 RXM785185:RXM785274 RNQ785185:RNQ785274 RDU785185:RDU785274 QTY785185:QTY785274 QKC785185:QKC785274 QAG785185:QAG785274 PQK785185:PQK785274 PGO785185:PGO785274 OWS785185:OWS785274 OMW785185:OMW785274 ODA785185:ODA785274 NTE785185:NTE785274 NJI785185:NJI785274 MZM785185:MZM785274 MPQ785185:MPQ785274 MFU785185:MFU785274 LVY785185:LVY785274 LMC785185:LMC785274 LCG785185:LCG785274 KSK785185:KSK785274 KIO785185:KIO785274 JYS785185:JYS785274 JOW785185:JOW785274 JFA785185:JFA785274 IVE785185:IVE785274 ILI785185:ILI785274 IBM785185:IBM785274 HRQ785185:HRQ785274 HHU785185:HHU785274 GXY785185:GXY785274 GOC785185:GOC785274 GEG785185:GEG785274 FUK785185:FUK785274 FKO785185:FKO785274 FAS785185:FAS785274 EQW785185:EQW785274 EHA785185:EHA785274 DXE785185:DXE785274 DNI785185:DNI785274 DDM785185:DDM785274 CTQ785185:CTQ785274 CJU785185:CJU785274 BZY785185:BZY785274 BQC785185:BQC785274 BGG785185:BGG785274 AWK785185:AWK785274 AMO785185:AMO785274 ACS785185:ACS785274 SW785185:SW785274 JA785185:JA785274 E785196:E785285 WVM719649:WVM719738 WLQ719649:WLQ719738 WBU719649:WBU719738 VRY719649:VRY719738 VIC719649:VIC719738 UYG719649:UYG719738 UOK719649:UOK719738 UEO719649:UEO719738 TUS719649:TUS719738 TKW719649:TKW719738 TBA719649:TBA719738 SRE719649:SRE719738 SHI719649:SHI719738 RXM719649:RXM719738 RNQ719649:RNQ719738 RDU719649:RDU719738 QTY719649:QTY719738 QKC719649:QKC719738 QAG719649:QAG719738 PQK719649:PQK719738 PGO719649:PGO719738 OWS719649:OWS719738 OMW719649:OMW719738 ODA719649:ODA719738 NTE719649:NTE719738 NJI719649:NJI719738 MZM719649:MZM719738 MPQ719649:MPQ719738 MFU719649:MFU719738 LVY719649:LVY719738 LMC719649:LMC719738 LCG719649:LCG719738 KSK719649:KSK719738 KIO719649:KIO719738 JYS719649:JYS719738 JOW719649:JOW719738 JFA719649:JFA719738 IVE719649:IVE719738 ILI719649:ILI719738 IBM719649:IBM719738 HRQ719649:HRQ719738 HHU719649:HHU719738 GXY719649:GXY719738 GOC719649:GOC719738 GEG719649:GEG719738 FUK719649:FUK719738 FKO719649:FKO719738 FAS719649:FAS719738 EQW719649:EQW719738 EHA719649:EHA719738 DXE719649:DXE719738 DNI719649:DNI719738 DDM719649:DDM719738 CTQ719649:CTQ719738 CJU719649:CJU719738 BZY719649:BZY719738 BQC719649:BQC719738 BGG719649:BGG719738 AWK719649:AWK719738 AMO719649:AMO719738 ACS719649:ACS719738 SW719649:SW719738 JA719649:JA719738 E719660:E719749 WVM654113:WVM654202 WLQ654113:WLQ654202 WBU654113:WBU654202 VRY654113:VRY654202 VIC654113:VIC654202 UYG654113:UYG654202 UOK654113:UOK654202 UEO654113:UEO654202 TUS654113:TUS654202 TKW654113:TKW654202 TBA654113:TBA654202 SRE654113:SRE654202 SHI654113:SHI654202 RXM654113:RXM654202 RNQ654113:RNQ654202 RDU654113:RDU654202 QTY654113:QTY654202 QKC654113:QKC654202 QAG654113:QAG654202 PQK654113:PQK654202 PGO654113:PGO654202 OWS654113:OWS654202 OMW654113:OMW654202 ODA654113:ODA654202 NTE654113:NTE654202 NJI654113:NJI654202 MZM654113:MZM654202 MPQ654113:MPQ654202 MFU654113:MFU654202 LVY654113:LVY654202 LMC654113:LMC654202 LCG654113:LCG654202 KSK654113:KSK654202 KIO654113:KIO654202 JYS654113:JYS654202 JOW654113:JOW654202 JFA654113:JFA654202 IVE654113:IVE654202 ILI654113:ILI654202 IBM654113:IBM654202 HRQ654113:HRQ654202 HHU654113:HHU654202 GXY654113:GXY654202 GOC654113:GOC654202 GEG654113:GEG654202 FUK654113:FUK654202 FKO654113:FKO654202 FAS654113:FAS654202 EQW654113:EQW654202 EHA654113:EHA654202 DXE654113:DXE654202 DNI654113:DNI654202 DDM654113:DDM654202 CTQ654113:CTQ654202 CJU654113:CJU654202 BZY654113:BZY654202 BQC654113:BQC654202 BGG654113:BGG654202 AWK654113:AWK654202 AMO654113:AMO654202 ACS654113:ACS654202 SW654113:SW654202 JA654113:JA654202 E654124:E654213 WVM588577:WVM588666 WLQ588577:WLQ588666 WBU588577:WBU588666 VRY588577:VRY588666 VIC588577:VIC588666 UYG588577:UYG588666 UOK588577:UOK588666 UEO588577:UEO588666 TUS588577:TUS588666 TKW588577:TKW588666 TBA588577:TBA588666 SRE588577:SRE588666 SHI588577:SHI588666 RXM588577:RXM588666 RNQ588577:RNQ588666 RDU588577:RDU588666 QTY588577:QTY588666 QKC588577:QKC588666 QAG588577:QAG588666 PQK588577:PQK588666 PGO588577:PGO588666 OWS588577:OWS588666 OMW588577:OMW588666 ODA588577:ODA588666 NTE588577:NTE588666 NJI588577:NJI588666 MZM588577:MZM588666 MPQ588577:MPQ588666 MFU588577:MFU588666 LVY588577:LVY588666 LMC588577:LMC588666 LCG588577:LCG588666 KSK588577:KSK588666 KIO588577:KIO588666 JYS588577:JYS588666 JOW588577:JOW588666 JFA588577:JFA588666 IVE588577:IVE588666 ILI588577:ILI588666 IBM588577:IBM588666 HRQ588577:HRQ588666 HHU588577:HHU588666 GXY588577:GXY588666 GOC588577:GOC588666 GEG588577:GEG588666 FUK588577:FUK588666 FKO588577:FKO588666 FAS588577:FAS588666 EQW588577:EQW588666 EHA588577:EHA588666 DXE588577:DXE588666 DNI588577:DNI588666 DDM588577:DDM588666 CTQ588577:CTQ588666 CJU588577:CJU588666 BZY588577:BZY588666 BQC588577:BQC588666 BGG588577:BGG588666 AWK588577:AWK588666 AMO588577:AMO588666 ACS588577:ACS588666 SW588577:SW588666 JA588577:JA588666 E588588:E588677 WVM523041:WVM523130 WLQ523041:WLQ523130 WBU523041:WBU523130 VRY523041:VRY523130 VIC523041:VIC523130 UYG523041:UYG523130 UOK523041:UOK523130 UEO523041:UEO523130 TUS523041:TUS523130 TKW523041:TKW523130 TBA523041:TBA523130 SRE523041:SRE523130 SHI523041:SHI523130 RXM523041:RXM523130 RNQ523041:RNQ523130 RDU523041:RDU523130 QTY523041:QTY523130 QKC523041:QKC523130 QAG523041:QAG523130 PQK523041:PQK523130 PGO523041:PGO523130 OWS523041:OWS523130 OMW523041:OMW523130 ODA523041:ODA523130 NTE523041:NTE523130 NJI523041:NJI523130 MZM523041:MZM523130 MPQ523041:MPQ523130 MFU523041:MFU523130 LVY523041:LVY523130 LMC523041:LMC523130 LCG523041:LCG523130 KSK523041:KSK523130 KIO523041:KIO523130 JYS523041:JYS523130 JOW523041:JOW523130 JFA523041:JFA523130 IVE523041:IVE523130 ILI523041:ILI523130 IBM523041:IBM523130 HRQ523041:HRQ523130 HHU523041:HHU523130 GXY523041:GXY523130 GOC523041:GOC523130 GEG523041:GEG523130 FUK523041:FUK523130 FKO523041:FKO523130 FAS523041:FAS523130 EQW523041:EQW523130 EHA523041:EHA523130 DXE523041:DXE523130 DNI523041:DNI523130 DDM523041:DDM523130 CTQ523041:CTQ523130 CJU523041:CJU523130 BZY523041:BZY523130 BQC523041:BQC523130 BGG523041:BGG523130 AWK523041:AWK523130 AMO523041:AMO523130 ACS523041:ACS523130 SW523041:SW523130 JA523041:JA523130 E523052:E523141 WVM457505:WVM457594 WLQ457505:WLQ457594 WBU457505:WBU457594 VRY457505:VRY457594 VIC457505:VIC457594 UYG457505:UYG457594 UOK457505:UOK457594 UEO457505:UEO457594 TUS457505:TUS457594 TKW457505:TKW457594 TBA457505:TBA457594 SRE457505:SRE457594 SHI457505:SHI457594 RXM457505:RXM457594 RNQ457505:RNQ457594 RDU457505:RDU457594 QTY457505:QTY457594 QKC457505:QKC457594 QAG457505:QAG457594 PQK457505:PQK457594 PGO457505:PGO457594 OWS457505:OWS457594 OMW457505:OMW457594 ODA457505:ODA457594 NTE457505:NTE457594 NJI457505:NJI457594 MZM457505:MZM457594 MPQ457505:MPQ457594 MFU457505:MFU457594 LVY457505:LVY457594 LMC457505:LMC457594 LCG457505:LCG457594 KSK457505:KSK457594 KIO457505:KIO457594 JYS457505:JYS457594 JOW457505:JOW457594 JFA457505:JFA457594 IVE457505:IVE457594 ILI457505:ILI457594 IBM457505:IBM457594 HRQ457505:HRQ457594 HHU457505:HHU457594 GXY457505:GXY457594 GOC457505:GOC457594 GEG457505:GEG457594 FUK457505:FUK457594 FKO457505:FKO457594 FAS457505:FAS457594 EQW457505:EQW457594 EHA457505:EHA457594 DXE457505:DXE457594 DNI457505:DNI457594 DDM457505:DDM457594 CTQ457505:CTQ457594 CJU457505:CJU457594 BZY457505:BZY457594 BQC457505:BQC457594 BGG457505:BGG457594 AWK457505:AWK457594 AMO457505:AMO457594 ACS457505:ACS457594 SW457505:SW457594 JA457505:JA457594 E457516:E457605 WVM391969:WVM392058 WLQ391969:WLQ392058 WBU391969:WBU392058 VRY391969:VRY392058 VIC391969:VIC392058 UYG391969:UYG392058 UOK391969:UOK392058 UEO391969:UEO392058 TUS391969:TUS392058 TKW391969:TKW392058 TBA391969:TBA392058 SRE391969:SRE392058 SHI391969:SHI392058 RXM391969:RXM392058 RNQ391969:RNQ392058 RDU391969:RDU392058 QTY391969:QTY392058 QKC391969:QKC392058 QAG391969:QAG392058 PQK391969:PQK392058 PGO391969:PGO392058 OWS391969:OWS392058 OMW391969:OMW392058 ODA391969:ODA392058 NTE391969:NTE392058 NJI391969:NJI392058 MZM391969:MZM392058 MPQ391969:MPQ392058 MFU391969:MFU392058 LVY391969:LVY392058 LMC391969:LMC392058 LCG391969:LCG392058 KSK391969:KSK392058 KIO391969:KIO392058 JYS391969:JYS392058 JOW391969:JOW392058 JFA391969:JFA392058 IVE391969:IVE392058 ILI391969:ILI392058 IBM391969:IBM392058 HRQ391969:HRQ392058 HHU391969:HHU392058 GXY391969:GXY392058 GOC391969:GOC392058 GEG391969:GEG392058 FUK391969:FUK392058 FKO391969:FKO392058 FAS391969:FAS392058 EQW391969:EQW392058 EHA391969:EHA392058 DXE391969:DXE392058 DNI391969:DNI392058 DDM391969:DDM392058 CTQ391969:CTQ392058 CJU391969:CJU392058 BZY391969:BZY392058 BQC391969:BQC392058 BGG391969:BGG392058 AWK391969:AWK392058 AMO391969:AMO392058 ACS391969:ACS392058 SW391969:SW392058 JA391969:JA392058 E391980:E392069 WVM326433:WVM326522 WLQ326433:WLQ326522 WBU326433:WBU326522 VRY326433:VRY326522 VIC326433:VIC326522 UYG326433:UYG326522 UOK326433:UOK326522 UEO326433:UEO326522 TUS326433:TUS326522 TKW326433:TKW326522 TBA326433:TBA326522 SRE326433:SRE326522 SHI326433:SHI326522 RXM326433:RXM326522 RNQ326433:RNQ326522 RDU326433:RDU326522 QTY326433:QTY326522 QKC326433:QKC326522 QAG326433:QAG326522 PQK326433:PQK326522 PGO326433:PGO326522 OWS326433:OWS326522 OMW326433:OMW326522 ODA326433:ODA326522 NTE326433:NTE326522 NJI326433:NJI326522 MZM326433:MZM326522 MPQ326433:MPQ326522 MFU326433:MFU326522 LVY326433:LVY326522 LMC326433:LMC326522 LCG326433:LCG326522 KSK326433:KSK326522 KIO326433:KIO326522 JYS326433:JYS326522 JOW326433:JOW326522 JFA326433:JFA326522 IVE326433:IVE326522 ILI326433:ILI326522 IBM326433:IBM326522 HRQ326433:HRQ326522 HHU326433:HHU326522 GXY326433:GXY326522 GOC326433:GOC326522 GEG326433:GEG326522 FUK326433:FUK326522 FKO326433:FKO326522 FAS326433:FAS326522 EQW326433:EQW326522 EHA326433:EHA326522 DXE326433:DXE326522 DNI326433:DNI326522 DDM326433:DDM326522 CTQ326433:CTQ326522 CJU326433:CJU326522 BZY326433:BZY326522 BQC326433:BQC326522 BGG326433:BGG326522 AWK326433:AWK326522 AMO326433:AMO326522 ACS326433:ACS326522 SW326433:SW326522 JA326433:JA326522 E326444:E326533 WVM260897:WVM260986 WLQ260897:WLQ260986 WBU260897:WBU260986 VRY260897:VRY260986 VIC260897:VIC260986 UYG260897:UYG260986 UOK260897:UOK260986 UEO260897:UEO260986 TUS260897:TUS260986 TKW260897:TKW260986 TBA260897:TBA260986 SRE260897:SRE260986 SHI260897:SHI260986 RXM260897:RXM260986 RNQ260897:RNQ260986 RDU260897:RDU260986 QTY260897:QTY260986 QKC260897:QKC260986 QAG260897:QAG260986 PQK260897:PQK260986 PGO260897:PGO260986 OWS260897:OWS260986 OMW260897:OMW260986 ODA260897:ODA260986 NTE260897:NTE260986 NJI260897:NJI260986 MZM260897:MZM260986 MPQ260897:MPQ260986 MFU260897:MFU260986 LVY260897:LVY260986 LMC260897:LMC260986 LCG260897:LCG260986 KSK260897:KSK260986 KIO260897:KIO260986 JYS260897:JYS260986 JOW260897:JOW260986 JFA260897:JFA260986 IVE260897:IVE260986 ILI260897:ILI260986 IBM260897:IBM260986 HRQ260897:HRQ260986 HHU260897:HHU260986 GXY260897:GXY260986 GOC260897:GOC260986 GEG260897:GEG260986 FUK260897:FUK260986 FKO260897:FKO260986 FAS260897:FAS260986 EQW260897:EQW260986 EHA260897:EHA260986 DXE260897:DXE260986 DNI260897:DNI260986 DDM260897:DDM260986 CTQ260897:CTQ260986 CJU260897:CJU260986 BZY260897:BZY260986 BQC260897:BQC260986 BGG260897:BGG260986 AWK260897:AWK260986 AMO260897:AMO260986 ACS260897:ACS260986 SW260897:SW260986 JA260897:JA260986 E260908:E260997 WVM195361:WVM195450 WLQ195361:WLQ195450 WBU195361:WBU195450 VRY195361:VRY195450 VIC195361:VIC195450 UYG195361:UYG195450 UOK195361:UOK195450 UEO195361:UEO195450 TUS195361:TUS195450 TKW195361:TKW195450 TBA195361:TBA195450 SRE195361:SRE195450 SHI195361:SHI195450 RXM195361:RXM195450 RNQ195361:RNQ195450 RDU195361:RDU195450 QTY195361:QTY195450 QKC195361:QKC195450 QAG195361:QAG195450 PQK195361:PQK195450 PGO195361:PGO195450 OWS195361:OWS195450 OMW195361:OMW195450 ODA195361:ODA195450 NTE195361:NTE195450 NJI195361:NJI195450 MZM195361:MZM195450 MPQ195361:MPQ195450 MFU195361:MFU195450 LVY195361:LVY195450 LMC195361:LMC195450 LCG195361:LCG195450 KSK195361:KSK195450 KIO195361:KIO195450 JYS195361:JYS195450 JOW195361:JOW195450 JFA195361:JFA195450 IVE195361:IVE195450 ILI195361:ILI195450 IBM195361:IBM195450 HRQ195361:HRQ195450 HHU195361:HHU195450 GXY195361:GXY195450 GOC195361:GOC195450 GEG195361:GEG195450 FUK195361:FUK195450 FKO195361:FKO195450 FAS195361:FAS195450 EQW195361:EQW195450 EHA195361:EHA195450 DXE195361:DXE195450 DNI195361:DNI195450 DDM195361:DDM195450 CTQ195361:CTQ195450 CJU195361:CJU195450 BZY195361:BZY195450 BQC195361:BQC195450 BGG195361:BGG195450 AWK195361:AWK195450 AMO195361:AMO195450 ACS195361:ACS195450 SW195361:SW195450 JA195361:JA195450 E195372:E195461 WVM129825:WVM129914 WLQ129825:WLQ129914 WBU129825:WBU129914 VRY129825:VRY129914 VIC129825:VIC129914 UYG129825:UYG129914 UOK129825:UOK129914 UEO129825:UEO129914 TUS129825:TUS129914 TKW129825:TKW129914 TBA129825:TBA129914 SRE129825:SRE129914 SHI129825:SHI129914 RXM129825:RXM129914 RNQ129825:RNQ129914 RDU129825:RDU129914 QTY129825:QTY129914 QKC129825:QKC129914 QAG129825:QAG129914 PQK129825:PQK129914 PGO129825:PGO129914 OWS129825:OWS129914 OMW129825:OMW129914 ODA129825:ODA129914 NTE129825:NTE129914 NJI129825:NJI129914 MZM129825:MZM129914 MPQ129825:MPQ129914 MFU129825:MFU129914 LVY129825:LVY129914 LMC129825:LMC129914 LCG129825:LCG129914 KSK129825:KSK129914 KIO129825:KIO129914 JYS129825:JYS129914 JOW129825:JOW129914 JFA129825:JFA129914 IVE129825:IVE129914 ILI129825:ILI129914 IBM129825:IBM129914 HRQ129825:HRQ129914 HHU129825:HHU129914 GXY129825:GXY129914 GOC129825:GOC129914 GEG129825:GEG129914 FUK129825:FUK129914 FKO129825:FKO129914 FAS129825:FAS129914 EQW129825:EQW129914 EHA129825:EHA129914 DXE129825:DXE129914 DNI129825:DNI129914 DDM129825:DDM129914 CTQ129825:CTQ129914 CJU129825:CJU129914 BZY129825:BZY129914 BQC129825:BQC129914 BGG129825:BGG129914 AWK129825:AWK129914 AMO129825:AMO129914 ACS129825:ACS129914 SW129825:SW129914 JA129825:JA129914 E129836:E129925 WVM64289:WVM64378 WLQ64289:WLQ64378 WBU64289:WBU64378 VRY64289:VRY64378 VIC64289:VIC64378 UYG64289:UYG64378 UOK64289:UOK64378 UEO64289:UEO64378 TUS64289:TUS64378 TKW64289:TKW64378 TBA64289:TBA64378 SRE64289:SRE64378 SHI64289:SHI64378 RXM64289:RXM64378 RNQ64289:RNQ64378 RDU64289:RDU64378 QTY64289:QTY64378 QKC64289:QKC64378 QAG64289:QAG64378 PQK64289:PQK64378 PGO64289:PGO64378 OWS64289:OWS64378 OMW64289:OMW64378 ODA64289:ODA64378 NTE64289:NTE64378 NJI64289:NJI64378 MZM64289:MZM64378 MPQ64289:MPQ64378 MFU64289:MFU64378 LVY64289:LVY64378 LMC64289:LMC64378 LCG64289:LCG64378 KSK64289:KSK64378 KIO64289:KIO64378 JYS64289:JYS64378 JOW64289:JOW64378 JFA64289:JFA64378 IVE64289:IVE64378 ILI64289:ILI64378 IBM64289:IBM64378 HRQ64289:HRQ64378 HHU64289:HHU64378 GXY64289:GXY64378 GOC64289:GOC64378 GEG64289:GEG64378 FUK64289:FUK64378 FKO64289:FKO64378 FAS64289:FAS64378 EQW64289:EQW64378 EHA64289:EHA64378 DXE64289:DXE64378 DNI64289:DNI64378 DDM64289:DDM64378 CTQ64289:CTQ64378 CJU64289:CJU64378 BZY64289:BZY64378 BQC64289:BQC64378 BGG64289:BGG64378 AWK64289:AWK64378 AMO64289:AMO64378 ACS64289:ACS64378 SW64289:SW64378 JA64289:JA64378 E64300:E64389 WVM981793:WVM981882 JA2:JA64 SW2:SW64 ACS2:ACS64 AMO2:AMO64 AWK2:AWK64 BGG2:BGG64 BQC2:BQC64 BZY2:BZY64 CJU2:CJU64 CTQ2:CTQ64 DDM2:DDM64 DNI2:DNI64 DXE2:DXE64 EHA2:EHA64 EQW2:EQW64 FAS2:FAS64 FKO2:FKO64 FUK2:FUK64 GEG2:GEG64 GOC2:GOC64 GXY2:GXY64 HHU2:HHU64 HRQ2:HRQ64 IBM2:IBM64 ILI2:ILI64 IVE2:IVE64 JFA2:JFA64 JOW2:JOW64 JYS2:JYS64 KIO2:KIO64 KSK2:KSK64 LCG2:LCG64 LMC2:LMC64 LVY2:LVY64 MFU2:MFU64 MPQ2:MPQ64 MZM2:MZM64 NJI2:NJI64 NTE2:NTE64 ODA2:ODA64 OMW2:OMW64 OWS2:OWS64 PGO2:PGO64 PQK2:PQK64 QAG2:QAG64 QKC2:QKC64 QTY2:QTY64 RDU2:RDU64 RNQ2:RNQ64 RXM2:RXM64 SHI2:SHI64 SRE2:SRE64 TBA2:TBA64 TKW2:TKW64 TUS2:TUS64 UEO2:UEO64 UOK2:UOK64 UYG2:UYG64 VIC2:VIC64 VRY2:VRY64 WBU2:WBU64 WLQ2:WLQ64 WVM2:WVM64 E2:E490" xr:uid="{46FE3049-7704-4D22-8F13-B4E644376ADD}">
      <formula1>$AG$2:$AG$7</formula1>
    </dataValidation>
    <dataValidation type="list" allowBlank="1" showInputMessage="1" showErrorMessage="1" sqref="A2:A488" xr:uid="{15AE8916-203E-4B40-AFE0-689851847092}">
      <formula1>$AE$2:$AE$10</formula1>
    </dataValidation>
    <dataValidation type="list" allowBlank="1" showInputMessage="1" showErrorMessage="1" sqref="H74:H76 H26:H28 H59:H61 H83:H85 H89:H488" xr:uid="{08EC3995-00F3-4546-BE5A-2D7B262965FE}">
      <formula1>$AL$2:$AL$5</formula1>
    </dataValidation>
    <dataValidation type="list" allowBlank="1" showInputMessage="1" showErrorMessage="1" sqref="AA50:AA88 AA2:AA40 Z41:Z49 Y2:Y70 Z71:Z88 Y89:AA488" xr:uid="{A0E6F4C0-78C9-4255-A174-FF34CD6039AB}">
      <formula1>$AV$2:$AV$12</formula1>
    </dataValidation>
    <dataValidation type="decimal" allowBlank="1" showInputMessage="1" showErrorMessage="1" error="硬度を正しく入力して下さい。" sqref="P9 O14:P19 O26:P31 O59:P488" xr:uid="{59B6258D-8791-4C17-8EA3-3BC132796AD4}">
      <formula1>0</formula1>
      <formula2>7</formula2>
    </dataValidation>
  </dataValidations>
  <pageMargins left="0.25" right="0.25" top="0.75" bottom="0.75" header="0.3" footer="0.3"/>
  <pageSetup paperSize="9" scale="28" fitToHeight="0" orientation="landscape" r:id="rId1"/>
  <headerFooter alignWithMargins="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AD9FA-CF44-421A-BD9A-05BDBB3441EB}">
  <dimension ref="A1:BA124"/>
  <sheetViews>
    <sheetView topLeftCell="A10" zoomScale="85" zoomScaleNormal="85" workbookViewId="0"/>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311</v>
      </c>
      <c r="O1" s="56" t="s">
        <v>14</v>
      </c>
      <c r="P1" s="56" t="s">
        <v>15</v>
      </c>
      <c r="Q1" s="3" t="s">
        <v>16</v>
      </c>
      <c r="R1" s="56" t="s">
        <v>17</v>
      </c>
      <c r="S1" s="56" t="s">
        <v>18</v>
      </c>
      <c r="T1" s="3" t="s">
        <v>19</v>
      </c>
      <c r="U1" s="58" t="s">
        <v>312</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236</v>
      </c>
      <c r="C2" s="62">
        <v>2019</v>
      </c>
      <c r="D2" s="135" t="s">
        <v>167</v>
      </c>
      <c r="E2" s="53" t="s">
        <v>313</v>
      </c>
      <c r="F2" s="53" t="s">
        <v>314</v>
      </c>
      <c r="G2" s="53" t="s">
        <v>36</v>
      </c>
      <c r="H2" s="53" t="s">
        <v>164</v>
      </c>
      <c r="I2" s="53" t="s">
        <v>159</v>
      </c>
      <c r="J2" s="53" t="s">
        <v>38</v>
      </c>
      <c r="K2" s="53" t="s">
        <v>161</v>
      </c>
      <c r="L2" s="53">
        <v>1</v>
      </c>
      <c r="N2" s="53">
        <v>5</v>
      </c>
      <c r="O2" s="53">
        <v>0.56999999999999995</v>
      </c>
      <c r="P2" s="53">
        <v>0.46</v>
      </c>
      <c r="Q2" s="74">
        <f>IF(OR(O2="",P2=""),"",AVERAGE(O2,P2))</f>
        <v>0.51500000000000001</v>
      </c>
      <c r="R2" s="53">
        <v>14.2</v>
      </c>
      <c r="S2" s="53">
        <v>87</v>
      </c>
      <c r="T2" s="16">
        <f t="shared" ref="T2:T52" si="0">IF(H2="","",IF(OR(H2="GREEN",H2="GK"),IF(S2&gt;=$AX$2,VLOOKUP(S2,$AX$2:$AY$12,2,1),""),IF(S2&gt;=$AZ$2,VLOOKUP(S2,$AZ$2:$BA$12,2,1),"")))</f>
        <v>36</v>
      </c>
      <c r="U2" s="53">
        <v>348</v>
      </c>
      <c r="V2" s="16">
        <f t="shared" ref="V2:V52" si="1">IF(J2="","",IF(OR(J2="GREEN",J2="GK"),IF(U2&gt;=$AX$2,VLOOKUP(U2,$AX$2:$AY$12,2,1),""),IF(U2&gt;=$AZ$2,VLOOKUP(U2,$AZ$2:$BA$12,2,1),"")))</f>
        <v>25</v>
      </c>
      <c r="W2" s="53">
        <v>2</v>
      </c>
      <c r="X2" s="53" t="s">
        <v>46</v>
      </c>
      <c r="Y2" s="53" t="s">
        <v>84</v>
      </c>
      <c r="Z2" s="53" t="s">
        <v>90</v>
      </c>
      <c r="AA2" s="53" t="s">
        <v>315</v>
      </c>
      <c r="AB2" s="53" t="s">
        <v>316</v>
      </c>
      <c r="AE2" s="64" t="s">
        <v>35</v>
      </c>
      <c r="AG2" s="136" t="s">
        <v>317</v>
      </c>
      <c r="AH2" s="137" t="s">
        <v>318</v>
      </c>
      <c r="AJ2" s="67" t="s">
        <v>36</v>
      </c>
      <c r="AL2" s="67" t="s">
        <v>127</v>
      </c>
      <c r="AN2" s="67" t="s">
        <v>319</v>
      </c>
      <c r="AP2" s="67" t="s">
        <v>38</v>
      </c>
      <c r="AR2" s="67" t="s">
        <v>120</v>
      </c>
      <c r="AT2" s="67" t="s">
        <v>39</v>
      </c>
      <c r="AV2" s="23" t="s">
        <v>55</v>
      </c>
      <c r="AX2" s="68">
        <v>1</v>
      </c>
      <c r="AY2" s="69">
        <v>50</v>
      </c>
      <c r="AZ2" s="69">
        <v>1</v>
      </c>
      <c r="BA2" s="70">
        <v>50</v>
      </c>
    </row>
    <row r="3" spans="1:53" x14ac:dyDescent="0.15">
      <c r="A3" s="53" t="s">
        <v>59</v>
      </c>
      <c r="B3" s="53" t="s">
        <v>236</v>
      </c>
      <c r="C3" s="62">
        <v>2019</v>
      </c>
      <c r="D3" s="135" t="s">
        <v>167</v>
      </c>
      <c r="E3" s="53" t="s">
        <v>313</v>
      </c>
      <c r="F3" s="53" t="s">
        <v>314</v>
      </c>
      <c r="G3" s="53" t="s">
        <v>36</v>
      </c>
      <c r="H3" s="53" t="s">
        <v>164</v>
      </c>
      <c r="I3" s="53" t="s">
        <v>159</v>
      </c>
      <c r="J3" s="53" t="s">
        <v>38</v>
      </c>
      <c r="K3" s="53" t="s">
        <v>161</v>
      </c>
      <c r="L3" s="53">
        <v>2</v>
      </c>
      <c r="N3" s="53">
        <v>5</v>
      </c>
      <c r="O3" s="53">
        <v>0.25</v>
      </c>
      <c r="P3" s="53">
        <v>0.32</v>
      </c>
      <c r="Q3" s="74">
        <f t="shared" ref="Q3:Q52" si="2">IF(OR(O3="",P3=""),"",AVERAGE(O3,P3))</f>
        <v>0.28500000000000003</v>
      </c>
      <c r="R3" s="53">
        <v>14.3</v>
      </c>
      <c r="S3" s="53">
        <v>89</v>
      </c>
      <c r="T3" s="16">
        <f t="shared" si="0"/>
        <v>36</v>
      </c>
      <c r="U3" s="53">
        <v>348</v>
      </c>
      <c r="V3" s="16">
        <f t="shared" si="1"/>
        <v>25</v>
      </c>
      <c r="W3" s="53">
        <v>2</v>
      </c>
      <c r="X3" s="53" t="s">
        <v>46</v>
      </c>
      <c r="Y3" s="53" t="s">
        <v>84</v>
      </c>
      <c r="Z3" s="53" t="s">
        <v>90</v>
      </c>
      <c r="AA3" s="53" t="s">
        <v>315</v>
      </c>
      <c r="AB3" s="53" t="s">
        <v>316</v>
      </c>
      <c r="AE3" s="22" t="s">
        <v>41</v>
      </c>
      <c r="AG3" s="136" t="s">
        <v>320</v>
      </c>
      <c r="AH3" s="137" t="s">
        <v>314</v>
      </c>
      <c r="AJ3" s="23" t="s">
        <v>42</v>
      </c>
      <c r="AL3" s="23" t="s">
        <v>128</v>
      </c>
      <c r="AN3" s="23" t="s">
        <v>43</v>
      </c>
      <c r="AP3" s="23" t="s">
        <v>44</v>
      </c>
      <c r="AR3" s="23" t="s">
        <v>45</v>
      </c>
      <c r="AT3" s="23" t="s">
        <v>46</v>
      </c>
      <c r="AV3" s="23" t="s">
        <v>321</v>
      </c>
      <c r="AX3" s="24">
        <v>72</v>
      </c>
      <c r="AY3" s="25">
        <v>46</v>
      </c>
      <c r="AZ3" s="25">
        <v>71</v>
      </c>
      <c r="BA3" s="26">
        <v>42</v>
      </c>
    </row>
    <row r="4" spans="1:53" x14ac:dyDescent="0.15">
      <c r="A4" s="53" t="s">
        <v>59</v>
      </c>
      <c r="B4" s="53" t="s">
        <v>236</v>
      </c>
      <c r="C4" s="62">
        <v>2019</v>
      </c>
      <c r="D4" s="135" t="s">
        <v>167</v>
      </c>
      <c r="E4" s="53" t="s">
        <v>313</v>
      </c>
      <c r="F4" s="53" t="s">
        <v>314</v>
      </c>
      <c r="G4" s="53" t="s">
        <v>36</v>
      </c>
      <c r="H4" s="53" t="s">
        <v>164</v>
      </c>
      <c r="I4" s="53" t="s">
        <v>322</v>
      </c>
      <c r="J4" s="53" t="s">
        <v>38</v>
      </c>
      <c r="K4" s="53" t="s">
        <v>161</v>
      </c>
      <c r="L4" s="53">
        <v>3</v>
      </c>
      <c r="N4" s="53">
        <v>5</v>
      </c>
      <c r="O4" s="53">
        <v>0.37</v>
      </c>
      <c r="P4" s="53">
        <v>0.35</v>
      </c>
      <c r="Q4" s="74">
        <f t="shared" si="2"/>
        <v>0.36</v>
      </c>
      <c r="R4" s="53">
        <v>14.1</v>
      </c>
      <c r="S4" s="53">
        <v>94</v>
      </c>
      <c r="T4" s="16">
        <f t="shared" si="0"/>
        <v>36</v>
      </c>
      <c r="U4" s="53">
        <v>348</v>
      </c>
      <c r="V4" s="16">
        <f t="shared" si="1"/>
        <v>25</v>
      </c>
      <c r="W4" s="53">
        <v>2</v>
      </c>
      <c r="X4" s="53" t="s">
        <v>46</v>
      </c>
      <c r="Y4" s="53" t="s">
        <v>84</v>
      </c>
      <c r="Z4" s="53" t="s">
        <v>90</v>
      </c>
      <c r="AA4" s="53" t="s">
        <v>315</v>
      </c>
      <c r="AB4" s="53" t="s">
        <v>316</v>
      </c>
      <c r="AE4" s="22" t="s">
        <v>34</v>
      </c>
      <c r="AG4" s="136" t="s">
        <v>323</v>
      </c>
      <c r="AH4" s="137" t="s">
        <v>324</v>
      </c>
      <c r="AJ4" s="27" t="s">
        <v>48</v>
      </c>
      <c r="AL4" s="27" t="s">
        <v>129</v>
      </c>
      <c r="AN4" s="28" t="s">
        <v>49</v>
      </c>
      <c r="AP4" s="23" t="s">
        <v>93</v>
      </c>
      <c r="AR4" s="23" t="s">
        <v>325</v>
      </c>
      <c r="AT4" s="28"/>
      <c r="AV4" s="23" t="s">
        <v>326</v>
      </c>
      <c r="AX4" s="24">
        <v>75</v>
      </c>
      <c r="AY4" s="25">
        <v>42</v>
      </c>
      <c r="AZ4" s="25">
        <v>76</v>
      </c>
      <c r="BA4" s="26">
        <v>39</v>
      </c>
    </row>
    <row r="5" spans="1:53" x14ac:dyDescent="0.15">
      <c r="A5" s="53" t="s">
        <v>59</v>
      </c>
      <c r="B5" s="53" t="s">
        <v>236</v>
      </c>
      <c r="C5" s="62">
        <v>2019</v>
      </c>
      <c r="D5" s="135" t="s">
        <v>167</v>
      </c>
      <c r="E5" s="53" t="s">
        <v>313</v>
      </c>
      <c r="F5" s="53" t="s">
        <v>314</v>
      </c>
      <c r="G5" s="53" t="s">
        <v>36</v>
      </c>
      <c r="H5" s="53" t="s">
        <v>168</v>
      </c>
      <c r="I5" s="53" t="s">
        <v>159</v>
      </c>
      <c r="J5" s="53" t="s">
        <v>38</v>
      </c>
      <c r="K5" s="53" t="s">
        <v>327</v>
      </c>
      <c r="L5" s="53">
        <v>1</v>
      </c>
      <c r="N5" s="53">
        <v>3</v>
      </c>
      <c r="O5" s="53">
        <v>0.62</v>
      </c>
      <c r="P5" s="53">
        <v>0.57999999999999996</v>
      </c>
      <c r="Q5" s="74">
        <f t="shared" si="2"/>
        <v>0.6</v>
      </c>
      <c r="R5" s="53">
        <v>15.4</v>
      </c>
      <c r="S5" s="53">
        <v>131</v>
      </c>
      <c r="T5" s="16">
        <f t="shared" si="0"/>
        <v>27</v>
      </c>
      <c r="U5" s="53">
        <v>480</v>
      </c>
      <c r="V5" s="16">
        <f t="shared" si="1"/>
        <v>25</v>
      </c>
      <c r="W5" s="53">
        <v>2</v>
      </c>
      <c r="X5" s="53" t="s">
        <v>46</v>
      </c>
      <c r="Y5" s="53" t="s">
        <v>84</v>
      </c>
      <c r="Z5" s="53" t="s">
        <v>90</v>
      </c>
      <c r="AA5" s="53" t="s">
        <v>315</v>
      </c>
      <c r="AB5" s="53" t="s">
        <v>316</v>
      </c>
      <c r="AE5" s="22" t="s">
        <v>51</v>
      </c>
      <c r="AG5" s="136" t="s">
        <v>328</v>
      </c>
      <c r="AH5" s="137" t="s">
        <v>329</v>
      </c>
      <c r="AJ5" s="28"/>
      <c r="AL5" s="73" t="s">
        <v>66</v>
      </c>
      <c r="AN5" s="73" t="s">
        <v>52</v>
      </c>
      <c r="AP5" s="23" t="s">
        <v>250</v>
      </c>
      <c r="AR5" s="23" t="s">
        <v>54</v>
      </c>
      <c r="AV5" s="23" t="s">
        <v>330</v>
      </c>
      <c r="AX5" s="24">
        <v>84</v>
      </c>
      <c r="AY5" s="25">
        <v>39</v>
      </c>
      <c r="AZ5" s="25">
        <v>84</v>
      </c>
      <c r="BA5" s="26">
        <v>36</v>
      </c>
    </row>
    <row r="6" spans="1:53" x14ac:dyDescent="0.15">
      <c r="A6" s="53" t="s">
        <v>59</v>
      </c>
      <c r="B6" s="53" t="s">
        <v>236</v>
      </c>
      <c r="C6" s="62">
        <v>2019</v>
      </c>
      <c r="D6" s="135" t="s">
        <v>167</v>
      </c>
      <c r="E6" s="53" t="s">
        <v>313</v>
      </c>
      <c r="F6" s="53" t="s">
        <v>314</v>
      </c>
      <c r="G6" s="53" t="s">
        <v>36</v>
      </c>
      <c r="H6" s="53" t="s">
        <v>168</v>
      </c>
      <c r="I6" s="53" t="s">
        <v>159</v>
      </c>
      <c r="J6" s="53" t="s">
        <v>38</v>
      </c>
      <c r="K6" s="53" t="s">
        <v>327</v>
      </c>
      <c r="L6" s="53">
        <v>2</v>
      </c>
      <c r="N6" s="53">
        <v>3</v>
      </c>
      <c r="O6" s="53">
        <v>0.66</v>
      </c>
      <c r="P6" s="53">
        <v>0.6</v>
      </c>
      <c r="Q6" s="74">
        <f t="shared" si="2"/>
        <v>0.63</v>
      </c>
      <c r="R6" s="53">
        <v>14.3</v>
      </c>
      <c r="S6" s="53">
        <v>134</v>
      </c>
      <c r="T6" s="16">
        <f t="shared" si="0"/>
        <v>27</v>
      </c>
      <c r="U6" s="53">
        <v>480</v>
      </c>
      <c r="V6" s="16">
        <f t="shared" si="1"/>
        <v>25</v>
      </c>
      <c r="W6" s="53">
        <v>2</v>
      </c>
      <c r="X6" s="53" t="s">
        <v>46</v>
      </c>
      <c r="Y6" s="53" t="s">
        <v>84</v>
      </c>
      <c r="Z6" s="53" t="s">
        <v>90</v>
      </c>
      <c r="AA6" s="53" t="s">
        <v>315</v>
      </c>
      <c r="AB6" s="53" t="s">
        <v>316</v>
      </c>
      <c r="AE6" s="22" t="s">
        <v>56</v>
      </c>
      <c r="AG6" s="136" t="s">
        <v>331</v>
      </c>
      <c r="AH6" s="137" t="s">
        <v>332</v>
      </c>
      <c r="AL6" s="73" t="s">
        <v>99</v>
      </c>
      <c r="AN6" s="73" t="s">
        <v>57</v>
      </c>
      <c r="AP6" s="23" t="s">
        <v>53</v>
      </c>
      <c r="AR6" s="23" t="s">
        <v>327</v>
      </c>
      <c r="AV6" s="23" t="s">
        <v>60</v>
      </c>
      <c r="AX6" s="24">
        <v>97</v>
      </c>
      <c r="AY6" s="25">
        <v>36</v>
      </c>
      <c r="AZ6" s="25">
        <v>99</v>
      </c>
      <c r="BA6" s="26">
        <v>33</v>
      </c>
    </row>
    <row r="7" spans="1:53" x14ac:dyDescent="0.15">
      <c r="A7" s="53" t="s">
        <v>59</v>
      </c>
      <c r="B7" s="53" t="s">
        <v>236</v>
      </c>
      <c r="C7" s="62">
        <v>2019</v>
      </c>
      <c r="D7" s="135" t="s">
        <v>167</v>
      </c>
      <c r="E7" s="53" t="s">
        <v>313</v>
      </c>
      <c r="F7" s="53" t="s">
        <v>314</v>
      </c>
      <c r="G7" s="53" t="s">
        <v>36</v>
      </c>
      <c r="H7" s="53" t="s">
        <v>168</v>
      </c>
      <c r="I7" s="53" t="s">
        <v>159</v>
      </c>
      <c r="J7" s="53" t="s">
        <v>38</v>
      </c>
      <c r="K7" s="53" t="s">
        <v>327</v>
      </c>
      <c r="L7" s="53">
        <v>3</v>
      </c>
      <c r="N7" s="53">
        <v>3</v>
      </c>
      <c r="O7" s="53">
        <v>0.7</v>
      </c>
      <c r="P7" s="53">
        <v>0.62</v>
      </c>
      <c r="Q7" s="74">
        <f t="shared" si="2"/>
        <v>0.65999999999999992</v>
      </c>
      <c r="R7" s="53">
        <v>14.6</v>
      </c>
      <c r="S7" s="53">
        <v>133</v>
      </c>
      <c r="T7" s="16">
        <f t="shared" si="0"/>
        <v>27</v>
      </c>
      <c r="U7" s="53">
        <v>480</v>
      </c>
      <c r="V7" s="16">
        <f t="shared" si="1"/>
        <v>25</v>
      </c>
      <c r="W7" s="53">
        <v>2</v>
      </c>
      <c r="X7" s="53" t="s">
        <v>46</v>
      </c>
      <c r="Y7" s="53" t="s">
        <v>84</v>
      </c>
      <c r="Z7" s="53" t="s">
        <v>90</v>
      </c>
      <c r="AA7" s="53" t="s">
        <v>315</v>
      </c>
      <c r="AB7" s="53" t="s">
        <v>316</v>
      </c>
      <c r="AE7" s="22" t="s">
        <v>61</v>
      </c>
      <c r="AG7" s="136" t="s">
        <v>333</v>
      </c>
      <c r="AH7" s="137" t="s">
        <v>334</v>
      </c>
      <c r="AL7" s="34" t="s">
        <v>109</v>
      </c>
      <c r="AP7" s="23" t="s">
        <v>58</v>
      </c>
      <c r="AR7" s="23" t="s">
        <v>335</v>
      </c>
      <c r="AV7" s="23" t="s">
        <v>64</v>
      </c>
      <c r="AX7" s="24">
        <v>109</v>
      </c>
      <c r="AY7" s="25">
        <v>33</v>
      </c>
      <c r="AZ7" s="25">
        <v>113</v>
      </c>
      <c r="BA7" s="26">
        <v>30</v>
      </c>
    </row>
    <row r="8" spans="1:53" x14ac:dyDescent="0.15">
      <c r="A8" s="53" t="s">
        <v>59</v>
      </c>
      <c r="B8" s="53" t="s">
        <v>236</v>
      </c>
      <c r="C8" s="62">
        <v>2019</v>
      </c>
      <c r="D8" s="135" t="s">
        <v>167</v>
      </c>
      <c r="E8" s="53" t="s">
        <v>317</v>
      </c>
      <c r="F8" s="53" t="s">
        <v>318</v>
      </c>
      <c r="G8" s="53" t="s">
        <v>36</v>
      </c>
      <c r="H8" s="53" t="s">
        <v>164</v>
      </c>
      <c r="I8" s="53" t="s">
        <v>159</v>
      </c>
      <c r="J8" s="53" t="s">
        <v>38</v>
      </c>
      <c r="K8" s="53" t="s">
        <v>161</v>
      </c>
      <c r="L8" s="53">
        <v>1</v>
      </c>
      <c r="N8" s="53">
        <v>4</v>
      </c>
      <c r="O8" s="53">
        <v>0.75</v>
      </c>
      <c r="P8" s="53">
        <v>0.73</v>
      </c>
      <c r="Q8" s="74">
        <f t="shared" si="2"/>
        <v>0.74</v>
      </c>
      <c r="R8" s="53">
        <v>13.9</v>
      </c>
      <c r="S8" s="53">
        <v>89</v>
      </c>
      <c r="T8" s="16">
        <f t="shared" si="0"/>
        <v>36</v>
      </c>
      <c r="U8" s="53">
        <v>297</v>
      </c>
      <c r="V8" s="16">
        <f t="shared" si="1"/>
        <v>25</v>
      </c>
      <c r="W8" s="53">
        <v>6</v>
      </c>
      <c r="X8" s="53" t="s">
        <v>46</v>
      </c>
      <c r="Y8" s="53" t="s">
        <v>84</v>
      </c>
      <c r="Z8" s="53" t="s">
        <v>90</v>
      </c>
      <c r="AA8" s="53" t="s">
        <v>40</v>
      </c>
      <c r="AB8" s="53" t="s">
        <v>316</v>
      </c>
      <c r="AE8" s="22" t="s">
        <v>51</v>
      </c>
      <c r="AG8" s="136" t="s">
        <v>328</v>
      </c>
      <c r="AH8" s="137" t="s">
        <v>329</v>
      </c>
      <c r="AJ8" s="28"/>
      <c r="AL8" s="73" t="s">
        <v>66</v>
      </c>
      <c r="AN8" s="73" t="s">
        <v>52</v>
      </c>
      <c r="AP8" s="23" t="s">
        <v>250</v>
      </c>
      <c r="AR8" s="23" t="s">
        <v>54</v>
      </c>
      <c r="AV8" s="23" t="s">
        <v>330</v>
      </c>
      <c r="AX8" s="24">
        <v>84</v>
      </c>
      <c r="AY8" s="25">
        <v>39</v>
      </c>
      <c r="AZ8" s="25">
        <v>84</v>
      </c>
      <c r="BA8" s="26">
        <v>36</v>
      </c>
    </row>
    <row r="9" spans="1:53" x14ac:dyDescent="0.15">
      <c r="A9" s="53" t="s">
        <v>59</v>
      </c>
      <c r="B9" s="53" t="s">
        <v>236</v>
      </c>
      <c r="C9" s="62">
        <v>2019</v>
      </c>
      <c r="D9" s="135" t="s">
        <v>167</v>
      </c>
      <c r="E9" s="53" t="s">
        <v>317</v>
      </c>
      <c r="F9" s="53" t="s">
        <v>318</v>
      </c>
      <c r="G9" s="53" t="s">
        <v>36</v>
      </c>
      <c r="H9" s="53" t="s">
        <v>164</v>
      </c>
      <c r="I9" s="53" t="s">
        <v>159</v>
      </c>
      <c r="J9" s="53" t="s">
        <v>38</v>
      </c>
      <c r="K9" s="53" t="s">
        <v>161</v>
      </c>
      <c r="L9" s="53">
        <v>2</v>
      </c>
      <c r="N9" s="53">
        <v>4</v>
      </c>
      <c r="O9" s="53">
        <v>0.76</v>
      </c>
      <c r="P9" s="53">
        <v>0.78</v>
      </c>
      <c r="Q9" s="74">
        <f t="shared" si="2"/>
        <v>0.77</v>
      </c>
      <c r="R9" s="53">
        <v>15</v>
      </c>
      <c r="S9" s="53">
        <v>90</v>
      </c>
      <c r="T9" s="16">
        <f t="shared" si="0"/>
        <v>36</v>
      </c>
      <c r="U9" s="53">
        <v>297</v>
      </c>
      <c r="V9" s="16">
        <f t="shared" si="1"/>
        <v>25</v>
      </c>
      <c r="W9" s="53">
        <v>6</v>
      </c>
      <c r="X9" s="53" t="s">
        <v>46</v>
      </c>
      <c r="Y9" s="53" t="s">
        <v>84</v>
      </c>
      <c r="Z9" s="53" t="s">
        <v>90</v>
      </c>
      <c r="AA9" s="53" t="s">
        <v>40</v>
      </c>
      <c r="AB9" s="53" t="s">
        <v>316</v>
      </c>
      <c r="AE9" s="22" t="s">
        <v>56</v>
      </c>
      <c r="AG9" s="136" t="s">
        <v>331</v>
      </c>
      <c r="AH9" s="137" t="s">
        <v>332</v>
      </c>
      <c r="AL9" s="73" t="s">
        <v>99</v>
      </c>
      <c r="AN9" s="73" t="s">
        <v>57</v>
      </c>
      <c r="AP9" s="23" t="s">
        <v>53</v>
      </c>
      <c r="AR9" s="23" t="s">
        <v>327</v>
      </c>
      <c r="AV9" s="23" t="s">
        <v>60</v>
      </c>
      <c r="AX9" s="24">
        <v>97</v>
      </c>
      <c r="AY9" s="25">
        <v>36</v>
      </c>
      <c r="AZ9" s="25">
        <v>99</v>
      </c>
      <c r="BA9" s="26">
        <v>33</v>
      </c>
    </row>
    <row r="10" spans="1:53" x14ac:dyDescent="0.15">
      <c r="A10" s="53" t="s">
        <v>59</v>
      </c>
      <c r="B10" s="53" t="s">
        <v>236</v>
      </c>
      <c r="C10" s="62">
        <v>2019</v>
      </c>
      <c r="D10" s="135" t="s">
        <v>167</v>
      </c>
      <c r="E10" s="53" t="s">
        <v>317</v>
      </c>
      <c r="F10" s="53" t="s">
        <v>318</v>
      </c>
      <c r="G10" s="53" t="s">
        <v>36</v>
      </c>
      <c r="H10" s="53" t="s">
        <v>164</v>
      </c>
      <c r="I10" s="53" t="s">
        <v>159</v>
      </c>
      <c r="J10" s="53" t="s">
        <v>38</v>
      </c>
      <c r="K10" s="53" t="s">
        <v>161</v>
      </c>
      <c r="L10" s="53">
        <v>3</v>
      </c>
      <c r="N10" s="53">
        <v>4</v>
      </c>
      <c r="O10" s="53">
        <v>0.72</v>
      </c>
      <c r="P10" s="53">
        <v>0.77</v>
      </c>
      <c r="Q10" s="74">
        <f t="shared" si="2"/>
        <v>0.745</v>
      </c>
      <c r="R10" s="53">
        <v>14.7</v>
      </c>
      <c r="S10" s="53">
        <v>90</v>
      </c>
      <c r="T10" s="16">
        <f t="shared" si="0"/>
        <v>36</v>
      </c>
      <c r="U10" s="53">
        <v>297</v>
      </c>
      <c r="V10" s="16">
        <f t="shared" si="1"/>
        <v>25</v>
      </c>
      <c r="W10" s="53">
        <v>6</v>
      </c>
      <c r="X10" s="53" t="s">
        <v>46</v>
      </c>
      <c r="Y10" s="53" t="s">
        <v>84</v>
      </c>
      <c r="Z10" s="53" t="s">
        <v>90</v>
      </c>
      <c r="AA10" s="53" t="s">
        <v>40</v>
      </c>
      <c r="AB10" s="53" t="s">
        <v>316</v>
      </c>
      <c r="AE10" s="22" t="s">
        <v>61</v>
      </c>
      <c r="AG10" s="136" t="s">
        <v>333</v>
      </c>
      <c r="AH10" s="137" t="s">
        <v>334</v>
      </c>
      <c r="AL10" s="34" t="s">
        <v>109</v>
      </c>
      <c r="AP10" s="23" t="s">
        <v>58</v>
      </c>
      <c r="AR10" s="23" t="s">
        <v>335</v>
      </c>
      <c r="AV10" s="23" t="s">
        <v>64</v>
      </c>
      <c r="AX10" s="24">
        <v>109</v>
      </c>
      <c r="AY10" s="25">
        <v>33</v>
      </c>
      <c r="AZ10" s="25">
        <v>113</v>
      </c>
      <c r="BA10" s="26">
        <v>30</v>
      </c>
    </row>
    <row r="11" spans="1:53" x14ac:dyDescent="0.15">
      <c r="A11" s="53" t="s">
        <v>59</v>
      </c>
      <c r="B11" s="53" t="s">
        <v>236</v>
      </c>
      <c r="C11" s="62">
        <v>2019</v>
      </c>
      <c r="D11" s="135" t="s">
        <v>167</v>
      </c>
      <c r="E11" s="53" t="s">
        <v>328</v>
      </c>
      <c r="F11" s="53" t="s">
        <v>329</v>
      </c>
      <c r="G11" s="53" t="s">
        <v>36</v>
      </c>
      <c r="H11" s="53" t="s">
        <v>164</v>
      </c>
      <c r="I11" s="53" t="s">
        <v>159</v>
      </c>
      <c r="J11" s="53" t="s">
        <v>38</v>
      </c>
      <c r="K11" s="53" t="s">
        <v>161</v>
      </c>
      <c r="L11" s="53">
        <v>1</v>
      </c>
      <c r="N11" s="53">
        <v>4</v>
      </c>
      <c r="O11" s="53">
        <v>0.24</v>
      </c>
      <c r="P11" s="53">
        <v>0.26</v>
      </c>
      <c r="Q11" s="74">
        <f t="shared" si="2"/>
        <v>0.25</v>
      </c>
      <c r="R11" s="53">
        <v>16.2</v>
      </c>
      <c r="S11" s="53">
        <v>106</v>
      </c>
      <c r="T11" s="16">
        <f t="shared" si="0"/>
        <v>33</v>
      </c>
      <c r="U11" s="53">
        <v>399</v>
      </c>
      <c r="V11" s="16">
        <f t="shared" si="1"/>
        <v>25</v>
      </c>
      <c r="W11" s="53">
        <v>6</v>
      </c>
      <c r="X11" s="53" t="s">
        <v>39</v>
      </c>
      <c r="Y11" s="53" t="s">
        <v>84</v>
      </c>
      <c r="Z11" s="53" t="s">
        <v>90</v>
      </c>
      <c r="AA11" s="53" t="s">
        <v>69</v>
      </c>
      <c r="AB11" s="53" t="s">
        <v>316</v>
      </c>
      <c r="AE11" s="22" t="s">
        <v>59</v>
      </c>
      <c r="AG11" s="138" t="s">
        <v>162</v>
      </c>
      <c r="AH11" s="137" t="s">
        <v>336</v>
      </c>
      <c r="AL11" s="34" t="s">
        <v>134</v>
      </c>
      <c r="AP11" s="23" t="s">
        <v>62</v>
      </c>
      <c r="AR11" s="23" t="s">
        <v>81</v>
      </c>
      <c r="AV11" s="23" t="s">
        <v>97</v>
      </c>
      <c r="AX11" s="24">
        <v>119</v>
      </c>
      <c r="AY11" s="25">
        <v>30</v>
      </c>
      <c r="AZ11" s="25">
        <v>121</v>
      </c>
      <c r="BA11" s="26">
        <v>27</v>
      </c>
    </row>
    <row r="12" spans="1:53" x14ac:dyDescent="0.15">
      <c r="A12" s="53" t="s">
        <v>59</v>
      </c>
      <c r="B12" s="53" t="s">
        <v>236</v>
      </c>
      <c r="C12" s="62">
        <v>2019</v>
      </c>
      <c r="D12" s="135" t="s">
        <v>167</v>
      </c>
      <c r="E12" s="53" t="s">
        <v>328</v>
      </c>
      <c r="F12" s="53" t="s">
        <v>329</v>
      </c>
      <c r="G12" s="53" t="s">
        <v>36</v>
      </c>
      <c r="H12" s="53" t="s">
        <v>164</v>
      </c>
      <c r="I12" s="53" t="s">
        <v>159</v>
      </c>
      <c r="J12" s="53" t="s">
        <v>38</v>
      </c>
      <c r="K12" s="53" t="s">
        <v>161</v>
      </c>
      <c r="L12" s="53">
        <v>2</v>
      </c>
      <c r="N12" s="53">
        <v>4</v>
      </c>
      <c r="O12" s="53">
        <v>0.35</v>
      </c>
      <c r="P12" s="53">
        <v>0.28000000000000003</v>
      </c>
      <c r="Q12" s="74">
        <f t="shared" si="2"/>
        <v>0.315</v>
      </c>
      <c r="R12" s="53">
        <v>16</v>
      </c>
      <c r="S12" s="53">
        <v>99</v>
      </c>
      <c r="T12" s="16">
        <f t="shared" si="0"/>
        <v>33</v>
      </c>
      <c r="U12" s="53">
        <v>399</v>
      </c>
      <c r="V12" s="16">
        <f t="shared" si="1"/>
        <v>25</v>
      </c>
      <c r="W12" s="53">
        <v>6</v>
      </c>
      <c r="X12" s="53" t="s">
        <v>39</v>
      </c>
      <c r="Y12" s="53" t="s">
        <v>84</v>
      </c>
      <c r="Z12" s="53" t="s">
        <v>90</v>
      </c>
      <c r="AA12" s="53" t="s">
        <v>69</v>
      </c>
      <c r="AB12" s="53" t="s">
        <v>316</v>
      </c>
      <c r="AE12" s="22" t="s">
        <v>98</v>
      </c>
      <c r="AG12" s="138" t="s">
        <v>337</v>
      </c>
      <c r="AH12" s="137" t="s">
        <v>336</v>
      </c>
      <c r="AL12" s="73"/>
      <c r="AP12" s="23" t="s">
        <v>338</v>
      </c>
      <c r="AR12" s="23" t="s">
        <v>89</v>
      </c>
      <c r="AV12" s="23" t="s">
        <v>102</v>
      </c>
      <c r="AX12" s="24">
        <v>128</v>
      </c>
      <c r="AY12" s="25">
        <v>27</v>
      </c>
      <c r="AZ12" s="25">
        <v>129</v>
      </c>
      <c r="BA12" s="26">
        <v>25</v>
      </c>
    </row>
    <row r="13" spans="1:53" x14ac:dyDescent="0.15">
      <c r="A13" s="53" t="s">
        <v>59</v>
      </c>
      <c r="B13" s="53" t="s">
        <v>236</v>
      </c>
      <c r="C13" s="62">
        <v>2019</v>
      </c>
      <c r="D13" s="135" t="s">
        <v>167</v>
      </c>
      <c r="E13" s="53" t="s">
        <v>328</v>
      </c>
      <c r="F13" s="53" t="s">
        <v>329</v>
      </c>
      <c r="G13" s="53" t="s">
        <v>36</v>
      </c>
      <c r="H13" s="53" t="s">
        <v>164</v>
      </c>
      <c r="I13" s="53" t="s">
        <v>159</v>
      </c>
      <c r="J13" s="53" t="s">
        <v>38</v>
      </c>
      <c r="K13" s="53" t="s">
        <v>161</v>
      </c>
      <c r="L13" s="53">
        <v>3</v>
      </c>
      <c r="N13" s="53">
        <v>4</v>
      </c>
      <c r="O13" s="53">
        <v>0.32</v>
      </c>
      <c r="P13" s="53">
        <v>0.3</v>
      </c>
      <c r="Q13" s="74">
        <f t="shared" si="2"/>
        <v>0.31</v>
      </c>
      <c r="R13" s="53">
        <v>16</v>
      </c>
      <c r="S13" s="53">
        <v>100</v>
      </c>
      <c r="T13" s="16">
        <f t="shared" si="0"/>
        <v>33</v>
      </c>
      <c r="U13" s="53">
        <v>399</v>
      </c>
      <c r="V13" s="16">
        <f t="shared" si="1"/>
        <v>25</v>
      </c>
      <c r="W13" s="53">
        <v>6</v>
      </c>
      <c r="X13" s="53" t="s">
        <v>39</v>
      </c>
      <c r="Y13" s="53" t="s">
        <v>84</v>
      </c>
      <c r="Z13" s="53" t="s">
        <v>90</v>
      </c>
      <c r="AA13" s="53" t="s">
        <v>69</v>
      </c>
      <c r="AB13" s="53" t="s">
        <v>316</v>
      </c>
      <c r="AE13" s="22" t="s">
        <v>103</v>
      </c>
      <c r="AG13" s="136" t="s">
        <v>339</v>
      </c>
      <c r="AH13" s="137" t="s">
        <v>329</v>
      </c>
      <c r="AL13" s="83"/>
      <c r="AP13" s="23" t="s">
        <v>100</v>
      </c>
      <c r="AR13" s="23" t="s">
        <v>123</v>
      </c>
      <c r="AV13" s="23" t="s">
        <v>106</v>
      </c>
      <c r="AX13" s="24">
        <v>138</v>
      </c>
      <c r="AY13" s="25">
        <v>25</v>
      </c>
      <c r="AZ13" s="25">
        <v>138</v>
      </c>
      <c r="BA13" s="26">
        <v>22</v>
      </c>
    </row>
    <row r="14" spans="1:53" x14ac:dyDescent="0.15">
      <c r="A14" s="53" t="s">
        <v>59</v>
      </c>
      <c r="B14" s="53" t="s">
        <v>236</v>
      </c>
      <c r="C14" s="62">
        <v>2019</v>
      </c>
      <c r="D14" s="135" t="s">
        <v>167</v>
      </c>
      <c r="E14" s="53" t="s">
        <v>339</v>
      </c>
      <c r="F14" s="53" t="s">
        <v>329</v>
      </c>
      <c r="G14" s="53" t="s">
        <v>36</v>
      </c>
      <c r="H14" s="53" t="s">
        <v>164</v>
      </c>
      <c r="I14" s="53" t="s">
        <v>159</v>
      </c>
      <c r="J14" s="53" t="s">
        <v>38</v>
      </c>
      <c r="K14" s="53" t="s">
        <v>161</v>
      </c>
      <c r="L14" s="53">
        <v>1</v>
      </c>
      <c r="N14" s="53">
        <v>4</v>
      </c>
      <c r="O14" s="53">
        <v>0.28999999999999998</v>
      </c>
      <c r="P14" s="53">
        <v>0.27</v>
      </c>
      <c r="Q14" s="74">
        <f t="shared" si="2"/>
        <v>0.28000000000000003</v>
      </c>
      <c r="R14" s="53">
        <v>15.1</v>
      </c>
      <c r="S14" s="53">
        <v>100</v>
      </c>
      <c r="T14" s="16">
        <f t="shared" si="0"/>
        <v>33</v>
      </c>
      <c r="U14" s="53">
        <v>429</v>
      </c>
      <c r="V14" s="16">
        <f t="shared" si="1"/>
        <v>25</v>
      </c>
      <c r="W14" s="53">
        <v>1</v>
      </c>
      <c r="X14" s="53" t="s">
        <v>46</v>
      </c>
      <c r="Y14" s="53" t="s">
        <v>84</v>
      </c>
      <c r="Z14" s="53" t="s">
        <v>90</v>
      </c>
      <c r="AA14" s="53" t="s">
        <v>315</v>
      </c>
      <c r="AB14" s="53" t="s">
        <v>316</v>
      </c>
      <c r="AE14" s="22" t="s">
        <v>65</v>
      </c>
      <c r="AG14" s="138" t="s">
        <v>340</v>
      </c>
      <c r="AH14" s="137" t="s">
        <v>341</v>
      </c>
      <c r="AL14" s="83"/>
      <c r="AP14" s="23" t="s">
        <v>342</v>
      </c>
      <c r="AR14" s="23" t="s">
        <v>343</v>
      </c>
      <c r="AV14" s="23" t="s">
        <v>344</v>
      </c>
      <c r="AX14" s="24">
        <v>151</v>
      </c>
      <c r="AY14" s="25">
        <v>22</v>
      </c>
      <c r="AZ14" s="25">
        <v>152</v>
      </c>
      <c r="BA14" s="26">
        <v>18</v>
      </c>
    </row>
    <row r="15" spans="1:53" x14ac:dyDescent="0.15">
      <c r="A15" s="53" t="s">
        <v>59</v>
      </c>
      <c r="B15" s="53" t="s">
        <v>236</v>
      </c>
      <c r="C15" s="62">
        <v>2019</v>
      </c>
      <c r="D15" s="135" t="s">
        <v>167</v>
      </c>
      <c r="E15" s="53" t="s">
        <v>339</v>
      </c>
      <c r="F15" s="53" t="s">
        <v>329</v>
      </c>
      <c r="G15" s="53" t="s">
        <v>36</v>
      </c>
      <c r="H15" s="53" t="s">
        <v>164</v>
      </c>
      <c r="I15" s="53" t="s">
        <v>159</v>
      </c>
      <c r="J15" s="53" t="s">
        <v>38</v>
      </c>
      <c r="K15" s="53" t="s">
        <v>161</v>
      </c>
      <c r="L15" s="53">
        <v>2</v>
      </c>
      <c r="N15" s="53">
        <v>4</v>
      </c>
      <c r="O15" s="53">
        <v>0.28000000000000003</v>
      </c>
      <c r="P15" s="53">
        <v>0.31</v>
      </c>
      <c r="Q15" s="74">
        <f t="shared" si="2"/>
        <v>0.29500000000000004</v>
      </c>
      <c r="R15" s="53">
        <v>14.7</v>
      </c>
      <c r="S15" s="53">
        <v>107</v>
      </c>
      <c r="T15" s="16">
        <f t="shared" si="0"/>
        <v>33</v>
      </c>
      <c r="U15" s="53">
        <v>429</v>
      </c>
      <c r="V15" s="16">
        <f t="shared" si="1"/>
        <v>25</v>
      </c>
      <c r="W15" s="53">
        <v>1</v>
      </c>
      <c r="X15" s="53" t="s">
        <v>46</v>
      </c>
      <c r="Y15" s="53" t="s">
        <v>84</v>
      </c>
      <c r="Z15" s="53" t="s">
        <v>90</v>
      </c>
      <c r="AA15" s="53" t="s">
        <v>315</v>
      </c>
      <c r="AB15" s="53" t="s">
        <v>316</v>
      </c>
      <c r="AE15" s="22" t="s">
        <v>70</v>
      </c>
      <c r="AG15" s="23"/>
      <c r="AH15" s="139"/>
      <c r="AL15" s="83"/>
      <c r="AP15" s="23" t="s">
        <v>67</v>
      </c>
      <c r="AR15" s="23" t="s">
        <v>124</v>
      </c>
      <c r="AV15" s="23" t="s">
        <v>72</v>
      </c>
      <c r="AX15" s="31">
        <v>180</v>
      </c>
      <c r="AY15" s="32">
        <v>18</v>
      </c>
      <c r="AZ15" s="32">
        <v>181</v>
      </c>
      <c r="BA15" s="33">
        <v>16</v>
      </c>
    </row>
    <row r="16" spans="1:53" x14ac:dyDescent="0.15">
      <c r="A16" s="53" t="s">
        <v>59</v>
      </c>
      <c r="B16" s="53" t="s">
        <v>236</v>
      </c>
      <c r="C16" s="62">
        <v>2019</v>
      </c>
      <c r="D16" s="135" t="s">
        <v>167</v>
      </c>
      <c r="E16" s="53" t="s">
        <v>339</v>
      </c>
      <c r="F16" s="53" t="s">
        <v>329</v>
      </c>
      <c r="G16" s="53" t="s">
        <v>36</v>
      </c>
      <c r="H16" s="53" t="s">
        <v>164</v>
      </c>
      <c r="I16" s="53" t="s">
        <v>159</v>
      </c>
      <c r="J16" s="53" t="s">
        <v>38</v>
      </c>
      <c r="K16" s="53" t="s">
        <v>161</v>
      </c>
      <c r="L16" s="53">
        <v>3</v>
      </c>
      <c r="N16" s="53">
        <v>4</v>
      </c>
      <c r="O16" s="53">
        <v>0.3</v>
      </c>
      <c r="P16" s="53">
        <v>0.28000000000000003</v>
      </c>
      <c r="Q16" s="74">
        <f t="shared" si="2"/>
        <v>0.29000000000000004</v>
      </c>
      <c r="R16" s="53">
        <v>14.4</v>
      </c>
      <c r="S16" s="53">
        <v>96</v>
      </c>
      <c r="T16" s="16">
        <f t="shared" si="0"/>
        <v>36</v>
      </c>
      <c r="U16" s="53">
        <v>429</v>
      </c>
      <c r="V16" s="16">
        <f t="shared" si="1"/>
        <v>25</v>
      </c>
      <c r="W16" s="53">
        <v>1</v>
      </c>
      <c r="X16" s="53" t="s">
        <v>46</v>
      </c>
      <c r="Y16" s="53" t="s">
        <v>84</v>
      </c>
      <c r="Z16" s="53" t="s">
        <v>90</v>
      </c>
      <c r="AA16" s="53" t="s">
        <v>315</v>
      </c>
      <c r="AB16" s="53" t="s">
        <v>316</v>
      </c>
      <c r="AE16" s="22" t="s">
        <v>73</v>
      </c>
      <c r="AG16" s="23"/>
      <c r="AH16" s="23"/>
      <c r="AP16" s="23" t="s">
        <v>71</v>
      </c>
      <c r="AR16" s="23" t="s">
        <v>103</v>
      </c>
      <c r="AV16" s="23" t="s">
        <v>75</v>
      </c>
    </row>
    <row r="17" spans="1:48" x14ac:dyDescent="0.15">
      <c r="A17" s="53" t="s">
        <v>59</v>
      </c>
      <c r="B17" s="53" t="s">
        <v>236</v>
      </c>
      <c r="C17" s="62">
        <v>2019</v>
      </c>
      <c r="D17" s="135" t="s">
        <v>167</v>
      </c>
      <c r="E17" s="53" t="s">
        <v>339</v>
      </c>
      <c r="F17" s="53" t="s">
        <v>329</v>
      </c>
      <c r="G17" s="53" t="s">
        <v>36</v>
      </c>
      <c r="H17" s="53" t="s">
        <v>168</v>
      </c>
      <c r="I17" s="53" t="s">
        <v>159</v>
      </c>
      <c r="J17" s="53" t="s">
        <v>38</v>
      </c>
      <c r="K17" s="53" t="s">
        <v>327</v>
      </c>
      <c r="L17" s="53">
        <v>1</v>
      </c>
      <c r="N17" s="53">
        <v>2</v>
      </c>
      <c r="O17" s="53">
        <v>0.69</v>
      </c>
      <c r="P17" s="53">
        <v>0.74</v>
      </c>
      <c r="Q17" s="74">
        <f t="shared" si="2"/>
        <v>0.71499999999999997</v>
      </c>
      <c r="R17" s="53">
        <v>15.2</v>
      </c>
      <c r="S17" s="53">
        <v>110</v>
      </c>
      <c r="T17" s="16">
        <f t="shared" si="0"/>
        <v>33</v>
      </c>
      <c r="U17" s="53">
        <v>321</v>
      </c>
      <c r="V17" s="16">
        <f t="shared" si="1"/>
        <v>25</v>
      </c>
      <c r="W17" s="53">
        <v>1</v>
      </c>
      <c r="X17" s="53" t="s">
        <v>46</v>
      </c>
      <c r="Y17" s="53" t="s">
        <v>84</v>
      </c>
      <c r="Z17" s="53" t="s">
        <v>90</v>
      </c>
      <c r="AA17" s="53" t="s">
        <v>315</v>
      </c>
      <c r="AB17" s="53" t="s">
        <v>316</v>
      </c>
      <c r="AE17" s="22" t="s">
        <v>76</v>
      </c>
      <c r="AG17" s="23"/>
      <c r="AH17" s="23"/>
      <c r="AP17" s="23" t="s">
        <v>345</v>
      </c>
      <c r="AR17" s="23" t="s">
        <v>125</v>
      </c>
      <c r="AV17" s="23" t="s">
        <v>78</v>
      </c>
    </row>
    <row r="18" spans="1:48" x14ac:dyDescent="0.15">
      <c r="A18" s="53" t="s">
        <v>59</v>
      </c>
      <c r="B18" s="53" t="s">
        <v>236</v>
      </c>
      <c r="C18" s="62">
        <v>2019</v>
      </c>
      <c r="D18" s="135" t="s">
        <v>167</v>
      </c>
      <c r="E18" s="53" t="s">
        <v>339</v>
      </c>
      <c r="F18" s="53" t="s">
        <v>329</v>
      </c>
      <c r="G18" s="53" t="s">
        <v>36</v>
      </c>
      <c r="H18" s="53" t="s">
        <v>168</v>
      </c>
      <c r="I18" s="53" t="s">
        <v>159</v>
      </c>
      <c r="J18" s="53" t="s">
        <v>38</v>
      </c>
      <c r="K18" s="53" t="s">
        <v>327</v>
      </c>
      <c r="L18" s="53">
        <v>2</v>
      </c>
      <c r="N18" s="53">
        <v>2</v>
      </c>
      <c r="O18" s="53">
        <v>0.71</v>
      </c>
      <c r="P18" s="53">
        <v>0.64</v>
      </c>
      <c r="Q18" s="74">
        <f t="shared" si="2"/>
        <v>0.67500000000000004</v>
      </c>
      <c r="R18" s="53">
        <v>15.2</v>
      </c>
      <c r="S18" s="53">
        <v>108</v>
      </c>
      <c r="T18" s="16">
        <f t="shared" si="0"/>
        <v>36</v>
      </c>
      <c r="U18" s="53">
        <v>321</v>
      </c>
      <c r="V18" s="16">
        <f t="shared" si="1"/>
        <v>25</v>
      </c>
      <c r="W18" s="53">
        <v>1</v>
      </c>
      <c r="X18" s="53" t="s">
        <v>46</v>
      </c>
      <c r="Y18" s="53" t="s">
        <v>84</v>
      </c>
      <c r="Z18" s="53" t="s">
        <v>90</v>
      </c>
      <c r="AA18" s="53" t="s">
        <v>315</v>
      </c>
      <c r="AB18" s="53" t="s">
        <v>316</v>
      </c>
      <c r="AE18" s="22" t="s">
        <v>79</v>
      </c>
      <c r="AG18" s="23"/>
      <c r="AH18" s="23"/>
      <c r="AP18" s="23" t="s">
        <v>346</v>
      </c>
      <c r="AR18" s="23" t="s">
        <v>94</v>
      </c>
      <c r="AV18" s="23" t="s">
        <v>107</v>
      </c>
    </row>
    <row r="19" spans="1:48" x14ac:dyDescent="0.15">
      <c r="A19" s="53" t="s">
        <v>59</v>
      </c>
      <c r="B19" s="53" t="s">
        <v>236</v>
      </c>
      <c r="C19" s="62">
        <v>2019</v>
      </c>
      <c r="D19" s="135" t="s">
        <v>167</v>
      </c>
      <c r="E19" s="53" t="s">
        <v>339</v>
      </c>
      <c r="F19" s="53" t="s">
        <v>329</v>
      </c>
      <c r="G19" s="53" t="s">
        <v>36</v>
      </c>
      <c r="H19" s="53" t="s">
        <v>168</v>
      </c>
      <c r="I19" s="53" t="s">
        <v>159</v>
      </c>
      <c r="J19" s="53" t="s">
        <v>38</v>
      </c>
      <c r="K19" s="53" t="s">
        <v>327</v>
      </c>
      <c r="L19" s="53">
        <v>3</v>
      </c>
      <c r="N19" s="53">
        <v>2</v>
      </c>
      <c r="O19" s="53">
        <v>0.72</v>
      </c>
      <c r="P19" s="53">
        <v>0.66</v>
      </c>
      <c r="Q19" s="74">
        <f t="shared" si="2"/>
        <v>0.69</v>
      </c>
      <c r="R19" s="53">
        <v>15.1</v>
      </c>
      <c r="S19" s="53">
        <v>107</v>
      </c>
      <c r="T19" s="16">
        <f t="shared" si="0"/>
        <v>36</v>
      </c>
      <c r="U19" s="53">
        <v>321</v>
      </c>
      <c r="V19" s="16">
        <f t="shared" si="1"/>
        <v>25</v>
      </c>
      <c r="W19" s="53">
        <v>1</v>
      </c>
      <c r="X19" s="53" t="s">
        <v>46</v>
      </c>
      <c r="Y19" s="53" t="s">
        <v>84</v>
      </c>
      <c r="Z19" s="53" t="s">
        <v>90</v>
      </c>
      <c r="AA19" s="53" t="s">
        <v>315</v>
      </c>
      <c r="AB19" s="53" t="s">
        <v>316</v>
      </c>
      <c r="AE19" s="22" t="s">
        <v>82</v>
      </c>
      <c r="AG19" s="28"/>
      <c r="AH19" s="28"/>
      <c r="AP19" s="23" t="s">
        <v>80</v>
      </c>
      <c r="AR19" s="23" t="s">
        <v>63</v>
      </c>
      <c r="AV19" s="23" t="s">
        <v>84</v>
      </c>
    </row>
    <row r="20" spans="1:48" x14ac:dyDescent="0.15">
      <c r="A20" s="53" t="s">
        <v>59</v>
      </c>
      <c r="B20" s="53" t="s">
        <v>236</v>
      </c>
      <c r="C20" s="62">
        <v>2019</v>
      </c>
      <c r="D20" s="135" t="s">
        <v>167</v>
      </c>
      <c r="E20" s="53" t="s">
        <v>337</v>
      </c>
      <c r="F20" s="53" t="s">
        <v>336</v>
      </c>
      <c r="G20" s="53" t="s">
        <v>36</v>
      </c>
      <c r="H20" s="53" t="s">
        <v>164</v>
      </c>
      <c r="I20" s="53" t="s">
        <v>159</v>
      </c>
      <c r="J20" s="53" t="s">
        <v>38</v>
      </c>
      <c r="K20" s="53" t="s">
        <v>161</v>
      </c>
      <c r="L20" s="53">
        <v>1</v>
      </c>
      <c r="N20" s="53">
        <v>4</v>
      </c>
      <c r="O20" s="53">
        <v>0.39</v>
      </c>
      <c r="P20" s="53">
        <v>0.4</v>
      </c>
      <c r="Q20" s="74">
        <f t="shared" si="2"/>
        <v>0.39500000000000002</v>
      </c>
      <c r="R20" s="53">
        <v>17.7</v>
      </c>
      <c r="S20" s="53">
        <v>105</v>
      </c>
      <c r="T20" s="16">
        <f t="shared" si="0"/>
        <v>33</v>
      </c>
      <c r="U20" s="53">
        <v>398</v>
      </c>
      <c r="V20" s="16">
        <f t="shared" si="1"/>
        <v>25</v>
      </c>
      <c r="W20" s="53">
        <v>3</v>
      </c>
      <c r="X20" s="53" t="s">
        <v>39</v>
      </c>
      <c r="Y20" s="53" t="s">
        <v>84</v>
      </c>
      <c r="Z20" s="53" t="s">
        <v>90</v>
      </c>
      <c r="AA20" s="53" t="s">
        <v>69</v>
      </c>
      <c r="AB20" s="53" t="s">
        <v>316</v>
      </c>
      <c r="AE20" s="22" t="s">
        <v>85</v>
      </c>
      <c r="AP20" s="27" t="s">
        <v>110</v>
      </c>
      <c r="AR20" s="23" t="s">
        <v>96</v>
      </c>
      <c r="AV20" s="23" t="s">
        <v>86</v>
      </c>
    </row>
    <row r="21" spans="1:48" x14ac:dyDescent="0.15">
      <c r="A21" s="53" t="s">
        <v>59</v>
      </c>
      <c r="B21" s="53" t="s">
        <v>236</v>
      </c>
      <c r="C21" s="62">
        <v>2019</v>
      </c>
      <c r="D21" s="135" t="s">
        <v>167</v>
      </c>
      <c r="E21" s="53" t="s">
        <v>337</v>
      </c>
      <c r="F21" s="53" t="s">
        <v>336</v>
      </c>
      <c r="G21" s="53" t="s">
        <v>36</v>
      </c>
      <c r="H21" s="53" t="s">
        <v>164</v>
      </c>
      <c r="I21" s="53" t="s">
        <v>159</v>
      </c>
      <c r="J21" s="53" t="s">
        <v>38</v>
      </c>
      <c r="K21" s="53" t="s">
        <v>161</v>
      </c>
      <c r="L21" s="53">
        <v>2</v>
      </c>
      <c r="N21" s="53">
        <v>4</v>
      </c>
      <c r="O21" s="53">
        <v>0.67</v>
      </c>
      <c r="P21" s="53">
        <v>0.57999999999999996</v>
      </c>
      <c r="Q21" s="74">
        <f t="shared" si="2"/>
        <v>0.625</v>
      </c>
      <c r="R21" s="53">
        <v>13.7</v>
      </c>
      <c r="S21" s="53">
        <v>102</v>
      </c>
      <c r="T21" s="16">
        <f t="shared" si="0"/>
        <v>33</v>
      </c>
      <c r="U21" s="53">
        <v>398</v>
      </c>
      <c r="V21" s="16">
        <f t="shared" si="1"/>
        <v>25</v>
      </c>
      <c r="W21" s="53">
        <v>3</v>
      </c>
      <c r="X21" s="53" t="s">
        <v>39</v>
      </c>
      <c r="Y21" s="53" t="s">
        <v>84</v>
      </c>
      <c r="Z21" s="53" t="s">
        <v>90</v>
      </c>
      <c r="AA21" s="53" t="s">
        <v>69</v>
      </c>
      <c r="AB21" s="53" t="s">
        <v>316</v>
      </c>
      <c r="AE21" s="22" t="s">
        <v>87</v>
      </c>
      <c r="AP21" s="27" t="s">
        <v>347</v>
      </c>
      <c r="AR21" s="23" t="s">
        <v>101</v>
      </c>
      <c r="AV21" s="23" t="s">
        <v>88</v>
      </c>
    </row>
    <row r="22" spans="1:48" x14ac:dyDescent="0.15">
      <c r="A22" s="53" t="s">
        <v>59</v>
      </c>
      <c r="B22" s="53" t="s">
        <v>236</v>
      </c>
      <c r="C22" s="62">
        <v>2019</v>
      </c>
      <c r="D22" s="135" t="s">
        <v>167</v>
      </c>
      <c r="E22" s="53" t="s">
        <v>337</v>
      </c>
      <c r="F22" s="53" t="s">
        <v>336</v>
      </c>
      <c r="G22" s="53" t="s">
        <v>36</v>
      </c>
      <c r="H22" s="53" t="s">
        <v>164</v>
      </c>
      <c r="I22" s="53" t="s">
        <v>159</v>
      </c>
      <c r="J22" s="53" t="s">
        <v>38</v>
      </c>
      <c r="K22" s="53" t="s">
        <v>161</v>
      </c>
      <c r="L22" s="53">
        <v>3</v>
      </c>
      <c r="N22" s="53">
        <v>4</v>
      </c>
      <c r="O22" s="53">
        <v>0.45</v>
      </c>
      <c r="P22" s="53">
        <v>0.49</v>
      </c>
      <c r="Q22" s="74">
        <f t="shared" si="2"/>
        <v>0.47</v>
      </c>
      <c r="R22" s="53">
        <v>14.8</v>
      </c>
      <c r="S22" s="53">
        <v>107</v>
      </c>
      <c r="T22" s="16">
        <f t="shared" si="0"/>
        <v>33</v>
      </c>
      <c r="U22" s="53">
        <v>398</v>
      </c>
      <c r="V22" s="16">
        <f t="shared" si="1"/>
        <v>25</v>
      </c>
      <c r="W22" s="53">
        <v>3</v>
      </c>
      <c r="X22" s="53" t="s">
        <v>39</v>
      </c>
      <c r="Y22" s="53" t="s">
        <v>84</v>
      </c>
      <c r="Z22" s="53" t="s">
        <v>90</v>
      </c>
      <c r="AA22" s="53" t="s">
        <v>69</v>
      </c>
      <c r="AB22" s="53" t="s">
        <v>316</v>
      </c>
      <c r="AE22" s="35" t="s">
        <v>89</v>
      </c>
      <c r="AP22" s="27" t="s">
        <v>112</v>
      </c>
      <c r="AR22" s="23" t="s">
        <v>126</v>
      </c>
      <c r="AV22" s="23" t="s">
        <v>315</v>
      </c>
    </row>
    <row r="23" spans="1:48" x14ac:dyDescent="0.15">
      <c r="A23" s="53" t="s">
        <v>59</v>
      </c>
      <c r="B23" s="53" t="s">
        <v>236</v>
      </c>
      <c r="C23" s="62">
        <v>2019</v>
      </c>
      <c r="D23" s="135" t="s">
        <v>167</v>
      </c>
      <c r="E23" s="53" t="s">
        <v>162</v>
      </c>
      <c r="F23" s="53" t="s">
        <v>336</v>
      </c>
      <c r="G23" s="53" t="s">
        <v>36</v>
      </c>
      <c r="H23" s="53" t="s">
        <v>164</v>
      </c>
      <c r="I23" s="53" t="s">
        <v>159</v>
      </c>
      <c r="J23" s="53" t="s">
        <v>38</v>
      </c>
      <c r="K23" s="53" t="s">
        <v>161</v>
      </c>
      <c r="L23" s="53">
        <v>1</v>
      </c>
      <c r="N23" s="53">
        <v>1</v>
      </c>
      <c r="O23" s="53">
        <v>0.45</v>
      </c>
      <c r="P23" s="53">
        <v>0.42</v>
      </c>
      <c r="Q23" s="74">
        <f t="shared" si="2"/>
        <v>0.435</v>
      </c>
      <c r="R23" s="53">
        <v>15.3</v>
      </c>
      <c r="S23" s="53">
        <v>131</v>
      </c>
      <c r="T23" s="16">
        <f t="shared" si="0"/>
        <v>25</v>
      </c>
      <c r="U23" s="53">
        <v>128</v>
      </c>
      <c r="V23" s="16">
        <f t="shared" si="1"/>
        <v>27</v>
      </c>
      <c r="W23" s="53">
        <v>2</v>
      </c>
      <c r="X23" s="53" t="s">
        <v>46</v>
      </c>
      <c r="Y23" s="53" t="s">
        <v>84</v>
      </c>
      <c r="Z23" s="53" t="s">
        <v>90</v>
      </c>
      <c r="AA23" s="53" t="s">
        <v>69</v>
      </c>
      <c r="AB23" s="53" t="s">
        <v>316</v>
      </c>
      <c r="AE23" s="35"/>
      <c r="AP23" s="27" t="s">
        <v>113</v>
      </c>
      <c r="AR23" s="23" t="s">
        <v>105</v>
      </c>
      <c r="AV23" s="27" t="s">
        <v>135</v>
      </c>
    </row>
    <row r="24" spans="1:48" x14ac:dyDescent="0.15">
      <c r="A24" s="53" t="s">
        <v>59</v>
      </c>
      <c r="B24" s="53" t="s">
        <v>236</v>
      </c>
      <c r="C24" s="62">
        <v>2019</v>
      </c>
      <c r="D24" s="135" t="s">
        <v>167</v>
      </c>
      <c r="E24" s="53" t="s">
        <v>162</v>
      </c>
      <c r="F24" s="53" t="s">
        <v>336</v>
      </c>
      <c r="G24" s="53" t="s">
        <v>36</v>
      </c>
      <c r="H24" s="53" t="s">
        <v>164</v>
      </c>
      <c r="I24" s="53" t="s">
        <v>159</v>
      </c>
      <c r="J24" s="53" t="s">
        <v>38</v>
      </c>
      <c r="K24" s="53" t="s">
        <v>161</v>
      </c>
      <c r="L24" s="53">
        <v>2</v>
      </c>
      <c r="N24" s="53">
        <v>1</v>
      </c>
      <c r="O24" s="53">
        <v>0.47</v>
      </c>
      <c r="P24" s="53">
        <v>0.52</v>
      </c>
      <c r="Q24" s="74">
        <f t="shared" si="2"/>
        <v>0.495</v>
      </c>
      <c r="R24" s="53">
        <v>14</v>
      </c>
      <c r="S24" s="53">
        <v>130</v>
      </c>
      <c r="T24" s="16">
        <f t="shared" si="0"/>
        <v>25</v>
      </c>
      <c r="U24" s="53">
        <v>128</v>
      </c>
      <c r="V24" s="16">
        <f t="shared" si="1"/>
        <v>27</v>
      </c>
      <c r="W24" s="53">
        <v>2</v>
      </c>
      <c r="X24" s="53" t="s">
        <v>46</v>
      </c>
      <c r="Y24" s="53" t="s">
        <v>84</v>
      </c>
      <c r="Z24" s="53" t="s">
        <v>90</v>
      </c>
      <c r="AA24" s="53" t="s">
        <v>69</v>
      </c>
      <c r="AB24" s="53" t="s">
        <v>316</v>
      </c>
      <c r="AE24" s="28"/>
      <c r="AP24" s="27" t="s">
        <v>348</v>
      </c>
      <c r="AR24" s="23" t="s">
        <v>68</v>
      </c>
      <c r="AV24" s="27" t="s">
        <v>136</v>
      </c>
    </row>
    <row r="25" spans="1:48" x14ac:dyDescent="0.15">
      <c r="A25" s="53" t="s">
        <v>59</v>
      </c>
      <c r="B25" s="53" t="s">
        <v>236</v>
      </c>
      <c r="C25" s="62">
        <v>2019</v>
      </c>
      <c r="D25" s="135" t="s">
        <v>167</v>
      </c>
      <c r="E25" s="53" t="s">
        <v>162</v>
      </c>
      <c r="F25" s="53" t="s">
        <v>336</v>
      </c>
      <c r="G25" s="53" t="s">
        <v>36</v>
      </c>
      <c r="H25" s="53" t="s">
        <v>164</v>
      </c>
      <c r="I25" s="53" t="s">
        <v>159</v>
      </c>
      <c r="J25" s="53" t="s">
        <v>38</v>
      </c>
      <c r="K25" s="53" t="s">
        <v>161</v>
      </c>
      <c r="L25" s="53">
        <v>3</v>
      </c>
      <c r="N25" s="53">
        <v>1</v>
      </c>
      <c r="O25" s="53">
        <v>0.49</v>
      </c>
      <c r="P25" s="53">
        <v>0.45</v>
      </c>
      <c r="Q25" s="74">
        <f t="shared" si="2"/>
        <v>0.47</v>
      </c>
      <c r="R25" s="53">
        <v>15.2</v>
      </c>
      <c r="S25" s="53">
        <v>126</v>
      </c>
      <c r="T25" s="16">
        <f t="shared" si="0"/>
        <v>27</v>
      </c>
      <c r="U25" s="53">
        <v>128</v>
      </c>
      <c r="V25" s="16">
        <f t="shared" si="1"/>
        <v>27</v>
      </c>
      <c r="W25" s="53">
        <v>2</v>
      </c>
      <c r="X25" s="53" t="s">
        <v>46</v>
      </c>
      <c r="Y25" s="53" t="s">
        <v>84</v>
      </c>
      <c r="Z25" s="53" t="s">
        <v>90</v>
      </c>
      <c r="AA25" s="53" t="s">
        <v>69</v>
      </c>
      <c r="AB25" s="53" t="s">
        <v>316</v>
      </c>
      <c r="AP25" s="27" t="s">
        <v>349</v>
      </c>
      <c r="AR25" s="23" t="s">
        <v>83</v>
      </c>
      <c r="AV25" s="27" t="s">
        <v>350</v>
      </c>
    </row>
    <row r="26" spans="1:48" x14ac:dyDescent="0.15">
      <c r="A26" s="53" t="s">
        <v>59</v>
      </c>
      <c r="B26" s="53" t="s">
        <v>236</v>
      </c>
      <c r="C26" s="62">
        <v>2019</v>
      </c>
      <c r="D26" s="135" t="s">
        <v>167</v>
      </c>
      <c r="E26" s="53" t="s">
        <v>162</v>
      </c>
      <c r="F26" s="53" t="s">
        <v>336</v>
      </c>
      <c r="G26" s="53" t="s">
        <v>36</v>
      </c>
      <c r="H26" s="53" t="s">
        <v>164</v>
      </c>
      <c r="I26" s="53" t="s">
        <v>165</v>
      </c>
      <c r="J26" s="53" t="s">
        <v>38</v>
      </c>
      <c r="K26" s="53" t="s">
        <v>161</v>
      </c>
      <c r="L26" s="53">
        <v>1</v>
      </c>
      <c r="N26" s="53">
        <v>5</v>
      </c>
      <c r="O26" s="53">
        <v>0.32</v>
      </c>
      <c r="P26" s="53">
        <v>0.35</v>
      </c>
      <c r="Q26" s="74">
        <f t="shared" si="2"/>
        <v>0.33499999999999996</v>
      </c>
      <c r="R26" s="53">
        <v>13.4</v>
      </c>
      <c r="S26" s="53">
        <v>78</v>
      </c>
      <c r="T26" s="16">
        <f t="shared" si="0"/>
        <v>39</v>
      </c>
      <c r="U26" s="53">
        <v>398</v>
      </c>
      <c r="V26" s="16">
        <f t="shared" si="1"/>
        <v>25</v>
      </c>
      <c r="W26" s="53">
        <v>1</v>
      </c>
      <c r="X26" s="53" t="s">
        <v>46</v>
      </c>
      <c r="Y26" s="53" t="s">
        <v>84</v>
      </c>
      <c r="Z26" s="53" t="s">
        <v>90</v>
      </c>
      <c r="AA26" s="53" t="s">
        <v>69</v>
      </c>
      <c r="AB26" s="53" t="s">
        <v>316</v>
      </c>
      <c r="AP26" s="27" t="s">
        <v>137</v>
      </c>
      <c r="AR26" s="23" t="s">
        <v>61</v>
      </c>
      <c r="AV26" s="27" t="s">
        <v>351</v>
      </c>
    </row>
    <row r="27" spans="1:48" x14ac:dyDescent="0.15">
      <c r="A27" s="53" t="s">
        <v>59</v>
      </c>
      <c r="B27" s="53" t="s">
        <v>236</v>
      </c>
      <c r="C27" s="62">
        <v>2019</v>
      </c>
      <c r="D27" s="135" t="s">
        <v>167</v>
      </c>
      <c r="E27" s="53" t="s">
        <v>162</v>
      </c>
      <c r="F27" s="53" t="s">
        <v>336</v>
      </c>
      <c r="G27" s="53" t="s">
        <v>36</v>
      </c>
      <c r="H27" s="53" t="s">
        <v>164</v>
      </c>
      <c r="I27" s="53" t="s">
        <v>165</v>
      </c>
      <c r="J27" s="53" t="s">
        <v>38</v>
      </c>
      <c r="K27" s="53" t="s">
        <v>161</v>
      </c>
      <c r="L27" s="53">
        <v>2</v>
      </c>
      <c r="N27" s="53">
        <v>5</v>
      </c>
      <c r="O27" s="53">
        <v>0.38</v>
      </c>
      <c r="P27" s="53">
        <v>0.44</v>
      </c>
      <c r="Q27" s="74">
        <f t="shared" si="2"/>
        <v>0.41000000000000003</v>
      </c>
      <c r="R27" s="53">
        <v>14.4</v>
      </c>
      <c r="S27" s="53">
        <v>75</v>
      </c>
      <c r="T27" s="16">
        <f t="shared" si="0"/>
        <v>42</v>
      </c>
      <c r="U27" s="53">
        <v>398</v>
      </c>
      <c r="V27" s="16">
        <f t="shared" si="1"/>
        <v>25</v>
      </c>
      <c r="W27" s="53">
        <v>1</v>
      </c>
      <c r="X27" s="53" t="s">
        <v>46</v>
      </c>
      <c r="Y27" s="53" t="s">
        <v>84</v>
      </c>
      <c r="Z27" s="53" t="s">
        <v>90</v>
      </c>
      <c r="AA27" s="53" t="s">
        <v>69</v>
      </c>
      <c r="AB27" s="53" t="s">
        <v>316</v>
      </c>
      <c r="AP27" s="27" t="s">
        <v>138</v>
      </c>
      <c r="AR27" s="23" t="s">
        <v>91</v>
      </c>
      <c r="AV27" s="27" t="s">
        <v>352</v>
      </c>
    </row>
    <row r="28" spans="1:48" x14ac:dyDescent="0.15">
      <c r="A28" s="53" t="s">
        <v>59</v>
      </c>
      <c r="B28" s="53" t="s">
        <v>236</v>
      </c>
      <c r="C28" s="62">
        <v>2019</v>
      </c>
      <c r="D28" s="135" t="s">
        <v>167</v>
      </c>
      <c r="E28" s="53" t="s">
        <v>162</v>
      </c>
      <c r="F28" s="53" t="s">
        <v>336</v>
      </c>
      <c r="G28" s="53" t="s">
        <v>36</v>
      </c>
      <c r="H28" s="53" t="s">
        <v>164</v>
      </c>
      <c r="I28" s="53" t="s">
        <v>165</v>
      </c>
      <c r="J28" s="53" t="s">
        <v>38</v>
      </c>
      <c r="K28" s="53" t="s">
        <v>161</v>
      </c>
      <c r="L28" s="53">
        <v>3</v>
      </c>
      <c r="N28" s="53">
        <v>5</v>
      </c>
      <c r="O28" s="53">
        <v>0.5</v>
      </c>
      <c r="P28" s="53">
        <v>0.54</v>
      </c>
      <c r="Q28" s="74">
        <f t="shared" si="2"/>
        <v>0.52</v>
      </c>
      <c r="R28" s="53">
        <v>13.7</v>
      </c>
      <c r="S28" s="53">
        <v>80</v>
      </c>
      <c r="T28" s="16">
        <f t="shared" si="0"/>
        <v>39</v>
      </c>
      <c r="U28" s="53">
        <v>398</v>
      </c>
      <c r="V28" s="16">
        <f t="shared" si="1"/>
        <v>25</v>
      </c>
      <c r="W28" s="53">
        <v>1</v>
      </c>
      <c r="X28" s="53" t="s">
        <v>46</v>
      </c>
      <c r="Y28" s="53" t="s">
        <v>84</v>
      </c>
      <c r="Z28" s="53" t="s">
        <v>90</v>
      </c>
      <c r="AA28" s="53" t="s">
        <v>69</v>
      </c>
      <c r="AB28" s="53" t="s">
        <v>316</v>
      </c>
      <c r="AP28" s="27" t="s">
        <v>116</v>
      </c>
      <c r="AR28" s="27" t="s">
        <v>92</v>
      </c>
      <c r="AV28" s="27" t="s">
        <v>353</v>
      </c>
    </row>
    <row r="29" spans="1:48" x14ac:dyDescent="0.15">
      <c r="A29" s="53" t="s">
        <v>59</v>
      </c>
      <c r="B29" s="53" t="s">
        <v>236</v>
      </c>
      <c r="C29" s="62">
        <v>2019</v>
      </c>
      <c r="D29" s="135" t="s">
        <v>167</v>
      </c>
      <c r="E29" s="53" t="s">
        <v>333</v>
      </c>
      <c r="F29" s="53" t="s">
        <v>334</v>
      </c>
      <c r="G29" s="53" t="s">
        <v>36</v>
      </c>
      <c r="H29" s="53" t="s">
        <v>164</v>
      </c>
      <c r="I29" s="53" t="s">
        <v>159</v>
      </c>
      <c r="J29" s="53" t="s">
        <v>38</v>
      </c>
      <c r="K29" s="53" t="s">
        <v>161</v>
      </c>
      <c r="L29" s="53">
        <v>1</v>
      </c>
      <c r="N29" s="53">
        <v>3</v>
      </c>
      <c r="O29" s="53">
        <v>0.42</v>
      </c>
      <c r="P29" s="53">
        <v>0.46</v>
      </c>
      <c r="Q29" s="74">
        <f t="shared" si="2"/>
        <v>0.44</v>
      </c>
      <c r="R29" s="53">
        <v>15.8</v>
      </c>
      <c r="S29" s="53">
        <v>135</v>
      </c>
      <c r="T29" s="16">
        <f t="shared" si="0"/>
        <v>25</v>
      </c>
      <c r="U29" s="53">
        <v>299</v>
      </c>
      <c r="V29" s="16">
        <f t="shared" si="1"/>
        <v>25</v>
      </c>
      <c r="W29" s="53">
        <v>4</v>
      </c>
      <c r="X29" s="53" t="s">
        <v>39</v>
      </c>
      <c r="Y29" s="53" t="s">
        <v>84</v>
      </c>
      <c r="Z29" s="53" t="s">
        <v>90</v>
      </c>
      <c r="AA29" s="53" t="s">
        <v>69</v>
      </c>
      <c r="AB29" s="53" t="s">
        <v>316</v>
      </c>
      <c r="AP29" s="27" t="s">
        <v>117</v>
      </c>
      <c r="AR29" s="27" t="s">
        <v>354</v>
      </c>
      <c r="AV29" s="27"/>
    </row>
    <row r="30" spans="1:48" x14ac:dyDescent="0.15">
      <c r="A30" s="53" t="s">
        <v>59</v>
      </c>
      <c r="B30" s="53" t="s">
        <v>236</v>
      </c>
      <c r="C30" s="62">
        <v>2019</v>
      </c>
      <c r="D30" s="135" t="s">
        <v>167</v>
      </c>
      <c r="E30" s="53" t="s">
        <v>333</v>
      </c>
      <c r="F30" s="53" t="s">
        <v>334</v>
      </c>
      <c r="G30" s="53" t="s">
        <v>36</v>
      </c>
      <c r="H30" s="53" t="s">
        <v>164</v>
      </c>
      <c r="I30" s="53" t="s">
        <v>159</v>
      </c>
      <c r="J30" s="53" t="s">
        <v>38</v>
      </c>
      <c r="K30" s="53" t="s">
        <v>161</v>
      </c>
      <c r="L30" s="53">
        <v>2</v>
      </c>
      <c r="N30" s="53">
        <v>3</v>
      </c>
      <c r="O30" s="53">
        <v>0.38</v>
      </c>
      <c r="P30" s="53">
        <v>0.41</v>
      </c>
      <c r="Q30" s="74">
        <f t="shared" si="2"/>
        <v>0.39500000000000002</v>
      </c>
      <c r="R30" s="53">
        <v>14.3</v>
      </c>
      <c r="S30" s="53">
        <v>129</v>
      </c>
      <c r="T30" s="16">
        <f t="shared" si="0"/>
        <v>25</v>
      </c>
      <c r="U30" s="53">
        <v>299</v>
      </c>
      <c r="V30" s="16">
        <f t="shared" si="1"/>
        <v>25</v>
      </c>
      <c r="W30" s="53">
        <v>4</v>
      </c>
      <c r="X30" s="53" t="s">
        <v>39</v>
      </c>
      <c r="Y30" s="53" t="s">
        <v>84</v>
      </c>
      <c r="Z30" s="53" t="s">
        <v>90</v>
      </c>
      <c r="AA30" s="53" t="s">
        <v>69</v>
      </c>
      <c r="AB30" s="53" t="s">
        <v>316</v>
      </c>
      <c r="AP30" s="27" t="s">
        <v>118</v>
      </c>
      <c r="AR30" s="28" t="s">
        <v>153</v>
      </c>
      <c r="AV30" s="27"/>
    </row>
    <row r="31" spans="1:48" x14ac:dyDescent="0.15">
      <c r="A31" s="53" t="s">
        <v>59</v>
      </c>
      <c r="B31" s="53" t="s">
        <v>236</v>
      </c>
      <c r="C31" s="62">
        <v>2019</v>
      </c>
      <c r="D31" s="135" t="s">
        <v>167</v>
      </c>
      <c r="E31" s="53" t="s">
        <v>333</v>
      </c>
      <c r="F31" s="53" t="s">
        <v>334</v>
      </c>
      <c r="G31" s="53" t="s">
        <v>36</v>
      </c>
      <c r="H31" s="53" t="s">
        <v>164</v>
      </c>
      <c r="I31" s="53" t="s">
        <v>159</v>
      </c>
      <c r="J31" s="53" t="s">
        <v>38</v>
      </c>
      <c r="K31" s="53" t="s">
        <v>161</v>
      </c>
      <c r="L31" s="53">
        <v>3</v>
      </c>
      <c r="N31" s="53">
        <v>3</v>
      </c>
      <c r="O31" s="53">
        <v>0.42</v>
      </c>
      <c r="P31" s="53">
        <v>0.47</v>
      </c>
      <c r="Q31" s="74">
        <f t="shared" si="2"/>
        <v>0.44499999999999995</v>
      </c>
      <c r="R31" s="53">
        <v>14.8</v>
      </c>
      <c r="S31" s="53">
        <v>125</v>
      </c>
      <c r="T31" s="16">
        <f t="shared" si="0"/>
        <v>27</v>
      </c>
      <c r="U31" s="53">
        <v>299</v>
      </c>
      <c r="V31" s="16">
        <f t="shared" si="1"/>
        <v>25</v>
      </c>
      <c r="W31" s="53">
        <v>4</v>
      </c>
      <c r="X31" s="53" t="s">
        <v>39</v>
      </c>
      <c r="Y31" s="53" t="s">
        <v>84</v>
      </c>
      <c r="Z31" s="53" t="s">
        <v>90</v>
      </c>
      <c r="AA31" s="53" t="s">
        <v>69</v>
      </c>
      <c r="AB31" s="53" t="s">
        <v>316</v>
      </c>
      <c r="AV31" s="27"/>
    </row>
    <row r="32" spans="1:48" x14ac:dyDescent="0.15">
      <c r="A32" s="53" t="s">
        <v>59</v>
      </c>
      <c r="B32" s="53" t="s">
        <v>236</v>
      </c>
      <c r="C32" s="62">
        <v>2019</v>
      </c>
      <c r="D32" s="135" t="s">
        <v>167</v>
      </c>
      <c r="E32" s="53" t="s">
        <v>333</v>
      </c>
      <c r="F32" s="53" t="s">
        <v>334</v>
      </c>
      <c r="G32" s="53" t="s">
        <v>36</v>
      </c>
      <c r="H32" s="53" t="s">
        <v>168</v>
      </c>
      <c r="I32" s="53" t="s">
        <v>159</v>
      </c>
      <c r="J32" s="53" t="s">
        <v>38</v>
      </c>
      <c r="K32" s="53" t="s">
        <v>327</v>
      </c>
      <c r="L32" s="53">
        <v>1</v>
      </c>
      <c r="N32" s="53">
        <v>4</v>
      </c>
      <c r="O32" s="53">
        <v>0.53</v>
      </c>
      <c r="P32" s="53">
        <v>0.54</v>
      </c>
      <c r="Q32" s="74">
        <f t="shared" si="2"/>
        <v>0.53500000000000003</v>
      </c>
      <c r="R32" s="53">
        <v>14.8</v>
      </c>
      <c r="S32" s="53">
        <v>89</v>
      </c>
      <c r="T32" s="16">
        <f t="shared" si="0"/>
        <v>39</v>
      </c>
      <c r="U32" s="53">
        <v>599</v>
      </c>
      <c r="V32" s="16">
        <f t="shared" si="1"/>
        <v>25</v>
      </c>
      <c r="W32" s="53">
        <v>1</v>
      </c>
      <c r="X32" s="53" t="s">
        <v>39</v>
      </c>
      <c r="Y32" s="53" t="s">
        <v>84</v>
      </c>
      <c r="Z32" s="53" t="s">
        <v>90</v>
      </c>
      <c r="AA32" s="53" t="s">
        <v>69</v>
      </c>
      <c r="AB32" s="53" t="s">
        <v>316</v>
      </c>
      <c r="AP32" s="27" t="s">
        <v>117</v>
      </c>
      <c r="AR32" s="27" t="s">
        <v>354</v>
      </c>
      <c r="AV32" s="27"/>
    </row>
    <row r="33" spans="1:48" x14ac:dyDescent="0.15">
      <c r="A33" s="53" t="s">
        <v>59</v>
      </c>
      <c r="B33" s="53" t="s">
        <v>236</v>
      </c>
      <c r="C33" s="62">
        <v>2019</v>
      </c>
      <c r="D33" s="135" t="s">
        <v>167</v>
      </c>
      <c r="E33" s="53" t="s">
        <v>333</v>
      </c>
      <c r="F33" s="53" t="s">
        <v>334</v>
      </c>
      <c r="G33" s="53" t="s">
        <v>36</v>
      </c>
      <c r="H33" s="53" t="s">
        <v>168</v>
      </c>
      <c r="I33" s="53" t="s">
        <v>159</v>
      </c>
      <c r="J33" s="53" t="s">
        <v>38</v>
      </c>
      <c r="K33" s="53" t="s">
        <v>327</v>
      </c>
      <c r="L33" s="53">
        <v>2</v>
      </c>
      <c r="N33" s="53">
        <v>4</v>
      </c>
      <c r="O33" s="53">
        <v>0.62</v>
      </c>
      <c r="P33" s="53">
        <v>0.7</v>
      </c>
      <c r="Q33" s="74">
        <f t="shared" si="2"/>
        <v>0.65999999999999992</v>
      </c>
      <c r="R33" s="53">
        <v>15.7</v>
      </c>
      <c r="S33" s="53">
        <v>94</v>
      </c>
      <c r="T33" s="16">
        <f t="shared" si="0"/>
        <v>39</v>
      </c>
      <c r="U33" s="53">
        <v>599</v>
      </c>
      <c r="V33" s="16">
        <f t="shared" si="1"/>
        <v>25</v>
      </c>
      <c r="W33" s="53">
        <v>1</v>
      </c>
      <c r="X33" s="53" t="s">
        <v>39</v>
      </c>
      <c r="Y33" s="53" t="s">
        <v>84</v>
      </c>
      <c r="Z33" s="53" t="s">
        <v>90</v>
      </c>
      <c r="AA33" s="53" t="s">
        <v>69</v>
      </c>
      <c r="AB33" s="53" t="s">
        <v>316</v>
      </c>
      <c r="AP33" s="27" t="s">
        <v>118</v>
      </c>
      <c r="AR33" s="28" t="s">
        <v>153</v>
      </c>
      <c r="AV33" s="27"/>
    </row>
    <row r="34" spans="1:48" x14ac:dyDescent="0.15">
      <c r="A34" s="53" t="s">
        <v>59</v>
      </c>
      <c r="B34" s="53" t="s">
        <v>236</v>
      </c>
      <c r="C34" s="62">
        <v>2019</v>
      </c>
      <c r="D34" s="135" t="s">
        <v>167</v>
      </c>
      <c r="E34" s="53" t="s">
        <v>333</v>
      </c>
      <c r="F34" s="53" t="s">
        <v>334</v>
      </c>
      <c r="G34" s="53" t="s">
        <v>36</v>
      </c>
      <c r="H34" s="53" t="s">
        <v>168</v>
      </c>
      <c r="I34" s="53" t="s">
        <v>159</v>
      </c>
      <c r="J34" s="53" t="s">
        <v>38</v>
      </c>
      <c r="K34" s="53" t="s">
        <v>327</v>
      </c>
      <c r="L34" s="53">
        <v>3</v>
      </c>
      <c r="N34" s="53">
        <v>4</v>
      </c>
      <c r="O34" s="53">
        <v>0.57999999999999996</v>
      </c>
      <c r="P34" s="53">
        <v>0.56000000000000005</v>
      </c>
      <c r="Q34" s="74">
        <f t="shared" si="2"/>
        <v>0.57000000000000006</v>
      </c>
      <c r="R34" s="53">
        <v>16.899999999999999</v>
      </c>
      <c r="S34" s="53">
        <v>102</v>
      </c>
      <c r="T34" s="16">
        <f t="shared" si="0"/>
        <v>36</v>
      </c>
      <c r="U34" s="53">
        <v>599</v>
      </c>
      <c r="V34" s="16">
        <f t="shared" si="1"/>
        <v>25</v>
      </c>
      <c r="W34" s="53">
        <v>1</v>
      </c>
      <c r="X34" s="53" t="s">
        <v>39</v>
      </c>
      <c r="Y34" s="53" t="s">
        <v>84</v>
      </c>
      <c r="Z34" s="53" t="s">
        <v>90</v>
      </c>
      <c r="AA34" s="53" t="s">
        <v>69</v>
      </c>
      <c r="AB34" s="53" t="s">
        <v>316</v>
      </c>
      <c r="AV34" s="27"/>
    </row>
    <row r="35" spans="1:48" x14ac:dyDescent="0.15">
      <c r="A35" s="53" t="s">
        <v>59</v>
      </c>
      <c r="B35" s="53" t="s">
        <v>236</v>
      </c>
      <c r="C35" s="62">
        <v>2019</v>
      </c>
      <c r="D35" s="135" t="s">
        <v>167</v>
      </c>
      <c r="E35" s="53" t="s">
        <v>333</v>
      </c>
      <c r="F35" s="53" t="s">
        <v>334</v>
      </c>
      <c r="G35" s="53" t="s">
        <v>36</v>
      </c>
      <c r="H35" s="53" t="s">
        <v>128</v>
      </c>
      <c r="I35" s="53" t="s">
        <v>159</v>
      </c>
      <c r="J35" s="53" t="s">
        <v>342</v>
      </c>
      <c r="K35" s="53" t="s">
        <v>325</v>
      </c>
      <c r="L35" s="53">
        <v>1</v>
      </c>
      <c r="N35" s="53">
        <v>4</v>
      </c>
      <c r="O35" s="53">
        <v>0.42</v>
      </c>
      <c r="P35" s="53">
        <v>0.38</v>
      </c>
      <c r="Q35" s="74">
        <f t="shared" si="2"/>
        <v>0.4</v>
      </c>
      <c r="R35" s="53">
        <v>12.6</v>
      </c>
      <c r="S35" s="53">
        <v>119</v>
      </c>
      <c r="T35" s="16">
        <f t="shared" si="0"/>
        <v>30</v>
      </c>
      <c r="U35" s="53">
        <v>480</v>
      </c>
      <c r="V35" s="16">
        <f t="shared" si="1"/>
        <v>25</v>
      </c>
      <c r="W35" s="53">
        <v>1</v>
      </c>
      <c r="X35" s="53" t="s">
        <v>39</v>
      </c>
      <c r="Y35" s="53" t="s">
        <v>84</v>
      </c>
      <c r="Z35" s="53" t="s">
        <v>90</v>
      </c>
      <c r="AA35" s="53" t="s">
        <v>69</v>
      </c>
      <c r="AB35" s="53" t="s">
        <v>316</v>
      </c>
      <c r="AV35" s="27"/>
    </row>
    <row r="36" spans="1:48" x14ac:dyDescent="0.15">
      <c r="A36" s="53" t="s">
        <v>59</v>
      </c>
      <c r="B36" s="53" t="s">
        <v>236</v>
      </c>
      <c r="C36" s="62">
        <v>2019</v>
      </c>
      <c r="D36" s="135" t="s">
        <v>167</v>
      </c>
      <c r="E36" s="53" t="s">
        <v>333</v>
      </c>
      <c r="F36" s="53" t="s">
        <v>334</v>
      </c>
      <c r="G36" s="53" t="s">
        <v>36</v>
      </c>
      <c r="H36" s="53" t="s">
        <v>128</v>
      </c>
      <c r="I36" s="53" t="s">
        <v>159</v>
      </c>
      <c r="J36" s="53" t="s">
        <v>342</v>
      </c>
      <c r="K36" s="53" t="s">
        <v>325</v>
      </c>
      <c r="L36" s="53">
        <v>2</v>
      </c>
      <c r="N36" s="53">
        <v>4</v>
      </c>
      <c r="O36" s="53">
        <v>0.55000000000000004</v>
      </c>
      <c r="P36" s="53">
        <v>0.55000000000000004</v>
      </c>
      <c r="Q36" s="74">
        <f t="shared" si="2"/>
        <v>0.55000000000000004</v>
      </c>
      <c r="R36" s="53">
        <v>11.6</v>
      </c>
      <c r="S36" s="53">
        <v>124</v>
      </c>
      <c r="T36" s="16">
        <f t="shared" si="0"/>
        <v>27</v>
      </c>
      <c r="U36" s="53">
        <v>480</v>
      </c>
      <c r="V36" s="16">
        <f t="shared" si="1"/>
        <v>25</v>
      </c>
      <c r="W36" s="53">
        <v>1</v>
      </c>
      <c r="X36" s="53" t="s">
        <v>39</v>
      </c>
      <c r="Y36" s="53" t="s">
        <v>84</v>
      </c>
      <c r="Z36" s="53" t="s">
        <v>90</v>
      </c>
      <c r="AA36" s="53" t="s">
        <v>69</v>
      </c>
      <c r="AB36" s="53" t="s">
        <v>316</v>
      </c>
      <c r="AV36" s="27"/>
    </row>
    <row r="37" spans="1:48" x14ac:dyDescent="0.15">
      <c r="A37" s="53" t="s">
        <v>59</v>
      </c>
      <c r="B37" s="53" t="s">
        <v>236</v>
      </c>
      <c r="C37" s="62">
        <v>2019</v>
      </c>
      <c r="D37" s="135" t="s">
        <v>167</v>
      </c>
      <c r="E37" s="53" t="s">
        <v>333</v>
      </c>
      <c r="F37" s="53" t="s">
        <v>334</v>
      </c>
      <c r="G37" s="53" t="s">
        <v>36</v>
      </c>
      <c r="H37" s="53" t="s">
        <v>128</v>
      </c>
      <c r="I37" s="53" t="s">
        <v>159</v>
      </c>
      <c r="J37" s="53" t="s">
        <v>342</v>
      </c>
      <c r="K37" s="53" t="s">
        <v>325</v>
      </c>
      <c r="L37" s="53">
        <v>3</v>
      </c>
      <c r="N37" s="53">
        <v>4</v>
      </c>
      <c r="O37" s="53">
        <v>0.56000000000000005</v>
      </c>
      <c r="P37" s="53">
        <v>0.48</v>
      </c>
      <c r="Q37" s="74">
        <f t="shared" si="2"/>
        <v>0.52</v>
      </c>
      <c r="R37" s="53">
        <v>13.2</v>
      </c>
      <c r="S37" s="53">
        <v>110</v>
      </c>
      <c r="T37" s="16">
        <f t="shared" si="0"/>
        <v>33</v>
      </c>
      <c r="U37" s="53">
        <v>480</v>
      </c>
      <c r="V37" s="16">
        <f t="shared" si="1"/>
        <v>25</v>
      </c>
      <c r="W37" s="53">
        <v>1</v>
      </c>
      <c r="X37" s="53" t="s">
        <v>39</v>
      </c>
      <c r="Y37" s="53" t="s">
        <v>84</v>
      </c>
      <c r="Z37" s="53" t="s">
        <v>90</v>
      </c>
      <c r="AA37" s="53" t="s">
        <v>69</v>
      </c>
      <c r="AB37" s="53" t="s">
        <v>316</v>
      </c>
      <c r="AV37" s="27"/>
    </row>
    <row r="38" spans="1:48" x14ac:dyDescent="0.15">
      <c r="A38" s="53" t="s">
        <v>59</v>
      </c>
      <c r="B38" s="53" t="s">
        <v>236</v>
      </c>
      <c r="C38" s="62">
        <v>2019</v>
      </c>
      <c r="D38" s="135" t="s">
        <v>167</v>
      </c>
      <c r="E38" s="53" t="s">
        <v>323</v>
      </c>
      <c r="F38" s="53" t="s">
        <v>324</v>
      </c>
      <c r="G38" s="53" t="s">
        <v>36</v>
      </c>
      <c r="H38" s="53" t="s">
        <v>160</v>
      </c>
      <c r="I38" s="53" t="s">
        <v>159</v>
      </c>
      <c r="J38" s="53" t="s">
        <v>38</v>
      </c>
      <c r="K38" s="53" t="s">
        <v>161</v>
      </c>
      <c r="L38" s="53">
        <v>1</v>
      </c>
      <c r="N38" s="53">
        <v>4</v>
      </c>
      <c r="O38" s="53">
        <v>0.23</v>
      </c>
      <c r="P38" s="53">
        <v>0.21</v>
      </c>
      <c r="Q38" s="74">
        <f t="shared" si="2"/>
        <v>0.22</v>
      </c>
      <c r="R38" s="53">
        <v>15.8</v>
      </c>
      <c r="S38" s="53">
        <v>105</v>
      </c>
      <c r="T38" s="16">
        <f t="shared" si="0"/>
        <v>33</v>
      </c>
      <c r="U38" s="53">
        <v>450</v>
      </c>
      <c r="V38" s="16">
        <f t="shared" si="1"/>
        <v>25</v>
      </c>
      <c r="W38" s="53">
        <v>1</v>
      </c>
      <c r="X38" s="53" t="s">
        <v>39</v>
      </c>
      <c r="Y38" s="53" t="s">
        <v>84</v>
      </c>
      <c r="Z38" s="53" t="s">
        <v>69</v>
      </c>
      <c r="AA38" s="53" t="s">
        <v>90</v>
      </c>
      <c r="AB38" s="53" t="s">
        <v>316</v>
      </c>
      <c r="AV38" s="27"/>
    </row>
    <row r="39" spans="1:48" x14ac:dyDescent="0.15">
      <c r="A39" s="53" t="s">
        <v>59</v>
      </c>
      <c r="B39" s="53" t="s">
        <v>236</v>
      </c>
      <c r="C39" s="62">
        <v>2019</v>
      </c>
      <c r="D39" s="135" t="s">
        <v>167</v>
      </c>
      <c r="E39" s="53" t="s">
        <v>323</v>
      </c>
      <c r="F39" s="53" t="s">
        <v>324</v>
      </c>
      <c r="G39" s="53" t="s">
        <v>36</v>
      </c>
      <c r="H39" s="53" t="s">
        <v>160</v>
      </c>
      <c r="I39" s="53" t="s">
        <v>159</v>
      </c>
      <c r="J39" s="53" t="s">
        <v>38</v>
      </c>
      <c r="K39" s="53" t="s">
        <v>161</v>
      </c>
      <c r="L39" s="53">
        <v>2</v>
      </c>
      <c r="N39" s="53">
        <v>4</v>
      </c>
      <c r="O39" s="53">
        <v>0.21</v>
      </c>
      <c r="P39" s="53">
        <v>0.22</v>
      </c>
      <c r="Q39" s="74">
        <f t="shared" si="2"/>
        <v>0.215</v>
      </c>
      <c r="R39" s="53">
        <v>16</v>
      </c>
      <c r="S39" s="53">
        <v>103</v>
      </c>
      <c r="T39" s="16">
        <f t="shared" si="0"/>
        <v>33</v>
      </c>
      <c r="U39" s="53">
        <v>450</v>
      </c>
      <c r="V39" s="16">
        <f t="shared" si="1"/>
        <v>25</v>
      </c>
      <c r="W39" s="53">
        <v>1</v>
      </c>
      <c r="X39" s="53" t="s">
        <v>39</v>
      </c>
      <c r="Y39" s="53" t="s">
        <v>84</v>
      </c>
      <c r="Z39" s="53" t="s">
        <v>69</v>
      </c>
      <c r="AA39" s="53" t="s">
        <v>90</v>
      </c>
      <c r="AB39" s="53" t="s">
        <v>316</v>
      </c>
      <c r="AV39" s="27"/>
    </row>
    <row r="40" spans="1:48" x14ac:dyDescent="0.15">
      <c r="A40" s="53" t="s">
        <v>59</v>
      </c>
      <c r="B40" s="53" t="s">
        <v>236</v>
      </c>
      <c r="C40" s="62">
        <v>2019</v>
      </c>
      <c r="D40" s="135" t="s">
        <v>167</v>
      </c>
      <c r="E40" s="53" t="s">
        <v>323</v>
      </c>
      <c r="F40" s="53" t="s">
        <v>324</v>
      </c>
      <c r="G40" s="53" t="s">
        <v>36</v>
      </c>
      <c r="H40" s="53" t="s">
        <v>160</v>
      </c>
      <c r="I40" s="53" t="s">
        <v>159</v>
      </c>
      <c r="J40" s="53" t="s">
        <v>38</v>
      </c>
      <c r="K40" s="53" t="s">
        <v>161</v>
      </c>
      <c r="L40" s="53">
        <v>3</v>
      </c>
      <c r="N40" s="53">
        <v>4</v>
      </c>
      <c r="O40" s="53">
        <v>0.27</v>
      </c>
      <c r="P40" s="53">
        <v>0.25</v>
      </c>
      <c r="Q40" s="74">
        <f t="shared" si="2"/>
        <v>0.26</v>
      </c>
      <c r="R40" s="53">
        <v>15.5</v>
      </c>
      <c r="S40" s="53">
        <v>105</v>
      </c>
      <c r="T40" s="16">
        <f t="shared" si="0"/>
        <v>33</v>
      </c>
      <c r="U40" s="53">
        <v>450</v>
      </c>
      <c r="V40" s="16">
        <f t="shared" si="1"/>
        <v>25</v>
      </c>
      <c r="W40" s="53">
        <v>1</v>
      </c>
      <c r="X40" s="53" t="s">
        <v>39</v>
      </c>
      <c r="Y40" s="53" t="s">
        <v>84</v>
      </c>
      <c r="Z40" s="53" t="s">
        <v>69</v>
      </c>
      <c r="AA40" s="53" t="s">
        <v>90</v>
      </c>
      <c r="AB40" s="53" t="s">
        <v>316</v>
      </c>
      <c r="AV40" s="27"/>
    </row>
    <row r="41" spans="1:48" x14ac:dyDescent="0.15">
      <c r="A41" s="53" t="s">
        <v>59</v>
      </c>
      <c r="B41" s="53" t="s">
        <v>236</v>
      </c>
      <c r="C41" s="62">
        <v>2019</v>
      </c>
      <c r="D41" s="135" t="s">
        <v>167</v>
      </c>
      <c r="E41" s="53" t="s">
        <v>323</v>
      </c>
      <c r="F41" s="53" t="s">
        <v>324</v>
      </c>
      <c r="G41" s="53" t="s">
        <v>36</v>
      </c>
      <c r="H41" s="53" t="s">
        <v>164</v>
      </c>
      <c r="I41" s="53" t="s">
        <v>159</v>
      </c>
      <c r="J41" s="53" t="s">
        <v>38</v>
      </c>
      <c r="K41" s="53" t="s">
        <v>161</v>
      </c>
      <c r="L41" s="53">
        <v>1</v>
      </c>
      <c r="N41" s="53">
        <v>4</v>
      </c>
      <c r="O41" s="53">
        <v>0.23</v>
      </c>
      <c r="P41" s="53">
        <v>0.23</v>
      </c>
      <c r="Q41" s="74">
        <f t="shared" si="2"/>
        <v>0.23</v>
      </c>
      <c r="R41" s="53">
        <v>14.2</v>
      </c>
      <c r="S41" s="53">
        <v>86</v>
      </c>
      <c r="T41" s="16">
        <f t="shared" si="0"/>
        <v>36</v>
      </c>
      <c r="U41" s="53">
        <v>350</v>
      </c>
      <c r="V41" s="16">
        <f t="shared" si="1"/>
        <v>25</v>
      </c>
      <c r="W41" s="53">
        <v>1</v>
      </c>
      <c r="X41" s="53" t="s">
        <v>39</v>
      </c>
      <c r="Y41" s="53" t="s">
        <v>84</v>
      </c>
      <c r="Z41" s="53" t="s">
        <v>69</v>
      </c>
      <c r="AA41" s="53" t="s">
        <v>90</v>
      </c>
      <c r="AB41" s="53" t="s">
        <v>316</v>
      </c>
      <c r="AV41" s="27"/>
    </row>
    <row r="42" spans="1:48" x14ac:dyDescent="0.15">
      <c r="A42" s="53" t="s">
        <v>59</v>
      </c>
      <c r="B42" s="53" t="s">
        <v>236</v>
      </c>
      <c r="C42" s="62">
        <v>2019</v>
      </c>
      <c r="D42" s="135" t="s">
        <v>167</v>
      </c>
      <c r="E42" s="53" t="s">
        <v>323</v>
      </c>
      <c r="F42" s="53" t="s">
        <v>324</v>
      </c>
      <c r="G42" s="53" t="s">
        <v>36</v>
      </c>
      <c r="H42" s="53" t="s">
        <v>164</v>
      </c>
      <c r="I42" s="53" t="s">
        <v>159</v>
      </c>
      <c r="J42" s="53" t="s">
        <v>38</v>
      </c>
      <c r="K42" s="53" t="s">
        <v>161</v>
      </c>
      <c r="L42" s="53">
        <v>2</v>
      </c>
      <c r="N42" s="53">
        <v>4</v>
      </c>
      <c r="O42" s="53">
        <v>0.23</v>
      </c>
      <c r="P42" s="53">
        <v>0.22</v>
      </c>
      <c r="Q42" s="74">
        <f t="shared" si="2"/>
        <v>0.22500000000000001</v>
      </c>
      <c r="R42" s="53">
        <v>15.5</v>
      </c>
      <c r="S42" s="53">
        <v>86</v>
      </c>
      <c r="T42" s="16">
        <f t="shared" si="0"/>
        <v>36</v>
      </c>
      <c r="U42" s="53">
        <v>350</v>
      </c>
      <c r="V42" s="16">
        <f t="shared" si="1"/>
        <v>25</v>
      </c>
      <c r="W42" s="53">
        <v>1</v>
      </c>
      <c r="X42" s="53" t="s">
        <v>39</v>
      </c>
      <c r="Y42" s="53" t="s">
        <v>84</v>
      </c>
      <c r="Z42" s="53" t="s">
        <v>69</v>
      </c>
      <c r="AA42" s="53" t="s">
        <v>90</v>
      </c>
      <c r="AB42" s="53" t="s">
        <v>316</v>
      </c>
      <c r="AV42" s="27"/>
    </row>
    <row r="43" spans="1:48" x14ac:dyDescent="0.15">
      <c r="A43" s="53" t="s">
        <v>59</v>
      </c>
      <c r="B43" s="53" t="s">
        <v>236</v>
      </c>
      <c r="C43" s="62">
        <v>2019</v>
      </c>
      <c r="D43" s="135" t="s">
        <v>167</v>
      </c>
      <c r="E43" s="53" t="s">
        <v>323</v>
      </c>
      <c r="F43" s="53" t="s">
        <v>324</v>
      </c>
      <c r="G43" s="53" t="s">
        <v>36</v>
      </c>
      <c r="H43" s="53" t="s">
        <v>164</v>
      </c>
      <c r="I43" s="53" t="s">
        <v>159</v>
      </c>
      <c r="J43" s="53" t="s">
        <v>38</v>
      </c>
      <c r="K43" s="53" t="s">
        <v>161</v>
      </c>
      <c r="L43" s="53">
        <v>3</v>
      </c>
      <c r="N43" s="53">
        <v>4</v>
      </c>
      <c r="O43" s="53">
        <v>0.24</v>
      </c>
      <c r="P43" s="53">
        <v>0.23</v>
      </c>
      <c r="Q43" s="74">
        <f t="shared" si="2"/>
        <v>0.23499999999999999</v>
      </c>
      <c r="R43" s="53">
        <v>15.6</v>
      </c>
      <c r="S43" s="53">
        <v>91</v>
      </c>
      <c r="T43" s="16">
        <f t="shared" si="0"/>
        <v>36</v>
      </c>
      <c r="U43" s="53">
        <v>350</v>
      </c>
      <c r="V43" s="16">
        <f t="shared" si="1"/>
        <v>25</v>
      </c>
      <c r="W43" s="53">
        <v>1</v>
      </c>
      <c r="X43" s="53" t="s">
        <v>39</v>
      </c>
      <c r="Y43" s="53" t="s">
        <v>84</v>
      </c>
      <c r="Z43" s="53" t="s">
        <v>69</v>
      </c>
      <c r="AA43" s="53" t="s">
        <v>90</v>
      </c>
      <c r="AB43" s="53" t="s">
        <v>316</v>
      </c>
      <c r="AV43" s="27"/>
    </row>
    <row r="44" spans="1:48" x14ac:dyDescent="0.15">
      <c r="A44" s="53" t="s">
        <v>59</v>
      </c>
      <c r="B44" s="53" t="s">
        <v>236</v>
      </c>
      <c r="C44" s="62">
        <v>2019</v>
      </c>
      <c r="D44" s="135" t="s">
        <v>167</v>
      </c>
      <c r="E44" s="53" t="s">
        <v>340</v>
      </c>
      <c r="F44" s="53" t="s">
        <v>341</v>
      </c>
      <c r="G44" s="53" t="s">
        <v>36</v>
      </c>
      <c r="H44" s="53" t="s">
        <v>164</v>
      </c>
      <c r="I44" s="53" t="s">
        <v>159</v>
      </c>
      <c r="J44" s="53" t="s">
        <v>38</v>
      </c>
      <c r="K44" s="53" t="s">
        <v>161</v>
      </c>
      <c r="L44" s="53">
        <v>1</v>
      </c>
      <c r="N44" s="53">
        <v>4</v>
      </c>
      <c r="O44" s="53">
        <v>0.23</v>
      </c>
      <c r="P44" s="53">
        <v>0.22</v>
      </c>
      <c r="Q44" s="74">
        <f t="shared" si="2"/>
        <v>0.22500000000000001</v>
      </c>
      <c r="R44" s="53">
        <v>14.8</v>
      </c>
      <c r="S44" s="53">
        <v>138</v>
      </c>
      <c r="T44" s="16">
        <f t="shared" si="0"/>
        <v>25</v>
      </c>
      <c r="U44" s="53">
        <v>298</v>
      </c>
      <c r="V44" s="16">
        <f t="shared" si="1"/>
        <v>25</v>
      </c>
      <c r="W44" s="53">
        <v>2</v>
      </c>
      <c r="X44" s="53" t="s">
        <v>39</v>
      </c>
      <c r="Y44" s="53" t="s">
        <v>84</v>
      </c>
      <c r="Z44" s="53" t="s">
        <v>90</v>
      </c>
      <c r="AA44" s="53" t="s">
        <v>40</v>
      </c>
      <c r="AB44" s="53" t="s">
        <v>316</v>
      </c>
      <c r="AV44" s="27"/>
    </row>
    <row r="45" spans="1:48" x14ac:dyDescent="0.15">
      <c r="A45" s="53" t="s">
        <v>59</v>
      </c>
      <c r="B45" s="53" t="s">
        <v>236</v>
      </c>
      <c r="C45" s="62">
        <v>2019</v>
      </c>
      <c r="D45" s="135" t="s">
        <v>167</v>
      </c>
      <c r="E45" s="53" t="s">
        <v>340</v>
      </c>
      <c r="F45" s="53" t="s">
        <v>341</v>
      </c>
      <c r="G45" s="53" t="s">
        <v>36</v>
      </c>
      <c r="H45" s="53" t="s">
        <v>164</v>
      </c>
      <c r="I45" s="53" t="s">
        <v>159</v>
      </c>
      <c r="J45" s="53" t="s">
        <v>38</v>
      </c>
      <c r="K45" s="53" t="s">
        <v>161</v>
      </c>
      <c r="L45" s="53">
        <v>2</v>
      </c>
      <c r="N45" s="53">
        <v>4</v>
      </c>
      <c r="O45" s="53">
        <v>0.46</v>
      </c>
      <c r="P45" s="53">
        <v>0.51</v>
      </c>
      <c r="Q45" s="74">
        <f t="shared" si="2"/>
        <v>0.48499999999999999</v>
      </c>
      <c r="R45" s="53">
        <v>14.7</v>
      </c>
      <c r="S45" s="53">
        <v>140</v>
      </c>
      <c r="T45" s="16">
        <f t="shared" si="0"/>
        <v>25</v>
      </c>
      <c r="U45" s="53">
        <v>298</v>
      </c>
      <c r="V45" s="16">
        <f t="shared" si="1"/>
        <v>25</v>
      </c>
      <c r="W45" s="53">
        <v>2</v>
      </c>
      <c r="X45" s="53" t="s">
        <v>39</v>
      </c>
      <c r="Y45" s="53" t="s">
        <v>84</v>
      </c>
      <c r="Z45" s="53" t="s">
        <v>90</v>
      </c>
      <c r="AA45" s="53" t="s">
        <v>40</v>
      </c>
      <c r="AB45" s="53" t="s">
        <v>316</v>
      </c>
      <c r="AV45" s="27"/>
    </row>
    <row r="46" spans="1:48" x14ac:dyDescent="0.15">
      <c r="A46" s="53" t="s">
        <v>59</v>
      </c>
      <c r="B46" s="53" t="s">
        <v>236</v>
      </c>
      <c r="C46" s="62">
        <v>2019</v>
      </c>
      <c r="D46" s="135" t="s">
        <v>167</v>
      </c>
      <c r="E46" s="53" t="s">
        <v>340</v>
      </c>
      <c r="F46" s="53" t="s">
        <v>341</v>
      </c>
      <c r="G46" s="53" t="s">
        <v>36</v>
      </c>
      <c r="H46" s="53" t="s">
        <v>164</v>
      </c>
      <c r="I46" s="53" t="s">
        <v>159</v>
      </c>
      <c r="J46" s="53" t="s">
        <v>38</v>
      </c>
      <c r="K46" s="53" t="s">
        <v>161</v>
      </c>
      <c r="L46" s="53">
        <v>3</v>
      </c>
      <c r="N46" s="53">
        <v>4</v>
      </c>
      <c r="O46" s="53">
        <v>0.31</v>
      </c>
      <c r="P46" s="53">
        <v>0.28000000000000003</v>
      </c>
      <c r="Q46" s="74">
        <f t="shared" si="2"/>
        <v>0.29500000000000004</v>
      </c>
      <c r="R46" s="53">
        <v>15.1</v>
      </c>
      <c r="S46" s="53">
        <v>139</v>
      </c>
      <c r="T46" s="16">
        <f t="shared" si="0"/>
        <v>25</v>
      </c>
      <c r="U46" s="53">
        <v>298</v>
      </c>
      <c r="V46" s="16">
        <f t="shared" si="1"/>
        <v>25</v>
      </c>
      <c r="W46" s="53">
        <v>2</v>
      </c>
      <c r="X46" s="53" t="s">
        <v>39</v>
      </c>
      <c r="Y46" s="53" t="s">
        <v>84</v>
      </c>
      <c r="Z46" s="53" t="s">
        <v>90</v>
      </c>
      <c r="AA46" s="53" t="s">
        <v>40</v>
      </c>
      <c r="AB46" s="53" t="s">
        <v>316</v>
      </c>
      <c r="AV46" s="27"/>
    </row>
    <row r="47" spans="1:48" x14ac:dyDescent="0.15">
      <c r="A47" s="53" t="s">
        <v>59</v>
      </c>
      <c r="B47" s="53" t="s">
        <v>236</v>
      </c>
      <c r="C47" s="62">
        <v>2019</v>
      </c>
      <c r="D47" s="135" t="s">
        <v>167</v>
      </c>
      <c r="E47" s="53" t="s">
        <v>340</v>
      </c>
      <c r="F47" s="53" t="s">
        <v>341</v>
      </c>
      <c r="G47" s="53" t="s">
        <v>36</v>
      </c>
      <c r="H47" s="53" t="s">
        <v>128</v>
      </c>
      <c r="I47" s="53" t="s">
        <v>159</v>
      </c>
      <c r="J47" s="53" t="s">
        <v>80</v>
      </c>
      <c r="K47" s="53" t="s">
        <v>63</v>
      </c>
      <c r="L47" s="53">
        <v>1</v>
      </c>
      <c r="N47" s="53">
        <v>4</v>
      </c>
      <c r="O47" s="53">
        <v>0.26</v>
      </c>
      <c r="P47" s="53">
        <v>0.26</v>
      </c>
      <c r="Q47" s="74">
        <f t="shared" si="2"/>
        <v>0.26</v>
      </c>
      <c r="R47" s="53">
        <v>15.9</v>
      </c>
      <c r="S47" s="53">
        <v>104</v>
      </c>
      <c r="T47" s="16">
        <f t="shared" si="0"/>
        <v>33</v>
      </c>
      <c r="U47" s="53">
        <v>480</v>
      </c>
      <c r="V47" s="16">
        <f t="shared" si="1"/>
        <v>25</v>
      </c>
      <c r="W47" s="53">
        <v>1</v>
      </c>
      <c r="X47" s="53" t="s">
        <v>39</v>
      </c>
      <c r="Y47" s="53" t="s">
        <v>84</v>
      </c>
      <c r="Z47" s="53" t="s">
        <v>90</v>
      </c>
      <c r="AA47" s="53" t="s">
        <v>40</v>
      </c>
      <c r="AB47" s="53" t="s">
        <v>316</v>
      </c>
      <c r="AV47" s="27"/>
    </row>
    <row r="48" spans="1:48" x14ac:dyDescent="0.15">
      <c r="A48" s="53" t="s">
        <v>59</v>
      </c>
      <c r="B48" s="53" t="s">
        <v>236</v>
      </c>
      <c r="C48" s="62">
        <v>2019</v>
      </c>
      <c r="D48" s="135" t="s">
        <v>167</v>
      </c>
      <c r="E48" s="53" t="s">
        <v>340</v>
      </c>
      <c r="F48" s="53" t="s">
        <v>341</v>
      </c>
      <c r="G48" s="53" t="s">
        <v>36</v>
      </c>
      <c r="H48" s="53" t="s">
        <v>128</v>
      </c>
      <c r="I48" s="53" t="s">
        <v>159</v>
      </c>
      <c r="J48" s="53" t="s">
        <v>80</v>
      </c>
      <c r="K48" s="53" t="s">
        <v>63</v>
      </c>
      <c r="L48" s="53">
        <v>2</v>
      </c>
      <c r="N48" s="53">
        <v>4</v>
      </c>
      <c r="O48" s="53">
        <v>0.32</v>
      </c>
      <c r="P48" s="53">
        <v>0.31</v>
      </c>
      <c r="Q48" s="74">
        <f t="shared" si="2"/>
        <v>0.315</v>
      </c>
      <c r="R48" s="53">
        <v>14</v>
      </c>
      <c r="S48" s="53">
        <v>110</v>
      </c>
      <c r="T48" s="16">
        <f t="shared" si="0"/>
        <v>33</v>
      </c>
      <c r="U48" s="53">
        <v>480</v>
      </c>
      <c r="V48" s="16">
        <f t="shared" si="1"/>
        <v>25</v>
      </c>
      <c r="W48" s="53">
        <v>1</v>
      </c>
      <c r="X48" s="53" t="s">
        <v>39</v>
      </c>
      <c r="Y48" s="53" t="s">
        <v>84</v>
      </c>
      <c r="Z48" s="53" t="s">
        <v>90</v>
      </c>
      <c r="AA48" s="53" t="s">
        <v>40</v>
      </c>
      <c r="AB48" s="53" t="s">
        <v>316</v>
      </c>
      <c r="AV48" s="27"/>
    </row>
    <row r="49" spans="1:48" x14ac:dyDescent="0.15">
      <c r="A49" s="53" t="s">
        <v>59</v>
      </c>
      <c r="B49" s="53" t="s">
        <v>236</v>
      </c>
      <c r="C49" s="62">
        <v>2019</v>
      </c>
      <c r="D49" s="135" t="s">
        <v>167</v>
      </c>
      <c r="E49" s="53" t="s">
        <v>340</v>
      </c>
      <c r="F49" s="53" t="s">
        <v>341</v>
      </c>
      <c r="G49" s="53" t="s">
        <v>36</v>
      </c>
      <c r="H49" s="53" t="s">
        <v>128</v>
      </c>
      <c r="I49" s="53" t="s">
        <v>159</v>
      </c>
      <c r="J49" s="53" t="s">
        <v>80</v>
      </c>
      <c r="K49" s="53" t="s">
        <v>63</v>
      </c>
      <c r="L49" s="53">
        <v>3</v>
      </c>
      <c r="N49" s="53">
        <v>4</v>
      </c>
      <c r="O49" s="53">
        <v>0.39</v>
      </c>
      <c r="P49" s="53">
        <v>0.3</v>
      </c>
      <c r="Q49" s="74">
        <f t="shared" si="2"/>
        <v>0.34499999999999997</v>
      </c>
      <c r="R49" s="53">
        <v>14.6</v>
      </c>
      <c r="S49" s="53">
        <v>109</v>
      </c>
      <c r="T49" s="16">
        <f t="shared" si="0"/>
        <v>33</v>
      </c>
      <c r="U49" s="53">
        <v>480</v>
      </c>
      <c r="V49" s="16">
        <f t="shared" si="1"/>
        <v>25</v>
      </c>
      <c r="W49" s="53">
        <v>1</v>
      </c>
      <c r="X49" s="53" t="s">
        <v>39</v>
      </c>
      <c r="Y49" s="53" t="s">
        <v>84</v>
      </c>
      <c r="Z49" s="53" t="s">
        <v>90</v>
      </c>
      <c r="AA49" s="53" t="s">
        <v>40</v>
      </c>
      <c r="AB49" s="53" t="s">
        <v>316</v>
      </c>
      <c r="AV49" s="27"/>
    </row>
    <row r="50" spans="1:48" x14ac:dyDescent="0.15">
      <c r="A50" s="53" t="s">
        <v>59</v>
      </c>
      <c r="B50" s="53" t="s">
        <v>236</v>
      </c>
      <c r="C50" s="62">
        <v>2019</v>
      </c>
      <c r="D50" s="135" t="s">
        <v>167</v>
      </c>
      <c r="E50" s="53" t="s">
        <v>331</v>
      </c>
      <c r="F50" s="53" t="s">
        <v>332</v>
      </c>
      <c r="G50" s="53" t="s">
        <v>36</v>
      </c>
      <c r="H50" s="53" t="s">
        <v>164</v>
      </c>
      <c r="I50" s="53" t="s">
        <v>159</v>
      </c>
      <c r="J50" s="53" t="s">
        <v>38</v>
      </c>
      <c r="K50" s="53" t="s">
        <v>161</v>
      </c>
      <c r="L50" s="53">
        <v>1</v>
      </c>
      <c r="N50" s="53">
        <v>5</v>
      </c>
      <c r="O50" s="53">
        <v>0.37</v>
      </c>
      <c r="P50" s="53">
        <v>0.35</v>
      </c>
      <c r="Q50" s="74">
        <f t="shared" si="2"/>
        <v>0.36</v>
      </c>
      <c r="R50" s="53">
        <v>13.8</v>
      </c>
      <c r="S50" s="53">
        <v>88</v>
      </c>
      <c r="T50" s="16">
        <f t="shared" si="0"/>
        <v>36</v>
      </c>
      <c r="U50" s="53">
        <v>321</v>
      </c>
      <c r="V50" s="16">
        <f t="shared" si="1"/>
        <v>25</v>
      </c>
      <c r="W50" s="53">
        <v>2</v>
      </c>
      <c r="X50" s="53" t="s">
        <v>46</v>
      </c>
      <c r="Y50" s="53" t="s">
        <v>84</v>
      </c>
      <c r="Z50" s="53" t="s">
        <v>90</v>
      </c>
      <c r="AA50" s="53" t="s">
        <v>40</v>
      </c>
      <c r="AB50" s="53" t="s">
        <v>316</v>
      </c>
      <c r="AV50" s="27"/>
    </row>
    <row r="51" spans="1:48" x14ac:dyDescent="0.15">
      <c r="A51" s="53" t="s">
        <v>59</v>
      </c>
      <c r="B51" s="53" t="s">
        <v>236</v>
      </c>
      <c r="C51" s="62">
        <v>2019</v>
      </c>
      <c r="D51" s="135" t="s">
        <v>167</v>
      </c>
      <c r="E51" s="53" t="s">
        <v>331</v>
      </c>
      <c r="F51" s="53" t="s">
        <v>332</v>
      </c>
      <c r="G51" s="53" t="s">
        <v>36</v>
      </c>
      <c r="H51" s="53" t="s">
        <v>164</v>
      </c>
      <c r="I51" s="53" t="s">
        <v>159</v>
      </c>
      <c r="J51" s="53" t="s">
        <v>38</v>
      </c>
      <c r="K51" s="53" t="s">
        <v>161</v>
      </c>
      <c r="L51" s="53">
        <v>2</v>
      </c>
      <c r="N51" s="53">
        <v>5</v>
      </c>
      <c r="O51" s="53">
        <v>0.28999999999999998</v>
      </c>
      <c r="P51" s="53">
        <v>0.31</v>
      </c>
      <c r="Q51" s="74">
        <f t="shared" si="2"/>
        <v>0.3</v>
      </c>
      <c r="R51" s="53">
        <v>13.7</v>
      </c>
      <c r="S51" s="53">
        <v>90</v>
      </c>
      <c r="T51" s="16">
        <f t="shared" si="0"/>
        <v>36</v>
      </c>
      <c r="U51" s="53">
        <v>321</v>
      </c>
      <c r="V51" s="16">
        <f t="shared" si="1"/>
        <v>25</v>
      </c>
      <c r="W51" s="53">
        <v>2</v>
      </c>
      <c r="X51" s="53" t="s">
        <v>46</v>
      </c>
      <c r="Y51" s="53" t="s">
        <v>84</v>
      </c>
      <c r="Z51" s="53" t="s">
        <v>90</v>
      </c>
      <c r="AA51" s="53" t="s">
        <v>40</v>
      </c>
      <c r="AB51" s="53" t="s">
        <v>316</v>
      </c>
      <c r="AV51" s="27"/>
    </row>
    <row r="52" spans="1:48" x14ac:dyDescent="0.15">
      <c r="A52" s="53" t="s">
        <v>59</v>
      </c>
      <c r="B52" s="53" t="s">
        <v>236</v>
      </c>
      <c r="C52" s="62">
        <v>2019</v>
      </c>
      <c r="D52" s="135" t="s">
        <v>167</v>
      </c>
      <c r="E52" s="53" t="s">
        <v>331</v>
      </c>
      <c r="F52" s="53" t="s">
        <v>332</v>
      </c>
      <c r="G52" s="53" t="s">
        <v>36</v>
      </c>
      <c r="H52" s="53" t="s">
        <v>164</v>
      </c>
      <c r="I52" s="53" t="s">
        <v>159</v>
      </c>
      <c r="J52" s="53" t="s">
        <v>38</v>
      </c>
      <c r="K52" s="53" t="s">
        <v>161</v>
      </c>
      <c r="L52" s="53">
        <v>3</v>
      </c>
      <c r="N52" s="53">
        <v>5</v>
      </c>
      <c r="O52" s="53">
        <v>0.33</v>
      </c>
      <c r="P52" s="53">
        <v>0.32</v>
      </c>
      <c r="Q52" s="74">
        <f t="shared" si="2"/>
        <v>0.32500000000000001</v>
      </c>
      <c r="R52" s="53">
        <v>14.2</v>
      </c>
      <c r="S52" s="53">
        <v>87</v>
      </c>
      <c r="T52" s="16">
        <f t="shared" si="0"/>
        <v>36</v>
      </c>
      <c r="U52" s="53">
        <v>321</v>
      </c>
      <c r="V52" s="16">
        <f t="shared" si="1"/>
        <v>25</v>
      </c>
      <c r="W52" s="53">
        <v>2</v>
      </c>
      <c r="X52" s="53" t="s">
        <v>46</v>
      </c>
      <c r="Y52" s="53" t="s">
        <v>84</v>
      </c>
      <c r="Z52" s="53" t="s">
        <v>90</v>
      </c>
      <c r="AA52" s="53" t="s">
        <v>40</v>
      </c>
      <c r="AB52" s="53" t="s">
        <v>316</v>
      </c>
      <c r="AV52" s="27"/>
    </row>
    <row r="53" spans="1:48" x14ac:dyDescent="0.15">
      <c r="C53" s="62"/>
      <c r="D53" s="135"/>
      <c r="Q53" s="74"/>
    </row>
    <row r="54" spans="1:48" x14ac:dyDescent="0.15">
      <c r="C54" s="62"/>
      <c r="D54" s="135"/>
      <c r="Q54" s="74"/>
    </row>
    <row r="55" spans="1:48" x14ac:dyDescent="0.15">
      <c r="C55" s="62"/>
      <c r="Q55" s="74"/>
    </row>
    <row r="56" spans="1:48" x14ac:dyDescent="0.15">
      <c r="C56" s="62"/>
      <c r="Q56" s="74"/>
    </row>
    <row r="57" spans="1:48" x14ac:dyDescent="0.15">
      <c r="C57" s="62"/>
      <c r="Q57" s="74"/>
    </row>
    <row r="58" spans="1:48" x14ac:dyDescent="0.15">
      <c r="C58" s="62"/>
      <c r="Q58" s="74"/>
    </row>
    <row r="59" spans="1:48" x14ac:dyDescent="0.15">
      <c r="C59" s="62"/>
      <c r="Q59" s="74"/>
    </row>
    <row r="60" spans="1:48" x14ac:dyDescent="0.15">
      <c r="C60" s="62"/>
      <c r="Q60" s="74"/>
    </row>
    <row r="61" spans="1:48" x14ac:dyDescent="0.15">
      <c r="C61" s="62"/>
      <c r="Q61" s="74"/>
    </row>
    <row r="62" spans="1:48" x14ac:dyDescent="0.15">
      <c r="C62" s="62"/>
      <c r="Q62" s="74"/>
    </row>
    <row r="63" spans="1:48" x14ac:dyDescent="0.15">
      <c r="C63" s="62"/>
      <c r="Q63" s="74"/>
    </row>
    <row r="64" spans="1:48" x14ac:dyDescent="0.15">
      <c r="C64" s="62"/>
      <c r="Q64" s="74"/>
    </row>
    <row r="65" spans="3:22" x14ac:dyDescent="0.15">
      <c r="C65" s="62"/>
      <c r="Q65" s="74"/>
    </row>
    <row r="66" spans="3:22" x14ac:dyDescent="0.15">
      <c r="C66" s="62"/>
      <c r="Q66" s="74"/>
    </row>
    <row r="67" spans="3:22" x14ac:dyDescent="0.15">
      <c r="C67" s="62"/>
      <c r="Q67" s="74"/>
    </row>
    <row r="68" spans="3:22" x14ac:dyDescent="0.15">
      <c r="C68" s="62"/>
      <c r="Q68" s="74"/>
    </row>
    <row r="69" spans="3:22" x14ac:dyDescent="0.15">
      <c r="C69" s="62"/>
      <c r="Q69" s="74"/>
    </row>
    <row r="70" spans="3:22" x14ac:dyDescent="0.15">
      <c r="C70" s="62"/>
      <c r="Q70" s="74"/>
    </row>
    <row r="71" spans="3:22" x14ac:dyDescent="0.15">
      <c r="C71" s="62"/>
    </row>
    <row r="72" spans="3:22" x14ac:dyDescent="0.15">
      <c r="C72" s="62"/>
    </row>
    <row r="73" spans="3:22" x14ac:dyDescent="0.15">
      <c r="Q73" s="16" t="str">
        <f t="shared" ref="Q73:Q124" si="3">IF(OR(O73="",P73=""),"",AVERAGE(O73,P73))</f>
        <v/>
      </c>
      <c r="T73" s="16" t="str">
        <f t="shared" ref="T73:T124" si="4">IF(H73="","",IF(OR(H73="GREEN",H73="GK"),IF(S73&gt;=$AX$2,VLOOKUP(S73,$AX$2:$AY$12,2,1),""),IF(S73&gt;=$AZ$2,VLOOKUP(S73,$AZ$2:$BA$12,2,1),"")))</f>
        <v/>
      </c>
      <c r="V73" s="16" t="str">
        <f t="shared" ref="V73:V124" si="5">IF(J73="","",IF(OR(J73="GREEN",J73="GK"),IF(U73&gt;=$AX$2,VLOOKUP(U73,$AX$2:$AY$12,2,1),""),IF(U73&gt;=$AZ$2,VLOOKUP(U73,$AZ$2:$BA$12,2,1),"")))</f>
        <v/>
      </c>
    </row>
    <row r="74" spans="3:22" x14ac:dyDescent="0.15">
      <c r="Q74" s="16" t="str">
        <f t="shared" si="3"/>
        <v/>
      </c>
      <c r="T74" s="16" t="str">
        <f t="shared" si="4"/>
        <v/>
      </c>
      <c r="V74" s="16" t="str">
        <f t="shared" si="5"/>
        <v/>
      </c>
    </row>
    <row r="75" spans="3:22" x14ac:dyDescent="0.15">
      <c r="Q75" s="16" t="str">
        <f t="shared" si="3"/>
        <v/>
      </c>
      <c r="T75" s="16" t="str">
        <f t="shared" si="4"/>
        <v/>
      </c>
      <c r="V75" s="16" t="str">
        <f t="shared" si="5"/>
        <v/>
      </c>
    </row>
    <row r="76" spans="3:22" x14ac:dyDescent="0.15">
      <c r="Q76" s="16" t="str">
        <f t="shared" si="3"/>
        <v/>
      </c>
      <c r="T76" s="16" t="str">
        <f t="shared" si="4"/>
        <v/>
      </c>
      <c r="V76" s="16" t="str">
        <f t="shared" si="5"/>
        <v/>
      </c>
    </row>
    <row r="77" spans="3:22" x14ac:dyDescent="0.15">
      <c r="Q77" s="16" t="str">
        <f t="shared" si="3"/>
        <v/>
      </c>
      <c r="T77" s="16" t="str">
        <f t="shared" si="4"/>
        <v/>
      </c>
      <c r="V77" s="16" t="str">
        <f t="shared" si="5"/>
        <v/>
      </c>
    </row>
    <row r="78" spans="3:22" x14ac:dyDescent="0.15">
      <c r="Q78" s="16" t="str">
        <f t="shared" si="3"/>
        <v/>
      </c>
      <c r="T78" s="16" t="str">
        <f t="shared" si="4"/>
        <v/>
      </c>
      <c r="V78" s="16" t="str">
        <f t="shared" si="5"/>
        <v/>
      </c>
    </row>
    <row r="79" spans="3:22" x14ac:dyDescent="0.15">
      <c r="Q79" s="16" t="str">
        <f t="shared" si="3"/>
        <v/>
      </c>
      <c r="T79" s="16" t="str">
        <f t="shared" si="4"/>
        <v/>
      </c>
      <c r="V79" s="16" t="str">
        <f t="shared" si="5"/>
        <v/>
      </c>
    </row>
    <row r="80" spans="3:22" x14ac:dyDescent="0.15">
      <c r="Q80" s="16" t="str">
        <f t="shared" si="3"/>
        <v/>
      </c>
      <c r="T80" s="16" t="str">
        <f t="shared" si="4"/>
        <v/>
      </c>
      <c r="V80" s="16" t="str">
        <f t="shared" si="5"/>
        <v/>
      </c>
    </row>
    <row r="81" spans="17:22" x14ac:dyDescent="0.15">
      <c r="Q81" s="16" t="str">
        <f t="shared" si="3"/>
        <v/>
      </c>
      <c r="T81" s="16" t="str">
        <f t="shared" si="4"/>
        <v/>
      </c>
      <c r="V81" s="16" t="str">
        <f t="shared" si="5"/>
        <v/>
      </c>
    </row>
    <row r="82" spans="17:22" x14ac:dyDescent="0.15">
      <c r="Q82" s="16" t="str">
        <f t="shared" si="3"/>
        <v/>
      </c>
      <c r="T82" s="16" t="str">
        <f t="shared" si="4"/>
        <v/>
      </c>
      <c r="V82" s="16" t="str">
        <f t="shared" si="5"/>
        <v/>
      </c>
    </row>
    <row r="83" spans="17:22" x14ac:dyDescent="0.15">
      <c r="Q83" s="16" t="str">
        <f t="shared" si="3"/>
        <v/>
      </c>
      <c r="T83" s="16" t="str">
        <f t="shared" si="4"/>
        <v/>
      </c>
      <c r="V83" s="16" t="str">
        <f t="shared" si="5"/>
        <v/>
      </c>
    </row>
    <row r="84" spans="17:22" x14ac:dyDescent="0.15">
      <c r="Q84" s="16" t="str">
        <f t="shared" si="3"/>
        <v/>
      </c>
      <c r="T84" s="16" t="str">
        <f t="shared" si="4"/>
        <v/>
      </c>
      <c r="V84" s="16" t="str">
        <f t="shared" si="5"/>
        <v/>
      </c>
    </row>
    <row r="85" spans="17:22" x14ac:dyDescent="0.15">
      <c r="Q85" s="16" t="str">
        <f t="shared" si="3"/>
        <v/>
      </c>
      <c r="T85" s="16" t="str">
        <f t="shared" si="4"/>
        <v/>
      </c>
      <c r="V85" s="16" t="str">
        <f t="shared" si="5"/>
        <v/>
      </c>
    </row>
    <row r="86" spans="17:22" x14ac:dyDescent="0.15">
      <c r="Q86" s="16" t="str">
        <f t="shared" si="3"/>
        <v/>
      </c>
      <c r="T86" s="16" t="str">
        <f t="shared" si="4"/>
        <v/>
      </c>
      <c r="V86" s="16" t="str">
        <f t="shared" si="5"/>
        <v/>
      </c>
    </row>
    <row r="87" spans="17:22" x14ac:dyDescent="0.15">
      <c r="Q87" s="16" t="str">
        <f t="shared" si="3"/>
        <v/>
      </c>
      <c r="T87" s="16" t="str">
        <f t="shared" si="4"/>
        <v/>
      </c>
      <c r="V87" s="16" t="str">
        <f t="shared" si="5"/>
        <v/>
      </c>
    </row>
    <row r="88" spans="17:22" x14ac:dyDescent="0.15">
      <c r="Q88" s="16" t="str">
        <f t="shared" si="3"/>
        <v/>
      </c>
      <c r="T88" s="16" t="str">
        <f t="shared" si="4"/>
        <v/>
      </c>
      <c r="V88" s="16" t="str">
        <f t="shared" si="5"/>
        <v/>
      </c>
    </row>
    <row r="89" spans="17:22" x14ac:dyDescent="0.15">
      <c r="Q89" s="16" t="str">
        <f t="shared" si="3"/>
        <v/>
      </c>
      <c r="T89" s="16" t="str">
        <f t="shared" si="4"/>
        <v/>
      </c>
      <c r="V89" s="16" t="str">
        <f t="shared" si="5"/>
        <v/>
      </c>
    </row>
    <row r="90" spans="17:22" x14ac:dyDescent="0.15">
      <c r="Q90" s="16" t="str">
        <f t="shared" si="3"/>
        <v/>
      </c>
      <c r="T90" s="16" t="str">
        <f t="shared" si="4"/>
        <v/>
      </c>
      <c r="V90" s="16" t="str">
        <f t="shared" si="5"/>
        <v/>
      </c>
    </row>
    <row r="91" spans="17:22" x14ac:dyDescent="0.15">
      <c r="Q91" s="16" t="str">
        <f t="shared" si="3"/>
        <v/>
      </c>
      <c r="T91" s="16" t="str">
        <f t="shared" si="4"/>
        <v/>
      </c>
      <c r="V91" s="16" t="str">
        <f t="shared" si="5"/>
        <v/>
      </c>
    </row>
    <row r="92" spans="17:22" x14ac:dyDescent="0.15">
      <c r="Q92" s="16" t="str">
        <f t="shared" si="3"/>
        <v/>
      </c>
      <c r="T92" s="16" t="str">
        <f t="shared" si="4"/>
        <v/>
      </c>
      <c r="V92" s="16" t="str">
        <f t="shared" si="5"/>
        <v/>
      </c>
    </row>
    <row r="93" spans="17:22" x14ac:dyDescent="0.15">
      <c r="Q93" s="16" t="str">
        <f t="shared" si="3"/>
        <v/>
      </c>
      <c r="T93" s="16" t="str">
        <f t="shared" si="4"/>
        <v/>
      </c>
      <c r="V93" s="16" t="str">
        <f t="shared" si="5"/>
        <v/>
      </c>
    </row>
    <row r="94" spans="17:22" x14ac:dyDescent="0.15">
      <c r="Q94" s="16" t="str">
        <f t="shared" si="3"/>
        <v/>
      </c>
      <c r="T94" s="16" t="str">
        <f t="shared" si="4"/>
        <v/>
      </c>
      <c r="V94" s="16" t="str">
        <f t="shared" si="5"/>
        <v/>
      </c>
    </row>
    <row r="95" spans="17:22" x14ac:dyDescent="0.15">
      <c r="Q95" s="16" t="str">
        <f t="shared" si="3"/>
        <v/>
      </c>
      <c r="T95" s="16" t="str">
        <f t="shared" si="4"/>
        <v/>
      </c>
      <c r="V95" s="16" t="str">
        <f t="shared" si="5"/>
        <v/>
      </c>
    </row>
    <row r="96" spans="17: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sheetData>
  <autoFilter ref="A1:BA124" xr:uid="{00000000-0009-0000-0000-000000000000}"/>
  <phoneticPr fontId="3"/>
  <dataValidations count="19">
    <dataValidation type="list" allowBlank="1" showInputMessage="1" showErrorMessage="1" sqref="K2:K406" xr:uid="{E4ECB7BD-3F27-4994-BC2C-D377A5C73295}">
      <formula1>$AR$2:$AR$27</formula1>
    </dataValidation>
    <dataValidation type="list" allowBlank="1" showInputMessage="1" showErrorMessage="1" sqref="E2:E464" xr:uid="{297271E4-DD15-4722-8B66-30B1FD437B5A}">
      <formula1>$AG$2:$AG$11</formula1>
    </dataValidation>
    <dataValidation type="list" allowBlank="1" showInputMessage="1" showErrorMessage="1" sqref="H2:H464" xr:uid="{D2543E8D-DEAB-46F4-9151-D93995D2CC88}">
      <formula1>$AL$2:$AL$8</formula1>
    </dataValidation>
    <dataValidation type="decimal" allowBlank="1" showInputMessage="1" showErrorMessage="1" error="硬度を正しく入力して下さい。" sqref="O2:P464" xr:uid="{FAABEEDB-6BA8-4E82-9691-891AB354A457}">
      <formula1>0</formula1>
      <formula2>7</formula2>
    </dataValidation>
    <dataValidation type="list" allowBlank="1" showInputMessage="1" showErrorMessage="1" sqref="F2:F1418" xr:uid="{26477970-59FB-475F-AE44-4B459844075C}">
      <formula1>$AH$2:$AH$11</formula1>
    </dataValidation>
    <dataValidation type="list" allowBlank="1" showInputMessage="1" showErrorMessage="1" sqref="Y2:AA555" xr:uid="{049E9EE7-3B65-4727-B883-D66D465AF318}">
      <formula1>$AV$2:$AV$38</formula1>
    </dataValidation>
    <dataValidation type="list" allowBlank="1" showInputMessage="1" showErrorMessage="1" sqref="J2:J52" xr:uid="{C8E4888F-0196-4F64-865B-E1D9C8310C81}">
      <formula1>$AP$2:$AP$38</formula1>
    </dataValidation>
    <dataValidation type="list" allowBlank="1" showInputMessage="1" showErrorMessage="1" sqref="WVS983006:WVS983071 K65502:K65567 JG65502:JG65567 TC65502:TC65567 ACY65502:ACY65567 AMU65502:AMU65567 AWQ65502:AWQ65567 BGM65502:BGM65567 BQI65502:BQI65567 CAE65502:CAE65567 CKA65502:CKA65567 CTW65502:CTW65567 DDS65502:DDS65567 DNO65502:DNO65567 DXK65502:DXK65567 EHG65502:EHG65567 ERC65502:ERC65567 FAY65502:FAY65567 FKU65502:FKU65567 FUQ65502:FUQ65567 GEM65502:GEM65567 GOI65502:GOI65567 GYE65502:GYE65567 HIA65502:HIA65567 HRW65502:HRW65567 IBS65502:IBS65567 ILO65502:ILO65567 IVK65502:IVK65567 JFG65502:JFG65567 JPC65502:JPC65567 JYY65502:JYY65567 KIU65502:KIU65567 KSQ65502:KSQ65567 LCM65502:LCM65567 LMI65502:LMI65567 LWE65502:LWE65567 MGA65502:MGA65567 MPW65502:MPW65567 MZS65502:MZS65567 NJO65502:NJO65567 NTK65502:NTK65567 ODG65502:ODG65567 ONC65502:ONC65567 OWY65502:OWY65567 PGU65502:PGU65567 PQQ65502:PQQ65567 QAM65502:QAM65567 QKI65502:QKI65567 QUE65502:QUE65567 REA65502:REA65567 RNW65502:RNW65567 RXS65502:RXS65567 SHO65502:SHO65567 SRK65502:SRK65567 TBG65502:TBG65567 TLC65502:TLC65567 TUY65502:TUY65567 UEU65502:UEU65567 UOQ65502:UOQ65567 UYM65502:UYM65567 VII65502:VII65567 VSE65502:VSE65567 WCA65502:WCA65567 WLW65502:WLW65567 WVS65502:WVS65567 K131038:K131103 JG131038:JG131103 TC131038:TC131103 ACY131038:ACY131103 AMU131038:AMU131103 AWQ131038:AWQ131103 BGM131038:BGM131103 BQI131038:BQI131103 CAE131038:CAE131103 CKA131038:CKA131103 CTW131038:CTW131103 DDS131038:DDS131103 DNO131038:DNO131103 DXK131038:DXK131103 EHG131038:EHG131103 ERC131038:ERC131103 FAY131038:FAY131103 FKU131038:FKU131103 FUQ131038:FUQ131103 GEM131038:GEM131103 GOI131038:GOI131103 GYE131038:GYE131103 HIA131038:HIA131103 HRW131038:HRW131103 IBS131038:IBS131103 ILO131038:ILO131103 IVK131038:IVK131103 JFG131038:JFG131103 JPC131038:JPC131103 JYY131038:JYY131103 KIU131038:KIU131103 KSQ131038:KSQ131103 LCM131038:LCM131103 LMI131038:LMI131103 LWE131038:LWE131103 MGA131038:MGA131103 MPW131038:MPW131103 MZS131038:MZS131103 NJO131038:NJO131103 NTK131038:NTK131103 ODG131038:ODG131103 ONC131038:ONC131103 OWY131038:OWY131103 PGU131038:PGU131103 PQQ131038:PQQ131103 QAM131038:QAM131103 QKI131038:QKI131103 QUE131038:QUE131103 REA131038:REA131103 RNW131038:RNW131103 RXS131038:RXS131103 SHO131038:SHO131103 SRK131038:SRK131103 TBG131038:TBG131103 TLC131038:TLC131103 TUY131038:TUY131103 UEU131038:UEU131103 UOQ131038:UOQ131103 UYM131038:UYM131103 VII131038:VII131103 VSE131038:VSE131103 WCA131038:WCA131103 WLW131038:WLW131103 WVS131038:WVS131103 K196574:K196639 JG196574:JG196639 TC196574:TC196639 ACY196574:ACY196639 AMU196574:AMU196639 AWQ196574:AWQ196639 BGM196574:BGM196639 BQI196574:BQI196639 CAE196574:CAE196639 CKA196574:CKA196639 CTW196574:CTW196639 DDS196574:DDS196639 DNO196574:DNO196639 DXK196574:DXK196639 EHG196574:EHG196639 ERC196574:ERC196639 FAY196574:FAY196639 FKU196574:FKU196639 FUQ196574:FUQ196639 GEM196574:GEM196639 GOI196574:GOI196639 GYE196574:GYE196639 HIA196574:HIA196639 HRW196574:HRW196639 IBS196574:IBS196639 ILO196574:ILO196639 IVK196574:IVK196639 JFG196574:JFG196639 JPC196574:JPC196639 JYY196574:JYY196639 KIU196574:KIU196639 KSQ196574:KSQ196639 LCM196574:LCM196639 LMI196574:LMI196639 LWE196574:LWE196639 MGA196574:MGA196639 MPW196574:MPW196639 MZS196574:MZS196639 NJO196574:NJO196639 NTK196574:NTK196639 ODG196574:ODG196639 ONC196574:ONC196639 OWY196574:OWY196639 PGU196574:PGU196639 PQQ196574:PQQ196639 QAM196574:QAM196639 QKI196574:QKI196639 QUE196574:QUE196639 REA196574:REA196639 RNW196574:RNW196639 RXS196574:RXS196639 SHO196574:SHO196639 SRK196574:SRK196639 TBG196574:TBG196639 TLC196574:TLC196639 TUY196574:TUY196639 UEU196574:UEU196639 UOQ196574:UOQ196639 UYM196574:UYM196639 VII196574:VII196639 VSE196574:VSE196639 WCA196574:WCA196639 WLW196574:WLW196639 WVS196574:WVS196639 K262110:K262175 JG262110:JG262175 TC262110:TC262175 ACY262110:ACY262175 AMU262110:AMU262175 AWQ262110:AWQ262175 BGM262110:BGM262175 BQI262110:BQI262175 CAE262110:CAE262175 CKA262110:CKA262175 CTW262110:CTW262175 DDS262110:DDS262175 DNO262110:DNO262175 DXK262110:DXK262175 EHG262110:EHG262175 ERC262110:ERC262175 FAY262110:FAY262175 FKU262110:FKU262175 FUQ262110:FUQ262175 GEM262110:GEM262175 GOI262110:GOI262175 GYE262110:GYE262175 HIA262110:HIA262175 HRW262110:HRW262175 IBS262110:IBS262175 ILO262110:ILO262175 IVK262110:IVK262175 JFG262110:JFG262175 JPC262110:JPC262175 JYY262110:JYY262175 KIU262110:KIU262175 KSQ262110:KSQ262175 LCM262110:LCM262175 LMI262110:LMI262175 LWE262110:LWE262175 MGA262110:MGA262175 MPW262110:MPW262175 MZS262110:MZS262175 NJO262110:NJO262175 NTK262110:NTK262175 ODG262110:ODG262175 ONC262110:ONC262175 OWY262110:OWY262175 PGU262110:PGU262175 PQQ262110:PQQ262175 QAM262110:QAM262175 QKI262110:QKI262175 QUE262110:QUE262175 REA262110:REA262175 RNW262110:RNW262175 RXS262110:RXS262175 SHO262110:SHO262175 SRK262110:SRK262175 TBG262110:TBG262175 TLC262110:TLC262175 TUY262110:TUY262175 UEU262110:UEU262175 UOQ262110:UOQ262175 UYM262110:UYM262175 VII262110:VII262175 VSE262110:VSE262175 WCA262110:WCA262175 WLW262110:WLW262175 WVS262110:WVS262175 K327646:K327711 JG327646:JG327711 TC327646:TC327711 ACY327646:ACY327711 AMU327646:AMU327711 AWQ327646:AWQ327711 BGM327646:BGM327711 BQI327646:BQI327711 CAE327646:CAE327711 CKA327646:CKA327711 CTW327646:CTW327711 DDS327646:DDS327711 DNO327646:DNO327711 DXK327646:DXK327711 EHG327646:EHG327711 ERC327646:ERC327711 FAY327646:FAY327711 FKU327646:FKU327711 FUQ327646:FUQ327711 GEM327646:GEM327711 GOI327646:GOI327711 GYE327646:GYE327711 HIA327646:HIA327711 HRW327646:HRW327711 IBS327646:IBS327711 ILO327646:ILO327711 IVK327646:IVK327711 JFG327646:JFG327711 JPC327646:JPC327711 JYY327646:JYY327711 KIU327646:KIU327711 KSQ327646:KSQ327711 LCM327646:LCM327711 LMI327646:LMI327711 LWE327646:LWE327711 MGA327646:MGA327711 MPW327646:MPW327711 MZS327646:MZS327711 NJO327646:NJO327711 NTK327646:NTK327711 ODG327646:ODG327711 ONC327646:ONC327711 OWY327646:OWY327711 PGU327646:PGU327711 PQQ327646:PQQ327711 QAM327646:QAM327711 QKI327646:QKI327711 QUE327646:QUE327711 REA327646:REA327711 RNW327646:RNW327711 RXS327646:RXS327711 SHO327646:SHO327711 SRK327646:SRK327711 TBG327646:TBG327711 TLC327646:TLC327711 TUY327646:TUY327711 UEU327646:UEU327711 UOQ327646:UOQ327711 UYM327646:UYM327711 VII327646:VII327711 VSE327646:VSE327711 WCA327646:WCA327711 WLW327646:WLW327711 WVS327646:WVS327711 K393182:K393247 JG393182:JG393247 TC393182:TC393247 ACY393182:ACY393247 AMU393182:AMU393247 AWQ393182:AWQ393247 BGM393182:BGM393247 BQI393182:BQI393247 CAE393182:CAE393247 CKA393182:CKA393247 CTW393182:CTW393247 DDS393182:DDS393247 DNO393182:DNO393247 DXK393182:DXK393247 EHG393182:EHG393247 ERC393182:ERC393247 FAY393182:FAY393247 FKU393182:FKU393247 FUQ393182:FUQ393247 GEM393182:GEM393247 GOI393182:GOI393247 GYE393182:GYE393247 HIA393182:HIA393247 HRW393182:HRW393247 IBS393182:IBS393247 ILO393182:ILO393247 IVK393182:IVK393247 JFG393182:JFG393247 JPC393182:JPC393247 JYY393182:JYY393247 KIU393182:KIU393247 KSQ393182:KSQ393247 LCM393182:LCM393247 LMI393182:LMI393247 LWE393182:LWE393247 MGA393182:MGA393247 MPW393182:MPW393247 MZS393182:MZS393247 NJO393182:NJO393247 NTK393182:NTK393247 ODG393182:ODG393247 ONC393182:ONC393247 OWY393182:OWY393247 PGU393182:PGU393247 PQQ393182:PQQ393247 QAM393182:QAM393247 QKI393182:QKI393247 QUE393182:QUE393247 REA393182:REA393247 RNW393182:RNW393247 RXS393182:RXS393247 SHO393182:SHO393247 SRK393182:SRK393247 TBG393182:TBG393247 TLC393182:TLC393247 TUY393182:TUY393247 UEU393182:UEU393247 UOQ393182:UOQ393247 UYM393182:UYM393247 VII393182:VII393247 VSE393182:VSE393247 WCA393182:WCA393247 WLW393182:WLW393247 WVS393182:WVS393247 K458718:K458783 JG458718:JG458783 TC458718:TC458783 ACY458718:ACY458783 AMU458718:AMU458783 AWQ458718:AWQ458783 BGM458718:BGM458783 BQI458718:BQI458783 CAE458718:CAE458783 CKA458718:CKA458783 CTW458718:CTW458783 DDS458718:DDS458783 DNO458718:DNO458783 DXK458718:DXK458783 EHG458718:EHG458783 ERC458718:ERC458783 FAY458718:FAY458783 FKU458718:FKU458783 FUQ458718:FUQ458783 GEM458718:GEM458783 GOI458718:GOI458783 GYE458718:GYE458783 HIA458718:HIA458783 HRW458718:HRW458783 IBS458718:IBS458783 ILO458718:ILO458783 IVK458718:IVK458783 JFG458718:JFG458783 JPC458718:JPC458783 JYY458718:JYY458783 KIU458718:KIU458783 KSQ458718:KSQ458783 LCM458718:LCM458783 LMI458718:LMI458783 LWE458718:LWE458783 MGA458718:MGA458783 MPW458718:MPW458783 MZS458718:MZS458783 NJO458718:NJO458783 NTK458718:NTK458783 ODG458718:ODG458783 ONC458718:ONC458783 OWY458718:OWY458783 PGU458718:PGU458783 PQQ458718:PQQ458783 QAM458718:QAM458783 QKI458718:QKI458783 QUE458718:QUE458783 REA458718:REA458783 RNW458718:RNW458783 RXS458718:RXS458783 SHO458718:SHO458783 SRK458718:SRK458783 TBG458718:TBG458783 TLC458718:TLC458783 TUY458718:TUY458783 UEU458718:UEU458783 UOQ458718:UOQ458783 UYM458718:UYM458783 VII458718:VII458783 VSE458718:VSE458783 WCA458718:WCA458783 WLW458718:WLW458783 WVS458718:WVS458783 K524254:K524319 JG524254:JG524319 TC524254:TC524319 ACY524254:ACY524319 AMU524254:AMU524319 AWQ524254:AWQ524319 BGM524254:BGM524319 BQI524254:BQI524319 CAE524254:CAE524319 CKA524254:CKA524319 CTW524254:CTW524319 DDS524254:DDS524319 DNO524254:DNO524319 DXK524254:DXK524319 EHG524254:EHG524319 ERC524254:ERC524319 FAY524254:FAY524319 FKU524254:FKU524319 FUQ524254:FUQ524319 GEM524254:GEM524319 GOI524254:GOI524319 GYE524254:GYE524319 HIA524254:HIA524319 HRW524254:HRW524319 IBS524254:IBS524319 ILO524254:ILO524319 IVK524254:IVK524319 JFG524254:JFG524319 JPC524254:JPC524319 JYY524254:JYY524319 KIU524254:KIU524319 KSQ524254:KSQ524319 LCM524254:LCM524319 LMI524254:LMI524319 LWE524254:LWE524319 MGA524254:MGA524319 MPW524254:MPW524319 MZS524254:MZS524319 NJO524254:NJO524319 NTK524254:NTK524319 ODG524254:ODG524319 ONC524254:ONC524319 OWY524254:OWY524319 PGU524254:PGU524319 PQQ524254:PQQ524319 QAM524254:QAM524319 QKI524254:QKI524319 QUE524254:QUE524319 REA524254:REA524319 RNW524254:RNW524319 RXS524254:RXS524319 SHO524254:SHO524319 SRK524254:SRK524319 TBG524254:TBG524319 TLC524254:TLC524319 TUY524254:TUY524319 UEU524254:UEU524319 UOQ524254:UOQ524319 UYM524254:UYM524319 VII524254:VII524319 VSE524254:VSE524319 WCA524254:WCA524319 WLW524254:WLW524319 WVS524254:WVS524319 K589790:K589855 JG589790:JG589855 TC589790:TC589855 ACY589790:ACY589855 AMU589790:AMU589855 AWQ589790:AWQ589855 BGM589790:BGM589855 BQI589790:BQI589855 CAE589790:CAE589855 CKA589790:CKA589855 CTW589790:CTW589855 DDS589790:DDS589855 DNO589790:DNO589855 DXK589790:DXK589855 EHG589790:EHG589855 ERC589790:ERC589855 FAY589790:FAY589855 FKU589790:FKU589855 FUQ589790:FUQ589855 GEM589790:GEM589855 GOI589790:GOI589855 GYE589790:GYE589855 HIA589790:HIA589855 HRW589790:HRW589855 IBS589790:IBS589855 ILO589790:ILO589855 IVK589790:IVK589855 JFG589790:JFG589855 JPC589790:JPC589855 JYY589790:JYY589855 KIU589790:KIU589855 KSQ589790:KSQ589855 LCM589790:LCM589855 LMI589790:LMI589855 LWE589790:LWE589855 MGA589790:MGA589855 MPW589790:MPW589855 MZS589790:MZS589855 NJO589790:NJO589855 NTK589790:NTK589855 ODG589790:ODG589855 ONC589790:ONC589855 OWY589790:OWY589855 PGU589790:PGU589855 PQQ589790:PQQ589855 QAM589790:QAM589855 QKI589790:QKI589855 QUE589790:QUE589855 REA589790:REA589855 RNW589790:RNW589855 RXS589790:RXS589855 SHO589790:SHO589855 SRK589790:SRK589855 TBG589790:TBG589855 TLC589790:TLC589855 TUY589790:TUY589855 UEU589790:UEU589855 UOQ589790:UOQ589855 UYM589790:UYM589855 VII589790:VII589855 VSE589790:VSE589855 WCA589790:WCA589855 WLW589790:WLW589855 WVS589790:WVS589855 K655326:K655391 JG655326:JG655391 TC655326:TC655391 ACY655326:ACY655391 AMU655326:AMU655391 AWQ655326:AWQ655391 BGM655326:BGM655391 BQI655326:BQI655391 CAE655326:CAE655391 CKA655326:CKA655391 CTW655326:CTW655391 DDS655326:DDS655391 DNO655326:DNO655391 DXK655326:DXK655391 EHG655326:EHG655391 ERC655326:ERC655391 FAY655326:FAY655391 FKU655326:FKU655391 FUQ655326:FUQ655391 GEM655326:GEM655391 GOI655326:GOI655391 GYE655326:GYE655391 HIA655326:HIA655391 HRW655326:HRW655391 IBS655326:IBS655391 ILO655326:ILO655391 IVK655326:IVK655391 JFG655326:JFG655391 JPC655326:JPC655391 JYY655326:JYY655391 KIU655326:KIU655391 KSQ655326:KSQ655391 LCM655326:LCM655391 LMI655326:LMI655391 LWE655326:LWE655391 MGA655326:MGA655391 MPW655326:MPW655391 MZS655326:MZS655391 NJO655326:NJO655391 NTK655326:NTK655391 ODG655326:ODG655391 ONC655326:ONC655391 OWY655326:OWY655391 PGU655326:PGU655391 PQQ655326:PQQ655391 QAM655326:QAM655391 QKI655326:QKI655391 QUE655326:QUE655391 REA655326:REA655391 RNW655326:RNW655391 RXS655326:RXS655391 SHO655326:SHO655391 SRK655326:SRK655391 TBG655326:TBG655391 TLC655326:TLC655391 TUY655326:TUY655391 UEU655326:UEU655391 UOQ655326:UOQ655391 UYM655326:UYM655391 VII655326:VII655391 VSE655326:VSE655391 WCA655326:WCA655391 WLW655326:WLW655391 WVS655326:WVS655391 K720862:K720927 JG720862:JG720927 TC720862:TC720927 ACY720862:ACY720927 AMU720862:AMU720927 AWQ720862:AWQ720927 BGM720862:BGM720927 BQI720862:BQI720927 CAE720862:CAE720927 CKA720862:CKA720927 CTW720862:CTW720927 DDS720862:DDS720927 DNO720862:DNO720927 DXK720862:DXK720927 EHG720862:EHG720927 ERC720862:ERC720927 FAY720862:FAY720927 FKU720862:FKU720927 FUQ720862:FUQ720927 GEM720862:GEM720927 GOI720862:GOI720927 GYE720862:GYE720927 HIA720862:HIA720927 HRW720862:HRW720927 IBS720862:IBS720927 ILO720862:ILO720927 IVK720862:IVK720927 JFG720862:JFG720927 JPC720862:JPC720927 JYY720862:JYY720927 KIU720862:KIU720927 KSQ720862:KSQ720927 LCM720862:LCM720927 LMI720862:LMI720927 LWE720862:LWE720927 MGA720862:MGA720927 MPW720862:MPW720927 MZS720862:MZS720927 NJO720862:NJO720927 NTK720862:NTK720927 ODG720862:ODG720927 ONC720862:ONC720927 OWY720862:OWY720927 PGU720862:PGU720927 PQQ720862:PQQ720927 QAM720862:QAM720927 QKI720862:QKI720927 QUE720862:QUE720927 REA720862:REA720927 RNW720862:RNW720927 RXS720862:RXS720927 SHO720862:SHO720927 SRK720862:SRK720927 TBG720862:TBG720927 TLC720862:TLC720927 TUY720862:TUY720927 UEU720862:UEU720927 UOQ720862:UOQ720927 UYM720862:UYM720927 VII720862:VII720927 VSE720862:VSE720927 WCA720862:WCA720927 WLW720862:WLW720927 WVS720862:WVS720927 K786398:K786463 JG786398:JG786463 TC786398:TC786463 ACY786398:ACY786463 AMU786398:AMU786463 AWQ786398:AWQ786463 BGM786398:BGM786463 BQI786398:BQI786463 CAE786398:CAE786463 CKA786398:CKA786463 CTW786398:CTW786463 DDS786398:DDS786463 DNO786398:DNO786463 DXK786398:DXK786463 EHG786398:EHG786463 ERC786398:ERC786463 FAY786398:FAY786463 FKU786398:FKU786463 FUQ786398:FUQ786463 GEM786398:GEM786463 GOI786398:GOI786463 GYE786398:GYE786463 HIA786398:HIA786463 HRW786398:HRW786463 IBS786398:IBS786463 ILO786398:ILO786463 IVK786398:IVK786463 JFG786398:JFG786463 JPC786398:JPC786463 JYY786398:JYY786463 KIU786398:KIU786463 KSQ786398:KSQ786463 LCM786398:LCM786463 LMI786398:LMI786463 LWE786398:LWE786463 MGA786398:MGA786463 MPW786398:MPW786463 MZS786398:MZS786463 NJO786398:NJO786463 NTK786398:NTK786463 ODG786398:ODG786463 ONC786398:ONC786463 OWY786398:OWY786463 PGU786398:PGU786463 PQQ786398:PQQ786463 QAM786398:QAM786463 QKI786398:QKI786463 QUE786398:QUE786463 REA786398:REA786463 RNW786398:RNW786463 RXS786398:RXS786463 SHO786398:SHO786463 SRK786398:SRK786463 TBG786398:TBG786463 TLC786398:TLC786463 TUY786398:TUY786463 UEU786398:UEU786463 UOQ786398:UOQ786463 UYM786398:UYM786463 VII786398:VII786463 VSE786398:VSE786463 WCA786398:WCA786463 WLW786398:WLW786463 WVS786398:WVS786463 K851934:K851999 JG851934:JG851999 TC851934:TC851999 ACY851934:ACY851999 AMU851934:AMU851999 AWQ851934:AWQ851999 BGM851934:BGM851999 BQI851934:BQI851999 CAE851934:CAE851999 CKA851934:CKA851999 CTW851934:CTW851999 DDS851934:DDS851999 DNO851934:DNO851999 DXK851934:DXK851999 EHG851934:EHG851999 ERC851934:ERC851999 FAY851934:FAY851999 FKU851934:FKU851999 FUQ851934:FUQ851999 GEM851934:GEM851999 GOI851934:GOI851999 GYE851934:GYE851999 HIA851934:HIA851999 HRW851934:HRW851999 IBS851934:IBS851999 ILO851934:ILO851999 IVK851934:IVK851999 JFG851934:JFG851999 JPC851934:JPC851999 JYY851934:JYY851999 KIU851934:KIU851999 KSQ851934:KSQ851999 LCM851934:LCM851999 LMI851934:LMI851999 LWE851934:LWE851999 MGA851934:MGA851999 MPW851934:MPW851999 MZS851934:MZS851999 NJO851934:NJO851999 NTK851934:NTK851999 ODG851934:ODG851999 ONC851934:ONC851999 OWY851934:OWY851999 PGU851934:PGU851999 PQQ851934:PQQ851999 QAM851934:QAM851999 QKI851934:QKI851999 QUE851934:QUE851999 REA851934:REA851999 RNW851934:RNW851999 RXS851934:RXS851999 SHO851934:SHO851999 SRK851934:SRK851999 TBG851934:TBG851999 TLC851934:TLC851999 TUY851934:TUY851999 UEU851934:UEU851999 UOQ851934:UOQ851999 UYM851934:UYM851999 VII851934:VII851999 VSE851934:VSE851999 WCA851934:WCA851999 WLW851934:WLW851999 WVS851934:WVS851999 K917470:K917535 JG917470:JG917535 TC917470:TC917535 ACY917470:ACY917535 AMU917470:AMU917535 AWQ917470:AWQ917535 BGM917470:BGM917535 BQI917470:BQI917535 CAE917470:CAE917535 CKA917470:CKA917535 CTW917470:CTW917535 DDS917470:DDS917535 DNO917470:DNO917535 DXK917470:DXK917535 EHG917470:EHG917535 ERC917470:ERC917535 FAY917470:FAY917535 FKU917470:FKU917535 FUQ917470:FUQ917535 GEM917470:GEM917535 GOI917470:GOI917535 GYE917470:GYE917535 HIA917470:HIA917535 HRW917470:HRW917535 IBS917470:IBS917535 ILO917470:ILO917535 IVK917470:IVK917535 JFG917470:JFG917535 JPC917470:JPC917535 JYY917470:JYY917535 KIU917470:KIU917535 KSQ917470:KSQ917535 LCM917470:LCM917535 LMI917470:LMI917535 LWE917470:LWE917535 MGA917470:MGA917535 MPW917470:MPW917535 MZS917470:MZS917535 NJO917470:NJO917535 NTK917470:NTK917535 ODG917470:ODG917535 ONC917470:ONC917535 OWY917470:OWY917535 PGU917470:PGU917535 PQQ917470:PQQ917535 QAM917470:QAM917535 QKI917470:QKI917535 QUE917470:QUE917535 REA917470:REA917535 RNW917470:RNW917535 RXS917470:RXS917535 SHO917470:SHO917535 SRK917470:SRK917535 TBG917470:TBG917535 TLC917470:TLC917535 TUY917470:TUY917535 UEU917470:UEU917535 UOQ917470:UOQ917535 UYM917470:UYM917535 VII917470:VII917535 VSE917470:VSE917535 WCA917470:WCA917535 WLW917470:WLW917535 WVS917470:WVS917535 K983006:K983071 JG983006:JG983071 TC983006:TC983071 ACY983006:ACY983071 AMU983006:AMU983071 AWQ983006:AWQ983071 BGM983006:BGM983071 BQI983006:BQI983071 CAE983006:CAE983071 CKA983006:CKA983071 CTW983006:CTW983071 DDS983006:DDS983071 DNO983006:DNO983071 DXK983006:DXK983071 EHG983006:EHG983071 ERC983006:ERC983071 FAY983006:FAY983071 FKU983006:FKU983071 FUQ983006:FUQ983071 GEM983006:GEM983071 GOI983006:GOI983071 GYE983006:GYE983071 HIA983006:HIA983071 HRW983006:HRW983071 IBS983006:IBS983071 ILO983006:ILO983071 IVK983006:IVK983071 JFG983006:JFG983071 JPC983006:JPC983071 JYY983006:JYY983071 KIU983006:KIU983071 KSQ983006:KSQ983071 LCM983006:LCM983071 LMI983006:LMI983071 LWE983006:LWE983071 MGA983006:MGA983071 MPW983006:MPW983071 MZS983006:MZS983071 NJO983006:NJO983071 NTK983006:NTK983071 ODG983006:ODG983071 ONC983006:ONC983071 OWY983006:OWY983071 PGU983006:PGU983071 PQQ983006:PQQ983071 QAM983006:QAM983071 QKI983006:QKI983071 QUE983006:QUE983071 REA983006:REA983071 RNW983006:RNW983071 RXS983006:RXS983071 SHO983006:SHO983071 SRK983006:SRK983071 TBG983006:TBG983071 TLC983006:TLC983071 TUY983006:TUY983071 UEU983006:UEU983071 UOQ983006:UOQ983071 UYM983006:UYM983071 VII983006:VII983071 VSE983006:VSE983071 WCA983006:WCA983071 WLW983006:WLW983071 K407:K464 WLW2:WLW52 WCA2:WCA52 VSE2:VSE52 VII2:VII52 UYM2:UYM52 UOQ2:UOQ52 UEU2:UEU52 TUY2:TUY52 TLC2:TLC52 TBG2:TBG52 SRK2:SRK52 SHO2:SHO52 RXS2:RXS52 RNW2:RNW52 REA2:REA52 QUE2:QUE52 QKI2:QKI52 QAM2:QAM52 PQQ2:PQQ52 PGU2:PGU52 OWY2:OWY52 ONC2:ONC52 ODG2:ODG52 NTK2:NTK52 NJO2:NJO52 MZS2:MZS52 MPW2:MPW52 MGA2:MGA52 LWE2:LWE52 LMI2:LMI52 LCM2:LCM52 KSQ2:KSQ52 KIU2:KIU52 JYY2:JYY52 JPC2:JPC52 JFG2:JFG52 IVK2:IVK52 ILO2:ILO52 IBS2:IBS52 HRW2:HRW52 HIA2:HIA52 GYE2:GYE52 GOI2:GOI52 GEM2:GEM52 FUQ2:FUQ52 FKU2:FKU52 FAY2:FAY52 ERC2:ERC52 EHG2:EHG52 DXK2:DXK52 DNO2:DNO52 DDS2:DDS52 CTW2:CTW52 CKA2:CKA52 CAE2:CAE52 BQI2:BQI52 BGM2:BGM52 AWQ2:AWQ52 AMU2:AMU52 ACY2:ACY52 TC2:TC52 JG2:JG52 WVS2:WVS52" xr:uid="{163E0043-F49D-4564-B73E-807AA918BBCE}">
      <formula1>$AR$2:$AR$25</formula1>
    </dataValidation>
    <dataValidation type="list" allowBlank="1" showInputMessage="1" showErrorMessage="1" sqref="WVR983006:WVR983071 J65502:J65567 JF65502:JF65567 TB65502:TB65567 ACX65502:ACX65567 AMT65502:AMT65567 AWP65502:AWP65567 BGL65502:BGL65567 BQH65502:BQH65567 CAD65502:CAD65567 CJZ65502:CJZ65567 CTV65502:CTV65567 DDR65502:DDR65567 DNN65502:DNN65567 DXJ65502:DXJ65567 EHF65502:EHF65567 ERB65502:ERB65567 FAX65502:FAX65567 FKT65502:FKT65567 FUP65502:FUP65567 GEL65502:GEL65567 GOH65502:GOH65567 GYD65502:GYD65567 HHZ65502:HHZ65567 HRV65502:HRV65567 IBR65502:IBR65567 ILN65502:ILN65567 IVJ65502:IVJ65567 JFF65502:JFF65567 JPB65502:JPB65567 JYX65502:JYX65567 KIT65502:KIT65567 KSP65502:KSP65567 LCL65502:LCL65567 LMH65502:LMH65567 LWD65502:LWD65567 MFZ65502:MFZ65567 MPV65502:MPV65567 MZR65502:MZR65567 NJN65502:NJN65567 NTJ65502:NTJ65567 ODF65502:ODF65567 ONB65502:ONB65567 OWX65502:OWX65567 PGT65502:PGT65567 PQP65502:PQP65567 QAL65502:QAL65567 QKH65502:QKH65567 QUD65502:QUD65567 RDZ65502:RDZ65567 RNV65502:RNV65567 RXR65502:RXR65567 SHN65502:SHN65567 SRJ65502:SRJ65567 TBF65502:TBF65567 TLB65502:TLB65567 TUX65502:TUX65567 UET65502:UET65567 UOP65502:UOP65567 UYL65502:UYL65567 VIH65502:VIH65567 VSD65502:VSD65567 WBZ65502:WBZ65567 WLV65502:WLV65567 WVR65502:WVR65567 J131038:J131103 JF131038:JF131103 TB131038:TB131103 ACX131038:ACX131103 AMT131038:AMT131103 AWP131038:AWP131103 BGL131038:BGL131103 BQH131038:BQH131103 CAD131038:CAD131103 CJZ131038:CJZ131103 CTV131038:CTV131103 DDR131038:DDR131103 DNN131038:DNN131103 DXJ131038:DXJ131103 EHF131038:EHF131103 ERB131038:ERB131103 FAX131038:FAX131103 FKT131038:FKT131103 FUP131038:FUP131103 GEL131038:GEL131103 GOH131038:GOH131103 GYD131038:GYD131103 HHZ131038:HHZ131103 HRV131038:HRV131103 IBR131038:IBR131103 ILN131038:ILN131103 IVJ131038:IVJ131103 JFF131038:JFF131103 JPB131038:JPB131103 JYX131038:JYX131103 KIT131038:KIT131103 KSP131038:KSP131103 LCL131038:LCL131103 LMH131038:LMH131103 LWD131038:LWD131103 MFZ131038:MFZ131103 MPV131038:MPV131103 MZR131038:MZR131103 NJN131038:NJN131103 NTJ131038:NTJ131103 ODF131038:ODF131103 ONB131038:ONB131103 OWX131038:OWX131103 PGT131038:PGT131103 PQP131038:PQP131103 QAL131038:QAL131103 QKH131038:QKH131103 QUD131038:QUD131103 RDZ131038:RDZ131103 RNV131038:RNV131103 RXR131038:RXR131103 SHN131038:SHN131103 SRJ131038:SRJ131103 TBF131038:TBF131103 TLB131038:TLB131103 TUX131038:TUX131103 UET131038:UET131103 UOP131038:UOP131103 UYL131038:UYL131103 VIH131038:VIH131103 VSD131038:VSD131103 WBZ131038:WBZ131103 WLV131038:WLV131103 WVR131038:WVR131103 J196574:J196639 JF196574:JF196639 TB196574:TB196639 ACX196574:ACX196639 AMT196574:AMT196639 AWP196574:AWP196639 BGL196574:BGL196639 BQH196574:BQH196639 CAD196574:CAD196639 CJZ196574:CJZ196639 CTV196574:CTV196639 DDR196574:DDR196639 DNN196574:DNN196639 DXJ196574:DXJ196639 EHF196574:EHF196639 ERB196574:ERB196639 FAX196574:FAX196639 FKT196574:FKT196639 FUP196574:FUP196639 GEL196574:GEL196639 GOH196574:GOH196639 GYD196574:GYD196639 HHZ196574:HHZ196639 HRV196574:HRV196639 IBR196574:IBR196639 ILN196574:ILN196639 IVJ196574:IVJ196639 JFF196574:JFF196639 JPB196574:JPB196639 JYX196574:JYX196639 KIT196574:KIT196639 KSP196574:KSP196639 LCL196574:LCL196639 LMH196574:LMH196639 LWD196574:LWD196639 MFZ196574:MFZ196639 MPV196574:MPV196639 MZR196574:MZR196639 NJN196574:NJN196639 NTJ196574:NTJ196639 ODF196574:ODF196639 ONB196574:ONB196639 OWX196574:OWX196639 PGT196574:PGT196639 PQP196574:PQP196639 QAL196574:QAL196639 QKH196574:QKH196639 QUD196574:QUD196639 RDZ196574:RDZ196639 RNV196574:RNV196639 RXR196574:RXR196639 SHN196574:SHN196639 SRJ196574:SRJ196639 TBF196574:TBF196639 TLB196574:TLB196639 TUX196574:TUX196639 UET196574:UET196639 UOP196574:UOP196639 UYL196574:UYL196639 VIH196574:VIH196639 VSD196574:VSD196639 WBZ196574:WBZ196639 WLV196574:WLV196639 WVR196574:WVR196639 J262110:J262175 JF262110:JF262175 TB262110:TB262175 ACX262110:ACX262175 AMT262110:AMT262175 AWP262110:AWP262175 BGL262110:BGL262175 BQH262110:BQH262175 CAD262110:CAD262175 CJZ262110:CJZ262175 CTV262110:CTV262175 DDR262110:DDR262175 DNN262110:DNN262175 DXJ262110:DXJ262175 EHF262110:EHF262175 ERB262110:ERB262175 FAX262110:FAX262175 FKT262110:FKT262175 FUP262110:FUP262175 GEL262110:GEL262175 GOH262110:GOH262175 GYD262110:GYD262175 HHZ262110:HHZ262175 HRV262110:HRV262175 IBR262110:IBR262175 ILN262110:ILN262175 IVJ262110:IVJ262175 JFF262110:JFF262175 JPB262110:JPB262175 JYX262110:JYX262175 KIT262110:KIT262175 KSP262110:KSP262175 LCL262110:LCL262175 LMH262110:LMH262175 LWD262110:LWD262175 MFZ262110:MFZ262175 MPV262110:MPV262175 MZR262110:MZR262175 NJN262110:NJN262175 NTJ262110:NTJ262175 ODF262110:ODF262175 ONB262110:ONB262175 OWX262110:OWX262175 PGT262110:PGT262175 PQP262110:PQP262175 QAL262110:QAL262175 QKH262110:QKH262175 QUD262110:QUD262175 RDZ262110:RDZ262175 RNV262110:RNV262175 RXR262110:RXR262175 SHN262110:SHN262175 SRJ262110:SRJ262175 TBF262110:TBF262175 TLB262110:TLB262175 TUX262110:TUX262175 UET262110:UET262175 UOP262110:UOP262175 UYL262110:UYL262175 VIH262110:VIH262175 VSD262110:VSD262175 WBZ262110:WBZ262175 WLV262110:WLV262175 WVR262110:WVR262175 J327646:J327711 JF327646:JF327711 TB327646:TB327711 ACX327646:ACX327711 AMT327646:AMT327711 AWP327646:AWP327711 BGL327646:BGL327711 BQH327646:BQH327711 CAD327646:CAD327711 CJZ327646:CJZ327711 CTV327646:CTV327711 DDR327646:DDR327711 DNN327646:DNN327711 DXJ327646:DXJ327711 EHF327646:EHF327711 ERB327646:ERB327711 FAX327646:FAX327711 FKT327646:FKT327711 FUP327646:FUP327711 GEL327646:GEL327711 GOH327646:GOH327711 GYD327646:GYD327711 HHZ327646:HHZ327711 HRV327646:HRV327711 IBR327646:IBR327711 ILN327646:ILN327711 IVJ327646:IVJ327711 JFF327646:JFF327711 JPB327646:JPB327711 JYX327646:JYX327711 KIT327646:KIT327711 KSP327646:KSP327711 LCL327646:LCL327711 LMH327646:LMH327711 LWD327646:LWD327711 MFZ327646:MFZ327711 MPV327646:MPV327711 MZR327646:MZR327711 NJN327646:NJN327711 NTJ327646:NTJ327711 ODF327646:ODF327711 ONB327646:ONB327711 OWX327646:OWX327711 PGT327646:PGT327711 PQP327646:PQP327711 QAL327646:QAL327711 QKH327646:QKH327711 QUD327646:QUD327711 RDZ327646:RDZ327711 RNV327646:RNV327711 RXR327646:RXR327711 SHN327646:SHN327711 SRJ327646:SRJ327711 TBF327646:TBF327711 TLB327646:TLB327711 TUX327646:TUX327711 UET327646:UET327711 UOP327646:UOP327711 UYL327646:UYL327711 VIH327646:VIH327711 VSD327646:VSD327711 WBZ327646:WBZ327711 WLV327646:WLV327711 WVR327646:WVR327711 J393182:J393247 JF393182:JF393247 TB393182:TB393247 ACX393182:ACX393247 AMT393182:AMT393247 AWP393182:AWP393247 BGL393182:BGL393247 BQH393182:BQH393247 CAD393182:CAD393247 CJZ393182:CJZ393247 CTV393182:CTV393247 DDR393182:DDR393247 DNN393182:DNN393247 DXJ393182:DXJ393247 EHF393182:EHF393247 ERB393182:ERB393247 FAX393182:FAX393247 FKT393182:FKT393247 FUP393182:FUP393247 GEL393182:GEL393247 GOH393182:GOH393247 GYD393182:GYD393247 HHZ393182:HHZ393247 HRV393182:HRV393247 IBR393182:IBR393247 ILN393182:ILN393247 IVJ393182:IVJ393247 JFF393182:JFF393247 JPB393182:JPB393247 JYX393182:JYX393247 KIT393182:KIT393247 KSP393182:KSP393247 LCL393182:LCL393247 LMH393182:LMH393247 LWD393182:LWD393247 MFZ393182:MFZ393247 MPV393182:MPV393247 MZR393182:MZR393247 NJN393182:NJN393247 NTJ393182:NTJ393247 ODF393182:ODF393247 ONB393182:ONB393247 OWX393182:OWX393247 PGT393182:PGT393247 PQP393182:PQP393247 QAL393182:QAL393247 QKH393182:QKH393247 QUD393182:QUD393247 RDZ393182:RDZ393247 RNV393182:RNV393247 RXR393182:RXR393247 SHN393182:SHN393247 SRJ393182:SRJ393247 TBF393182:TBF393247 TLB393182:TLB393247 TUX393182:TUX393247 UET393182:UET393247 UOP393182:UOP393247 UYL393182:UYL393247 VIH393182:VIH393247 VSD393182:VSD393247 WBZ393182:WBZ393247 WLV393182:WLV393247 WVR393182:WVR393247 J458718:J458783 JF458718:JF458783 TB458718:TB458783 ACX458718:ACX458783 AMT458718:AMT458783 AWP458718:AWP458783 BGL458718:BGL458783 BQH458718:BQH458783 CAD458718:CAD458783 CJZ458718:CJZ458783 CTV458718:CTV458783 DDR458718:DDR458783 DNN458718:DNN458783 DXJ458718:DXJ458783 EHF458718:EHF458783 ERB458718:ERB458783 FAX458718:FAX458783 FKT458718:FKT458783 FUP458718:FUP458783 GEL458718:GEL458783 GOH458718:GOH458783 GYD458718:GYD458783 HHZ458718:HHZ458783 HRV458718:HRV458783 IBR458718:IBR458783 ILN458718:ILN458783 IVJ458718:IVJ458783 JFF458718:JFF458783 JPB458718:JPB458783 JYX458718:JYX458783 KIT458718:KIT458783 KSP458718:KSP458783 LCL458718:LCL458783 LMH458718:LMH458783 LWD458718:LWD458783 MFZ458718:MFZ458783 MPV458718:MPV458783 MZR458718:MZR458783 NJN458718:NJN458783 NTJ458718:NTJ458783 ODF458718:ODF458783 ONB458718:ONB458783 OWX458718:OWX458783 PGT458718:PGT458783 PQP458718:PQP458783 QAL458718:QAL458783 QKH458718:QKH458783 QUD458718:QUD458783 RDZ458718:RDZ458783 RNV458718:RNV458783 RXR458718:RXR458783 SHN458718:SHN458783 SRJ458718:SRJ458783 TBF458718:TBF458783 TLB458718:TLB458783 TUX458718:TUX458783 UET458718:UET458783 UOP458718:UOP458783 UYL458718:UYL458783 VIH458718:VIH458783 VSD458718:VSD458783 WBZ458718:WBZ458783 WLV458718:WLV458783 WVR458718:WVR458783 J524254:J524319 JF524254:JF524319 TB524254:TB524319 ACX524254:ACX524319 AMT524254:AMT524319 AWP524254:AWP524319 BGL524254:BGL524319 BQH524254:BQH524319 CAD524254:CAD524319 CJZ524254:CJZ524319 CTV524254:CTV524319 DDR524254:DDR524319 DNN524254:DNN524319 DXJ524254:DXJ524319 EHF524254:EHF524319 ERB524254:ERB524319 FAX524254:FAX524319 FKT524254:FKT524319 FUP524254:FUP524319 GEL524254:GEL524319 GOH524254:GOH524319 GYD524254:GYD524319 HHZ524254:HHZ524319 HRV524254:HRV524319 IBR524254:IBR524319 ILN524254:ILN524319 IVJ524254:IVJ524319 JFF524254:JFF524319 JPB524254:JPB524319 JYX524254:JYX524319 KIT524254:KIT524319 KSP524254:KSP524319 LCL524254:LCL524319 LMH524254:LMH524319 LWD524254:LWD524319 MFZ524254:MFZ524319 MPV524254:MPV524319 MZR524254:MZR524319 NJN524254:NJN524319 NTJ524254:NTJ524319 ODF524254:ODF524319 ONB524254:ONB524319 OWX524254:OWX524319 PGT524254:PGT524319 PQP524254:PQP524319 QAL524254:QAL524319 QKH524254:QKH524319 QUD524254:QUD524319 RDZ524254:RDZ524319 RNV524254:RNV524319 RXR524254:RXR524319 SHN524254:SHN524319 SRJ524254:SRJ524319 TBF524254:TBF524319 TLB524254:TLB524319 TUX524254:TUX524319 UET524254:UET524319 UOP524254:UOP524319 UYL524254:UYL524319 VIH524254:VIH524319 VSD524254:VSD524319 WBZ524254:WBZ524319 WLV524254:WLV524319 WVR524254:WVR524319 J589790:J589855 JF589790:JF589855 TB589790:TB589855 ACX589790:ACX589855 AMT589790:AMT589855 AWP589790:AWP589855 BGL589790:BGL589855 BQH589790:BQH589855 CAD589790:CAD589855 CJZ589790:CJZ589855 CTV589790:CTV589855 DDR589790:DDR589855 DNN589790:DNN589855 DXJ589790:DXJ589855 EHF589790:EHF589855 ERB589790:ERB589855 FAX589790:FAX589855 FKT589790:FKT589855 FUP589790:FUP589855 GEL589790:GEL589855 GOH589790:GOH589855 GYD589790:GYD589855 HHZ589790:HHZ589855 HRV589790:HRV589855 IBR589790:IBR589855 ILN589790:ILN589855 IVJ589790:IVJ589855 JFF589790:JFF589855 JPB589790:JPB589855 JYX589790:JYX589855 KIT589790:KIT589855 KSP589790:KSP589855 LCL589790:LCL589855 LMH589790:LMH589855 LWD589790:LWD589855 MFZ589790:MFZ589855 MPV589790:MPV589855 MZR589790:MZR589855 NJN589790:NJN589855 NTJ589790:NTJ589855 ODF589790:ODF589855 ONB589790:ONB589855 OWX589790:OWX589855 PGT589790:PGT589855 PQP589790:PQP589855 QAL589790:QAL589855 QKH589790:QKH589855 QUD589790:QUD589855 RDZ589790:RDZ589855 RNV589790:RNV589855 RXR589790:RXR589855 SHN589790:SHN589855 SRJ589790:SRJ589855 TBF589790:TBF589855 TLB589790:TLB589855 TUX589790:TUX589855 UET589790:UET589855 UOP589790:UOP589855 UYL589790:UYL589855 VIH589790:VIH589855 VSD589790:VSD589855 WBZ589790:WBZ589855 WLV589790:WLV589855 WVR589790:WVR589855 J655326:J655391 JF655326:JF655391 TB655326:TB655391 ACX655326:ACX655391 AMT655326:AMT655391 AWP655326:AWP655391 BGL655326:BGL655391 BQH655326:BQH655391 CAD655326:CAD655391 CJZ655326:CJZ655391 CTV655326:CTV655391 DDR655326:DDR655391 DNN655326:DNN655391 DXJ655326:DXJ655391 EHF655326:EHF655391 ERB655326:ERB655391 FAX655326:FAX655391 FKT655326:FKT655391 FUP655326:FUP655391 GEL655326:GEL655391 GOH655326:GOH655391 GYD655326:GYD655391 HHZ655326:HHZ655391 HRV655326:HRV655391 IBR655326:IBR655391 ILN655326:ILN655391 IVJ655326:IVJ655391 JFF655326:JFF655391 JPB655326:JPB655391 JYX655326:JYX655391 KIT655326:KIT655391 KSP655326:KSP655391 LCL655326:LCL655391 LMH655326:LMH655391 LWD655326:LWD655391 MFZ655326:MFZ655391 MPV655326:MPV655391 MZR655326:MZR655391 NJN655326:NJN655391 NTJ655326:NTJ655391 ODF655326:ODF655391 ONB655326:ONB655391 OWX655326:OWX655391 PGT655326:PGT655391 PQP655326:PQP655391 QAL655326:QAL655391 QKH655326:QKH655391 QUD655326:QUD655391 RDZ655326:RDZ655391 RNV655326:RNV655391 RXR655326:RXR655391 SHN655326:SHN655391 SRJ655326:SRJ655391 TBF655326:TBF655391 TLB655326:TLB655391 TUX655326:TUX655391 UET655326:UET655391 UOP655326:UOP655391 UYL655326:UYL655391 VIH655326:VIH655391 VSD655326:VSD655391 WBZ655326:WBZ655391 WLV655326:WLV655391 WVR655326:WVR655391 J720862:J720927 JF720862:JF720927 TB720862:TB720927 ACX720862:ACX720927 AMT720862:AMT720927 AWP720862:AWP720927 BGL720862:BGL720927 BQH720862:BQH720927 CAD720862:CAD720927 CJZ720862:CJZ720927 CTV720862:CTV720927 DDR720862:DDR720927 DNN720862:DNN720927 DXJ720862:DXJ720927 EHF720862:EHF720927 ERB720862:ERB720927 FAX720862:FAX720927 FKT720862:FKT720927 FUP720862:FUP720927 GEL720862:GEL720927 GOH720862:GOH720927 GYD720862:GYD720927 HHZ720862:HHZ720927 HRV720862:HRV720927 IBR720862:IBR720927 ILN720862:ILN720927 IVJ720862:IVJ720927 JFF720862:JFF720927 JPB720862:JPB720927 JYX720862:JYX720927 KIT720862:KIT720927 KSP720862:KSP720927 LCL720862:LCL720927 LMH720862:LMH720927 LWD720862:LWD720927 MFZ720862:MFZ720927 MPV720862:MPV720927 MZR720862:MZR720927 NJN720862:NJN720927 NTJ720862:NTJ720927 ODF720862:ODF720927 ONB720862:ONB720927 OWX720862:OWX720927 PGT720862:PGT720927 PQP720862:PQP720927 QAL720862:QAL720927 QKH720862:QKH720927 QUD720862:QUD720927 RDZ720862:RDZ720927 RNV720862:RNV720927 RXR720862:RXR720927 SHN720862:SHN720927 SRJ720862:SRJ720927 TBF720862:TBF720927 TLB720862:TLB720927 TUX720862:TUX720927 UET720862:UET720927 UOP720862:UOP720927 UYL720862:UYL720927 VIH720862:VIH720927 VSD720862:VSD720927 WBZ720862:WBZ720927 WLV720862:WLV720927 WVR720862:WVR720927 J786398:J786463 JF786398:JF786463 TB786398:TB786463 ACX786398:ACX786463 AMT786398:AMT786463 AWP786398:AWP786463 BGL786398:BGL786463 BQH786398:BQH786463 CAD786398:CAD786463 CJZ786398:CJZ786463 CTV786398:CTV786463 DDR786398:DDR786463 DNN786398:DNN786463 DXJ786398:DXJ786463 EHF786398:EHF786463 ERB786398:ERB786463 FAX786398:FAX786463 FKT786398:FKT786463 FUP786398:FUP786463 GEL786398:GEL786463 GOH786398:GOH786463 GYD786398:GYD786463 HHZ786398:HHZ786463 HRV786398:HRV786463 IBR786398:IBR786463 ILN786398:ILN786463 IVJ786398:IVJ786463 JFF786398:JFF786463 JPB786398:JPB786463 JYX786398:JYX786463 KIT786398:KIT786463 KSP786398:KSP786463 LCL786398:LCL786463 LMH786398:LMH786463 LWD786398:LWD786463 MFZ786398:MFZ786463 MPV786398:MPV786463 MZR786398:MZR786463 NJN786398:NJN786463 NTJ786398:NTJ786463 ODF786398:ODF786463 ONB786398:ONB786463 OWX786398:OWX786463 PGT786398:PGT786463 PQP786398:PQP786463 QAL786398:QAL786463 QKH786398:QKH786463 QUD786398:QUD786463 RDZ786398:RDZ786463 RNV786398:RNV786463 RXR786398:RXR786463 SHN786398:SHN786463 SRJ786398:SRJ786463 TBF786398:TBF786463 TLB786398:TLB786463 TUX786398:TUX786463 UET786398:UET786463 UOP786398:UOP786463 UYL786398:UYL786463 VIH786398:VIH786463 VSD786398:VSD786463 WBZ786398:WBZ786463 WLV786398:WLV786463 WVR786398:WVR786463 J851934:J851999 JF851934:JF851999 TB851934:TB851999 ACX851934:ACX851999 AMT851934:AMT851999 AWP851934:AWP851999 BGL851934:BGL851999 BQH851934:BQH851999 CAD851934:CAD851999 CJZ851934:CJZ851999 CTV851934:CTV851999 DDR851934:DDR851999 DNN851934:DNN851999 DXJ851934:DXJ851999 EHF851934:EHF851999 ERB851934:ERB851999 FAX851934:FAX851999 FKT851934:FKT851999 FUP851934:FUP851999 GEL851934:GEL851999 GOH851934:GOH851999 GYD851934:GYD851999 HHZ851934:HHZ851999 HRV851934:HRV851999 IBR851934:IBR851999 ILN851934:ILN851999 IVJ851934:IVJ851999 JFF851934:JFF851999 JPB851934:JPB851999 JYX851934:JYX851999 KIT851934:KIT851999 KSP851934:KSP851999 LCL851934:LCL851999 LMH851934:LMH851999 LWD851934:LWD851999 MFZ851934:MFZ851999 MPV851934:MPV851999 MZR851934:MZR851999 NJN851934:NJN851999 NTJ851934:NTJ851999 ODF851934:ODF851999 ONB851934:ONB851999 OWX851934:OWX851999 PGT851934:PGT851999 PQP851934:PQP851999 QAL851934:QAL851999 QKH851934:QKH851999 QUD851934:QUD851999 RDZ851934:RDZ851999 RNV851934:RNV851999 RXR851934:RXR851999 SHN851934:SHN851999 SRJ851934:SRJ851999 TBF851934:TBF851999 TLB851934:TLB851999 TUX851934:TUX851999 UET851934:UET851999 UOP851934:UOP851999 UYL851934:UYL851999 VIH851934:VIH851999 VSD851934:VSD851999 WBZ851934:WBZ851999 WLV851934:WLV851999 WVR851934:WVR851999 J917470:J917535 JF917470:JF917535 TB917470:TB917535 ACX917470:ACX917535 AMT917470:AMT917535 AWP917470:AWP917535 BGL917470:BGL917535 BQH917470:BQH917535 CAD917470:CAD917535 CJZ917470:CJZ917535 CTV917470:CTV917535 DDR917470:DDR917535 DNN917470:DNN917535 DXJ917470:DXJ917535 EHF917470:EHF917535 ERB917470:ERB917535 FAX917470:FAX917535 FKT917470:FKT917535 FUP917470:FUP917535 GEL917470:GEL917535 GOH917470:GOH917535 GYD917470:GYD917535 HHZ917470:HHZ917535 HRV917470:HRV917535 IBR917470:IBR917535 ILN917470:ILN917535 IVJ917470:IVJ917535 JFF917470:JFF917535 JPB917470:JPB917535 JYX917470:JYX917535 KIT917470:KIT917535 KSP917470:KSP917535 LCL917470:LCL917535 LMH917470:LMH917535 LWD917470:LWD917535 MFZ917470:MFZ917535 MPV917470:MPV917535 MZR917470:MZR917535 NJN917470:NJN917535 NTJ917470:NTJ917535 ODF917470:ODF917535 ONB917470:ONB917535 OWX917470:OWX917535 PGT917470:PGT917535 PQP917470:PQP917535 QAL917470:QAL917535 QKH917470:QKH917535 QUD917470:QUD917535 RDZ917470:RDZ917535 RNV917470:RNV917535 RXR917470:RXR917535 SHN917470:SHN917535 SRJ917470:SRJ917535 TBF917470:TBF917535 TLB917470:TLB917535 TUX917470:TUX917535 UET917470:UET917535 UOP917470:UOP917535 UYL917470:UYL917535 VIH917470:VIH917535 VSD917470:VSD917535 WBZ917470:WBZ917535 WLV917470:WLV917535 WVR917470:WVR917535 J983006:J983071 JF983006:JF983071 TB983006:TB983071 ACX983006:ACX983071 AMT983006:AMT983071 AWP983006:AWP983071 BGL983006:BGL983071 BQH983006:BQH983071 CAD983006:CAD983071 CJZ983006:CJZ983071 CTV983006:CTV983071 DDR983006:DDR983071 DNN983006:DNN983071 DXJ983006:DXJ983071 EHF983006:EHF983071 ERB983006:ERB983071 FAX983006:FAX983071 FKT983006:FKT983071 FUP983006:FUP983071 GEL983006:GEL983071 GOH983006:GOH983071 GYD983006:GYD983071 HHZ983006:HHZ983071 HRV983006:HRV983071 IBR983006:IBR983071 ILN983006:ILN983071 IVJ983006:IVJ983071 JFF983006:JFF983071 JPB983006:JPB983071 JYX983006:JYX983071 KIT983006:KIT983071 KSP983006:KSP983071 LCL983006:LCL983071 LMH983006:LMH983071 LWD983006:LWD983071 MFZ983006:MFZ983071 MPV983006:MPV983071 MZR983006:MZR983071 NJN983006:NJN983071 NTJ983006:NTJ983071 ODF983006:ODF983071 ONB983006:ONB983071 OWX983006:OWX983071 PGT983006:PGT983071 PQP983006:PQP983071 QAL983006:QAL983071 QKH983006:QKH983071 QUD983006:QUD983071 RDZ983006:RDZ983071 RNV983006:RNV983071 RXR983006:RXR983071 SHN983006:SHN983071 SRJ983006:SRJ983071 TBF983006:TBF983071 TLB983006:TLB983071 TUX983006:TUX983071 UET983006:UET983071 UOP983006:UOP983071 UYL983006:UYL983071 VIH983006:VIH983071 VSD983006:VSD983071 WBZ983006:WBZ983071 WLV983006:WLV983071 WLV2:WLV52 WBZ2:WBZ52 VSD2:VSD52 VIH2:VIH52 UYL2:UYL52 UOP2:UOP52 UET2:UET52 TUX2:TUX52 TLB2:TLB52 TBF2:TBF52 SRJ2:SRJ52 SHN2:SHN52 RXR2:RXR52 RNV2:RNV52 RDZ2:RDZ52 QUD2:QUD52 QKH2:QKH52 QAL2:QAL52 PQP2:PQP52 PGT2:PGT52 OWX2:OWX52 ONB2:ONB52 ODF2:ODF52 NTJ2:NTJ52 NJN2:NJN52 MZR2:MZR52 MPV2:MPV52 MFZ2:MFZ52 LWD2:LWD52 LMH2:LMH52 LCL2:LCL52 KSP2:KSP52 KIT2:KIT52 JYX2:JYX52 JPB2:JPB52 JFF2:JFF52 IVJ2:IVJ52 ILN2:ILN52 IBR2:IBR52 HRV2:HRV52 HHZ2:HHZ52 GYD2:GYD52 GOH2:GOH52 GEL2:GEL52 FUP2:FUP52 FKT2:FKT52 FAX2:FAX52 ERB2:ERB52 EHF2:EHF52 DXJ2:DXJ52 DNN2:DNN52 DDR2:DDR52 CTV2:CTV52 CJZ2:CJZ52 CAD2:CAD52 BQH2:BQH52 BGL2:BGL52 AWP2:AWP52 AMT2:AMT52 ACX2:ACX52 TB2:TB52 JF2:JF52 WVR2:WVR52 J53:J464" xr:uid="{E6E177EC-7D17-4CE8-B071-79B2855023C4}">
      <formula1>$AP$2:$AP$27</formula1>
    </dataValidation>
    <dataValidation type="list" allowBlank="1" showInputMessage="1" showErrorMessage="1" sqref="WVP983006:WVP983071 H65502:H65567 JD65502:JD65567 SZ65502:SZ65567 ACV65502:ACV65567 AMR65502:AMR65567 AWN65502:AWN65567 BGJ65502:BGJ65567 BQF65502:BQF65567 CAB65502:CAB65567 CJX65502:CJX65567 CTT65502:CTT65567 DDP65502:DDP65567 DNL65502:DNL65567 DXH65502:DXH65567 EHD65502:EHD65567 EQZ65502:EQZ65567 FAV65502:FAV65567 FKR65502:FKR65567 FUN65502:FUN65567 GEJ65502:GEJ65567 GOF65502:GOF65567 GYB65502:GYB65567 HHX65502:HHX65567 HRT65502:HRT65567 IBP65502:IBP65567 ILL65502:ILL65567 IVH65502:IVH65567 JFD65502:JFD65567 JOZ65502:JOZ65567 JYV65502:JYV65567 KIR65502:KIR65567 KSN65502:KSN65567 LCJ65502:LCJ65567 LMF65502:LMF65567 LWB65502:LWB65567 MFX65502:MFX65567 MPT65502:MPT65567 MZP65502:MZP65567 NJL65502:NJL65567 NTH65502:NTH65567 ODD65502:ODD65567 OMZ65502:OMZ65567 OWV65502:OWV65567 PGR65502:PGR65567 PQN65502:PQN65567 QAJ65502:QAJ65567 QKF65502:QKF65567 QUB65502:QUB65567 RDX65502:RDX65567 RNT65502:RNT65567 RXP65502:RXP65567 SHL65502:SHL65567 SRH65502:SRH65567 TBD65502:TBD65567 TKZ65502:TKZ65567 TUV65502:TUV65567 UER65502:UER65567 UON65502:UON65567 UYJ65502:UYJ65567 VIF65502:VIF65567 VSB65502:VSB65567 WBX65502:WBX65567 WLT65502:WLT65567 WVP65502:WVP65567 H131038:H131103 JD131038:JD131103 SZ131038:SZ131103 ACV131038:ACV131103 AMR131038:AMR131103 AWN131038:AWN131103 BGJ131038:BGJ131103 BQF131038:BQF131103 CAB131038:CAB131103 CJX131038:CJX131103 CTT131038:CTT131103 DDP131038:DDP131103 DNL131038:DNL131103 DXH131038:DXH131103 EHD131038:EHD131103 EQZ131038:EQZ131103 FAV131038:FAV131103 FKR131038:FKR131103 FUN131038:FUN131103 GEJ131038:GEJ131103 GOF131038:GOF131103 GYB131038:GYB131103 HHX131038:HHX131103 HRT131038:HRT131103 IBP131038:IBP131103 ILL131038:ILL131103 IVH131038:IVH131103 JFD131038:JFD131103 JOZ131038:JOZ131103 JYV131038:JYV131103 KIR131038:KIR131103 KSN131038:KSN131103 LCJ131038:LCJ131103 LMF131038:LMF131103 LWB131038:LWB131103 MFX131038:MFX131103 MPT131038:MPT131103 MZP131038:MZP131103 NJL131038:NJL131103 NTH131038:NTH131103 ODD131038:ODD131103 OMZ131038:OMZ131103 OWV131038:OWV131103 PGR131038:PGR131103 PQN131038:PQN131103 QAJ131038:QAJ131103 QKF131038:QKF131103 QUB131038:QUB131103 RDX131038:RDX131103 RNT131038:RNT131103 RXP131038:RXP131103 SHL131038:SHL131103 SRH131038:SRH131103 TBD131038:TBD131103 TKZ131038:TKZ131103 TUV131038:TUV131103 UER131038:UER131103 UON131038:UON131103 UYJ131038:UYJ131103 VIF131038:VIF131103 VSB131038:VSB131103 WBX131038:WBX131103 WLT131038:WLT131103 WVP131038:WVP131103 H196574:H196639 JD196574:JD196639 SZ196574:SZ196639 ACV196574:ACV196639 AMR196574:AMR196639 AWN196574:AWN196639 BGJ196574:BGJ196639 BQF196574:BQF196639 CAB196574:CAB196639 CJX196574:CJX196639 CTT196574:CTT196639 DDP196574:DDP196639 DNL196574:DNL196639 DXH196574:DXH196639 EHD196574:EHD196639 EQZ196574:EQZ196639 FAV196574:FAV196639 FKR196574:FKR196639 FUN196574:FUN196639 GEJ196574:GEJ196639 GOF196574:GOF196639 GYB196574:GYB196639 HHX196574:HHX196639 HRT196574:HRT196639 IBP196574:IBP196639 ILL196574:ILL196639 IVH196574:IVH196639 JFD196574:JFD196639 JOZ196574:JOZ196639 JYV196574:JYV196639 KIR196574:KIR196639 KSN196574:KSN196639 LCJ196574:LCJ196639 LMF196574:LMF196639 LWB196574:LWB196639 MFX196574:MFX196639 MPT196574:MPT196639 MZP196574:MZP196639 NJL196574:NJL196639 NTH196574:NTH196639 ODD196574:ODD196639 OMZ196574:OMZ196639 OWV196574:OWV196639 PGR196574:PGR196639 PQN196574:PQN196639 QAJ196574:QAJ196639 QKF196574:QKF196639 QUB196574:QUB196639 RDX196574:RDX196639 RNT196574:RNT196639 RXP196574:RXP196639 SHL196574:SHL196639 SRH196574:SRH196639 TBD196574:TBD196639 TKZ196574:TKZ196639 TUV196574:TUV196639 UER196574:UER196639 UON196574:UON196639 UYJ196574:UYJ196639 VIF196574:VIF196639 VSB196574:VSB196639 WBX196574:WBX196639 WLT196574:WLT196639 WVP196574:WVP196639 H262110:H262175 JD262110:JD262175 SZ262110:SZ262175 ACV262110:ACV262175 AMR262110:AMR262175 AWN262110:AWN262175 BGJ262110:BGJ262175 BQF262110:BQF262175 CAB262110:CAB262175 CJX262110:CJX262175 CTT262110:CTT262175 DDP262110:DDP262175 DNL262110:DNL262175 DXH262110:DXH262175 EHD262110:EHD262175 EQZ262110:EQZ262175 FAV262110:FAV262175 FKR262110:FKR262175 FUN262110:FUN262175 GEJ262110:GEJ262175 GOF262110:GOF262175 GYB262110:GYB262175 HHX262110:HHX262175 HRT262110:HRT262175 IBP262110:IBP262175 ILL262110:ILL262175 IVH262110:IVH262175 JFD262110:JFD262175 JOZ262110:JOZ262175 JYV262110:JYV262175 KIR262110:KIR262175 KSN262110:KSN262175 LCJ262110:LCJ262175 LMF262110:LMF262175 LWB262110:LWB262175 MFX262110:MFX262175 MPT262110:MPT262175 MZP262110:MZP262175 NJL262110:NJL262175 NTH262110:NTH262175 ODD262110:ODD262175 OMZ262110:OMZ262175 OWV262110:OWV262175 PGR262110:PGR262175 PQN262110:PQN262175 QAJ262110:QAJ262175 QKF262110:QKF262175 QUB262110:QUB262175 RDX262110:RDX262175 RNT262110:RNT262175 RXP262110:RXP262175 SHL262110:SHL262175 SRH262110:SRH262175 TBD262110:TBD262175 TKZ262110:TKZ262175 TUV262110:TUV262175 UER262110:UER262175 UON262110:UON262175 UYJ262110:UYJ262175 VIF262110:VIF262175 VSB262110:VSB262175 WBX262110:WBX262175 WLT262110:WLT262175 WVP262110:WVP262175 H327646:H327711 JD327646:JD327711 SZ327646:SZ327711 ACV327646:ACV327711 AMR327646:AMR327711 AWN327646:AWN327711 BGJ327646:BGJ327711 BQF327646:BQF327711 CAB327646:CAB327711 CJX327646:CJX327711 CTT327646:CTT327711 DDP327646:DDP327711 DNL327646:DNL327711 DXH327646:DXH327711 EHD327646:EHD327711 EQZ327646:EQZ327711 FAV327646:FAV327711 FKR327646:FKR327711 FUN327646:FUN327711 GEJ327646:GEJ327711 GOF327646:GOF327711 GYB327646:GYB327711 HHX327646:HHX327711 HRT327646:HRT327711 IBP327646:IBP327711 ILL327646:ILL327711 IVH327646:IVH327711 JFD327646:JFD327711 JOZ327646:JOZ327711 JYV327646:JYV327711 KIR327646:KIR327711 KSN327646:KSN327711 LCJ327646:LCJ327711 LMF327646:LMF327711 LWB327646:LWB327711 MFX327646:MFX327711 MPT327646:MPT327711 MZP327646:MZP327711 NJL327646:NJL327711 NTH327646:NTH327711 ODD327646:ODD327711 OMZ327646:OMZ327711 OWV327646:OWV327711 PGR327646:PGR327711 PQN327646:PQN327711 QAJ327646:QAJ327711 QKF327646:QKF327711 QUB327646:QUB327711 RDX327646:RDX327711 RNT327646:RNT327711 RXP327646:RXP327711 SHL327646:SHL327711 SRH327646:SRH327711 TBD327646:TBD327711 TKZ327646:TKZ327711 TUV327646:TUV327711 UER327646:UER327711 UON327646:UON327711 UYJ327646:UYJ327711 VIF327646:VIF327711 VSB327646:VSB327711 WBX327646:WBX327711 WLT327646:WLT327711 WVP327646:WVP327711 H393182:H393247 JD393182:JD393247 SZ393182:SZ393247 ACV393182:ACV393247 AMR393182:AMR393247 AWN393182:AWN393247 BGJ393182:BGJ393247 BQF393182:BQF393247 CAB393182:CAB393247 CJX393182:CJX393247 CTT393182:CTT393247 DDP393182:DDP393247 DNL393182:DNL393247 DXH393182:DXH393247 EHD393182:EHD393247 EQZ393182:EQZ393247 FAV393182:FAV393247 FKR393182:FKR393247 FUN393182:FUN393247 GEJ393182:GEJ393247 GOF393182:GOF393247 GYB393182:GYB393247 HHX393182:HHX393247 HRT393182:HRT393247 IBP393182:IBP393247 ILL393182:ILL393247 IVH393182:IVH393247 JFD393182:JFD393247 JOZ393182:JOZ393247 JYV393182:JYV393247 KIR393182:KIR393247 KSN393182:KSN393247 LCJ393182:LCJ393247 LMF393182:LMF393247 LWB393182:LWB393247 MFX393182:MFX393247 MPT393182:MPT393247 MZP393182:MZP393247 NJL393182:NJL393247 NTH393182:NTH393247 ODD393182:ODD393247 OMZ393182:OMZ393247 OWV393182:OWV393247 PGR393182:PGR393247 PQN393182:PQN393247 QAJ393182:QAJ393247 QKF393182:QKF393247 QUB393182:QUB393247 RDX393182:RDX393247 RNT393182:RNT393247 RXP393182:RXP393247 SHL393182:SHL393247 SRH393182:SRH393247 TBD393182:TBD393247 TKZ393182:TKZ393247 TUV393182:TUV393247 UER393182:UER393247 UON393182:UON393247 UYJ393182:UYJ393247 VIF393182:VIF393247 VSB393182:VSB393247 WBX393182:WBX393247 WLT393182:WLT393247 WVP393182:WVP393247 H458718:H458783 JD458718:JD458783 SZ458718:SZ458783 ACV458718:ACV458783 AMR458718:AMR458783 AWN458718:AWN458783 BGJ458718:BGJ458783 BQF458718:BQF458783 CAB458718:CAB458783 CJX458718:CJX458783 CTT458718:CTT458783 DDP458718:DDP458783 DNL458718:DNL458783 DXH458718:DXH458783 EHD458718:EHD458783 EQZ458718:EQZ458783 FAV458718:FAV458783 FKR458718:FKR458783 FUN458718:FUN458783 GEJ458718:GEJ458783 GOF458718:GOF458783 GYB458718:GYB458783 HHX458718:HHX458783 HRT458718:HRT458783 IBP458718:IBP458783 ILL458718:ILL458783 IVH458718:IVH458783 JFD458718:JFD458783 JOZ458718:JOZ458783 JYV458718:JYV458783 KIR458718:KIR458783 KSN458718:KSN458783 LCJ458718:LCJ458783 LMF458718:LMF458783 LWB458718:LWB458783 MFX458718:MFX458783 MPT458718:MPT458783 MZP458718:MZP458783 NJL458718:NJL458783 NTH458718:NTH458783 ODD458718:ODD458783 OMZ458718:OMZ458783 OWV458718:OWV458783 PGR458718:PGR458783 PQN458718:PQN458783 QAJ458718:QAJ458783 QKF458718:QKF458783 QUB458718:QUB458783 RDX458718:RDX458783 RNT458718:RNT458783 RXP458718:RXP458783 SHL458718:SHL458783 SRH458718:SRH458783 TBD458718:TBD458783 TKZ458718:TKZ458783 TUV458718:TUV458783 UER458718:UER458783 UON458718:UON458783 UYJ458718:UYJ458783 VIF458718:VIF458783 VSB458718:VSB458783 WBX458718:WBX458783 WLT458718:WLT458783 WVP458718:WVP458783 H524254:H524319 JD524254:JD524319 SZ524254:SZ524319 ACV524254:ACV524319 AMR524254:AMR524319 AWN524254:AWN524319 BGJ524254:BGJ524319 BQF524254:BQF524319 CAB524254:CAB524319 CJX524254:CJX524319 CTT524254:CTT524319 DDP524254:DDP524319 DNL524254:DNL524319 DXH524254:DXH524319 EHD524254:EHD524319 EQZ524254:EQZ524319 FAV524254:FAV524319 FKR524254:FKR524319 FUN524254:FUN524319 GEJ524254:GEJ524319 GOF524254:GOF524319 GYB524254:GYB524319 HHX524254:HHX524319 HRT524254:HRT524319 IBP524254:IBP524319 ILL524254:ILL524319 IVH524254:IVH524319 JFD524254:JFD524319 JOZ524254:JOZ524319 JYV524254:JYV524319 KIR524254:KIR524319 KSN524254:KSN524319 LCJ524254:LCJ524319 LMF524254:LMF524319 LWB524254:LWB524319 MFX524254:MFX524319 MPT524254:MPT524319 MZP524254:MZP524319 NJL524254:NJL524319 NTH524254:NTH524319 ODD524254:ODD524319 OMZ524254:OMZ524319 OWV524254:OWV524319 PGR524254:PGR524319 PQN524254:PQN524319 QAJ524254:QAJ524319 QKF524254:QKF524319 QUB524254:QUB524319 RDX524254:RDX524319 RNT524254:RNT524319 RXP524254:RXP524319 SHL524254:SHL524319 SRH524254:SRH524319 TBD524254:TBD524319 TKZ524254:TKZ524319 TUV524254:TUV524319 UER524254:UER524319 UON524254:UON524319 UYJ524254:UYJ524319 VIF524254:VIF524319 VSB524254:VSB524319 WBX524254:WBX524319 WLT524254:WLT524319 WVP524254:WVP524319 H589790:H589855 JD589790:JD589855 SZ589790:SZ589855 ACV589790:ACV589855 AMR589790:AMR589855 AWN589790:AWN589855 BGJ589790:BGJ589855 BQF589790:BQF589855 CAB589790:CAB589855 CJX589790:CJX589855 CTT589790:CTT589855 DDP589790:DDP589855 DNL589790:DNL589855 DXH589790:DXH589855 EHD589790:EHD589855 EQZ589790:EQZ589855 FAV589790:FAV589855 FKR589790:FKR589855 FUN589790:FUN589855 GEJ589790:GEJ589855 GOF589790:GOF589855 GYB589790:GYB589855 HHX589790:HHX589855 HRT589790:HRT589855 IBP589790:IBP589855 ILL589790:ILL589855 IVH589790:IVH589855 JFD589790:JFD589855 JOZ589790:JOZ589855 JYV589790:JYV589855 KIR589790:KIR589855 KSN589790:KSN589855 LCJ589790:LCJ589855 LMF589790:LMF589855 LWB589790:LWB589855 MFX589790:MFX589855 MPT589790:MPT589855 MZP589790:MZP589855 NJL589790:NJL589855 NTH589790:NTH589855 ODD589790:ODD589855 OMZ589790:OMZ589855 OWV589790:OWV589855 PGR589790:PGR589855 PQN589790:PQN589855 QAJ589790:QAJ589855 QKF589790:QKF589855 QUB589790:QUB589855 RDX589790:RDX589855 RNT589790:RNT589855 RXP589790:RXP589855 SHL589790:SHL589855 SRH589790:SRH589855 TBD589790:TBD589855 TKZ589790:TKZ589855 TUV589790:TUV589855 UER589790:UER589855 UON589790:UON589855 UYJ589790:UYJ589855 VIF589790:VIF589855 VSB589790:VSB589855 WBX589790:WBX589855 WLT589790:WLT589855 WVP589790:WVP589855 H655326:H655391 JD655326:JD655391 SZ655326:SZ655391 ACV655326:ACV655391 AMR655326:AMR655391 AWN655326:AWN655391 BGJ655326:BGJ655391 BQF655326:BQF655391 CAB655326:CAB655391 CJX655326:CJX655391 CTT655326:CTT655391 DDP655326:DDP655391 DNL655326:DNL655391 DXH655326:DXH655391 EHD655326:EHD655391 EQZ655326:EQZ655391 FAV655326:FAV655391 FKR655326:FKR655391 FUN655326:FUN655391 GEJ655326:GEJ655391 GOF655326:GOF655391 GYB655326:GYB655391 HHX655326:HHX655391 HRT655326:HRT655391 IBP655326:IBP655391 ILL655326:ILL655391 IVH655326:IVH655391 JFD655326:JFD655391 JOZ655326:JOZ655391 JYV655326:JYV655391 KIR655326:KIR655391 KSN655326:KSN655391 LCJ655326:LCJ655391 LMF655326:LMF655391 LWB655326:LWB655391 MFX655326:MFX655391 MPT655326:MPT655391 MZP655326:MZP655391 NJL655326:NJL655391 NTH655326:NTH655391 ODD655326:ODD655391 OMZ655326:OMZ655391 OWV655326:OWV655391 PGR655326:PGR655391 PQN655326:PQN655391 QAJ655326:QAJ655391 QKF655326:QKF655391 QUB655326:QUB655391 RDX655326:RDX655391 RNT655326:RNT655391 RXP655326:RXP655391 SHL655326:SHL655391 SRH655326:SRH655391 TBD655326:TBD655391 TKZ655326:TKZ655391 TUV655326:TUV655391 UER655326:UER655391 UON655326:UON655391 UYJ655326:UYJ655391 VIF655326:VIF655391 VSB655326:VSB655391 WBX655326:WBX655391 WLT655326:WLT655391 WVP655326:WVP655391 H720862:H720927 JD720862:JD720927 SZ720862:SZ720927 ACV720862:ACV720927 AMR720862:AMR720927 AWN720862:AWN720927 BGJ720862:BGJ720927 BQF720862:BQF720927 CAB720862:CAB720927 CJX720862:CJX720927 CTT720862:CTT720927 DDP720862:DDP720927 DNL720862:DNL720927 DXH720862:DXH720927 EHD720862:EHD720927 EQZ720862:EQZ720927 FAV720862:FAV720927 FKR720862:FKR720927 FUN720862:FUN720927 GEJ720862:GEJ720927 GOF720862:GOF720927 GYB720862:GYB720927 HHX720862:HHX720927 HRT720862:HRT720927 IBP720862:IBP720927 ILL720862:ILL720927 IVH720862:IVH720927 JFD720862:JFD720927 JOZ720862:JOZ720927 JYV720862:JYV720927 KIR720862:KIR720927 KSN720862:KSN720927 LCJ720862:LCJ720927 LMF720862:LMF720927 LWB720862:LWB720927 MFX720862:MFX720927 MPT720862:MPT720927 MZP720862:MZP720927 NJL720862:NJL720927 NTH720862:NTH720927 ODD720862:ODD720927 OMZ720862:OMZ720927 OWV720862:OWV720927 PGR720862:PGR720927 PQN720862:PQN720927 QAJ720862:QAJ720927 QKF720862:QKF720927 QUB720862:QUB720927 RDX720862:RDX720927 RNT720862:RNT720927 RXP720862:RXP720927 SHL720862:SHL720927 SRH720862:SRH720927 TBD720862:TBD720927 TKZ720862:TKZ720927 TUV720862:TUV720927 UER720862:UER720927 UON720862:UON720927 UYJ720862:UYJ720927 VIF720862:VIF720927 VSB720862:VSB720927 WBX720862:WBX720927 WLT720862:WLT720927 WVP720862:WVP720927 H786398:H786463 JD786398:JD786463 SZ786398:SZ786463 ACV786398:ACV786463 AMR786398:AMR786463 AWN786398:AWN786463 BGJ786398:BGJ786463 BQF786398:BQF786463 CAB786398:CAB786463 CJX786398:CJX786463 CTT786398:CTT786463 DDP786398:DDP786463 DNL786398:DNL786463 DXH786398:DXH786463 EHD786398:EHD786463 EQZ786398:EQZ786463 FAV786398:FAV786463 FKR786398:FKR786463 FUN786398:FUN786463 GEJ786398:GEJ786463 GOF786398:GOF786463 GYB786398:GYB786463 HHX786398:HHX786463 HRT786398:HRT786463 IBP786398:IBP786463 ILL786398:ILL786463 IVH786398:IVH786463 JFD786398:JFD786463 JOZ786398:JOZ786463 JYV786398:JYV786463 KIR786398:KIR786463 KSN786398:KSN786463 LCJ786398:LCJ786463 LMF786398:LMF786463 LWB786398:LWB786463 MFX786398:MFX786463 MPT786398:MPT786463 MZP786398:MZP786463 NJL786398:NJL786463 NTH786398:NTH786463 ODD786398:ODD786463 OMZ786398:OMZ786463 OWV786398:OWV786463 PGR786398:PGR786463 PQN786398:PQN786463 QAJ786398:QAJ786463 QKF786398:QKF786463 QUB786398:QUB786463 RDX786398:RDX786463 RNT786398:RNT786463 RXP786398:RXP786463 SHL786398:SHL786463 SRH786398:SRH786463 TBD786398:TBD786463 TKZ786398:TKZ786463 TUV786398:TUV786463 UER786398:UER786463 UON786398:UON786463 UYJ786398:UYJ786463 VIF786398:VIF786463 VSB786398:VSB786463 WBX786398:WBX786463 WLT786398:WLT786463 WVP786398:WVP786463 H851934:H851999 JD851934:JD851999 SZ851934:SZ851999 ACV851934:ACV851999 AMR851934:AMR851999 AWN851934:AWN851999 BGJ851934:BGJ851999 BQF851934:BQF851999 CAB851934:CAB851999 CJX851934:CJX851999 CTT851934:CTT851999 DDP851934:DDP851999 DNL851934:DNL851999 DXH851934:DXH851999 EHD851934:EHD851999 EQZ851934:EQZ851999 FAV851934:FAV851999 FKR851934:FKR851999 FUN851934:FUN851999 GEJ851934:GEJ851999 GOF851934:GOF851999 GYB851934:GYB851999 HHX851934:HHX851999 HRT851934:HRT851999 IBP851934:IBP851999 ILL851934:ILL851999 IVH851934:IVH851999 JFD851934:JFD851999 JOZ851934:JOZ851999 JYV851934:JYV851999 KIR851934:KIR851999 KSN851934:KSN851999 LCJ851934:LCJ851999 LMF851934:LMF851999 LWB851934:LWB851999 MFX851934:MFX851999 MPT851934:MPT851999 MZP851934:MZP851999 NJL851934:NJL851999 NTH851934:NTH851999 ODD851934:ODD851999 OMZ851934:OMZ851999 OWV851934:OWV851999 PGR851934:PGR851999 PQN851934:PQN851999 QAJ851934:QAJ851999 QKF851934:QKF851999 QUB851934:QUB851999 RDX851934:RDX851999 RNT851934:RNT851999 RXP851934:RXP851999 SHL851934:SHL851999 SRH851934:SRH851999 TBD851934:TBD851999 TKZ851934:TKZ851999 TUV851934:TUV851999 UER851934:UER851999 UON851934:UON851999 UYJ851934:UYJ851999 VIF851934:VIF851999 VSB851934:VSB851999 WBX851934:WBX851999 WLT851934:WLT851999 WVP851934:WVP851999 H917470:H917535 JD917470:JD917535 SZ917470:SZ917535 ACV917470:ACV917535 AMR917470:AMR917535 AWN917470:AWN917535 BGJ917470:BGJ917535 BQF917470:BQF917535 CAB917470:CAB917535 CJX917470:CJX917535 CTT917470:CTT917535 DDP917470:DDP917535 DNL917470:DNL917535 DXH917470:DXH917535 EHD917470:EHD917535 EQZ917470:EQZ917535 FAV917470:FAV917535 FKR917470:FKR917535 FUN917470:FUN917535 GEJ917470:GEJ917535 GOF917470:GOF917535 GYB917470:GYB917535 HHX917470:HHX917535 HRT917470:HRT917535 IBP917470:IBP917535 ILL917470:ILL917535 IVH917470:IVH917535 JFD917470:JFD917535 JOZ917470:JOZ917535 JYV917470:JYV917535 KIR917470:KIR917535 KSN917470:KSN917535 LCJ917470:LCJ917535 LMF917470:LMF917535 LWB917470:LWB917535 MFX917470:MFX917535 MPT917470:MPT917535 MZP917470:MZP917535 NJL917470:NJL917535 NTH917470:NTH917535 ODD917470:ODD917535 OMZ917470:OMZ917535 OWV917470:OWV917535 PGR917470:PGR917535 PQN917470:PQN917535 QAJ917470:QAJ917535 QKF917470:QKF917535 QUB917470:QUB917535 RDX917470:RDX917535 RNT917470:RNT917535 RXP917470:RXP917535 SHL917470:SHL917535 SRH917470:SRH917535 TBD917470:TBD917535 TKZ917470:TKZ917535 TUV917470:TUV917535 UER917470:UER917535 UON917470:UON917535 UYJ917470:UYJ917535 VIF917470:VIF917535 VSB917470:VSB917535 WBX917470:WBX917535 WLT917470:WLT917535 WVP917470:WVP917535 H983006:H983071 JD983006:JD983071 SZ983006:SZ983071 ACV983006:ACV983071 AMR983006:AMR983071 AWN983006:AWN983071 BGJ983006:BGJ983071 BQF983006:BQF983071 CAB983006:CAB983071 CJX983006:CJX983071 CTT983006:CTT983071 DDP983006:DDP983071 DNL983006:DNL983071 DXH983006:DXH983071 EHD983006:EHD983071 EQZ983006:EQZ983071 FAV983006:FAV983071 FKR983006:FKR983071 FUN983006:FUN983071 GEJ983006:GEJ983071 GOF983006:GOF983071 GYB983006:GYB983071 HHX983006:HHX983071 HRT983006:HRT983071 IBP983006:IBP983071 ILL983006:ILL983071 IVH983006:IVH983071 JFD983006:JFD983071 JOZ983006:JOZ983071 JYV983006:JYV983071 KIR983006:KIR983071 KSN983006:KSN983071 LCJ983006:LCJ983071 LMF983006:LMF983071 LWB983006:LWB983071 MFX983006:MFX983071 MPT983006:MPT983071 MZP983006:MZP983071 NJL983006:NJL983071 NTH983006:NTH983071 ODD983006:ODD983071 OMZ983006:OMZ983071 OWV983006:OWV983071 PGR983006:PGR983071 PQN983006:PQN983071 QAJ983006:QAJ983071 QKF983006:QKF983071 QUB983006:QUB983071 RDX983006:RDX983071 RNT983006:RNT983071 RXP983006:RXP983071 SHL983006:SHL983071 SRH983006:SRH983071 TBD983006:TBD983071 TKZ983006:TKZ983071 TUV983006:TUV983071 UER983006:UER983071 UON983006:UON983071 UYJ983006:UYJ983071 VIF983006:VIF983071 VSB983006:VSB983071 WBX983006:WBX983071 WLT983006:WLT983071 WBX2:WBX52 VSB2:VSB52 VIF2:VIF52 UYJ2:UYJ52 UON2:UON52 UER2:UER52 TUV2:TUV52 TKZ2:TKZ52 TBD2:TBD52 SRH2:SRH52 SHL2:SHL52 RXP2:RXP52 RNT2:RNT52 RDX2:RDX52 QUB2:QUB52 QKF2:QKF52 QAJ2:QAJ52 PQN2:PQN52 PGR2:PGR52 OWV2:OWV52 OMZ2:OMZ52 ODD2:ODD52 NTH2:NTH52 NJL2:NJL52 MZP2:MZP52 MPT2:MPT52 MFX2:MFX52 LWB2:LWB52 LMF2:LMF52 LCJ2:LCJ52 KSN2:KSN52 KIR2:KIR52 JYV2:JYV52 JOZ2:JOZ52 JFD2:JFD52 IVH2:IVH52 ILL2:ILL52 IBP2:IBP52 HRT2:HRT52 HHX2:HHX52 GYB2:GYB52 GOF2:GOF52 GEJ2:GEJ52 FUN2:FUN52 FKR2:FKR52 FAV2:FAV52 EQZ2:EQZ52 EHD2:EHD52 DXH2:DXH52 DNL2:DNL52 DDP2:DDP52 CTT2:CTT52 CJX2:CJX52 CAB2:CAB52 BQF2:BQF52 BGJ2:BGJ52 AWN2:AWN52 AMR2:AMR52 ACV2:ACV52 SZ2:SZ52 JD2:JD52 WVP2:WVP52 WLT2:WLT52" xr:uid="{F43D5544-0FF4-4B26-9118-BD64A65AEECA}">
      <formula1>$AL$4:$AL$12</formula1>
    </dataValidation>
    <dataValidation type="list" allowBlank="1" showInputMessage="1" showErrorMessage="1" sqref="A64327:A64392 IW64327:IW64392 SS64327:SS64392 ACO64327:ACO64392 AMK64327:AMK64392 AWG64327:AWG64392 BGC64327:BGC64392 BPY64327:BPY64392 BZU64327:BZU64392 CJQ64327:CJQ64392 CTM64327:CTM64392 DDI64327:DDI64392 DNE64327:DNE64392 DXA64327:DXA64392 EGW64327:EGW64392 EQS64327:EQS64392 FAO64327:FAO64392 FKK64327:FKK64392 FUG64327:FUG64392 GEC64327:GEC64392 GNY64327:GNY64392 GXU64327:GXU64392 HHQ64327:HHQ64392 HRM64327:HRM64392 IBI64327:IBI64392 ILE64327:ILE64392 IVA64327:IVA64392 JEW64327:JEW64392 JOS64327:JOS64392 JYO64327:JYO64392 KIK64327:KIK64392 KSG64327:KSG64392 LCC64327:LCC64392 LLY64327:LLY64392 LVU64327:LVU64392 MFQ64327:MFQ64392 MPM64327:MPM64392 MZI64327:MZI64392 NJE64327:NJE64392 NTA64327:NTA64392 OCW64327:OCW64392 OMS64327:OMS64392 OWO64327:OWO64392 PGK64327:PGK64392 PQG64327:PQG64392 QAC64327:QAC64392 QJY64327:QJY64392 QTU64327:QTU64392 RDQ64327:RDQ64392 RNM64327:RNM64392 RXI64327:RXI64392 SHE64327:SHE64392 SRA64327:SRA64392 TAW64327:TAW64392 TKS64327:TKS64392 TUO64327:TUO64392 UEK64327:UEK64392 UOG64327:UOG64392 UYC64327:UYC64392 VHY64327:VHY64392 VRU64327:VRU64392 WBQ64327:WBQ64392 WLM64327:WLM64392 WVI64327:WVI64392 A129863:A129928 IW129863:IW129928 SS129863:SS129928 ACO129863:ACO129928 AMK129863:AMK129928 AWG129863:AWG129928 BGC129863:BGC129928 BPY129863:BPY129928 BZU129863:BZU129928 CJQ129863:CJQ129928 CTM129863:CTM129928 DDI129863:DDI129928 DNE129863:DNE129928 DXA129863:DXA129928 EGW129863:EGW129928 EQS129863:EQS129928 FAO129863:FAO129928 FKK129863:FKK129928 FUG129863:FUG129928 GEC129863:GEC129928 GNY129863:GNY129928 GXU129863:GXU129928 HHQ129863:HHQ129928 HRM129863:HRM129928 IBI129863:IBI129928 ILE129863:ILE129928 IVA129863:IVA129928 JEW129863:JEW129928 JOS129863:JOS129928 JYO129863:JYO129928 KIK129863:KIK129928 KSG129863:KSG129928 LCC129863:LCC129928 LLY129863:LLY129928 LVU129863:LVU129928 MFQ129863:MFQ129928 MPM129863:MPM129928 MZI129863:MZI129928 NJE129863:NJE129928 NTA129863:NTA129928 OCW129863:OCW129928 OMS129863:OMS129928 OWO129863:OWO129928 PGK129863:PGK129928 PQG129863:PQG129928 QAC129863:QAC129928 QJY129863:QJY129928 QTU129863:QTU129928 RDQ129863:RDQ129928 RNM129863:RNM129928 RXI129863:RXI129928 SHE129863:SHE129928 SRA129863:SRA129928 TAW129863:TAW129928 TKS129863:TKS129928 TUO129863:TUO129928 UEK129863:UEK129928 UOG129863:UOG129928 UYC129863:UYC129928 VHY129863:VHY129928 VRU129863:VRU129928 WBQ129863:WBQ129928 WLM129863:WLM129928 WVI129863:WVI129928 A195399:A195464 IW195399:IW195464 SS195399:SS195464 ACO195399:ACO195464 AMK195399:AMK195464 AWG195399:AWG195464 BGC195399:BGC195464 BPY195399:BPY195464 BZU195399:BZU195464 CJQ195399:CJQ195464 CTM195399:CTM195464 DDI195399:DDI195464 DNE195399:DNE195464 DXA195399:DXA195464 EGW195399:EGW195464 EQS195399:EQS195464 FAO195399:FAO195464 FKK195399:FKK195464 FUG195399:FUG195464 GEC195399:GEC195464 GNY195399:GNY195464 GXU195399:GXU195464 HHQ195399:HHQ195464 HRM195399:HRM195464 IBI195399:IBI195464 ILE195399:ILE195464 IVA195399:IVA195464 JEW195399:JEW195464 JOS195399:JOS195464 JYO195399:JYO195464 KIK195399:KIK195464 KSG195399:KSG195464 LCC195399:LCC195464 LLY195399:LLY195464 LVU195399:LVU195464 MFQ195399:MFQ195464 MPM195399:MPM195464 MZI195399:MZI195464 NJE195399:NJE195464 NTA195399:NTA195464 OCW195399:OCW195464 OMS195399:OMS195464 OWO195399:OWO195464 PGK195399:PGK195464 PQG195399:PQG195464 QAC195399:QAC195464 QJY195399:QJY195464 QTU195399:QTU195464 RDQ195399:RDQ195464 RNM195399:RNM195464 RXI195399:RXI195464 SHE195399:SHE195464 SRA195399:SRA195464 TAW195399:TAW195464 TKS195399:TKS195464 TUO195399:TUO195464 UEK195399:UEK195464 UOG195399:UOG195464 UYC195399:UYC195464 VHY195399:VHY195464 VRU195399:VRU195464 WBQ195399:WBQ195464 WLM195399:WLM195464 WVI195399:WVI195464 A260935:A261000 IW260935:IW261000 SS260935:SS261000 ACO260935:ACO261000 AMK260935:AMK261000 AWG260935:AWG261000 BGC260935:BGC261000 BPY260935:BPY261000 BZU260935:BZU261000 CJQ260935:CJQ261000 CTM260935:CTM261000 DDI260935:DDI261000 DNE260935:DNE261000 DXA260935:DXA261000 EGW260935:EGW261000 EQS260935:EQS261000 FAO260935:FAO261000 FKK260935:FKK261000 FUG260935:FUG261000 GEC260935:GEC261000 GNY260935:GNY261000 GXU260935:GXU261000 HHQ260935:HHQ261000 HRM260935:HRM261000 IBI260935:IBI261000 ILE260935:ILE261000 IVA260935:IVA261000 JEW260935:JEW261000 JOS260935:JOS261000 JYO260935:JYO261000 KIK260935:KIK261000 KSG260935:KSG261000 LCC260935:LCC261000 LLY260935:LLY261000 LVU260935:LVU261000 MFQ260935:MFQ261000 MPM260935:MPM261000 MZI260935:MZI261000 NJE260935:NJE261000 NTA260935:NTA261000 OCW260935:OCW261000 OMS260935:OMS261000 OWO260935:OWO261000 PGK260935:PGK261000 PQG260935:PQG261000 QAC260935:QAC261000 QJY260935:QJY261000 QTU260935:QTU261000 RDQ260935:RDQ261000 RNM260935:RNM261000 RXI260935:RXI261000 SHE260935:SHE261000 SRA260935:SRA261000 TAW260935:TAW261000 TKS260935:TKS261000 TUO260935:TUO261000 UEK260935:UEK261000 UOG260935:UOG261000 UYC260935:UYC261000 VHY260935:VHY261000 VRU260935:VRU261000 WBQ260935:WBQ261000 WLM260935:WLM261000 WVI260935:WVI261000 A326471:A326536 IW326471:IW326536 SS326471:SS326536 ACO326471:ACO326536 AMK326471:AMK326536 AWG326471:AWG326536 BGC326471:BGC326536 BPY326471:BPY326536 BZU326471:BZU326536 CJQ326471:CJQ326536 CTM326471:CTM326536 DDI326471:DDI326536 DNE326471:DNE326536 DXA326471:DXA326536 EGW326471:EGW326536 EQS326471:EQS326536 FAO326471:FAO326536 FKK326471:FKK326536 FUG326471:FUG326536 GEC326471:GEC326536 GNY326471:GNY326536 GXU326471:GXU326536 HHQ326471:HHQ326536 HRM326471:HRM326536 IBI326471:IBI326536 ILE326471:ILE326536 IVA326471:IVA326536 JEW326471:JEW326536 JOS326471:JOS326536 JYO326471:JYO326536 KIK326471:KIK326536 KSG326471:KSG326536 LCC326471:LCC326536 LLY326471:LLY326536 LVU326471:LVU326536 MFQ326471:MFQ326536 MPM326471:MPM326536 MZI326471:MZI326536 NJE326471:NJE326536 NTA326471:NTA326536 OCW326471:OCW326536 OMS326471:OMS326536 OWO326471:OWO326536 PGK326471:PGK326536 PQG326471:PQG326536 QAC326471:QAC326536 QJY326471:QJY326536 QTU326471:QTU326536 RDQ326471:RDQ326536 RNM326471:RNM326536 RXI326471:RXI326536 SHE326471:SHE326536 SRA326471:SRA326536 TAW326471:TAW326536 TKS326471:TKS326536 TUO326471:TUO326536 UEK326471:UEK326536 UOG326471:UOG326536 UYC326471:UYC326536 VHY326471:VHY326536 VRU326471:VRU326536 WBQ326471:WBQ326536 WLM326471:WLM326536 WVI326471:WVI326536 A392007:A392072 IW392007:IW392072 SS392007:SS392072 ACO392007:ACO392072 AMK392007:AMK392072 AWG392007:AWG392072 BGC392007:BGC392072 BPY392007:BPY392072 BZU392007:BZU392072 CJQ392007:CJQ392072 CTM392007:CTM392072 DDI392007:DDI392072 DNE392007:DNE392072 DXA392007:DXA392072 EGW392007:EGW392072 EQS392007:EQS392072 FAO392007:FAO392072 FKK392007:FKK392072 FUG392007:FUG392072 GEC392007:GEC392072 GNY392007:GNY392072 GXU392007:GXU392072 HHQ392007:HHQ392072 HRM392007:HRM392072 IBI392007:IBI392072 ILE392007:ILE392072 IVA392007:IVA392072 JEW392007:JEW392072 JOS392007:JOS392072 JYO392007:JYO392072 KIK392007:KIK392072 KSG392007:KSG392072 LCC392007:LCC392072 LLY392007:LLY392072 LVU392007:LVU392072 MFQ392007:MFQ392072 MPM392007:MPM392072 MZI392007:MZI392072 NJE392007:NJE392072 NTA392007:NTA392072 OCW392007:OCW392072 OMS392007:OMS392072 OWO392007:OWO392072 PGK392007:PGK392072 PQG392007:PQG392072 QAC392007:QAC392072 QJY392007:QJY392072 QTU392007:QTU392072 RDQ392007:RDQ392072 RNM392007:RNM392072 RXI392007:RXI392072 SHE392007:SHE392072 SRA392007:SRA392072 TAW392007:TAW392072 TKS392007:TKS392072 TUO392007:TUO392072 UEK392007:UEK392072 UOG392007:UOG392072 UYC392007:UYC392072 VHY392007:VHY392072 VRU392007:VRU392072 WBQ392007:WBQ392072 WLM392007:WLM392072 WVI392007:WVI392072 A457543:A457608 IW457543:IW457608 SS457543:SS457608 ACO457543:ACO457608 AMK457543:AMK457608 AWG457543:AWG457608 BGC457543:BGC457608 BPY457543:BPY457608 BZU457543:BZU457608 CJQ457543:CJQ457608 CTM457543:CTM457608 DDI457543:DDI457608 DNE457543:DNE457608 DXA457543:DXA457608 EGW457543:EGW457608 EQS457543:EQS457608 FAO457543:FAO457608 FKK457543:FKK457608 FUG457543:FUG457608 GEC457543:GEC457608 GNY457543:GNY457608 GXU457543:GXU457608 HHQ457543:HHQ457608 HRM457543:HRM457608 IBI457543:IBI457608 ILE457543:ILE457608 IVA457543:IVA457608 JEW457543:JEW457608 JOS457543:JOS457608 JYO457543:JYO457608 KIK457543:KIK457608 KSG457543:KSG457608 LCC457543:LCC457608 LLY457543:LLY457608 LVU457543:LVU457608 MFQ457543:MFQ457608 MPM457543:MPM457608 MZI457543:MZI457608 NJE457543:NJE457608 NTA457543:NTA457608 OCW457543:OCW457608 OMS457543:OMS457608 OWO457543:OWO457608 PGK457543:PGK457608 PQG457543:PQG457608 QAC457543:QAC457608 QJY457543:QJY457608 QTU457543:QTU457608 RDQ457543:RDQ457608 RNM457543:RNM457608 RXI457543:RXI457608 SHE457543:SHE457608 SRA457543:SRA457608 TAW457543:TAW457608 TKS457543:TKS457608 TUO457543:TUO457608 UEK457543:UEK457608 UOG457543:UOG457608 UYC457543:UYC457608 VHY457543:VHY457608 VRU457543:VRU457608 WBQ457543:WBQ457608 WLM457543:WLM457608 WVI457543:WVI457608 A523079:A523144 IW523079:IW523144 SS523079:SS523144 ACO523079:ACO523144 AMK523079:AMK523144 AWG523079:AWG523144 BGC523079:BGC523144 BPY523079:BPY523144 BZU523079:BZU523144 CJQ523079:CJQ523144 CTM523079:CTM523144 DDI523079:DDI523144 DNE523079:DNE523144 DXA523079:DXA523144 EGW523079:EGW523144 EQS523079:EQS523144 FAO523079:FAO523144 FKK523079:FKK523144 FUG523079:FUG523144 GEC523079:GEC523144 GNY523079:GNY523144 GXU523079:GXU523144 HHQ523079:HHQ523144 HRM523079:HRM523144 IBI523079:IBI523144 ILE523079:ILE523144 IVA523079:IVA523144 JEW523079:JEW523144 JOS523079:JOS523144 JYO523079:JYO523144 KIK523079:KIK523144 KSG523079:KSG523144 LCC523079:LCC523144 LLY523079:LLY523144 LVU523079:LVU523144 MFQ523079:MFQ523144 MPM523079:MPM523144 MZI523079:MZI523144 NJE523079:NJE523144 NTA523079:NTA523144 OCW523079:OCW523144 OMS523079:OMS523144 OWO523079:OWO523144 PGK523079:PGK523144 PQG523079:PQG523144 QAC523079:QAC523144 QJY523079:QJY523144 QTU523079:QTU523144 RDQ523079:RDQ523144 RNM523079:RNM523144 RXI523079:RXI523144 SHE523079:SHE523144 SRA523079:SRA523144 TAW523079:TAW523144 TKS523079:TKS523144 TUO523079:TUO523144 UEK523079:UEK523144 UOG523079:UOG523144 UYC523079:UYC523144 VHY523079:VHY523144 VRU523079:VRU523144 WBQ523079:WBQ523144 WLM523079:WLM523144 WVI523079:WVI523144 A588615:A588680 IW588615:IW588680 SS588615:SS588680 ACO588615:ACO588680 AMK588615:AMK588680 AWG588615:AWG588680 BGC588615:BGC588680 BPY588615:BPY588680 BZU588615:BZU588680 CJQ588615:CJQ588680 CTM588615:CTM588680 DDI588615:DDI588680 DNE588615:DNE588680 DXA588615:DXA588680 EGW588615:EGW588680 EQS588615:EQS588680 FAO588615:FAO588680 FKK588615:FKK588680 FUG588615:FUG588680 GEC588615:GEC588680 GNY588615:GNY588680 GXU588615:GXU588680 HHQ588615:HHQ588680 HRM588615:HRM588680 IBI588615:IBI588680 ILE588615:ILE588680 IVA588615:IVA588680 JEW588615:JEW588680 JOS588615:JOS588680 JYO588615:JYO588680 KIK588615:KIK588680 KSG588615:KSG588680 LCC588615:LCC588680 LLY588615:LLY588680 LVU588615:LVU588680 MFQ588615:MFQ588680 MPM588615:MPM588680 MZI588615:MZI588680 NJE588615:NJE588680 NTA588615:NTA588680 OCW588615:OCW588680 OMS588615:OMS588680 OWO588615:OWO588680 PGK588615:PGK588680 PQG588615:PQG588680 QAC588615:QAC588680 QJY588615:QJY588680 QTU588615:QTU588680 RDQ588615:RDQ588680 RNM588615:RNM588680 RXI588615:RXI588680 SHE588615:SHE588680 SRA588615:SRA588680 TAW588615:TAW588680 TKS588615:TKS588680 TUO588615:TUO588680 UEK588615:UEK588680 UOG588615:UOG588680 UYC588615:UYC588680 VHY588615:VHY588680 VRU588615:VRU588680 WBQ588615:WBQ588680 WLM588615:WLM588680 WVI588615:WVI588680 A654151:A654216 IW654151:IW654216 SS654151:SS654216 ACO654151:ACO654216 AMK654151:AMK654216 AWG654151:AWG654216 BGC654151:BGC654216 BPY654151:BPY654216 BZU654151:BZU654216 CJQ654151:CJQ654216 CTM654151:CTM654216 DDI654151:DDI654216 DNE654151:DNE654216 DXA654151:DXA654216 EGW654151:EGW654216 EQS654151:EQS654216 FAO654151:FAO654216 FKK654151:FKK654216 FUG654151:FUG654216 GEC654151:GEC654216 GNY654151:GNY654216 GXU654151:GXU654216 HHQ654151:HHQ654216 HRM654151:HRM654216 IBI654151:IBI654216 ILE654151:ILE654216 IVA654151:IVA654216 JEW654151:JEW654216 JOS654151:JOS654216 JYO654151:JYO654216 KIK654151:KIK654216 KSG654151:KSG654216 LCC654151:LCC654216 LLY654151:LLY654216 LVU654151:LVU654216 MFQ654151:MFQ654216 MPM654151:MPM654216 MZI654151:MZI654216 NJE654151:NJE654216 NTA654151:NTA654216 OCW654151:OCW654216 OMS654151:OMS654216 OWO654151:OWO654216 PGK654151:PGK654216 PQG654151:PQG654216 QAC654151:QAC654216 QJY654151:QJY654216 QTU654151:QTU654216 RDQ654151:RDQ654216 RNM654151:RNM654216 RXI654151:RXI654216 SHE654151:SHE654216 SRA654151:SRA654216 TAW654151:TAW654216 TKS654151:TKS654216 TUO654151:TUO654216 UEK654151:UEK654216 UOG654151:UOG654216 UYC654151:UYC654216 VHY654151:VHY654216 VRU654151:VRU654216 WBQ654151:WBQ654216 WLM654151:WLM654216 WVI654151:WVI654216 A719687:A719752 IW719687:IW719752 SS719687:SS719752 ACO719687:ACO719752 AMK719687:AMK719752 AWG719687:AWG719752 BGC719687:BGC719752 BPY719687:BPY719752 BZU719687:BZU719752 CJQ719687:CJQ719752 CTM719687:CTM719752 DDI719687:DDI719752 DNE719687:DNE719752 DXA719687:DXA719752 EGW719687:EGW719752 EQS719687:EQS719752 FAO719687:FAO719752 FKK719687:FKK719752 FUG719687:FUG719752 GEC719687:GEC719752 GNY719687:GNY719752 GXU719687:GXU719752 HHQ719687:HHQ719752 HRM719687:HRM719752 IBI719687:IBI719752 ILE719687:ILE719752 IVA719687:IVA719752 JEW719687:JEW719752 JOS719687:JOS719752 JYO719687:JYO719752 KIK719687:KIK719752 KSG719687:KSG719752 LCC719687:LCC719752 LLY719687:LLY719752 LVU719687:LVU719752 MFQ719687:MFQ719752 MPM719687:MPM719752 MZI719687:MZI719752 NJE719687:NJE719752 NTA719687:NTA719752 OCW719687:OCW719752 OMS719687:OMS719752 OWO719687:OWO719752 PGK719687:PGK719752 PQG719687:PQG719752 QAC719687:QAC719752 QJY719687:QJY719752 QTU719687:QTU719752 RDQ719687:RDQ719752 RNM719687:RNM719752 RXI719687:RXI719752 SHE719687:SHE719752 SRA719687:SRA719752 TAW719687:TAW719752 TKS719687:TKS719752 TUO719687:TUO719752 UEK719687:UEK719752 UOG719687:UOG719752 UYC719687:UYC719752 VHY719687:VHY719752 VRU719687:VRU719752 WBQ719687:WBQ719752 WLM719687:WLM719752 WVI719687:WVI719752 A785223:A785288 IW785223:IW785288 SS785223:SS785288 ACO785223:ACO785288 AMK785223:AMK785288 AWG785223:AWG785288 BGC785223:BGC785288 BPY785223:BPY785288 BZU785223:BZU785288 CJQ785223:CJQ785288 CTM785223:CTM785288 DDI785223:DDI785288 DNE785223:DNE785288 DXA785223:DXA785288 EGW785223:EGW785288 EQS785223:EQS785288 FAO785223:FAO785288 FKK785223:FKK785288 FUG785223:FUG785288 GEC785223:GEC785288 GNY785223:GNY785288 GXU785223:GXU785288 HHQ785223:HHQ785288 HRM785223:HRM785288 IBI785223:IBI785288 ILE785223:ILE785288 IVA785223:IVA785288 JEW785223:JEW785288 JOS785223:JOS785288 JYO785223:JYO785288 KIK785223:KIK785288 KSG785223:KSG785288 LCC785223:LCC785288 LLY785223:LLY785288 LVU785223:LVU785288 MFQ785223:MFQ785288 MPM785223:MPM785288 MZI785223:MZI785288 NJE785223:NJE785288 NTA785223:NTA785288 OCW785223:OCW785288 OMS785223:OMS785288 OWO785223:OWO785288 PGK785223:PGK785288 PQG785223:PQG785288 QAC785223:QAC785288 QJY785223:QJY785288 QTU785223:QTU785288 RDQ785223:RDQ785288 RNM785223:RNM785288 RXI785223:RXI785288 SHE785223:SHE785288 SRA785223:SRA785288 TAW785223:TAW785288 TKS785223:TKS785288 TUO785223:TUO785288 UEK785223:UEK785288 UOG785223:UOG785288 UYC785223:UYC785288 VHY785223:VHY785288 VRU785223:VRU785288 WBQ785223:WBQ785288 WLM785223:WLM785288 WVI785223:WVI785288 A850759:A850824 IW850759:IW850824 SS850759:SS850824 ACO850759:ACO850824 AMK850759:AMK850824 AWG850759:AWG850824 BGC850759:BGC850824 BPY850759:BPY850824 BZU850759:BZU850824 CJQ850759:CJQ850824 CTM850759:CTM850824 DDI850759:DDI850824 DNE850759:DNE850824 DXA850759:DXA850824 EGW850759:EGW850824 EQS850759:EQS850824 FAO850759:FAO850824 FKK850759:FKK850824 FUG850759:FUG850824 GEC850759:GEC850824 GNY850759:GNY850824 GXU850759:GXU850824 HHQ850759:HHQ850824 HRM850759:HRM850824 IBI850759:IBI850824 ILE850759:ILE850824 IVA850759:IVA850824 JEW850759:JEW850824 JOS850759:JOS850824 JYO850759:JYO850824 KIK850759:KIK850824 KSG850759:KSG850824 LCC850759:LCC850824 LLY850759:LLY850824 LVU850759:LVU850824 MFQ850759:MFQ850824 MPM850759:MPM850824 MZI850759:MZI850824 NJE850759:NJE850824 NTA850759:NTA850824 OCW850759:OCW850824 OMS850759:OMS850824 OWO850759:OWO850824 PGK850759:PGK850824 PQG850759:PQG850824 QAC850759:QAC850824 QJY850759:QJY850824 QTU850759:QTU850824 RDQ850759:RDQ850824 RNM850759:RNM850824 RXI850759:RXI850824 SHE850759:SHE850824 SRA850759:SRA850824 TAW850759:TAW850824 TKS850759:TKS850824 TUO850759:TUO850824 UEK850759:UEK850824 UOG850759:UOG850824 UYC850759:UYC850824 VHY850759:VHY850824 VRU850759:VRU850824 WBQ850759:WBQ850824 WLM850759:WLM850824 WVI850759:WVI850824 A916295:A916360 IW916295:IW916360 SS916295:SS916360 ACO916295:ACO916360 AMK916295:AMK916360 AWG916295:AWG916360 BGC916295:BGC916360 BPY916295:BPY916360 BZU916295:BZU916360 CJQ916295:CJQ916360 CTM916295:CTM916360 DDI916295:DDI916360 DNE916295:DNE916360 DXA916295:DXA916360 EGW916295:EGW916360 EQS916295:EQS916360 FAO916295:FAO916360 FKK916295:FKK916360 FUG916295:FUG916360 GEC916295:GEC916360 GNY916295:GNY916360 GXU916295:GXU916360 HHQ916295:HHQ916360 HRM916295:HRM916360 IBI916295:IBI916360 ILE916295:ILE916360 IVA916295:IVA916360 JEW916295:JEW916360 JOS916295:JOS916360 JYO916295:JYO916360 KIK916295:KIK916360 KSG916295:KSG916360 LCC916295:LCC916360 LLY916295:LLY916360 LVU916295:LVU916360 MFQ916295:MFQ916360 MPM916295:MPM916360 MZI916295:MZI916360 NJE916295:NJE916360 NTA916295:NTA916360 OCW916295:OCW916360 OMS916295:OMS916360 OWO916295:OWO916360 PGK916295:PGK916360 PQG916295:PQG916360 QAC916295:QAC916360 QJY916295:QJY916360 QTU916295:QTU916360 RDQ916295:RDQ916360 RNM916295:RNM916360 RXI916295:RXI916360 SHE916295:SHE916360 SRA916295:SRA916360 TAW916295:TAW916360 TKS916295:TKS916360 TUO916295:TUO916360 UEK916295:UEK916360 UOG916295:UOG916360 UYC916295:UYC916360 VHY916295:VHY916360 VRU916295:VRU916360 WBQ916295:WBQ916360 WLM916295:WLM916360 WVI916295:WVI916360 A981831:A981896 IW981831:IW981896 SS981831:SS981896 ACO981831:ACO981896 AMK981831:AMK981896 AWG981831:AWG981896 BGC981831:BGC981896 BPY981831:BPY981896 BZU981831:BZU981896 CJQ981831:CJQ981896 CTM981831:CTM981896 DDI981831:DDI981896 DNE981831:DNE981896 DXA981831:DXA981896 EGW981831:EGW981896 EQS981831:EQS981896 FAO981831:FAO981896 FKK981831:FKK981896 FUG981831:FUG981896 GEC981831:GEC981896 GNY981831:GNY981896 GXU981831:GXU981896 HHQ981831:HHQ981896 HRM981831:HRM981896 IBI981831:IBI981896 ILE981831:ILE981896 IVA981831:IVA981896 JEW981831:JEW981896 JOS981831:JOS981896 JYO981831:JYO981896 KIK981831:KIK981896 KSG981831:KSG981896 LCC981831:LCC981896 LLY981831:LLY981896 LVU981831:LVU981896 MFQ981831:MFQ981896 MPM981831:MPM981896 MZI981831:MZI981896 NJE981831:NJE981896 NTA981831:NTA981896 OCW981831:OCW981896 OMS981831:OMS981896 OWO981831:OWO981896 PGK981831:PGK981896 PQG981831:PQG981896 QAC981831:QAC981896 QJY981831:QJY981896 QTU981831:QTU981896 RDQ981831:RDQ981896 RNM981831:RNM981896 RXI981831:RXI981896 SHE981831:SHE981896 SRA981831:SRA981896 TAW981831:TAW981896 TKS981831:TKS981896 TUO981831:TUO981896 UEK981831:UEK981896 UOG981831:UOG981896 UYC981831:UYC981896 VHY981831:VHY981896 VRU981831:VRU981896 WBQ981831:WBQ981896 WLM981831:WLM981896 WVI981831:WVI981896 A1047367:A1047432 IW1047367:IW1047432 SS1047367:SS1047432 ACO1047367:ACO1047432 AMK1047367:AMK1047432 AWG1047367:AWG1047432 BGC1047367:BGC1047432 BPY1047367:BPY1047432 BZU1047367:BZU1047432 CJQ1047367:CJQ1047432 CTM1047367:CTM1047432 DDI1047367:DDI1047432 DNE1047367:DNE1047432 DXA1047367:DXA1047432 EGW1047367:EGW1047432 EQS1047367:EQS1047432 FAO1047367:FAO1047432 FKK1047367:FKK1047432 FUG1047367:FUG1047432 GEC1047367:GEC1047432 GNY1047367:GNY1047432 GXU1047367:GXU1047432 HHQ1047367:HHQ1047432 HRM1047367:HRM1047432 IBI1047367:IBI1047432 ILE1047367:ILE1047432 IVA1047367:IVA1047432 JEW1047367:JEW1047432 JOS1047367:JOS1047432 JYO1047367:JYO1047432 KIK1047367:KIK1047432 KSG1047367:KSG1047432 LCC1047367:LCC1047432 LLY1047367:LLY1047432 LVU1047367:LVU1047432 MFQ1047367:MFQ1047432 MPM1047367:MPM1047432 MZI1047367:MZI1047432 NJE1047367:NJE1047432 NTA1047367:NTA1047432 OCW1047367:OCW1047432 OMS1047367:OMS1047432 OWO1047367:OWO1047432 PGK1047367:PGK1047432 PQG1047367:PQG1047432 QAC1047367:QAC1047432 QJY1047367:QJY1047432 QTU1047367:QTU1047432 RDQ1047367:RDQ1047432 RNM1047367:RNM1047432 RXI1047367:RXI1047432 SHE1047367:SHE1047432 SRA1047367:SRA1047432 TAW1047367:TAW1047432 TKS1047367:TKS1047432 TUO1047367:TUO1047432 UEK1047367:UEK1047432 UOG1047367:UOG1047432 UYC1047367:UYC1047432 VHY1047367:VHY1047432 VRU1047367:VRU1047432 WBQ1047367:WBQ1047432 WLM1047367:WLM1047432 WVI1047367:WVI1047432 WVI983006:WVI983077 A65502:A65573 IW65502:IW65573 SS65502:SS65573 ACO65502:ACO65573 AMK65502:AMK65573 AWG65502:AWG65573 BGC65502:BGC65573 BPY65502:BPY65573 BZU65502:BZU65573 CJQ65502:CJQ65573 CTM65502:CTM65573 DDI65502:DDI65573 DNE65502:DNE65573 DXA65502:DXA65573 EGW65502:EGW65573 EQS65502:EQS65573 FAO65502:FAO65573 FKK65502:FKK65573 FUG65502:FUG65573 GEC65502:GEC65573 GNY65502:GNY65573 GXU65502:GXU65573 HHQ65502:HHQ65573 HRM65502:HRM65573 IBI65502:IBI65573 ILE65502:ILE65573 IVA65502:IVA65573 JEW65502:JEW65573 JOS65502:JOS65573 JYO65502:JYO65573 KIK65502:KIK65573 KSG65502:KSG65573 LCC65502:LCC65573 LLY65502:LLY65573 LVU65502:LVU65573 MFQ65502:MFQ65573 MPM65502:MPM65573 MZI65502:MZI65573 NJE65502:NJE65573 NTA65502:NTA65573 OCW65502:OCW65573 OMS65502:OMS65573 OWO65502:OWO65573 PGK65502:PGK65573 PQG65502:PQG65573 QAC65502:QAC65573 QJY65502:QJY65573 QTU65502:QTU65573 RDQ65502:RDQ65573 RNM65502:RNM65573 RXI65502:RXI65573 SHE65502:SHE65573 SRA65502:SRA65573 TAW65502:TAW65573 TKS65502:TKS65573 TUO65502:TUO65573 UEK65502:UEK65573 UOG65502:UOG65573 UYC65502:UYC65573 VHY65502:VHY65573 VRU65502:VRU65573 WBQ65502:WBQ65573 WLM65502:WLM65573 WVI65502:WVI65573 A131038:A131109 IW131038:IW131109 SS131038:SS131109 ACO131038:ACO131109 AMK131038:AMK131109 AWG131038:AWG131109 BGC131038:BGC131109 BPY131038:BPY131109 BZU131038:BZU131109 CJQ131038:CJQ131109 CTM131038:CTM131109 DDI131038:DDI131109 DNE131038:DNE131109 DXA131038:DXA131109 EGW131038:EGW131109 EQS131038:EQS131109 FAO131038:FAO131109 FKK131038:FKK131109 FUG131038:FUG131109 GEC131038:GEC131109 GNY131038:GNY131109 GXU131038:GXU131109 HHQ131038:HHQ131109 HRM131038:HRM131109 IBI131038:IBI131109 ILE131038:ILE131109 IVA131038:IVA131109 JEW131038:JEW131109 JOS131038:JOS131109 JYO131038:JYO131109 KIK131038:KIK131109 KSG131038:KSG131109 LCC131038:LCC131109 LLY131038:LLY131109 LVU131038:LVU131109 MFQ131038:MFQ131109 MPM131038:MPM131109 MZI131038:MZI131109 NJE131038:NJE131109 NTA131038:NTA131109 OCW131038:OCW131109 OMS131038:OMS131109 OWO131038:OWO131109 PGK131038:PGK131109 PQG131038:PQG131109 QAC131038:QAC131109 QJY131038:QJY131109 QTU131038:QTU131109 RDQ131038:RDQ131109 RNM131038:RNM131109 RXI131038:RXI131109 SHE131038:SHE131109 SRA131038:SRA131109 TAW131038:TAW131109 TKS131038:TKS131109 TUO131038:TUO131109 UEK131038:UEK131109 UOG131038:UOG131109 UYC131038:UYC131109 VHY131038:VHY131109 VRU131038:VRU131109 WBQ131038:WBQ131109 WLM131038:WLM131109 WVI131038:WVI131109 A196574:A196645 IW196574:IW196645 SS196574:SS196645 ACO196574:ACO196645 AMK196574:AMK196645 AWG196574:AWG196645 BGC196574:BGC196645 BPY196574:BPY196645 BZU196574:BZU196645 CJQ196574:CJQ196645 CTM196574:CTM196645 DDI196574:DDI196645 DNE196574:DNE196645 DXA196574:DXA196645 EGW196574:EGW196645 EQS196574:EQS196645 FAO196574:FAO196645 FKK196574:FKK196645 FUG196574:FUG196645 GEC196574:GEC196645 GNY196574:GNY196645 GXU196574:GXU196645 HHQ196574:HHQ196645 HRM196574:HRM196645 IBI196574:IBI196645 ILE196574:ILE196645 IVA196574:IVA196645 JEW196574:JEW196645 JOS196574:JOS196645 JYO196574:JYO196645 KIK196574:KIK196645 KSG196574:KSG196645 LCC196574:LCC196645 LLY196574:LLY196645 LVU196574:LVU196645 MFQ196574:MFQ196645 MPM196574:MPM196645 MZI196574:MZI196645 NJE196574:NJE196645 NTA196574:NTA196645 OCW196574:OCW196645 OMS196574:OMS196645 OWO196574:OWO196645 PGK196574:PGK196645 PQG196574:PQG196645 QAC196574:QAC196645 QJY196574:QJY196645 QTU196574:QTU196645 RDQ196574:RDQ196645 RNM196574:RNM196645 RXI196574:RXI196645 SHE196574:SHE196645 SRA196574:SRA196645 TAW196574:TAW196645 TKS196574:TKS196645 TUO196574:TUO196645 UEK196574:UEK196645 UOG196574:UOG196645 UYC196574:UYC196645 VHY196574:VHY196645 VRU196574:VRU196645 WBQ196574:WBQ196645 WLM196574:WLM196645 WVI196574:WVI196645 A262110:A262181 IW262110:IW262181 SS262110:SS262181 ACO262110:ACO262181 AMK262110:AMK262181 AWG262110:AWG262181 BGC262110:BGC262181 BPY262110:BPY262181 BZU262110:BZU262181 CJQ262110:CJQ262181 CTM262110:CTM262181 DDI262110:DDI262181 DNE262110:DNE262181 DXA262110:DXA262181 EGW262110:EGW262181 EQS262110:EQS262181 FAO262110:FAO262181 FKK262110:FKK262181 FUG262110:FUG262181 GEC262110:GEC262181 GNY262110:GNY262181 GXU262110:GXU262181 HHQ262110:HHQ262181 HRM262110:HRM262181 IBI262110:IBI262181 ILE262110:ILE262181 IVA262110:IVA262181 JEW262110:JEW262181 JOS262110:JOS262181 JYO262110:JYO262181 KIK262110:KIK262181 KSG262110:KSG262181 LCC262110:LCC262181 LLY262110:LLY262181 LVU262110:LVU262181 MFQ262110:MFQ262181 MPM262110:MPM262181 MZI262110:MZI262181 NJE262110:NJE262181 NTA262110:NTA262181 OCW262110:OCW262181 OMS262110:OMS262181 OWO262110:OWO262181 PGK262110:PGK262181 PQG262110:PQG262181 QAC262110:QAC262181 QJY262110:QJY262181 QTU262110:QTU262181 RDQ262110:RDQ262181 RNM262110:RNM262181 RXI262110:RXI262181 SHE262110:SHE262181 SRA262110:SRA262181 TAW262110:TAW262181 TKS262110:TKS262181 TUO262110:TUO262181 UEK262110:UEK262181 UOG262110:UOG262181 UYC262110:UYC262181 VHY262110:VHY262181 VRU262110:VRU262181 WBQ262110:WBQ262181 WLM262110:WLM262181 WVI262110:WVI262181 A327646:A327717 IW327646:IW327717 SS327646:SS327717 ACO327646:ACO327717 AMK327646:AMK327717 AWG327646:AWG327717 BGC327646:BGC327717 BPY327646:BPY327717 BZU327646:BZU327717 CJQ327646:CJQ327717 CTM327646:CTM327717 DDI327646:DDI327717 DNE327646:DNE327717 DXA327646:DXA327717 EGW327646:EGW327717 EQS327646:EQS327717 FAO327646:FAO327717 FKK327646:FKK327717 FUG327646:FUG327717 GEC327646:GEC327717 GNY327646:GNY327717 GXU327646:GXU327717 HHQ327646:HHQ327717 HRM327646:HRM327717 IBI327646:IBI327717 ILE327646:ILE327717 IVA327646:IVA327717 JEW327646:JEW327717 JOS327646:JOS327717 JYO327646:JYO327717 KIK327646:KIK327717 KSG327646:KSG327717 LCC327646:LCC327717 LLY327646:LLY327717 LVU327646:LVU327717 MFQ327646:MFQ327717 MPM327646:MPM327717 MZI327646:MZI327717 NJE327646:NJE327717 NTA327646:NTA327717 OCW327646:OCW327717 OMS327646:OMS327717 OWO327646:OWO327717 PGK327646:PGK327717 PQG327646:PQG327717 QAC327646:QAC327717 QJY327646:QJY327717 QTU327646:QTU327717 RDQ327646:RDQ327717 RNM327646:RNM327717 RXI327646:RXI327717 SHE327646:SHE327717 SRA327646:SRA327717 TAW327646:TAW327717 TKS327646:TKS327717 TUO327646:TUO327717 UEK327646:UEK327717 UOG327646:UOG327717 UYC327646:UYC327717 VHY327646:VHY327717 VRU327646:VRU327717 WBQ327646:WBQ327717 WLM327646:WLM327717 WVI327646:WVI327717 A393182:A393253 IW393182:IW393253 SS393182:SS393253 ACO393182:ACO393253 AMK393182:AMK393253 AWG393182:AWG393253 BGC393182:BGC393253 BPY393182:BPY393253 BZU393182:BZU393253 CJQ393182:CJQ393253 CTM393182:CTM393253 DDI393182:DDI393253 DNE393182:DNE393253 DXA393182:DXA393253 EGW393182:EGW393253 EQS393182:EQS393253 FAO393182:FAO393253 FKK393182:FKK393253 FUG393182:FUG393253 GEC393182:GEC393253 GNY393182:GNY393253 GXU393182:GXU393253 HHQ393182:HHQ393253 HRM393182:HRM393253 IBI393182:IBI393253 ILE393182:ILE393253 IVA393182:IVA393253 JEW393182:JEW393253 JOS393182:JOS393253 JYO393182:JYO393253 KIK393182:KIK393253 KSG393182:KSG393253 LCC393182:LCC393253 LLY393182:LLY393253 LVU393182:LVU393253 MFQ393182:MFQ393253 MPM393182:MPM393253 MZI393182:MZI393253 NJE393182:NJE393253 NTA393182:NTA393253 OCW393182:OCW393253 OMS393182:OMS393253 OWO393182:OWO393253 PGK393182:PGK393253 PQG393182:PQG393253 QAC393182:QAC393253 QJY393182:QJY393253 QTU393182:QTU393253 RDQ393182:RDQ393253 RNM393182:RNM393253 RXI393182:RXI393253 SHE393182:SHE393253 SRA393182:SRA393253 TAW393182:TAW393253 TKS393182:TKS393253 TUO393182:TUO393253 UEK393182:UEK393253 UOG393182:UOG393253 UYC393182:UYC393253 VHY393182:VHY393253 VRU393182:VRU393253 WBQ393182:WBQ393253 WLM393182:WLM393253 WVI393182:WVI393253 A458718:A458789 IW458718:IW458789 SS458718:SS458789 ACO458718:ACO458789 AMK458718:AMK458789 AWG458718:AWG458789 BGC458718:BGC458789 BPY458718:BPY458789 BZU458718:BZU458789 CJQ458718:CJQ458789 CTM458718:CTM458789 DDI458718:DDI458789 DNE458718:DNE458789 DXA458718:DXA458789 EGW458718:EGW458789 EQS458718:EQS458789 FAO458718:FAO458789 FKK458718:FKK458789 FUG458718:FUG458789 GEC458718:GEC458789 GNY458718:GNY458789 GXU458718:GXU458789 HHQ458718:HHQ458789 HRM458718:HRM458789 IBI458718:IBI458789 ILE458718:ILE458789 IVA458718:IVA458789 JEW458718:JEW458789 JOS458718:JOS458789 JYO458718:JYO458789 KIK458718:KIK458789 KSG458718:KSG458789 LCC458718:LCC458789 LLY458718:LLY458789 LVU458718:LVU458789 MFQ458718:MFQ458789 MPM458718:MPM458789 MZI458718:MZI458789 NJE458718:NJE458789 NTA458718:NTA458789 OCW458718:OCW458789 OMS458718:OMS458789 OWO458718:OWO458789 PGK458718:PGK458789 PQG458718:PQG458789 QAC458718:QAC458789 QJY458718:QJY458789 QTU458718:QTU458789 RDQ458718:RDQ458789 RNM458718:RNM458789 RXI458718:RXI458789 SHE458718:SHE458789 SRA458718:SRA458789 TAW458718:TAW458789 TKS458718:TKS458789 TUO458718:TUO458789 UEK458718:UEK458789 UOG458718:UOG458789 UYC458718:UYC458789 VHY458718:VHY458789 VRU458718:VRU458789 WBQ458718:WBQ458789 WLM458718:WLM458789 WVI458718:WVI458789 A524254:A524325 IW524254:IW524325 SS524254:SS524325 ACO524254:ACO524325 AMK524254:AMK524325 AWG524254:AWG524325 BGC524254:BGC524325 BPY524254:BPY524325 BZU524254:BZU524325 CJQ524254:CJQ524325 CTM524254:CTM524325 DDI524254:DDI524325 DNE524254:DNE524325 DXA524254:DXA524325 EGW524254:EGW524325 EQS524254:EQS524325 FAO524254:FAO524325 FKK524254:FKK524325 FUG524254:FUG524325 GEC524254:GEC524325 GNY524254:GNY524325 GXU524254:GXU524325 HHQ524254:HHQ524325 HRM524254:HRM524325 IBI524254:IBI524325 ILE524254:ILE524325 IVA524254:IVA524325 JEW524254:JEW524325 JOS524254:JOS524325 JYO524254:JYO524325 KIK524254:KIK524325 KSG524254:KSG524325 LCC524254:LCC524325 LLY524254:LLY524325 LVU524254:LVU524325 MFQ524254:MFQ524325 MPM524254:MPM524325 MZI524254:MZI524325 NJE524254:NJE524325 NTA524254:NTA524325 OCW524254:OCW524325 OMS524254:OMS524325 OWO524254:OWO524325 PGK524254:PGK524325 PQG524254:PQG524325 QAC524254:QAC524325 QJY524254:QJY524325 QTU524254:QTU524325 RDQ524254:RDQ524325 RNM524254:RNM524325 RXI524254:RXI524325 SHE524254:SHE524325 SRA524254:SRA524325 TAW524254:TAW524325 TKS524254:TKS524325 TUO524254:TUO524325 UEK524254:UEK524325 UOG524254:UOG524325 UYC524254:UYC524325 VHY524254:VHY524325 VRU524254:VRU524325 WBQ524254:WBQ524325 WLM524254:WLM524325 WVI524254:WVI524325 A589790:A589861 IW589790:IW589861 SS589790:SS589861 ACO589790:ACO589861 AMK589790:AMK589861 AWG589790:AWG589861 BGC589790:BGC589861 BPY589790:BPY589861 BZU589790:BZU589861 CJQ589790:CJQ589861 CTM589790:CTM589861 DDI589790:DDI589861 DNE589790:DNE589861 DXA589790:DXA589861 EGW589790:EGW589861 EQS589790:EQS589861 FAO589790:FAO589861 FKK589790:FKK589861 FUG589790:FUG589861 GEC589790:GEC589861 GNY589790:GNY589861 GXU589790:GXU589861 HHQ589790:HHQ589861 HRM589790:HRM589861 IBI589790:IBI589861 ILE589790:ILE589861 IVA589790:IVA589861 JEW589790:JEW589861 JOS589790:JOS589861 JYO589790:JYO589861 KIK589790:KIK589861 KSG589790:KSG589861 LCC589790:LCC589861 LLY589790:LLY589861 LVU589790:LVU589861 MFQ589790:MFQ589861 MPM589790:MPM589861 MZI589790:MZI589861 NJE589790:NJE589861 NTA589790:NTA589861 OCW589790:OCW589861 OMS589790:OMS589861 OWO589790:OWO589861 PGK589790:PGK589861 PQG589790:PQG589861 QAC589790:QAC589861 QJY589790:QJY589861 QTU589790:QTU589861 RDQ589790:RDQ589861 RNM589790:RNM589861 RXI589790:RXI589861 SHE589790:SHE589861 SRA589790:SRA589861 TAW589790:TAW589861 TKS589790:TKS589861 TUO589790:TUO589861 UEK589790:UEK589861 UOG589790:UOG589861 UYC589790:UYC589861 VHY589790:VHY589861 VRU589790:VRU589861 WBQ589790:WBQ589861 WLM589790:WLM589861 WVI589790:WVI589861 A655326:A655397 IW655326:IW655397 SS655326:SS655397 ACO655326:ACO655397 AMK655326:AMK655397 AWG655326:AWG655397 BGC655326:BGC655397 BPY655326:BPY655397 BZU655326:BZU655397 CJQ655326:CJQ655397 CTM655326:CTM655397 DDI655326:DDI655397 DNE655326:DNE655397 DXA655326:DXA655397 EGW655326:EGW655397 EQS655326:EQS655397 FAO655326:FAO655397 FKK655326:FKK655397 FUG655326:FUG655397 GEC655326:GEC655397 GNY655326:GNY655397 GXU655326:GXU655397 HHQ655326:HHQ655397 HRM655326:HRM655397 IBI655326:IBI655397 ILE655326:ILE655397 IVA655326:IVA655397 JEW655326:JEW655397 JOS655326:JOS655397 JYO655326:JYO655397 KIK655326:KIK655397 KSG655326:KSG655397 LCC655326:LCC655397 LLY655326:LLY655397 LVU655326:LVU655397 MFQ655326:MFQ655397 MPM655326:MPM655397 MZI655326:MZI655397 NJE655326:NJE655397 NTA655326:NTA655397 OCW655326:OCW655397 OMS655326:OMS655397 OWO655326:OWO655397 PGK655326:PGK655397 PQG655326:PQG655397 QAC655326:QAC655397 QJY655326:QJY655397 QTU655326:QTU655397 RDQ655326:RDQ655397 RNM655326:RNM655397 RXI655326:RXI655397 SHE655326:SHE655397 SRA655326:SRA655397 TAW655326:TAW655397 TKS655326:TKS655397 TUO655326:TUO655397 UEK655326:UEK655397 UOG655326:UOG655397 UYC655326:UYC655397 VHY655326:VHY655397 VRU655326:VRU655397 WBQ655326:WBQ655397 WLM655326:WLM655397 WVI655326:WVI655397 A720862:A720933 IW720862:IW720933 SS720862:SS720933 ACO720862:ACO720933 AMK720862:AMK720933 AWG720862:AWG720933 BGC720862:BGC720933 BPY720862:BPY720933 BZU720862:BZU720933 CJQ720862:CJQ720933 CTM720862:CTM720933 DDI720862:DDI720933 DNE720862:DNE720933 DXA720862:DXA720933 EGW720862:EGW720933 EQS720862:EQS720933 FAO720862:FAO720933 FKK720862:FKK720933 FUG720862:FUG720933 GEC720862:GEC720933 GNY720862:GNY720933 GXU720862:GXU720933 HHQ720862:HHQ720933 HRM720862:HRM720933 IBI720862:IBI720933 ILE720862:ILE720933 IVA720862:IVA720933 JEW720862:JEW720933 JOS720862:JOS720933 JYO720862:JYO720933 KIK720862:KIK720933 KSG720862:KSG720933 LCC720862:LCC720933 LLY720862:LLY720933 LVU720862:LVU720933 MFQ720862:MFQ720933 MPM720862:MPM720933 MZI720862:MZI720933 NJE720862:NJE720933 NTA720862:NTA720933 OCW720862:OCW720933 OMS720862:OMS720933 OWO720862:OWO720933 PGK720862:PGK720933 PQG720862:PQG720933 QAC720862:QAC720933 QJY720862:QJY720933 QTU720862:QTU720933 RDQ720862:RDQ720933 RNM720862:RNM720933 RXI720862:RXI720933 SHE720862:SHE720933 SRA720862:SRA720933 TAW720862:TAW720933 TKS720862:TKS720933 TUO720862:TUO720933 UEK720862:UEK720933 UOG720862:UOG720933 UYC720862:UYC720933 VHY720862:VHY720933 VRU720862:VRU720933 WBQ720862:WBQ720933 WLM720862:WLM720933 WVI720862:WVI720933 A786398:A786469 IW786398:IW786469 SS786398:SS786469 ACO786398:ACO786469 AMK786398:AMK786469 AWG786398:AWG786469 BGC786398:BGC786469 BPY786398:BPY786469 BZU786398:BZU786469 CJQ786398:CJQ786469 CTM786398:CTM786469 DDI786398:DDI786469 DNE786398:DNE786469 DXA786398:DXA786469 EGW786398:EGW786469 EQS786398:EQS786469 FAO786398:FAO786469 FKK786398:FKK786469 FUG786398:FUG786469 GEC786398:GEC786469 GNY786398:GNY786469 GXU786398:GXU786469 HHQ786398:HHQ786469 HRM786398:HRM786469 IBI786398:IBI786469 ILE786398:ILE786469 IVA786398:IVA786469 JEW786398:JEW786469 JOS786398:JOS786469 JYO786398:JYO786469 KIK786398:KIK786469 KSG786398:KSG786469 LCC786398:LCC786469 LLY786398:LLY786469 LVU786398:LVU786469 MFQ786398:MFQ786469 MPM786398:MPM786469 MZI786398:MZI786469 NJE786398:NJE786469 NTA786398:NTA786469 OCW786398:OCW786469 OMS786398:OMS786469 OWO786398:OWO786469 PGK786398:PGK786469 PQG786398:PQG786469 QAC786398:QAC786469 QJY786398:QJY786469 QTU786398:QTU786469 RDQ786398:RDQ786469 RNM786398:RNM786469 RXI786398:RXI786469 SHE786398:SHE786469 SRA786398:SRA786469 TAW786398:TAW786469 TKS786398:TKS786469 TUO786398:TUO786469 UEK786398:UEK786469 UOG786398:UOG786469 UYC786398:UYC786469 VHY786398:VHY786469 VRU786398:VRU786469 WBQ786398:WBQ786469 WLM786398:WLM786469 WVI786398:WVI786469 A851934:A852005 IW851934:IW852005 SS851934:SS852005 ACO851934:ACO852005 AMK851934:AMK852005 AWG851934:AWG852005 BGC851934:BGC852005 BPY851934:BPY852005 BZU851934:BZU852005 CJQ851934:CJQ852005 CTM851934:CTM852005 DDI851934:DDI852005 DNE851934:DNE852005 DXA851934:DXA852005 EGW851934:EGW852005 EQS851934:EQS852005 FAO851934:FAO852005 FKK851934:FKK852005 FUG851934:FUG852005 GEC851934:GEC852005 GNY851934:GNY852005 GXU851934:GXU852005 HHQ851934:HHQ852005 HRM851934:HRM852005 IBI851934:IBI852005 ILE851934:ILE852005 IVA851934:IVA852005 JEW851934:JEW852005 JOS851934:JOS852005 JYO851934:JYO852005 KIK851934:KIK852005 KSG851934:KSG852005 LCC851934:LCC852005 LLY851934:LLY852005 LVU851934:LVU852005 MFQ851934:MFQ852005 MPM851934:MPM852005 MZI851934:MZI852005 NJE851934:NJE852005 NTA851934:NTA852005 OCW851934:OCW852005 OMS851934:OMS852005 OWO851934:OWO852005 PGK851934:PGK852005 PQG851934:PQG852005 QAC851934:QAC852005 QJY851934:QJY852005 QTU851934:QTU852005 RDQ851934:RDQ852005 RNM851934:RNM852005 RXI851934:RXI852005 SHE851934:SHE852005 SRA851934:SRA852005 TAW851934:TAW852005 TKS851934:TKS852005 TUO851934:TUO852005 UEK851934:UEK852005 UOG851934:UOG852005 UYC851934:UYC852005 VHY851934:VHY852005 VRU851934:VRU852005 WBQ851934:WBQ852005 WLM851934:WLM852005 WVI851934:WVI852005 A917470:A917541 IW917470:IW917541 SS917470:SS917541 ACO917470:ACO917541 AMK917470:AMK917541 AWG917470:AWG917541 BGC917470:BGC917541 BPY917470:BPY917541 BZU917470:BZU917541 CJQ917470:CJQ917541 CTM917470:CTM917541 DDI917470:DDI917541 DNE917470:DNE917541 DXA917470:DXA917541 EGW917470:EGW917541 EQS917470:EQS917541 FAO917470:FAO917541 FKK917470:FKK917541 FUG917470:FUG917541 GEC917470:GEC917541 GNY917470:GNY917541 GXU917470:GXU917541 HHQ917470:HHQ917541 HRM917470:HRM917541 IBI917470:IBI917541 ILE917470:ILE917541 IVA917470:IVA917541 JEW917470:JEW917541 JOS917470:JOS917541 JYO917470:JYO917541 KIK917470:KIK917541 KSG917470:KSG917541 LCC917470:LCC917541 LLY917470:LLY917541 LVU917470:LVU917541 MFQ917470:MFQ917541 MPM917470:MPM917541 MZI917470:MZI917541 NJE917470:NJE917541 NTA917470:NTA917541 OCW917470:OCW917541 OMS917470:OMS917541 OWO917470:OWO917541 PGK917470:PGK917541 PQG917470:PQG917541 QAC917470:QAC917541 QJY917470:QJY917541 QTU917470:QTU917541 RDQ917470:RDQ917541 RNM917470:RNM917541 RXI917470:RXI917541 SHE917470:SHE917541 SRA917470:SRA917541 TAW917470:TAW917541 TKS917470:TKS917541 TUO917470:TUO917541 UEK917470:UEK917541 UOG917470:UOG917541 UYC917470:UYC917541 VHY917470:VHY917541 VRU917470:VRU917541 WBQ917470:WBQ917541 WLM917470:WLM917541 WVI917470:WVI917541 A983006:A983077 IW983006:IW983077 SS983006:SS983077 ACO983006:ACO983077 AMK983006:AMK983077 AWG983006:AWG983077 BGC983006:BGC983077 BPY983006:BPY983077 BZU983006:BZU983077 CJQ983006:CJQ983077 CTM983006:CTM983077 DDI983006:DDI983077 DNE983006:DNE983077 DXA983006:DXA983077 EGW983006:EGW983077 EQS983006:EQS983077 FAO983006:FAO983077 FKK983006:FKK983077 FUG983006:FUG983077 GEC983006:GEC983077 GNY983006:GNY983077 GXU983006:GXU983077 HHQ983006:HHQ983077 HRM983006:HRM983077 IBI983006:IBI983077 ILE983006:ILE983077 IVA983006:IVA983077 JEW983006:JEW983077 JOS983006:JOS983077 JYO983006:JYO983077 KIK983006:KIK983077 KSG983006:KSG983077 LCC983006:LCC983077 LLY983006:LLY983077 LVU983006:LVU983077 MFQ983006:MFQ983077 MPM983006:MPM983077 MZI983006:MZI983077 NJE983006:NJE983077 NTA983006:NTA983077 OCW983006:OCW983077 OMS983006:OMS983077 OWO983006:OWO983077 PGK983006:PGK983077 PQG983006:PQG983077 QAC983006:QAC983077 QJY983006:QJY983077 QTU983006:QTU983077 RDQ983006:RDQ983077 RNM983006:RNM983077 RXI983006:RXI983077 SHE983006:SHE983077 SRA983006:SRA983077 TAW983006:TAW983077 TKS983006:TKS983077 TUO983006:TUO983077 UEK983006:UEK983077 UOG983006:UOG983077 UYC983006:UYC983077 VHY983006:VHY983077 VRU983006:VRU983077 WBQ983006:WBQ983077 WLM983006:WLM983077 ACO2:ACO52 AMK2:AMK52 AWG2:AWG52 BGC2:BGC52 BPY2:BPY52 BZU2:BZU52 CJQ2:CJQ52 CTM2:CTM52 DDI2:DDI52 DNE2:DNE52 DXA2:DXA52 EGW2:EGW52 EQS2:EQS52 FAO2:FAO52 FKK2:FKK52 FUG2:FUG52 GEC2:GEC52 GNY2:GNY52 GXU2:GXU52 HHQ2:HHQ52 HRM2:HRM52 IBI2:IBI52 ILE2:ILE52 IVA2:IVA52 JEW2:JEW52 JOS2:JOS52 JYO2:JYO52 KIK2:KIK52 KSG2:KSG52 LCC2:LCC52 LLY2:LLY52 LVU2:LVU52 MFQ2:MFQ52 MPM2:MPM52 MZI2:MZI52 NJE2:NJE52 NTA2:NTA52 OCW2:OCW52 OMS2:OMS52 OWO2:OWO52 PGK2:PGK52 PQG2:PQG52 QAC2:QAC52 QJY2:QJY52 QTU2:QTU52 RDQ2:RDQ52 RNM2:RNM52 RXI2:RXI52 SHE2:SHE52 SRA2:SRA52 TAW2:TAW52 TKS2:TKS52 TUO2:TUO52 UEK2:UEK52 UOG2:UOG52 UYC2:UYC52 VHY2:VHY52 VRU2:VRU52 WBQ2:WBQ52 WLM2:WLM52 WVI2:WVI52 IW2:IW52 A2:A464 SS2:SS52" xr:uid="{E0A04DC4-FC1C-4886-9569-C44BE9C76768}">
      <formula1>$AE$2:$AE$19</formula1>
    </dataValidation>
    <dataValidation type="list" allowBlank="1" showInputMessage="1" showErrorMessage="1" sqref="X64327:X64392 JT64327:JT64392 TP64327:TP64392 ADL64327:ADL64392 ANH64327:ANH64392 AXD64327:AXD64392 BGZ64327:BGZ64392 BQV64327:BQV64392 CAR64327:CAR64392 CKN64327:CKN64392 CUJ64327:CUJ64392 DEF64327:DEF64392 DOB64327:DOB64392 DXX64327:DXX64392 EHT64327:EHT64392 ERP64327:ERP64392 FBL64327:FBL64392 FLH64327:FLH64392 FVD64327:FVD64392 GEZ64327:GEZ64392 GOV64327:GOV64392 GYR64327:GYR64392 HIN64327:HIN64392 HSJ64327:HSJ64392 ICF64327:ICF64392 IMB64327:IMB64392 IVX64327:IVX64392 JFT64327:JFT64392 JPP64327:JPP64392 JZL64327:JZL64392 KJH64327:KJH64392 KTD64327:KTD64392 LCZ64327:LCZ64392 LMV64327:LMV64392 LWR64327:LWR64392 MGN64327:MGN64392 MQJ64327:MQJ64392 NAF64327:NAF64392 NKB64327:NKB64392 NTX64327:NTX64392 ODT64327:ODT64392 ONP64327:ONP64392 OXL64327:OXL64392 PHH64327:PHH64392 PRD64327:PRD64392 QAZ64327:QAZ64392 QKV64327:QKV64392 QUR64327:QUR64392 REN64327:REN64392 ROJ64327:ROJ64392 RYF64327:RYF64392 SIB64327:SIB64392 SRX64327:SRX64392 TBT64327:TBT64392 TLP64327:TLP64392 TVL64327:TVL64392 UFH64327:UFH64392 UPD64327:UPD64392 UYZ64327:UYZ64392 VIV64327:VIV64392 VSR64327:VSR64392 WCN64327:WCN64392 WMJ64327:WMJ64392 WWF64327:WWF64392 X129863:X129928 JT129863:JT129928 TP129863:TP129928 ADL129863:ADL129928 ANH129863:ANH129928 AXD129863:AXD129928 BGZ129863:BGZ129928 BQV129863:BQV129928 CAR129863:CAR129928 CKN129863:CKN129928 CUJ129863:CUJ129928 DEF129863:DEF129928 DOB129863:DOB129928 DXX129863:DXX129928 EHT129863:EHT129928 ERP129863:ERP129928 FBL129863:FBL129928 FLH129863:FLH129928 FVD129863:FVD129928 GEZ129863:GEZ129928 GOV129863:GOV129928 GYR129863:GYR129928 HIN129863:HIN129928 HSJ129863:HSJ129928 ICF129863:ICF129928 IMB129863:IMB129928 IVX129863:IVX129928 JFT129863:JFT129928 JPP129863:JPP129928 JZL129863:JZL129928 KJH129863:KJH129928 KTD129863:KTD129928 LCZ129863:LCZ129928 LMV129863:LMV129928 LWR129863:LWR129928 MGN129863:MGN129928 MQJ129863:MQJ129928 NAF129863:NAF129928 NKB129863:NKB129928 NTX129863:NTX129928 ODT129863:ODT129928 ONP129863:ONP129928 OXL129863:OXL129928 PHH129863:PHH129928 PRD129863:PRD129928 QAZ129863:QAZ129928 QKV129863:QKV129928 QUR129863:QUR129928 REN129863:REN129928 ROJ129863:ROJ129928 RYF129863:RYF129928 SIB129863:SIB129928 SRX129863:SRX129928 TBT129863:TBT129928 TLP129863:TLP129928 TVL129863:TVL129928 UFH129863:UFH129928 UPD129863:UPD129928 UYZ129863:UYZ129928 VIV129863:VIV129928 VSR129863:VSR129928 WCN129863:WCN129928 WMJ129863:WMJ129928 WWF129863:WWF129928 X195399:X195464 JT195399:JT195464 TP195399:TP195464 ADL195399:ADL195464 ANH195399:ANH195464 AXD195399:AXD195464 BGZ195399:BGZ195464 BQV195399:BQV195464 CAR195399:CAR195464 CKN195399:CKN195464 CUJ195399:CUJ195464 DEF195399:DEF195464 DOB195399:DOB195464 DXX195399:DXX195464 EHT195399:EHT195464 ERP195399:ERP195464 FBL195399:FBL195464 FLH195399:FLH195464 FVD195399:FVD195464 GEZ195399:GEZ195464 GOV195399:GOV195464 GYR195399:GYR195464 HIN195399:HIN195464 HSJ195399:HSJ195464 ICF195399:ICF195464 IMB195399:IMB195464 IVX195399:IVX195464 JFT195399:JFT195464 JPP195399:JPP195464 JZL195399:JZL195464 KJH195399:KJH195464 KTD195399:KTD195464 LCZ195399:LCZ195464 LMV195399:LMV195464 LWR195399:LWR195464 MGN195399:MGN195464 MQJ195399:MQJ195464 NAF195399:NAF195464 NKB195399:NKB195464 NTX195399:NTX195464 ODT195399:ODT195464 ONP195399:ONP195464 OXL195399:OXL195464 PHH195399:PHH195464 PRD195399:PRD195464 QAZ195399:QAZ195464 QKV195399:QKV195464 QUR195399:QUR195464 REN195399:REN195464 ROJ195399:ROJ195464 RYF195399:RYF195464 SIB195399:SIB195464 SRX195399:SRX195464 TBT195399:TBT195464 TLP195399:TLP195464 TVL195399:TVL195464 UFH195399:UFH195464 UPD195399:UPD195464 UYZ195399:UYZ195464 VIV195399:VIV195464 VSR195399:VSR195464 WCN195399:WCN195464 WMJ195399:WMJ195464 WWF195399:WWF195464 X260935:X261000 JT260935:JT261000 TP260935:TP261000 ADL260935:ADL261000 ANH260935:ANH261000 AXD260935:AXD261000 BGZ260935:BGZ261000 BQV260935:BQV261000 CAR260935:CAR261000 CKN260935:CKN261000 CUJ260935:CUJ261000 DEF260935:DEF261000 DOB260935:DOB261000 DXX260935:DXX261000 EHT260935:EHT261000 ERP260935:ERP261000 FBL260935:FBL261000 FLH260935:FLH261000 FVD260935:FVD261000 GEZ260935:GEZ261000 GOV260935:GOV261000 GYR260935:GYR261000 HIN260935:HIN261000 HSJ260935:HSJ261000 ICF260935:ICF261000 IMB260935:IMB261000 IVX260935:IVX261000 JFT260935:JFT261000 JPP260935:JPP261000 JZL260935:JZL261000 KJH260935:KJH261000 KTD260935:KTD261000 LCZ260935:LCZ261000 LMV260935:LMV261000 LWR260935:LWR261000 MGN260935:MGN261000 MQJ260935:MQJ261000 NAF260935:NAF261000 NKB260935:NKB261000 NTX260935:NTX261000 ODT260935:ODT261000 ONP260935:ONP261000 OXL260935:OXL261000 PHH260935:PHH261000 PRD260935:PRD261000 QAZ260935:QAZ261000 QKV260935:QKV261000 QUR260935:QUR261000 REN260935:REN261000 ROJ260935:ROJ261000 RYF260935:RYF261000 SIB260935:SIB261000 SRX260935:SRX261000 TBT260935:TBT261000 TLP260935:TLP261000 TVL260935:TVL261000 UFH260935:UFH261000 UPD260935:UPD261000 UYZ260935:UYZ261000 VIV260935:VIV261000 VSR260935:VSR261000 WCN260935:WCN261000 WMJ260935:WMJ261000 WWF260935:WWF261000 X326471:X326536 JT326471:JT326536 TP326471:TP326536 ADL326471:ADL326536 ANH326471:ANH326536 AXD326471:AXD326536 BGZ326471:BGZ326536 BQV326471:BQV326536 CAR326471:CAR326536 CKN326471:CKN326536 CUJ326471:CUJ326536 DEF326471:DEF326536 DOB326471:DOB326536 DXX326471:DXX326536 EHT326471:EHT326536 ERP326471:ERP326536 FBL326471:FBL326536 FLH326471:FLH326536 FVD326471:FVD326536 GEZ326471:GEZ326536 GOV326471:GOV326536 GYR326471:GYR326536 HIN326471:HIN326536 HSJ326471:HSJ326536 ICF326471:ICF326536 IMB326471:IMB326536 IVX326471:IVX326536 JFT326471:JFT326536 JPP326471:JPP326536 JZL326471:JZL326536 KJH326471:KJH326536 KTD326471:KTD326536 LCZ326471:LCZ326536 LMV326471:LMV326536 LWR326471:LWR326536 MGN326471:MGN326536 MQJ326471:MQJ326536 NAF326471:NAF326536 NKB326471:NKB326536 NTX326471:NTX326536 ODT326471:ODT326536 ONP326471:ONP326536 OXL326471:OXL326536 PHH326471:PHH326536 PRD326471:PRD326536 QAZ326471:QAZ326536 QKV326471:QKV326536 QUR326471:QUR326536 REN326471:REN326536 ROJ326471:ROJ326536 RYF326471:RYF326536 SIB326471:SIB326536 SRX326471:SRX326536 TBT326471:TBT326536 TLP326471:TLP326536 TVL326471:TVL326536 UFH326471:UFH326536 UPD326471:UPD326536 UYZ326471:UYZ326536 VIV326471:VIV326536 VSR326471:VSR326536 WCN326471:WCN326536 WMJ326471:WMJ326536 WWF326471:WWF326536 X392007:X392072 JT392007:JT392072 TP392007:TP392072 ADL392007:ADL392072 ANH392007:ANH392072 AXD392007:AXD392072 BGZ392007:BGZ392072 BQV392007:BQV392072 CAR392007:CAR392072 CKN392007:CKN392072 CUJ392007:CUJ392072 DEF392007:DEF392072 DOB392007:DOB392072 DXX392007:DXX392072 EHT392007:EHT392072 ERP392007:ERP392072 FBL392007:FBL392072 FLH392007:FLH392072 FVD392007:FVD392072 GEZ392007:GEZ392072 GOV392007:GOV392072 GYR392007:GYR392072 HIN392007:HIN392072 HSJ392007:HSJ392072 ICF392007:ICF392072 IMB392007:IMB392072 IVX392007:IVX392072 JFT392007:JFT392072 JPP392007:JPP392072 JZL392007:JZL392072 KJH392007:KJH392072 KTD392007:KTD392072 LCZ392007:LCZ392072 LMV392007:LMV392072 LWR392007:LWR392072 MGN392007:MGN392072 MQJ392007:MQJ392072 NAF392007:NAF392072 NKB392007:NKB392072 NTX392007:NTX392072 ODT392007:ODT392072 ONP392007:ONP392072 OXL392007:OXL392072 PHH392007:PHH392072 PRD392007:PRD392072 QAZ392007:QAZ392072 QKV392007:QKV392072 QUR392007:QUR392072 REN392007:REN392072 ROJ392007:ROJ392072 RYF392007:RYF392072 SIB392007:SIB392072 SRX392007:SRX392072 TBT392007:TBT392072 TLP392007:TLP392072 TVL392007:TVL392072 UFH392007:UFH392072 UPD392007:UPD392072 UYZ392007:UYZ392072 VIV392007:VIV392072 VSR392007:VSR392072 WCN392007:WCN392072 WMJ392007:WMJ392072 WWF392007:WWF392072 X457543:X457608 JT457543:JT457608 TP457543:TP457608 ADL457543:ADL457608 ANH457543:ANH457608 AXD457543:AXD457608 BGZ457543:BGZ457608 BQV457543:BQV457608 CAR457543:CAR457608 CKN457543:CKN457608 CUJ457543:CUJ457608 DEF457543:DEF457608 DOB457543:DOB457608 DXX457543:DXX457608 EHT457543:EHT457608 ERP457543:ERP457608 FBL457543:FBL457608 FLH457543:FLH457608 FVD457543:FVD457608 GEZ457543:GEZ457608 GOV457543:GOV457608 GYR457543:GYR457608 HIN457543:HIN457608 HSJ457543:HSJ457608 ICF457543:ICF457608 IMB457543:IMB457608 IVX457543:IVX457608 JFT457543:JFT457608 JPP457543:JPP457608 JZL457543:JZL457608 KJH457543:KJH457608 KTD457543:KTD457608 LCZ457543:LCZ457608 LMV457543:LMV457608 LWR457543:LWR457608 MGN457543:MGN457608 MQJ457543:MQJ457608 NAF457543:NAF457608 NKB457543:NKB457608 NTX457543:NTX457608 ODT457543:ODT457608 ONP457543:ONP457608 OXL457543:OXL457608 PHH457543:PHH457608 PRD457543:PRD457608 QAZ457543:QAZ457608 QKV457543:QKV457608 QUR457543:QUR457608 REN457543:REN457608 ROJ457543:ROJ457608 RYF457543:RYF457608 SIB457543:SIB457608 SRX457543:SRX457608 TBT457543:TBT457608 TLP457543:TLP457608 TVL457543:TVL457608 UFH457543:UFH457608 UPD457543:UPD457608 UYZ457543:UYZ457608 VIV457543:VIV457608 VSR457543:VSR457608 WCN457543:WCN457608 WMJ457543:WMJ457608 WWF457543:WWF457608 X523079:X523144 JT523079:JT523144 TP523079:TP523144 ADL523079:ADL523144 ANH523079:ANH523144 AXD523079:AXD523144 BGZ523079:BGZ523144 BQV523079:BQV523144 CAR523079:CAR523144 CKN523079:CKN523144 CUJ523079:CUJ523144 DEF523079:DEF523144 DOB523079:DOB523144 DXX523079:DXX523144 EHT523079:EHT523144 ERP523079:ERP523144 FBL523079:FBL523144 FLH523079:FLH523144 FVD523079:FVD523144 GEZ523079:GEZ523144 GOV523079:GOV523144 GYR523079:GYR523144 HIN523079:HIN523144 HSJ523079:HSJ523144 ICF523079:ICF523144 IMB523079:IMB523144 IVX523079:IVX523144 JFT523079:JFT523144 JPP523079:JPP523144 JZL523079:JZL523144 KJH523079:KJH523144 KTD523079:KTD523144 LCZ523079:LCZ523144 LMV523079:LMV523144 LWR523079:LWR523144 MGN523079:MGN523144 MQJ523079:MQJ523144 NAF523079:NAF523144 NKB523079:NKB523144 NTX523079:NTX523144 ODT523079:ODT523144 ONP523079:ONP523144 OXL523079:OXL523144 PHH523079:PHH523144 PRD523079:PRD523144 QAZ523079:QAZ523144 QKV523079:QKV523144 QUR523079:QUR523144 REN523079:REN523144 ROJ523079:ROJ523144 RYF523079:RYF523144 SIB523079:SIB523144 SRX523079:SRX523144 TBT523079:TBT523144 TLP523079:TLP523144 TVL523079:TVL523144 UFH523079:UFH523144 UPD523079:UPD523144 UYZ523079:UYZ523144 VIV523079:VIV523144 VSR523079:VSR523144 WCN523079:WCN523144 WMJ523079:WMJ523144 WWF523079:WWF523144 X588615:X588680 JT588615:JT588680 TP588615:TP588680 ADL588615:ADL588680 ANH588615:ANH588680 AXD588615:AXD588680 BGZ588615:BGZ588680 BQV588615:BQV588680 CAR588615:CAR588680 CKN588615:CKN588680 CUJ588615:CUJ588680 DEF588615:DEF588680 DOB588615:DOB588680 DXX588615:DXX588680 EHT588615:EHT588680 ERP588615:ERP588680 FBL588615:FBL588680 FLH588615:FLH588680 FVD588615:FVD588680 GEZ588615:GEZ588680 GOV588615:GOV588680 GYR588615:GYR588680 HIN588615:HIN588680 HSJ588615:HSJ588680 ICF588615:ICF588680 IMB588615:IMB588680 IVX588615:IVX588680 JFT588615:JFT588680 JPP588615:JPP588680 JZL588615:JZL588680 KJH588615:KJH588680 KTD588615:KTD588680 LCZ588615:LCZ588680 LMV588615:LMV588680 LWR588615:LWR588680 MGN588615:MGN588680 MQJ588615:MQJ588680 NAF588615:NAF588680 NKB588615:NKB588680 NTX588615:NTX588680 ODT588615:ODT588680 ONP588615:ONP588680 OXL588615:OXL588680 PHH588615:PHH588680 PRD588615:PRD588680 QAZ588615:QAZ588680 QKV588615:QKV588680 QUR588615:QUR588680 REN588615:REN588680 ROJ588615:ROJ588680 RYF588615:RYF588680 SIB588615:SIB588680 SRX588615:SRX588680 TBT588615:TBT588680 TLP588615:TLP588680 TVL588615:TVL588680 UFH588615:UFH588680 UPD588615:UPD588680 UYZ588615:UYZ588680 VIV588615:VIV588680 VSR588615:VSR588680 WCN588615:WCN588680 WMJ588615:WMJ588680 WWF588615:WWF588680 X654151:X654216 JT654151:JT654216 TP654151:TP654216 ADL654151:ADL654216 ANH654151:ANH654216 AXD654151:AXD654216 BGZ654151:BGZ654216 BQV654151:BQV654216 CAR654151:CAR654216 CKN654151:CKN654216 CUJ654151:CUJ654216 DEF654151:DEF654216 DOB654151:DOB654216 DXX654151:DXX654216 EHT654151:EHT654216 ERP654151:ERP654216 FBL654151:FBL654216 FLH654151:FLH654216 FVD654151:FVD654216 GEZ654151:GEZ654216 GOV654151:GOV654216 GYR654151:GYR654216 HIN654151:HIN654216 HSJ654151:HSJ654216 ICF654151:ICF654216 IMB654151:IMB654216 IVX654151:IVX654216 JFT654151:JFT654216 JPP654151:JPP654216 JZL654151:JZL654216 KJH654151:KJH654216 KTD654151:KTD654216 LCZ654151:LCZ654216 LMV654151:LMV654216 LWR654151:LWR654216 MGN654151:MGN654216 MQJ654151:MQJ654216 NAF654151:NAF654216 NKB654151:NKB654216 NTX654151:NTX654216 ODT654151:ODT654216 ONP654151:ONP654216 OXL654151:OXL654216 PHH654151:PHH654216 PRD654151:PRD654216 QAZ654151:QAZ654216 QKV654151:QKV654216 QUR654151:QUR654216 REN654151:REN654216 ROJ654151:ROJ654216 RYF654151:RYF654216 SIB654151:SIB654216 SRX654151:SRX654216 TBT654151:TBT654216 TLP654151:TLP654216 TVL654151:TVL654216 UFH654151:UFH654216 UPD654151:UPD654216 UYZ654151:UYZ654216 VIV654151:VIV654216 VSR654151:VSR654216 WCN654151:WCN654216 WMJ654151:WMJ654216 WWF654151:WWF654216 X719687:X719752 JT719687:JT719752 TP719687:TP719752 ADL719687:ADL719752 ANH719687:ANH719752 AXD719687:AXD719752 BGZ719687:BGZ719752 BQV719687:BQV719752 CAR719687:CAR719752 CKN719687:CKN719752 CUJ719687:CUJ719752 DEF719687:DEF719752 DOB719687:DOB719752 DXX719687:DXX719752 EHT719687:EHT719752 ERP719687:ERP719752 FBL719687:FBL719752 FLH719687:FLH719752 FVD719687:FVD719752 GEZ719687:GEZ719752 GOV719687:GOV719752 GYR719687:GYR719752 HIN719687:HIN719752 HSJ719687:HSJ719752 ICF719687:ICF719752 IMB719687:IMB719752 IVX719687:IVX719752 JFT719687:JFT719752 JPP719687:JPP719752 JZL719687:JZL719752 KJH719687:KJH719752 KTD719687:KTD719752 LCZ719687:LCZ719752 LMV719687:LMV719752 LWR719687:LWR719752 MGN719687:MGN719752 MQJ719687:MQJ719752 NAF719687:NAF719752 NKB719687:NKB719752 NTX719687:NTX719752 ODT719687:ODT719752 ONP719687:ONP719752 OXL719687:OXL719752 PHH719687:PHH719752 PRD719687:PRD719752 QAZ719687:QAZ719752 QKV719687:QKV719752 QUR719687:QUR719752 REN719687:REN719752 ROJ719687:ROJ719752 RYF719687:RYF719752 SIB719687:SIB719752 SRX719687:SRX719752 TBT719687:TBT719752 TLP719687:TLP719752 TVL719687:TVL719752 UFH719687:UFH719752 UPD719687:UPD719752 UYZ719687:UYZ719752 VIV719687:VIV719752 VSR719687:VSR719752 WCN719687:WCN719752 WMJ719687:WMJ719752 WWF719687:WWF719752 X785223:X785288 JT785223:JT785288 TP785223:TP785288 ADL785223:ADL785288 ANH785223:ANH785288 AXD785223:AXD785288 BGZ785223:BGZ785288 BQV785223:BQV785288 CAR785223:CAR785288 CKN785223:CKN785288 CUJ785223:CUJ785288 DEF785223:DEF785288 DOB785223:DOB785288 DXX785223:DXX785288 EHT785223:EHT785288 ERP785223:ERP785288 FBL785223:FBL785288 FLH785223:FLH785288 FVD785223:FVD785288 GEZ785223:GEZ785288 GOV785223:GOV785288 GYR785223:GYR785288 HIN785223:HIN785288 HSJ785223:HSJ785288 ICF785223:ICF785288 IMB785223:IMB785288 IVX785223:IVX785288 JFT785223:JFT785288 JPP785223:JPP785288 JZL785223:JZL785288 KJH785223:KJH785288 KTD785223:KTD785288 LCZ785223:LCZ785288 LMV785223:LMV785288 LWR785223:LWR785288 MGN785223:MGN785288 MQJ785223:MQJ785288 NAF785223:NAF785288 NKB785223:NKB785288 NTX785223:NTX785288 ODT785223:ODT785288 ONP785223:ONP785288 OXL785223:OXL785288 PHH785223:PHH785288 PRD785223:PRD785288 QAZ785223:QAZ785288 QKV785223:QKV785288 QUR785223:QUR785288 REN785223:REN785288 ROJ785223:ROJ785288 RYF785223:RYF785288 SIB785223:SIB785288 SRX785223:SRX785288 TBT785223:TBT785288 TLP785223:TLP785288 TVL785223:TVL785288 UFH785223:UFH785288 UPD785223:UPD785288 UYZ785223:UYZ785288 VIV785223:VIV785288 VSR785223:VSR785288 WCN785223:WCN785288 WMJ785223:WMJ785288 WWF785223:WWF785288 X850759:X850824 JT850759:JT850824 TP850759:TP850824 ADL850759:ADL850824 ANH850759:ANH850824 AXD850759:AXD850824 BGZ850759:BGZ850824 BQV850759:BQV850824 CAR850759:CAR850824 CKN850759:CKN850824 CUJ850759:CUJ850824 DEF850759:DEF850824 DOB850759:DOB850824 DXX850759:DXX850824 EHT850759:EHT850824 ERP850759:ERP850824 FBL850759:FBL850824 FLH850759:FLH850824 FVD850759:FVD850824 GEZ850759:GEZ850824 GOV850759:GOV850824 GYR850759:GYR850824 HIN850759:HIN850824 HSJ850759:HSJ850824 ICF850759:ICF850824 IMB850759:IMB850824 IVX850759:IVX850824 JFT850759:JFT850824 JPP850759:JPP850824 JZL850759:JZL850824 KJH850759:KJH850824 KTD850759:KTD850824 LCZ850759:LCZ850824 LMV850759:LMV850824 LWR850759:LWR850824 MGN850759:MGN850824 MQJ850759:MQJ850824 NAF850759:NAF850824 NKB850759:NKB850824 NTX850759:NTX850824 ODT850759:ODT850824 ONP850759:ONP850824 OXL850759:OXL850824 PHH850759:PHH850824 PRD850759:PRD850824 QAZ850759:QAZ850824 QKV850759:QKV850824 QUR850759:QUR850824 REN850759:REN850824 ROJ850759:ROJ850824 RYF850759:RYF850824 SIB850759:SIB850824 SRX850759:SRX850824 TBT850759:TBT850824 TLP850759:TLP850824 TVL850759:TVL850824 UFH850759:UFH850824 UPD850759:UPD850824 UYZ850759:UYZ850824 VIV850759:VIV850824 VSR850759:VSR850824 WCN850759:WCN850824 WMJ850759:WMJ850824 WWF850759:WWF850824 X916295:X916360 JT916295:JT916360 TP916295:TP916360 ADL916295:ADL916360 ANH916295:ANH916360 AXD916295:AXD916360 BGZ916295:BGZ916360 BQV916295:BQV916360 CAR916295:CAR916360 CKN916295:CKN916360 CUJ916295:CUJ916360 DEF916295:DEF916360 DOB916295:DOB916360 DXX916295:DXX916360 EHT916295:EHT916360 ERP916295:ERP916360 FBL916295:FBL916360 FLH916295:FLH916360 FVD916295:FVD916360 GEZ916295:GEZ916360 GOV916295:GOV916360 GYR916295:GYR916360 HIN916295:HIN916360 HSJ916295:HSJ916360 ICF916295:ICF916360 IMB916295:IMB916360 IVX916295:IVX916360 JFT916295:JFT916360 JPP916295:JPP916360 JZL916295:JZL916360 KJH916295:KJH916360 KTD916295:KTD916360 LCZ916295:LCZ916360 LMV916295:LMV916360 LWR916295:LWR916360 MGN916295:MGN916360 MQJ916295:MQJ916360 NAF916295:NAF916360 NKB916295:NKB916360 NTX916295:NTX916360 ODT916295:ODT916360 ONP916295:ONP916360 OXL916295:OXL916360 PHH916295:PHH916360 PRD916295:PRD916360 QAZ916295:QAZ916360 QKV916295:QKV916360 QUR916295:QUR916360 REN916295:REN916360 ROJ916295:ROJ916360 RYF916295:RYF916360 SIB916295:SIB916360 SRX916295:SRX916360 TBT916295:TBT916360 TLP916295:TLP916360 TVL916295:TVL916360 UFH916295:UFH916360 UPD916295:UPD916360 UYZ916295:UYZ916360 VIV916295:VIV916360 VSR916295:VSR916360 WCN916295:WCN916360 WMJ916295:WMJ916360 WWF916295:WWF916360 X981831:X981896 JT981831:JT981896 TP981831:TP981896 ADL981831:ADL981896 ANH981831:ANH981896 AXD981831:AXD981896 BGZ981831:BGZ981896 BQV981831:BQV981896 CAR981831:CAR981896 CKN981831:CKN981896 CUJ981831:CUJ981896 DEF981831:DEF981896 DOB981831:DOB981896 DXX981831:DXX981896 EHT981831:EHT981896 ERP981831:ERP981896 FBL981831:FBL981896 FLH981831:FLH981896 FVD981831:FVD981896 GEZ981831:GEZ981896 GOV981831:GOV981896 GYR981831:GYR981896 HIN981831:HIN981896 HSJ981831:HSJ981896 ICF981831:ICF981896 IMB981831:IMB981896 IVX981831:IVX981896 JFT981831:JFT981896 JPP981831:JPP981896 JZL981831:JZL981896 KJH981831:KJH981896 KTD981831:KTD981896 LCZ981831:LCZ981896 LMV981831:LMV981896 LWR981831:LWR981896 MGN981831:MGN981896 MQJ981831:MQJ981896 NAF981831:NAF981896 NKB981831:NKB981896 NTX981831:NTX981896 ODT981831:ODT981896 ONP981831:ONP981896 OXL981831:OXL981896 PHH981831:PHH981896 PRD981831:PRD981896 QAZ981831:QAZ981896 QKV981831:QKV981896 QUR981831:QUR981896 REN981831:REN981896 ROJ981831:ROJ981896 RYF981831:RYF981896 SIB981831:SIB981896 SRX981831:SRX981896 TBT981831:TBT981896 TLP981831:TLP981896 TVL981831:TVL981896 UFH981831:UFH981896 UPD981831:UPD981896 UYZ981831:UYZ981896 VIV981831:VIV981896 VSR981831:VSR981896 WCN981831:WCN981896 WMJ981831:WMJ981896 WWF981831:WWF981896 X1047367:X1047432 JT1047367:JT1047432 TP1047367:TP1047432 ADL1047367:ADL1047432 ANH1047367:ANH1047432 AXD1047367:AXD1047432 BGZ1047367:BGZ1047432 BQV1047367:BQV1047432 CAR1047367:CAR1047432 CKN1047367:CKN1047432 CUJ1047367:CUJ1047432 DEF1047367:DEF1047432 DOB1047367:DOB1047432 DXX1047367:DXX1047432 EHT1047367:EHT1047432 ERP1047367:ERP1047432 FBL1047367:FBL1047432 FLH1047367:FLH1047432 FVD1047367:FVD1047432 GEZ1047367:GEZ1047432 GOV1047367:GOV1047432 GYR1047367:GYR1047432 HIN1047367:HIN1047432 HSJ1047367:HSJ1047432 ICF1047367:ICF1047432 IMB1047367:IMB1047432 IVX1047367:IVX1047432 JFT1047367:JFT1047432 JPP1047367:JPP1047432 JZL1047367:JZL1047432 KJH1047367:KJH1047432 KTD1047367:KTD1047432 LCZ1047367:LCZ1047432 LMV1047367:LMV1047432 LWR1047367:LWR1047432 MGN1047367:MGN1047432 MQJ1047367:MQJ1047432 NAF1047367:NAF1047432 NKB1047367:NKB1047432 NTX1047367:NTX1047432 ODT1047367:ODT1047432 ONP1047367:ONP1047432 OXL1047367:OXL1047432 PHH1047367:PHH1047432 PRD1047367:PRD1047432 QAZ1047367:QAZ1047432 QKV1047367:QKV1047432 QUR1047367:QUR1047432 REN1047367:REN1047432 ROJ1047367:ROJ1047432 RYF1047367:RYF1047432 SIB1047367:SIB1047432 SRX1047367:SRX1047432 TBT1047367:TBT1047432 TLP1047367:TLP1047432 TVL1047367:TVL1047432 UFH1047367:UFH1047432 UPD1047367:UPD1047432 UYZ1047367:UYZ1047432 VIV1047367:VIV1047432 VSR1047367:VSR1047432 WCN1047367:WCN1047432 WMJ1047367:WMJ1047432 WWF1047367:WWF1047432 WWF983006:WWF983071 X65502:X65567 JT65502:JT65567 TP65502:TP65567 ADL65502:ADL65567 ANH65502:ANH65567 AXD65502:AXD65567 BGZ65502:BGZ65567 BQV65502:BQV65567 CAR65502:CAR65567 CKN65502:CKN65567 CUJ65502:CUJ65567 DEF65502:DEF65567 DOB65502:DOB65567 DXX65502:DXX65567 EHT65502:EHT65567 ERP65502:ERP65567 FBL65502:FBL65567 FLH65502:FLH65567 FVD65502:FVD65567 GEZ65502:GEZ65567 GOV65502:GOV65567 GYR65502:GYR65567 HIN65502:HIN65567 HSJ65502:HSJ65567 ICF65502:ICF65567 IMB65502:IMB65567 IVX65502:IVX65567 JFT65502:JFT65567 JPP65502:JPP65567 JZL65502:JZL65567 KJH65502:KJH65567 KTD65502:KTD65567 LCZ65502:LCZ65567 LMV65502:LMV65567 LWR65502:LWR65567 MGN65502:MGN65567 MQJ65502:MQJ65567 NAF65502:NAF65567 NKB65502:NKB65567 NTX65502:NTX65567 ODT65502:ODT65567 ONP65502:ONP65567 OXL65502:OXL65567 PHH65502:PHH65567 PRD65502:PRD65567 QAZ65502:QAZ65567 QKV65502:QKV65567 QUR65502:QUR65567 REN65502:REN65567 ROJ65502:ROJ65567 RYF65502:RYF65567 SIB65502:SIB65567 SRX65502:SRX65567 TBT65502:TBT65567 TLP65502:TLP65567 TVL65502:TVL65567 UFH65502:UFH65567 UPD65502:UPD65567 UYZ65502:UYZ65567 VIV65502:VIV65567 VSR65502:VSR65567 WCN65502:WCN65567 WMJ65502:WMJ65567 WWF65502:WWF65567 X131038:X131103 JT131038:JT131103 TP131038:TP131103 ADL131038:ADL131103 ANH131038:ANH131103 AXD131038:AXD131103 BGZ131038:BGZ131103 BQV131038:BQV131103 CAR131038:CAR131103 CKN131038:CKN131103 CUJ131038:CUJ131103 DEF131038:DEF131103 DOB131038:DOB131103 DXX131038:DXX131103 EHT131038:EHT131103 ERP131038:ERP131103 FBL131038:FBL131103 FLH131038:FLH131103 FVD131038:FVD131103 GEZ131038:GEZ131103 GOV131038:GOV131103 GYR131038:GYR131103 HIN131038:HIN131103 HSJ131038:HSJ131103 ICF131038:ICF131103 IMB131038:IMB131103 IVX131038:IVX131103 JFT131038:JFT131103 JPP131038:JPP131103 JZL131038:JZL131103 KJH131038:KJH131103 KTD131038:KTD131103 LCZ131038:LCZ131103 LMV131038:LMV131103 LWR131038:LWR131103 MGN131038:MGN131103 MQJ131038:MQJ131103 NAF131038:NAF131103 NKB131038:NKB131103 NTX131038:NTX131103 ODT131038:ODT131103 ONP131038:ONP131103 OXL131038:OXL131103 PHH131038:PHH131103 PRD131038:PRD131103 QAZ131038:QAZ131103 QKV131038:QKV131103 QUR131038:QUR131103 REN131038:REN131103 ROJ131038:ROJ131103 RYF131038:RYF131103 SIB131038:SIB131103 SRX131038:SRX131103 TBT131038:TBT131103 TLP131038:TLP131103 TVL131038:TVL131103 UFH131038:UFH131103 UPD131038:UPD131103 UYZ131038:UYZ131103 VIV131038:VIV131103 VSR131038:VSR131103 WCN131038:WCN131103 WMJ131038:WMJ131103 WWF131038:WWF131103 X196574:X196639 JT196574:JT196639 TP196574:TP196639 ADL196574:ADL196639 ANH196574:ANH196639 AXD196574:AXD196639 BGZ196574:BGZ196639 BQV196574:BQV196639 CAR196574:CAR196639 CKN196574:CKN196639 CUJ196574:CUJ196639 DEF196574:DEF196639 DOB196574:DOB196639 DXX196574:DXX196639 EHT196574:EHT196639 ERP196574:ERP196639 FBL196574:FBL196639 FLH196574:FLH196639 FVD196574:FVD196639 GEZ196574:GEZ196639 GOV196574:GOV196639 GYR196574:GYR196639 HIN196574:HIN196639 HSJ196574:HSJ196639 ICF196574:ICF196639 IMB196574:IMB196639 IVX196574:IVX196639 JFT196574:JFT196639 JPP196574:JPP196639 JZL196574:JZL196639 KJH196574:KJH196639 KTD196574:KTD196639 LCZ196574:LCZ196639 LMV196574:LMV196639 LWR196574:LWR196639 MGN196574:MGN196639 MQJ196574:MQJ196639 NAF196574:NAF196639 NKB196574:NKB196639 NTX196574:NTX196639 ODT196574:ODT196639 ONP196574:ONP196639 OXL196574:OXL196639 PHH196574:PHH196639 PRD196574:PRD196639 QAZ196574:QAZ196639 QKV196574:QKV196639 QUR196574:QUR196639 REN196574:REN196639 ROJ196574:ROJ196639 RYF196574:RYF196639 SIB196574:SIB196639 SRX196574:SRX196639 TBT196574:TBT196639 TLP196574:TLP196639 TVL196574:TVL196639 UFH196574:UFH196639 UPD196574:UPD196639 UYZ196574:UYZ196639 VIV196574:VIV196639 VSR196574:VSR196639 WCN196574:WCN196639 WMJ196574:WMJ196639 WWF196574:WWF196639 X262110:X262175 JT262110:JT262175 TP262110:TP262175 ADL262110:ADL262175 ANH262110:ANH262175 AXD262110:AXD262175 BGZ262110:BGZ262175 BQV262110:BQV262175 CAR262110:CAR262175 CKN262110:CKN262175 CUJ262110:CUJ262175 DEF262110:DEF262175 DOB262110:DOB262175 DXX262110:DXX262175 EHT262110:EHT262175 ERP262110:ERP262175 FBL262110:FBL262175 FLH262110:FLH262175 FVD262110:FVD262175 GEZ262110:GEZ262175 GOV262110:GOV262175 GYR262110:GYR262175 HIN262110:HIN262175 HSJ262110:HSJ262175 ICF262110:ICF262175 IMB262110:IMB262175 IVX262110:IVX262175 JFT262110:JFT262175 JPP262110:JPP262175 JZL262110:JZL262175 KJH262110:KJH262175 KTD262110:KTD262175 LCZ262110:LCZ262175 LMV262110:LMV262175 LWR262110:LWR262175 MGN262110:MGN262175 MQJ262110:MQJ262175 NAF262110:NAF262175 NKB262110:NKB262175 NTX262110:NTX262175 ODT262110:ODT262175 ONP262110:ONP262175 OXL262110:OXL262175 PHH262110:PHH262175 PRD262110:PRD262175 QAZ262110:QAZ262175 QKV262110:QKV262175 QUR262110:QUR262175 REN262110:REN262175 ROJ262110:ROJ262175 RYF262110:RYF262175 SIB262110:SIB262175 SRX262110:SRX262175 TBT262110:TBT262175 TLP262110:TLP262175 TVL262110:TVL262175 UFH262110:UFH262175 UPD262110:UPD262175 UYZ262110:UYZ262175 VIV262110:VIV262175 VSR262110:VSR262175 WCN262110:WCN262175 WMJ262110:WMJ262175 WWF262110:WWF262175 X327646:X327711 JT327646:JT327711 TP327646:TP327711 ADL327646:ADL327711 ANH327646:ANH327711 AXD327646:AXD327711 BGZ327646:BGZ327711 BQV327646:BQV327711 CAR327646:CAR327711 CKN327646:CKN327711 CUJ327646:CUJ327711 DEF327646:DEF327711 DOB327646:DOB327711 DXX327646:DXX327711 EHT327646:EHT327711 ERP327646:ERP327711 FBL327646:FBL327711 FLH327646:FLH327711 FVD327646:FVD327711 GEZ327646:GEZ327711 GOV327646:GOV327711 GYR327646:GYR327711 HIN327646:HIN327711 HSJ327646:HSJ327711 ICF327646:ICF327711 IMB327646:IMB327711 IVX327646:IVX327711 JFT327646:JFT327711 JPP327646:JPP327711 JZL327646:JZL327711 KJH327646:KJH327711 KTD327646:KTD327711 LCZ327646:LCZ327711 LMV327646:LMV327711 LWR327646:LWR327711 MGN327646:MGN327711 MQJ327646:MQJ327711 NAF327646:NAF327711 NKB327646:NKB327711 NTX327646:NTX327711 ODT327646:ODT327711 ONP327646:ONP327711 OXL327646:OXL327711 PHH327646:PHH327711 PRD327646:PRD327711 QAZ327646:QAZ327711 QKV327646:QKV327711 QUR327646:QUR327711 REN327646:REN327711 ROJ327646:ROJ327711 RYF327646:RYF327711 SIB327646:SIB327711 SRX327646:SRX327711 TBT327646:TBT327711 TLP327646:TLP327711 TVL327646:TVL327711 UFH327646:UFH327711 UPD327646:UPD327711 UYZ327646:UYZ327711 VIV327646:VIV327711 VSR327646:VSR327711 WCN327646:WCN327711 WMJ327646:WMJ327711 WWF327646:WWF327711 X393182:X393247 JT393182:JT393247 TP393182:TP393247 ADL393182:ADL393247 ANH393182:ANH393247 AXD393182:AXD393247 BGZ393182:BGZ393247 BQV393182:BQV393247 CAR393182:CAR393247 CKN393182:CKN393247 CUJ393182:CUJ393247 DEF393182:DEF393247 DOB393182:DOB393247 DXX393182:DXX393247 EHT393182:EHT393247 ERP393182:ERP393247 FBL393182:FBL393247 FLH393182:FLH393247 FVD393182:FVD393247 GEZ393182:GEZ393247 GOV393182:GOV393247 GYR393182:GYR393247 HIN393182:HIN393247 HSJ393182:HSJ393247 ICF393182:ICF393247 IMB393182:IMB393247 IVX393182:IVX393247 JFT393182:JFT393247 JPP393182:JPP393247 JZL393182:JZL393247 KJH393182:KJH393247 KTD393182:KTD393247 LCZ393182:LCZ393247 LMV393182:LMV393247 LWR393182:LWR393247 MGN393182:MGN393247 MQJ393182:MQJ393247 NAF393182:NAF393247 NKB393182:NKB393247 NTX393182:NTX393247 ODT393182:ODT393247 ONP393182:ONP393247 OXL393182:OXL393247 PHH393182:PHH393247 PRD393182:PRD393247 QAZ393182:QAZ393247 QKV393182:QKV393247 QUR393182:QUR393247 REN393182:REN393247 ROJ393182:ROJ393247 RYF393182:RYF393247 SIB393182:SIB393247 SRX393182:SRX393247 TBT393182:TBT393247 TLP393182:TLP393247 TVL393182:TVL393247 UFH393182:UFH393247 UPD393182:UPD393247 UYZ393182:UYZ393247 VIV393182:VIV393247 VSR393182:VSR393247 WCN393182:WCN393247 WMJ393182:WMJ393247 WWF393182:WWF393247 X458718:X458783 JT458718:JT458783 TP458718:TP458783 ADL458718:ADL458783 ANH458718:ANH458783 AXD458718:AXD458783 BGZ458718:BGZ458783 BQV458718:BQV458783 CAR458718:CAR458783 CKN458718:CKN458783 CUJ458718:CUJ458783 DEF458718:DEF458783 DOB458718:DOB458783 DXX458718:DXX458783 EHT458718:EHT458783 ERP458718:ERP458783 FBL458718:FBL458783 FLH458718:FLH458783 FVD458718:FVD458783 GEZ458718:GEZ458783 GOV458718:GOV458783 GYR458718:GYR458783 HIN458718:HIN458783 HSJ458718:HSJ458783 ICF458718:ICF458783 IMB458718:IMB458783 IVX458718:IVX458783 JFT458718:JFT458783 JPP458718:JPP458783 JZL458718:JZL458783 KJH458718:KJH458783 KTD458718:KTD458783 LCZ458718:LCZ458783 LMV458718:LMV458783 LWR458718:LWR458783 MGN458718:MGN458783 MQJ458718:MQJ458783 NAF458718:NAF458783 NKB458718:NKB458783 NTX458718:NTX458783 ODT458718:ODT458783 ONP458718:ONP458783 OXL458718:OXL458783 PHH458718:PHH458783 PRD458718:PRD458783 QAZ458718:QAZ458783 QKV458718:QKV458783 QUR458718:QUR458783 REN458718:REN458783 ROJ458718:ROJ458783 RYF458718:RYF458783 SIB458718:SIB458783 SRX458718:SRX458783 TBT458718:TBT458783 TLP458718:TLP458783 TVL458718:TVL458783 UFH458718:UFH458783 UPD458718:UPD458783 UYZ458718:UYZ458783 VIV458718:VIV458783 VSR458718:VSR458783 WCN458718:WCN458783 WMJ458718:WMJ458783 WWF458718:WWF458783 X524254:X524319 JT524254:JT524319 TP524254:TP524319 ADL524254:ADL524319 ANH524254:ANH524319 AXD524254:AXD524319 BGZ524254:BGZ524319 BQV524254:BQV524319 CAR524254:CAR524319 CKN524254:CKN524319 CUJ524254:CUJ524319 DEF524254:DEF524319 DOB524254:DOB524319 DXX524254:DXX524319 EHT524254:EHT524319 ERP524254:ERP524319 FBL524254:FBL524319 FLH524254:FLH524319 FVD524254:FVD524319 GEZ524254:GEZ524319 GOV524254:GOV524319 GYR524254:GYR524319 HIN524254:HIN524319 HSJ524254:HSJ524319 ICF524254:ICF524319 IMB524254:IMB524319 IVX524254:IVX524319 JFT524254:JFT524319 JPP524254:JPP524319 JZL524254:JZL524319 KJH524254:KJH524319 KTD524254:KTD524319 LCZ524254:LCZ524319 LMV524254:LMV524319 LWR524254:LWR524319 MGN524254:MGN524319 MQJ524254:MQJ524319 NAF524254:NAF524319 NKB524254:NKB524319 NTX524254:NTX524319 ODT524254:ODT524319 ONP524254:ONP524319 OXL524254:OXL524319 PHH524254:PHH524319 PRD524254:PRD524319 QAZ524254:QAZ524319 QKV524254:QKV524319 QUR524254:QUR524319 REN524254:REN524319 ROJ524254:ROJ524319 RYF524254:RYF524319 SIB524254:SIB524319 SRX524254:SRX524319 TBT524254:TBT524319 TLP524254:TLP524319 TVL524254:TVL524319 UFH524254:UFH524319 UPD524254:UPD524319 UYZ524254:UYZ524319 VIV524254:VIV524319 VSR524254:VSR524319 WCN524254:WCN524319 WMJ524254:WMJ524319 WWF524254:WWF524319 X589790:X589855 JT589790:JT589855 TP589790:TP589855 ADL589790:ADL589855 ANH589790:ANH589855 AXD589790:AXD589855 BGZ589790:BGZ589855 BQV589790:BQV589855 CAR589790:CAR589855 CKN589790:CKN589855 CUJ589790:CUJ589855 DEF589790:DEF589855 DOB589790:DOB589855 DXX589790:DXX589855 EHT589790:EHT589855 ERP589790:ERP589855 FBL589790:FBL589855 FLH589790:FLH589855 FVD589790:FVD589855 GEZ589790:GEZ589855 GOV589790:GOV589855 GYR589790:GYR589855 HIN589790:HIN589855 HSJ589790:HSJ589855 ICF589790:ICF589855 IMB589790:IMB589855 IVX589790:IVX589855 JFT589790:JFT589855 JPP589790:JPP589855 JZL589790:JZL589855 KJH589790:KJH589855 KTD589790:KTD589855 LCZ589790:LCZ589855 LMV589790:LMV589855 LWR589790:LWR589855 MGN589790:MGN589855 MQJ589790:MQJ589855 NAF589790:NAF589855 NKB589790:NKB589855 NTX589790:NTX589855 ODT589790:ODT589855 ONP589790:ONP589855 OXL589790:OXL589855 PHH589790:PHH589855 PRD589790:PRD589855 QAZ589790:QAZ589855 QKV589790:QKV589855 QUR589790:QUR589855 REN589790:REN589855 ROJ589790:ROJ589855 RYF589790:RYF589855 SIB589790:SIB589855 SRX589790:SRX589855 TBT589790:TBT589855 TLP589790:TLP589855 TVL589790:TVL589855 UFH589790:UFH589855 UPD589790:UPD589855 UYZ589790:UYZ589855 VIV589790:VIV589855 VSR589790:VSR589855 WCN589790:WCN589855 WMJ589790:WMJ589855 WWF589790:WWF589855 X655326:X655391 JT655326:JT655391 TP655326:TP655391 ADL655326:ADL655391 ANH655326:ANH655391 AXD655326:AXD655391 BGZ655326:BGZ655391 BQV655326:BQV655391 CAR655326:CAR655391 CKN655326:CKN655391 CUJ655326:CUJ655391 DEF655326:DEF655391 DOB655326:DOB655391 DXX655326:DXX655391 EHT655326:EHT655391 ERP655326:ERP655391 FBL655326:FBL655391 FLH655326:FLH655391 FVD655326:FVD655391 GEZ655326:GEZ655391 GOV655326:GOV655391 GYR655326:GYR655391 HIN655326:HIN655391 HSJ655326:HSJ655391 ICF655326:ICF655391 IMB655326:IMB655391 IVX655326:IVX655391 JFT655326:JFT655391 JPP655326:JPP655391 JZL655326:JZL655391 KJH655326:KJH655391 KTD655326:KTD655391 LCZ655326:LCZ655391 LMV655326:LMV655391 LWR655326:LWR655391 MGN655326:MGN655391 MQJ655326:MQJ655391 NAF655326:NAF655391 NKB655326:NKB655391 NTX655326:NTX655391 ODT655326:ODT655391 ONP655326:ONP655391 OXL655326:OXL655391 PHH655326:PHH655391 PRD655326:PRD655391 QAZ655326:QAZ655391 QKV655326:QKV655391 QUR655326:QUR655391 REN655326:REN655391 ROJ655326:ROJ655391 RYF655326:RYF655391 SIB655326:SIB655391 SRX655326:SRX655391 TBT655326:TBT655391 TLP655326:TLP655391 TVL655326:TVL655391 UFH655326:UFH655391 UPD655326:UPD655391 UYZ655326:UYZ655391 VIV655326:VIV655391 VSR655326:VSR655391 WCN655326:WCN655391 WMJ655326:WMJ655391 WWF655326:WWF655391 X720862:X720927 JT720862:JT720927 TP720862:TP720927 ADL720862:ADL720927 ANH720862:ANH720927 AXD720862:AXD720927 BGZ720862:BGZ720927 BQV720862:BQV720927 CAR720862:CAR720927 CKN720862:CKN720927 CUJ720862:CUJ720927 DEF720862:DEF720927 DOB720862:DOB720927 DXX720862:DXX720927 EHT720862:EHT720927 ERP720862:ERP720927 FBL720862:FBL720927 FLH720862:FLH720927 FVD720862:FVD720927 GEZ720862:GEZ720927 GOV720862:GOV720927 GYR720862:GYR720927 HIN720862:HIN720927 HSJ720862:HSJ720927 ICF720862:ICF720927 IMB720862:IMB720927 IVX720862:IVX720927 JFT720862:JFT720927 JPP720862:JPP720927 JZL720862:JZL720927 KJH720862:KJH720927 KTD720862:KTD720927 LCZ720862:LCZ720927 LMV720862:LMV720927 LWR720862:LWR720927 MGN720862:MGN720927 MQJ720862:MQJ720927 NAF720862:NAF720927 NKB720862:NKB720927 NTX720862:NTX720927 ODT720862:ODT720927 ONP720862:ONP720927 OXL720862:OXL720927 PHH720862:PHH720927 PRD720862:PRD720927 QAZ720862:QAZ720927 QKV720862:QKV720927 QUR720862:QUR720927 REN720862:REN720927 ROJ720862:ROJ720927 RYF720862:RYF720927 SIB720862:SIB720927 SRX720862:SRX720927 TBT720862:TBT720927 TLP720862:TLP720927 TVL720862:TVL720927 UFH720862:UFH720927 UPD720862:UPD720927 UYZ720862:UYZ720927 VIV720862:VIV720927 VSR720862:VSR720927 WCN720862:WCN720927 WMJ720862:WMJ720927 WWF720862:WWF720927 X786398:X786463 JT786398:JT786463 TP786398:TP786463 ADL786398:ADL786463 ANH786398:ANH786463 AXD786398:AXD786463 BGZ786398:BGZ786463 BQV786398:BQV786463 CAR786398:CAR786463 CKN786398:CKN786463 CUJ786398:CUJ786463 DEF786398:DEF786463 DOB786398:DOB786463 DXX786398:DXX786463 EHT786398:EHT786463 ERP786398:ERP786463 FBL786398:FBL786463 FLH786398:FLH786463 FVD786398:FVD786463 GEZ786398:GEZ786463 GOV786398:GOV786463 GYR786398:GYR786463 HIN786398:HIN786463 HSJ786398:HSJ786463 ICF786398:ICF786463 IMB786398:IMB786463 IVX786398:IVX786463 JFT786398:JFT786463 JPP786398:JPP786463 JZL786398:JZL786463 KJH786398:KJH786463 KTD786398:KTD786463 LCZ786398:LCZ786463 LMV786398:LMV786463 LWR786398:LWR786463 MGN786398:MGN786463 MQJ786398:MQJ786463 NAF786398:NAF786463 NKB786398:NKB786463 NTX786398:NTX786463 ODT786398:ODT786463 ONP786398:ONP786463 OXL786398:OXL786463 PHH786398:PHH786463 PRD786398:PRD786463 QAZ786398:QAZ786463 QKV786398:QKV786463 QUR786398:QUR786463 REN786398:REN786463 ROJ786398:ROJ786463 RYF786398:RYF786463 SIB786398:SIB786463 SRX786398:SRX786463 TBT786398:TBT786463 TLP786398:TLP786463 TVL786398:TVL786463 UFH786398:UFH786463 UPD786398:UPD786463 UYZ786398:UYZ786463 VIV786398:VIV786463 VSR786398:VSR786463 WCN786398:WCN786463 WMJ786398:WMJ786463 WWF786398:WWF786463 X851934:X851999 JT851934:JT851999 TP851934:TP851999 ADL851934:ADL851999 ANH851934:ANH851999 AXD851934:AXD851999 BGZ851934:BGZ851999 BQV851934:BQV851999 CAR851934:CAR851999 CKN851934:CKN851999 CUJ851934:CUJ851999 DEF851934:DEF851999 DOB851934:DOB851999 DXX851934:DXX851999 EHT851934:EHT851999 ERP851934:ERP851999 FBL851934:FBL851999 FLH851934:FLH851999 FVD851934:FVD851999 GEZ851934:GEZ851999 GOV851934:GOV851999 GYR851934:GYR851999 HIN851934:HIN851999 HSJ851934:HSJ851999 ICF851934:ICF851999 IMB851934:IMB851999 IVX851934:IVX851999 JFT851934:JFT851999 JPP851934:JPP851999 JZL851934:JZL851999 KJH851934:KJH851999 KTD851934:KTD851999 LCZ851934:LCZ851999 LMV851934:LMV851999 LWR851934:LWR851999 MGN851934:MGN851999 MQJ851934:MQJ851999 NAF851934:NAF851999 NKB851934:NKB851999 NTX851934:NTX851999 ODT851934:ODT851999 ONP851934:ONP851999 OXL851934:OXL851999 PHH851934:PHH851999 PRD851934:PRD851999 QAZ851934:QAZ851999 QKV851934:QKV851999 QUR851934:QUR851999 REN851934:REN851999 ROJ851934:ROJ851999 RYF851934:RYF851999 SIB851934:SIB851999 SRX851934:SRX851999 TBT851934:TBT851999 TLP851934:TLP851999 TVL851934:TVL851999 UFH851934:UFH851999 UPD851934:UPD851999 UYZ851934:UYZ851999 VIV851934:VIV851999 VSR851934:VSR851999 WCN851934:WCN851999 WMJ851934:WMJ851999 WWF851934:WWF851999 X917470:X917535 JT917470:JT917535 TP917470:TP917535 ADL917470:ADL917535 ANH917470:ANH917535 AXD917470:AXD917535 BGZ917470:BGZ917535 BQV917470:BQV917535 CAR917470:CAR917535 CKN917470:CKN917535 CUJ917470:CUJ917535 DEF917470:DEF917535 DOB917470:DOB917535 DXX917470:DXX917535 EHT917470:EHT917535 ERP917470:ERP917535 FBL917470:FBL917535 FLH917470:FLH917535 FVD917470:FVD917535 GEZ917470:GEZ917535 GOV917470:GOV917535 GYR917470:GYR917535 HIN917470:HIN917535 HSJ917470:HSJ917535 ICF917470:ICF917535 IMB917470:IMB917535 IVX917470:IVX917535 JFT917470:JFT917535 JPP917470:JPP917535 JZL917470:JZL917535 KJH917470:KJH917535 KTD917470:KTD917535 LCZ917470:LCZ917535 LMV917470:LMV917535 LWR917470:LWR917535 MGN917470:MGN917535 MQJ917470:MQJ917535 NAF917470:NAF917535 NKB917470:NKB917535 NTX917470:NTX917535 ODT917470:ODT917535 ONP917470:ONP917535 OXL917470:OXL917535 PHH917470:PHH917535 PRD917470:PRD917535 QAZ917470:QAZ917535 QKV917470:QKV917535 QUR917470:QUR917535 REN917470:REN917535 ROJ917470:ROJ917535 RYF917470:RYF917535 SIB917470:SIB917535 SRX917470:SRX917535 TBT917470:TBT917535 TLP917470:TLP917535 TVL917470:TVL917535 UFH917470:UFH917535 UPD917470:UPD917535 UYZ917470:UYZ917535 VIV917470:VIV917535 VSR917470:VSR917535 WCN917470:WCN917535 WMJ917470:WMJ917535 WWF917470:WWF917535 X983006:X983071 JT983006:JT983071 TP983006:TP983071 ADL983006:ADL983071 ANH983006:ANH983071 AXD983006:AXD983071 BGZ983006:BGZ983071 BQV983006:BQV983071 CAR983006:CAR983071 CKN983006:CKN983071 CUJ983006:CUJ983071 DEF983006:DEF983071 DOB983006:DOB983071 DXX983006:DXX983071 EHT983006:EHT983071 ERP983006:ERP983071 FBL983006:FBL983071 FLH983006:FLH983071 FVD983006:FVD983071 GEZ983006:GEZ983071 GOV983006:GOV983071 GYR983006:GYR983071 HIN983006:HIN983071 HSJ983006:HSJ983071 ICF983006:ICF983071 IMB983006:IMB983071 IVX983006:IVX983071 JFT983006:JFT983071 JPP983006:JPP983071 JZL983006:JZL983071 KJH983006:KJH983071 KTD983006:KTD983071 LCZ983006:LCZ983071 LMV983006:LMV983071 LWR983006:LWR983071 MGN983006:MGN983071 MQJ983006:MQJ983071 NAF983006:NAF983071 NKB983006:NKB983071 NTX983006:NTX983071 ODT983006:ODT983071 ONP983006:ONP983071 OXL983006:OXL983071 PHH983006:PHH983071 PRD983006:PRD983071 QAZ983006:QAZ983071 QKV983006:QKV983071 QUR983006:QUR983071 REN983006:REN983071 ROJ983006:ROJ983071 RYF983006:RYF983071 SIB983006:SIB983071 SRX983006:SRX983071 TBT983006:TBT983071 TLP983006:TLP983071 TVL983006:TVL983071 UFH983006:UFH983071 UPD983006:UPD983071 UYZ983006:UYZ983071 VIV983006:VIV983071 VSR983006:VSR983071 WCN983006:WCN983071 WMJ983006:WMJ983071 WMJ2:WMJ52 WCN2:WCN52 VSR2:VSR52 VIV2:VIV52 UYZ2:UYZ52 UPD2:UPD52 UFH2:UFH52 TVL2:TVL52 TLP2:TLP52 TBT2:TBT52 SRX2:SRX52 SIB2:SIB52 RYF2:RYF52 ROJ2:ROJ52 REN2:REN52 QUR2:QUR52 QKV2:QKV52 QAZ2:QAZ52 PRD2:PRD52 PHH2:PHH52 OXL2:OXL52 ONP2:ONP52 ODT2:ODT52 NTX2:NTX52 NKB2:NKB52 NAF2:NAF52 MQJ2:MQJ52 MGN2:MGN52 LWR2:LWR52 LMV2:LMV52 LCZ2:LCZ52 KTD2:KTD52 KJH2:KJH52 JZL2:JZL52 JPP2:JPP52 JFT2:JFT52 IVX2:IVX52 IMB2:IMB52 ICF2:ICF52 HSJ2:HSJ52 HIN2:HIN52 GYR2:GYR52 GOV2:GOV52 GEZ2:GEZ52 FVD2:FVD52 FLH2:FLH52 FBL2:FBL52 ERP2:ERP52 EHT2:EHT52 DXX2:DXX52 DOB2:DOB52 DEF2:DEF52 CUJ2:CUJ52 CKN2:CKN52 CAR2:CAR52 BQV2:BQV52 BGZ2:BGZ52 AXD2:AXD52 ANH2:ANH52 ADL2:ADL52 TP2:TP52 JT2:JT52 WWF2:WWF52 X2:X464" xr:uid="{74B52526-2B32-499F-8A1B-A077A3F3D28B}">
      <formula1>$AT$2:$AT$3</formula1>
    </dataValidation>
    <dataValidation type="list" allowBlank="1" showInputMessage="1" showErrorMessage="1" sqref="G64327:G64394 JC64327:JC64394 SY64327:SY64394 ACU64327:ACU64394 AMQ64327:AMQ64394 AWM64327:AWM64394 BGI64327:BGI64394 BQE64327:BQE64394 CAA64327:CAA64394 CJW64327:CJW64394 CTS64327:CTS64394 DDO64327:DDO64394 DNK64327:DNK64394 DXG64327:DXG64394 EHC64327:EHC64394 EQY64327:EQY64394 FAU64327:FAU64394 FKQ64327:FKQ64394 FUM64327:FUM64394 GEI64327:GEI64394 GOE64327:GOE64394 GYA64327:GYA64394 HHW64327:HHW64394 HRS64327:HRS64394 IBO64327:IBO64394 ILK64327:ILK64394 IVG64327:IVG64394 JFC64327:JFC64394 JOY64327:JOY64394 JYU64327:JYU64394 KIQ64327:KIQ64394 KSM64327:KSM64394 LCI64327:LCI64394 LME64327:LME64394 LWA64327:LWA64394 MFW64327:MFW64394 MPS64327:MPS64394 MZO64327:MZO64394 NJK64327:NJK64394 NTG64327:NTG64394 ODC64327:ODC64394 OMY64327:OMY64394 OWU64327:OWU64394 PGQ64327:PGQ64394 PQM64327:PQM64394 QAI64327:QAI64394 QKE64327:QKE64394 QUA64327:QUA64394 RDW64327:RDW64394 RNS64327:RNS64394 RXO64327:RXO64394 SHK64327:SHK64394 SRG64327:SRG64394 TBC64327:TBC64394 TKY64327:TKY64394 TUU64327:TUU64394 UEQ64327:UEQ64394 UOM64327:UOM64394 UYI64327:UYI64394 VIE64327:VIE64394 VSA64327:VSA64394 WBW64327:WBW64394 WLS64327:WLS64394 WVO64327:WVO64394 G129863:G129930 JC129863:JC129930 SY129863:SY129930 ACU129863:ACU129930 AMQ129863:AMQ129930 AWM129863:AWM129930 BGI129863:BGI129930 BQE129863:BQE129930 CAA129863:CAA129930 CJW129863:CJW129930 CTS129863:CTS129930 DDO129863:DDO129930 DNK129863:DNK129930 DXG129863:DXG129930 EHC129863:EHC129930 EQY129863:EQY129930 FAU129863:FAU129930 FKQ129863:FKQ129930 FUM129863:FUM129930 GEI129863:GEI129930 GOE129863:GOE129930 GYA129863:GYA129930 HHW129863:HHW129930 HRS129863:HRS129930 IBO129863:IBO129930 ILK129863:ILK129930 IVG129863:IVG129930 JFC129863:JFC129930 JOY129863:JOY129930 JYU129863:JYU129930 KIQ129863:KIQ129930 KSM129863:KSM129930 LCI129863:LCI129930 LME129863:LME129930 LWA129863:LWA129930 MFW129863:MFW129930 MPS129863:MPS129930 MZO129863:MZO129930 NJK129863:NJK129930 NTG129863:NTG129930 ODC129863:ODC129930 OMY129863:OMY129930 OWU129863:OWU129930 PGQ129863:PGQ129930 PQM129863:PQM129930 QAI129863:QAI129930 QKE129863:QKE129930 QUA129863:QUA129930 RDW129863:RDW129930 RNS129863:RNS129930 RXO129863:RXO129930 SHK129863:SHK129930 SRG129863:SRG129930 TBC129863:TBC129930 TKY129863:TKY129930 TUU129863:TUU129930 UEQ129863:UEQ129930 UOM129863:UOM129930 UYI129863:UYI129930 VIE129863:VIE129930 VSA129863:VSA129930 WBW129863:WBW129930 WLS129863:WLS129930 WVO129863:WVO129930 G195399:G195466 JC195399:JC195466 SY195399:SY195466 ACU195399:ACU195466 AMQ195399:AMQ195466 AWM195399:AWM195466 BGI195399:BGI195466 BQE195399:BQE195466 CAA195399:CAA195466 CJW195399:CJW195466 CTS195399:CTS195466 DDO195399:DDO195466 DNK195399:DNK195466 DXG195399:DXG195466 EHC195399:EHC195466 EQY195399:EQY195466 FAU195399:FAU195466 FKQ195399:FKQ195466 FUM195399:FUM195466 GEI195399:GEI195466 GOE195399:GOE195466 GYA195399:GYA195466 HHW195399:HHW195466 HRS195399:HRS195466 IBO195399:IBO195466 ILK195399:ILK195466 IVG195399:IVG195466 JFC195399:JFC195466 JOY195399:JOY195466 JYU195399:JYU195466 KIQ195399:KIQ195466 KSM195399:KSM195466 LCI195399:LCI195466 LME195399:LME195466 LWA195399:LWA195466 MFW195399:MFW195466 MPS195399:MPS195466 MZO195399:MZO195466 NJK195399:NJK195466 NTG195399:NTG195466 ODC195399:ODC195466 OMY195399:OMY195466 OWU195399:OWU195466 PGQ195399:PGQ195466 PQM195399:PQM195466 QAI195399:QAI195466 QKE195399:QKE195466 QUA195399:QUA195466 RDW195399:RDW195466 RNS195399:RNS195466 RXO195399:RXO195466 SHK195399:SHK195466 SRG195399:SRG195466 TBC195399:TBC195466 TKY195399:TKY195466 TUU195399:TUU195466 UEQ195399:UEQ195466 UOM195399:UOM195466 UYI195399:UYI195466 VIE195399:VIE195466 VSA195399:VSA195466 WBW195399:WBW195466 WLS195399:WLS195466 WVO195399:WVO195466 G260935:G261002 JC260935:JC261002 SY260935:SY261002 ACU260935:ACU261002 AMQ260935:AMQ261002 AWM260935:AWM261002 BGI260935:BGI261002 BQE260935:BQE261002 CAA260935:CAA261002 CJW260935:CJW261002 CTS260935:CTS261002 DDO260935:DDO261002 DNK260935:DNK261002 DXG260935:DXG261002 EHC260935:EHC261002 EQY260935:EQY261002 FAU260935:FAU261002 FKQ260935:FKQ261002 FUM260935:FUM261002 GEI260935:GEI261002 GOE260935:GOE261002 GYA260935:GYA261002 HHW260935:HHW261002 HRS260935:HRS261002 IBO260935:IBO261002 ILK260935:ILK261002 IVG260935:IVG261002 JFC260935:JFC261002 JOY260935:JOY261002 JYU260935:JYU261002 KIQ260935:KIQ261002 KSM260935:KSM261002 LCI260935:LCI261002 LME260935:LME261002 LWA260935:LWA261002 MFW260935:MFW261002 MPS260935:MPS261002 MZO260935:MZO261002 NJK260935:NJK261002 NTG260935:NTG261002 ODC260935:ODC261002 OMY260935:OMY261002 OWU260935:OWU261002 PGQ260935:PGQ261002 PQM260935:PQM261002 QAI260935:QAI261002 QKE260935:QKE261002 QUA260935:QUA261002 RDW260935:RDW261002 RNS260935:RNS261002 RXO260935:RXO261002 SHK260935:SHK261002 SRG260935:SRG261002 TBC260935:TBC261002 TKY260935:TKY261002 TUU260935:TUU261002 UEQ260935:UEQ261002 UOM260935:UOM261002 UYI260935:UYI261002 VIE260935:VIE261002 VSA260935:VSA261002 WBW260935:WBW261002 WLS260935:WLS261002 WVO260935:WVO261002 G326471:G326538 JC326471:JC326538 SY326471:SY326538 ACU326471:ACU326538 AMQ326471:AMQ326538 AWM326471:AWM326538 BGI326471:BGI326538 BQE326471:BQE326538 CAA326471:CAA326538 CJW326471:CJW326538 CTS326471:CTS326538 DDO326471:DDO326538 DNK326471:DNK326538 DXG326471:DXG326538 EHC326471:EHC326538 EQY326471:EQY326538 FAU326471:FAU326538 FKQ326471:FKQ326538 FUM326471:FUM326538 GEI326471:GEI326538 GOE326471:GOE326538 GYA326471:GYA326538 HHW326471:HHW326538 HRS326471:HRS326538 IBO326471:IBO326538 ILK326471:ILK326538 IVG326471:IVG326538 JFC326471:JFC326538 JOY326471:JOY326538 JYU326471:JYU326538 KIQ326471:KIQ326538 KSM326471:KSM326538 LCI326471:LCI326538 LME326471:LME326538 LWA326471:LWA326538 MFW326471:MFW326538 MPS326471:MPS326538 MZO326471:MZO326538 NJK326471:NJK326538 NTG326471:NTG326538 ODC326471:ODC326538 OMY326471:OMY326538 OWU326471:OWU326538 PGQ326471:PGQ326538 PQM326471:PQM326538 QAI326471:QAI326538 QKE326471:QKE326538 QUA326471:QUA326538 RDW326471:RDW326538 RNS326471:RNS326538 RXO326471:RXO326538 SHK326471:SHK326538 SRG326471:SRG326538 TBC326471:TBC326538 TKY326471:TKY326538 TUU326471:TUU326538 UEQ326471:UEQ326538 UOM326471:UOM326538 UYI326471:UYI326538 VIE326471:VIE326538 VSA326471:VSA326538 WBW326471:WBW326538 WLS326471:WLS326538 WVO326471:WVO326538 G392007:G392074 JC392007:JC392074 SY392007:SY392074 ACU392007:ACU392074 AMQ392007:AMQ392074 AWM392007:AWM392074 BGI392007:BGI392074 BQE392007:BQE392074 CAA392007:CAA392074 CJW392007:CJW392074 CTS392007:CTS392074 DDO392007:DDO392074 DNK392007:DNK392074 DXG392007:DXG392074 EHC392007:EHC392074 EQY392007:EQY392074 FAU392007:FAU392074 FKQ392007:FKQ392074 FUM392007:FUM392074 GEI392007:GEI392074 GOE392007:GOE392074 GYA392007:GYA392074 HHW392007:HHW392074 HRS392007:HRS392074 IBO392007:IBO392074 ILK392007:ILK392074 IVG392007:IVG392074 JFC392007:JFC392074 JOY392007:JOY392074 JYU392007:JYU392074 KIQ392007:KIQ392074 KSM392007:KSM392074 LCI392007:LCI392074 LME392007:LME392074 LWA392007:LWA392074 MFW392007:MFW392074 MPS392007:MPS392074 MZO392007:MZO392074 NJK392007:NJK392074 NTG392007:NTG392074 ODC392007:ODC392074 OMY392007:OMY392074 OWU392007:OWU392074 PGQ392007:PGQ392074 PQM392007:PQM392074 QAI392007:QAI392074 QKE392007:QKE392074 QUA392007:QUA392074 RDW392007:RDW392074 RNS392007:RNS392074 RXO392007:RXO392074 SHK392007:SHK392074 SRG392007:SRG392074 TBC392007:TBC392074 TKY392007:TKY392074 TUU392007:TUU392074 UEQ392007:UEQ392074 UOM392007:UOM392074 UYI392007:UYI392074 VIE392007:VIE392074 VSA392007:VSA392074 WBW392007:WBW392074 WLS392007:WLS392074 WVO392007:WVO392074 G457543:G457610 JC457543:JC457610 SY457543:SY457610 ACU457543:ACU457610 AMQ457543:AMQ457610 AWM457543:AWM457610 BGI457543:BGI457610 BQE457543:BQE457610 CAA457543:CAA457610 CJW457543:CJW457610 CTS457543:CTS457610 DDO457543:DDO457610 DNK457543:DNK457610 DXG457543:DXG457610 EHC457543:EHC457610 EQY457543:EQY457610 FAU457543:FAU457610 FKQ457543:FKQ457610 FUM457543:FUM457610 GEI457543:GEI457610 GOE457543:GOE457610 GYA457543:GYA457610 HHW457543:HHW457610 HRS457543:HRS457610 IBO457543:IBO457610 ILK457543:ILK457610 IVG457543:IVG457610 JFC457543:JFC457610 JOY457543:JOY457610 JYU457543:JYU457610 KIQ457543:KIQ457610 KSM457543:KSM457610 LCI457543:LCI457610 LME457543:LME457610 LWA457543:LWA457610 MFW457543:MFW457610 MPS457543:MPS457610 MZO457543:MZO457610 NJK457543:NJK457610 NTG457543:NTG457610 ODC457543:ODC457610 OMY457543:OMY457610 OWU457543:OWU457610 PGQ457543:PGQ457610 PQM457543:PQM457610 QAI457543:QAI457610 QKE457543:QKE457610 QUA457543:QUA457610 RDW457543:RDW457610 RNS457543:RNS457610 RXO457543:RXO457610 SHK457543:SHK457610 SRG457543:SRG457610 TBC457543:TBC457610 TKY457543:TKY457610 TUU457543:TUU457610 UEQ457543:UEQ457610 UOM457543:UOM457610 UYI457543:UYI457610 VIE457543:VIE457610 VSA457543:VSA457610 WBW457543:WBW457610 WLS457543:WLS457610 WVO457543:WVO457610 G523079:G523146 JC523079:JC523146 SY523079:SY523146 ACU523079:ACU523146 AMQ523079:AMQ523146 AWM523079:AWM523146 BGI523079:BGI523146 BQE523079:BQE523146 CAA523079:CAA523146 CJW523079:CJW523146 CTS523079:CTS523146 DDO523079:DDO523146 DNK523079:DNK523146 DXG523079:DXG523146 EHC523079:EHC523146 EQY523079:EQY523146 FAU523079:FAU523146 FKQ523079:FKQ523146 FUM523079:FUM523146 GEI523079:GEI523146 GOE523079:GOE523146 GYA523079:GYA523146 HHW523079:HHW523146 HRS523079:HRS523146 IBO523079:IBO523146 ILK523079:ILK523146 IVG523079:IVG523146 JFC523079:JFC523146 JOY523079:JOY523146 JYU523079:JYU523146 KIQ523079:KIQ523146 KSM523079:KSM523146 LCI523079:LCI523146 LME523079:LME523146 LWA523079:LWA523146 MFW523079:MFW523146 MPS523079:MPS523146 MZO523079:MZO523146 NJK523079:NJK523146 NTG523079:NTG523146 ODC523079:ODC523146 OMY523079:OMY523146 OWU523079:OWU523146 PGQ523079:PGQ523146 PQM523079:PQM523146 QAI523079:QAI523146 QKE523079:QKE523146 QUA523079:QUA523146 RDW523079:RDW523146 RNS523079:RNS523146 RXO523079:RXO523146 SHK523079:SHK523146 SRG523079:SRG523146 TBC523079:TBC523146 TKY523079:TKY523146 TUU523079:TUU523146 UEQ523079:UEQ523146 UOM523079:UOM523146 UYI523079:UYI523146 VIE523079:VIE523146 VSA523079:VSA523146 WBW523079:WBW523146 WLS523079:WLS523146 WVO523079:WVO523146 G588615:G588682 JC588615:JC588682 SY588615:SY588682 ACU588615:ACU588682 AMQ588615:AMQ588682 AWM588615:AWM588682 BGI588615:BGI588682 BQE588615:BQE588682 CAA588615:CAA588682 CJW588615:CJW588682 CTS588615:CTS588682 DDO588615:DDO588682 DNK588615:DNK588682 DXG588615:DXG588682 EHC588615:EHC588682 EQY588615:EQY588682 FAU588615:FAU588682 FKQ588615:FKQ588682 FUM588615:FUM588682 GEI588615:GEI588682 GOE588615:GOE588682 GYA588615:GYA588682 HHW588615:HHW588682 HRS588615:HRS588682 IBO588615:IBO588682 ILK588615:ILK588682 IVG588615:IVG588682 JFC588615:JFC588682 JOY588615:JOY588682 JYU588615:JYU588682 KIQ588615:KIQ588682 KSM588615:KSM588682 LCI588615:LCI588682 LME588615:LME588682 LWA588615:LWA588682 MFW588615:MFW588682 MPS588615:MPS588682 MZO588615:MZO588682 NJK588615:NJK588682 NTG588615:NTG588682 ODC588615:ODC588682 OMY588615:OMY588682 OWU588615:OWU588682 PGQ588615:PGQ588682 PQM588615:PQM588682 QAI588615:QAI588682 QKE588615:QKE588682 QUA588615:QUA588682 RDW588615:RDW588682 RNS588615:RNS588682 RXO588615:RXO588682 SHK588615:SHK588682 SRG588615:SRG588682 TBC588615:TBC588682 TKY588615:TKY588682 TUU588615:TUU588682 UEQ588615:UEQ588682 UOM588615:UOM588682 UYI588615:UYI588682 VIE588615:VIE588682 VSA588615:VSA588682 WBW588615:WBW588682 WLS588615:WLS588682 WVO588615:WVO588682 G654151:G654218 JC654151:JC654218 SY654151:SY654218 ACU654151:ACU654218 AMQ654151:AMQ654218 AWM654151:AWM654218 BGI654151:BGI654218 BQE654151:BQE654218 CAA654151:CAA654218 CJW654151:CJW654218 CTS654151:CTS654218 DDO654151:DDO654218 DNK654151:DNK654218 DXG654151:DXG654218 EHC654151:EHC654218 EQY654151:EQY654218 FAU654151:FAU654218 FKQ654151:FKQ654218 FUM654151:FUM654218 GEI654151:GEI654218 GOE654151:GOE654218 GYA654151:GYA654218 HHW654151:HHW654218 HRS654151:HRS654218 IBO654151:IBO654218 ILK654151:ILK654218 IVG654151:IVG654218 JFC654151:JFC654218 JOY654151:JOY654218 JYU654151:JYU654218 KIQ654151:KIQ654218 KSM654151:KSM654218 LCI654151:LCI654218 LME654151:LME654218 LWA654151:LWA654218 MFW654151:MFW654218 MPS654151:MPS654218 MZO654151:MZO654218 NJK654151:NJK654218 NTG654151:NTG654218 ODC654151:ODC654218 OMY654151:OMY654218 OWU654151:OWU654218 PGQ654151:PGQ654218 PQM654151:PQM654218 QAI654151:QAI654218 QKE654151:QKE654218 QUA654151:QUA654218 RDW654151:RDW654218 RNS654151:RNS654218 RXO654151:RXO654218 SHK654151:SHK654218 SRG654151:SRG654218 TBC654151:TBC654218 TKY654151:TKY654218 TUU654151:TUU654218 UEQ654151:UEQ654218 UOM654151:UOM654218 UYI654151:UYI654218 VIE654151:VIE654218 VSA654151:VSA654218 WBW654151:WBW654218 WLS654151:WLS654218 WVO654151:WVO654218 G719687:G719754 JC719687:JC719754 SY719687:SY719754 ACU719687:ACU719754 AMQ719687:AMQ719754 AWM719687:AWM719754 BGI719687:BGI719754 BQE719687:BQE719754 CAA719687:CAA719754 CJW719687:CJW719754 CTS719687:CTS719754 DDO719687:DDO719754 DNK719687:DNK719754 DXG719687:DXG719754 EHC719687:EHC719754 EQY719687:EQY719754 FAU719687:FAU719754 FKQ719687:FKQ719754 FUM719687:FUM719754 GEI719687:GEI719754 GOE719687:GOE719754 GYA719687:GYA719754 HHW719687:HHW719754 HRS719687:HRS719754 IBO719687:IBO719754 ILK719687:ILK719754 IVG719687:IVG719754 JFC719687:JFC719754 JOY719687:JOY719754 JYU719687:JYU719754 KIQ719687:KIQ719754 KSM719687:KSM719754 LCI719687:LCI719754 LME719687:LME719754 LWA719687:LWA719754 MFW719687:MFW719754 MPS719687:MPS719754 MZO719687:MZO719754 NJK719687:NJK719754 NTG719687:NTG719754 ODC719687:ODC719754 OMY719687:OMY719754 OWU719687:OWU719754 PGQ719687:PGQ719754 PQM719687:PQM719754 QAI719687:QAI719754 QKE719687:QKE719754 QUA719687:QUA719754 RDW719687:RDW719754 RNS719687:RNS719754 RXO719687:RXO719754 SHK719687:SHK719754 SRG719687:SRG719754 TBC719687:TBC719754 TKY719687:TKY719754 TUU719687:TUU719754 UEQ719687:UEQ719754 UOM719687:UOM719754 UYI719687:UYI719754 VIE719687:VIE719754 VSA719687:VSA719754 WBW719687:WBW719754 WLS719687:WLS719754 WVO719687:WVO719754 G785223:G785290 JC785223:JC785290 SY785223:SY785290 ACU785223:ACU785290 AMQ785223:AMQ785290 AWM785223:AWM785290 BGI785223:BGI785290 BQE785223:BQE785290 CAA785223:CAA785290 CJW785223:CJW785290 CTS785223:CTS785290 DDO785223:DDO785290 DNK785223:DNK785290 DXG785223:DXG785290 EHC785223:EHC785290 EQY785223:EQY785290 FAU785223:FAU785290 FKQ785223:FKQ785290 FUM785223:FUM785290 GEI785223:GEI785290 GOE785223:GOE785290 GYA785223:GYA785290 HHW785223:HHW785290 HRS785223:HRS785290 IBO785223:IBO785290 ILK785223:ILK785290 IVG785223:IVG785290 JFC785223:JFC785290 JOY785223:JOY785290 JYU785223:JYU785290 KIQ785223:KIQ785290 KSM785223:KSM785290 LCI785223:LCI785290 LME785223:LME785290 LWA785223:LWA785290 MFW785223:MFW785290 MPS785223:MPS785290 MZO785223:MZO785290 NJK785223:NJK785290 NTG785223:NTG785290 ODC785223:ODC785290 OMY785223:OMY785290 OWU785223:OWU785290 PGQ785223:PGQ785290 PQM785223:PQM785290 QAI785223:QAI785290 QKE785223:QKE785290 QUA785223:QUA785290 RDW785223:RDW785290 RNS785223:RNS785290 RXO785223:RXO785290 SHK785223:SHK785290 SRG785223:SRG785290 TBC785223:TBC785290 TKY785223:TKY785290 TUU785223:TUU785290 UEQ785223:UEQ785290 UOM785223:UOM785290 UYI785223:UYI785290 VIE785223:VIE785290 VSA785223:VSA785290 WBW785223:WBW785290 WLS785223:WLS785290 WVO785223:WVO785290 G850759:G850826 JC850759:JC850826 SY850759:SY850826 ACU850759:ACU850826 AMQ850759:AMQ850826 AWM850759:AWM850826 BGI850759:BGI850826 BQE850759:BQE850826 CAA850759:CAA850826 CJW850759:CJW850826 CTS850759:CTS850826 DDO850759:DDO850826 DNK850759:DNK850826 DXG850759:DXG850826 EHC850759:EHC850826 EQY850759:EQY850826 FAU850759:FAU850826 FKQ850759:FKQ850826 FUM850759:FUM850826 GEI850759:GEI850826 GOE850759:GOE850826 GYA850759:GYA850826 HHW850759:HHW850826 HRS850759:HRS850826 IBO850759:IBO850826 ILK850759:ILK850826 IVG850759:IVG850826 JFC850759:JFC850826 JOY850759:JOY850826 JYU850759:JYU850826 KIQ850759:KIQ850826 KSM850759:KSM850826 LCI850759:LCI850826 LME850759:LME850826 LWA850759:LWA850826 MFW850759:MFW850826 MPS850759:MPS850826 MZO850759:MZO850826 NJK850759:NJK850826 NTG850759:NTG850826 ODC850759:ODC850826 OMY850759:OMY850826 OWU850759:OWU850826 PGQ850759:PGQ850826 PQM850759:PQM850826 QAI850759:QAI850826 QKE850759:QKE850826 QUA850759:QUA850826 RDW850759:RDW850826 RNS850759:RNS850826 RXO850759:RXO850826 SHK850759:SHK850826 SRG850759:SRG850826 TBC850759:TBC850826 TKY850759:TKY850826 TUU850759:TUU850826 UEQ850759:UEQ850826 UOM850759:UOM850826 UYI850759:UYI850826 VIE850759:VIE850826 VSA850759:VSA850826 WBW850759:WBW850826 WLS850759:WLS850826 WVO850759:WVO850826 G916295:G916362 JC916295:JC916362 SY916295:SY916362 ACU916295:ACU916362 AMQ916295:AMQ916362 AWM916295:AWM916362 BGI916295:BGI916362 BQE916295:BQE916362 CAA916295:CAA916362 CJW916295:CJW916362 CTS916295:CTS916362 DDO916295:DDO916362 DNK916295:DNK916362 DXG916295:DXG916362 EHC916295:EHC916362 EQY916295:EQY916362 FAU916295:FAU916362 FKQ916295:FKQ916362 FUM916295:FUM916362 GEI916295:GEI916362 GOE916295:GOE916362 GYA916295:GYA916362 HHW916295:HHW916362 HRS916295:HRS916362 IBO916295:IBO916362 ILK916295:ILK916362 IVG916295:IVG916362 JFC916295:JFC916362 JOY916295:JOY916362 JYU916295:JYU916362 KIQ916295:KIQ916362 KSM916295:KSM916362 LCI916295:LCI916362 LME916295:LME916362 LWA916295:LWA916362 MFW916295:MFW916362 MPS916295:MPS916362 MZO916295:MZO916362 NJK916295:NJK916362 NTG916295:NTG916362 ODC916295:ODC916362 OMY916295:OMY916362 OWU916295:OWU916362 PGQ916295:PGQ916362 PQM916295:PQM916362 QAI916295:QAI916362 QKE916295:QKE916362 QUA916295:QUA916362 RDW916295:RDW916362 RNS916295:RNS916362 RXO916295:RXO916362 SHK916295:SHK916362 SRG916295:SRG916362 TBC916295:TBC916362 TKY916295:TKY916362 TUU916295:TUU916362 UEQ916295:UEQ916362 UOM916295:UOM916362 UYI916295:UYI916362 VIE916295:VIE916362 VSA916295:VSA916362 WBW916295:WBW916362 WLS916295:WLS916362 WVO916295:WVO916362 G981831:G981898 JC981831:JC981898 SY981831:SY981898 ACU981831:ACU981898 AMQ981831:AMQ981898 AWM981831:AWM981898 BGI981831:BGI981898 BQE981831:BQE981898 CAA981831:CAA981898 CJW981831:CJW981898 CTS981831:CTS981898 DDO981831:DDO981898 DNK981831:DNK981898 DXG981831:DXG981898 EHC981831:EHC981898 EQY981831:EQY981898 FAU981831:FAU981898 FKQ981831:FKQ981898 FUM981831:FUM981898 GEI981831:GEI981898 GOE981831:GOE981898 GYA981831:GYA981898 HHW981831:HHW981898 HRS981831:HRS981898 IBO981831:IBO981898 ILK981831:ILK981898 IVG981831:IVG981898 JFC981831:JFC981898 JOY981831:JOY981898 JYU981831:JYU981898 KIQ981831:KIQ981898 KSM981831:KSM981898 LCI981831:LCI981898 LME981831:LME981898 LWA981831:LWA981898 MFW981831:MFW981898 MPS981831:MPS981898 MZO981831:MZO981898 NJK981831:NJK981898 NTG981831:NTG981898 ODC981831:ODC981898 OMY981831:OMY981898 OWU981831:OWU981898 PGQ981831:PGQ981898 PQM981831:PQM981898 QAI981831:QAI981898 QKE981831:QKE981898 QUA981831:QUA981898 RDW981831:RDW981898 RNS981831:RNS981898 RXO981831:RXO981898 SHK981831:SHK981898 SRG981831:SRG981898 TBC981831:TBC981898 TKY981831:TKY981898 TUU981831:TUU981898 UEQ981831:UEQ981898 UOM981831:UOM981898 UYI981831:UYI981898 VIE981831:VIE981898 VSA981831:VSA981898 WBW981831:WBW981898 WLS981831:WLS981898 WVO981831:WVO981898 G1047367:G1047434 JC1047367:JC1047434 SY1047367:SY1047434 ACU1047367:ACU1047434 AMQ1047367:AMQ1047434 AWM1047367:AWM1047434 BGI1047367:BGI1047434 BQE1047367:BQE1047434 CAA1047367:CAA1047434 CJW1047367:CJW1047434 CTS1047367:CTS1047434 DDO1047367:DDO1047434 DNK1047367:DNK1047434 DXG1047367:DXG1047434 EHC1047367:EHC1047434 EQY1047367:EQY1047434 FAU1047367:FAU1047434 FKQ1047367:FKQ1047434 FUM1047367:FUM1047434 GEI1047367:GEI1047434 GOE1047367:GOE1047434 GYA1047367:GYA1047434 HHW1047367:HHW1047434 HRS1047367:HRS1047434 IBO1047367:IBO1047434 ILK1047367:ILK1047434 IVG1047367:IVG1047434 JFC1047367:JFC1047434 JOY1047367:JOY1047434 JYU1047367:JYU1047434 KIQ1047367:KIQ1047434 KSM1047367:KSM1047434 LCI1047367:LCI1047434 LME1047367:LME1047434 LWA1047367:LWA1047434 MFW1047367:MFW1047434 MPS1047367:MPS1047434 MZO1047367:MZO1047434 NJK1047367:NJK1047434 NTG1047367:NTG1047434 ODC1047367:ODC1047434 OMY1047367:OMY1047434 OWU1047367:OWU1047434 PGQ1047367:PGQ1047434 PQM1047367:PQM1047434 QAI1047367:QAI1047434 QKE1047367:QKE1047434 QUA1047367:QUA1047434 RDW1047367:RDW1047434 RNS1047367:RNS1047434 RXO1047367:RXO1047434 SHK1047367:SHK1047434 SRG1047367:SRG1047434 TBC1047367:TBC1047434 TKY1047367:TKY1047434 TUU1047367:TUU1047434 UEQ1047367:UEQ1047434 UOM1047367:UOM1047434 UYI1047367:UYI1047434 VIE1047367:VIE1047434 VSA1047367:VSA1047434 WBW1047367:WBW1047434 WLS1047367:WLS1047434 WVO1047367:WVO1047434 WVO983006:WVO983077 G65502:G65573 JC65502:JC65573 SY65502:SY65573 ACU65502:ACU65573 AMQ65502:AMQ65573 AWM65502:AWM65573 BGI65502:BGI65573 BQE65502:BQE65573 CAA65502:CAA65573 CJW65502:CJW65573 CTS65502:CTS65573 DDO65502:DDO65573 DNK65502:DNK65573 DXG65502:DXG65573 EHC65502:EHC65573 EQY65502:EQY65573 FAU65502:FAU65573 FKQ65502:FKQ65573 FUM65502:FUM65573 GEI65502:GEI65573 GOE65502:GOE65573 GYA65502:GYA65573 HHW65502:HHW65573 HRS65502:HRS65573 IBO65502:IBO65573 ILK65502:ILK65573 IVG65502:IVG65573 JFC65502:JFC65573 JOY65502:JOY65573 JYU65502:JYU65573 KIQ65502:KIQ65573 KSM65502:KSM65573 LCI65502:LCI65573 LME65502:LME65573 LWA65502:LWA65573 MFW65502:MFW65573 MPS65502:MPS65573 MZO65502:MZO65573 NJK65502:NJK65573 NTG65502:NTG65573 ODC65502:ODC65573 OMY65502:OMY65573 OWU65502:OWU65573 PGQ65502:PGQ65573 PQM65502:PQM65573 QAI65502:QAI65573 QKE65502:QKE65573 QUA65502:QUA65573 RDW65502:RDW65573 RNS65502:RNS65573 RXO65502:RXO65573 SHK65502:SHK65573 SRG65502:SRG65573 TBC65502:TBC65573 TKY65502:TKY65573 TUU65502:TUU65573 UEQ65502:UEQ65573 UOM65502:UOM65573 UYI65502:UYI65573 VIE65502:VIE65573 VSA65502:VSA65573 WBW65502:WBW65573 WLS65502:WLS65573 WVO65502:WVO65573 G131038:G131109 JC131038:JC131109 SY131038:SY131109 ACU131038:ACU131109 AMQ131038:AMQ131109 AWM131038:AWM131109 BGI131038:BGI131109 BQE131038:BQE131109 CAA131038:CAA131109 CJW131038:CJW131109 CTS131038:CTS131109 DDO131038:DDO131109 DNK131038:DNK131109 DXG131038:DXG131109 EHC131038:EHC131109 EQY131038:EQY131109 FAU131038:FAU131109 FKQ131038:FKQ131109 FUM131038:FUM131109 GEI131038:GEI131109 GOE131038:GOE131109 GYA131038:GYA131109 HHW131038:HHW131109 HRS131038:HRS131109 IBO131038:IBO131109 ILK131038:ILK131109 IVG131038:IVG131109 JFC131038:JFC131109 JOY131038:JOY131109 JYU131038:JYU131109 KIQ131038:KIQ131109 KSM131038:KSM131109 LCI131038:LCI131109 LME131038:LME131109 LWA131038:LWA131109 MFW131038:MFW131109 MPS131038:MPS131109 MZO131038:MZO131109 NJK131038:NJK131109 NTG131038:NTG131109 ODC131038:ODC131109 OMY131038:OMY131109 OWU131038:OWU131109 PGQ131038:PGQ131109 PQM131038:PQM131109 QAI131038:QAI131109 QKE131038:QKE131109 QUA131038:QUA131109 RDW131038:RDW131109 RNS131038:RNS131109 RXO131038:RXO131109 SHK131038:SHK131109 SRG131038:SRG131109 TBC131038:TBC131109 TKY131038:TKY131109 TUU131038:TUU131109 UEQ131038:UEQ131109 UOM131038:UOM131109 UYI131038:UYI131109 VIE131038:VIE131109 VSA131038:VSA131109 WBW131038:WBW131109 WLS131038:WLS131109 WVO131038:WVO131109 G196574:G196645 JC196574:JC196645 SY196574:SY196645 ACU196574:ACU196645 AMQ196574:AMQ196645 AWM196574:AWM196645 BGI196574:BGI196645 BQE196574:BQE196645 CAA196574:CAA196645 CJW196574:CJW196645 CTS196574:CTS196645 DDO196574:DDO196645 DNK196574:DNK196645 DXG196574:DXG196645 EHC196574:EHC196645 EQY196574:EQY196645 FAU196574:FAU196645 FKQ196574:FKQ196645 FUM196574:FUM196645 GEI196574:GEI196645 GOE196574:GOE196645 GYA196574:GYA196645 HHW196574:HHW196645 HRS196574:HRS196645 IBO196574:IBO196645 ILK196574:ILK196645 IVG196574:IVG196645 JFC196574:JFC196645 JOY196574:JOY196645 JYU196574:JYU196645 KIQ196574:KIQ196645 KSM196574:KSM196645 LCI196574:LCI196645 LME196574:LME196645 LWA196574:LWA196645 MFW196574:MFW196645 MPS196574:MPS196645 MZO196574:MZO196645 NJK196574:NJK196645 NTG196574:NTG196645 ODC196574:ODC196645 OMY196574:OMY196645 OWU196574:OWU196645 PGQ196574:PGQ196645 PQM196574:PQM196645 QAI196574:QAI196645 QKE196574:QKE196645 QUA196574:QUA196645 RDW196574:RDW196645 RNS196574:RNS196645 RXO196574:RXO196645 SHK196574:SHK196645 SRG196574:SRG196645 TBC196574:TBC196645 TKY196574:TKY196645 TUU196574:TUU196645 UEQ196574:UEQ196645 UOM196574:UOM196645 UYI196574:UYI196645 VIE196574:VIE196645 VSA196574:VSA196645 WBW196574:WBW196645 WLS196574:WLS196645 WVO196574:WVO196645 G262110:G262181 JC262110:JC262181 SY262110:SY262181 ACU262110:ACU262181 AMQ262110:AMQ262181 AWM262110:AWM262181 BGI262110:BGI262181 BQE262110:BQE262181 CAA262110:CAA262181 CJW262110:CJW262181 CTS262110:CTS262181 DDO262110:DDO262181 DNK262110:DNK262181 DXG262110:DXG262181 EHC262110:EHC262181 EQY262110:EQY262181 FAU262110:FAU262181 FKQ262110:FKQ262181 FUM262110:FUM262181 GEI262110:GEI262181 GOE262110:GOE262181 GYA262110:GYA262181 HHW262110:HHW262181 HRS262110:HRS262181 IBO262110:IBO262181 ILK262110:ILK262181 IVG262110:IVG262181 JFC262110:JFC262181 JOY262110:JOY262181 JYU262110:JYU262181 KIQ262110:KIQ262181 KSM262110:KSM262181 LCI262110:LCI262181 LME262110:LME262181 LWA262110:LWA262181 MFW262110:MFW262181 MPS262110:MPS262181 MZO262110:MZO262181 NJK262110:NJK262181 NTG262110:NTG262181 ODC262110:ODC262181 OMY262110:OMY262181 OWU262110:OWU262181 PGQ262110:PGQ262181 PQM262110:PQM262181 QAI262110:QAI262181 QKE262110:QKE262181 QUA262110:QUA262181 RDW262110:RDW262181 RNS262110:RNS262181 RXO262110:RXO262181 SHK262110:SHK262181 SRG262110:SRG262181 TBC262110:TBC262181 TKY262110:TKY262181 TUU262110:TUU262181 UEQ262110:UEQ262181 UOM262110:UOM262181 UYI262110:UYI262181 VIE262110:VIE262181 VSA262110:VSA262181 WBW262110:WBW262181 WLS262110:WLS262181 WVO262110:WVO262181 G327646:G327717 JC327646:JC327717 SY327646:SY327717 ACU327646:ACU327717 AMQ327646:AMQ327717 AWM327646:AWM327717 BGI327646:BGI327717 BQE327646:BQE327717 CAA327646:CAA327717 CJW327646:CJW327717 CTS327646:CTS327717 DDO327646:DDO327717 DNK327646:DNK327717 DXG327646:DXG327717 EHC327646:EHC327717 EQY327646:EQY327717 FAU327646:FAU327717 FKQ327646:FKQ327717 FUM327646:FUM327717 GEI327646:GEI327717 GOE327646:GOE327717 GYA327646:GYA327717 HHW327646:HHW327717 HRS327646:HRS327717 IBO327646:IBO327717 ILK327646:ILK327717 IVG327646:IVG327717 JFC327646:JFC327717 JOY327646:JOY327717 JYU327646:JYU327717 KIQ327646:KIQ327717 KSM327646:KSM327717 LCI327646:LCI327717 LME327646:LME327717 LWA327646:LWA327717 MFW327646:MFW327717 MPS327646:MPS327717 MZO327646:MZO327717 NJK327646:NJK327717 NTG327646:NTG327717 ODC327646:ODC327717 OMY327646:OMY327717 OWU327646:OWU327717 PGQ327646:PGQ327717 PQM327646:PQM327717 QAI327646:QAI327717 QKE327646:QKE327717 QUA327646:QUA327717 RDW327646:RDW327717 RNS327646:RNS327717 RXO327646:RXO327717 SHK327646:SHK327717 SRG327646:SRG327717 TBC327646:TBC327717 TKY327646:TKY327717 TUU327646:TUU327717 UEQ327646:UEQ327717 UOM327646:UOM327717 UYI327646:UYI327717 VIE327646:VIE327717 VSA327646:VSA327717 WBW327646:WBW327717 WLS327646:WLS327717 WVO327646:WVO327717 G393182:G393253 JC393182:JC393253 SY393182:SY393253 ACU393182:ACU393253 AMQ393182:AMQ393253 AWM393182:AWM393253 BGI393182:BGI393253 BQE393182:BQE393253 CAA393182:CAA393253 CJW393182:CJW393253 CTS393182:CTS393253 DDO393182:DDO393253 DNK393182:DNK393253 DXG393182:DXG393253 EHC393182:EHC393253 EQY393182:EQY393253 FAU393182:FAU393253 FKQ393182:FKQ393253 FUM393182:FUM393253 GEI393182:GEI393253 GOE393182:GOE393253 GYA393182:GYA393253 HHW393182:HHW393253 HRS393182:HRS393253 IBO393182:IBO393253 ILK393182:ILK393253 IVG393182:IVG393253 JFC393182:JFC393253 JOY393182:JOY393253 JYU393182:JYU393253 KIQ393182:KIQ393253 KSM393182:KSM393253 LCI393182:LCI393253 LME393182:LME393253 LWA393182:LWA393253 MFW393182:MFW393253 MPS393182:MPS393253 MZO393182:MZO393253 NJK393182:NJK393253 NTG393182:NTG393253 ODC393182:ODC393253 OMY393182:OMY393253 OWU393182:OWU393253 PGQ393182:PGQ393253 PQM393182:PQM393253 QAI393182:QAI393253 QKE393182:QKE393253 QUA393182:QUA393253 RDW393182:RDW393253 RNS393182:RNS393253 RXO393182:RXO393253 SHK393182:SHK393253 SRG393182:SRG393253 TBC393182:TBC393253 TKY393182:TKY393253 TUU393182:TUU393253 UEQ393182:UEQ393253 UOM393182:UOM393253 UYI393182:UYI393253 VIE393182:VIE393253 VSA393182:VSA393253 WBW393182:WBW393253 WLS393182:WLS393253 WVO393182:WVO393253 G458718:G458789 JC458718:JC458789 SY458718:SY458789 ACU458718:ACU458789 AMQ458718:AMQ458789 AWM458718:AWM458789 BGI458718:BGI458789 BQE458718:BQE458789 CAA458718:CAA458789 CJW458718:CJW458789 CTS458718:CTS458789 DDO458718:DDO458789 DNK458718:DNK458789 DXG458718:DXG458789 EHC458718:EHC458789 EQY458718:EQY458789 FAU458718:FAU458789 FKQ458718:FKQ458789 FUM458718:FUM458789 GEI458718:GEI458789 GOE458718:GOE458789 GYA458718:GYA458789 HHW458718:HHW458789 HRS458718:HRS458789 IBO458718:IBO458789 ILK458718:ILK458789 IVG458718:IVG458789 JFC458718:JFC458789 JOY458718:JOY458789 JYU458718:JYU458789 KIQ458718:KIQ458789 KSM458718:KSM458789 LCI458718:LCI458789 LME458718:LME458789 LWA458718:LWA458789 MFW458718:MFW458789 MPS458718:MPS458789 MZO458718:MZO458789 NJK458718:NJK458789 NTG458718:NTG458789 ODC458718:ODC458789 OMY458718:OMY458789 OWU458718:OWU458789 PGQ458718:PGQ458789 PQM458718:PQM458789 QAI458718:QAI458789 QKE458718:QKE458789 QUA458718:QUA458789 RDW458718:RDW458789 RNS458718:RNS458789 RXO458718:RXO458789 SHK458718:SHK458789 SRG458718:SRG458789 TBC458718:TBC458789 TKY458718:TKY458789 TUU458718:TUU458789 UEQ458718:UEQ458789 UOM458718:UOM458789 UYI458718:UYI458789 VIE458718:VIE458789 VSA458718:VSA458789 WBW458718:WBW458789 WLS458718:WLS458789 WVO458718:WVO458789 G524254:G524325 JC524254:JC524325 SY524254:SY524325 ACU524254:ACU524325 AMQ524254:AMQ524325 AWM524254:AWM524325 BGI524254:BGI524325 BQE524254:BQE524325 CAA524254:CAA524325 CJW524254:CJW524325 CTS524254:CTS524325 DDO524254:DDO524325 DNK524254:DNK524325 DXG524254:DXG524325 EHC524254:EHC524325 EQY524254:EQY524325 FAU524254:FAU524325 FKQ524254:FKQ524325 FUM524254:FUM524325 GEI524254:GEI524325 GOE524254:GOE524325 GYA524254:GYA524325 HHW524254:HHW524325 HRS524254:HRS524325 IBO524254:IBO524325 ILK524254:ILK524325 IVG524254:IVG524325 JFC524254:JFC524325 JOY524254:JOY524325 JYU524254:JYU524325 KIQ524254:KIQ524325 KSM524254:KSM524325 LCI524254:LCI524325 LME524254:LME524325 LWA524254:LWA524325 MFW524254:MFW524325 MPS524254:MPS524325 MZO524254:MZO524325 NJK524254:NJK524325 NTG524254:NTG524325 ODC524254:ODC524325 OMY524254:OMY524325 OWU524254:OWU524325 PGQ524254:PGQ524325 PQM524254:PQM524325 QAI524254:QAI524325 QKE524254:QKE524325 QUA524254:QUA524325 RDW524254:RDW524325 RNS524254:RNS524325 RXO524254:RXO524325 SHK524254:SHK524325 SRG524254:SRG524325 TBC524254:TBC524325 TKY524254:TKY524325 TUU524254:TUU524325 UEQ524254:UEQ524325 UOM524254:UOM524325 UYI524254:UYI524325 VIE524254:VIE524325 VSA524254:VSA524325 WBW524254:WBW524325 WLS524254:WLS524325 WVO524254:WVO524325 G589790:G589861 JC589790:JC589861 SY589790:SY589861 ACU589790:ACU589861 AMQ589790:AMQ589861 AWM589790:AWM589861 BGI589790:BGI589861 BQE589790:BQE589861 CAA589790:CAA589861 CJW589790:CJW589861 CTS589790:CTS589861 DDO589790:DDO589861 DNK589790:DNK589861 DXG589790:DXG589861 EHC589790:EHC589861 EQY589790:EQY589861 FAU589790:FAU589861 FKQ589790:FKQ589861 FUM589790:FUM589861 GEI589790:GEI589861 GOE589790:GOE589861 GYA589790:GYA589861 HHW589790:HHW589861 HRS589790:HRS589861 IBO589790:IBO589861 ILK589790:ILK589861 IVG589790:IVG589861 JFC589790:JFC589861 JOY589790:JOY589861 JYU589790:JYU589861 KIQ589790:KIQ589861 KSM589790:KSM589861 LCI589790:LCI589861 LME589790:LME589861 LWA589790:LWA589861 MFW589790:MFW589861 MPS589790:MPS589861 MZO589790:MZO589861 NJK589790:NJK589861 NTG589790:NTG589861 ODC589790:ODC589861 OMY589790:OMY589861 OWU589790:OWU589861 PGQ589790:PGQ589861 PQM589790:PQM589861 QAI589790:QAI589861 QKE589790:QKE589861 QUA589790:QUA589861 RDW589790:RDW589861 RNS589790:RNS589861 RXO589790:RXO589861 SHK589790:SHK589861 SRG589790:SRG589861 TBC589790:TBC589861 TKY589790:TKY589861 TUU589790:TUU589861 UEQ589790:UEQ589861 UOM589790:UOM589861 UYI589790:UYI589861 VIE589790:VIE589861 VSA589790:VSA589861 WBW589790:WBW589861 WLS589790:WLS589861 WVO589790:WVO589861 G655326:G655397 JC655326:JC655397 SY655326:SY655397 ACU655326:ACU655397 AMQ655326:AMQ655397 AWM655326:AWM655397 BGI655326:BGI655397 BQE655326:BQE655397 CAA655326:CAA655397 CJW655326:CJW655397 CTS655326:CTS655397 DDO655326:DDO655397 DNK655326:DNK655397 DXG655326:DXG655397 EHC655326:EHC655397 EQY655326:EQY655397 FAU655326:FAU655397 FKQ655326:FKQ655397 FUM655326:FUM655397 GEI655326:GEI655397 GOE655326:GOE655397 GYA655326:GYA655397 HHW655326:HHW655397 HRS655326:HRS655397 IBO655326:IBO655397 ILK655326:ILK655397 IVG655326:IVG655397 JFC655326:JFC655397 JOY655326:JOY655397 JYU655326:JYU655397 KIQ655326:KIQ655397 KSM655326:KSM655397 LCI655326:LCI655397 LME655326:LME655397 LWA655326:LWA655397 MFW655326:MFW655397 MPS655326:MPS655397 MZO655326:MZO655397 NJK655326:NJK655397 NTG655326:NTG655397 ODC655326:ODC655397 OMY655326:OMY655397 OWU655326:OWU655397 PGQ655326:PGQ655397 PQM655326:PQM655397 QAI655326:QAI655397 QKE655326:QKE655397 QUA655326:QUA655397 RDW655326:RDW655397 RNS655326:RNS655397 RXO655326:RXO655397 SHK655326:SHK655397 SRG655326:SRG655397 TBC655326:TBC655397 TKY655326:TKY655397 TUU655326:TUU655397 UEQ655326:UEQ655397 UOM655326:UOM655397 UYI655326:UYI655397 VIE655326:VIE655397 VSA655326:VSA655397 WBW655326:WBW655397 WLS655326:WLS655397 WVO655326:WVO655397 G720862:G720933 JC720862:JC720933 SY720862:SY720933 ACU720862:ACU720933 AMQ720862:AMQ720933 AWM720862:AWM720933 BGI720862:BGI720933 BQE720862:BQE720933 CAA720862:CAA720933 CJW720862:CJW720933 CTS720862:CTS720933 DDO720862:DDO720933 DNK720862:DNK720933 DXG720862:DXG720933 EHC720862:EHC720933 EQY720862:EQY720933 FAU720862:FAU720933 FKQ720862:FKQ720933 FUM720862:FUM720933 GEI720862:GEI720933 GOE720862:GOE720933 GYA720862:GYA720933 HHW720862:HHW720933 HRS720862:HRS720933 IBO720862:IBO720933 ILK720862:ILK720933 IVG720862:IVG720933 JFC720862:JFC720933 JOY720862:JOY720933 JYU720862:JYU720933 KIQ720862:KIQ720933 KSM720862:KSM720933 LCI720862:LCI720933 LME720862:LME720933 LWA720862:LWA720933 MFW720862:MFW720933 MPS720862:MPS720933 MZO720862:MZO720933 NJK720862:NJK720933 NTG720862:NTG720933 ODC720862:ODC720933 OMY720862:OMY720933 OWU720862:OWU720933 PGQ720862:PGQ720933 PQM720862:PQM720933 QAI720862:QAI720933 QKE720862:QKE720933 QUA720862:QUA720933 RDW720862:RDW720933 RNS720862:RNS720933 RXO720862:RXO720933 SHK720862:SHK720933 SRG720862:SRG720933 TBC720862:TBC720933 TKY720862:TKY720933 TUU720862:TUU720933 UEQ720862:UEQ720933 UOM720862:UOM720933 UYI720862:UYI720933 VIE720862:VIE720933 VSA720862:VSA720933 WBW720862:WBW720933 WLS720862:WLS720933 WVO720862:WVO720933 G786398:G786469 JC786398:JC786469 SY786398:SY786469 ACU786398:ACU786469 AMQ786398:AMQ786469 AWM786398:AWM786469 BGI786398:BGI786469 BQE786398:BQE786469 CAA786398:CAA786469 CJW786398:CJW786469 CTS786398:CTS786469 DDO786398:DDO786469 DNK786398:DNK786469 DXG786398:DXG786469 EHC786398:EHC786469 EQY786398:EQY786469 FAU786398:FAU786469 FKQ786398:FKQ786469 FUM786398:FUM786469 GEI786398:GEI786469 GOE786398:GOE786469 GYA786398:GYA786469 HHW786398:HHW786469 HRS786398:HRS786469 IBO786398:IBO786469 ILK786398:ILK786469 IVG786398:IVG786469 JFC786398:JFC786469 JOY786398:JOY786469 JYU786398:JYU786469 KIQ786398:KIQ786469 KSM786398:KSM786469 LCI786398:LCI786469 LME786398:LME786469 LWA786398:LWA786469 MFW786398:MFW786469 MPS786398:MPS786469 MZO786398:MZO786469 NJK786398:NJK786469 NTG786398:NTG786469 ODC786398:ODC786469 OMY786398:OMY786469 OWU786398:OWU786469 PGQ786398:PGQ786469 PQM786398:PQM786469 QAI786398:QAI786469 QKE786398:QKE786469 QUA786398:QUA786469 RDW786398:RDW786469 RNS786398:RNS786469 RXO786398:RXO786469 SHK786398:SHK786469 SRG786398:SRG786469 TBC786398:TBC786469 TKY786398:TKY786469 TUU786398:TUU786469 UEQ786398:UEQ786469 UOM786398:UOM786469 UYI786398:UYI786469 VIE786398:VIE786469 VSA786398:VSA786469 WBW786398:WBW786469 WLS786398:WLS786469 WVO786398:WVO786469 G851934:G852005 JC851934:JC852005 SY851934:SY852005 ACU851934:ACU852005 AMQ851934:AMQ852005 AWM851934:AWM852005 BGI851934:BGI852005 BQE851934:BQE852005 CAA851934:CAA852005 CJW851934:CJW852005 CTS851934:CTS852005 DDO851934:DDO852005 DNK851934:DNK852005 DXG851934:DXG852005 EHC851934:EHC852005 EQY851934:EQY852005 FAU851934:FAU852005 FKQ851934:FKQ852005 FUM851934:FUM852005 GEI851934:GEI852005 GOE851934:GOE852005 GYA851934:GYA852005 HHW851934:HHW852005 HRS851934:HRS852005 IBO851934:IBO852005 ILK851934:ILK852005 IVG851934:IVG852005 JFC851934:JFC852005 JOY851934:JOY852005 JYU851934:JYU852005 KIQ851934:KIQ852005 KSM851934:KSM852005 LCI851934:LCI852005 LME851934:LME852005 LWA851934:LWA852005 MFW851934:MFW852005 MPS851934:MPS852005 MZO851934:MZO852005 NJK851934:NJK852005 NTG851934:NTG852005 ODC851934:ODC852005 OMY851934:OMY852005 OWU851934:OWU852005 PGQ851934:PGQ852005 PQM851934:PQM852005 QAI851934:QAI852005 QKE851934:QKE852005 QUA851934:QUA852005 RDW851934:RDW852005 RNS851934:RNS852005 RXO851934:RXO852005 SHK851934:SHK852005 SRG851934:SRG852005 TBC851934:TBC852005 TKY851934:TKY852005 TUU851934:TUU852005 UEQ851934:UEQ852005 UOM851934:UOM852005 UYI851934:UYI852005 VIE851934:VIE852005 VSA851934:VSA852005 WBW851934:WBW852005 WLS851934:WLS852005 WVO851934:WVO852005 G917470:G917541 JC917470:JC917541 SY917470:SY917541 ACU917470:ACU917541 AMQ917470:AMQ917541 AWM917470:AWM917541 BGI917470:BGI917541 BQE917470:BQE917541 CAA917470:CAA917541 CJW917470:CJW917541 CTS917470:CTS917541 DDO917470:DDO917541 DNK917470:DNK917541 DXG917470:DXG917541 EHC917470:EHC917541 EQY917470:EQY917541 FAU917470:FAU917541 FKQ917470:FKQ917541 FUM917470:FUM917541 GEI917470:GEI917541 GOE917470:GOE917541 GYA917470:GYA917541 HHW917470:HHW917541 HRS917470:HRS917541 IBO917470:IBO917541 ILK917470:ILK917541 IVG917470:IVG917541 JFC917470:JFC917541 JOY917470:JOY917541 JYU917470:JYU917541 KIQ917470:KIQ917541 KSM917470:KSM917541 LCI917470:LCI917541 LME917470:LME917541 LWA917470:LWA917541 MFW917470:MFW917541 MPS917470:MPS917541 MZO917470:MZO917541 NJK917470:NJK917541 NTG917470:NTG917541 ODC917470:ODC917541 OMY917470:OMY917541 OWU917470:OWU917541 PGQ917470:PGQ917541 PQM917470:PQM917541 QAI917470:QAI917541 QKE917470:QKE917541 QUA917470:QUA917541 RDW917470:RDW917541 RNS917470:RNS917541 RXO917470:RXO917541 SHK917470:SHK917541 SRG917470:SRG917541 TBC917470:TBC917541 TKY917470:TKY917541 TUU917470:TUU917541 UEQ917470:UEQ917541 UOM917470:UOM917541 UYI917470:UYI917541 VIE917470:VIE917541 VSA917470:VSA917541 WBW917470:WBW917541 WLS917470:WLS917541 WVO917470:WVO917541 G983006:G983077 JC983006:JC983077 SY983006:SY983077 ACU983006:ACU983077 AMQ983006:AMQ983077 AWM983006:AWM983077 BGI983006:BGI983077 BQE983006:BQE983077 CAA983006:CAA983077 CJW983006:CJW983077 CTS983006:CTS983077 DDO983006:DDO983077 DNK983006:DNK983077 DXG983006:DXG983077 EHC983006:EHC983077 EQY983006:EQY983077 FAU983006:FAU983077 FKQ983006:FKQ983077 FUM983006:FUM983077 GEI983006:GEI983077 GOE983006:GOE983077 GYA983006:GYA983077 HHW983006:HHW983077 HRS983006:HRS983077 IBO983006:IBO983077 ILK983006:ILK983077 IVG983006:IVG983077 JFC983006:JFC983077 JOY983006:JOY983077 JYU983006:JYU983077 KIQ983006:KIQ983077 KSM983006:KSM983077 LCI983006:LCI983077 LME983006:LME983077 LWA983006:LWA983077 MFW983006:MFW983077 MPS983006:MPS983077 MZO983006:MZO983077 NJK983006:NJK983077 NTG983006:NTG983077 ODC983006:ODC983077 OMY983006:OMY983077 OWU983006:OWU983077 PGQ983006:PGQ983077 PQM983006:PQM983077 QAI983006:QAI983077 QKE983006:QKE983077 QUA983006:QUA983077 RDW983006:RDW983077 RNS983006:RNS983077 RXO983006:RXO983077 SHK983006:SHK983077 SRG983006:SRG983077 TBC983006:TBC983077 TKY983006:TKY983077 TUU983006:TUU983077 UEQ983006:UEQ983077 UOM983006:UOM983077 UYI983006:UYI983077 VIE983006:VIE983077 VSA983006:VSA983077 WBW983006:WBW983077 WLS983006:WLS983077 ACU2:ACU52 AMQ2:AMQ52 AWM2:AWM52 BGI2:BGI52 BQE2:BQE52 CAA2:CAA52 CJW2:CJW52 CTS2:CTS52 DDO2:DDO52 DNK2:DNK52 DXG2:DXG52 EHC2:EHC52 EQY2:EQY52 FAU2:FAU52 FKQ2:FKQ52 FUM2:FUM52 GEI2:GEI52 GOE2:GOE52 GYA2:GYA52 HHW2:HHW52 HRS2:HRS52 IBO2:IBO52 ILK2:ILK52 IVG2:IVG52 JFC2:JFC52 JOY2:JOY52 JYU2:JYU52 KIQ2:KIQ52 KSM2:KSM52 LCI2:LCI52 LME2:LME52 LWA2:LWA52 MFW2:MFW52 MPS2:MPS52 MZO2:MZO52 NJK2:NJK52 NTG2:NTG52 ODC2:ODC52 OMY2:OMY52 OWU2:OWU52 PGQ2:PGQ52 PQM2:PQM52 QAI2:QAI52 QKE2:QKE52 QUA2:QUA52 RDW2:RDW52 RNS2:RNS52 RXO2:RXO52 SHK2:SHK52 SRG2:SRG52 TBC2:TBC52 TKY2:TKY52 TUU2:TUU52 UEQ2:UEQ52 UOM2:UOM52 UYI2:UYI52 VIE2:VIE52 VSA2:VSA52 WBW2:WBW52 WLS2:WLS52 WVO2:WVO52 JC2:JC52 G2:G464 SY2:SY52" xr:uid="{E1E30668-0D12-4C73-87F4-1FC89960703D}">
      <formula1>$AJ$2:$AJ$4</formula1>
    </dataValidation>
    <dataValidation type="list" allowBlank="1" showInputMessage="1" showErrorMessage="1" sqref="I64327:I64392 JE64327:JE64392 TA64327:TA64392 ACW64327:ACW64392 AMS64327:AMS64392 AWO64327:AWO64392 BGK64327:BGK64392 BQG64327:BQG64392 CAC64327:CAC64392 CJY64327:CJY64392 CTU64327:CTU64392 DDQ64327:DDQ64392 DNM64327:DNM64392 DXI64327:DXI64392 EHE64327:EHE64392 ERA64327:ERA64392 FAW64327:FAW64392 FKS64327:FKS64392 FUO64327:FUO64392 GEK64327:GEK64392 GOG64327:GOG64392 GYC64327:GYC64392 HHY64327:HHY64392 HRU64327:HRU64392 IBQ64327:IBQ64392 ILM64327:ILM64392 IVI64327:IVI64392 JFE64327:JFE64392 JPA64327:JPA64392 JYW64327:JYW64392 KIS64327:KIS64392 KSO64327:KSO64392 LCK64327:LCK64392 LMG64327:LMG64392 LWC64327:LWC64392 MFY64327:MFY64392 MPU64327:MPU64392 MZQ64327:MZQ64392 NJM64327:NJM64392 NTI64327:NTI64392 ODE64327:ODE64392 ONA64327:ONA64392 OWW64327:OWW64392 PGS64327:PGS64392 PQO64327:PQO64392 QAK64327:QAK64392 QKG64327:QKG64392 QUC64327:QUC64392 RDY64327:RDY64392 RNU64327:RNU64392 RXQ64327:RXQ64392 SHM64327:SHM64392 SRI64327:SRI64392 TBE64327:TBE64392 TLA64327:TLA64392 TUW64327:TUW64392 UES64327:UES64392 UOO64327:UOO64392 UYK64327:UYK64392 VIG64327:VIG64392 VSC64327:VSC64392 WBY64327:WBY64392 WLU64327:WLU64392 WVQ64327:WVQ64392 I129863:I129928 JE129863:JE129928 TA129863:TA129928 ACW129863:ACW129928 AMS129863:AMS129928 AWO129863:AWO129928 BGK129863:BGK129928 BQG129863:BQG129928 CAC129863:CAC129928 CJY129863:CJY129928 CTU129863:CTU129928 DDQ129863:DDQ129928 DNM129863:DNM129928 DXI129863:DXI129928 EHE129863:EHE129928 ERA129863:ERA129928 FAW129863:FAW129928 FKS129863:FKS129928 FUO129863:FUO129928 GEK129863:GEK129928 GOG129863:GOG129928 GYC129863:GYC129928 HHY129863:HHY129928 HRU129863:HRU129928 IBQ129863:IBQ129928 ILM129863:ILM129928 IVI129863:IVI129928 JFE129863:JFE129928 JPA129863:JPA129928 JYW129863:JYW129928 KIS129863:KIS129928 KSO129863:KSO129928 LCK129863:LCK129928 LMG129863:LMG129928 LWC129863:LWC129928 MFY129863:MFY129928 MPU129863:MPU129928 MZQ129863:MZQ129928 NJM129863:NJM129928 NTI129863:NTI129928 ODE129863:ODE129928 ONA129863:ONA129928 OWW129863:OWW129928 PGS129863:PGS129928 PQO129863:PQO129928 QAK129863:QAK129928 QKG129863:QKG129928 QUC129863:QUC129928 RDY129863:RDY129928 RNU129863:RNU129928 RXQ129863:RXQ129928 SHM129863:SHM129928 SRI129863:SRI129928 TBE129863:TBE129928 TLA129863:TLA129928 TUW129863:TUW129928 UES129863:UES129928 UOO129863:UOO129928 UYK129863:UYK129928 VIG129863:VIG129928 VSC129863:VSC129928 WBY129863:WBY129928 WLU129863:WLU129928 WVQ129863:WVQ129928 I195399:I195464 JE195399:JE195464 TA195399:TA195464 ACW195399:ACW195464 AMS195399:AMS195464 AWO195399:AWO195464 BGK195399:BGK195464 BQG195399:BQG195464 CAC195399:CAC195464 CJY195399:CJY195464 CTU195399:CTU195464 DDQ195399:DDQ195464 DNM195399:DNM195464 DXI195399:DXI195464 EHE195399:EHE195464 ERA195399:ERA195464 FAW195399:FAW195464 FKS195399:FKS195464 FUO195399:FUO195464 GEK195399:GEK195464 GOG195399:GOG195464 GYC195399:GYC195464 HHY195399:HHY195464 HRU195399:HRU195464 IBQ195399:IBQ195464 ILM195399:ILM195464 IVI195399:IVI195464 JFE195399:JFE195464 JPA195399:JPA195464 JYW195399:JYW195464 KIS195399:KIS195464 KSO195399:KSO195464 LCK195399:LCK195464 LMG195399:LMG195464 LWC195399:LWC195464 MFY195399:MFY195464 MPU195399:MPU195464 MZQ195399:MZQ195464 NJM195399:NJM195464 NTI195399:NTI195464 ODE195399:ODE195464 ONA195399:ONA195464 OWW195399:OWW195464 PGS195399:PGS195464 PQO195399:PQO195464 QAK195399:QAK195464 QKG195399:QKG195464 QUC195399:QUC195464 RDY195399:RDY195464 RNU195399:RNU195464 RXQ195399:RXQ195464 SHM195399:SHM195464 SRI195399:SRI195464 TBE195399:TBE195464 TLA195399:TLA195464 TUW195399:TUW195464 UES195399:UES195464 UOO195399:UOO195464 UYK195399:UYK195464 VIG195399:VIG195464 VSC195399:VSC195464 WBY195399:WBY195464 WLU195399:WLU195464 WVQ195399:WVQ195464 I260935:I261000 JE260935:JE261000 TA260935:TA261000 ACW260935:ACW261000 AMS260935:AMS261000 AWO260935:AWO261000 BGK260935:BGK261000 BQG260935:BQG261000 CAC260935:CAC261000 CJY260935:CJY261000 CTU260935:CTU261000 DDQ260935:DDQ261000 DNM260935:DNM261000 DXI260935:DXI261000 EHE260935:EHE261000 ERA260935:ERA261000 FAW260935:FAW261000 FKS260935:FKS261000 FUO260935:FUO261000 GEK260935:GEK261000 GOG260935:GOG261000 GYC260935:GYC261000 HHY260935:HHY261000 HRU260935:HRU261000 IBQ260935:IBQ261000 ILM260935:ILM261000 IVI260935:IVI261000 JFE260935:JFE261000 JPA260935:JPA261000 JYW260935:JYW261000 KIS260935:KIS261000 KSO260935:KSO261000 LCK260935:LCK261000 LMG260935:LMG261000 LWC260935:LWC261000 MFY260935:MFY261000 MPU260935:MPU261000 MZQ260935:MZQ261000 NJM260935:NJM261000 NTI260935:NTI261000 ODE260935:ODE261000 ONA260935:ONA261000 OWW260935:OWW261000 PGS260935:PGS261000 PQO260935:PQO261000 QAK260935:QAK261000 QKG260935:QKG261000 QUC260935:QUC261000 RDY260935:RDY261000 RNU260935:RNU261000 RXQ260935:RXQ261000 SHM260935:SHM261000 SRI260935:SRI261000 TBE260935:TBE261000 TLA260935:TLA261000 TUW260935:TUW261000 UES260935:UES261000 UOO260935:UOO261000 UYK260935:UYK261000 VIG260935:VIG261000 VSC260935:VSC261000 WBY260935:WBY261000 WLU260935:WLU261000 WVQ260935:WVQ261000 I326471:I326536 JE326471:JE326536 TA326471:TA326536 ACW326471:ACW326536 AMS326471:AMS326536 AWO326471:AWO326536 BGK326471:BGK326536 BQG326471:BQG326536 CAC326471:CAC326536 CJY326471:CJY326536 CTU326471:CTU326536 DDQ326471:DDQ326536 DNM326471:DNM326536 DXI326471:DXI326536 EHE326471:EHE326536 ERA326471:ERA326536 FAW326471:FAW326536 FKS326471:FKS326536 FUO326471:FUO326536 GEK326471:GEK326536 GOG326471:GOG326536 GYC326471:GYC326536 HHY326471:HHY326536 HRU326471:HRU326536 IBQ326471:IBQ326536 ILM326471:ILM326536 IVI326471:IVI326536 JFE326471:JFE326536 JPA326471:JPA326536 JYW326471:JYW326536 KIS326471:KIS326536 KSO326471:KSO326536 LCK326471:LCK326536 LMG326471:LMG326536 LWC326471:LWC326536 MFY326471:MFY326536 MPU326471:MPU326536 MZQ326471:MZQ326536 NJM326471:NJM326536 NTI326471:NTI326536 ODE326471:ODE326536 ONA326471:ONA326536 OWW326471:OWW326536 PGS326471:PGS326536 PQO326471:PQO326536 QAK326471:QAK326536 QKG326471:QKG326536 QUC326471:QUC326536 RDY326471:RDY326536 RNU326471:RNU326536 RXQ326471:RXQ326536 SHM326471:SHM326536 SRI326471:SRI326536 TBE326471:TBE326536 TLA326471:TLA326536 TUW326471:TUW326536 UES326471:UES326536 UOO326471:UOO326536 UYK326471:UYK326536 VIG326471:VIG326536 VSC326471:VSC326536 WBY326471:WBY326536 WLU326471:WLU326536 WVQ326471:WVQ326536 I392007:I392072 JE392007:JE392072 TA392007:TA392072 ACW392007:ACW392072 AMS392007:AMS392072 AWO392007:AWO392072 BGK392007:BGK392072 BQG392007:BQG392072 CAC392007:CAC392072 CJY392007:CJY392072 CTU392007:CTU392072 DDQ392007:DDQ392072 DNM392007:DNM392072 DXI392007:DXI392072 EHE392007:EHE392072 ERA392007:ERA392072 FAW392007:FAW392072 FKS392007:FKS392072 FUO392007:FUO392072 GEK392007:GEK392072 GOG392007:GOG392072 GYC392007:GYC392072 HHY392007:HHY392072 HRU392007:HRU392072 IBQ392007:IBQ392072 ILM392007:ILM392072 IVI392007:IVI392072 JFE392007:JFE392072 JPA392007:JPA392072 JYW392007:JYW392072 KIS392007:KIS392072 KSO392007:KSO392072 LCK392007:LCK392072 LMG392007:LMG392072 LWC392007:LWC392072 MFY392007:MFY392072 MPU392007:MPU392072 MZQ392007:MZQ392072 NJM392007:NJM392072 NTI392007:NTI392072 ODE392007:ODE392072 ONA392007:ONA392072 OWW392007:OWW392072 PGS392007:PGS392072 PQO392007:PQO392072 QAK392007:QAK392072 QKG392007:QKG392072 QUC392007:QUC392072 RDY392007:RDY392072 RNU392007:RNU392072 RXQ392007:RXQ392072 SHM392007:SHM392072 SRI392007:SRI392072 TBE392007:TBE392072 TLA392007:TLA392072 TUW392007:TUW392072 UES392007:UES392072 UOO392007:UOO392072 UYK392007:UYK392072 VIG392007:VIG392072 VSC392007:VSC392072 WBY392007:WBY392072 WLU392007:WLU392072 WVQ392007:WVQ392072 I457543:I457608 JE457543:JE457608 TA457543:TA457608 ACW457543:ACW457608 AMS457543:AMS457608 AWO457543:AWO457608 BGK457543:BGK457608 BQG457543:BQG457608 CAC457543:CAC457608 CJY457543:CJY457608 CTU457543:CTU457608 DDQ457543:DDQ457608 DNM457543:DNM457608 DXI457543:DXI457608 EHE457543:EHE457608 ERA457543:ERA457608 FAW457543:FAW457608 FKS457543:FKS457608 FUO457543:FUO457608 GEK457543:GEK457608 GOG457543:GOG457608 GYC457543:GYC457608 HHY457543:HHY457608 HRU457543:HRU457608 IBQ457543:IBQ457608 ILM457543:ILM457608 IVI457543:IVI457608 JFE457543:JFE457608 JPA457543:JPA457608 JYW457543:JYW457608 KIS457543:KIS457608 KSO457543:KSO457608 LCK457543:LCK457608 LMG457543:LMG457608 LWC457543:LWC457608 MFY457543:MFY457608 MPU457543:MPU457608 MZQ457543:MZQ457608 NJM457543:NJM457608 NTI457543:NTI457608 ODE457543:ODE457608 ONA457543:ONA457608 OWW457543:OWW457608 PGS457543:PGS457608 PQO457543:PQO457608 QAK457543:QAK457608 QKG457543:QKG457608 QUC457543:QUC457608 RDY457543:RDY457608 RNU457543:RNU457608 RXQ457543:RXQ457608 SHM457543:SHM457608 SRI457543:SRI457608 TBE457543:TBE457608 TLA457543:TLA457608 TUW457543:TUW457608 UES457543:UES457608 UOO457543:UOO457608 UYK457543:UYK457608 VIG457543:VIG457608 VSC457543:VSC457608 WBY457543:WBY457608 WLU457543:WLU457608 WVQ457543:WVQ457608 I523079:I523144 JE523079:JE523144 TA523079:TA523144 ACW523079:ACW523144 AMS523079:AMS523144 AWO523079:AWO523144 BGK523079:BGK523144 BQG523079:BQG523144 CAC523079:CAC523144 CJY523079:CJY523144 CTU523079:CTU523144 DDQ523079:DDQ523144 DNM523079:DNM523144 DXI523079:DXI523144 EHE523079:EHE523144 ERA523079:ERA523144 FAW523079:FAW523144 FKS523079:FKS523144 FUO523079:FUO523144 GEK523079:GEK523144 GOG523079:GOG523144 GYC523079:GYC523144 HHY523079:HHY523144 HRU523079:HRU523144 IBQ523079:IBQ523144 ILM523079:ILM523144 IVI523079:IVI523144 JFE523079:JFE523144 JPA523079:JPA523144 JYW523079:JYW523144 KIS523079:KIS523144 KSO523079:KSO523144 LCK523079:LCK523144 LMG523079:LMG523144 LWC523079:LWC523144 MFY523079:MFY523144 MPU523079:MPU523144 MZQ523079:MZQ523144 NJM523079:NJM523144 NTI523079:NTI523144 ODE523079:ODE523144 ONA523079:ONA523144 OWW523079:OWW523144 PGS523079:PGS523144 PQO523079:PQO523144 QAK523079:QAK523144 QKG523079:QKG523144 QUC523079:QUC523144 RDY523079:RDY523144 RNU523079:RNU523144 RXQ523079:RXQ523144 SHM523079:SHM523144 SRI523079:SRI523144 TBE523079:TBE523144 TLA523079:TLA523144 TUW523079:TUW523144 UES523079:UES523144 UOO523079:UOO523144 UYK523079:UYK523144 VIG523079:VIG523144 VSC523079:VSC523144 WBY523079:WBY523144 WLU523079:WLU523144 WVQ523079:WVQ523144 I588615:I588680 JE588615:JE588680 TA588615:TA588680 ACW588615:ACW588680 AMS588615:AMS588680 AWO588615:AWO588680 BGK588615:BGK588680 BQG588615:BQG588680 CAC588615:CAC588680 CJY588615:CJY588680 CTU588615:CTU588680 DDQ588615:DDQ588680 DNM588615:DNM588680 DXI588615:DXI588680 EHE588615:EHE588680 ERA588615:ERA588680 FAW588615:FAW588680 FKS588615:FKS588680 FUO588615:FUO588680 GEK588615:GEK588680 GOG588615:GOG588680 GYC588615:GYC588680 HHY588615:HHY588680 HRU588615:HRU588680 IBQ588615:IBQ588680 ILM588615:ILM588680 IVI588615:IVI588680 JFE588615:JFE588680 JPA588615:JPA588680 JYW588615:JYW588680 KIS588615:KIS588680 KSO588615:KSO588680 LCK588615:LCK588680 LMG588615:LMG588680 LWC588615:LWC588680 MFY588615:MFY588680 MPU588615:MPU588680 MZQ588615:MZQ588680 NJM588615:NJM588680 NTI588615:NTI588680 ODE588615:ODE588680 ONA588615:ONA588680 OWW588615:OWW588680 PGS588615:PGS588680 PQO588615:PQO588680 QAK588615:QAK588680 QKG588615:QKG588680 QUC588615:QUC588680 RDY588615:RDY588680 RNU588615:RNU588680 RXQ588615:RXQ588680 SHM588615:SHM588680 SRI588615:SRI588680 TBE588615:TBE588680 TLA588615:TLA588680 TUW588615:TUW588680 UES588615:UES588680 UOO588615:UOO588680 UYK588615:UYK588680 VIG588615:VIG588680 VSC588615:VSC588680 WBY588615:WBY588680 WLU588615:WLU588680 WVQ588615:WVQ588680 I654151:I654216 JE654151:JE654216 TA654151:TA654216 ACW654151:ACW654216 AMS654151:AMS654216 AWO654151:AWO654216 BGK654151:BGK654216 BQG654151:BQG654216 CAC654151:CAC654216 CJY654151:CJY654216 CTU654151:CTU654216 DDQ654151:DDQ654216 DNM654151:DNM654216 DXI654151:DXI654216 EHE654151:EHE654216 ERA654151:ERA654216 FAW654151:FAW654216 FKS654151:FKS654216 FUO654151:FUO654216 GEK654151:GEK654216 GOG654151:GOG654216 GYC654151:GYC654216 HHY654151:HHY654216 HRU654151:HRU654216 IBQ654151:IBQ654216 ILM654151:ILM654216 IVI654151:IVI654216 JFE654151:JFE654216 JPA654151:JPA654216 JYW654151:JYW654216 KIS654151:KIS654216 KSO654151:KSO654216 LCK654151:LCK654216 LMG654151:LMG654216 LWC654151:LWC654216 MFY654151:MFY654216 MPU654151:MPU654216 MZQ654151:MZQ654216 NJM654151:NJM654216 NTI654151:NTI654216 ODE654151:ODE654216 ONA654151:ONA654216 OWW654151:OWW654216 PGS654151:PGS654216 PQO654151:PQO654216 QAK654151:QAK654216 QKG654151:QKG654216 QUC654151:QUC654216 RDY654151:RDY654216 RNU654151:RNU654216 RXQ654151:RXQ654216 SHM654151:SHM654216 SRI654151:SRI654216 TBE654151:TBE654216 TLA654151:TLA654216 TUW654151:TUW654216 UES654151:UES654216 UOO654151:UOO654216 UYK654151:UYK654216 VIG654151:VIG654216 VSC654151:VSC654216 WBY654151:WBY654216 WLU654151:WLU654216 WVQ654151:WVQ654216 I719687:I719752 JE719687:JE719752 TA719687:TA719752 ACW719687:ACW719752 AMS719687:AMS719752 AWO719687:AWO719752 BGK719687:BGK719752 BQG719687:BQG719752 CAC719687:CAC719752 CJY719687:CJY719752 CTU719687:CTU719752 DDQ719687:DDQ719752 DNM719687:DNM719752 DXI719687:DXI719752 EHE719687:EHE719752 ERA719687:ERA719752 FAW719687:FAW719752 FKS719687:FKS719752 FUO719687:FUO719752 GEK719687:GEK719752 GOG719687:GOG719752 GYC719687:GYC719752 HHY719687:HHY719752 HRU719687:HRU719752 IBQ719687:IBQ719752 ILM719687:ILM719752 IVI719687:IVI719752 JFE719687:JFE719752 JPA719687:JPA719752 JYW719687:JYW719752 KIS719687:KIS719752 KSO719687:KSO719752 LCK719687:LCK719752 LMG719687:LMG719752 LWC719687:LWC719752 MFY719687:MFY719752 MPU719687:MPU719752 MZQ719687:MZQ719752 NJM719687:NJM719752 NTI719687:NTI719752 ODE719687:ODE719752 ONA719687:ONA719752 OWW719687:OWW719752 PGS719687:PGS719752 PQO719687:PQO719752 QAK719687:QAK719752 QKG719687:QKG719752 QUC719687:QUC719752 RDY719687:RDY719752 RNU719687:RNU719752 RXQ719687:RXQ719752 SHM719687:SHM719752 SRI719687:SRI719752 TBE719687:TBE719752 TLA719687:TLA719752 TUW719687:TUW719752 UES719687:UES719752 UOO719687:UOO719752 UYK719687:UYK719752 VIG719687:VIG719752 VSC719687:VSC719752 WBY719687:WBY719752 WLU719687:WLU719752 WVQ719687:WVQ719752 I785223:I785288 JE785223:JE785288 TA785223:TA785288 ACW785223:ACW785288 AMS785223:AMS785288 AWO785223:AWO785288 BGK785223:BGK785288 BQG785223:BQG785288 CAC785223:CAC785288 CJY785223:CJY785288 CTU785223:CTU785288 DDQ785223:DDQ785288 DNM785223:DNM785288 DXI785223:DXI785288 EHE785223:EHE785288 ERA785223:ERA785288 FAW785223:FAW785288 FKS785223:FKS785288 FUO785223:FUO785288 GEK785223:GEK785288 GOG785223:GOG785288 GYC785223:GYC785288 HHY785223:HHY785288 HRU785223:HRU785288 IBQ785223:IBQ785288 ILM785223:ILM785288 IVI785223:IVI785288 JFE785223:JFE785288 JPA785223:JPA785288 JYW785223:JYW785288 KIS785223:KIS785288 KSO785223:KSO785288 LCK785223:LCK785288 LMG785223:LMG785288 LWC785223:LWC785288 MFY785223:MFY785288 MPU785223:MPU785288 MZQ785223:MZQ785288 NJM785223:NJM785288 NTI785223:NTI785288 ODE785223:ODE785288 ONA785223:ONA785288 OWW785223:OWW785288 PGS785223:PGS785288 PQO785223:PQO785288 QAK785223:QAK785288 QKG785223:QKG785288 QUC785223:QUC785288 RDY785223:RDY785288 RNU785223:RNU785288 RXQ785223:RXQ785288 SHM785223:SHM785288 SRI785223:SRI785288 TBE785223:TBE785288 TLA785223:TLA785288 TUW785223:TUW785288 UES785223:UES785288 UOO785223:UOO785288 UYK785223:UYK785288 VIG785223:VIG785288 VSC785223:VSC785288 WBY785223:WBY785288 WLU785223:WLU785288 WVQ785223:WVQ785288 I850759:I850824 JE850759:JE850824 TA850759:TA850824 ACW850759:ACW850824 AMS850759:AMS850824 AWO850759:AWO850824 BGK850759:BGK850824 BQG850759:BQG850824 CAC850759:CAC850824 CJY850759:CJY850824 CTU850759:CTU850824 DDQ850759:DDQ850824 DNM850759:DNM850824 DXI850759:DXI850824 EHE850759:EHE850824 ERA850759:ERA850824 FAW850759:FAW850824 FKS850759:FKS850824 FUO850759:FUO850824 GEK850759:GEK850824 GOG850759:GOG850824 GYC850759:GYC850824 HHY850759:HHY850824 HRU850759:HRU850824 IBQ850759:IBQ850824 ILM850759:ILM850824 IVI850759:IVI850824 JFE850759:JFE850824 JPA850759:JPA850824 JYW850759:JYW850824 KIS850759:KIS850824 KSO850759:KSO850824 LCK850759:LCK850824 LMG850759:LMG850824 LWC850759:LWC850824 MFY850759:MFY850824 MPU850759:MPU850824 MZQ850759:MZQ850824 NJM850759:NJM850824 NTI850759:NTI850824 ODE850759:ODE850824 ONA850759:ONA850824 OWW850759:OWW850824 PGS850759:PGS850824 PQO850759:PQO850824 QAK850759:QAK850824 QKG850759:QKG850824 QUC850759:QUC850824 RDY850759:RDY850824 RNU850759:RNU850824 RXQ850759:RXQ850824 SHM850759:SHM850824 SRI850759:SRI850824 TBE850759:TBE850824 TLA850759:TLA850824 TUW850759:TUW850824 UES850759:UES850824 UOO850759:UOO850824 UYK850759:UYK850824 VIG850759:VIG850824 VSC850759:VSC850824 WBY850759:WBY850824 WLU850759:WLU850824 WVQ850759:WVQ850824 I916295:I916360 JE916295:JE916360 TA916295:TA916360 ACW916295:ACW916360 AMS916295:AMS916360 AWO916295:AWO916360 BGK916295:BGK916360 BQG916295:BQG916360 CAC916295:CAC916360 CJY916295:CJY916360 CTU916295:CTU916360 DDQ916295:DDQ916360 DNM916295:DNM916360 DXI916295:DXI916360 EHE916295:EHE916360 ERA916295:ERA916360 FAW916295:FAW916360 FKS916295:FKS916360 FUO916295:FUO916360 GEK916295:GEK916360 GOG916295:GOG916360 GYC916295:GYC916360 HHY916295:HHY916360 HRU916295:HRU916360 IBQ916295:IBQ916360 ILM916295:ILM916360 IVI916295:IVI916360 JFE916295:JFE916360 JPA916295:JPA916360 JYW916295:JYW916360 KIS916295:KIS916360 KSO916295:KSO916360 LCK916295:LCK916360 LMG916295:LMG916360 LWC916295:LWC916360 MFY916295:MFY916360 MPU916295:MPU916360 MZQ916295:MZQ916360 NJM916295:NJM916360 NTI916295:NTI916360 ODE916295:ODE916360 ONA916295:ONA916360 OWW916295:OWW916360 PGS916295:PGS916360 PQO916295:PQO916360 QAK916295:QAK916360 QKG916295:QKG916360 QUC916295:QUC916360 RDY916295:RDY916360 RNU916295:RNU916360 RXQ916295:RXQ916360 SHM916295:SHM916360 SRI916295:SRI916360 TBE916295:TBE916360 TLA916295:TLA916360 TUW916295:TUW916360 UES916295:UES916360 UOO916295:UOO916360 UYK916295:UYK916360 VIG916295:VIG916360 VSC916295:VSC916360 WBY916295:WBY916360 WLU916295:WLU916360 WVQ916295:WVQ916360 I981831:I981896 JE981831:JE981896 TA981831:TA981896 ACW981831:ACW981896 AMS981831:AMS981896 AWO981831:AWO981896 BGK981831:BGK981896 BQG981831:BQG981896 CAC981831:CAC981896 CJY981831:CJY981896 CTU981831:CTU981896 DDQ981831:DDQ981896 DNM981831:DNM981896 DXI981831:DXI981896 EHE981831:EHE981896 ERA981831:ERA981896 FAW981831:FAW981896 FKS981831:FKS981896 FUO981831:FUO981896 GEK981831:GEK981896 GOG981831:GOG981896 GYC981831:GYC981896 HHY981831:HHY981896 HRU981831:HRU981896 IBQ981831:IBQ981896 ILM981831:ILM981896 IVI981831:IVI981896 JFE981831:JFE981896 JPA981831:JPA981896 JYW981831:JYW981896 KIS981831:KIS981896 KSO981831:KSO981896 LCK981831:LCK981896 LMG981831:LMG981896 LWC981831:LWC981896 MFY981831:MFY981896 MPU981831:MPU981896 MZQ981831:MZQ981896 NJM981831:NJM981896 NTI981831:NTI981896 ODE981831:ODE981896 ONA981831:ONA981896 OWW981831:OWW981896 PGS981831:PGS981896 PQO981831:PQO981896 QAK981831:QAK981896 QKG981831:QKG981896 QUC981831:QUC981896 RDY981831:RDY981896 RNU981831:RNU981896 RXQ981831:RXQ981896 SHM981831:SHM981896 SRI981831:SRI981896 TBE981831:TBE981896 TLA981831:TLA981896 TUW981831:TUW981896 UES981831:UES981896 UOO981831:UOO981896 UYK981831:UYK981896 VIG981831:VIG981896 VSC981831:VSC981896 WBY981831:WBY981896 WLU981831:WLU981896 WVQ981831:WVQ981896 I1047367:I1047432 JE1047367:JE1047432 TA1047367:TA1047432 ACW1047367:ACW1047432 AMS1047367:AMS1047432 AWO1047367:AWO1047432 BGK1047367:BGK1047432 BQG1047367:BQG1047432 CAC1047367:CAC1047432 CJY1047367:CJY1047432 CTU1047367:CTU1047432 DDQ1047367:DDQ1047432 DNM1047367:DNM1047432 DXI1047367:DXI1047432 EHE1047367:EHE1047432 ERA1047367:ERA1047432 FAW1047367:FAW1047432 FKS1047367:FKS1047432 FUO1047367:FUO1047432 GEK1047367:GEK1047432 GOG1047367:GOG1047432 GYC1047367:GYC1047432 HHY1047367:HHY1047432 HRU1047367:HRU1047432 IBQ1047367:IBQ1047432 ILM1047367:ILM1047432 IVI1047367:IVI1047432 JFE1047367:JFE1047432 JPA1047367:JPA1047432 JYW1047367:JYW1047432 KIS1047367:KIS1047432 KSO1047367:KSO1047432 LCK1047367:LCK1047432 LMG1047367:LMG1047432 LWC1047367:LWC1047432 MFY1047367:MFY1047432 MPU1047367:MPU1047432 MZQ1047367:MZQ1047432 NJM1047367:NJM1047432 NTI1047367:NTI1047432 ODE1047367:ODE1047432 ONA1047367:ONA1047432 OWW1047367:OWW1047432 PGS1047367:PGS1047432 PQO1047367:PQO1047432 QAK1047367:QAK1047432 QKG1047367:QKG1047432 QUC1047367:QUC1047432 RDY1047367:RDY1047432 RNU1047367:RNU1047432 RXQ1047367:RXQ1047432 SHM1047367:SHM1047432 SRI1047367:SRI1047432 TBE1047367:TBE1047432 TLA1047367:TLA1047432 TUW1047367:TUW1047432 UES1047367:UES1047432 UOO1047367:UOO1047432 UYK1047367:UYK1047432 VIG1047367:VIG1047432 VSC1047367:VSC1047432 WBY1047367:WBY1047432 WLU1047367:WLU1047432 WVQ1047367:WVQ1047432 WVQ983006:WVQ983071 I65502:I65567 JE65502:JE65567 TA65502:TA65567 ACW65502:ACW65567 AMS65502:AMS65567 AWO65502:AWO65567 BGK65502:BGK65567 BQG65502:BQG65567 CAC65502:CAC65567 CJY65502:CJY65567 CTU65502:CTU65567 DDQ65502:DDQ65567 DNM65502:DNM65567 DXI65502:DXI65567 EHE65502:EHE65567 ERA65502:ERA65567 FAW65502:FAW65567 FKS65502:FKS65567 FUO65502:FUO65567 GEK65502:GEK65567 GOG65502:GOG65567 GYC65502:GYC65567 HHY65502:HHY65567 HRU65502:HRU65567 IBQ65502:IBQ65567 ILM65502:ILM65567 IVI65502:IVI65567 JFE65502:JFE65567 JPA65502:JPA65567 JYW65502:JYW65567 KIS65502:KIS65567 KSO65502:KSO65567 LCK65502:LCK65567 LMG65502:LMG65567 LWC65502:LWC65567 MFY65502:MFY65567 MPU65502:MPU65567 MZQ65502:MZQ65567 NJM65502:NJM65567 NTI65502:NTI65567 ODE65502:ODE65567 ONA65502:ONA65567 OWW65502:OWW65567 PGS65502:PGS65567 PQO65502:PQO65567 QAK65502:QAK65567 QKG65502:QKG65567 QUC65502:QUC65567 RDY65502:RDY65567 RNU65502:RNU65567 RXQ65502:RXQ65567 SHM65502:SHM65567 SRI65502:SRI65567 TBE65502:TBE65567 TLA65502:TLA65567 TUW65502:TUW65567 UES65502:UES65567 UOO65502:UOO65567 UYK65502:UYK65567 VIG65502:VIG65567 VSC65502:VSC65567 WBY65502:WBY65567 WLU65502:WLU65567 WVQ65502:WVQ65567 I131038:I131103 JE131038:JE131103 TA131038:TA131103 ACW131038:ACW131103 AMS131038:AMS131103 AWO131038:AWO131103 BGK131038:BGK131103 BQG131038:BQG131103 CAC131038:CAC131103 CJY131038:CJY131103 CTU131038:CTU131103 DDQ131038:DDQ131103 DNM131038:DNM131103 DXI131038:DXI131103 EHE131038:EHE131103 ERA131038:ERA131103 FAW131038:FAW131103 FKS131038:FKS131103 FUO131038:FUO131103 GEK131038:GEK131103 GOG131038:GOG131103 GYC131038:GYC131103 HHY131038:HHY131103 HRU131038:HRU131103 IBQ131038:IBQ131103 ILM131038:ILM131103 IVI131038:IVI131103 JFE131038:JFE131103 JPA131038:JPA131103 JYW131038:JYW131103 KIS131038:KIS131103 KSO131038:KSO131103 LCK131038:LCK131103 LMG131038:LMG131103 LWC131038:LWC131103 MFY131038:MFY131103 MPU131038:MPU131103 MZQ131038:MZQ131103 NJM131038:NJM131103 NTI131038:NTI131103 ODE131038:ODE131103 ONA131038:ONA131103 OWW131038:OWW131103 PGS131038:PGS131103 PQO131038:PQO131103 QAK131038:QAK131103 QKG131038:QKG131103 QUC131038:QUC131103 RDY131038:RDY131103 RNU131038:RNU131103 RXQ131038:RXQ131103 SHM131038:SHM131103 SRI131038:SRI131103 TBE131038:TBE131103 TLA131038:TLA131103 TUW131038:TUW131103 UES131038:UES131103 UOO131038:UOO131103 UYK131038:UYK131103 VIG131038:VIG131103 VSC131038:VSC131103 WBY131038:WBY131103 WLU131038:WLU131103 WVQ131038:WVQ131103 I196574:I196639 JE196574:JE196639 TA196574:TA196639 ACW196574:ACW196639 AMS196574:AMS196639 AWO196574:AWO196639 BGK196574:BGK196639 BQG196574:BQG196639 CAC196574:CAC196639 CJY196574:CJY196639 CTU196574:CTU196639 DDQ196574:DDQ196639 DNM196574:DNM196639 DXI196574:DXI196639 EHE196574:EHE196639 ERA196574:ERA196639 FAW196574:FAW196639 FKS196574:FKS196639 FUO196574:FUO196639 GEK196574:GEK196639 GOG196574:GOG196639 GYC196574:GYC196639 HHY196574:HHY196639 HRU196574:HRU196639 IBQ196574:IBQ196639 ILM196574:ILM196639 IVI196574:IVI196639 JFE196574:JFE196639 JPA196574:JPA196639 JYW196574:JYW196639 KIS196574:KIS196639 KSO196574:KSO196639 LCK196574:LCK196639 LMG196574:LMG196639 LWC196574:LWC196639 MFY196574:MFY196639 MPU196574:MPU196639 MZQ196574:MZQ196639 NJM196574:NJM196639 NTI196574:NTI196639 ODE196574:ODE196639 ONA196574:ONA196639 OWW196574:OWW196639 PGS196574:PGS196639 PQO196574:PQO196639 QAK196574:QAK196639 QKG196574:QKG196639 QUC196574:QUC196639 RDY196574:RDY196639 RNU196574:RNU196639 RXQ196574:RXQ196639 SHM196574:SHM196639 SRI196574:SRI196639 TBE196574:TBE196639 TLA196574:TLA196639 TUW196574:TUW196639 UES196574:UES196639 UOO196574:UOO196639 UYK196574:UYK196639 VIG196574:VIG196639 VSC196574:VSC196639 WBY196574:WBY196639 WLU196574:WLU196639 WVQ196574:WVQ196639 I262110:I262175 JE262110:JE262175 TA262110:TA262175 ACW262110:ACW262175 AMS262110:AMS262175 AWO262110:AWO262175 BGK262110:BGK262175 BQG262110:BQG262175 CAC262110:CAC262175 CJY262110:CJY262175 CTU262110:CTU262175 DDQ262110:DDQ262175 DNM262110:DNM262175 DXI262110:DXI262175 EHE262110:EHE262175 ERA262110:ERA262175 FAW262110:FAW262175 FKS262110:FKS262175 FUO262110:FUO262175 GEK262110:GEK262175 GOG262110:GOG262175 GYC262110:GYC262175 HHY262110:HHY262175 HRU262110:HRU262175 IBQ262110:IBQ262175 ILM262110:ILM262175 IVI262110:IVI262175 JFE262110:JFE262175 JPA262110:JPA262175 JYW262110:JYW262175 KIS262110:KIS262175 KSO262110:KSO262175 LCK262110:LCK262175 LMG262110:LMG262175 LWC262110:LWC262175 MFY262110:MFY262175 MPU262110:MPU262175 MZQ262110:MZQ262175 NJM262110:NJM262175 NTI262110:NTI262175 ODE262110:ODE262175 ONA262110:ONA262175 OWW262110:OWW262175 PGS262110:PGS262175 PQO262110:PQO262175 QAK262110:QAK262175 QKG262110:QKG262175 QUC262110:QUC262175 RDY262110:RDY262175 RNU262110:RNU262175 RXQ262110:RXQ262175 SHM262110:SHM262175 SRI262110:SRI262175 TBE262110:TBE262175 TLA262110:TLA262175 TUW262110:TUW262175 UES262110:UES262175 UOO262110:UOO262175 UYK262110:UYK262175 VIG262110:VIG262175 VSC262110:VSC262175 WBY262110:WBY262175 WLU262110:WLU262175 WVQ262110:WVQ262175 I327646:I327711 JE327646:JE327711 TA327646:TA327711 ACW327646:ACW327711 AMS327646:AMS327711 AWO327646:AWO327711 BGK327646:BGK327711 BQG327646:BQG327711 CAC327646:CAC327711 CJY327646:CJY327711 CTU327646:CTU327711 DDQ327646:DDQ327711 DNM327646:DNM327711 DXI327646:DXI327711 EHE327646:EHE327711 ERA327646:ERA327711 FAW327646:FAW327711 FKS327646:FKS327711 FUO327646:FUO327711 GEK327646:GEK327711 GOG327646:GOG327711 GYC327646:GYC327711 HHY327646:HHY327711 HRU327646:HRU327711 IBQ327646:IBQ327711 ILM327646:ILM327711 IVI327646:IVI327711 JFE327646:JFE327711 JPA327646:JPA327711 JYW327646:JYW327711 KIS327646:KIS327711 KSO327646:KSO327711 LCK327646:LCK327711 LMG327646:LMG327711 LWC327646:LWC327711 MFY327646:MFY327711 MPU327646:MPU327711 MZQ327646:MZQ327711 NJM327646:NJM327711 NTI327646:NTI327711 ODE327646:ODE327711 ONA327646:ONA327711 OWW327646:OWW327711 PGS327646:PGS327711 PQO327646:PQO327711 QAK327646:QAK327711 QKG327646:QKG327711 QUC327646:QUC327711 RDY327646:RDY327711 RNU327646:RNU327711 RXQ327646:RXQ327711 SHM327646:SHM327711 SRI327646:SRI327711 TBE327646:TBE327711 TLA327646:TLA327711 TUW327646:TUW327711 UES327646:UES327711 UOO327646:UOO327711 UYK327646:UYK327711 VIG327646:VIG327711 VSC327646:VSC327711 WBY327646:WBY327711 WLU327646:WLU327711 WVQ327646:WVQ327711 I393182:I393247 JE393182:JE393247 TA393182:TA393247 ACW393182:ACW393247 AMS393182:AMS393247 AWO393182:AWO393247 BGK393182:BGK393247 BQG393182:BQG393247 CAC393182:CAC393247 CJY393182:CJY393247 CTU393182:CTU393247 DDQ393182:DDQ393247 DNM393182:DNM393247 DXI393182:DXI393247 EHE393182:EHE393247 ERA393182:ERA393247 FAW393182:FAW393247 FKS393182:FKS393247 FUO393182:FUO393247 GEK393182:GEK393247 GOG393182:GOG393247 GYC393182:GYC393247 HHY393182:HHY393247 HRU393182:HRU393247 IBQ393182:IBQ393247 ILM393182:ILM393247 IVI393182:IVI393247 JFE393182:JFE393247 JPA393182:JPA393247 JYW393182:JYW393247 KIS393182:KIS393247 KSO393182:KSO393247 LCK393182:LCK393247 LMG393182:LMG393247 LWC393182:LWC393247 MFY393182:MFY393247 MPU393182:MPU393247 MZQ393182:MZQ393247 NJM393182:NJM393247 NTI393182:NTI393247 ODE393182:ODE393247 ONA393182:ONA393247 OWW393182:OWW393247 PGS393182:PGS393247 PQO393182:PQO393247 QAK393182:QAK393247 QKG393182:QKG393247 QUC393182:QUC393247 RDY393182:RDY393247 RNU393182:RNU393247 RXQ393182:RXQ393247 SHM393182:SHM393247 SRI393182:SRI393247 TBE393182:TBE393247 TLA393182:TLA393247 TUW393182:TUW393247 UES393182:UES393247 UOO393182:UOO393247 UYK393182:UYK393247 VIG393182:VIG393247 VSC393182:VSC393247 WBY393182:WBY393247 WLU393182:WLU393247 WVQ393182:WVQ393247 I458718:I458783 JE458718:JE458783 TA458718:TA458783 ACW458718:ACW458783 AMS458718:AMS458783 AWO458718:AWO458783 BGK458718:BGK458783 BQG458718:BQG458783 CAC458718:CAC458783 CJY458718:CJY458783 CTU458718:CTU458783 DDQ458718:DDQ458783 DNM458718:DNM458783 DXI458718:DXI458783 EHE458718:EHE458783 ERA458718:ERA458783 FAW458718:FAW458783 FKS458718:FKS458783 FUO458718:FUO458783 GEK458718:GEK458783 GOG458718:GOG458783 GYC458718:GYC458783 HHY458718:HHY458783 HRU458718:HRU458783 IBQ458718:IBQ458783 ILM458718:ILM458783 IVI458718:IVI458783 JFE458718:JFE458783 JPA458718:JPA458783 JYW458718:JYW458783 KIS458718:KIS458783 KSO458718:KSO458783 LCK458718:LCK458783 LMG458718:LMG458783 LWC458718:LWC458783 MFY458718:MFY458783 MPU458718:MPU458783 MZQ458718:MZQ458783 NJM458718:NJM458783 NTI458718:NTI458783 ODE458718:ODE458783 ONA458718:ONA458783 OWW458718:OWW458783 PGS458718:PGS458783 PQO458718:PQO458783 QAK458718:QAK458783 QKG458718:QKG458783 QUC458718:QUC458783 RDY458718:RDY458783 RNU458718:RNU458783 RXQ458718:RXQ458783 SHM458718:SHM458783 SRI458718:SRI458783 TBE458718:TBE458783 TLA458718:TLA458783 TUW458718:TUW458783 UES458718:UES458783 UOO458718:UOO458783 UYK458718:UYK458783 VIG458718:VIG458783 VSC458718:VSC458783 WBY458718:WBY458783 WLU458718:WLU458783 WVQ458718:WVQ458783 I524254:I524319 JE524254:JE524319 TA524254:TA524319 ACW524254:ACW524319 AMS524254:AMS524319 AWO524254:AWO524319 BGK524254:BGK524319 BQG524254:BQG524319 CAC524254:CAC524319 CJY524254:CJY524319 CTU524254:CTU524319 DDQ524254:DDQ524319 DNM524254:DNM524319 DXI524254:DXI524319 EHE524254:EHE524319 ERA524254:ERA524319 FAW524254:FAW524319 FKS524254:FKS524319 FUO524254:FUO524319 GEK524254:GEK524319 GOG524254:GOG524319 GYC524254:GYC524319 HHY524254:HHY524319 HRU524254:HRU524319 IBQ524254:IBQ524319 ILM524254:ILM524319 IVI524254:IVI524319 JFE524254:JFE524319 JPA524254:JPA524319 JYW524254:JYW524319 KIS524254:KIS524319 KSO524254:KSO524319 LCK524254:LCK524319 LMG524254:LMG524319 LWC524254:LWC524319 MFY524254:MFY524319 MPU524254:MPU524319 MZQ524254:MZQ524319 NJM524254:NJM524319 NTI524254:NTI524319 ODE524254:ODE524319 ONA524254:ONA524319 OWW524254:OWW524319 PGS524254:PGS524319 PQO524254:PQO524319 QAK524254:QAK524319 QKG524254:QKG524319 QUC524254:QUC524319 RDY524254:RDY524319 RNU524254:RNU524319 RXQ524254:RXQ524319 SHM524254:SHM524319 SRI524254:SRI524319 TBE524254:TBE524319 TLA524254:TLA524319 TUW524254:TUW524319 UES524254:UES524319 UOO524254:UOO524319 UYK524254:UYK524319 VIG524254:VIG524319 VSC524254:VSC524319 WBY524254:WBY524319 WLU524254:WLU524319 WVQ524254:WVQ524319 I589790:I589855 JE589790:JE589855 TA589790:TA589855 ACW589790:ACW589855 AMS589790:AMS589855 AWO589790:AWO589855 BGK589790:BGK589855 BQG589790:BQG589855 CAC589790:CAC589855 CJY589790:CJY589855 CTU589790:CTU589855 DDQ589790:DDQ589855 DNM589790:DNM589855 DXI589790:DXI589855 EHE589790:EHE589855 ERA589790:ERA589855 FAW589790:FAW589855 FKS589790:FKS589855 FUO589790:FUO589855 GEK589790:GEK589855 GOG589790:GOG589855 GYC589790:GYC589855 HHY589790:HHY589855 HRU589790:HRU589855 IBQ589790:IBQ589855 ILM589790:ILM589855 IVI589790:IVI589855 JFE589790:JFE589855 JPA589790:JPA589855 JYW589790:JYW589855 KIS589790:KIS589855 KSO589790:KSO589855 LCK589790:LCK589855 LMG589790:LMG589855 LWC589790:LWC589855 MFY589790:MFY589855 MPU589790:MPU589855 MZQ589790:MZQ589855 NJM589790:NJM589855 NTI589790:NTI589855 ODE589790:ODE589855 ONA589790:ONA589855 OWW589790:OWW589855 PGS589790:PGS589855 PQO589790:PQO589855 QAK589790:QAK589855 QKG589790:QKG589855 QUC589790:QUC589855 RDY589790:RDY589855 RNU589790:RNU589855 RXQ589790:RXQ589855 SHM589790:SHM589855 SRI589790:SRI589855 TBE589790:TBE589855 TLA589790:TLA589855 TUW589790:TUW589855 UES589790:UES589855 UOO589790:UOO589855 UYK589790:UYK589855 VIG589790:VIG589855 VSC589790:VSC589855 WBY589790:WBY589855 WLU589790:WLU589855 WVQ589790:WVQ589855 I655326:I655391 JE655326:JE655391 TA655326:TA655391 ACW655326:ACW655391 AMS655326:AMS655391 AWO655326:AWO655391 BGK655326:BGK655391 BQG655326:BQG655391 CAC655326:CAC655391 CJY655326:CJY655391 CTU655326:CTU655391 DDQ655326:DDQ655391 DNM655326:DNM655391 DXI655326:DXI655391 EHE655326:EHE655391 ERA655326:ERA655391 FAW655326:FAW655391 FKS655326:FKS655391 FUO655326:FUO655391 GEK655326:GEK655391 GOG655326:GOG655391 GYC655326:GYC655391 HHY655326:HHY655391 HRU655326:HRU655391 IBQ655326:IBQ655391 ILM655326:ILM655391 IVI655326:IVI655391 JFE655326:JFE655391 JPA655326:JPA655391 JYW655326:JYW655391 KIS655326:KIS655391 KSO655326:KSO655391 LCK655326:LCK655391 LMG655326:LMG655391 LWC655326:LWC655391 MFY655326:MFY655391 MPU655326:MPU655391 MZQ655326:MZQ655391 NJM655326:NJM655391 NTI655326:NTI655391 ODE655326:ODE655391 ONA655326:ONA655391 OWW655326:OWW655391 PGS655326:PGS655391 PQO655326:PQO655391 QAK655326:QAK655391 QKG655326:QKG655391 QUC655326:QUC655391 RDY655326:RDY655391 RNU655326:RNU655391 RXQ655326:RXQ655391 SHM655326:SHM655391 SRI655326:SRI655391 TBE655326:TBE655391 TLA655326:TLA655391 TUW655326:TUW655391 UES655326:UES655391 UOO655326:UOO655391 UYK655326:UYK655391 VIG655326:VIG655391 VSC655326:VSC655391 WBY655326:WBY655391 WLU655326:WLU655391 WVQ655326:WVQ655391 I720862:I720927 JE720862:JE720927 TA720862:TA720927 ACW720862:ACW720927 AMS720862:AMS720927 AWO720862:AWO720927 BGK720862:BGK720927 BQG720862:BQG720927 CAC720862:CAC720927 CJY720862:CJY720927 CTU720862:CTU720927 DDQ720862:DDQ720927 DNM720862:DNM720927 DXI720862:DXI720927 EHE720862:EHE720927 ERA720862:ERA720927 FAW720862:FAW720927 FKS720862:FKS720927 FUO720862:FUO720927 GEK720862:GEK720927 GOG720862:GOG720927 GYC720862:GYC720927 HHY720862:HHY720927 HRU720862:HRU720927 IBQ720862:IBQ720927 ILM720862:ILM720927 IVI720862:IVI720927 JFE720862:JFE720927 JPA720862:JPA720927 JYW720862:JYW720927 KIS720862:KIS720927 KSO720862:KSO720927 LCK720862:LCK720927 LMG720862:LMG720927 LWC720862:LWC720927 MFY720862:MFY720927 MPU720862:MPU720927 MZQ720862:MZQ720927 NJM720862:NJM720927 NTI720862:NTI720927 ODE720862:ODE720927 ONA720862:ONA720927 OWW720862:OWW720927 PGS720862:PGS720927 PQO720862:PQO720927 QAK720862:QAK720927 QKG720862:QKG720927 QUC720862:QUC720927 RDY720862:RDY720927 RNU720862:RNU720927 RXQ720862:RXQ720927 SHM720862:SHM720927 SRI720862:SRI720927 TBE720862:TBE720927 TLA720862:TLA720927 TUW720862:TUW720927 UES720862:UES720927 UOO720862:UOO720927 UYK720862:UYK720927 VIG720862:VIG720927 VSC720862:VSC720927 WBY720862:WBY720927 WLU720862:WLU720927 WVQ720862:WVQ720927 I786398:I786463 JE786398:JE786463 TA786398:TA786463 ACW786398:ACW786463 AMS786398:AMS786463 AWO786398:AWO786463 BGK786398:BGK786463 BQG786398:BQG786463 CAC786398:CAC786463 CJY786398:CJY786463 CTU786398:CTU786463 DDQ786398:DDQ786463 DNM786398:DNM786463 DXI786398:DXI786463 EHE786398:EHE786463 ERA786398:ERA786463 FAW786398:FAW786463 FKS786398:FKS786463 FUO786398:FUO786463 GEK786398:GEK786463 GOG786398:GOG786463 GYC786398:GYC786463 HHY786398:HHY786463 HRU786398:HRU786463 IBQ786398:IBQ786463 ILM786398:ILM786463 IVI786398:IVI786463 JFE786398:JFE786463 JPA786398:JPA786463 JYW786398:JYW786463 KIS786398:KIS786463 KSO786398:KSO786463 LCK786398:LCK786463 LMG786398:LMG786463 LWC786398:LWC786463 MFY786398:MFY786463 MPU786398:MPU786463 MZQ786398:MZQ786463 NJM786398:NJM786463 NTI786398:NTI786463 ODE786398:ODE786463 ONA786398:ONA786463 OWW786398:OWW786463 PGS786398:PGS786463 PQO786398:PQO786463 QAK786398:QAK786463 QKG786398:QKG786463 QUC786398:QUC786463 RDY786398:RDY786463 RNU786398:RNU786463 RXQ786398:RXQ786463 SHM786398:SHM786463 SRI786398:SRI786463 TBE786398:TBE786463 TLA786398:TLA786463 TUW786398:TUW786463 UES786398:UES786463 UOO786398:UOO786463 UYK786398:UYK786463 VIG786398:VIG786463 VSC786398:VSC786463 WBY786398:WBY786463 WLU786398:WLU786463 WVQ786398:WVQ786463 I851934:I851999 JE851934:JE851999 TA851934:TA851999 ACW851934:ACW851999 AMS851934:AMS851999 AWO851934:AWO851999 BGK851934:BGK851999 BQG851934:BQG851999 CAC851934:CAC851999 CJY851934:CJY851999 CTU851934:CTU851999 DDQ851934:DDQ851999 DNM851934:DNM851999 DXI851934:DXI851999 EHE851934:EHE851999 ERA851934:ERA851999 FAW851934:FAW851999 FKS851934:FKS851999 FUO851934:FUO851999 GEK851934:GEK851999 GOG851934:GOG851999 GYC851934:GYC851999 HHY851934:HHY851999 HRU851934:HRU851999 IBQ851934:IBQ851999 ILM851934:ILM851999 IVI851934:IVI851999 JFE851934:JFE851999 JPA851934:JPA851999 JYW851934:JYW851999 KIS851934:KIS851999 KSO851934:KSO851999 LCK851934:LCK851999 LMG851934:LMG851999 LWC851934:LWC851999 MFY851934:MFY851999 MPU851934:MPU851999 MZQ851934:MZQ851999 NJM851934:NJM851999 NTI851934:NTI851999 ODE851934:ODE851999 ONA851934:ONA851999 OWW851934:OWW851999 PGS851934:PGS851999 PQO851934:PQO851999 QAK851934:QAK851999 QKG851934:QKG851999 QUC851934:QUC851999 RDY851934:RDY851999 RNU851934:RNU851999 RXQ851934:RXQ851999 SHM851934:SHM851999 SRI851934:SRI851999 TBE851934:TBE851999 TLA851934:TLA851999 TUW851934:TUW851999 UES851934:UES851999 UOO851934:UOO851999 UYK851934:UYK851999 VIG851934:VIG851999 VSC851934:VSC851999 WBY851934:WBY851999 WLU851934:WLU851999 WVQ851934:WVQ851999 I917470:I917535 JE917470:JE917535 TA917470:TA917535 ACW917470:ACW917535 AMS917470:AMS917535 AWO917470:AWO917535 BGK917470:BGK917535 BQG917470:BQG917535 CAC917470:CAC917535 CJY917470:CJY917535 CTU917470:CTU917535 DDQ917470:DDQ917535 DNM917470:DNM917535 DXI917470:DXI917535 EHE917470:EHE917535 ERA917470:ERA917535 FAW917470:FAW917535 FKS917470:FKS917535 FUO917470:FUO917535 GEK917470:GEK917535 GOG917470:GOG917535 GYC917470:GYC917535 HHY917470:HHY917535 HRU917470:HRU917535 IBQ917470:IBQ917535 ILM917470:ILM917535 IVI917470:IVI917535 JFE917470:JFE917535 JPA917470:JPA917535 JYW917470:JYW917535 KIS917470:KIS917535 KSO917470:KSO917535 LCK917470:LCK917535 LMG917470:LMG917535 LWC917470:LWC917535 MFY917470:MFY917535 MPU917470:MPU917535 MZQ917470:MZQ917535 NJM917470:NJM917535 NTI917470:NTI917535 ODE917470:ODE917535 ONA917470:ONA917535 OWW917470:OWW917535 PGS917470:PGS917535 PQO917470:PQO917535 QAK917470:QAK917535 QKG917470:QKG917535 QUC917470:QUC917535 RDY917470:RDY917535 RNU917470:RNU917535 RXQ917470:RXQ917535 SHM917470:SHM917535 SRI917470:SRI917535 TBE917470:TBE917535 TLA917470:TLA917535 TUW917470:TUW917535 UES917470:UES917535 UOO917470:UOO917535 UYK917470:UYK917535 VIG917470:VIG917535 VSC917470:VSC917535 WBY917470:WBY917535 WLU917470:WLU917535 WVQ917470:WVQ917535 I983006:I983071 JE983006:JE983071 TA983006:TA983071 ACW983006:ACW983071 AMS983006:AMS983071 AWO983006:AWO983071 BGK983006:BGK983071 BQG983006:BQG983071 CAC983006:CAC983071 CJY983006:CJY983071 CTU983006:CTU983071 DDQ983006:DDQ983071 DNM983006:DNM983071 DXI983006:DXI983071 EHE983006:EHE983071 ERA983006:ERA983071 FAW983006:FAW983071 FKS983006:FKS983071 FUO983006:FUO983071 GEK983006:GEK983071 GOG983006:GOG983071 GYC983006:GYC983071 HHY983006:HHY983071 HRU983006:HRU983071 IBQ983006:IBQ983071 ILM983006:ILM983071 IVI983006:IVI983071 JFE983006:JFE983071 JPA983006:JPA983071 JYW983006:JYW983071 KIS983006:KIS983071 KSO983006:KSO983071 LCK983006:LCK983071 LMG983006:LMG983071 LWC983006:LWC983071 MFY983006:MFY983071 MPU983006:MPU983071 MZQ983006:MZQ983071 NJM983006:NJM983071 NTI983006:NTI983071 ODE983006:ODE983071 ONA983006:ONA983071 OWW983006:OWW983071 PGS983006:PGS983071 PQO983006:PQO983071 QAK983006:QAK983071 QKG983006:QKG983071 QUC983006:QUC983071 RDY983006:RDY983071 RNU983006:RNU983071 RXQ983006:RXQ983071 SHM983006:SHM983071 SRI983006:SRI983071 TBE983006:TBE983071 TLA983006:TLA983071 TUW983006:TUW983071 UES983006:UES983071 UOO983006:UOO983071 UYK983006:UYK983071 VIG983006:VIG983071 VSC983006:VSC983071 WBY983006:WBY983071 WLU983006:WLU983071 WLU2:WLU52 WBY2:WBY52 VSC2:VSC52 VIG2:VIG52 UYK2:UYK52 UOO2:UOO52 UES2:UES52 TUW2:TUW52 TLA2:TLA52 TBE2:TBE52 SRI2:SRI52 SHM2:SHM52 RXQ2:RXQ52 RNU2:RNU52 RDY2:RDY52 QUC2:QUC52 QKG2:QKG52 QAK2:QAK52 PQO2:PQO52 PGS2:PGS52 OWW2:OWW52 ONA2:ONA52 ODE2:ODE52 NTI2:NTI52 NJM2:NJM52 MZQ2:MZQ52 MPU2:MPU52 MFY2:MFY52 LWC2:LWC52 LMG2:LMG52 LCK2:LCK52 KSO2:KSO52 KIS2:KIS52 JYW2:JYW52 JPA2:JPA52 JFE2:JFE52 IVI2:IVI52 ILM2:ILM52 IBQ2:IBQ52 HRU2:HRU52 HHY2:HHY52 GYC2:GYC52 GOG2:GOG52 GEK2:GEK52 FUO2:FUO52 FKS2:FKS52 FAW2:FAW52 ERA2:ERA52 EHE2:EHE52 DXI2:DXI52 DNM2:DNM52 DDQ2:DDQ52 CTU2:CTU52 CJY2:CJY52 CAC2:CAC52 BQG2:BQG52 BGK2:BGK52 AWO2:AWO52 AMS2:AMS52 ACW2:ACW52 TA2:TA52 JE2:JE52 I2:I464 WVQ2:WVQ52" xr:uid="{A8A70B6A-E545-4DB0-9C91-3AA82FA43AB9}">
      <formula1>$AN$5:$AN$6</formula1>
    </dataValidation>
    <dataValidation type="list" allowBlank="1" showInputMessage="1" showErrorMessage="1" sqref="J64327:J64392 JF64327:JF64392 TB64327:TB64392 ACX64327:ACX64392 AMT64327:AMT64392 AWP64327:AWP64392 BGL64327:BGL64392 BQH64327:BQH64392 CAD64327:CAD64392 CJZ64327:CJZ64392 CTV64327:CTV64392 DDR64327:DDR64392 DNN64327:DNN64392 DXJ64327:DXJ64392 EHF64327:EHF64392 ERB64327:ERB64392 FAX64327:FAX64392 FKT64327:FKT64392 FUP64327:FUP64392 GEL64327:GEL64392 GOH64327:GOH64392 GYD64327:GYD64392 HHZ64327:HHZ64392 HRV64327:HRV64392 IBR64327:IBR64392 ILN64327:ILN64392 IVJ64327:IVJ64392 JFF64327:JFF64392 JPB64327:JPB64392 JYX64327:JYX64392 KIT64327:KIT64392 KSP64327:KSP64392 LCL64327:LCL64392 LMH64327:LMH64392 LWD64327:LWD64392 MFZ64327:MFZ64392 MPV64327:MPV64392 MZR64327:MZR64392 NJN64327:NJN64392 NTJ64327:NTJ64392 ODF64327:ODF64392 ONB64327:ONB64392 OWX64327:OWX64392 PGT64327:PGT64392 PQP64327:PQP64392 QAL64327:QAL64392 QKH64327:QKH64392 QUD64327:QUD64392 RDZ64327:RDZ64392 RNV64327:RNV64392 RXR64327:RXR64392 SHN64327:SHN64392 SRJ64327:SRJ64392 TBF64327:TBF64392 TLB64327:TLB64392 TUX64327:TUX64392 UET64327:UET64392 UOP64327:UOP64392 UYL64327:UYL64392 VIH64327:VIH64392 VSD64327:VSD64392 WBZ64327:WBZ64392 WLV64327:WLV64392 WVR64327:WVR64392 J129863:J129928 JF129863:JF129928 TB129863:TB129928 ACX129863:ACX129928 AMT129863:AMT129928 AWP129863:AWP129928 BGL129863:BGL129928 BQH129863:BQH129928 CAD129863:CAD129928 CJZ129863:CJZ129928 CTV129863:CTV129928 DDR129863:DDR129928 DNN129863:DNN129928 DXJ129863:DXJ129928 EHF129863:EHF129928 ERB129863:ERB129928 FAX129863:FAX129928 FKT129863:FKT129928 FUP129863:FUP129928 GEL129863:GEL129928 GOH129863:GOH129928 GYD129863:GYD129928 HHZ129863:HHZ129928 HRV129863:HRV129928 IBR129863:IBR129928 ILN129863:ILN129928 IVJ129863:IVJ129928 JFF129863:JFF129928 JPB129863:JPB129928 JYX129863:JYX129928 KIT129863:KIT129928 KSP129863:KSP129928 LCL129863:LCL129928 LMH129863:LMH129928 LWD129863:LWD129928 MFZ129863:MFZ129928 MPV129863:MPV129928 MZR129863:MZR129928 NJN129863:NJN129928 NTJ129863:NTJ129928 ODF129863:ODF129928 ONB129863:ONB129928 OWX129863:OWX129928 PGT129863:PGT129928 PQP129863:PQP129928 QAL129863:QAL129928 QKH129863:QKH129928 QUD129863:QUD129928 RDZ129863:RDZ129928 RNV129863:RNV129928 RXR129863:RXR129928 SHN129863:SHN129928 SRJ129863:SRJ129928 TBF129863:TBF129928 TLB129863:TLB129928 TUX129863:TUX129928 UET129863:UET129928 UOP129863:UOP129928 UYL129863:UYL129928 VIH129863:VIH129928 VSD129863:VSD129928 WBZ129863:WBZ129928 WLV129863:WLV129928 WVR129863:WVR129928 J195399:J195464 JF195399:JF195464 TB195399:TB195464 ACX195399:ACX195464 AMT195399:AMT195464 AWP195399:AWP195464 BGL195399:BGL195464 BQH195399:BQH195464 CAD195399:CAD195464 CJZ195399:CJZ195464 CTV195399:CTV195464 DDR195399:DDR195464 DNN195399:DNN195464 DXJ195399:DXJ195464 EHF195399:EHF195464 ERB195399:ERB195464 FAX195399:FAX195464 FKT195399:FKT195464 FUP195399:FUP195464 GEL195399:GEL195464 GOH195399:GOH195464 GYD195399:GYD195464 HHZ195399:HHZ195464 HRV195399:HRV195464 IBR195399:IBR195464 ILN195399:ILN195464 IVJ195399:IVJ195464 JFF195399:JFF195464 JPB195399:JPB195464 JYX195399:JYX195464 KIT195399:KIT195464 KSP195399:KSP195464 LCL195399:LCL195464 LMH195399:LMH195464 LWD195399:LWD195464 MFZ195399:MFZ195464 MPV195399:MPV195464 MZR195399:MZR195464 NJN195399:NJN195464 NTJ195399:NTJ195464 ODF195399:ODF195464 ONB195399:ONB195464 OWX195399:OWX195464 PGT195399:PGT195464 PQP195399:PQP195464 QAL195399:QAL195464 QKH195399:QKH195464 QUD195399:QUD195464 RDZ195399:RDZ195464 RNV195399:RNV195464 RXR195399:RXR195464 SHN195399:SHN195464 SRJ195399:SRJ195464 TBF195399:TBF195464 TLB195399:TLB195464 TUX195399:TUX195464 UET195399:UET195464 UOP195399:UOP195464 UYL195399:UYL195464 VIH195399:VIH195464 VSD195399:VSD195464 WBZ195399:WBZ195464 WLV195399:WLV195464 WVR195399:WVR195464 J260935:J261000 JF260935:JF261000 TB260935:TB261000 ACX260935:ACX261000 AMT260935:AMT261000 AWP260935:AWP261000 BGL260935:BGL261000 BQH260935:BQH261000 CAD260935:CAD261000 CJZ260935:CJZ261000 CTV260935:CTV261000 DDR260935:DDR261000 DNN260935:DNN261000 DXJ260935:DXJ261000 EHF260935:EHF261000 ERB260935:ERB261000 FAX260935:FAX261000 FKT260935:FKT261000 FUP260935:FUP261000 GEL260935:GEL261000 GOH260935:GOH261000 GYD260935:GYD261000 HHZ260935:HHZ261000 HRV260935:HRV261000 IBR260935:IBR261000 ILN260935:ILN261000 IVJ260935:IVJ261000 JFF260935:JFF261000 JPB260935:JPB261000 JYX260935:JYX261000 KIT260935:KIT261000 KSP260935:KSP261000 LCL260935:LCL261000 LMH260935:LMH261000 LWD260935:LWD261000 MFZ260935:MFZ261000 MPV260935:MPV261000 MZR260935:MZR261000 NJN260935:NJN261000 NTJ260935:NTJ261000 ODF260935:ODF261000 ONB260935:ONB261000 OWX260935:OWX261000 PGT260935:PGT261000 PQP260935:PQP261000 QAL260935:QAL261000 QKH260935:QKH261000 QUD260935:QUD261000 RDZ260935:RDZ261000 RNV260935:RNV261000 RXR260935:RXR261000 SHN260935:SHN261000 SRJ260935:SRJ261000 TBF260935:TBF261000 TLB260935:TLB261000 TUX260935:TUX261000 UET260935:UET261000 UOP260935:UOP261000 UYL260935:UYL261000 VIH260935:VIH261000 VSD260935:VSD261000 WBZ260935:WBZ261000 WLV260935:WLV261000 WVR260935:WVR261000 J326471:J326536 JF326471:JF326536 TB326471:TB326536 ACX326471:ACX326536 AMT326471:AMT326536 AWP326471:AWP326536 BGL326471:BGL326536 BQH326471:BQH326536 CAD326471:CAD326536 CJZ326471:CJZ326536 CTV326471:CTV326536 DDR326471:DDR326536 DNN326471:DNN326536 DXJ326471:DXJ326536 EHF326471:EHF326536 ERB326471:ERB326536 FAX326471:FAX326536 FKT326471:FKT326536 FUP326471:FUP326536 GEL326471:GEL326536 GOH326471:GOH326536 GYD326471:GYD326536 HHZ326471:HHZ326536 HRV326471:HRV326536 IBR326471:IBR326536 ILN326471:ILN326536 IVJ326471:IVJ326536 JFF326471:JFF326536 JPB326471:JPB326536 JYX326471:JYX326536 KIT326471:KIT326536 KSP326471:KSP326536 LCL326471:LCL326536 LMH326471:LMH326536 LWD326471:LWD326536 MFZ326471:MFZ326536 MPV326471:MPV326536 MZR326471:MZR326536 NJN326471:NJN326536 NTJ326471:NTJ326536 ODF326471:ODF326536 ONB326471:ONB326536 OWX326471:OWX326536 PGT326471:PGT326536 PQP326471:PQP326536 QAL326471:QAL326536 QKH326471:QKH326536 QUD326471:QUD326536 RDZ326471:RDZ326536 RNV326471:RNV326536 RXR326471:RXR326536 SHN326471:SHN326536 SRJ326471:SRJ326536 TBF326471:TBF326536 TLB326471:TLB326536 TUX326471:TUX326536 UET326471:UET326536 UOP326471:UOP326536 UYL326471:UYL326536 VIH326471:VIH326536 VSD326471:VSD326536 WBZ326471:WBZ326536 WLV326471:WLV326536 WVR326471:WVR326536 J392007:J392072 JF392007:JF392072 TB392007:TB392072 ACX392007:ACX392072 AMT392007:AMT392072 AWP392007:AWP392072 BGL392007:BGL392072 BQH392007:BQH392072 CAD392007:CAD392072 CJZ392007:CJZ392072 CTV392007:CTV392072 DDR392007:DDR392072 DNN392007:DNN392072 DXJ392007:DXJ392072 EHF392007:EHF392072 ERB392007:ERB392072 FAX392007:FAX392072 FKT392007:FKT392072 FUP392007:FUP392072 GEL392007:GEL392072 GOH392007:GOH392072 GYD392007:GYD392072 HHZ392007:HHZ392072 HRV392007:HRV392072 IBR392007:IBR392072 ILN392007:ILN392072 IVJ392007:IVJ392072 JFF392007:JFF392072 JPB392007:JPB392072 JYX392007:JYX392072 KIT392007:KIT392072 KSP392007:KSP392072 LCL392007:LCL392072 LMH392007:LMH392072 LWD392007:LWD392072 MFZ392007:MFZ392072 MPV392007:MPV392072 MZR392007:MZR392072 NJN392007:NJN392072 NTJ392007:NTJ392072 ODF392007:ODF392072 ONB392007:ONB392072 OWX392007:OWX392072 PGT392007:PGT392072 PQP392007:PQP392072 QAL392007:QAL392072 QKH392007:QKH392072 QUD392007:QUD392072 RDZ392007:RDZ392072 RNV392007:RNV392072 RXR392007:RXR392072 SHN392007:SHN392072 SRJ392007:SRJ392072 TBF392007:TBF392072 TLB392007:TLB392072 TUX392007:TUX392072 UET392007:UET392072 UOP392007:UOP392072 UYL392007:UYL392072 VIH392007:VIH392072 VSD392007:VSD392072 WBZ392007:WBZ392072 WLV392007:WLV392072 WVR392007:WVR392072 J457543:J457608 JF457543:JF457608 TB457543:TB457608 ACX457543:ACX457608 AMT457543:AMT457608 AWP457543:AWP457608 BGL457543:BGL457608 BQH457543:BQH457608 CAD457543:CAD457608 CJZ457543:CJZ457608 CTV457543:CTV457608 DDR457543:DDR457608 DNN457543:DNN457608 DXJ457543:DXJ457608 EHF457543:EHF457608 ERB457543:ERB457608 FAX457543:FAX457608 FKT457543:FKT457608 FUP457543:FUP457608 GEL457543:GEL457608 GOH457543:GOH457608 GYD457543:GYD457608 HHZ457543:HHZ457608 HRV457543:HRV457608 IBR457543:IBR457608 ILN457543:ILN457608 IVJ457543:IVJ457608 JFF457543:JFF457608 JPB457543:JPB457608 JYX457543:JYX457608 KIT457543:KIT457608 KSP457543:KSP457608 LCL457543:LCL457608 LMH457543:LMH457608 LWD457543:LWD457608 MFZ457543:MFZ457608 MPV457543:MPV457608 MZR457543:MZR457608 NJN457543:NJN457608 NTJ457543:NTJ457608 ODF457543:ODF457608 ONB457543:ONB457608 OWX457543:OWX457608 PGT457543:PGT457608 PQP457543:PQP457608 QAL457543:QAL457608 QKH457543:QKH457608 QUD457543:QUD457608 RDZ457543:RDZ457608 RNV457543:RNV457608 RXR457543:RXR457608 SHN457543:SHN457608 SRJ457543:SRJ457608 TBF457543:TBF457608 TLB457543:TLB457608 TUX457543:TUX457608 UET457543:UET457608 UOP457543:UOP457608 UYL457543:UYL457608 VIH457543:VIH457608 VSD457543:VSD457608 WBZ457543:WBZ457608 WLV457543:WLV457608 WVR457543:WVR457608 J523079:J523144 JF523079:JF523144 TB523079:TB523144 ACX523079:ACX523144 AMT523079:AMT523144 AWP523079:AWP523144 BGL523079:BGL523144 BQH523079:BQH523144 CAD523079:CAD523144 CJZ523079:CJZ523144 CTV523079:CTV523144 DDR523079:DDR523144 DNN523079:DNN523144 DXJ523079:DXJ523144 EHF523079:EHF523144 ERB523079:ERB523144 FAX523079:FAX523144 FKT523079:FKT523144 FUP523079:FUP523144 GEL523079:GEL523144 GOH523079:GOH523144 GYD523079:GYD523144 HHZ523079:HHZ523144 HRV523079:HRV523144 IBR523079:IBR523144 ILN523079:ILN523144 IVJ523079:IVJ523144 JFF523079:JFF523144 JPB523079:JPB523144 JYX523079:JYX523144 KIT523079:KIT523144 KSP523079:KSP523144 LCL523079:LCL523144 LMH523079:LMH523144 LWD523079:LWD523144 MFZ523079:MFZ523144 MPV523079:MPV523144 MZR523079:MZR523144 NJN523079:NJN523144 NTJ523079:NTJ523144 ODF523079:ODF523144 ONB523079:ONB523144 OWX523079:OWX523144 PGT523079:PGT523144 PQP523079:PQP523144 QAL523079:QAL523144 QKH523079:QKH523144 QUD523079:QUD523144 RDZ523079:RDZ523144 RNV523079:RNV523144 RXR523079:RXR523144 SHN523079:SHN523144 SRJ523079:SRJ523144 TBF523079:TBF523144 TLB523079:TLB523144 TUX523079:TUX523144 UET523079:UET523144 UOP523079:UOP523144 UYL523079:UYL523144 VIH523079:VIH523144 VSD523079:VSD523144 WBZ523079:WBZ523144 WLV523079:WLV523144 WVR523079:WVR523144 J588615:J588680 JF588615:JF588680 TB588615:TB588680 ACX588615:ACX588680 AMT588615:AMT588680 AWP588615:AWP588680 BGL588615:BGL588680 BQH588615:BQH588680 CAD588615:CAD588680 CJZ588615:CJZ588680 CTV588615:CTV588680 DDR588615:DDR588680 DNN588615:DNN588680 DXJ588615:DXJ588680 EHF588615:EHF588680 ERB588615:ERB588680 FAX588615:FAX588680 FKT588615:FKT588680 FUP588615:FUP588680 GEL588615:GEL588680 GOH588615:GOH588680 GYD588615:GYD588680 HHZ588615:HHZ588680 HRV588615:HRV588680 IBR588615:IBR588680 ILN588615:ILN588680 IVJ588615:IVJ588680 JFF588615:JFF588680 JPB588615:JPB588680 JYX588615:JYX588680 KIT588615:KIT588680 KSP588615:KSP588680 LCL588615:LCL588680 LMH588615:LMH588680 LWD588615:LWD588680 MFZ588615:MFZ588680 MPV588615:MPV588680 MZR588615:MZR588680 NJN588615:NJN588680 NTJ588615:NTJ588680 ODF588615:ODF588680 ONB588615:ONB588680 OWX588615:OWX588680 PGT588615:PGT588680 PQP588615:PQP588680 QAL588615:QAL588680 QKH588615:QKH588680 QUD588615:QUD588680 RDZ588615:RDZ588680 RNV588615:RNV588680 RXR588615:RXR588680 SHN588615:SHN588680 SRJ588615:SRJ588680 TBF588615:TBF588680 TLB588615:TLB588680 TUX588615:TUX588680 UET588615:UET588680 UOP588615:UOP588680 UYL588615:UYL588680 VIH588615:VIH588680 VSD588615:VSD588680 WBZ588615:WBZ588680 WLV588615:WLV588680 WVR588615:WVR588680 J654151:J654216 JF654151:JF654216 TB654151:TB654216 ACX654151:ACX654216 AMT654151:AMT654216 AWP654151:AWP654216 BGL654151:BGL654216 BQH654151:BQH654216 CAD654151:CAD654216 CJZ654151:CJZ654216 CTV654151:CTV654216 DDR654151:DDR654216 DNN654151:DNN654216 DXJ654151:DXJ654216 EHF654151:EHF654216 ERB654151:ERB654216 FAX654151:FAX654216 FKT654151:FKT654216 FUP654151:FUP654216 GEL654151:GEL654216 GOH654151:GOH654216 GYD654151:GYD654216 HHZ654151:HHZ654216 HRV654151:HRV654216 IBR654151:IBR654216 ILN654151:ILN654216 IVJ654151:IVJ654216 JFF654151:JFF654216 JPB654151:JPB654216 JYX654151:JYX654216 KIT654151:KIT654216 KSP654151:KSP654216 LCL654151:LCL654216 LMH654151:LMH654216 LWD654151:LWD654216 MFZ654151:MFZ654216 MPV654151:MPV654216 MZR654151:MZR654216 NJN654151:NJN654216 NTJ654151:NTJ654216 ODF654151:ODF654216 ONB654151:ONB654216 OWX654151:OWX654216 PGT654151:PGT654216 PQP654151:PQP654216 QAL654151:QAL654216 QKH654151:QKH654216 QUD654151:QUD654216 RDZ654151:RDZ654216 RNV654151:RNV654216 RXR654151:RXR654216 SHN654151:SHN654216 SRJ654151:SRJ654216 TBF654151:TBF654216 TLB654151:TLB654216 TUX654151:TUX654216 UET654151:UET654216 UOP654151:UOP654216 UYL654151:UYL654216 VIH654151:VIH654216 VSD654151:VSD654216 WBZ654151:WBZ654216 WLV654151:WLV654216 WVR654151:WVR654216 J719687:J719752 JF719687:JF719752 TB719687:TB719752 ACX719687:ACX719752 AMT719687:AMT719752 AWP719687:AWP719752 BGL719687:BGL719752 BQH719687:BQH719752 CAD719687:CAD719752 CJZ719687:CJZ719752 CTV719687:CTV719752 DDR719687:DDR719752 DNN719687:DNN719752 DXJ719687:DXJ719752 EHF719687:EHF719752 ERB719687:ERB719752 FAX719687:FAX719752 FKT719687:FKT719752 FUP719687:FUP719752 GEL719687:GEL719752 GOH719687:GOH719752 GYD719687:GYD719752 HHZ719687:HHZ719752 HRV719687:HRV719752 IBR719687:IBR719752 ILN719687:ILN719752 IVJ719687:IVJ719752 JFF719687:JFF719752 JPB719687:JPB719752 JYX719687:JYX719752 KIT719687:KIT719752 KSP719687:KSP719752 LCL719687:LCL719752 LMH719687:LMH719752 LWD719687:LWD719752 MFZ719687:MFZ719752 MPV719687:MPV719752 MZR719687:MZR719752 NJN719687:NJN719752 NTJ719687:NTJ719752 ODF719687:ODF719752 ONB719687:ONB719752 OWX719687:OWX719752 PGT719687:PGT719752 PQP719687:PQP719752 QAL719687:QAL719752 QKH719687:QKH719752 QUD719687:QUD719752 RDZ719687:RDZ719752 RNV719687:RNV719752 RXR719687:RXR719752 SHN719687:SHN719752 SRJ719687:SRJ719752 TBF719687:TBF719752 TLB719687:TLB719752 TUX719687:TUX719752 UET719687:UET719752 UOP719687:UOP719752 UYL719687:UYL719752 VIH719687:VIH719752 VSD719687:VSD719752 WBZ719687:WBZ719752 WLV719687:WLV719752 WVR719687:WVR719752 J785223:J785288 JF785223:JF785288 TB785223:TB785288 ACX785223:ACX785288 AMT785223:AMT785288 AWP785223:AWP785288 BGL785223:BGL785288 BQH785223:BQH785288 CAD785223:CAD785288 CJZ785223:CJZ785288 CTV785223:CTV785288 DDR785223:DDR785288 DNN785223:DNN785288 DXJ785223:DXJ785288 EHF785223:EHF785288 ERB785223:ERB785288 FAX785223:FAX785288 FKT785223:FKT785288 FUP785223:FUP785288 GEL785223:GEL785288 GOH785223:GOH785288 GYD785223:GYD785288 HHZ785223:HHZ785288 HRV785223:HRV785288 IBR785223:IBR785288 ILN785223:ILN785288 IVJ785223:IVJ785288 JFF785223:JFF785288 JPB785223:JPB785288 JYX785223:JYX785288 KIT785223:KIT785288 KSP785223:KSP785288 LCL785223:LCL785288 LMH785223:LMH785288 LWD785223:LWD785288 MFZ785223:MFZ785288 MPV785223:MPV785288 MZR785223:MZR785288 NJN785223:NJN785288 NTJ785223:NTJ785288 ODF785223:ODF785288 ONB785223:ONB785288 OWX785223:OWX785288 PGT785223:PGT785288 PQP785223:PQP785288 QAL785223:QAL785288 QKH785223:QKH785288 QUD785223:QUD785288 RDZ785223:RDZ785288 RNV785223:RNV785288 RXR785223:RXR785288 SHN785223:SHN785288 SRJ785223:SRJ785288 TBF785223:TBF785288 TLB785223:TLB785288 TUX785223:TUX785288 UET785223:UET785288 UOP785223:UOP785288 UYL785223:UYL785288 VIH785223:VIH785288 VSD785223:VSD785288 WBZ785223:WBZ785288 WLV785223:WLV785288 WVR785223:WVR785288 J850759:J850824 JF850759:JF850824 TB850759:TB850824 ACX850759:ACX850824 AMT850759:AMT850824 AWP850759:AWP850824 BGL850759:BGL850824 BQH850759:BQH850824 CAD850759:CAD850824 CJZ850759:CJZ850824 CTV850759:CTV850824 DDR850759:DDR850824 DNN850759:DNN850824 DXJ850759:DXJ850824 EHF850759:EHF850824 ERB850759:ERB850824 FAX850759:FAX850824 FKT850759:FKT850824 FUP850759:FUP850824 GEL850759:GEL850824 GOH850759:GOH850824 GYD850759:GYD850824 HHZ850759:HHZ850824 HRV850759:HRV850824 IBR850759:IBR850824 ILN850759:ILN850824 IVJ850759:IVJ850824 JFF850759:JFF850824 JPB850759:JPB850824 JYX850759:JYX850824 KIT850759:KIT850824 KSP850759:KSP850824 LCL850759:LCL850824 LMH850759:LMH850824 LWD850759:LWD850824 MFZ850759:MFZ850824 MPV850759:MPV850824 MZR850759:MZR850824 NJN850759:NJN850824 NTJ850759:NTJ850824 ODF850759:ODF850824 ONB850759:ONB850824 OWX850759:OWX850824 PGT850759:PGT850824 PQP850759:PQP850824 QAL850759:QAL850824 QKH850759:QKH850824 QUD850759:QUD850824 RDZ850759:RDZ850824 RNV850759:RNV850824 RXR850759:RXR850824 SHN850759:SHN850824 SRJ850759:SRJ850824 TBF850759:TBF850824 TLB850759:TLB850824 TUX850759:TUX850824 UET850759:UET850824 UOP850759:UOP850824 UYL850759:UYL850824 VIH850759:VIH850824 VSD850759:VSD850824 WBZ850759:WBZ850824 WLV850759:WLV850824 WVR850759:WVR850824 J916295:J916360 JF916295:JF916360 TB916295:TB916360 ACX916295:ACX916360 AMT916295:AMT916360 AWP916295:AWP916360 BGL916295:BGL916360 BQH916295:BQH916360 CAD916295:CAD916360 CJZ916295:CJZ916360 CTV916295:CTV916360 DDR916295:DDR916360 DNN916295:DNN916360 DXJ916295:DXJ916360 EHF916295:EHF916360 ERB916295:ERB916360 FAX916295:FAX916360 FKT916295:FKT916360 FUP916295:FUP916360 GEL916295:GEL916360 GOH916295:GOH916360 GYD916295:GYD916360 HHZ916295:HHZ916360 HRV916295:HRV916360 IBR916295:IBR916360 ILN916295:ILN916360 IVJ916295:IVJ916360 JFF916295:JFF916360 JPB916295:JPB916360 JYX916295:JYX916360 KIT916295:KIT916360 KSP916295:KSP916360 LCL916295:LCL916360 LMH916295:LMH916360 LWD916295:LWD916360 MFZ916295:MFZ916360 MPV916295:MPV916360 MZR916295:MZR916360 NJN916295:NJN916360 NTJ916295:NTJ916360 ODF916295:ODF916360 ONB916295:ONB916360 OWX916295:OWX916360 PGT916295:PGT916360 PQP916295:PQP916360 QAL916295:QAL916360 QKH916295:QKH916360 QUD916295:QUD916360 RDZ916295:RDZ916360 RNV916295:RNV916360 RXR916295:RXR916360 SHN916295:SHN916360 SRJ916295:SRJ916360 TBF916295:TBF916360 TLB916295:TLB916360 TUX916295:TUX916360 UET916295:UET916360 UOP916295:UOP916360 UYL916295:UYL916360 VIH916295:VIH916360 VSD916295:VSD916360 WBZ916295:WBZ916360 WLV916295:WLV916360 WVR916295:WVR916360 J981831:J981896 JF981831:JF981896 TB981831:TB981896 ACX981831:ACX981896 AMT981831:AMT981896 AWP981831:AWP981896 BGL981831:BGL981896 BQH981831:BQH981896 CAD981831:CAD981896 CJZ981831:CJZ981896 CTV981831:CTV981896 DDR981831:DDR981896 DNN981831:DNN981896 DXJ981831:DXJ981896 EHF981831:EHF981896 ERB981831:ERB981896 FAX981831:FAX981896 FKT981831:FKT981896 FUP981831:FUP981896 GEL981831:GEL981896 GOH981831:GOH981896 GYD981831:GYD981896 HHZ981831:HHZ981896 HRV981831:HRV981896 IBR981831:IBR981896 ILN981831:ILN981896 IVJ981831:IVJ981896 JFF981831:JFF981896 JPB981831:JPB981896 JYX981831:JYX981896 KIT981831:KIT981896 KSP981831:KSP981896 LCL981831:LCL981896 LMH981831:LMH981896 LWD981831:LWD981896 MFZ981831:MFZ981896 MPV981831:MPV981896 MZR981831:MZR981896 NJN981831:NJN981896 NTJ981831:NTJ981896 ODF981831:ODF981896 ONB981831:ONB981896 OWX981831:OWX981896 PGT981831:PGT981896 PQP981831:PQP981896 QAL981831:QAL981896 QKH981831:QKH981896 QUD981831:QUD981896 RDZ981831:RDZ981896 RNV981831:RNV981896 RXR981831:RXR981896 SHN981831:SHN981896 SRJ981831:SRJ981896 TBF981831:TBF981896 TLB981831:TLB981896 TUX981831:TUX981896 UET981831:UET981896 UOP981831:UOP981896 UYL981831:UYL981896 VIH981831:VIH981896 VSD981831:VSD981896 WBZ981831:WBZ981896 WLV981831:WLV981896 WVR981831:WVR981896 J1047367:J1047432 JF1047367:JF1047432 TB1047367:TB1047432 ACX1047367:ACX1047432 AMT1047367:AMT1047432 AWP1047367:AWP1047432 BGL1047367:BGL1047432 BQH1047367:BQH1047432 CAD1047367:CAD1047432 CJZ1047367:CJZ1047432 CTV1047367:CTV1047432 DDR1047367:DDR1047432 DNN1047367:DNN1047432 DXJ1047367:DXJ1047432 EHF1047367:EHF1047432 ERB1047367:ERB1047432 FAX1047367:FAX1047432 FKT1047367:FKT1047432 FUP1047367:FUP1047432 GEL1047367:GEL1047432 GOH1047367:GOH1047432 GYD1047367:GYD1047432 HHZ1047367:HHZ1047432 HRV1047367:HRV1047432 IBR1047367:IBR1047432 ILN1047367:ILN1047432 IVJ1047367:IVJ1047432 JFF1047367:JFF1047432 JPB1047367:JPB1047432 JYX1047367:JYX1047432 KIT1047367:KIT1047432 KSP1047367:KSP1047432 LCL1047367:LCL1047432 LMH1047367:LMH1047432 LWD1047367:LWD1047432 MFZ1047367:MFZ1047432 MPV1047367:MPV1047432 MZR1047367:MZR1047432 NJN1047367:NJN1047432 NTJ1047367:NTJ1047432 ODF1047367:ODF1047432 ONB1047367:ONB1047432 OWX1047367:OWX1047432 PGT1047367:PGT1047432 PQP1047367:PQP1047432 QAL1047367:QAL1047432 QKH1047367:QKH1047432 QUD1047367:QUD1047432 RDZ1047367:RDZ1047432 RNV1047367:RNV1047432 RXR1047367:RXR1047432 SHN1047367:SHN1047432 SRJ1047367:SRJ1047432 TBF1047367:TBF1047432 TLB1047367:TLB1047432 TUX1047367:TUX1047432 UET1047367:UET1047432 UOP1047367:UOP1047432 UYL1047367:UYL1047432 VIH1047367:VIH1047432 VSD1047367:VSD1047432 WBZ1047367:WBZ1047432 WLV1047367:WLV1047432 WVR1047367:WVR1047432" xr:uid="{D4B5B513-34D9-4539-8A9F-8F1063DC598A}">
      <formula1>$AP$2:$AP$15</formula1>
    </dataValidation>
    <dataValidation type="list" allowBlank="1" showInputMessage="1" showErrorMessage="1" sqref="K64327:K64392 JG64327:JG64392 TC64327:TC64392 ACY64327:ACY64392 AMU64327:AMU64392 AWQ64327:AWQ64392 BGM64327:BGM64392 BQI64327:BQI64392 CAE64327:CAE64392 CKA64327:CKA64392 CTW64327:CTW64392 DDS64327:DDS64392 DNO64327:DNO64392 DXK64327:DXK64392 EHG64327:EHG64392 ERC64327:ERC64392 FAY64327:FAY64392 FKU64327:FKU64392 FUQ64327:FUQ64392 GEM64327:GEM64392 GOI64327:GOI64392 GYE64327:GYE64392 HIA64327:HIA64392 HRW64327:HRW64392 IBS64327:IBS64392 ILO64327:ILO64392 IVK64327:IVK64392 JFG64327:JFG64392 JPC64327:JPC64392 JYY64327:JYY64392 KIU64327:KIU64392 KSQ64327:KSQ64392 LCM64327:LCM64392 LMI64327:LMI64392 LWE64327:LWE64392 MGA64327:MGA64392 MPW64327:MPW64392 MZS64327:MZS64392 NJO64327:NJO64392 NTK64327:NTK64392 ODG64327:ODG64392 ONC64327:ONC64392 OWY64327:OWY64392 PGU64327:PGU64392 PQQ64327:PQQ64392 QAM64327:QAM64392 QKI64327:QKI64392 QUE64327:QUE64392 REA64327:REA64392 RNW64327:RNW64392 RXS64327:RXS64392 SHO64327:SHO64392 SRK64327:SRK64392 TBG64327:TBG64392 TLC64327:TLC64392 TUY64327:TUY64392 UEU64327:UEU64392 UOQ64327:UOQ64392 UYM64327:UYM64392 VII64327:VII64392 VSE64327:VSE64392 WCA64327:WCA64392 WLW64327:WLW64392 WVS64327:WVS64392 K129863:K129928 JG129863:JG129928 TC129863:TC129928 ACY129863:ACY129928 AMU129863:AMU129928 AWQ129863:AWQ129928 BGM129863:BGM129928 BQI129863:BQI129928 CAE129863:CAE129928 CKA129863:CKA129928 CTW129863:CTW129928 DDS129863:DDS129928 DNO129863:DNO129928 DXK129863:DXK129928 EHG129863:EHG129928 ERC129863:ERC129928 FAY129863:FAY129928 FKU129863:FKU129928 FUQ129863:FUQ129928 GEM129863:GEM129928 GOI129863:GOI129928 GYE129863:GYE129928 HIA129863:HIA129928 HRW129863:HRW129928 IBS129863:IBS129928 ILO129863:ILO129928 IVK129863:IVK129928 JFG129863:JFG129928 JPC129863:JPC129928 JYY129863:JYY129928 KIU129863:KIU129928 KSQ129863:KSQ129928 LCM129863:LCM129928 LMI129863:LMI129928 LWE129863:LWE129928 MGA129863:MGA129928 MPW129863:MPW129928 MZS129863:MZS129928 NJO129863:NJO129928 NTK129863:NTK129928 ODG129863:ODG129928 ONC129863:ONC129928 OWY129863:OWY129928 PGU129863:PGU129928 PQQ129863:PQQ129928 QAM129863:QAM129928 QKI129863:QKI129928 QUE129863:QUE129928 REA129863:REA129928 RNW129863:RNW129928 RXS129863:RXS129928 SHO129863:SHO129928 SRK129863:SRK129928 TBG129863:TBG129928 TLC129863:TLC129928 TUY129863:TUY129928 UEU129863:UEU129928 UOQ129863:UOQ129928 UYM129863:UYM129928 VII129863:VII129928 VSE129863:VSE129928 WCA129863:WCA129928 WLW129863:WLW129928 WVS129863:WVS129928 K195399:K195464 JG195399:JG195464 TC195399:TC195464 ACY195399:ACY195464 AMU195399:AMU195464 AWQ195399:AWQ195464 BGM195399:BGM195464 BQI195399:BQI195464 CAE195399:CAE195464 CKA195399:CKA195464 CTW195399:CTW195464 DDS195399:DDS195464 DNO195399:DNO195464 DXK195399:DXK195464 EHG195399:EHG195464 ERC195399:ERC195464 FAY195399:FAY195464 FKU195399:FKU195464 FUQ195399:FUQ195464 GEM195399:GEM195464 GOI195399:GOI195464 GYE195399:GYE195464 HIA195399:HIA195464 HRW195399:HRW195464 IBS195399:IBS195464 ILO195399:ILO195464 IVK195399:IVK195464 JFG195399:JFG195464 JPC195399:JPC195464 JYY195399:JYY195464 KIU195399:KIU195464 KSQ195399:KSQ195464 LCM195399:LCM195464 LMI195399:LMI195464 LWE195399:LWE195464 MGA195399:MGA195464 MPW195399:MPW195464 MZS195399:MZS195464 NJO195399:NJO195464 NTK195399:NTK195464 ODG195399:ODG195464 ONC195399:ONC195464 OWY195399:OWY195464 PGU195399:PGU195464 PQQ195399:PQQ195464 QAM195399:QAM195464 QKI195399:QKI195464 QUE195399:QUE195464 REA195399:REA195464 RNW195399:RNW195464 RXS195399:RXS195464 SHO195399:SHO195464 SRK195399:SRK195464 TBG195399:TBG195464 TLC195399:TLC195464 TUY195399:TUY195464 UEU195399:UEU195464 UOQ195399:UOQ195464 UYM195399:UYM195464 VII195399:VII195464 VSE195399:VSE195464 WCA195399:WCA195464 WLW195399:WLW195464 WVS195399:WVS195464 K260935:K261000 JG260935:JG261000 TC260935:TC261000 ACY260935:ACY261000 AMU260935:AMU261000 AWQ260935:AWQ261000 BGM260935:BGM261000 BQI260935:BQI261000 CAE260935:CAE261000 CKA260935:CKA261000 CTW260935:CTW261000 DDS260935:DDS261000 DNO260935:DNO261000 DXK260935:DXK261000 EHG260935:EHG261000 ERC260935:ERC261000 FAY260935:FAY261000 FKU260935:FKU261000 FUQ260935:FUQ261000 GEM260935:GEM261000 GOI260935:GOI261000 GYE260935:GYE261000 HIA260935:HIA261000 HRW260935:HRW261000 IBS260935:IBS261000 ILO260935:ILO261000 IVK260935:IVK261000 JFG260935:JFG261000 JPC260935:JPC261000 JYY260935:JYY261000 KIU260935:KIU261000 KSQ260935:KSQ261000 LCM260935:LCM261000 LMI260935:LMI261000 LWE260935:LWE261000 MGA260935:MGA261000 MPW260935:MPW261000 MZS260935:MZS261000 NJO260935:NJO261000 NTK260935:NTK261000 ODG260935:ODG261000 ONC260935:ONC261000 OWY260935:OWY261000 PGU260935:PGU261000 PQQ260935:PQQ261000 QAM260935:QAM261000 QKI260935:QKI261000 QUE260935:QUE261000 REA260935:REA261000 RNW260935:RNW261000 RXS260935:RXS261000 SHO260935:SHO261000 SRK260935:SRK261000 TBG260935:TBG261000 TLC260935:TLC261000 TUY260935:TUY261000 UEU260935:UEU261000 UOQ260935:UOQ261000 UYM260935:UYM261000 VII260935:VII261000 VSE260935:VSE261000 WCA260935:WCA261000 WLW260935:WLW261000 WVS260935:WVS261000 K326471:K326536 JG326471:JG326536 TC326471:TC326536 ACY326471:ACY326536 AMU326471:AMU326536 AWQ326471:AWQ326536 BGM326471:BGM326536 BQI326471:BQI326536 CAE326471:CAE326536 CKA326471:CKA326536 CTW326471:CTW326536 DDS326471:DDS326536 DNO326471:DNO326536 DXK326471:DXK326536 EHG326471:EHG326536 ERC326471:ERC326536 FAY326471:FAY326536 FKU326471:FKU326536 FUQ326471:FUQ326536 GEM326471:GEM326536 GOI326471:GOI326536 GYE326471:GYE326536 HIA326471:HIA326536 HRW326471:HRW326536 IBS326471:IBS326536 ILO326471:ILO326536 IVK326471:IVK326536 JFG326471:JFG326536 JPC326471:JPC326536 JYY326471:JYY326536 KIU326471:KIU326536 KSQ326471:KSQ326536 LCM326471:LCM326536 LMI326471:LMI326536 LWE326471:LWE326536 MGA326471:MGA326536 MPW326471:MPW326536 MZS326471:MZS326536 NJO326471:NJO326536 NTK326471:NTK326536 ODG326471:ODG326536 ONC326471:ONC326536 OWY326471:OWY326536 PGU326471:PGU326536 PQQ326471:PQQ326536 QAM326471:QAM326536 QKI326471:QKI326536 QUE326471:QUE326536 REA326471:REA326536 RNW326471:RNW326536 RXS326471:RXS326536 SHO326471:SHO326536 SRK326471:SRK326536 TBG326471:TBG326536 TLC326471:TLC326536 TUY326471:TUY326536 UEU326471:UEU326536 UOQ326471:UOQ326536 UYM326471:UYM326536 VII326471:VII326536 VSE326471:VSE326536 WCA326471:WCA326536 WLW326471:WLW326536 WVS326471:WVS326536 K392007:K392072 JG392007:JG392072 TC392007:TC392072 ACY392007:ACY392072 AMU392007:AMU392072 AWQ392007:AWQ392072 BGM392007:BGM392072 BQI392007:BQI392072 CAE392007:CAE392072 CKA392007:CKA392072 CTW392007:CTW392072 DDS392007:DDS392072 DNO392007:DNO392072 DXK392007:DXK392072 EHG392007:EHG392072 ERC392007:ERC392072 FAY392007:FAY392072 FKU392007:FKU392072 FUQ392007:FUQ392072 GEM392007:GEM392072 GOI392007:GOI392072 GYE392007:GYE392072 HIA392007:HIA392072 HRW392007:HRW392072 IBS392007:IBS392072 ILO392007:ILO392072 IVK392007:IVK392072 JFG392007:JFG392072 JPC392007:JPC392072 JYY392007:JYY392072 KIU392007:KIU392072 KSQ392007:KSQ392072 LCM392007:LCM392072 LMI392007:LMI392072 LWE392007:LWE392072 MGA392007:MGA392072 MPW392007:MPW392072 MZS392007:MZS392072 NJO392007:NJO392072 NTK392007:NTK392072 ODG392007:ODG392072 ONC392007:ONC392072 OWY392007:OWY392072 PGU392007:PGU392072 PQQ392007:PQQ392072 QAM392007:QAM392072 QKI392007:QKI392072 QUE392007:QUE392072 REA392007:REA392072 RNW392007:RNW392072 RXS392007:RXS392072 SHO392007:SHO392072 SRK392007:SRK392072 TBG392007:TBG392072 TLC392007:TLC392072 TUY392007:TUY392072 UEU392007:UEU392072 UOQ392007:UOQ392072 UYM392007:UYM392072 VII392007:VII392072 VSE392007:VSE392072 WCA392007:WCA392072 WLW392007:WLW392072 WVS392007:WVS392072 K457543:K457608 JG457543:JG457608 TC457543:TC457608 ACY457543:ACY457608 AMU457543:AMU457608 AWQ457543:AWQ457608 BGM457543:BGM457608 BQI457543:BQI457608 CAE457543:CAE457608 CKA457543:CKA457608 CTW457543:CTW457608 DDS457543:DDS457608 DNO457543:DNO457608 DXK457543:DXK457608 EHG457543:EHG457608 ERC457543:ERC457608 FAY457543:FAY457608 FKU457543:FKU457608 FUQ457543:FUQ457608 GEM457543:GEM457608 GOI457543:GOI457608 GYE457543:GYE457608 HIA457543:HIA457608 HRW457543:HRW457608 IBS457543:IBS457608 ILO457543:ILO457608 IVK457543:IVK457608 JFG457543:JFG457608 JPC457543:JPC457608 JYY457543:JYY457608 KIU457543:KIU457608 KSQ457543:KSQ457608 LCM457543:LCM457608 LMI457543:LMI457608 LWE457543:LWE457608 MGA457543:MGA457608 MPW457543:MPW457608 MZS457543:MZS457608 NJO457543:NJO457608 NTK457543:NTK457608 ODG457543:ODG457608 ONC457543:ONC457608 OWY457543:OWY457608 PGU457543:PGU457608 PQQ457543:PQQ457608 QAM457543:QAM457608 QKI457543:QKI457608 QUE457543:QUE457608 REA457543:REA457608 RNW457543:RNW457608 RXS457543:RXS457608 SHO457543:SHO457608 SRK457543:SRK457608 TBG457543:TBG457608 TLC457543:TLC457608 TUY457543:TUY457608 UEU457543:UEU457608 UOQ457543:UOQ457608 UYM457543:UYM457608 VII457543:VII457608 VSE457543:VSE457608 WCA457543:WCA457608 WLW457543:WLW457608 WVS457543:WVS457608 K523079:K523144 JG523079:JG523144 TC523079:TC523144 ACY523079:ACY523144 AMU523079:AMU523144 AWQ523079:AWQ523144 BGM523079:BGM523144 BQI523079:BQI523144 CAE523079:CAE523144 CKA523079:CKA523144 CTW523079:CTW523144 DDS523079:DDS523144 DNO523079:DNO523144 DXK523079:DXK523144 EHG523079:EHG523144 ERC523079:ERC523144 FAY523079:FAY523144 FKU523079:FKU523144 FUQ523079:FUQ523144 GEM523079:GEM523144 GOI523079:GOI523144 GYE523079:GYE523144 HIA523079:HIA523144 HRW523079:HRW523144 IBS523079:IBS523144 ILO523079:ILO523144 IVK523079:IVK523144 JFG523079:JFG523144 JPC523079:JPC523144 JYY523079:JYY523144 KIU523079:KIU523144 KSQ523079:KSQ523144 LCM523079:LCM523144 LMI523079:LMI523144 LWE523079:LWE523144 MGA523079:MGA523144 MPW523079:MPW523144 MZS523079:MZS523144 NJO523079:NJO523144 NTK523079:NTK523144 ODG523079:ODG523144 ONC523079:ONC523144 OWY523079:OWY523144 PGU523079:PGU523144 PQQ523079:PQQ523144 QAM523079:QAM523144 QKI523079:QKI523144 QUE523079:QUE523144 REA523079:REA523144 RNW523079:RNW523144 RXS523079:RXS523144 SHO523079:SHO523144 SRK523079:SRK523144 TBG523079:TBG523144 TLC523079:TLC523144 TUY523079:TUY523144 UEU523079:UEU523144 UOQ523079:UOQ523144 UYM523079:UYM523144 VII523079:VII523144 VSE523079:VSE523144 WCA523079:WCA523144 WLW523079:WLW523144 WVS523079:WVS523144 K588615:K588680 JG588615:JG588680 TC588615:TC588680 ACY588615:ACY588680 AMU588615:AMU588680 AWQ588615:AWQ588680 BGM588615:BGM588680 BQI588615:BQI588680 CAE588615:CAE588680 CKA588615:CKA588680 CTW588615:CTW588680 DDS588615:DDS588680 DNO588615:DNO588680 DXK588615:DXK588680 EHG588615:EHG588680 ERC588615:ERC588680 FAY588615:FAY588680 FKU588615:FKU588680 FUQ588615:FUQ588680 GEM588615:GEM588680 GOI588615:GOI588680 GYE588615:GYE588680 HIA588615:HIA588680 HRW588615:HRW588680 IBS588615:IBS588680 ILO588615:ILO588680 IVK588615:IVK588680 JFG588615:JFG588680 JPC588615:JPC588680 JYY588615:JYY588680 KIU588615:KIU588680 KSQ588615:KSQ588680 LCM588615:LCM588680 LMI588615:LMI588680 LWE588615:LWE588680 MGA588615:MGA588680 MPW588615:MPW588680 MZS588615:MZS588680 NJO588615:NJO588680 NTK588615:NTK588680 ODG588615:ODG588680 ONC588615:ONC588680 OWY588615:OWY588680 PGU588615:PGU588680 PQQ588615:PQQ588680 QAM588615:QAM588680 QKI588615:QKI588680 QUE588615:QUE588680 REA588615:REA588680 RNW588615:RNW588680 RXS588615:RXS588680 SHO588615:SHO588680 SRK588615:SRK588680 TBG588615:TBG588680 TLC588615:TLC588680 TUY588615:TUY588680 UEU588615:UEU588680 UOQ588615:UOQ588680 UYM588615:UYM588680 VII588615:VII588680 VSE588615:VSE588680 WCA588615:WCA588680 WLW588615:WLW588680 WVS588615:WVS588680 K654151:K654216 JG654151:JG654216 TC654151:TC654216 ACY654151:ACY654216 AMU654151:AMU654216 AWQ654151:AWQ654216 BGM654151:BGM654216 BQI654151:BQI654216 CAE654151:CAE654216 CKA654151:CKA654216 CTW654151:CTW654216 DDS654151:DDS654216 DNO654151:DNO654216 DXK654151:DXK654216 EHG654151:EHG654216 ERC654151:ERC654216 FAY654151:FAY654216 FKU654151:FKU654216 FUQ654151:FUQ654216 GEM654151:GEM654216 GOI654151:GOI654216 GYE654151:GYE654216 HIA654151:HIA654216 HRW654151:HRW654216 IBS654151:IBS654216 ILO654151:ILO654216 IVK654151:IVK654216 JFG654151:JFG654216 JPC654151:JPC654216 JYY654151:JYY654216 KIU654151:KIU654216 KSQ654151:KSQ654216 LCM654151:LCM654216 LMI654151:LMI654216 LWE654151:LWE654216 MGA654151:MGA654216 MPW654151:MPW654216 MZS654151:MZS654216 NJO654151:NJO654216 NTK654151:NTK654216 ODG654151:ODG654216 ONC654151:ONC654216 OWY654151:OWY654216 PGU654151:PGU654216 PQQ654151:PQQ654216 QAM654151:QAM654216 QKI654151:QKI654216 QUE654151:QUE654216 REA654151:REA654216 RNW654151:RNW654216 RXS654151:RXS654216 SHO654151:SHO654216 SRK654151:SRK654216 TBG654151:TBG654216 TLC654151:TLC654216 TUY654151:TUY654216 UEU654151:UEU654216 UOQ654151:UOQ654216 UYM654151:UYM654216 VII654151:VII654216 VSE654151:VSE654216 WCA654151:WCA654216 WLW654151:WLW654216 WVS654151:WVS654216 K719687:K719752 JG719687:JG719752 TC719687:TC719752 ACY719687:ACY719752 AMU719687:AMU719752 AWQ719687:AWQ719752 BGM719687:BGM719752 BQI719687:BQI719752 CAE719687:CAE719752 CKA719687:CKA719752 CTW719687:CTW719752 DDS719687:DDS719752 DNO719687:DNO719752 DXK719687:DXK719752 EHG719687:EHG719752 ERC719687:ERC719752 FAY719687:FAY719752 FKU719687:FKU719752 FUQ719687:FUQ719752 GEM719687:GEM719752 GOI719687:GOI719752 GYE719687:GYE719752 HIA719687:HIA719752 HRW719687:HRW719752 IBS719687:IBS719752 ILO719687:ILO719752 IVK719687:IVK719752 JFG719687:JFG719752 JPC719687:JPC719752 JYY719687:JYY719752 KIU719687:KIU719752 KSQ719687:KSQ719752 LCM719687:LCM719752 LMI719687:LMI719752 LWE719687:LWE719752 MGA719687:MGA719752 MPW719687:MPW719752 MZS719687:MZS719752 NJO719687:NJO719752 NTK719687:NTK719752 ODG719687:ODG719752 ONC719687:ONC719752 OWY719687:OWY719752 PGU719687:PGU719752 PQQ719687:PQQ719752 QAM719687:QAM719752 QKI719687:QKI719752 QUE719687:QUE719752 REA719687:REA719752 RNW719687:RNW719752 RXS719687:RXS719752 SHO719687:SHO719752 SRK719687:SRK719752 TBG719687:TBG719752 TLC719687:TLC719752 TUY719687:TUY719752 UEU719687:UEU719752 UOQ719687:UOQ719752 UYM719687:UYM719752 VII719687:VII719752 VSE719687:VSE719752 WCA719687:WCA719752 WLW719687:WLW719752 WVS719687:WVS719752 K785223:K785288 JG785223:JG785288 TC785223:TC785288 ACY785223:ACY785288 AMU785223:AMU785288 AWQ785223:AWQ785288 BGM785223:BGM785288 BQI785223:BQI785288 CAE785223:CAE785288 CKA785223:CKA785288 CTW785223:CTW785288 DDS785223:DDS785288 DNO785223:DNO785288 DXK785223:DXK785288 EHG785223:EHG785288 ERC785223:ERC785288 FAY785223:FAY785288 FKU785223:FKU785288 FUQ785223:FUQ785288 GEM785223:GEM785288 GOI785223:GOI785288 GYE785223:GYE785288 HIA785223:HIA785288 HRW785223:HRW785288 IBS785223:IBS785288 ILO785223:ILO785288 IVK785223:IVK785288 JFG785223:JFG785288 JPC785223:JPC785288 JYY785223:JYY785288 KIU785223:KIU785288 KSQ785223:KSQ785288 LCM785223:LCM785288 LMI785223:LMI785288 LWE785223:LWE785288 MGA785223:MGA785288 MPW785223:MPW785288 MZS785223:MZS785288 NJO785223:NJO785288 NTK785223:NTK785288 ODG785223:ODG785288 ONC785223:ONC785288 OWY785223:OWY785288 PGU785223:PGU785288 PQQ785223:PQQ785288 QAM785223:QAM785288 QKI785223:QKI785288 QUE785223:QUE785288 REA785223:REA785288 RNW785223:RNW785288 RXS785223:RXS785288 SHO785223:SHO785288 SRK785223:SRK785288 TBG785223:TBG785288 TLC785223:TLC785288 TUY785223:TUY785288 UEU785223:UEU785288 UOQ785223:UOQ785288 UYM785223:UYM785288 VII785223:VII785288 VSE785223:VSE785288 WCA785223:WCA785288 WLW785223:WLW785288 WVS785223:WVS785288 K850759:K850824 JG850759:JG850824 TC850759:TC850824 ACY850759:ACY850824 AMU850759:AMU850824 AWQ850759:AWQ850824 BGM850759:BGM850824 BQI850759:BQI850824 CAE850759:CAE850824 CKA850759:CKA850824 CTW850759:CTW850824 DDS850759:DDS850824 DNO850759:DNO850824 DXK850759:DXK850824 EHG850759:EHG850824 ERC850759:ERC850824 FAY850759:FAY850824 FKU850759:FKU850824 FUQ850759:FUQ850824 GEM850759:GEM850824 GOI850759:GOI850824 GYE850759:GYE850824 HIA850759:HIA850824 HRW850759:HRW850824 IBS850759:IBS850824 ILO850759:ILO850824 IVK850759:IVK850824 JFG850759:JFG850824 JPC850759:JPC850824 JYY850759:JYY850824 KIU850759:KIU850824 KSQ850759:KSQ850824 LCM850759:LCM850824 LMI850759:LMI850824 LWE850759:LWE850824 MGA850759:MGA850824 MPW850759:MPW850824 MZS850759:MZS850824 NJO850759:NJO850824 NTK850759:NTK850824 ODG850759:ODG850824 ONC850759:ONC850824 OWY850759:OWY850824 PGU850759:PGU850824 PQQ850759:PQQ850824 QAM850759:QAM850824 QKI850759:QKI850824 QUE850759:QUE850824 REA850759:REA850824 RNW850759:RNW850824 RXS850759:RXS850824 SHO850759:SHO850824 SRK850759:SRK850824 TBG850759:TBG850824 TLC850759:TLC850824 TUY850759:TUY850824 UEU850759:UEU850824 UOQ850759:UOQ850824 UYM850759:UYM850824 VII850759:VII850824 VSE850759:VSE850824 WCA850759:WCA850824 WLW850759:WLW850824 WVS850759:WVS850824 K916295:K916360 JG916295:JG916360 TC916295:TC916360 ACY916295:ACY916360 AMU916295:AMU916360 AWQ916295:AWQ916360 BGM916295:BGM916360 BQI916295:BQI916360 CAE916295:CAE916360 CKA916295:CKA916360 CTW916295:CTW916360 DDS916295:DDS916360 DNO916295:DNO916360 DXK916295:DXK916360 EHG916295:EHG916360 ERC916295:ERC916360 FAY916295:FAY916360 FKU916295:FKU916360 FUQ916295:FUQ916360 GEM916295:GEM916360 GOI916295:GOI916360 GYE916295:GYE916360 HIA916295:HIA916360 HRW916295:HRW916360 IBS916295:IBS916360 ILO916295:ILO916360 IVK916295:IVK916360 JFG916295:JFG916360 JPC916295:JPC916360 JYY916295:JYY916360 KIU916295:KIU916360 KSQ916295:KSQ916360 LCM916295:LCM916360 LMI916295:LMI916360 LWE916295:LWE916360 MGA916295:MGA916360 MPW916295:MPW916360 MZS916295:MZS916360 NJO916295:NJO916360 NTK916295:NTK916360 ODG916295:ODG916360 ONC916295:ONC916360 OWY916295:OWY916360 PGU916295:PGU916360 PQQ916295:PQQ916360 QAM916295:QAM916360 QKI916295:QKI916360 QUE916295:QUE916360 REA916295:REA916360 RNW916295:RNW916360 RXS916295:RXS916360 SHO916295:SHO916360 SRK916295:SRK916360 TBG916295:TBG916360 TLC916295:TLC916360 TUY916295:TUY916360 UEU916295:UEU916360 UOQ916295:UOQ916360 UYM916295:UYM916360 VII916295:VII916360 VSE916295:VSE916360 WCA916295:WCA916360 WLW916295:WLW916360 WVS916295:WVS916360 K981831:K981896 JG981831:JG981896 TC981831:TC981896 ACY981831:ACY981896 AMU981831:AMU981896 AWQ981831:AWQ981896 BGM981831:BGM981896 BQI981831:BQI981896 CAE981831:CAE981896 CKA981831:CKA981896 CTW981831:CTW981896 DDS981831:DDS981896 DNO981831:DNO981896 DXK981831:DXK981896 EHG981831:EHG981896 ERC981831:ERC981896 FAY981831:FAY981896 FKU981831:FKU981896 FUQ981831:FUQ981896 GEM981831:GEM981896 GOI981831:GOI981896 GYE981831:GYE981896 HIA981831:HIA981896 HRW981831:HRW981896 IBS981831:IBS981896 ILO981831:ILO981896 IVK981831:IVK981896 JFG981831:JFG981896 JPC981831:JPC981896 JYY981831:JYY981896 KIU981831:KIU981896 KSQ981831:KSQ981896 LCM981831:LCM981896 LMI981831:LMI981896 LWE981831:LWE981896 MGA981831:MGA981896 MPW981831:MPW981896 MZS981831:MZS981896 NJO981831:NJO981896 NTK981831:NTK981896 ODG981831:ODG981896 ONC981831:ONC981896 OWY981831:OWY981896 PGU981831:PGU981896 PQQ981831:PQQ981896 QAM981831:QAM981896 QKI981831:QKI981896 QUE981831:QUE981896 REA981831:REA981896 RNW981831:RNW981896 RXS981831:RXS981896 SHO981831:SHO981896 SRK981831:SRK981896 TBG981831:TBG981896 TLC981831:TLC981896 TUY981831:TUY981896 UEU981831:UEU981896 UOQ981831:UOQ981896 UYM981831:UYM981896 VII981831:VII981896 VSE981831:VSE981896 WCA981831:WCA981896 WLW981831:WLW981896 WVS981831:WVS981896 K1047367:K1047432 JG1047367:JG1047432 TC1047367:TC1047432 ACY1047367:ACY1047432 AMU1047367:AMU1047432 AWQ1047367:AWQ1047432 BGM1047367:BGM1047432 BQI1047367:BQI1047432 CAE1047367:CAE1047432 CKA1047367:CKA1047432 CTW1047367:CTW1047432 DDS1047367:DDS1047432 DNO1047367:DNO1047432 DXK1047367:DXK1047432 EHG1047367:EHG1047432 ERC1047367:ERC1047432 FAY1047367:FAY1047432 FKU1047367:FKU1047432 FUQ1047367:FUQ1047432 GEM1047367:GEM1047432 GOI1047367:GOI1047432 GYE1047367:GYE1047432 HIA1047367:HIA1047432 HRW1047367:HRW1047432 IBS1047367:IBS1047432 ILO1047367:ILO1047432 IVK1047367:IVK1047432 JFG1047367:JFG1047432 JPC1047367:JPC1047432 JYY1047367:JYY1047432 KIU1047367:KIU1047432 KSQ1047367:KSQ1047432 LCM1047367:LCM1047432 LMI1047367:LMI1047432 LWE1047367:LWE1047432 MGA1047367:MGA1047432 MPW1047367:MPW1047432 MZS1047367:MZS1047432 NJO1047367:NJO1047432 NTK1047367:NTK1047432 ODG1047367:ODG1047432 ONC1047367:ONC1047432 OWY1047367:OWY1047432 PGU1047367:PGU1047432 PQQ1047367:PQQ1047432 QAM1047367:QAM1047432 QKI1047367:QKI1047432 QUE1047367:QUE1047432 REA1047367:REA1047432 RNW1047367:RNW1047432 RXS1047367:RXS1047432 SHO1047367:SHO1047432 SRK1047367:SRK1047432 TBG1047367:TBG1047432 TLC1047367:TLC1047432 TUY1047367:TUY1047432 UEU1047367:UEU1047432 UOQ1047367:UOQ1047432 UYM1047367:UYM1047432 VII1047367:VII1047432 VSE1047367:VSE1047432 WCA1047367:WCA1047432 WLW1047367:WLW1047432 WVS1047367:WVS1047432" xr:uid="{D7A7687B-A4EF-4D8B-98A9-9EA9B0D542E7}">
      <formula1>$AR$2:$AR$24</formula1>
    </dataValidation>
    <dataValidation type="list" allowBlank="1" showInputMessage="1" showErrorMessage="1" sqref="Y64327:AA64392 JU64327:JW64392 TQ64327:TS64392 ADM64327:ADO64392 ANI64327:ANK64392 AXE64327:AXG64392 BHA64327:BHC64392 BQW64327:BQY64392 CAS64327:CAU64392 CKO64327:CKQ64392 CUK64327:CUM64392 DEG64327:DEI64392 DOC64327:DOE64392 DXY64327:DYA64392 EHU64327:EHW64392 ERQ64327:ERS64392 FBM64327:FBO64392 FLI64327:FLK64392 FVE64327:FVG64392 GFA64327:GFC64392 GOW64327:GOY64392 GYS64327:GYU64392 HIO64327:HIQ64392 HSK64327:HSM64392 ICG64327:ICI64392 IMC64327:IME64392 IVY64327:IWA64392 JFU64327:JFW64392 JPQ64327:JPS64392 JZM64327:JZO64392 KJI64327:KJK64392 KTE64327:KTG64392 LDA64327:LDC64392 LMW64327:LMY64392 LWS64327:LWU64392 MGO64327:MGQ64392 MQK64327:MQM64392 NAG64327:NAI64392 NKC64327:NKE64392 NTY64327:NUA64392 ODU64327:ODW64392 ONQ64327:ONS64392 OXM64327:OXO64392 PHI64327:PHK64392 PRE64327:PRG64392 QBA64327:QBC64392 QKW64327:QKY64392 QUS64327:QUU64392 REO64327:REQ64392 ROK64327:ROM64392 RYG64327:RYI64392 SIC64327:SIE64392 SRY64327:SSA64392 TBU64327:TBW64392 TLQ64327:TLS64392 TVM64327:TVO64392 UFI64327:UFK64392 UPE64327:UPG64392 UZA64327:UZC64392 VIW64327:VIY64392 VSS64327:VSU64392 WCO64327:WCQ64392 WMK64327:WMM64392 WWG64327:WWI64392 Y129863:AA129928 JU129863:JW129928 TQ129863:TS129928 ADM129863:ADO129928 ANI129863:ANK129928 AXE129863:AXG129928 BHA129863:BHC129928 BQW129863:BQY129928 CAS129863:CAU129928 CKO129863:CKQ129928 CUK129863:CUM129928 DEG129863:DEI129928 DOC129863:DOE129928 DXY129863:DYA129928 EHU129863:EHW129928 ERQ129863:ERS129928 FBM129863:FBO129928 FLI129863:FLK129928 FVE129863:FVG129928 GFA129863:GFC129928 GOW129863:GOY129928 GYS129863:GYU129928 HIO129863:HIQ129928 HSK129863:HSM129928 ICG129863:ICI129928 IMC129863:IME129928 IVY129863:IWA129928 JFU129863:JFW129928 JPQ129863:JPS129928 JZM129863:JZO129928 KJI129863:KJK129928 KTE129863:KTG129928 LDA129863:LDC129928 LMW129863:LMY129928 LWS129863:LWU129928 MGO129863:MGQ129928 MQK129863:MQM129928 NAG129863:NAI129928 NKC129863:NKE129928 NTY129863:NUA129928 ODU129863:ODW129928 ONQ129863:ONS129928 OXM129863:OXO129928 PHI129863:PHK129928 PRE129863:PRG129928 QBA129863:QBC129928 QKW129863:QKY129928 QUS129863:QUU129928 REO129863:REQ129928 ROK129863:ROM129928 RYG129863:RYI129928 SIC129863:SIE129928 SRY129863:SSA129928 TBU129863:TBW129928 TLQ129863:TLS129928 TVM129863:TVO129928 UFI129863:UFK129928 UPE129863:UPG129928 UZA129863:UZC129928 VIW129863:VIY129928 VSS129863:VSU129928 WCO129863:WCQ129928 WMK129863:WMM129928 WWG129863:WWI129928 Y195399:AA195464 JU195399:JW195464 TQ195399:TS195464 ADM195399:ADO195464 ANI195399:ANK195464 AXE195399:AXG195464 BHA195399:BHC195464 BQW195399:BQY195464 CAS195399:CAU195464 CKO195399:CKQ195464 CUK195399:CUM195464 DEG195399:DEI195464 DOC195399:DOE195464 DXY195399:DYA195464 EHU195399:EHW195464 ERQ195399:ERS195464 FBM195399:FBO195464 FLI195399:FLK195464 FVE195399:FVG195464 GFA195399:GFC195464 GOW195399:GOY195464 GYS195399:GYU195464 HIO195399:HIQ195464 HSK195399:HSM195464 ICG195399:ICI195464 IMC195399:IME195464 IVY195399:IWA195464 JFU195399:JFW195464 JPQ195399:JPS195464 JZM195399:JZO195464 KJI195399:KJK195464 KTE195399:KTG195464 LDA195399:LDC195464 LMW195399:LMY195464 LWS195399:LWU195464 MGO195399:MGQ195464 MQK195399:MQM195464 NAG195399:NAI195464 NKC195399:NKE195464 NTY195399:NUA195464 ODU195399:ODW195464 ONQ195399:ONS195464 OXM195399:OXO195464 PHI195399:PHK195464 PRE195399:PRG195464 QBA195399:QBC195464 QKW195399:QKY195464 QUS195399:QUU195464 REO195399:REQ195464 ROK195399:ROM195464 RYG195399:RYI195464 SIC195399:SIE195464 SRY195399:SSA195464 TBU195399:TBW195464 TLQ195399:TLS195464 TVM195399:TVO195464 UFI195399:UFK195464 UPE195399:UPG195464 UZA195399:UZC195464 VIW195399:VIY195464 VSS195399:VSU195464 WCO195399:WCQ195464 WMK195399:WMM195464 WWG195399:WWI195464 Y260935:AA261000 JU260935:JW261000 TQ260935:TS261000 ADM260935:ADO261000 ANI260935:ANK261000 AXE260935:AXG261000 BHA260935:BHC261000 BQW260935:BQY261000 CAS260935:CAU261000 CKO260935:CKQ261000 CUK260935:CUM261000 DEG260935:DEI261000 DOC260935:DOE261000 DXY260935:DYA261000 EHU260935:EHW261000 ERQ260935:ERS261000 FBM260935:FBO261000 FLI260935:FLK261000 FVE260935:FVG261000 GFA260935:GFC261000 GOW260935:GOY261000 GYS260935:GYU261000 HIO260935:HIQ261000 HSK260935:HSM261000 ICG260935:ICI261000 IMC260935:IME261000 IVY260935:IWA261000 JFU260935:JFW261000 JPQ260935:JPS261000 JZM260935:JZO261000 KJI260935:KJK261000 KTE260935:KTG261000 LDA260935:LDC261000 LMW260935:LMY261000 LWS260935:LWU261000 MGO260935:MGQ261000 MQK260935:MQM261000 NAG260935:NAI261000 NKC260935:NKE261000 NTY260935:NUA261000 ODU260935:ODW261000 ONQ260935:ONS261000 OXM260935:OXO261000 PHI260935:PHK261000 PRE260935:PRG261000 QBA260935:QBC261000 QKW260935:QKY261000 QUS260935:QUU261000 REO260935:REQ261000 ROK260935:ROM261000 RYG260935:RYI261000 SIC260935:SIE261000 SRY260935:SSA261000 TBU260935:TBW261000 TLQ260935:TLS261000 TVM260935:TVO261000 UFI260935:UFK261000 UPE260935:UPG261000 UZA260935:UZC261000 VIW260935:VIY261000 VSS260935:VSU261000 WCO260935:WCQ261000 WMK260935:WMM261000 WWG260935:WWI261000 Y326471:AA326536 JU326471:JW326536 TQ326471:TS326536 ADM326471:ADO326536 ANI326471:ANK326536 AXE326471:AXG326536 BHA326471:BHC326536 BQW326471:BQY326536 CAS326471:CAU326536 CKO326471:CKQ326536 CUK326471:CUM326536 DEG326471:DEI326536 DOC326471:DOE326536 DXY326471:DYA326536 EHU326471:EHW326536 ERQ326471:ERS326536 FBM326471:FBO326536 FLI326471:FLK326536 FVE326471:FVG326536 GFA326471:GFC326536 GOW326471:GOY326536 GYS326471:GYU326536 HIO326471:HIQ326536 HSK326471:HSM326536 ICG326471:ICI326536 IMC326471:IME326536 IVY326471:IWA326536 JFU326471:JFW326536 JPQ326471:JPS326536 JZM326471:JZO326536 KJI326471:KJK326536 KTE326471:KTG326536 LDA326471:LDC326536 LMW326471:LMY326536 LWS326471:LWU326536 MGO326471:MGQ326536 MQK326471:MQM326536 NAG326471:NAI326536 NKC326471:NKE326536 NTY326471:NUA326536 ODU326471:ODW326536 ONQ326471:ONS326536 OXM326471:OXO326536 PHI326471:PHK326536 PRE326471:PRG326536 QBA326471:QBC326536 QKW326471:QKY326536 QUS326471:QUU326536 REO326471:REQ326536 ROK326471:ROM326536 RYG326471:RYI326536 SIC326471:SIE326536 SRY326471:SSA326536 TBU326471:TBW326536 TLQ326471:TLS326536 TVM326471:TVO326536 UFI326471:UFK326536 UPE326471:UPG326536 UZA326471:UZC326536 VIW326471:VIY326536 VSS326471:VSU326536 WCO326471:WCQ326536 WMK326471:WMM326536 WWG326471:WWI326536 Y392007:AA392072 JU392007:JW392072 TQ392007:TS392072 ADM392007:ADO392072 ANI392007:ANK392072 AXE392007:AXG392072 BHA392007:BHC392072 BQW392007:BQY392072 CAS392007:CAU392072 CKO392007:CKQ392072 CUK392007:CUM392072 DEG392007:DEI392072 DOC392007:DOE392072 DXY392007:DYA392072 EHU392007:EHW392072 ERQ392007:ERS392072 FBM392007:FBO392072 FLI392007:FLK392072 FVE392007:FVG392072 GFA392007:GFC392072 GOW392007:GOY392072 GYS392007:GYU392072 HIO392007:HIQ392072 HSK392007:HSM392072 ICG392007:ICI392072 IMC392007:IME392072 IVY392007:IWA392072 JFU392007:JFW392072 JPQ392007:JPS392072 JZM392007:JZO392072 KJI392007:KJK392072 KTE392007:KTG392072 LDA392007:LDC392072 LMW392007:LMY392072 LWS392007:LWU392072 MGO392007:MGQ392072 MQK392007:MQM392072 NAG392007:NAI392072 NKC392007:NKE392072 NTY392007:NUA392072 ODU392007:ODW392072 ONQ392007:ONS392072 OXM392007:OXO392072 PHI392007:PHK392072 PRE392007:PRG392072 QBA392007:QBC392072 QKW392007:QKY392072 QUS392007:QUU392072 REO392007:REQ392072 ROK392007:ROM392072 RYG392007:RYI392072 SIC392007:SIE392072 SRY392007:SSA392072 TBU392007:TBW392072 TLQ392007:TLS392072 TVM392007:TVO392072 UFI392007:UFK392072 UPE392007:UPG392072 UZA392007:UZC392072 VIW392007:VIY392072 VSS392007:VSU392072 WCO392007:WCQ392072 WMK392007:WMM392072 WWG392007:WWI392072 Y457543:AA457608 JU457543:JW457608 TQ457543:TS457608 ADM457543:ADO457608 ANI457543:ANK457608 AXE457543:AXG457608 BHA457543:BHC457608 BQW457543:BQY457608 CAS457543:CAU457608 CKO457543:CKQ457608 CUK457543:CUM457608 DEG457543:DEI457608 DOC457543:DOE457608 DXY457543:DYA457608 EHU457543:EHW457608 ERQ457543:ERS457608 FBM457543:FBO457608 FLI457543:FLK457608 FVE457543:FVG457608 GFA457543:GFC457608 GOW457543:GOY457608 GYS457543:GYU457608 HIO457543:HIQ457608 HSK457543:HSM457608 ICG457543:ICI457608 IMC457543:IME457608 IVY457543:IWA457608 JFU457543:JFW457608 JPQ457543:JPS457608 JZM457543:JZO457608 KJI457543:KJK457608 KTE457543:KTG457608 LDA457543:LDC457608 LMW457543:LMY457608 LWS457543:LWU457608 MGO457543:MGQ457608 MQK457543:MQM457608 NAG457543:NAI457608 NKC457543:NKE457608 NTY457543:NUA457608 ODU457543:ODW457608 ONQ457543:ONS457608 OXM457543:OXO457608 PHI457543:PHK457608 PRE457543:PRG457608 QBA457543:QBC457608 QKW457543:QKY457608 QUS457543:QUU457608 REO457543:REQ457608 ROK457543:ROM457608 RYG457543:RYI457608 SIC457543:SIE457608 SRY457543:SSA457608 TBU457543:TBW457608 TLQ457543:TLS457608 TVM457543:TVO457608 UFI457543:UFK457608 UPE457543:UPG457608 UZA457543:UZC457608 VIW457543:VIY457608 VSS457543:VSU457608 WCO457543:WCQ457608 WMK457543:WMM457608 WWG457543:WWI457608 Y523079:AA523144 JU523079:JW523144 TQ523079:TS523144 ADM523079:ADO523144 ANI523079:ANK523144 AXE523079:AXG523144 BHA523079:BHC523144 BQW523079:BQY523144 CAS523079:CAU523144 CKO523079:CKQ523144 CUK523079:CUM523144 DEG523079:DEI523144 DOC523079:DOE523144 DXY523079:DYA523144 EHU523079:EHW523144 ERQ523079:ERS523144 FBM523079:FBO523144 FLI523079:FLK523144 FVE523079:FVG523144 GFA523079:GFC523144 GOW523079:GOY523144 GYS523079:GYU523144 HIO523079:HIQ523144 HSK523079:HSM523144 ICG523079:ICI523144 IMC523079:IME523144 IVY523079:IWA523144 JFU523079:JFW523144 JPQ523079:JPS523144 JZM523079:JZO523144 KJI523079:KJK523144 KTE523079:KTG523144 LDA523079:LDC523144 LMW523079:LMY523144 LWS523079:LWU523144 MGO523079:MGQ523144 MQK523079:MQM523144 NAG523079:NAI523144 NKC523079:NKE523144 NTY523079:NUA523144 ODU523079:ODW523144 ONQ523079:ONS523144 OXM523079:OXO523144 PHI523079:PHK523144 PRE523079:PRG523144 QBA523079:QBC523144 QKW523079:QKY523144 QUS523079:QUU523144 REO523079:REQ523144 ROK523079:ROM523144 RYG523079:RYI523144 SIC523079:SIE523144 SRY523079:SSA523144 TBU523079:TBW523144 TLQ523079:TLS523144 TVM523079:TVO523144 UFI523079:UFK523144 UPE523079:UPG523144 UZA523079:UZC523144 VIW523079:VIY523144 VSS523079:VSU523144 WCO523079:WCQ523144 WMK523079:WMM523144 WWG523079:WWI523144 Y588615:AA588680 JU588615:JW588680 TQ588615:TS588680 ADM588615:ADO588680 ANI588615:ANK588680 AXE588615:AXG588680 BHA588615:BHC588680 BQW588615:BQY588680 CAS588615:CAU588680 CKO588615:CKQ588680 CUK588615:CUM588680 DEG588615:DEI588680 DOC588615:DOE588680 DXY588615:DYA588680 EHU588615:EHW588680 ERQ588615:ERS588680 FBM588615:FBO588680 FLI588615:FLK588680 FVE588615:FVG588680 GFA588615:GFC588680 GOW588615:GOY588680 GYS588615:GYU588680 HIO588615:HIQ588680 HSK588615:HSM588680 ICG588615:ICI588680 IMC588615:IME588680 IVY588615:IWA588680 JFU588615:JFW588680 JPQ588615:JPS588680 JZM588615:JZO588680 KJI588615:KJK588680 KTE588615:KTG588680 LDA588615:LDC588680 LMW588615:LMY588680 LWS588615:LWU588680 MGO588615:MGQ588680 MQK588615:MQM588680 NAG588615:NAI588680 NKC588615:NKE588680 NTY588615:NUA588680 ODU588615:ODW588680 ONQ588615:ONS588680 OXM588615:OXO588680 PHI588615:PHK588680 PRE588615:PRG588680 QBA588615:QBC588680 QKW588615:QKY588680 QUS588615:QUU588680 REO588615:REQ588680 ROK588615:ROM588680 RYG588615:RYI588680 SIC588615:SIE588680 SRY588615:SSA588680 TBU588615:TBW588680 TLQ588615:TLS588680 TVM588615:TVO588680 UFI588615:UFK588680 UPE588615:UPG588680 UZA588615:UZC588680 VIW588615:VIY588680 VSS588615:VSU588680 WCO588615:WCQ588680 WMK588615:WMM588680 WWG588615:WWI588680 Y654151:AA654216 JU654151:JW654216 TQ654151:TS654216 ADM654151:ADO654216 ANI654151:ANK654216 AXE654151:AXG654216 BHA654151:BHC654216 BQW654151:BQY654216 CAS654151:CAU654216 CKO654151:CKQ654216 CUK654151:CUM654216 DEG654151:DEI654216 DOC654151:DOE654216 DXY654151:DYA654216 EHU654151:EHW654216 ERQ654151:ERS654216 FBM654151:FBO654216 FLI654151:FLK654216 FVE654151:FVG654216 GFA654151:GFC654216 GOW654151:GOY654216 GYS654151:GYU654216 HIO654151:HIQ654216 HSK654151:HSM654216 ICG654151:ICI654216 IMC654151:IME654216 IVY654151:IWA654216 JFU654151:JFW654216 JPQ654151:JPS654216 JZM654151:JZO654216 KJI654151:KJK654216 KTE654151:KTG654216 LDA654151:LDC654216 LMW654151:LMY654216 LWS654151:LWU654216 MGO654151:MGQ654216 MQK654151:MQM654216 NAG654151:NAI654216 NKC654151:NKE654216 NTY654151:NUA654216 ODU654151:ODW654216 ONQ654151:ONS654216 OXM654151:OXO654216 PHI654151:PHK654216 PRE654151:PRG654216 QBA654151:QBC654216 QKW654151:QKY654216 QUS654151:QUU654216 REO654151:REQ654216 ROK654151:ROM654216 RYG654151:RYI654216 SIC654151:SIE654216 SRY654151:SSA654216 TBU654151:TBW654216 TLQ654151:TLS654216 TVM654151:TVO654216 UFI654151:UFK654216 UPE654151:UPG654216 UZA654151:UZC654216 VIW654151:VIY654216 VSS654151:VSU654216 WCO654151:WCQ654216 WMK654151:WMM654216 WWG654151:WWI654216 Y719687:AA719752 JU719687:JW719752 TQ719687:TS719752 ADM719687:ADO719752 ANI719687:ANK719752 AXE719687:AXG719752 BHA719687:BHC719752 BQW719687:BQY719752 CAS719687:CAU719752 CKO719687:CKQ719752 CUK719687:CUM719752 DEG719687:DEI719752 DOC719687:DOE719752 DXY719687:DYA719752 EHU719687:EHW719752 ERQ719687:ERS719752 FBM719687:FBO719752 FLI719687:FLK719752 FVE719687:FVG719752 GFA719687:GFC719752 GOW719687:GOY719752 GYS719687:GYU719752 HIO719687:HIQ719752 HSK719687:HSM719752 ICG719687:ICI719752 IMC719687:IME719752 IVY719687:IWA719752 JFU719687:JFW719752 JPQ719687:JPS719752 JZM719687:JZO719752 KJI719687:KJK719752 KTE719687:KTG719752 LDA719687:LDC719752 LMW719687:LMY719752 LWS719687:LWU719752 MGO719687:MGQ719752 MQK719687:MQM719752 NAG719687:NAI719752 NKC719687:NKE719752 NTY719687:NUA719752 ODU719687:ODW719752 ONQ719687:ONS719752 OXM719687:OXO719752 PHI719687:PHK719752 PRE719687:PRG719752 QBA719687:QBC719752 QKW719687:QKY719752 QUS719687:QUU719752 REO719687:REQ719752 ROK719687:ROM719752 RYG719687:RYI719752 SIC719687:SIE719752 SRY719687:SSA719752 TBU719687:TBW719752 TLQ719687:TLS719752 TVM719687:TVO719752 UFI719687:UFK719752 UPE719687:UPG719752 UZA719687:UZC719752 VIW719687:VIY719752 VSS719687:VSU719752 WCO719687:WCQ719752 WMK719687:WMM719752 WWG719687:WWI719752 Y785223:AA785288 JU785223:JW785288 TQ785223:TS785288 ADM785223:ADO785288 ANI785223:ANK785288 AXE785223:AXG785288 BHA785223:BHC785288 BQW785223:BQY785288 CAS785223:CAU785288 CKO785223:CKQ785288 CUK785223:CUM785288 DEG785223:DEI785288 DOC785223:DOE785288 DXY785223:DYA785288 EHU785223:EHW785288 ERQ785223:ERS785288 FBM785223:FBO785288 FLI785223:FLK785288 FVE785223:FVG785288 GFA785223:GFC785288 GOW785223:GOY785288 GYS785223:GYU785288 HIO785223:HIQ785288 HSK785223:HSM785288 ICG785223:ICI785288 IMC785223:IME785288 IVY785223:IWA785288 JFU785223:JFW785288 JPQ785223:JPS785288 JZM785223:JZO785288 KJI785223:KJK785288 KTE785223:KTG785288 LDA785223:LDC785288 LMW785223:LMY785288 LWS785223:LWU785288 MGO785223:MGQ785288 MQK785223:MQM785288 NAG785223:NAI785288 NKC785223:NKE785288 NTY785223:NUA785288 ODU785223:ODW785288 ONQ785223:ONS785288 OXM785223:OXO785288 PHI785223:PHK785288 PRE785223:PRG785288 QBA785223:QBC785288 QKW785223:QKY785288 QUS785223:QUU785288 REO785223:REQ785288 ROK785223:ROM785288 RYG785223:RYI785288 SIC785223:SIE785288 SRY785223:SSA785288 TBU785223:TBW785288 TLQ785223:TLS785288 TVM785223:TVO785288 UFI785223:UFK785288 UPE785223:UPG785288 UZA785223:UZC785288 VIW785223:VIY785288 VSS785223:VSU785288 WCO785223:WCQ785288 WMK785223:WMM785288 WWG785223:WWI785288 Y850759:AA850824 JU850759:JW850824 TQ850759:TS850824 ADM850759:ADO850824 ANI850759:ANK850824 AXE850759:AXG850824 BHA850759:BHC850824 BQW850759:BQY850824 CAS850759:CAU850824 CKO850759:CKQ850824 CUK850759:CUM850824 DEG850759:DEI850824 DOC850759:DOE850824 DXY850759:DYA850824 EHU850759:EHW850824 ERQ850759:ERS850824 FBM850759:FBO850824 FLI850759:FLK850824 FVE850759:FVG850824 GFA850759:GFC850824 GOW850759:GOY850824 GYS850759:GYU850824 HIO850759:HIQ850824 HSK850759:HSM850824 ICG850759:ICI850824 IMC850759:IME850824 IVY850759:IWA850824 JFU850759:JFW850824 JPQ850759:JPS850824 JZM850759:JZO850824 KJI850759:KJK850824 KTE850759:KTG850824 LDA850759:LDC850824 LMW850759:LMY850824 LWS850759:LWU850824 MGO850759:MGQ850824 MQK850759:MQM850824 NAG850759:NAI850824 NKC850759:NKE850824 NTY850759:NUA850824 ODU850759:ODW850824 ONQ850759:ONS850824 OXM850759:OXO850824 PHI850759:PHK850824 PRE850759:PRG850824 QBA850759:QBC850824 QKW850759:QKY850824 QUS850759:QUU850824 REO850759:REQ850824 ROK850759:ROM850824 RYG850759:RYI850824 SIC850759:SIE850824 SRY850759:SSA850824 TBU850759:TBW850824 TLQ850759:TLS850824 TVM850759:TVO850824 UFI850759:UFK850824 UPE850759:UPG850824 UZA850759:UZC850824 VIW850759:VIY850824 VSS850759:VSU850824 WCO850759:WCQ850824 WMK850759:WMM850824 WWG850759:WWI850824 Y916295:AA916360 JU916295:JW916360 TQ916295:TS916360 ADM916295:ADO916360 ANI916295:ANK916360 AXE916295:AXG916360 BHA916295:BHC916360 BQW916295:BQY916360 CAS916295:CAU916360 CKO916295:CKQ916360 CUK916295:CUM916360 DEG916295:DEI916360 DOC916295:DOE916360 DXY916295:DYA916360 EHU916295:EHW916360 ERQ916295:ERS916360 FBM916295:FBO916360 FLI916295:FLK916360 FVE916295:FVG916360 GFA916295:GFC916360 GOW916295:GOY916360 GYS916295:GYU916360 HIO916295:HIQ916360 HSK916295:HSM916360 ICG916295:ICI916360 IMC916295:IME916360 IVY916295:IWA916360 JFU916295:JFW916360 JPQ916295:JPS916360 JZM916295:JZO916360 KJI916295:KJK916360 KTE916295:KTG916360 LDA916295:LDC916360 LMW916295:LMY916360 LWS916295:LWU916360 MGO916295:MGQ916360 MQK916295:MQM916360 NAG916295:NAI916360 NKC916295:NKE916360 NTY916295:NUA916360 ODU916295:ODW916360 ONQ916295:ONS916360 OXM916295:OXO916360 PHI916295:PHK916360 PRE916295:PRG916360 QBA916295:QBC916360 QKW916295:QKY916360 QUS916295:QUU916360 REO916295:REQ916360 ROK916295:ROM916360 RYG916295:RYI916360 SIC916295:SIE916360 SRY916295:SSA916360 TBU916295:TBW916360 TLQ916295:TLS916360 TVM916295:TVO916360 UFI916295:UFK916360 UPE916295:UPG916360 UZA916295:UZC916360 VIW916295:VIY916360 VSS916295:VSU916360 WCO916295:WCQ916360 WMK916295:WMM916360 WWG916295:WWI916360 Y981831:AA981896 JU981831:JW981896 TQ981831:TS981896 ADM981831:ADO981896 ANI981831:ANK981896 AXE981831:AXG981896 BHA981831:BHC981896 BQW981831:BQY981896 CAS981831:CAU981896 CKO981831:CKQ981896 CUK981831:CUM981896 DEG981831:DEI981896 DOC981831:DOE981896 DXY981831:DYA981896 EHU981831:EHW981896 ERQ981831:ERS981896 FBM981831:FBO981896 FLI981831:FLK981896 FVE981831:FVG981896 GFA981831:GFC981896 GOW981831:GOY981896 GYS981831:GYU981896 HIO981831:HIQ981896 HSK981831:HSM981896 ICG981831:ICI981896 IMC981831:IME981896 IVY981831:IWA981896 JFU981831:JFW981896 JPQ981831:JPS981896 JZM981831:JZO981896 KJI981831:KJK981896 KTE981831:KTG981896 LDA981831:LDC981896 LMW981831:LMY981896 LWS981831:LWU981896 MGO981831:MGQ981896 MQK981831:MQM981896 NAG981831:NAI981896 NKC981831:NKE981896 NTY981831:NUA981896 ODU981831:ODW981896 ONQ981831:ONS981896 OXM981831:OXO981896 PHI981831:PHK981896 PRE981831:PRG981896 QBA981831:QBC981896 QKW981831:QKY981896 QUS981831:QUU981896 REO981831:REQ981896 ROK981831:ROM981896 RYG981831:RYI981896 SIC981831:SIE981896 SRY981831:SSA981896 TBU981831:TBW981896 TLQ981831:TLS981896 TVM981831:TVO981896 UFI981831:UFK981896 UPE981831:UPG981896 UZA981831:UZC981896 VIW981831:VIY981896 VSS981831:VSU981896 WCO981831:WCQ981896 WMK981831:WMM981896 WWG981831:WWI981896 Y1047367:AA1047432 JU1047367:JW1047432 TQ1047367:TS1047432 ADM1047367:ADO1047432 ANI1047367:ANK1047432 AXE1047367:AXG1047432 BHA1047367:BHC1047432 BQW1047367:BQY1047432 CAS1047367:CAU1047432 CKO1047367:CKQ1047432 CUK1047367:CUM1047432 DEG1047367:DEI1047432 DOC1047367:DOE1047432 DXY1047367:DYA1047432 EHU1047367:EHW1047432 ERQ1047367:ERS1047432 FBM1047367:FBO1047432 FLI1047367:FLK1047432 FVE1047367:FVG1047432 GFA1047367:GFC1047432 GOW1047367:GOY1047432 GYS1047367:GYU1047432 HIO1047367:HIQ1047432 HSK1047367:HSM1047432 ICG1047367:ICI1047432 IMC1047367:IME1047432 IVY1047367:IWA1047432 JFU1047367:JFW1047432 JPQ1047367:JPS1047432 JZM1047367:JZO1047432 KJI1047367:KJK1047432 KTE1047367:KTG1047432 LDA1047367:LDC1047432 LMW1047367:LMY1047432 LWS1047367:LWU1047432 MGO1047367:MGQ1047432 MQK1047367:MQM1047432 NAG1047367:NAI1047432 NKC1047367:NKE1047432 NTY1047367:NUA1047432 ODU1047367:ODW1047432 ONQ1047367:ONS1047432 OXM1047367:OXO1047432 PHI1047367:PHK1047432 PRE1047367:PRG1047432 QBA1047367:QBC1047432 QKW1047367:QKY1047432 QUS1047367:QUU1047432 REO1047367:REQ1047432 ROK1047367:ROM1047432 RYG1047367:RYI1047432 SIC1047367:SIE1047432 SRY1047367:SSA1047432 TBU1047367:TBW1047432 TLQ1047367:TLS1047432 TVM1047367:TVO1047432 UFI1047367:UFK1047432 UPE1047367:UPG1047432 UZA1047367:UZC1047432 VIW1047367:VIY1047432 VSS1047367:VSU1047432 WCO1047367:WCQ1047432 WMK1047367:WMM1047432 WWG1047367:WWI1047432 WWG983006:WWI983071 Y65502:AA65567 JU65502:JW65567 TQ65502:TS65567 ADM65502:ADO65567 ANI65502:ANK65567 AXE65502:AXG65567 BHA65502:BHC65567 BQW65502:BQY65567 CAS65502:CAU65567 CKO65502:CKQ65567 CUK65502:CUM65567 DEG65502:DEI65567 DOC65502:DOE65567 DXY65502:DYA65567 EHU65502:EHW65567 ERQ65502:ERS65567 FBM65502:FBO65567 FLI65502:FLK65567 FVE65502:FVG65567 GFA65502:GFC65567 GOW65502:GOY65567 GYS65502:GYU65567 HIO65502:HIQ65567 HSK65502:HSM65567 ICG65502:ICI65567 IMC65502:IME65567 IVY65502:IWA65567 JFU65502:JFW65567 JPQ65502:JPS65567 JZM65502:JZO65567 KJI65502:KJK65567 KTE65502:KTG65567 LDA65502:LDC65567 LMW65502:LMY65567 LWS65502:LWU65567 MGO65502:MGQ65567 MQK65502:MQM65567 NAG65502:NAI65567 NKC65502:NKE65567 NTY65502:NUA65567 ODU65502:ODW65567 ONQ65502:ONS65567 OXM65502:OXO65567 PHI65502:PHK65567 PRE65502:PRG65567 QBA65502:QBC65567 QKW65502:QKY65567 QUS65502:QUU65567 REO65502:REQ65567 ROK65502:ROM65567 RYG65502:RYI65567 SIC65502:SIE65567 SRY65502:SSA65567 TBU65502:TBW65567 TLQ65502:TLS65567 TVM65502:TVO65567 UFI65502:UFK65567 UPE65502:UPG65567 UZA65502:UZC65567 VIW65502:VIY65567 VSS65502:VSU65567 WCO65502:WCQ65567 WMK65502:WMM65567 WWG65502:WWI65567 Y131038:AA131103 JU131038:JW131103 TQ131038:TS131103 ADM131038:ADO131103 ANI131038:ANK131103 AXE131038:AXG131103 BHA131038:BHC131103 BQW131038:BQY131103 CAS131038:CAU131103 CKO131038:CKQ131103 CUK131038:CUM131103 DEG131038:DEI131103 DOC131038:DOE131103 DXY131038:DYA131103 EHU131038:EHW131103 ERQ131038:ERS131103 FBM131038:FBO131103 FLI131038:FLK131103 FVE131038:FVG131103 GFA131038:GFC131103 GOW131038:GOY131103 GYS131038:GYU131103 HIO131038:HIQ131103 HSK131038:HSM131103 ICG131038:ICI131103 IMC131038:IME131103 IVY131038:IWA131103 JFU131038:JFW131103 JPQ131038:JPS131103 JZM131038:JZO131103 KJI131038:KJK131103 KTE131038:KTG131103 LDA131038:LDC131103 LMW131038:LMY131103 LWS131038:LWU131103 MGO131038:MGQ131103 MQK131038:MQM131103 NAG131038:NAI131103 NKC131038:NKE131103 NTY131038:NUA131103 ODU131038:ODW131103 ONQ131038:ONS131103 OXM131038:OXO131103 PHI131038:PHK131103 PRE131038:PRG131103 QBA131038:QBC131103 QKW131038:QKY131103 QUS131038:QUU131103 REO131038:REQ131103 ROK131038:ROM131103 RYG131038:RYI131103 SIC131038:SIE131103 SRY131038:SSA131103 TBU131038:TBW131103 TLQ131038:TLS131103 TVM131038:TVO131103 UFI131038:UFK131103 UPE131038:UPG131103 UZA131038:UZC131103 VIW131038:VIY131103 VSS131038:VSU131103 WCO131038:WCQ131103 WMK131038:WMM131103 WWG131038:WWI131103 Y196574:AA196639 JU196574:JW196639 TQ196574:TS196639 ADM196574:ADO196639 ANI196574:ANK196639 AXE196574:AXG196639 BHA196574:BHC196639 BQW196574:BQY196639 CAS196574:CAU196639 CKO196574:CKQ196639 CUK196574:CUM196639 DEG196574:DEI196639 DOC196574:DOE196639 DXY196574:DYA196639 EHU196574:EHW196639 ERQ196574:ERS196639 FBM196574:FBO196639 FLI196574:FLK196639 FVE196574:FVG196639 GFA196574:GFC196639 GOW196574:GOY196639 GYS196574:GYU196639 HIO196574:HIQ196639 HSK196574:HSM196639 ICG196574:ICI196639 IMC196574:IME196639 IVY196574:IWA196639 JFU196574:JFW196639 JPQ196574:JPS196639 JZM196574:JZO196639 KJI196574:KJK196639 KTE196574:KTG196639 LDA196574:LDC196639 LMW196574:LMY196639 LWS196574:LWU196639 MGO196574:MGQ196639 MQK196574:MQM196639 NAG196574:NAI196639 NKC196574:NKE196639 NTY196574:NUA196639 ODU196574:ODW196639 ONQ196574:ONS196639 OXM196574:OXO196639 PHI196574:PHK196639 PRE196574:PRG196639 QBA196574:QBC196639 QKW196574:QKY196639 QUS196574:QUU196639 REO196574:REQ196639 ROK196574:ROM196639 RYG196574:RYI196639 SIC196574:SIE196639 SRY196574:SSA196639 TBU196574:TBW196639 TLQ196574:TLS196639 TVM196574:TVO196639 UFI196574:UFK196639 UPE196574:UPG196639 UZA196574:UZC196639 VIW196574:VIY196639 VSS196574:VSU196639 WCO196574:WCQ196639 WMK196574:WMM196639 WWG196574:WWI196639 Y262110:AA262175 JU262110:JW262175 TQ262110:TS262175 ADM262110:ADO262175 ANI262110:ANK262175 AXE262110:AXG262175 BHA262110:BHC262175 BQW262110:BQY262175 CAS262110:CAU262175 CKO262110:CKQ262175 CUK262110:CUM262175 DEG262110:DEI262175 DOC262110:DOE262175 DXY262110:DYA262175 EHU262110:EHW262175 ERQ262110:ERS262175 FBM262110:FBO262175 FLI262110:FLK262175 FVE262110:FVG262175 GFA262110:GFC262175 GOW262110:GOY262175 GYS262110:GYU262175 HIO262110:HIQ262175 HSK262110:HSM262175 ICG262110:ICI262175 IMC262110:IME262175 IVY262110:IWA262175 JFU262110:JFW262175 JPQ262110:JPS262175 JZM262110:JZO262175 KJI262110:KJK262175 KTE262110:KTG262175 LDA262110:LDC262175 LMW262110:LMY262175 LWS262110:LWU262175 MGO262110:MGQ262175 MQK262110:MQM262175 NAG262110:NAI262175 NKC262110:NKE262175 NTY262110:NUA262175 ODU262110:ODW262175 ONQ262110:ONS262175 OXM262110:OXO262175 PHI262110:PHK262175 PRE262110:PRG262175 QBA262110:QBC262175 QKW262110:QKY262175 QUS262110:QUU262175 REO262110:REQ262175 ROK262110:ROM262175 RYG262110:RYI262175 SIC262110:SIE262175 SRY262110:SSA262175 TBU262110:TBW262175 TLQ262110:TLS262175 TVM262110:TVO262175 UFI262110:UFK262175 UPE262110:UPG262175 UZA262110:UZC262175 VIW262110:VIY262175 VSS262110:VSU262175 WCO262110:WCQ262175 WMK262110:WMM262175 WWG262110:WWI262175 Y327646:AA327711 JU327646:JW327711 TQ327646:TS327711 ADM327646:ADO327711 ANI327646:ANK327711 AXE327646:AXG327711 BHA327646:BHC327711 BQW327646:BQY327711 CAS327646:CAU327711 CKO327646:CKQ327711 CUK327646:CUM327711 DEG327646:DEI327711 DOC327646:DOE327711 DXY327646:DYA327711 EHU327646:EHW327711 ERQ327646:ERS327711 FBM327646:FBO327711 FLI327646:FLK327711 FVE327646:FVG327711 GFA327646:GFC327711 GOW327646:GOY327711 GYS327646:GYU327711 HIO327646:HIQ327711 HSK327646:HSM327711 ICG327646:ICI327711 IMC327646:IME327711 IVY327646:IWA327711 JFU327646:JFW327711 JPQ327646:JPS327711 JZM327646:JZO327711 KJI327646:KJK327711 KTE327646:KTG327711 LDA327646:LDC327711 LMW327646:LMY327711 LWS327646:LWU327711 MGO327646:MGQ327711 MQK327646:MQM327711 NAG327646:NAI327711 NKC327646:NKE327711 NTY327646:NUA327711 ODU327646:ODW327711 ONQ327646:ONS327711 OXM327646:OXO327711 PHI327646:PHK327711 PRE327646:PRG327711 QBA327646:QBC327711 QKW327646:QKY327711 QUS327646:QUU327711 REO327646:REQ327711 ROK327646:ROM327711 RYG327646:RYI327711 SIC327646:SIE327711 SRY327646:SSA327711 TBU327646:TBW327711 TLQ327646:TLS327711 TVM327646:TVO327711 UFI327646:UFK327711 UPE327646:UPG327711 UZA327646:UZC327711 VIW327646:VIY327711 VSS327646:VSU327711 WCO327646:WCQ327711 WMK327646:WMM327711 WWG327646:WWI327711 Y393182:AA393247 JU393182:JW393247 TQ393182:TS393247 ADM393182:ADO393247 ANI393182:ANK393247 AXE393182:AXG393247 BHA393182:BHC393247 BQW393182:BQY393247 CAS393182:CAU393247 CKO393182:CKQ393247 CUK393182:CUM393247 DEG393182:DEI393247 DOC393182:DOE393247 DXY393182:DYA393247 EHU393182:EHW393247 ERQ393182:ERS393247 FBM393182:FBO393247 FLI393182:FLK393247 FVE393182:FVG393247 GFA393182:GFC393247 GOW393182:GOY393247 GYS393182:GYU393247 HIO393182:HIQ393247 HSK393182:HSM393247 ICG393182:ICI393247 IMC393182:IME393247 IVY393182:IWA393247 JFU393182:JFW393247 JPQ393182:JPS393247 JZM393182:JZO393247 KJI393182:KJK393247 KTE393182:KTG393247 LDA393182:LDC393247 LMW393182:LMY393247 LWS393182:LWU393247 MGO393182:MGQ393247 MQK393182:MQM393247 NAG393182:NAI393247 NKC393182:NKE393247 NTY393182:NUA393247 ODU393182:ODW393247 ONQ393182:ONS393247 OXM393182:OXO393247 PHI393182:PHK393247 PRE393182:PRG393247 QBA393182:QBC393247 QKW393182:QKY393247 QUS393182:QUU393247 REO393182:REQ393247 ROK393182:ROM393247 RYG393182:RYI393247 SIC393182:SIE393247 SRY393182:SSA393247 TBU393182:TBW393247 TLQ393182:TLS393247 TVM393182:TVO393247 UFI393182:UFK393247 UPE393182:UPG393247 UZA393182:UZC393247 VIW393182:VIY393247 VSS393182:VSU393247 WCO393182:WCQ393247 WMK393182:WMM393247 WWG393182:WWI393247 Y458718:AA458783 JU458718:JW458783 TQ458718:TS458783 ADM458718:ADO458783 ANI458718:ANK458783 AXE458718:AXG458783 BHA458718:BHC458783 BQW458718:BQY458783 CAS458718:CAU458783 CKO458718:CKQ458783 CUK458718:CUM458783 DEG458718:DEI458783 DOC458718:DOE458783 DXY458718:DYA458783 EHU458718:EHW458783 ERQ458718:ERS458783 FBM458718:FBO458783 FLI458718:FLK458783 FVE458718:FVG458783 GFA458718:GFC458783 GOW458718:GOY458783 GYS458718:GYU458783 HIO458718:HIQ458783 HSK458718:HSM458783 ICG458718:ICI458783 IMC458718:IME458783 IVY458718:IWA458783 JFU458718:JFW458783 JPQ458718:JPS458783 JZM458718:JZO458783 KJI458718:KJK458783 KTE458718:KTG458783 LDA458718:LDC458783 LMW458718:LMY458783 LWS458718:LWU458783 MGO458718:MGQ458783 MQK458718:MQM458783 NAG458718:NAI458783 NKC458718:NKE458783 NTY458718:NUA458783 ODU458718:ODW458783 ONQ458718:ONS458783 OXM458718:OXO458783 PHI458718:PHK458783 PRE458718:PRG458783 QBA458718:QBC458783 QKW458718:QKY458783 QUS458718:QUU458783 REO458718:REQ458783 ROK458718:ROM458783 RYG458718:RYI458783 SIC458718:SIE458783 SRY458718:SSA458783 TBU458718:TBW458783 TLQ458718:TLS458783 TVM458718:TVO458783 UFI458718:UFK458783 UPE458718:UPG458783 UZA458718:UZC458783 VIW458718:VIY458783 VSS458718:VSU458783 WCO458718:WCQ458783 WMK458718:WMM458783 WWG458718:WWI458783 Y524254:AA524319 JU524254:JW524319 TQ524254:TS524319 ADM524254:ADO524319 ANI524254:ANK524319 AXE524254:AXG524319 BHA524254:BHC524319 BQW524254:BQY524319 CAS524254:CAU524319 CKO524254:CKQ524319 CUK524254:CUM524319 DEG524254:DEI524319 DOC524254:DOE524319 DXY524254:DYA524319 EHU524254:EHW524319 ERQ524254:ERS524319 FBM524254:FBO524319 FLI524254:FLK524319 FVE524254:FVG524319 GFA524254:GFC524319 GOW524254:GOY524319 GYS524254:GYU524319 HIO524254:HIQ524319 HSK524254:HSM524319 ICG524254:ICI524319 IMC524254:IME524319 IVY524254:IWA524319 JFU524254:JFW524319 JPQ524254:JPS524319 JZM524254:JZO524319 KJI524254:KJK524319 KTE524254:KTG524319 LDA524254:LDC524319 LMW524254:LMY524319 LWS524254:LWU524319 MGO524254:MGQ524319 MQK524254:MQM524319 NAG524254:NAI524319 NKC524254:NKE524319 NTY524254:NUA524319 ODU524254:ODW524319 ONQ524254:ONS524319 OXM524254:OXO524319 PHI524254:PHK524319 PRE524254:PRG524319 QBA524254:QBC524319 QKW524254:QKY524319 QUS524254:QUU524319 REO524254:REQ524319 ROK524254:ROM524319 RYG524254:RYI524319 SIC524254:SIE524319 SRY524254:SSA524319 TBU524254:TBW524319 TLQ524254:TLS524319 TVM524254:TVO524319 UFI524254:UFK524319 UPE524254:UPG524319 UZA524254:UZC524319 VIW524254:VIY524319 VSS524254:VSU524319 WCO524254:WCQ524319 WMK524254:WMM524319 WWG524254:WWI524319 Y589790:AA589855 JU589790:JW589855 TQ589790:TS589855 ADM589790:ADO589855 ANI589790:ANK589855 AXE589790:AXG589855 BHA589790:BHC589855 BQW589790:BQY589855 CAS589790:CAU589855 CKO589790:CKQ589855 CUK589790:CUM589855 DEG589790:DEI589855 DOC589790:DOE589855 DXY589790:DYA589855 EHU589790:EHW589855 ERQ589790:ERS589855 FBM589790:FBO589855 FLI589790:FLK589855 FVE589790:FVG589855 GFA589790:GFC589855 GOW589790:GOY589855 GYS589790:GYU589855 HIO589790:HIQ589855 HSK589790:HSM589855 ICG589790:ICI589855 IMC589790:IME589855 IVY589790:IWA589855 JFU589790:JFW589855 JPQ589790:JPS589855 JZM589790:JZO589855 KJI589790:KJK589855 KTE589790:KTG589855 LDA589790:LDC589855 LMW589790:LMY589855 LWS589790:LWU589855 MGO589790:MGQ589855 MQK589790:MQM589855 NAG589790:NAI589855 NKC589790:NKE589855 NTY589790:NUA589855 ODU589790:ODW589855 ONQ589790:ONS589855 OXM589790:OXO589855 PHI589790:PHK589855 PRE589790:PRG589855 QBA589790:QBC589855 QKW589790:QKY589855 QUS589790:QUU589855 REO589790:REQ589855 ROK589790:ROM589855 RYG589790:RYI589855 SIC589790:SIE589855 SRY589790:SSA589855 TBU589790:TBW589855 TLQ589790:TLS589855 TVM589790:TVO589855 UFI589790:UFK589855 UPE589790:UPG589855 UZA589790:UZC589855 VIW589790:VIY589855 VSS589790:VSU589855 WCO589790:WCQ589855 WMK589790:WMM589855 WWG589790:WWI589855 Y655326:AA655391 JU655326:JW655391 TQ655326:TS655391 ADM655326:ADO655391 ANI655326:ANK655391 AXE655326:AXG655391 BHA655326:BHC655391 BQW655326:BQY655391 CAS655326:CAU655391 CKO655326:CKQ655391 CUK655326:CUM655391 DEG655326:DEI655391 DOC655326:DOE655391 DXY655326:DYA655391 EHU655326:EHW655391 ERQ655326:ERS655391 FBM655326:FBO655391 FLI655326:FLK655391 FVE655326:FVG655391 GFA655326:GFC655391 GOW655326:GOY655391 GYS655326:GYU655391 HIO655326:HIQ655391 HSK655326:HSM655391 ICG655326:ICI655391 IMC655326:IME655391 IVY655326:IWA655391 JFU655326:JFW655391 JPQ655326:JPS655391 JZM655326:JZO655391 KJI655326:KJK655391 KTE655326:KTG655391 LDA655326:LDC655391 LMW655326:LMY655391 LWS655326:LWU655391 MGO655326:MGQ655391 MQK655326:MQM655391 NAG655326:NAI655391 NKC655326:NKE655391 NTY655326:NUA655391 ODU655326:ODW655391 ONQ655326:ONS655391 OXM655326:OXO655391 PHI655326:PHK655391 PRE655326:PRG655391 QBA655326:QBC655391 QKW655326:QKY655391 QUS655326:QUU655391 REO655326:REQ655391 ROK655326:ROM655391 RYG655326:RYI655391 SIC655326:SIE655391 SRY655326:SSA655391 TBU655326:TBW655391 TLQ655326:TLS655391 TVM655326:TVO655391 UFI655326:UFK655391 UPE655326:UPG655391 UZA655326:UZC655391 VIW655326:VIY655391 VSS655326:VSU655391 WCO655326:WCQ655391 WMK655326:WMM655391 WWG655326:WWI655391 Y720862:AA720927 JU720862:JW720927 TQ720862:TS720927 ADM720862:ADO720927 ANI720862:ANK720927 AXE720862:AXG720927 BHA720862:BHC720927 BQW720862:BQY720927 CAS720862:CAU720927 CKO720862:CKQ720927 CUK720862:CUM720927 DEG720862:DEI720927 DOC720862:DOE720927 DXY720862:DYA720927 EHU720862:EHW720927 ERQ720862:ERS720927 FBM720862:FBO720927 FLI720862:FLK720927 FVE720862:FVG720927 GFA720862:GFC720927 GOW720862:GOY720927 GYS720862:GYU720927 HIO720862:HIQ720927 HSK720862:HSM720927 ICG720862:ICI720927 IMC720862:IME720927 IVY720862:IWA720927 JFU720862:JFW720927 JPQ720862:JPS720927 JZM720862:JZO720927 KJI720862:KJK720927 KTE720862:KTG720927 LDA720862:LDC720927 LMW720862:LMY720927 LWS720862:LWU720927 MGO720862:MGQ720927 MQK720862:MQM720927 NAG720862:NAI720927 NKC720862:NKE720927 NTY720862:NUA720927 ODU720862:ODW720927 ONQ720862:ONS720927 OXM720862:OXO720927 PHI720862:PHK720927 PRE720862:PRG720927 QBA720862:QBC720927 QKW720862:QKY720927 QUS720862:QUU720927 REO720862:REQ720927 ROK720862:ROM720927 RYG720862:RYI720927 SIC720862:SIE720927 SRY720862:SSA720927 TBU720862:TBW720927 TLQ720862:TLS720927 TVM720862:TVO720927 UFI720862:UFK720927 UPE720862:UPG720927 UZA720862:UZC720927 VIW720862:VIY720927 VSS720862:VSU720927 WCO720862:WCQ720927 WMK720862:WMM720927 WWG720862:WWI720927 Y786398:AA786463 JU786398:JW786463 TQ786398:TS786463 ADM786398:ADO786463 ANI786398:ANK786463 AXE786398:AXG786463 BHA786398:BHC786463 BQW786398:BQY786463 CAS786398:CAU786463 CKO786398:CKQ786463 CUK786398:CUM786463 DEG786398:DEI786463 DOC786398:DOE786463 DXY786398:DYA786463 EHU786398:EHW786463 ERQ786398:ERS786463 FBM786398:FBO786463 FLI786398:FLK786463 FVE786398:FVG786463 GFA786398:GFC786463 GOW786398:GOY786463 GYS786398:GYU786463 HIO786398:HIQ786463 HSK786398:HSM786463 ICG786398:ICI786463 IMC786398:IME786463 IVY786398:IWA786463 JFU786398:JFW786463 JPQ786398:JPS786463 JZM786398:JZO786463 KJI786398:KJK786463 KTE786398:KTG786463 LDA786398:LDC786463 LMW786398:LMY786463 LWS786398:LWU786463 MGO786398:MGQ786463 MQK786398:MQM786463 NAG786398:NAI786463 NKC786398:NKE786463 NTY786398:NUA786463 ODU786398:ODW786463 ONQ786398:ONS786463 OXM786398:OXO786463 PHI786398:PHK786463 PRE786398:PRG786463 QBA786398:QBC786463 QKW786398:QKY786463 QUS786398:QUU786463 REO786398:REQ786463 ROK786398:ROM786463 RYG786398:RYI786463 SIC786398:SIE786463 SRY786398:SSA786463 TBU786398:TBW786463 TLQ786398:TLS786463 TVM786398:TVO786463 UFI786398:UFK786463 UPE786398:UPG786463 UZA786398:UZC786463 VIW786398:VIY786463 VSS786398:VSU786463 WCO786398:WCQ786463 WMK786398:WMM786463 WWG786398:WWI786463 Y851934:AA851999 JU851934:JW851999 TQ851934:TS851999 ADM851934:ADO851999 ANI851934:ANK851999 AXE851934:AXG851999 BHA851934:BHC851999 BQW851934:BQY851999 CAS851934:CAU851999 CKO851934:CKQ851999 CUK851934:CUM851999 DEG851934:DEI851999 DOC851934:DOE851999 DXY851934:DYA851999 EHU851934:EHW851999 ERQ851934:ERS851999 FBM851934:FBO851999 FLI851934:FLK851999 FVE851934:FVG851999 GFA851934:GFC851999 GOW851934:GOY851999 GYS851934:GYU851999 HIO851934:HIQ851999 HSK851934:HSM851999 ICG851934:ICI851999 IMC851934:IME851999 IVY851934:IWA851999 JFU851934:JFW851999 JPQ851934:JPS851999 JZM851934:JZO851999 KJI851934:KJK851999 KTE851934:KTG851999 LDA851934:LDC851999 LMW851934:LMY851999 LWS851934:LWU851999 MGO851934:MGQ851999 MQK851934:MQM851999 NAG851934:NAI851999 NKC851934:NKE851999 NTY851934:NUA851999 ODU851934:ODW851999 ONQ851934:ONS851999 OXM851934:OXO851999 PHI851934:PHK851999 PRE851934:PRG851999 QBA851934:QBC851999 QKW851934:QKY851999 QUS851934:QUU851999 REO851934:REQ851999 ROK851934:ROM851999 RYG851934:RYI851999 SIC851934:SIE851999 SRY851934:SSA851999 TBU851934:TBW851999 TLQ851934:TLS851999 TVM851934:TVO851999 UFI851934:UFK851999 UPE851934:UPG851999 UZA851934:UZC851999 VIW851934:VIY851999 VSS851934:VSU851999 WCO851934:WCQ851999 WMK851934:WMM851999 WWG851934:WWI851999 Y917470:AA917535 JU917470:JW917535 TQ917470:TS917535 ADM917470:ADO917535 ANI917470:ANK917535 AXE917470:AXG917535 BHA917470:BHC917535 BQW917470:BQY917535 CAS917470:CAU917535 CKO917470:CKQ917535 CUK917470:CUM917535 DEG917470:DEI917535 DOC917470:DOE917535 DXY917470:DYA917535 EHU917470:EHW917535 ERQ917470:ERS917535 FBM917470:FBO917535 FLI917470:FLK917535 FVE917470:FVG917535 GFA917470:GFC917535 GOW917470:GOY917535 GYS917470:GYU917535 HIO917470:HIQ917535 HSK917470:HSM917535 ICG917470:ICI917535 IMC917470:IME917535 IVY917470:IWA917535 JFU917470:JFW917535 JPQ917470:JPS917535 JZM917470:JZO917535 KJI917470:KJK917535 KTE917470:KTG917535 LDA917470:LDC917535 LMW917470:LMY917535 LWS917470:LWU917535 MGO917470:MGQ917535 MQK917470:MQM917535 NAG917470:NAI917535 NKC917470:NKE917535 NTY917470:NUA917535 ODU917470:ODW917535 ONQ917470:ONS917535 OXM917470:OXO917535 PHI917470:PHK917535 PRE917470:PRG917535 QBA917470:QBC917535 QKW917470:QKY917535 QUS917470:QUU917535 REO917470:REQ917535 ROK917470:ROM917535 RYG917470:RYI917535 SIC917470:SIE917535 SRY917470:SSA917535 TBU917470:TBW917535 TLQ917470:TLS917535 TVM917470:TVO917535 UFI917470:UFK917535 UPE917470:UPG917535 UZA917470:UZC917535 VIW917470:VIY917535 VSS917470:VSU917535 WCO917470:WCQ917535 WMK917470:WMM917535 WWG917470:WWI917535 Y983006:AA983071 JU983006:JW983071 TQ983006:TS983071 ADM983006:ADO983071 ANI983006:ANK983071 AXE983006:AXG983071 BHA983006:BHC983071 BQW983006:BQY983071 CAS983006:CAU983071 CKO983006:CKQ983071 CUK983006:CUM983071 DEG983006:DEI983071 DOC983006:DOE983071 DXY983006:DYA983071 EHU983006:EHW983071 ERQ983006:ERS983071 FBM983006:FBO983071 FLI983006:FLK983071 FVE983006:FVG983071 GFA983006:GFC983071 GOW983006:GOY983071 GYS983006:GYU983071 HIO983006:HIQ983071 HSK983006:HSM983071 ICG983006:ICI983071 IMC983006:IME983071 IVY983006:IWA983071 JFU983006:JFW983071 JPQ983006:JPS983071 JZM983006:JZO983071 KJI983006:KJK983071 KTE983006:KTG983071 LDA983006:LDC983071 LMW983006:LMY983071 LWS983006:LWU983071 MGO983006:MGQ983071 MQK983006:MQM983071 NAG983006:NAI983071 NKC983006:NKE983071 NTY983006:NUA983071 ODU983006:ODW983071 ONQ983006:ONS983071 OXM983006:OXO983071 PHI983006:PHK983071 PRE983006:PRG983071 QBA983006:QBC983071 QKW983006:QKY983071 QUS983006:QUU983071 REO983006:REQ983071 ROK983006:ROM983071 RYG983006:RYI983071 SIC983006:SIE983071 SRY983006:SSA983071 TBU983006:TBW983071 TLQ983006:TLS983071 TVM983006:TVO983071 UFI983006:UFK983071 UPE983006:UPG983071 UZA983006:UZC983071 VIW983006:VIY983071 VSS983006:VSU983071 WCO983006:WCQ983071 WMK983006:WMM983071 WCO2:WCQ52 VSS2:VSU52 VIW2:VIY52 UZA2:UZC52 UPE2:UPG52 UFI2:UFK52 TVM2:TVO52 TLQ2:TLS52 TBU2:TBW52 SRY2:SSA52 SIC2:SIE52 RYG2:RYI52 ROK2:ROM52 REO2:REQ52 QUS2:QUU52 QKW2:QKY52 QBA2:QBC52 PRE2:PRG52 PHI2:PHK52 OXM2:OXO52 ONQ2:ONS52 ODU2:ODW52 NTY2:NUA52 NKC2:NKE52 NAG2:NAI52 MQK2:MQM52 MGO2:MGQ52 LWS2:LWU52 LMW2:LMY52 LDA2:LDC52 KTE2:KTG52 KJI2:KJK52 JZM2:JZO52 JPQ2:JPS52 JFU2:JFW52 IVY2:IWA52 IMC2:IME52 ICG2:ICI52 HSK2:HSM52 HIO2:HIQ52 GYS2:GYU52 GOW2:GOY52 GFA2:GFC52 FVE2:FVG52 FLI2:FLK52 FBM2:FBO52 ERQ2:ERS52 EHU2:EHW52 DXY2:DYA52 DOC2:DOE52 DEG2:DEI52 CUK2:CUM52 CKO2:CKQ52 CAS2:CAU52 BQW2:BQY52 BHA2:BHC52 AXE2:AXG52 ANI2:ANK52 ADM2:ADO52 TQ2:TS52 JU2:JW52 WWG2:WWI52 WMK2:WMM52" xr:uid="{424DCF91-48AC-4695-84FC-34A8040424DF}">
      <formula1>$AV$2:$AV$20</formula1>
    </dataValidation>
    <dataValidation type="list" allowBlank="1" showInputMessage="1" showErrorMessage="1" sqref="H64327:H64392 JD64327:JD64392 SZ64327:SZ64392 ACV64327:ACV64392 AMR64327:AMR64392 AWN64327:AWN64392 BGJ64327:BGJ64392 BQF64327:BQF64392 CAB64327:CAB64392 CJX64327:CJX64392 CTT64327:CTT64392 DDP64327:DDP64392 DNL64327:DNL64392 DXH64327:DXH64392 EHD64327:EHD64392 EQZ64327:EQZ64392 FAV64327:FAV64392 FKR64327:FKR64392 FUN64327:FUN64392 GEJ64327:GEJ64392 GOF64327:GOF64392 GYB64327:GYB64392 HHX64327:HHX64392 HRT64327:HRT64392 IBP64327:IBP64392 ILL64327:ILL64392 IVH64327:IVH64392 JFD64327:JFD64392 JOZ64327:JOZ64392 JYV64327:JYV64392 KIR64327:KIR64392 KSN64327:KSN64392 LCJ64327:LCJ64392 LMF64327:LMF64392 LWB64327:LWB64392 MFX64327:MFX64392 MPT64327:MPT64392 MZP64327:MZP64392 NJL64327:NJL64392 NTH64327:NTH64392 ODD64327:ODD64392 OMZ64327:OMZ64392 OWV64327:OWV64392 PGR64327:PGR64392 PQN64327:PQN64392 QAJ64327:QAJ64392 QKF64327:QKF64392 QUB64327:QUB64392 RDX64327:RDX64392 RNT64327:RNT64392 RXP64327:RXP64392 SHL64327:SHL64392 SRH64327:SRH64392 TBD64327:TBD64392 TKZ64327:TKZ64392 TUV64327:TUV64392 UER64327:UER64392 UON64327:UON64392 UYJ64327:UYJ64392 VIF64327:VIF64392 VSB64327:VSB64392 WBX64327:WBX64392 WLT64327:WLT64392 WVP64327:WVP64392 H129863:H129928 JD129863:JD129928 SZ129863:SZ129928 ACV129863:ACV129928 AMR129863:AMR129928 AWN129863:AWN129928 BGJ129863:BGJ129928 BQF129863:BQF129928 CAB129863:CAB129928 CJX129863:CJX129928 CTT129863:CTT129928 DDP129863:DDP129928 DNL129863:DNL129928 DXH129863:DXH129928 EHD129863:EHD129928 EQZ129863:EQZ129928 FAV129863:FAV129928 FKR129863:FKR129928 FUN129863:FUN129928 GEJ129863:GEJ129928 GOF129863:GOF129928 GYB129863:GYB129928 HHX129863:HHX129928 HRT129863:HRT129928 IBP129863:IBP129928 ILL129863:ILL129928 IVH129863:IVH129928 JFD129863:JFD129928 JOZ129863:JOZ129928 JYV129863:JYV129928 KIR129863:KIR129928 KSN129863:KSN129928 LCJ129863:LCJ129928 LMF129863:LMF129928 LWB129863:LWB129928 MFX129863:MFX129928 MPT129863:MPT129928 MZP129863:MZP129928 NJL129863:NJL129928 NTH129863:NTH129928 ODD129863:ODD129928 OMZ129863:OMZ129928 OWV129863:OWV129928 PGR129863:PGR129928 PQN129863:PQN129928 QAJ129863:QAJ129928 QKF129863:QKF129928 QUB129863:QUB129928 RDX129863:RDX129928 RNT129863:RNT129928 RXP129863:RXP129928 SHL129863:SHL129928 SRH129863:SRH129928 TBD129863:TBD129928 TKZ129863:TKZ129928 TUV129863:TUV129928 UER129863:UER129928 UON129863:UON129928 UYJ129863:UYJ129928 VIF129863:VIF129928 VSB129863:VSB129928 WBX129863:WBX129928 WLT129863:WLT129928 WVP129863:WVP129928 H195399:H195464 JD195399:JD195464 SZ195399:SZ195464 ACV195399:ACV195464 AMR195399:AMR195464 AWN195399:AWN195464 BGJ195399:BGJ195464 BQF195399:BQF195464 CAB195399:CAB195464 CJX195399:CJX195464 CTT195399:CTT195464 DDP195399:DDP195464 DNL195399:DNL195464 DXH195399:DXH195464 EHD195399:EHD195464 EQZ195399:EQZ195464 FAV195399:FAV195464 FKR195399:FKR195464 FUN195399:FUN195464 GEJ195399:GEJ195464 GOF195399:GOF195464 GYB195399:GYB195464 HHX195399:HHX195464 HRT195399:HRT195464 IBP195399:IBP195464 ILL195399:ILL195464 IVH195399:IVH195464 JFD195399:JFD195464 JOZ195399:JOZ195464 JYV195399:JYV195464 KIR195399:KIR195464 KSN195399:KSN195464 LCJ195399:LCJ195464 LMF195399:LMF195464 LWB195399:LWB195464 MFX195399:MFX195464 MPT195399:MPT195464 MZP195399:MZP195464 NJL195399:NJL195464 NTH195399:NTH195464 ODD195399:ODD195464 OMZ195399:OMZ195464 OWV195399:OWV195464 PGR195399:PGR195464 PQN195399:PQN195464 QAJ195399:QAJ195464 QKF195399:QKF195464 QUB195399:QUB195464 RDX195399:RDX195464 RNT195399:RNT195464 RXP195399:RXP195464 SHL195399:SHL195464 SRH195399:SRH195464 TBD195399:TBD195464 TKZ195399:TKZ195464 TUV195399:TUV195464 UER195399:UER195464 UON195399:UON195464 UYJ195399:UYJ195464 VIF195399:VIF195464 VSB195399:VSB195464 WBX195399:WBX195464 WLT195399:WLT195464 WVP195399:WVP195464 H260935:H261000 JD260935:JD261000 SZ260935:SZ261000 ACV260935:ACV261000 AMR260935:AMR261000 AWN260935:AWN261000 BGJ260935:BGJ261000 BQF260935:BQF261000 CAB260935:CAB261000 CJX260935:CJX261000 CTT260935:CTT261000 DDP260935:DDP261000 DNL260935:DNL261000 DXH260935:DXH261000 EHD260935:EHD261000 EQZ260935:EQZ261000 FAV260935:FAV261000 FKR260935:FKR261000 FUN260935:FUN261000 GEJ260935:GEJ261000 GOF260935:GOF261000 GYB260935:GYB261000 HHX260935:HHX261000 HRT260935:HRT261000 IBP260935:IBP261000 ILL260935:ILL261000 IVH260935:IVH261000 JFD260935:JFD261000 JOZ260935:JOZ261000 JYV260935:JYV261000 KIR260935:KIR261000 KSN260935:KSN261000 LCJ260935:LCJ261000 LMF260935:LMF261000 LWB260935:LWB261000 MFX260935:MFX261000 MPT260935:MPT261000 MZP260935:MZP261000 NJL260935:NJL261000 NTH260935:NTH261000 ODD260935:ODD261000 OMZ260935:OMZ261000 OWV260935:OWV261000 PGR260935:PGR261000 PQN260935:PQN261000 QAJ260935:QAJ261000 QKF260935:QKF261000 QUB260935:QUB261000 RDX260935:RDX261000 RNT260935:RNT261000 RXP260935:RXP261000 SHL260935:SHL261000 SRH260935:SRH261000 TBD260935:TBD261000 TKZ260935:TKZ261000 TUV260935:TUV261000 UER260935:UER261000 UON260935:UON261000 UYJ260935:UYJ261000 VIF260935:VIF261000 VSB260935:VSB261000 WBX260935:WBX261000 WLT260935:WLT261000 WVP260935:WVP261000 H326471:H326536 JD326471:JD326536 SZ326471:SZ326536 ACV326471:ACV326536 AMR326471:AMR326536 AWN326471:AWN326536 BGJ326471:BGJ326536 BQF326471:BQF326536 CAB326471:CAB326536 CJX326471:CJX326536 CTT326471:CTT326536 DDP326471:DDP326536 DNL326471:DNL326536 DXH326471:DXH326536 EHD326471:EHD326536 EQZ326471:EQZ326536 FAV326471:FAV326536 FKR326471:FKR326536 FUN326471:FUN326536 GEJ326471:GEJ326536 GOF326471:GOF326536 GYB326471:GYB326536 HHX326471:HHX326536 HRT326471:HRT326536 IBP326471:IBP326536 ILL326471:ILL326536 IVH326471:IVH326536 JFD326471:JFD326536 JOZ326471:JOZ326536 JYV326471:JYV326536 KIR326471:KIR326536 KSN326471:KSN326536 LCJ326471:LCJ326536 LMF326471:LMF326536 LWB326471:LWB326536 MFX326471:MFX326536 MPT326471:MPT326536 MZP326471:MZP326536 NJL326471:NJL326536 NTH326471:NTH326536 ODD326471:ODD326536 OMZ326471:OMZ326536 OWV326471:OWV326536 PGR326471:PGR326536 PQN326471:PQN326536 QAJ326471:QAJ326536 QKF326471:QKF326536 QUB326471:QUB326536 RDX326471:RDX326536 RNT326471:RNT326536 RXP326471:RXP326536 SHL326471:SHL326536 SRH326471:SRH326536 TBD326471:TBD326536 TKZ326471:TKZ326536 TUV326471:TUV326536 UER326471:UER326536 UON326471:UON326536 UYJ326471:UYJ326536 VIF326471:VIF326536 VSB326471:VSB326536 WBX326471:WBX326536 WLT326471:WLT326536 WVP326471:WVP326536 H392007:H392072 JD392007:JD392072 SZ392007:SZ392072 ACV392007:ACV392072 AMR392007:AMR392072 AWN392007:AWN392072 BGJ392007:BGJ392072 BQF392007:BQF392072 CAB392007:CAB392072 CJX392007:CJX392072 CTT392007:CTT392072 DDP392007:DDP392072 DNL392007:DNL392072 DXH392007:DXH392072 EHD392007:EHD392072 EQZ392007:EQZ392072 FAV392007:FAV392072 FKR392007:FKR392072 FUN392007:FUN392072 GEJ392007:GEJ392072 GOF392007:GOF392072 GYB392007:GYB392072 HHX392007:HHX392072 HRT392007:HRT392072 IBP392007:IBP392072 ILL392007:ILL392072 IVH392007:IVH392072 JFD392007:JFD392072 JOZ392007:JOZ392072 JYV392007:JYV392072 KIR392007:KIR392072 KSN392007:KSN392072 LCJ392007:LCJ392072 LMF392007:LMF392072 LWB392007:LWB392072 MFX392007:MFX392072 MPT392007:MPT392072 MZP392007:MZP392072 NJL392007:NJL392072 NTH392007:NTH392072 ODD392007:ODD392072 OMZ392007:OMZ392072 OWV392007:OWV392072 PGR392007:PGR392072 PQN392007:PQN392072 QAJ392007:QAJ392072 QKF392007:QKF392072 QUB392007:QUB392072 RDX392007:RDX392072 RNT392007:RNT392072 RXP392007:RXP392072 SHL392007:SHL392072 SRH392007:SRH392072 TBD392007:TBD392072 TKZ392007:TKZ392072 TUV392007:TUV392072 UER392007:UER392072 UON392007:UON392072 UYJ392007:UYJ392072 VIF392007:VIF392072 VSB392007:VSB392072 WBX392007:WBX392072 WLT392007:WLT392072 WVP392007:WVP392072 H457543:H457608 JD457543:JD457608 SZ457543:SZ457608 ACV457543:ACV457608 AMR457543:AMR457608 AWN457543:AWN457608 BGJ457543:BGJ457608 BQF457543:BQF457608 CAB457543:CAB457608 CJX457543:CJX457608 CTT457543:CTT457608 DDP457543:DDP457608 DNL457543:DNL457608 DXH457543:DXH457608 EHD457543:EHD457608 EQZ457543:EQZ457608 FAV457543:FAV457608 FKR457543:FKR457608 FUN457543:FUN457608 GEJ457543:GEJ457608 GOF457543:GOF457608 GYB457543:GYB457608 HHX457543:HHX457608 HRT457543:HRT457608 IBP457543:IBP457608 ILL457543:ILL457608 IVH457543:IVH457608 JFD457543:JFD457608 JOZ457543:JOZ457608 JYV457543:JYV457608 KIR457543:KIR457608 KSN457543:KSN457608 LCJ457543:LCJ457608 LMF457543:LMF457608 LWB457543:LWB457608 MFX457543:MFX457608 MPT457543:MPT457608 MZP457543:MZP457608 NJL457543:NJL457608 NTH457543:NTH457608 ODD457543:ODD457608 OMZ457543:OMZ457608 OWV457543:OWV457608 PGR457543:PGR457608 PQN457543:PQN457608 QAJ457543:QAJ457608 QKF457543:QKF457608 QUB457543:QUB457608 RDX457543:RDX457608 RNT457543:RNT457608 RXP457543:RXP457608 SHL457543:SHL457608 SRH457543:SRH457608 TBD457543:TBD457608 TKZ457543:TKZ457608 TUV457543:TUV457608 UER457543:UER457608 UON457543:UON457608 UYJ457543:UYJ457608 VIF457543:VIF457608 VSB457543:VSB457608 WBX457543:WBX457608 WLT457543:WLT457608 WVP457543:WVP457608 H523079:H523144 JD523079:JD523144 SZ523079:SZ523144 ACV523079:ACV523144 AMR523079:AMR523144 AWN523079:AWN523144 BGJ523079:BGJ523144 BQF523079:BQF523144 CAB523079:CAB523144 CJX523079:CJX523144 CTT523079:CTT523144 DDP523079:DDP523144 DNL523079:DNL523144 DXH523079:DXH523144 EHD523079:EHD523144 EQZ523079:EQZ523144 FAV523079:FAV523144 FKR523079:FKR523144 FUN523079:FUN523144 GEJ523079:GEJ523144 GOF523079:GOF523144 GYB523079:GYB523144 HHX523079:HHX523144 HRT523079:HRT523144 IBP523079:IBP523144 ILL523079:ILL523144 IVH523079:IVH523144 JFD523079:JFD523144 JOZ523079:JOZ523144 JYV523079:JYV523144 KIR523079:KIR523144 KSN523079:KSN523144 LCJ523079:LCJ523144 LMF523079:LMF523144 LWB523079:LWB523144 MFX523079:MFX523144 MPT523079:MPT523144 MZP523079:MZP523144 NJL523079:NJL523144 NTH523079:NTH523144 ODD523079:ODD523144 OMZ523079:OMZ523144 OWV523079:OWV523144 PGR523079:PGR523144 PQN523079:PQN523144 QAJ523079:QAJ523144 QKF523079:QKF523144 QUB523079:QUB523144 RDX523079:RDX523144 RNT523079:RNT523144 RXP523079:RXP523144 SHL523079:SHL523144 SRH523079:SRH523144 TBD523079:TBD523144 TKZ523079:TKZ523144 TUV523079:TUV523144 UER523079:UER523144 UON523079:UON523144 UYJ523079:UYJ523144 VIF523079:VIF523144 VSB523079:VSB523144 WBX523079:WBX523144 WLT523079:WLT523144 WVP523079:WVP523144 H588615:H588680 JD588615:JD588680 SZ588615:SZ588680 ACV588615:ACV588680 AMR588615:AMR588680 AWN588615:AWN588680 BGJ588615:BGJ588680 BQF588615:BQF588680 CAB588615:CAB588680 CJX588615:CJX588680 CTT588615:CTT588680 DDP588615:DDP588680 DNL588615:DNL588680 DXH588615:DXH588680 EHD588615:EHD588680 EQZ588615:EQZ588680 FAV588615:FAV588680 FKR588615:FKR588680 FUN588615:FUN588680 GEJ588615:GEJ588680 GOF588615:GOF588680 GYB588615:GYB588680 HHX588615:HHX588680 HRT588615:HRT588680 IBP588615:IBP588680 ILL588615:ILL588680 IVH588615:IVH588680 JFD588615:JFD588680 JOZ588615:JOZ588680 JYV588615:JYV588680 KIR588615:KIR588680 KSN588615:KSN588680 LCJ588615:LCJ588680 LMF588615:LMF588680 LWB588615:LWB588680 MFX588615:MFX588680 MPT588615:MPT588680 MZP588615:MZP588680 NJL588615:NJL588680 NTH588615:NTH588680 ODD588615:ODD588680 OMZ588615:OMZ588680 OWV588615:OWV588680 PGR588615:PGR588680 PQN588615:PQN588680 QAJ588615:QAJ588680 QKF588615:QKF588680 QUB588615:QUB588680 RDX588615:RDX588680 RNT588615:RNT588680 RXP588615:RXP588680 SHL588615:SHL588680 SRH588615:SRH588680 TBD588615:TBD588680 TKZ588615:TKZ588680 TUV588615:TUV588680 UER588615:UER588680 UON588615:UON588680 UYJ588615:UYJ588680 VIF588615:VIF588680 VSB588615:VSB588680 WBX588615:WBX588680 WLT588615:WLT588680 WVP588615:WVP588680 H654151:H654216 JD654151:JD654216 SZ654151:SZ654216 ACV654151:ACV654216 AMR654151:AMR654216 AWN654151:AWN654216 BGJ654151:BGJ654216 BQF654151:BQF654216 CAB654151:CAB654216 CJX654151:CJX654216 CTT654151:CTT654216 DDP654151:DDP654216 DNL654151:DNL654216 DXH654151:DXH654216 EHD654151:EHD654216 EQZ654151:EQZ654216 FAV654151:FAV654216 FKR654151:FKR654216 FUN654151:FUN654216 GEJ654151:GEJ654216 GOF654151:GOF654216 GYB654151:GYB654216 HHX654151:HHX654216 HRT654151:HRT654216 IBP654151:IBP654216 ILL654151:ILL654216 IVH654151:IVH654216 JFD654151:JFD654216 JOZ654151:JOZ654216 JYV654151:JYV654216 KIR654151:KIR654216 KSN654151:KSN654216 LCJ654151:LCJ654216 LMF654151:LMF654216 LWB654151:LWB654216 MFX654151:MFX654216 MPT654151:MPT654216 MZP654151:MZP654216 NJL654151:NJL654216 NTH654151:NTH654216 ODD654151:ODD654216 OMZ654151:OMZ654216 OWV654151:OWV654216 PGR654151:PGR654216 PQN654151:PQN654216 QAJ654151:QAJ654216 QKF654151:QKF654216 QUB654151:QUB654216 RDX654151:RDX654216 RNT654151:RNT654216 RXP654151:RXP654216 SHL654151:SHL654216 SRH654151:SRH654216 TBD654151:TBD654216 TKZ654151:TKZ654216 TUV654151:TUV654216 UER654151:UER654216 UON654151:UON654216 UYJ654151:UYJ654216 VIF654151:VIF654216 VSB654151:VSB654216 WBX654151:WBX654216 WLT654151:WLT654216 WVP654151:WVP654216 H719687:H719752 JD719687:JD719752 SZ719687:SZ719752 ACV719687:ACV719752 AMR719687:AMR719752 AWN719687:AWN719752 BGJ719687:BGJ719752 BQF719687:BQF719752 CAB719687:CAB719752 CJX719687:CJX719752 CTT719687:CTT719752 DDP719687:DDP719752 DNL719687:DNL719752 DXH719687:DXH719752 EHD719687:EHD719752 EQZ719687:EQZ719752 FAV719687:FAV719752 FKR719687:FKR719752 FUN719687:FUN719752 GEJ719687:GEJ719752 GOF719687:GOF719752 GYB719687:GYB719752 HHX719687:HHX719752 HRT719687:HRT719752 IBP719687:IBP719752 ILL719687:ILL719752 IVH719687:IVH719752 JFD719687:JFD719752 JOZ719687:JOZ719752 JYV719687:JYV719752 KIR719687:KIR719752 KSN719687:KSN719752 LCJ719687:LCJ719752 LMF719687:LMF719752 LWB719687:LWB719752 MFX719687:MFX719752 MPT719687:MPT719752 MZP719687:MZP719752 NJL719687:NJL719752 NTH719687:NTH719752 ODD719687:ODD719752 OMZ719687:OMZ719752 OWV719687:OWV719752 PGR719687:PGR719752 PQN719687:PQN719752 QAJ719687:QAJ719752 QKF719687:QKF719752 QUB719687:QUB719752 RDX719687:RDX719752 RNT719687:RNT719752 RXP719687:RXP719752 SHL719687:SHL719752 SRH719687:SRH719752 TBD719687:TBD719752 TKZ719687:TKZ719752 TUV719687:TUV719752 UER719687:UER719752 UON719687:UON719752 UYJ719687:UYJ719752 VIF719687:VIF719752 VSB719687:VSB719752 WBX719687:WBX719752 WLT719687:WLT719752 WVP719687:WVP719752 H785223:H785288 JD785223:JD785288 SZ785223:SZ785288 ACV785223:ACV785288 AMR785223:AMR785288 AWN785223:AWN785288 BGJ785223:BGJ785288 BQF785223:BQF785288 CAB785223:CAB785288 CJX785223:CJX785288 CTT785223:CTT785288 DDP785223:DDP785288 DNL785223:DNL785288 DXH785223:DXH785288 EHD785223:EHD785288 EQZ785223:EQZ785288 FAV785223:FAV785288 FKR785223:FKR785288 FUN785223:FUN785288 GEJ785223:GEJ785288 GOF785223:GOF785288 GYB785223:GYB785288 HHX785223:HHX785288 HRT785223:HRT785288 IBP785223:IBP785288 ILL785223:ILL785288 IVH785223:IVH785288 JFD785223:JFD785288 JOZ785223:JOZ785288 JYV785223:JYV785288 KIR785223:KIR785288 KSN785223:KSN785288 LCJ785223:LCJ785288 LMF785223:LMF785288 LWB785223:LWB785288 MFX785223:MFX785288 MPT785223:MPT785288 MZP785223:MZP785288 NJL785223:NJL785288 NTH785223:NTH785288 ODD785223:ODD785288 OMZ785223:OMZ785288 OWV785223:OWV785288 PGR785223:PGR785288 PQN785223:PQN785288 QAJ785223:QAJ785288 QKF785223:QKF785288 QUB785223:QUB785288 RDX785223:RDX785288 RNT785223:RNT785288 RXP785223:RXP785288 SHL785223:SHL785288 SRH785223:SRH785288 TBD785223:TBD785288 TKZ785223:TKZ785288 TUV785223:TUV785288 UER785223:UER785288 UON785223:UON785288 UYJ785223:UYJ785288 VIF785223:VIF785288 VSB785223:VSB785288 WBX785223:WBX785288 WLT785223:WLT785288 WVP785223:WVP785288 H850759:H850824 JD850759:JD850824 SZ850759:SZ850824 ACV850759:ACV850824 AMR850759:AMR850824 AWN850759:AWN850824 BGJ850759:BGJ850824 BQF850759:BQF850824 CAB850759:CAB850824 CJX850759:CJX850824 CTT850759:CTT850824 DDP850759:DDP850824 DNL850759:DNL850824 DXH850759:DXH850824 EHD850759:EHD850824 EQZ850759:EQZ850824 FAV850759:FAV850824 FKR850759:FKR850824 FUN850759:FUN850824 GEJ850759:GEJ850824 GOF850759:GOF850824 GYB850759:GYB850824 HHX850759:HHX850824 HRT850759:HRT850824 IBP850759:IBP850824 ILL850759:ILL850824 IVH850759:IVH850824 JFD850759:JFD850824 JOZ850759:JOZ850824 JYV850759:JYV850824 KIR850759:KIR850824 KSN850759:KSN850824 LCJ850759:LCJ850824 LMF850759:LMF850824 LWB850759:LWB850824 MFX850759:MFX850824 MPT850759:MPT850824 MZP850759:MZP850824 NJL850759:NJL850824 NTH850759:NTH850824 ODD850759:ODD850824 OMZ850759:OMZ850824 OWV850759:OWV850824 PGR850759:PGR850824 PQN850759:PQN850824 QAJ850759:QAJ850824 QKF850759:QKF850824 QUB850759:QUB850824 RDX850759:RDX850824 RNT850759:RNT850824 RXP850759:RXP850824 SHL850759:SHL850824 SRH850759:SRH850824 TBD850759:TBD850824 TKZ850759:TKZ850824 TUV850759:TUV850824 UER850759:UER850824 UON850759:UON850824 UYJ850759:UYJ850824 VIF850759:VIF850824 VSB850759:VSB850824 WBX850759:WBX850824 WLT850759:WLT850824 WVP850759:WVP850824 H916295:H916360 JD916295:JD916360 SZ916295:SZ916360 ACV916295:ACV916360 AMR916295:AMR916360 AWN916295:AWN916360 BGJ916295:BGJ916360 BQF916295:BQF916360 CAB916295:CAB916360 CJX916295:CJX916360 CTT916295:CTT916360 DDP916295:DDP916360 DNL916295:DNL916360 DXH916295:DXH916360 EHD916295:EHD916360 EQZ916295:EQZ916360 FAV916295:FAV916360 FKR916295:FKR916360 FUN916295:FUN916360 GEJ916295:GEJ916360 GOF916295:GOF916360 GYB916295:GYB916360 HHX916295:HHX916360 HRT916295:HRT916360 IBP916295:IBP916360 ILL916295:ILL916360 IVH916295:IVH916360 JFD916295:JFD916360 JOZ916295:JOZ916360 JYV916295:JYV916360 KIR916295:KIR916360 KSN916295:KSN916360 LCJ916295:LCJ916360 LMF916295:LMF916360 LWB916295:LWB916360 MFX916295:MFX916360 MPT916295:MPT916360 MZP916295:MZP916360 NJL916295:NJL916360 NTH916295:NTH916360 ODD916295:ODD916360 OMZ916295:OMZ916360 OWV916295:OWV916360 PGR916295:PGR916360 PQN916295:PQN916360 QAJ916295:QAJ916360 QKF916295:QKF916360 QUB916295:QUB916360 RDX916295:RDX916360 RNT916295:RNT916360 RXP916295:RXP916360 SHL916295:SHL916360 SRH916295:SRH916360 TBD916295:TBD916360 TKZ916295:TKZ916360 TUV916295:TUV916360 UER916295:UER916360 UON916295:UON916360 UYJ916295:UYJ916360 VIF916295:VIF916360 VSB916295:VSB916360 WBX916295:WBX916360 WLT916295:WLT916360 WVP916295:WVP916360 H981831:H981896 JD981831:JD981896 SZ981831:SZ981896 ACV981831:ACV981896 AMR981831:AMR981896 AWN981831:AWN981896 BGJ981831:BGJ981896 BQF981831:BQF981896 CAB981831:CAB981896 CJX981831:CJX981896 CTT981831:CTT981896 DDP981831:DDP981896 DNL981831:DNL981896 DXH981831:DXH981896 EHD981831:EHD981896 EQZ981831:EQZ981896 FAV981831:FAV981896 FKR981831:FKR981896 FUN981831:FUN981896 GEJ981831:GEJ981896 GOF981831:GOF981896 GYB981831:GYB981896 HHX981831:HHX981896 HRT981831:HRT981896 IBP981831:IBP981896 ILL981831:ILL981896 IVH981831:IVH981896 JFD981831:JFD981896 JOZ981831:JOZ981896 JYV981831:JYV981896 KIR981831:KIR981896 KSN981831:KSN981896 LCJ981831:LCJ981896 LMF981831:LMF981896 LWB981831:LWB981896 MFX981831:MFX981896 MPT981831:MPT981896 MZP981831:MZP981896 NJL981831:NJL981896 NTH981831:NTH981896 ODD981831:ODD981896 OMZ981831:OMZ981896 OWV981831:OWV981896 PGR981831:PGR981896 PQN981831:PQN981896 QAJ981831:QAJ981896 QKF981831:QKF981896 QUB981831:QUB981896 RDX981831:RDX981896 RNT981831:RNT981896 RXP981831:RXP981896 SHL981831:SHL981896 SRH981831:SRH981896 TBD981831:TBD981896 TKZ981831:TKZ981896 TUV981831:TUV981896 UER981831:UER981896 UON981831:UON981896 UYJ981831:UYJ981896 VIF981831:VIF981896 VSB981831:VSB981896 WBX981831:WBX981896 WLT981831:WLT981896 WVP981831:WVP981896 H1047367:H1047432 JD1047367:JD1047432 SZ1047367:SZ1047432 ACV1047367:ACV1047432 AMR1047367:AMR1047432 AWN1047367:AWN1047432 BGJ1047367:BGJ1047432 BQF1047367:BQF1047432 CAB1047367:CAB1047432 CJX1047367:CJX1047432 CTT1047367:CTT1047432 DDP1047367:DDP1047432 DNL1047367:DNL1047432 DXH1047367:DXH1047432 EHD1047367:EHD1047432 EQZ1047367:EQZ1047432 FAV1047367:FAV1047432 FKR1047367:FKR1047432 FUN1047367:FUN1047432 GEJ1047367:GEJ1047432 GOF1047367:GOF1047432 GYB1047367:GYB1047432 HHX1047367:HHX1047432 HRT1047367:HRT1047432 IBP1047367:IBP1047432 ILL1047367:ILL1047432 IVH1047367:IVH1047432 JFD1047367:JFD1047432 JOZ1047367:JOZ1047432 JYV1047367:JYV1047432 KIR1047367:KIR1047432 KSN1047367:KSN1047432 LCJ1047367:LCJ1047432 LMF1047367:LMF1047432 LWB1047367:LWB1047432 MFX1047367:MFX1047432 MPT1047367:MPT1047432 MZP1047367:MZP1047432 NJL1047367:NJL1047432 NTH1047367:NTH1047432 ODD1047367:ODD1047432 OMZ1047367:OMZ1047432 OWV1047367:OWV1047432 PGR1047367:PGR1047432 PQN1047367:PQN1047432 QAJ1047367:QAJ1047432 QKF1047367:QKF1047432 QUB1047367:QUB1047432 RDX1047367:RDX1047432 RNT1047367:RNT1047432 RXP1047367:RXP1047432 SHL1047367:SHL1047432 SRH1047367:SRH1047432 TBD1047367:TBD1047432 TKZ1047367:TKZ1047432 TUV1047367:TUV1047432 UER1047367:UER1047432 UON1047367:UON1047432 UYJ1047367:UYJ1047432 VIF1047367:VIF1047432 VSB1047367:VSB1047432 WBX1047367:WBX1047432 WLT1047367:WLT1047432 WVP1047367:WVP1047432" xr:uid="{EA9B59B6-BF32-4BE3-A736-EDE62C88F7CC}">
      <formula1>$AL$5:$AL$12</formula1>
    </dataValidation>
    <dataValidation type="list" allowBlank="1" showInputMessage="1" showErrorMessage="1" sqref="E64327:F64392 WVM983006:WVN983077 WLQ983006:WLR983077 WBU983006:WBV983077 VRY983006:VRZ983077 VIC983006:VID983077 UYG983006:UYH983077 UOK983006:UOL983077 UEO983006:UEP983077 TUS983006:TUT983077 TKW983006:TKX983077 TBA983006:TBB983077 SRE983006:SRF983077 SHI983006:SHJ983077 RXM983006:RXN983077 RNQ983006:RNR983077 RDU983006:RDV983077 QTY983006:QTZ983077 QKC983006:QKD983077 QAG983006:QAH983077 PQK983006:PQL983077 PGO983006:PGP983077 OWS983006:OWT983077 OMW983006:OMX983077 ODA983006:ODB983077 NTE983006:NTF983077 NJI983006:NJJ983077 MZM983006:MZN983077 MPQ983006:MPR983077 MFU983006:MFV983077 LVY983006:LVZ983077 LMC983006:LMD983077 LCG983006:LCH983077 KSK983006:KSL983077 KIO983006:KIP983077 JYS983006:JYT983077 JOW983006:JOX983077 JFA983006:JFB983077 IVE983006:IVF983077 ILI983006:ILJ983077 IBM983006:IBN983077 HRQ983006:HRR983077 HHU983006:HHV983077 GXY983006:GXZ983077 GOC983006:GOD983077 GEG983006:GEH983077 FUK983006:FUL983077 FKO983006:FKP983077 FAS983006:FAT983077 EQW983006:EQX983077 EHA983006:EHB983077 DXE983006:DXF983077 DNI983006:DNJ983077 DDM983006:DDN983077 CTQ983006:CTR983077 CJU983006:CJV983077 BZY983006:BZZ983077 BQC983006:BQD983077 BGG983006:BGH983077 AWK983006:AWL983077 AMO983006:AMP983077 ACS983006:ACT983077 SW983006:SX983077 JA983006:JB983077 E983006:F983077 WVM917470:WVN917541 WLQ917470:WLR917541 WBU917470:WBV917541 VRY917470:VRZ917541 VIC917470:VID917541 UYG917470:UYH917541 UOK917470:UOL917541 UEO917470:UEP917541 TUS917470:TUT917541 TKW917470:TKX917541 TBA917470:TBB917541 SRE917470:SRF917541 SHI917470:SHJ917541 RXM917470:RXN917541 RNQ917470:RNR917541 RDU917470:RDV917541 QTY917470:QTZ917541 QKC917470:QKD917541 QAG917470:QAH917541 PQK917470:PQL917541 PGO917470:PGP917541 OWS917470:OWT917541 OMW917470:OMX917541 ODA917470:ODB917541 NTE917470:NTF917541 NJI917470:NJJ917541 MZM917470:MZN917541 MPQ917470:MPR917541 MFU917470:MFV917541 LVY917470:LVZ917541 LMC917470:LMD917541 LCG917470:LCH917541 KSK917470:KSL917541 KIO917470:KIP917541 JYS917470:JYT917541 JOW917470:JOX917541 JFA917470:JFB917541 IVE917470:IVF917541 ILI917470:ILJ917541 IBM917470:IBN917541 HRQ917470:HRR917541 HHU917470:HHV917541 GXY917470:GXZ917541 GOC917470:GOD917541 GEG917470:GEH917541 FUK917470:FUL917541 FKO917470:FKP917541 FAS917470:FAT917541 EQW917470:EQX917541 EHA917470:EHB917541 DXE917470:DXF917541 DNI917470:DNJ917541 DDM917470:DDN917541 CTQ917470:CTR917541 CJU917470:CJV917541 BZY917470:BZZ917541 BQC917470:BQD917541 BGG917470:BGH917541 AWK917470:AWL917541 AMO917470:AMP917541 ACS917470:ACT917541 SW917470:SX917541 JA917470:JB917541 E917470:F917541 WVM851934:WVN852005 WLQ851934:WLR852005 WBU851934:WBV852005 VRY851934:VRZ852005 VIC851934:VID852005 UYG851934:UYH852005 UOK851934:UOL852005 UEO851934:UEP852005 TUS851934:TUT852005 TKW851934:TKX852005 TBA851934:TBB852005 SRE851934:SRF852005 SHI851934:SHJ852005 RXM851934:RXN852005 RNQ851934:RNR852005 RDU851934:RDV852005 QTY851934:QTZ852005 QKC851934:QKD852005 QAG851934:QAH852005 PQK851934:PQL852005 PGO851934:PGP852005 OWS851934:OWT852005 OMW851934:OMX852005 ODA851934:ODB852005 NTE851934:NTF852005 NJI851934:NJJ852005 MZM851934:MZN852005 MPQ851934:MPR852005 MFU851934:MFV852005 LVY851934:LVZ852005 LMC851934:LMD852005 LCG851934:LCH852005 KSK851934:KSL852005 KIO851934:KIP852005 JYS851934:JYT852005 JOW851934:JOX852005 JFA851934:JFB852005 IVE851934:IVF852005 ILI851934:ILJ852005 IBM851934:IBN852005 HRQ851934:HRR852005 HHU851934:HHV852005 GXY851934:GXZ852005 GOC851934:GOD852005 GEG851934:GEH852005 FUK851934:FUL852005 FKO851934:FKP852005 FAS851934:FAT852005 EQW851934:EQX852005 EHA851934:EHB852005 DXE851934:DXF852005 DNI851934:DNJ852005 DDM851934:DDN852005 CTQ851934:CTR852005 CJU851934:CJV852005 BZY851934:BZZ852005 BQC851934:BQD852005 BGG851934:BGH852005 AWK851934:AWL852005 AMO851934:AMP852005 ACS851934:ACT852005 SW851934:SX852005 JA851934:JB852005 E851934:F852005 WVM786398:WVN786469 WLQ786398:WLR786469 WBU786398:WBV786469 VRY786398:VRZ786469 VIC786398:VID786469 UYG786398:UYH786469 UOK786398:UOL786469 UEO786398:UEP786469 TUS786398:TUT786469 TKW786398:TKX786469 TBA786398:TBB786469 SRE786398:SRF786469 SHI786398:SHJ786469 RXM786398:RXN786469 RNQ786398:RNR786469 RDU786398:RDV786469 QTY786398:QTZ786469 QKC786398:QKD786469 QAG786398:QAH786469 PQK786398:PQL786469 PGO786398:PGP786469 OWS786398:OWT786469 OMW786398:OMX786469 ODA786398:ODB786469 NTE786398:NTF786469 NJI786398:NJJ786469 MZM786398:MZN786469 MPQ786398:MPR786469 MFU786398:MFV786469 LVY786398:LVZ786469 LMC786398:LMD786469 LCG786398:LCH786469 KSK786398:KSL786469 KIO786398:KIP786469 JYS786398:JYT786469 JOW786398:JOX786469 JFA786398:JFB786469 IVE786398:IVF786469 ILI786398:ILJ786469 IBM786398:IBN786469 HRQ786398:HRR786469 HHU786398:HHV786469 GXY786398:GXZ786469 GOC786398:GOD786469 GEG786398:GEH786469 FUK786398:FUL786469 FKO786398:FKP786469 FAS786398:FAT786469 EQW786398:EQX786469 EHA786398:EHB786469 DXE786398:DXF786469 DNI786398:DNJ786469 DDM786398:DDN786469 CTQ786398:CTR786469 CJU786398:CJV786469 BZY786398:BZZ786469 BQC786398:BQD786469 BGG786398:BGH786469 AWK786398:AWL786469 AMO786398:AMP786469 ACS786398:ACT786469 SW786398:SX786469 JA786398:JB786469 E786398:F786469 WVM720862:WVN720933 WLQ720862:WLR720933 WBU720862:WBV720933 VRY720862:VRZ720933 VIC720862:VID720933 UYG720862:UYH720933 UOK720862:UOL720933 UEO720862:UEP720933 TUS720862:TUT720933 TKW720862:TKX720933 TBA720862:TBB720933 SRE720862:SRF720933 SHI720862:SHJ720933 RXM720862:RXN720933 RNQ720862:RNR720933 RDU720862:RDV720933 QTY720862:QTZ720933 QKC720862:QKD720933 QAG720862:QAH720933 PQK720862:PQL720933 PGO720862:PGP720933 OWS720862:OWT720933 OMW720862:OMX720933 ODA720862:ODB720933 NTE720862:NTF720933 NJI720862:NJJ720933 MZM720862:MZN720933 MPQ720862:MPR720933 MFU720862:MFV720933 LVY720862:LVZ720933 LMC720862:LMD720933 LCG720862:LCH720933 KSK720862:KSL720933 KIO720862:KIP720933 JYS720862:JYT720933 JOW720862:JOX720933 JFA720862:JFB720933 IVE720862:IVF720933 ILI720862:ILJ720933 IBM720862:IBN720933 HRQ720862:HRR720933 HHU720862:HHV720933 GXY720862:GXZ720933 GOC720862:GOD720933 GEG720862:GEH720933 FUK720862:FUL720933 FKO720862:FKP720933 FAS720862:FAT720933 EQW720862:EQX720933 EHA720862:EHB720933 DXE720862:DXF720933 DNI720862:DNJ720933 DDM720862:DDN720933 CTQ720862:CTR720933 CJU720862:CJV720933 BZY720862:BZZ720933 BQC720862:BQD720933 BGG720862:BGH720933 AWK720862:AWL720933 AMO720862:AMP720933 ACS720862:ACT720933 SW720862:SX720933 JA720862:JB720933 E720862:F720933 WVM655326:WVN655397 WLQ655326:WLR655397 WBU655326:WBV655397 VRY655326:VRZ655397 VIC655326:VID655397 UYG655326:UYH655397 UOK655326:UOL655397 UEO655326:UEP655397 TUS655326:TUT655397 TKW655326:TKX655397 TBA655326:TBB655397 SRE655326:SRF655397 SHI655326:SHJ655397 RXM655326:RXN655397 RNQ655326:RNR655397 RDU655326:RDV655397 QTY655326:QTZ655397 QKC655326:QKD655397 QAG655326:QAH655397 PQK655326:PQL655397 PGO655326:PGP655397 OWS655326:OWT655397 OMW655326:OMX655397 ODA655326:ODB655397 NTE655326:NTF655397 NJI655326:NJJ655397 MZM655326:MZN655397 MPQ655326:MPR655397 MFU655326:MFV655397 LVY655326:LVZ655397 LMC655326:LMD655397 LCG655326:LCH655397 KSK655326:KSL655397 KIO655326:KIP655397 JYS655326:JYT655397 JOW655326:JOX655397 JFA655326:JFB655397 IVE655326:IVF655397 ILI655326:ILJ655397 IBM655326:IBN655397 HRQ655326:HRR655397 HHU655326:HHV655397 GXY655326:GXZ655397 GOC655326:GOD655397 GEG655326:GEH655397 FUK655326:FUL655397 FKO655326:FKP655397 FAS655326:FAT655397 EQW655326:EQX655397 EHA655326:EHB655397 DXE655326:DXF655397 DNI655326:DNJ655397 DDM655326:DDN655397 CTQ655326:CTR655397 CJU655326:CJV655397 BZY655326:BZZ655397 BQC655326:BQD655397 BGG655326:BGH655397 AWK655326:AWL655397 AMO655326:AMP655397 ACS655326:ACT655397 SW655326:SX655397 JA655326:JB655397 E655326:F655397 WVM589790:WVN589861 WLQ589790:WLR589861 WBU589790:WBV589861 VRY589790:VRZ589861 VIC589790:VID589861 UYG589790:UYH589861 UOK589790:UOL589861 UEO589790:UEP589861 TUS589790:TUT589861 TKW589790:TKX589861 TBA589790:TBB589861 SRE589790:SRF589861 SHI589790:SHJ589861 RXM589790:RXN589861 RNQ589790:RNR589861 RDU589790:RDV589861 QTY589790:QTZ589861 QKC589790:QKD589861 QAG589790:QAH589861 PQK589790:PQL589861 PGO589790:PGP589861 OWS589790:OWT589861 OMW589790:OMX589861 ODA589790:ODB589861 NTE589790:NTF589861 NJI589790:NJJ589861 MZM589790:MZN589861 MPQ589790:MPR589861 MFU589790:MFV589861 LVY589790:LVZ589861 LMC589790:LMD589861 LCG589790:LCH589861 KSK589790:KSL589861 KIO589790:KIP589861 JYS589790:JYT589861 JOW589790:JOX589861 JFA589790:JFB589861 IVE589790:IVF589861 ILI589790:ILJ589861 IBM589790:IBN589861 HRQ589790:HRR589861 HHU589790:HHV589861 GXY589790:GXZ589861 GOC589790:GOD589861 GEG589790:GEH589861 FUK589790:FUL589861 FKO589790:FKP589861 FAS589790:FAT589861 EQW589790:EQX589861 EHA589790:EHB589861 DXE589790:DXF589861 DNI589790:DNJ589861 DDM589790:DDN589861 CTQ589790:CTR589861 CJU589790:CJV589861 BZY589790:BZZ589861 BQC589790:BQD589861 BGG589790:BGH589861 AWK589790:AWL589861 AMO589790:AMP589861 ACS589790:ACT589861 SW589790:SX589861 JA589790:JB589861 E589790:F589861 WVM524254:WVN524325 WLQ524254:WLR524325 WBU524254:WBV524325 VRY524254:VRZ524325 VIC524254:VID524325 UYG524254:UYH524325 UOK524254:UOL524325 UEO524254:UEP524325 TUS524254:TUT524325 TKW524254:TKX524325 TBA524254:TBB524325 SRE524254:SRF524325 SHI524254:SHJ524325 RXM524254:RXN524325 RNQ524254:RNR524325 RDU524254:RDV524325 QTY524254:QTZ524325 QKC524254:QKD524325 QAG524254:QAH524325 PQK524254:PQL524325 PGO524254:PGP524325 OWS524254:OWT524325 OMW524254:OMX524325 ODA524254:ODB524325 NTE524254:NTF524325 NJI524254:NJJ524325 MZM524254:MZN524325 MPQ524254:MPR524325 MFU524254:MFV524325 LVY524254:LVZ524325 LMC524254:LMD524325 LCG524254:LCH524325 KSK524254:KSL524325 KIO524254:KIP524325 JYS524254:JYT524325 JOW524254:JOX524325 JFA524254:JFB524325 IVE524254:IVF524325 ILI524254:ILJ524325 IBM524254:IBN524325 HRQ524254:HRR524325 HHU524254:HHV524325 GXY524254:GXZ524325 GOC524254:GOD524325 GEG524254:GEH524325 FUK524254:FUL524325 FKO524254:FKP524325 FAS524254:FAT524325 EQW524254:EQX524325 EHA524254:EHB524325 DXE524254:DXF524325 DNI524254:DNJ524325 DDM524254:DDN524325 CTQ524254:CTR524325 CJU524254:CJV524325 BZY524254:BZZ524325 BQC524254:BQD524325 BGG524254:BGH524325 AWK524254:AWL524325 AMO524254:AMP524325 ACS524254:ACT524325 SW524254:SX524325 JA524254:JB524325 E524254:F524325 WVM458718:WVN458789 WLQ458718:WLR458789 WBU458718:WBV458789 VRY458718:VRZ458789 VIC458718:VID458789 UYG458718:UYH458789 UOK458718:UOL458789 UEO458718:UEP458789 TUS458718:TUT458789 TKW458718:TKX458789 TBA458718:TBB458789 SRE458718:SRF458789 SHI458718:SHJ458789 RXM458718:RXN458789 RNQ458718:RNR458789 RDU458718:RDV458789 QTY458718:QTZ458789 QKC458718:QKD458789 QAG458718:QAH458789 PQK458718:PQL458789 PGO458718:PGP458789 OWS458718:OWT458789 OMW458718:OMX458789 ODA458718:ODB458789 NTE458718:NTF458789 NJI458718:NJJ458789 MZM458718:MZN458789 MPQ458718:MPR458789 MFU458718:MFV458789 LVY458718:LVZ458789 LMC458718:LMD458789 LCG458718:LCH458789 KSK458718:KSL458789 KIO458718:KIP458789 JYS458718:JYT458789 JOW458718:JOX458789 JFA458718:JFB458789 IVE458718:IVF458789 ILI458718:ILJ458789 IBM458718:IBN458789 HRQ458718:HRR458789 HHU458718:HHV458789 GXY458718:GXZ458789 GOC458718:GOD458789 GEG458718:GEH458789 FUK458718:FUL458789 FKO458718:FKP458789 FAS458718:FAT458789 EQW458718:EQX458789 EHA458718:EHB458789 DXE458718:DXF458789 DNI458718:DNJ458789 DDM458718:DDN458789 CTQ458718:CTR458789 CJU458718:CJV458789 BZY458718:BZZ458789 BQC458718:BQD458789 BGG458718:BGH458789 AWK458718:AWL458789 AMO458718:AMP458789 ACS458718:ACT458789 SW458718:SX458789 JA458718:JB458789 E458718:F458789 WVM393182:WVN393253 WLQ393182:WLR393253 WBU393182:WBV393253 VRY393182:VRZ393253 VIC393182:VID393253 UYG393182:UYH393253 UOK393182:UOL393253 UEO393182:UEP393253 TUS393182:TUT393253 TKW393182:TKX393253 TBA393182:TBB393253 SRE393182:SRF393253 SHI393182:SHJ393253 RXM393182:RXN393253 RNQ393182:RNR393253 RDU393182:RDV393253 QTY393182:QTZ393253 QKC393182:QKD393253 QAG393182:QAH393253 PQK393182:PQL393253 PGO393182:PGP393253 OWS393182:OWT393253 OMW393182:OMX393253 ODA393182:ODB393253 NTE393182:NTF393253 NJI393182:NJJ393253 MZM393182:MZN393253 MPQ393182:MPR393253 MFU393182:MFV393253 LVY393182:LVZ393253 LMC393182:LMD393253 LCG393182:LCH393253 KSK393182:KSL393253 KIO393182:KIP393253 JYS393182:JYT393253 JOW393182:JOX393253 JFA393182:JFB393253 IVE393182:IVF393253 ILI393182:ILJ393253 IBM393182:IBN393253 HRQ393182:HRR393253 HHU393182:HHV393253 GXY393182:GXZ393253 GOC393182:GOD393253 GEG393182:GEH393253 FUK393182:FUL393253 FKO393182:FKP393253 FAS393182:FAT393253 EQW393182:EQX393253 EHA393182:EHB393253 DXE393182:DXF393253 DNI393182:DNJ393253 DDM393182:DDN393253 CTQ393182:CTR393253 CJU393182:CJV393253 BZY393182:BZZ393253 BQC393182:BQD393253 BGG393182:BGH393253 AWK393182:AWL393253 AMO393182:AMP393253 ACS393182:ACT393253 SW393182:SX393253 JA393182:JB393253 E393182:F393253 WVM327646:WVN327717 WLQ327646:WLR327717 WBU327646:WBV327717 VRY327646:VRZ327717 VIC327646:VID327717 UYG327646:UYH327717 UOK327646:UOL327717 UEO327646:UEP327717 TUS327646:TUT327717 TKW327646:TKX327717 TBA327646:TBB327717 SRE327646:SRF327717 SHI327646:SHJ327717 RXM327646:RXN327717 RNQ327646:RNR327717 RDU327646:RDV327717 QTY327646:QTZ327717 QKC327646:QKD327717 QAG327646:QAH327717 PQK327646:PQL327717 PGO327646:PGP327717 OWS327646:OWT327717 OMW327646:OMX327717 ODA327646:ODB327717 NTE327646:NTF327717 NJI327646:NJJ327717 MZM327646:MZN327717 MPQ327646:MPR327717 MFU327646:MFV327717 LVY327646:LVZ327717 LMC327646:LMD327717 LCG327646:LCH327717 KSK327646:KSL327717 KIO327646:KIP327717 JYS327646:JYT327717 JOW327646:JOX327717 JFA327646:JFB327717 IVE327646:IVF327717 ILI327646:ILJ327717 IBM327646:IBN327717 HRQ327646:HRR327717 HHU327646:HHV327717 GXY327646:GXZ327717 GOC327646:GOD327717 GEG327646:GEH327717 FUK327646:FUL327717 FKO327646:FKP327717 FAS327646:FAT327717 EQW327646:EQX327717 EHA327646:EHB327717 DXE327646:DXF327717 DNI327646:DNJ327717 DDM327646:DDN327717 CTQ327646:CTR327717 CJU327646:CJV327717 BZY327646:BZZ327717 BQC327646:BQD327717 BGG327646:BGH327717 AWK327646:AWL327717 AMO327646:AMP327717 ACS327646:ACT327717 SW327646:SX327717 JA327646:JB327717 E327646:F327717 WVM262110:WVN262181 WLQ262110:WLR262181 WBU262110:WBV262181 VRY262110:VRZ262181 VIC262110:VID262181 UYG262110:UYH262181 UOK262110:UOL262181 UEO262110:UEP262181 TUS262110:TUT262181 TKW262110:TKX262181 TBA262110:TBB262181 SRE262110:SRF262181 SHI262110:SHJ262181 RXM262110:RXN262181 RNQ262110:RNR262181 RDU262110:RDV262181 QTY262110:QTZ262181 QKC262110:QKD262181 QAG262110:QAH262181 PQK262110:PQL262181 PGO262110:PGP262181 OWS262110:OWT262181 OMW262110:OMX262181 ODA262110:ODB262181 NTE262110:NTF262181 NJI262110:NJJ262181 MZM262110:MZN262181 MPQ262110:MPR262181 MFU262110:MFV262181 LVY262110:LVZ262181 LMC262110:LMD262181 LCG262110:LCH262181 KSK262110:KSL262181 KIO262110:KIP262181 JYS262110:JYT262181 JOW262110:JOX262181 JFA262110:JFB262181 IVE262110:IVF262181 ILI262110:ILJ262181 IBM262110:IBN262181 HRQ262110:HRR262181 HHU262110:HHV262181 GXY262110:GXZ262181 GOC262110:GOD262181 GEG262110:GEH262181 FUK262110:FUL262181 FKO262110:FKP262181 FAS262110:FAT262181 EQW262110:EQX262181 EHA262110:EHB262181 DXE262110:DXF262181 DNI262110:DNJ262181 DDM262110:DDN262181 CTQ262110:CTR262181 CJU262110:CJV262181 BZY262110:BZZ262181 BQC262110:BQD262181 BGG262110:BGH262181 AWK262110:AWL262181 AMO262110:AMP262181 ACS262110:ACT262181 SW262110:SX262181 JA262110:JB262181 E262110:F262181 WVM196574:WVN196645 WLQ196574:WLR196645 WBU196574:WBV196645 VRY196574:VRZ196645 VIC196574:VID196645 UYG196574:UYH196645 UOK196574:UOL196645 UEO196574:UEP196645 TUS196574:TUT196645 TKW196574:TKX196645 TBA196574:TBB196645 SRE196574:SRF196645 SHI196574:SHJ196645 RXM196574:RXN196645 RNQ196574:RNR196645 RDU196574:RDV196645 QTY196574:QTZ196645 QKC196574:QKD196645 QAG196574:QAH196645 PQK196574:PQL196645 PGO196574:PGP196645 OWS196574:OWT196645 OMW196574:OMX196645 ODA196574:ODB196645 NTE196574:NTF196645 NJI196574:NJJ196645 MZM196574:MZN196645 MPQ196574:MPR196645 MFU196574:MFV196645 LVY196574:LVZ196645 LMC196574:LMD196645 LCG196574:LCH196645 KSK196574:KSL196645 KIO196574:KIP196645 JYS196574:JYT196645 JOW196574:JOX196645 JFA196574:JFB196645 IVE196574:IVF196645 ILI196574:ILJ196645 IBM196574:IBN196645 HRQ196574:HRR196645 HHU196574:HHV196645 GXY196574:GXZ196645 GOC196574:GOD196645 GEG196574:GEH196645 FUK196574:FUL196645 FKO196574:FKP196645 FAS196574:FAT196645 EQW196574:EQX196645 EHA196574:EHB196645 DXE196574:DXF196645 DNI196574:DNJ196645 DDM196574:DDN196645 CTQ196574:CTR196645 CJU196574:CJV196645 BZY196574:BZZ196645 BQC196574:BQD196645 BGG196574:BGH196645 AWK196574:AWL196645 AMO196574:AMP196645 ACS196574:ACT196645 SW196574:SX196645 JA196574:JB196645 E196574:F196645 WVM131038:WVN131109 WLQ131038:WLR131109 WBU131038:WBV131109 VRY131038:VRZ131109 VIC131038:VID131109 UYG131038:UYH131109 UOK131038:UOL131109 UEO131038:UEP131109 TUS131038:TUT131109 TKW131038:TKX131109 TBA131038:TBB131109 SRE131038:SRF131109 SHI131038:SHJ131109 RXM131038:RXN131109 RNQ131038:RNR131109 RDU131038:RDV131109 QTY131038:QTZ131109 QKC131038:QKD131109 QAG131038:QAH131109 PQK131038:PQL131109 PGO131038:PGP131109 OWS131038:OWT131109 OMW131038:OMX131109 ODA131038:ODB131109 NTE131038:NTF131109 NJI131038:NJJ131109 MZM131038:MZN131109 MPQ131038:MPR131109 MFU131038:MFV131109 LVY131038:LVZ131109 LMC131038:LMD131109 LCG131038:LCH131109 KSK131038:KSL131109 KIO131038:KIP131109 JYS131038:JYT131109 JOW131038:JOX131109 JFA131038:JFB131109 IVE131038:IVF131109 ILI131038:ILJ131109 IBM131038:IBN131109 HRQ131038:HRR131109 HHU131038:HHV131109 GXY131038:GXZ131109 GOC131038:GOD131109 GEG131038:GEH131109 FUK131038:FUL131109 FKO131038:FKP131109 FAS131038:FAT131109 EQW131038:EQX131109 EHA131038:EHB131109 DXE131038:DXF131109 DNI131038:DNJ131109 DDM131038:DDN131109 CTQ131038:CTR131109 CJU131038:CJV131109 BZY131038:BZZ131109 BQC131038:BQD131109 BGG131038:BGH131109 AWK131038:AWL131109 AMO131038:AMP131109 ACS131038:ACT131109 SW131038:SX131109 JA131038:JB131109 E131038:F131109 WVM65502:WVN65573 WLQ65502:WLR65573 WBU65502:WBV65573 VRY65502:VRZ65573 VIC65502:VID65573 UYG65502:UYH65573 UOK65502:UOL65573 UEO65502:UEP65573 TUS65502:TUT65573 TKW65502:TKX65573 TBA65502:TBB65573 SRE65502:SRF65573 SHI65502:SHJ65573 RXM65502:RXN65573 RNQ65502:RNR65573 RDU65502:RDV65573 QTY65502:QTZ65573 QKC65502:QKD65573 QAG65502:QAH65573 PQK65502:PQL65573 PGO65502:PGP65573 OWS65502:OWT65573 OMW65502:OMX65573 ODA65502:ODB65573 NTE65502:NTF65573 NJI65502:NJJ65573 MZM65502:MZN65573 MPQ65502:MPR65573 MFU65502:MFV65573 LVY65502:LVZ65573 LMC65502:LMD65573 LCG65502:LCH65573 KSK65502:KSL65573 KIO65502:KIP65573 JYS65502:JYT65573 JOW65502:JOX65573 JFA65502:JFB65573 IVE65502:IVF65573 ILI65502:ILJ65573 IBM65502:IBN65573 HRQ65502:HRR65573 HHU65502:HHV65573 GXY65502:GXZ65573 GOC65502:GOD65573 GEG65502:GEH65573 FUK65502:FUL65573 FKO65502:FKP65573 FAS65502:FAT65573 EQW65502:EQX65573 EHA65502:EHB65573 DXE65502:DXF65573 DNI65502:DNJ65573 DDM65502:DDN65573 CTQ65502:CTR65573 CJU65502:CJV65573 BZY65502:BZZ65573 BQC65502:BQD65573 BGG65502:BGH65573 AWK65502:AWL65573 AMO65502:AMP65573 ACS65502:ACT65573 SW65502:SX65573 JA65502:JB65573 E65502:F65573 JA64327:JB64392 WVM1047367:WVN1047432 WLQ1047367:WLR1047432 WBU1047367:WBV1047432 VRY1047367:VRZ1047432 VIC1047367:VID1047432 UYG1047367:UYH1047432 UOK1047367:UOL1047432 UEO1047367:UEP1047432 TUS1047367:TUT1047432 TKW1047367:TKX1047432 TBA1047367:TBB1047432 SRE1047367:SRF1047432 SHI1047367:SHJ1047432 RXM1047367:RXN1047432 RNQ1047367:RNR1047432 RDU1047367:RDV1047432 QTY1047367:QTZ1047432 QKC1047367:QKD1047432 QAG1047367:QAH1047432 PQK1047367:PQL1047432 PGO1047367:PGP1047432 OWS1047367:OWT1047432 OMW1047367:OMX1047432 ODA1047367:ODB1047432 NTE1047367:NTF1047432 NJI1047367:NJJ1047432 MZM1047367:MZN1047432 MPQ1047367:MPR1047432 MFU1047367:MFV1047432 LVY1047367:LVZ1047432 LMC1047367:LMD1047432 LCG1047367:LCH1047432 KSK1047367:KSL1047432 KIO1047367:KIP1047432 JYS1047367:JYT1047432 JOW1047367:JOX1047432 JFA1047367:JFB1047432 IVE1047367:IVF1047432 ILI1047367:ILJ1047432 IBM1047367:IBN1047432 HRQ1047367:HRR1047432 HHU1047367:HHV1047432 GXY1047367:GXZ1047432 GOC1047367:GOD1047432 GEG1047367:GEH1047432 FUK1047367:FUL1047432 FKO1047367:FKP1047432 FAS1047367:FAT1047432 EQW1047367:EQX1047432 EHA1047367:EHB1047432 DXE1047367:DXF1047432 DNI1047367:DNJ1047432 DDM1047367:DDN1047432 CTQ1047367:CTR1047432 CJU1047367:CJV1047432 BZY1047367:BZZ1047432 BQC1047367:BQD1047432 BGG1047367:BGH1047432 AWK1047367:AWL1047432 AMO1047367:AMP1047432 ACS1047367:ACT1047432 SW1047367:SX1047432 JA1047367:JB1047432 E1047367:F1047432 WVM981831:WVN981896 WLQ981831:WLR981896 WBU981831:WBV981896 VRY981831:VRZ981896 VIC981831:VID981896 UYG981831:UYH981896 UOK981831:UOL981896 UEO981831:UEP981896 TUS981831:TUT981896 TKW981831:TKX981896 TBA981831:TBB981896 SRE981831:SRF981896 SHI981831:SHJ981896 RXM981831:RXN981896 RNQ981831:RNR981896 RDU981831:RDV981896 QTY981831:QTZ981896 QKC981831:QKD981896 QAG981831:QAH981896 PQK981831:PQL981896 PGO981831:PGP981896 OWS981831:OWT981896 OMW981831:OMX981896 ODA981831:ODB981896 NTE981831:NTF981896 NJI981831:NJJ981896 MZM981831:MZN981896 MPQ981831:MPR981896 MFU981831:MFV981896 LVY981831:LVZ981896 LMC981831:LMD981896 LCG981831:LCH981896 KSK981831:KSL981896 KIO981831:KIP981896 JYS981831:JYT981896 JOW981831:JOX981896 JFA981831:JFB981896 IVE981831:IVF981896 ILI981831:ILJ981896 IBM981831:IBN981896 HRQ981831:HRR981896 HHU981831:HHV981896 GXY981831:GXZ981896 GOC981831:GOD981896 GEG981831:GEH981896 FUK981831:FUL981896 FKO981831:FKP981896 FAS981831:FAT981896 EQW981831:EQX981896 EHA981831:EHB981896 DXE981831:DXF981896 DNI981831:DNJ981896 DDM981831:DDN981896 CTQ981831:CTR981896 CJU981831:CJV981896 BZY981831:BZZ981896 BQC981831:BQD981896 BGG981831:BGH981896 AWK981831:AWL981896 AMO981831:AMP981896 ACS981831:ACT981896 SW981831:SX981896 JA981831:JB981896 E981831:F981896 WVM916295:WVN916360 WLQ916295:WLR916360 WBU916295:WBV916360 VRY916295:VRZ916360 VIC916295:VID916360 UYG916295:UYH916360 UOK916295:UOL916360 UEO916295:UEP916360 TUS916295:TUT916360 TKW916295:TKX916360 TBA916295:TBB916360 SRE916295:SRF916360 SHI916295:SHJ916360 RXM916295:RXN916360 RNQ916295:RNR916360 RDU916295:RDV916360 QTY916295:QTZ916360 QKC916295:QKD916360 QAG916295:QAH916360 PQK916295:PQL916360 PGO916295:PGP916360 OWS916295:OWT916360 OMW916295:OMX916360 ODA916295:ODB916360 NTE916295:NTF916360 NJI916295:NJJ916360 MZM916295:MZN916360 MPQ916295:MPR916360 MFU916295:MFV916360 LVY916295:LVZ916360 LMC916295:LMD916360 LCG916295:LCH916360 KSK916295:KSL916360 KIO916295:KIP916360 JYS916295:JYT916360 JOW916295:JOX916360 JFA916295:JFB916360 IVE916295:IVF916360 ILI916295:ILJ916360 IBM916295:IBN916360 HRQ916295:HRR916360 HHU916295:HHV916360 GXY916295:GXZ916360 GOC916295:GOD916360 GEG916295:GEH916360 FUK916295:FUL916360 FKO916295:FKP916360 FAS916295:FAT916360 EQW916295:EQX916360 EHA916295:EHB916360 DXE916295:DXF916360 DNI916295:DNJ916360 DDM916295:DDN916360 CTQ916295:CTR916360 CJU916295:CJV916360 BZY916295:BZZ916360 BQC916295:BQD916360 BGG916295:BGH916360 AWK916295:AWL916360 AMO916295:AMP916360 ACS916295:ACT916360 SW916295:SX916360 JA916295:JB916360 E916295:F916360 WVM850759:WVN850824 WLQ850759:WLR850824 WBU850759:WBV850824 VRY850759:VRZ850824 VIC850759:VID850824 UYG850759:UYH850824 UOK850759:UOL850824 UEO850759:UEP850824 TUS850759:TUT850824 TKW850759:TKX850824 TBA850759:TBB850824 SRE850759:SRF850824 SHI850759:SHJ850824 RXM850759:RXN850824 RNQ850759:RNR850824 RDU850759:RDV850824 QTY850759:QTZ850824 QKC850759:QKD850824 QAG850759:QAH850824 PQK850759:PQL850824 PGO850759:PGP850824 OWS850759:OWT850824 OMW850759:OMX850824 ODA850759:ODB850824 NTE850759:NTF850824 NJI850759:NJJ850824 MZM850759:MZN850824 MPQ850759:MPR850824 MFU850759:MFV850824 LVY850759:LVZ850824 LMC850759:LMD850824 LCG850759:LCH850824 KSK850759:KSL850824 KIO850759:KIP850824 JYS850759:JYT850824 JOW850759:JOX850824 JFA850759:JFB850824 IVE850759:IVF850824 ILI850759:ILJ850824 IBM850759:IBN850824 HRQ850759:HRR850824 HHU850759:HHV850824 GXY850759:GXZ850824 GOC850759:GOD850824 GEG850759:GEH850824 FUK850759:FUL850824 FKO850759:FKP850824 FAS850759:FAT850824 EQW850759:EQX850824 EHA850759:EHB850824 DXE850759:DXF850824 DNI850759:DNJ850824 DDM850759:DDN850824 CTQ850759:CTR850824 CJU850759:CJV850824 BZY850759:BZZ850824 BQC850759:BQD850824 BGG850759:BGH850824 AWK850759:AWL850824 AMO850759:AMP850824 ACS850759:ACT850824 SW850759:SX850824 JA850759:JB850824 E850759:F850824 WVM785223:WVN785288 WLQ785223:WLR785288 WBU785223:WBV785288 VRY785223:VRZ785288 VIC785223:VID785288 UYG785223:UYH785288 UOK785223:UOL785288 UEO785223:UEP785288 TUS785223:TUT785288 TKW785223:TKX785288 TBA785223:TBB785288 SRE785223:SRF785288 SHI785223:SHJ785288 RXM785223:RXN785288 RNQ785223:RNR785288 RDU785223:RDV785288 QTY785223:QTZ785288 QKC785223:QKD785288 QAG785223:QAH785288 PQK785223:PQL785288 PGO785223:PGP785288 OWS785223:OWT785288 OMW785223:OMX785288 ODA785223:ODB785288 NTE785223:NTF785288 NJI785223:NJJ785288 MZM785223:MZN785288 MPQ785223:MPR785288 MFU785223:MFV785288 LVY785223:LVZ785288 LMC785223:LMD785288 LCG785223:LCH785288 KSK785223:KSL785288 KIO785223:KIP785288 JYS785223:JYT785288 JOW785223:JOX785288 JFA785223:JFB785288 IVE785223:IVF785288 ILI785223:ILJ785288 IBM785223:IBN785288 HRQ785223:HRR785288 HHU785223:HHV785288 GXY785223:GXZ785288 GOC785223:GOD785288 GEG785223:GEH785288 FUK785223:FUL785288 FKO785223:FKP785288 FAS785223:FAT785288 EQW785223:EQX785288 EHA785223:EHB785288 DXE785223:DXF785288 DNI785223:DNJ785288 DDM785223:DDN785288 CTQ785223:CTR785288 CJU785223:CJV785288 BZY785223:BZZ785288 BQC785223:BQD785288 BGG785223:BGH785288 AWK785223:AWL785288 AMO785223:AMP785288 ACS785223:ACT785288 SW785223:SX785288 JA785223:JB785288 E785223:F785288 WVM719687:WVN719752 WLQ719687:WLR719752 WBU719687:WBV719752 VRY719687:VRZ719752 VIC719687:VID719752 UYG719687:UYH719752 UOK719687:UOL719752 UEO719687:UEP719752 TUS719687:TUT719752 TKW719687:TKX719752 TBA719687:TBB719752 SRE719687:SRF719752 SHI719687:SHJ719752 RXM719687:RXN719752 RNQ719687:RNR719752 RDU719687:RDV719752 QTY719687:QTZ719752 QKC719687:QKD719752 QAG719687:QAH719752 PQK719687:PQL719752 PGO719687:PGP719752 OWS719687:OWT719752 OMW719687:OMX719752 ODA719687:ODB719752 NTE719687:NTF719752 NJI719687:NJJ719752 MZM719687:MZN719752 MPQ719687:MPR719752 MFU719687:MFV719752 LVY719687:LVZ719752 LMC719687:LMD719752 LCG719687:LCH719752 KSK719687:KSL719752 KIO719687:KIP719752 JYS719687:JYT719752 JOW719687:JOX719752 JFA719687:JFB719752 IVE719687:IVF719752 ILI719687:ILJ719752 IBM719687:IBN719752 HRQ719687:HRR719752 HHU719687:HHV719752 GXY719687:GXZ719752 GOC719687:GOD719752 GEG719687:GEH719752 FUK719687:FUL719752 FKO719687:FKP719752 FAS719687:FAT719752 EQW719687:EQX719752 EHA719687:EHB719752 DXE719687:DXF719752 DNI719687:DNJ719752 DDM719687:DDN719752 CTQ719687:CTR719752 CJU719687:CJV719752 BZY719687:BZZ719752 BQC719687:BQD719752 BGG719687:BGH719752 AWK719687:AWL719752 AMO719687:AMP719752 ACS719687:ACT719752 SW719687:SX719752 JA719687:JB719752 E719687:F719752 WVM654151:WVN654216 WLQ654151:WLR654216 WBU654151:WBV654216 VRY654151:VRZ654216 VIC654151:VID654216 UYG654151:UYH654216 UOK654151:UOL654216 UEO654151:UEP654216 TUS654151:TUT654216 TKW654151:TKX654216 TBA654151:TBB654216 SRE654151:SRF654216 SHI654151:SHJ654216 RXM654151:RXN654216 RNQ654151:RNR654216 RDU654151:RDV654216 QTY654151:QTZ654216 QKC654151:QKD654216 QAG654151:QAH654216 PQK654151:PQL654216 PGO654151:PGP654216 OWS654151:OWT654216 OMW654151:OMX654216 ODA654151:ODB654216 NTE654151:NTF654216 NJI654151:NJJ654216 MZM654151:MZN654216 MPQ654151:MPR654216 MFU654151:MFV654216 LVY654151:LVZ654216 LMC654151:LMD654216 LCG654151:LCH654216 KSK654151:KSL654216 KIO654151:KIP654216 JYS654151:JYT654216 JOW654151:JOX654216 JFA654151:JFB654216 IVE654151:IVF654216 ILI654151:ILJ654216 IBM654151:IBN654216 HRQ654151:HRR654216 HHU654151:HHV654216 GXY654151:GXZ654216 GOC654151:GOD654216 GEG654151:GEH654216 FUK654151:FUL654216 FKO654151:FKP654216 FAS654151:FAT654216 EQW654151:EQX654216 EHA654151:EHB654216 DXE654151:DXF654216 DNI654151:DNJ654216 DDM654151:DDN654216 CTQ654151:CTR654216 CJU654151:CJV654216 BZY654151:BZZ654216 BQC654151:BQD654216 BGG654151:BGH654216 AWK654151:AWL654216 AMO654151:AMP654216 ACS654151:ACT654216 SW654151:SX654216 JA654151:JB654216 E654151:F654216 WVM588615:WVN588680 WLQ588615:WLR588680 WBU588615:WBV588680 VRY588615:VRZ588680 VIC588615:VID588680 UYG588615:UYH588680 UOK588615:UOL588680 UEO588615:UEP588680 TUS588615:TUT588680 TKW588615:TKX588680 TBA588615:TBB588680 SRE588615:SRF588680 SHI588615:SHJ588680 RXM588615:RXN588680 RNQ588615:RNR588680 RDU588615:RDV588680 QTY588615:QTZ588680 QKC588615:QKD588680 QAG588615:QAH588680 PQK588615:PQL588680 PGO588615:PGP588680 OWS588615:OWT588680 OMW588615:OMX588680 ODA588615:ODB588680 NTE588615:NTF588680 NJI588615:NJJ588680 MZM588615:MZN588680 MPQ588615:MPR588680 MFU588615:MFV588680 LVY588615:LVZ588680 LMC588615:LMD588680 LCG588615:LCH588680 KSK588615:KSL588680 KIO588615:KIP588680 JYS588615:JYT588680 JOW588615:JOX588680 JFA588615:JFB588680 IVE588615:IVF588680 ILI588615:ILJ588680 IBM588615:IBN588680 HRQ588615:HRR588680 HHU588615:HHV588680 GXY588615:GXZ588680 GOC588615:GOD588680 GEG588615:GEH588680 FUK588615:FUL588680 FKO588615:FKP588680 FAS588615:FAT588680 EQW588615:EQX588680 EHA588615:EHB588680 DXE588615:DXF588680 DNI588615:DNJ588680 DDM588615:DDN588680 CTQ588615:CTR588680 CJU588615:CJV588680 BZY588615:BZZ588680 BQC588615:BQD588680 BGG588615:BGH588680 AWK588615:AWL588680 AMO588615:AMP588680 ACS588615:ACT588680 SW588615:SX588680 JA588615:JB588680 E588615:F588680 WVM523079:WVN523144 WLQ523079:WLR523144 WBU523079:WBV523144 VRY523079:VRZ523144 VIC523079:VID523144 UYG523079:UYH523144 UOK523079:UOL523144 UEO523079:UEP523144 TUS523079:TUT523144 TKW523079:TKX523144 TBA523079:TBB523144 SRE523079:SRF523144 SHI523079:SHJ523144 RXM523079:RXN523144 RNQ523079:RNR523144 RDU523079:RDV523144 QTY523079:QTZ523144 QKC523079:QKD523144 QAG523079:QAH523144 PQK523079:PQL523144 PGO523079:PGP523144 OWS523079:OWT523144 OMW523079:OMX523144 ODA523079:ODB523144 NTE523079:NTF523144 NJI523079:NJJ523144 MZM523079:MZN523144 MPQ523079:MPR523144 MFU523079:MFV523144 LVY523079:LVZ523144 LMC523079:LMD523144 LCG523079:LCH523144 KSK523079:KSL523144 KIO523079:KIP523144 JYS523079:JYT523144 JOW523079:JOX523144 JFA523079:JFB523144 IVE523079:IVF523144 ILI523079:ILJ523144 IBM523079:IBN523144 HRQ523079:HRR523144 HHU523079:HHV523144 GXY523079:GXZ523144 GOC523079:GOD523144 GEG523079:GEH523144 FUK523079:FUL523144 FKO523079:FKP523144 FAS523079:FAT523144 EQW523079:EQX523144 EHA523079:EHB523144 DXE523079:DXF523144 DNI523079:DNJ523144 DDM523079:DDN523144 CTQ523079:CTR523144 CJU523079:CJV523144 BZY523079:BZZ523144 BQC523079:BQD523144 BGG523079:BGH523144 AWK523079:AWL523144 AMO523079:AMP523144 ACS523079:ACT523144 SW523079:SX523144 JA523079:JB523144 E523079:F523144 WVM457543:WVN457608 WLQ457543:WLR457608 WBU457543:WBV457608 VRY457543:VRZ457608 VIC457543:VID457608 UYG457543:UYH457608 UOK457543:UOL457608 UEO457543:UEP457608 TUS457543:TUT457608 TKW457543:TKX457608 TBA457543:TBB457608 SRE457543:SRF457608 SHI457543:SHJ457608 RXM457543:RXN457608 RNQ457543:RNR457608 RDU457543:RDV457608 QTY457543:QTZ457608 QKC457543:QKD457608 QAG457543:QAH457608 PQK457543:PQL457608 PGO457543:PGP457608 OWS457543:OWT457608 OMW457543:OMX457608 ODA457543:ODB457608 NTE457543:NTF457608 NJI457543:NJJ457608 MZM457543:MZN457608 MPQ457543:MPR457608 MFU457543:MFV457608 LVY457543:LVZ457608 LMC457543:LMD457608 LCG457543:LCH457608 KSK457543:KSL457608 KIO457543:KIP457608 JYS457543:JYT457608 JOW457543:JOX457608 JFA457543:JFB457608 IVE457543:IVF457608 ILI457543:ILJ457608 IBM457543:IBN457608 HRQ457543:HRR457608 HHU457543:HHV457608 GXY457543:GXZ457608 GOC457543:GOD457608 GEG457543:GEH457608 FUK457543:FUL457608 FKO457543:FKP457608 FAS457543:FAT457608 EQW457543:EQX457608 EHA457543:EHB457608 DXE457543:DXF457608 DNI457543:DNJ457608 DDM457543:DDN457608 CTQ457543:CTR457608 CJU457543:CJV457608 BZY457543:BZZ457608 BQC457543:BQD457608 BGG457543:BGH457608 AWK457543:AWL457608 AMO457543:AMP457608 ACS457543:ACT457608 SW457543:SX457608 JA457543:JB457608 E457543:F457608 WVM392007:WVN392072 WLQ392007:WLR392072 WBU392007:WBV392072 VRY392007:VRZ392072 VIC392007:VID392072 UYG392007:UYH392072 UOK392007:UOL392072 UEO392007:UEP392072 TUS392007:TUT392072 TKW392007:TKX392072 TBA392007:TBB392072 SRE392007:SRF392072 SHI392007:SHJ392072 RXM392007:RXN392072 RNQ392007:RNR392072 RDU392007:RDV392072 QTY392007:QTZ392072 QKC392007:QKD392072 QAG392007:QAH392072 PQK392007:PQL392072 PGO392007:PGP392072 OWS392007:OWT392072 OMW392007:OMX392072 ODA392007:ODB392072 NTE392007:NTF392072 NJI392007:NJJ392072 MZM392007:MZN392072 MPQ392007:MPR392072 MFU392007:MFV392072 LVY392007:LVZ392072 LMC392007:LMD392072 LCG392007:LCH392072 KSK392007:KSL392072 KIO392007:KIP392072 JYS392007:JYT392072 JOW392007:JOX392072 JFA392007:JFB392072 IVE392007:IVF392072 ILI392007:ILJ392072 IBM392007:IBN392072 HRQ392007:HRR392072 HHU392007:HHV392072 GXY392007:GXZ392072 GOC392007:GOD392072 GEG392007:GEH392072 FUK392007:FUL392072 FKO392007:FKP392072 FAS392007:FAT392072 EQW392007:EQX392072 EHA392007:EHB392072 DXE392007:DXF392072 DNI392007:DNJ392072 DDM392007:DDN392072 CTQ392007:CTR392072 CJU392007:CJV392072 BZY392007:BZZ392072 BQC392007:BQD392072 BGG392007:BGH392072 AWK392007:AWL392072 AMO392007:AMP392072 ACS392007:ACT392072 SW392007:SX392072 JA392007:JB392072 E392007:F392072 WVM326471:WVN326536 WLQ326471:WLR326536 WBU326471:WBV326536 VRY326471:VRZ326536 VIC326471:VID326536 UYG326471:UYH326536 UOK326471:UOL326536 UEO326471:UEP326536 TUS326471:TUT326536 TKW326471:TKX326536 TBA326471:TBB326536 SRE326471:SRF326536 SHI326471:SHJ326536 RXM326471:RXN326536 RNQ326471:RNR326536 RDU326471:RDV326536 QTY326471:QTZ326536 QKC326471:QKD326536 QAG326471:QAH326536 PQK326471:PQL326536 PGO326471:PGP326536 OWS326471:OWT326536 OMW326471:OMX326536 ODA326471:ODB326536 NTE326471:NTF326536 NJI326471:NJJ326536 MZM326471:MZN326536 MPQ326471:MPR326536 MFU326471:MFV326536 LVY326471:LVZ326536 LMC326471:LMD326536 LCG326471:LCH326536 KSK326471:KSL326536 KIO326471:KIP326536 JYS326471:JYT326536 JOW326471:JOX326536 JFA326471:JFB326536 IVE326471:IVF326536 ILI326471:ILJ326536 IBM326471:IBN326536 HRQ326471:HRR326536 HHU326471:HHV326536 GXY326471:GXZ326536 GOC326471:GOD326536 GEG326471:GEH326536 FUK326471:FUL326536 FKO326471:FKP326536 FAS326471:FAT326536 EQW326471:EQX326536 EHA326471:EHB326536 DXE326471:DXF326536 DNI326471:DNJ326536 DDM326471:DDN326536 CTQ326471:CTR326536 CJU326471:CJV326536 BZY326471:BZZ326536 BQC326471:BQD326536 BGG326471:BGH326536 AWK326471:AWL326536 AMO326471:AMP326536 ACS326471:ACT326536 SW326471:SX326536 JA326471:JB326536 E326471:F326536 WVM260935:WVN261000 WLQ260935:WLR261000 WBU260935:WBV261000 VRY260935:VRZ261000 VIC260935:VID261000 UYG260935:UYH261000 UOK260935:UOL261000 UEO260935:UEP261000 TUS260935:TUT261000 TKW260935:TKX261000 TBA260935:TBB261000 SRE260935:SRF261000 SHI260935:SHJ261000 RXM260935:RXN261000 RNQ260935:RNR261000 RDU260935:RDV261000 QTY260935:QTZ261000 QKC260935:QKD261000 QAG260935:QAH261000 PQK260935:PQL261000 PGO260935:PGP261000 OWS260935:OWT261000 OMW260935:OMX261000 ODA260935:ODB261000 NTE260935:NTF261000 NJI260935:NJJ261000 MZM260935:MZN261000 MPQ260935:MPR261000 MFU260935:MFV261000 LVY260935:LVZ261000 LMC260935:LMD261000 LCG260935:LCH261000 KSK260935:KSL261000 KIO260935:KIP261000 JYS260935:JYT261000 JOW260935:JOX261000 JFA260935:JFB261000 IVE260935:IVF261000 ILI260935:ILJ261000 IBM260935:IBN261000 HRQ260935:HRR261000 HHU260935:HHV261000 GXY260935:GXZ261000 GOC260935:GOD261000 GEG260935:GEH261000 FUK260935:FUL261000 FKO260935:FKP261000 FAS260935:FAT261000 EQW260935:EQX261000 EHA260935:EHB261000 DXE260935:DXF261000 DNI260935:DNJ261000 DDM260935:DDN261000 CTQ260935:CTR261000 CJU260935:CJV261000 BZY260935:BZZ261000 BQC260935:BQD261000 BGG260935:BGH261000 AWK260935:AWL261000 AMO260935:AMP261000 ACS260935:ACT261000 SW260935:SX261000 JA260935:JB261000 E260935:F261000 WVM195399:WVN195464 WLQ195399:WLR195464 WBU195399:WBV195464 VRY195399:VRZ195464 VIC195399:VID195464 UYG195399:UYH195464 UOK195399:UOL195464 UEO195399:UEP195464 TUS195399:TUT195464 TKW195399:TKX195464 TBA195399:TBB195464 SRE195399:SRF195464 SHI195399:SHJ195464 RXM195399:RXN195464 RNQ195399:RNR195464 RDU195399:RDV195464 QTY195399:QTZ195464 QKC195399:QKD195464 QAG195399:QAH195464 PQK195399:PQL195464 PGO195399:PGP195464 OWS195399:OWT195464 OMW195399:OMX195464 ODA195399:ODB195464 NTE195399:NTF195464 NJI195399:NJJ195464 MZM195399:MZN195464 MPQ195399:MPR195464 MFU195399:MFV195464 LVY195399:LVZ195464 LMC195399:LMD195464 LCG195399:LCH195464 KSK195399:KSL195464 KIO195399:KIP195464 JYS195399:JYT195464 JOW195399:JOX195464 JFA195399:JFB195464 IVE195399:IVF195464 ILI195399:ILJ195464 IBM195399:IBN195464 HRQ195399:HRR195464 HHU195399:HHV195464 GXY195399:GXZ195464 GOC195399:GOD195464 GEG195399:GEH195464 FUK195399:FUL195464 FKO195399:FKP195464 FAS195399:FAT195464 EQW195399:EQX195464 EHA195399:EHB195464 DXE195399:DXF195464 DNI195399:DNJ195464 DDM195399:DDN195464 CTQ195399:CTR195464 CJU195399:CJV195464 BZY195399:BZZ195464 BQC195399:BQD195464 BGG195399:BGH195464 AWK195399:AWL195464 AMO195399:AMP195464 ACS195399:ACT195464 SW195399:SX195464 JA195399:JB195464 E195399:F195464 WVM129863:WVN129928 WLQ129863:WLR129928 WBU129863:WBV129928 VRY129863:VRZ129928 VIC129863:VID129928 UYG129863:UYH129928 UOK129863:UOL129928 UEO129863:UEP129928 TUS129863:TUT129928 TKW129863:TKX129928 TBA129863:TBB129928 SRE129863:SRF129928 SHI129863:SHJ129928 RXM129863:RXN129928 RNQ129863:RNR129928 RDU129863:RDV129928 QTY129863:QTZ129928 QKC129863:QKD129928 QAG129863:QAH129928 PQK129863:PQL129928 PGO129863:PGP129928 OWS129863:OWT129928 OMW129863:OMX129928 ODA129863:ODB129928 NTE129863:NTF129928 NJI129863:NJJ129928 MZM129863:MZN129928 MPQ129863:MPR129928 MFU129863:MFV129928 LVY129863:LVZ129928 LMC129863:LMD129928 LCG129863:LCH129928 KSK129863:KSL129928 KIO129863:KIP129928 JYS129863:JYT129928 JOW129863:JOX129928 JFA129863:JFB129928 IVE129863:IVF129928 ILI129863:ILJ129928 IBM129863:IBN129928 HRQ129863:HRR129928 HHU129863:HHV129928 GXY129863:GXZ129928 GOC129863:GOD129928 GEG129863:GEH129928 FUK129863:FUL129928 FKO129863:FKP129928 FAS129863:FAT129928 EQW129863:EQX129928 EHA129863:EHB129928 DXE129863:DXF129928 DNI129863:DNJ129928 DDM129863:DDN129928 CTQ129863:CTR129928 CJU129863:CJV129928 BZY129863:BZZ129928 BQC129863:BQD129928 BGG129863:BGH129928 AWK129863:AWL129928 AMO129863:AMP129928 ACS129863:ACT129928 SW129863:SX129928 JA129863:JB129928 E129863:F129928 WVM64327:WVN64392 WLQ64327:WLR64392 WBU64327:WBV64392 VRY64327:VRZ64392 VIC64327:VID64392 UYG64327:UYH64392 UOK64327:UOL64392 UEO64327:UEP64392 TUS64327:TUT64392 TKW64327:TKX64392 TBA64327:TBB64392 SRE64327:SRF64392 SHI64327:SHJ64392 RXM64327:RXN64392 RNQ64327:RNR64392 RDU64327:RDV64392 QTY64327:QTZ64392 QKC64327:QKD64392 QAG64327:QAH64392 PQK64327:PQL64392 PGO64327:PGP64392 OWS64327:OWT64392 OMW64327:OMX64392 ODA64327:ODB64392 NTE64327:NTF64392 NJI64327:NJJ64392 MZM64327:MZN64392 MPQ64327:MPR64392 MFU64327:MFV64392 LVY64327:LVZ64392 LMC64327:LMD64392 LCG64327:LCH64392 KSK64327:KSL64392 KIO64327:KIP64392 JYS64327:JYT64392 JOW64327:JOX64392 JFA64327:JFB64392 IVE64327:IVF64392 ILI64327:ILJ64392 IBM64327:IBN64392 HRQ64327:HRR64392 HHU64327:HHV64392 GXY64327:GXZ64392 GOC64327:GOD64392 GEG64327:GEH64392 FUK64327:FUL64392 FKO64327:FKP64392 FAS64327:FAT64392 EQW64327:EQX64392 EHA64327:EHB64392 DXE64327:DXF64392 DNI64327:DNJ64392 DDM64327:DDN64392 CTQ64327:CTR64392 CJU64327:CJV64392 BZY64327:BZZ64392 BQC64327:BQD64392 BGG64327:BGH64392 AWK64327:AWL64392 AMO64327:AMP64392 ACS64327:ACT64392 SW64327:SX64392 WBU2:WBV52 VRY2:VRZ52 VIC2:VID52 UYG2:UYH52 UOK2:UOL52 UEO2:UEP52 TUS2:TUT52 TKW2:TKX52 TBA2:TBB52 SRE2:SRF52 SHI2:SHJ52 RXM2:RXN52 RNQ2:RNR52 RDU2:RDV52 QTY2:QTZ52 QKC2:QKD52 QAG2:QAH52 PQK2:PQL52 PGO2:PGP52 OWS2:OWT52 OMW2:OMX52 ODA2:ODB52 NTE2:NTF52 NJI2:NJJ52 MZM2:MZN52 MPQ2:MPR52 MFU2:MFV52 LVY2:LVZ52 LMC2:LMD52 LCG2:LCH52 KSK2:KSL52 KIO2:KIP52 JYS2:JYT52 JOW2:JOX52 JFA2:JFB52 IVE2:IVF52 ILI2:ILJ52 IBM2:IBN52 HRQ2:HRR52 HHU2:HHV52 GXY2:GXZ52 GOC2:GOD52 GEG2:GEH52 FUK2:FUL52 FKO2:FKP52 FAS2:FAT52 EQW2:EQX52 EHA2:EHB52 DXE2:DXF52 DNI2:DNJ52 DDM2:DDN52 CTQ2:CTR52 CJU2:CJV52 BZY2:BZZ52 BQC2:BQD52 BGG2:BGH52 AWK2:AWL52 AMO2:AMP52 ACS2:ACT52 SW2:SX52 JA2:JB52 WVM2:WVN52 WLQ2:WLR52" xr:uid="{3AAB0D24-A2EB-4072-85D9-3036B6C9EFE8}">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D1C86-1857-4F6B-B429-029C0C14285B}">
  <dimension ref="A1:BA443"/>
  <sheetViews>
    <sheetView zoomScale="85" zoomScaleNormal="85" zoomScaleSheetLayoutView="100" workbookViewId="0">
      <selection activeCell="R56" sqref="R56"/>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355</v>
      </c>
      <c r="G1" s="45" t="s">
        <v>6</v>
      </c>
      <c r="H1" s="45" t="s">
        <v>7</v>
      </c>
      <c r="I1" s="45" t="s">
        <v>8</v>
      </c>
      <c r="J1" s="45" t="s">
        <v>9</v>
      </c>
      <c r="K1" s="140"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1"/>
      <c r="AJ1" s="142" t="s">
        <v>6</v>
      </c>
      <c r="AK1" s="141"/>
      <c r="AL1" s="143" t="s">
        <v>7</v>
      </c>
      <c r="AM1" s="141"/>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4" t="s">
        <v>34</v>
      </c>
      <c r="B2" s="144" t="s">
        <v>236</v>
      </c>
      <c r="C2" s="144">
        <v>2019</v>
      </c>
      <c r="D2" s="145" t="s">
        <v>167</v>
      </c>
      <c r="E2" s="144" t="s">
        <v>356</v>
      </c>
      <c r="F2" s="144" t="s">
        <v>357</v>
      </c>
      <c r="G2" s="146" t="s">
        <v>36</v>
      </c>
      <c r="H2" s="147" t="s">
        <v>164</v>
      </c>
      <c r="I2" s="127" t="s">
        <v>159</v>
      </c>
      <c r="J2" s="148" t="s">
        <v>38</v>
      </c>
      <c r="K2" s="127" t="s">
        <v>161</v>
      </c>
      <c r="L2" s="149">
        <v>1</v>
      </c>
      <c r="M2" s="150"/>
      <c r="N2" s="150">
        <v>4</v>
      </c>
      <c r="O2" s="150">
        <v>0.8</v>
      </c>
      <c r="P2" s="150">
        <v>0.7</v>
      </c>
      <c r="Q2" s="151">
        <f>IF(OR(O2="",P2=""),"",AVERAGE(O2,P2))</f>
        <v>0.75</v>
      </c>
      <c r="R2" s="152">
        <v>14.8</v>
      </c>
      <c r="S2" s="147">
        <v>83</v>
      </c>
      <c r="T2" s="153">
        <f t="shared" ref="T2:T65" si="0">IF(H2="","",IF(OR(H2="GREEN",H2="GK"),IF(S2&gt;=$AX$2,VLOOKUP(S2,$AX$2:$AY$7,2,1),""),IF(S2&gt;=$AZ$2,VLOOKUP(S2,$AZ$2:$BA$7,2,1),"")))</f>
        <v>39</v>
      </c>
      <c r="U2" s="127">
        <v>398</v>
      </c>
      <c r="V2" s="153">
        <f>IF(OR(N2="",U2="",T2=""),"",U2/N2*T2)</f>
        <v>3880.5</v>
      </c>
      <c r="W2" s="154">
        <v>4</v>
      </c>
      <c r="X2" s="155" t="s">
        <v>39</v>
      </c>
      <c r="Y2" s="155" t="s">
        <v>84</v>
      </c>
      <c r="Z2" s="155" t="s">
        <v>69</v>
      </c>
      <c r="AA2" s="155" t="s">
        <v>90</v>
      </c>
      <c r="AB2" s="53" t="s">
        <v>240</v>
      </c>
      <c r="AE2" s="64" t="s">
        <v>35</v>
      </c>
      <c r="AG2" s="67" t="s">
        <v>356</v>
      </c>
      <c r="AH2" s="67" t="s">
        <v>357</v>
      </c>
      <c r="AJ2" s="130" t="s">
        <v>36</v>
      </c>
      <c r="AL2" s="67" t="s">
        <v>127</v>
      </c>
      <c r="AN2" s="67" t="s">
        <v>37</v>
      </c>
      <c r="AP2" s="67" t="s">
        <v>38</v>
      </c>
      <c r="AR2" s="67" t="s">
        <v>120</v>
      </c>
      <c r="AT2" s="67" t="s">
        <v>39</v>
      </c>
      <c r="AV2" s="67" t="s">
        <v>40</v>
      </c>
      <c r="AX2" s="68">
        <v>1</v>
      </c>
      <c r="AY2" s="69">
        <v>50</v>
      </c>
      <c r="AZ2" s="69">
        <v>1</v>
      </c>
      <c r="BA2" s="70">
        <v>50</v>
      </c>
    </row>
    <row r="3" spans="1:53" x14ac:dyDescent="0.15">
      <c r="A3" s="156" t="s">
        <v>34</v>
      </c>
      <c r="B3" s="156" t="s">
        <v>157</v>
      </c>
      <c r="C3" s="157">
        <v>2019</v>
      </c>
      <c r="D3" s="158" t="s">
        <v>166</v>
      </c>
      <c r="E3" s="156" t="s">
        <v>356</v>
      </c>
      <c r="F3" s="156" t="s">
        <v>357</v>
      </c>
      <c r="G3" s="159" t="s">
        <v>36</v>
      </c>
      <c r="H3" s="127" t="s">
        <v>164</v>
      </c>
      <c r="I3" s="127" t="s">
        <v>159</v>
      </c>
      <c r="J3" s="127" t="s">
        <v>38</v>
      </c>
      <c r="K3" s="127" t="s">
        <v>161</v>
      </c>
      <c r="L3" s="53">
        <v>2</v>
      </c>
      <c r="N3" s="53">
        <v>4</v>
      </c>
      <c r="O3" s="53">
        <v>1</v>
      </c>
      <c r="P3" s="34">
        <v>1.1000000000000001</v>
      </c>
      <c r="Q3" s="160">
        <f t="shared" ref="Q3:Q43" si="1">IF(OR(O3="",P3=""),"",AVERAGE(O3,P3))</f>
        <v>1.05</v>
      </c>
      <c r="R3" s="161">
        <v>14.1</v>
      </c>
      <c r="S3" s="161">
        <v>92</v>
      </c>
      <c r="T3" s="16">
        <f t="shared" si="0"/>
        <v>36</v>
      </c>
      <c r="U3" s="162">
        <v>398</v>
      </c>
      <c r="V3" s="38">
        <f t="shared" ref="V3:V66" si="2">IF(OR(N3="",U3="",T3=""),"",U3/N3*T3)</f>
        <v>3582</v>
      </c>
      <c r="W3" s="163">
        <v>4</v>
      </c>
      <c r="X3" s="164" t="s">
        <v>39</v>
      </c>
      <c r="Y3" s="164" t="s">
        <v>84</v>
      </c>
      <c r="Z3" s="164" t="s">
        <v>69</v>
      </c>
      <c r="AA3" s="155" t="s">
        <v>90</v>
      </c>
      <c r="AB3" s="53" t="s">
        <v>158</v>
      </c>
      <c r="AE3" s="22" t="s">
        <v>41</v>
      </c>
      <c r="AG3" s="67" t="s">
        <v>358</v>
      </c>
      <c r="AH3" s="67" t="s">
        <v>359</v>
      </c>
      <c r="AJ3" s="165" t="s">
        <v>42</v>
      </c>
      <c r="AL3" s="23" t="s">
        <v>128</v>
      </c>
      <c r="AN3" s="23" t="s">
        <v>43</v>
      </c>
      <c r="AP3" s="23" t="s">
        <v>44</v>
      </c>
      <c r="AR3" s="23" t="s">
        <v>45</v>
      </c>
      <c r="AT3" s="23" t="s">
        <v>46</v>
      </c>
      <c r="AV3" s="23" t="s">
        <v>47</v>
      </c>
      <c r="AX3" s="24">
        <v>72</v>
      </c>
      <c r="AY3" s="25">
        <v>46</v>
      </c>
      <c r="AZ3" s="25">
        <v>71</v>
      </c>
      <c r="BA3" s="26">
        <v>42</v>
      </c>
    </row>
    <row r="4" spans="1:53" x14ac:dyDescent="0.15">
      <c r="A4" s="156" t="s">
        <v>34</v>
      </c>
      <c r="B4" s="156" t="s">
        <v>157</v>
      </c>
      <c r="C4" s="156">
        <v>2019</v>
      </c>
      <c r="D4" s="158" t="s">
        <v>166</v>
      </c>
      <c r="E4" s="156" t="s">
        <v>356</v>
      </c>
      <c r="F4" s="156" t="s">
        <v>357</v>
      </c>
      <c r="G4" s="159" t="s">
        <v>36</v>
      </c>
      <c r="H4" s="127" t="s">
        <v>164</v>
      </c>
      <c r="I4" s="127" t="s">
        <v>159</v>
      </c>
      <c r="J4" s="127" t="s">
        <v>38</v>
      </c>
      <c r="K4" s="127" t="s">
        <v>161</v>
      </c>
      <c r="L4" s="53">
        <v>3</v>
      </c>
      <c r="N4" s="53">
        <v>4</v>
      </c>
      <c r="O4" s="53">
        <v>0.85</v>
      </c>
      <c r="P4" s="34">
        <v>0.9</v>
      </c>
      <c r="Q4" s="74">
        <f t="shared" si="1"/>
        <v>0.875</v>
      </c>
      <c r="R4" s="166">
        <v>14.3</v>
      </c>
      <c r="S4" s="166">
        <v>87</v>
      </c>
      <c r="T4" s="16">
        <f t="shared" si="0"/>
        <v>36</v>
      </c>
      <c r="U4" s="167">
        <v>398</v>
      </c>
      <c r="V4" s="38">
        <f t="shared" si="2"/>
        <v>3582</v>
      </c>
      <c r="W4" s="163">
        <v>4</v>
      </c>
      <c r="X4" s="164" t="s">
        <v>39</v>
      </c>
      <c r="Y4" s="164" t="s">
        <v>84</v>
      </c>
      <c r="Z4" s="164" t="s">
        <v>69</v>
      </c>
      <c r="AA4" s="155" t="s">
        <v>90</v>
      </c>
      <c r="AB4" s="53" t="s">
        <v>158</v>
      </c>
      <c r="AE4" s="22" t="s">
        <v>34</v>
      </c>
      <c r="AG4" s="67" t="s">
        <v>360</v>
      </c>
      <c r="AH4" s="67" t="s">
        <v>359</v>
      </c>
      <c r="AJ4" s="168" t="s">
        <v>48</v>
      </c>
      <c r="AL4" s="27" t="s">
        <v>129</v>
      </c>
      <c r="AN4" s="28" t="s">
        <v>49</v>
      </c>
      <c r="AP4" s="23" t="s">
        <v>93</v>
      </c>
      <c r="AR4" s="23" t="s">
        <v>121</v>
      </c>
      <c r="AT4" s="28"/>
      <c r="AV4" s="23" t="s">
        <v>50</v>
      </c>
      <c r="AX4" s="24">
        <v>75</v>
      </c>
      <c r="AY4" s="25">
        <v>42</v>
      </c>
      <c r="AZ4" s="25">
        <v>76</v>
      </c>
      <c r="BA4" s="26">
        <v>39</v>
      </c>
    </row>
    <row r="5" spans="1:53" x14ac:dyDescent="0.15">
      <c r="A5" s="156" t="s">
        <v>34</v>
      </c>
      <c r="B5" s="156" t="s">
        <v>157</v>
      </c>
      <c r="C5" s="157">
        <v>2019</v>
      </c>
      <c r="D5" s="158" t="s">
        <v>166</v>
      </c>
      <c r="E5" s="156" t="s">
        <v>358</v>
      </c>
      <c r="F5" s="156" t="s">
        <v>359</v>
      </c>
      <c r="G5" s="159" t="s">
        <v>36</v>
      </c>
      <c r="H5" s="127" t="s">
        <v>164</v>
      </c>
      <c r="I5" s="127" t="s">
        <v>159</v>
      </c>
      <c r="J5" s="127" t="s">
        <v>38</v>
      </c>
      <c r="K5" s="127" t="s">
        <v>161</v>
      </c>
      <c r="L5" s="53">
        <v>1</v>
      </c>
      <c r="N5" s="53">
        <v>1</v>
      </c>
      <c r="O5" s="53">
        <v>0.55000000000000004</v>
      </c>
      <c r="P5" s="53">
        <v>0.6</v>
      </c>
      <c r="Q5" s="74">
        <f t="shared" si="1"/>
        <v>0.57499999999999996</v>
      </c>
      <c r="R5" s="166">
        <v>13.8</v>
      </c>
      <c r="S5" s="166">
        <v>127</v>
      </c>
      <c r="T5" s="16">
        <f t="shared" si="0"/>
        <v>30</v>
      </c>
      <c r="U5" s="167">
        <v>68</v>
      </c>
      <c r="V5" s="38">
        <f t="shared" si="2"/>
        <v>2040</v>
      </c>
      <c r="W5" s="163">
        <v>2</v>
      </c>
      <c r="X5" s="164" t="s">
        <v>46</v>
      </c>
      <c r="Y5" s="164" t="s">
        <v>84</v>
      </c>
      <c r="Z5" s="164" t="s">
        <v>90</v>
      </c>
      <c r="AA5" s="155" t="s">
        <v>69</v>
      </c>
      <c r="AB5" s="53" t="s">
        <v>158</v>
      </c>
      <c r="AE5" s="22" t="s">
        <v>51</v>
      </c>
      <c r="AG5" s="67" t="s">
        <v>356</v>
      </c>
      <c r="AH5" s="67" t="s">
        <v>361</v>
      </c>
      <c r="AJ5" s="169"/>
      <c r="AL5" s="73" t="s">
        <v>66</v>
      </c>
      <c r="AN5" s="73" t="s">
        <v>52</v>
      </c>
      <c r="AP5" s="23" t="s">
        <v>119</v>
      </c>
      <c r="AR5" s="23" t="s">
        <v>54</v>
      </c>
      <c r="AV5" s="23" t="s">
        <v>55</v>
      </c>
      <c r="AX5" s="24">
        <v>84</v>
      </c>
      <c r="AY5" s="25">
        <v>39</v>
      </c>
      <c r="AZ5" s="25">
        <v>84</v>
      </c>
      <c r="BA5" s="26">
        <v>36</v>
      </c>
    </row>
    <row r="6" spans="1:53" x14ac:dyDescent="0.15">
      <c r="A6" s="156" t="s">
        <v>34</v>
      </c>
      <c r="B6" s="156" t="s">
        <v>157</v>
      </c>
      <c r="C6" s="156">
        <v>2019</v>
      </c>
      <c r="D6" s="158" t="s">
        <v>166</v>
      </c>
      <c r="E6" s="156" t="s">
        <v>358</v>
      </c>
      <c r="F6" s="156" t="s">
        <v>359</v>
      </c>
      <c r="G6" s="159" t="s">
        <v>36</v>
      </c>
      <c r="H6" s="127" t="s">
        <v>164</v>
      </c>
      <c r="I6" s="127" t="s">
        <v>159</v>
      </c>
      <c r="J6" s="127" t="s">
        <v>38</v>
      </c>
      <c r="K6" s="127" t="s">
        <v>161</v>
      </c>
      <c r="L6" s="53">
        <v>2</v>
      </c>
      <c r="N6" s="53">
        <v>1</v>
      </c>
      <c r="O6" s="53">
        <v>0.6</v>
      </c>
      <c r="P6" s="53">
        <v>0.5</v>
      </c>
      <c r="Q6" s="74">
        <f t="shared" si="1"/>
        <v>0.55000000000000004</v>
      </c>
      <c r="R6" s="166">
        <v>14.4</v>
      </c>
      <c r="S6" s="166">
        <v>125</v>
      </c>
      <c r="T6" s="16">
        <f t="shared" si="0"/>
        <v>30</v>
      </c>
      <c r="U6" s="167">
        <v>68</v>
      </c>
      <c r="V6" s="38">
        <f t="shared" si="2"/>
        <v>2040</v>
      </c>
      <c r="W6" s="163">
        <v>2</v>
      </c>
      <c r="X6" s="164" t="s">
        <v>46</v>
      </c>
      <c r="Y6" s="164" t="s">
        <v>84</v>
      </c>
      <c r="Z6" s="164" t="s">
        <v>90</v>
      </c>
      <c r="AA6" s="155" t="s">
        <v>69</v>
      </c>
      <c r="AB6" s="53" t="s">
        <v>158</v>
      </c>
      <c r="AE6" s="22" t="s">
        <v>56</v>
      </c>
      <c r="AG6" s="67" t="s">
        <v>211</v>
      </c>
      <c r="AH6" s="67" t="s">
        <v>362</v>
      </c>
      <c r="AL6" s="73" t="s">
        <v>99</v>
      </c>
      <c r="AN6" s="73" t="s">
        <v>57</v>
      </c>
      <c r="AP6" s="23" t="s">
        <v>53</v>
      </c>
      <c r="AR6" s="23" t="s">
        <v>59</v>
      </c>
      <c r="AV6" s="23" t="s">
        <v>60</v>
      </c>
      <c r="AX6" s="24">
        <v>97</v>
      </c>
      <c r="AY6" s="25">
        <v>36</v>
      </c>
      <c r="AZ6" s="25">
        <v>99</v>
      </c>
      <c r="BA6" s="26">
        <v>33</v>
      </c>
    </row>
    <row r="7" spans="1:53" x14ac:dyDescent="0.15">
      <c r="A7" s="156" t="s">
        <v>34</v>
      </c>
      <c r="B7" s="156" t="s">
        <v>157</v>
      </c>
      <c r="C7" s="157">
        <v>2019</v>
      </c>
      <c r="D7" s="158" t="s">
        <v>166</v>
      </c>
      <c r="E7" s="156" t="s">
        <v>358</v>
      </c>
      <c r="F7" s="156" t="s">
        <v>359</v>
      </c>
      <c r="G7" s="159" t="s">
        <v>36</v>
      </c>
      <c r="H7" s="127" t="s">
        <v>164</v>
      </c>
      <c r="I7" s="127" t="s">
        <v>159</v>
      </c>
      <c r="J7" s="127" t="s">
        <v>38</v>
      </c>
      <c r="K7" s="127" t="s">
        <v>161</v>
      </c>
      <c r="L7" s="53">
        <v>3</v>
      </c>
      <c r="N7" s="53">
        <v>1</v>
      </c>
      <c r="O7" s="53">
        <v>0.6</v>
      </c>
      <c r="P7" s="53">
        <v>0.55000000000000004</v>
      </c>
      <c r="Q7" s="74">
        <f t="shared" si="1"/>
        <v>0.57499999999999996</v>
      </c>
      <c r="R7" s="166">
        <v>14.2</v>
      </c>
      <c r="S7" s="166">
        <v>120</v>
      </c>
      <c r="T7" s="16">
        <f t="shared" si="0"/>
        <v>30</v>
      </c>
      <c r="U7" s="167">
        <v>68</v>
      </c>
      <c r="V7" s="38">
        <f t="shared" si="2"/>
        <v>2040</v>
      </c>
      <c r="W7" s="163">
        <v>2</v>
      </c>
      <c r="X7" s="164" t="s">
        <v>46</v>
      </c>
      <c r="Y7" s="164" t="s">
        <v>84</v>
      </c>
      <c r="Z7" s="164" t="s">
        <v>90</v>
      </c>
      <c r="AA7" s="155" t="s">
        <v>69</v>
      </c>
      <c r="AB7" s="53" t="s">
        <v>158</v>
      </c>
      <c r="AE7" s="22" t="s">
        <v>61</v>
      </c>
      <c r="AG7" s="67" t="s">
        <v>363</v>
      </c>
      <c r="AH7" s="67" t="s">
        <v>362</v>
      </c>
      <c r="AL7" s="34" t="s">
        <v>109</v>
      </c>
      <c r="AP7" s="23" t="s">
        <v>58</v>
      </c>
      <c r="AR7" s="23" t="s">
        <v>122</v>
      </c>
      <c r="AV7" s="23" t="s">
        <v>64</v>
      </c>
      <c r="AX7" s="24">
        <v>109</v>
      </c>
      <c r="AY7" s="25">
        <v>33</v>
      </c>
      <c r="AZ7" s="25">
        <v>113</v>
      </c>
      <c r="BA7" s="26">
        <v>30</v>
      </c>
    </row>
    <row r="8" spans="1:53" x14ac:dyDescent="0.15">
      <c r="A8" s="156" t="s">
        <v>34</v>
      </c>
      <c r="B8" s="156" t="s">
        <v>157</v>
      </c>
      <c r="C8" s="156">
        <v>2019</v>
      </c>
      <c r="D8" s="158" t="s">
        <v>166</v>
      </c>
      <c r="E8" s="157" t="s">
        <v>360</v>
      </c>
      <c r="F8" s="156" t="s">
        <v>359</v>
      </c>
      <c r="G8" s="159" t="s">
        <v>36</v>
      </c>
      <c r="H8" s="127" t="s">
        <v>164</v>
      </c>
      <c r="I8" s="127" t="s">
        <v>159</v>
      </c>
      <c r="J8" s="127" t="s">
        <v>38</v>
      </c>
      <c r="K8" s="127" t="s">
        <v>161</v>
      </c>
      <c r="L8" s="53">
        <v>1</v>
      </c>
      <c r="N8" s="53">
        <v>1</v>
      </c>
      <c r="O8" s="53">
        <v>0.7</v>
      </c>
      <c r="P8" s="53">
        <v>0.75</v>
      </c>
      <c r="Q8" s="74">
        <f t="shared" si="1"/>
        <v>0.72499999999999998</v>
      </c>
      <c r="R8" s="166">
        <v>15.5</v>
      </c>
      <c r="S8" s="166">
        <v>99</v>
      </c>
      <c r="T8" s="16">
        <f t="shared" si="0"/>
        <v>33</v>
      </c>
      <c r="U8" s="162">
        <v>79</v>
      </c>
      <c r="V8" s="38">
        <f t="shared" si="2"/>
        <v>2607</v>
      </c>
      <c r="W8" s="163">
        <v>2</v>
      </c>
      <c r="X8" s="164" t="s">
        <v>39</v>
      </c>
      <c r="Y8" s="170" t="s">
        <v>84</v>
      </c>
      <c r="Z8" s="164" t="s">
        <v>69</v>
      </c>
      <c r="AA8" s="155" t="s">
        <v>90</v>
      </c>
      <c r="AB8" s="53" t="s">
        <v>158</v>
      </c>
      <c r="AE8" s="22" t="s">
        <v>59</v>
      </c>
      <c r="AG8" s="67" t="s">
        <v>211</v>
      </c>
      <c r="AH8" s="67" t="s">
        <v>364</v>
      </c>
      <c r="AL8" s="34" t="s">
        <v>134</v>
      </c>
      <c r="AP8" s="23" t="s">
        <v>62</v>
      </c>
      <c r="AR8" s="23" t="s">
        <v>81</v>
      </c>
      <c r="AV8" s="23" t="s">
        <v>97</v>
      </c>
      <c r="AX8" s="24">
        <v>151</v>
      </c>
      <c r="AY8" s="25">
        <v>22</v>
      </c>
      <c r="AZ8" s="25">
        <v>152</v>
      </c>
      <c r="BA8" s="26">
        <v>18</v>
      </c>
    </row>
    <row r="9" spans="1:53" x14ac:dyDescent="0.15">
      <c r="A9" s="156" t="s">
        <v>34</v>
      </c>
      <c r="B9" s="156" t="s">
        <v>157</v>
      </c>
      <c r="C9" s="157">
        <v>2019</v>
      </c>
      <c r="D9" s="158" t="s">
        <v>166</v>
      </c>
      <c r="E9" s="157" t="s">
        <v>360</v>
      </c>
      <c r="F9" s="156" t="s">
        <v>359</v>
      </c>
      <c r="G9" s="159" t="s">
        <v>36</v>
      </c>
      <c r="H9" s="127" t="s">
        <v>164</v>
      </c>
      <c r="I9" s="127" t="s">
        <v>159</v>
      </c>
      <c r="J9" s="127" t="s">
        <v>38</v>
      </c>
      <c r="K9" s="127" t="s">
        <v>161</v>
      </c>
      <c r="L9" s="53">
        <v>2</v>
      </c>
      <c r="N9" s="53">
        <v>1</v>
      </c>
      <c r="O9" s="53">
        <v>0.6</v>
      </c>
      <c r="P9" s="53">
        <v>0.55000000000000004</v>
      </c>
      <c r="Q9" s="74">
        <f t="shared" si="1"/>
        <v>0.57499999999999996</v>
      </c>
      <c r="R9" s="166">
        <v>15.8</v>
      </c>
      <c r="S9" s="166">
        <v>93</v>
      </c>
      <c r="T9" s="16">
        <f t="shared" si="0"/>
        <v>36</v>
      </c>
      <c r="U9" s="162">
        <v>79</v>
      </c>
      <c r="V9" s="38">
        <f t="shared" si="2"/>
        <v>2844</v>
      </c>
      <c r="W9" s="163">
        <v>2</v>
      </c>
      <c r="X9" s="164" t="s">
        <v>39</v>
      </c>
      <c r="Y9" s="170" t="s">
        <v>84</v>
      </c>
      <c r="Z9" s="164" t="s">
        <v>69</v>
      </c>
      <c r="AA9" s="155" t="s">
        <v>90</v>
      </c>
      <c r="AB9" s="53" t="s">
        <v>158</v>
      </c>
      <c r="AE9" s="22" t="s">
        <v>98</v>
      </c>
      <c r="AG9" s="67" t="s">
        <v>139</v>
      </c>
      <c r="AH9" s="67" t="s">
        <v>364</v>
      </c>
      <c r="AL9" s="73"/>
      <c r="AP9" s="23" t="s">
        <v>95</v>
      </c>
      <c r="AR9" s="23" t="s">
        <v>89</v>
      </c>
      <c r="AV9" s="23" t="s">
        <v>102</v>
      </c>
      <c r="AX9" s="31">
        <v>180</v>
      </c>
      <c r="AY9" s="32">
        <v>18</v>
      </c>
      <c r="AZ9" s="32">
        <v>181</v>
      </c>
      <c r="BA9" s="33">
        <v>16</v>
      </c>
    </row>
    <row r="10" spans="1:53" x14ac:dyDescent="0.15">
      <c r="A10" s="156" t="s">
        <v>34</v>
      </c>
      <c r="B10" s="156" t="s">
        <v>157</v>
      </c>
      <c r="C10" s="156">
        <v>2019</v>
      </c>
      <c r="D10" s="158" t="s">
        <v>166</v>
      </c>
      <c r="E10" s="157" t="s">
        <v>360</v>
      </c>
      <c r="F10" s="156" t="s">
        <v>359</v>
      </c>
      <c r="G10" s="159" t="s">
        <v>36</v>
      </c>
      <c r="H10" s="127" t="s">
        <v>164</v>
      </c>
      <c r="I10" s="127" t="s">
        <v>159</v>
      </c>
      <c r="J10" s="127" t="s">
        <v>38</v>
      </c>
      <c r="K10" s="127" t="s">
        <v>161</v>
      </c>
      <c r="L10" s="53">
        <v>3</v>
      </c>
      <c r="N10" s="53">
        <v>1</v>
      </c>
      <c r="O10" s="53">
        <v>0.65</v>
      </c>
      <c r="P10" s="53">
        <v>0.7</v>
      </c>
      <c r="Q10" s="74">
        <f t="shared" si="1"/>
        <v>0.67500000000000004</v>
      </c>
      <c r="R10" s="166">
        <v>15.4</v>
      </c>
      <c r="S10" s="166">
        <v>108</v>
      </c>
      <c r="T10" s="16">
        <f t="shared" si="0"/>
        <v>33</v>
      </c>
      <c r="U10" s="162">
        <v>79</v>
      </c>
      <c r="V10" s="38">
        <f t="shared" si="2"/>
        <v>2607</v>
      </c>
      <c r="W10" s="163">
        <v>2</v>
      </c>
      <c r="X10" s="164" t="s">
        <v>39</v>
      </c>
      <c r="Y10" s="170" t="s">
        <v>84</v>
      </c>
      <c r="Z10" s="164" t="s">
        <v>69</v>
      </c>
      <c r="AA10" s="155" t="s">
        <v>90</v>
      </c>
      <c r="AB10" s="53" t="s">
        <v>158</v>
      </c>
      <c r="AE10" s="22" t="s">
        <v>103</v>
      </c>
      <c r="AG10" s="67" t="s">
        <v>133</v>
      </c>
      <c r="AH10" s="67" t="s">
        <v>365</v>
      </c>
      <c r="AL10" s="34"/>
      <c r="AP10" s="23" t="s">
        <v>100</v>
      </c>
      <c r="AR10" s="23" t="s">
        <v>123</v>
      </c>
      <c r="AV10" s="23" t="s">
        <v>106</v>
      </c>
    </row>
    <row r="11" spans="1:53" x14ac:dyDescent="0.15">
      <c r="A11" s="156" t="s">
        <v>34</v>
      </c>
      <c r="B11" s="156" t="s">
        <v>157</v>
      </c>
      <c r="C11" s="157">
        <v>2019</v>
      </c>
      <c r="D11" s="158" t="s">
        <v>166</v>
      </c>
      <c r="E11" s="157" t="s">
        <v>356</v>
      </c>
      <c r="F11" s="156" t="s">
        <v>361</v>
      </c>
      <c r="G11" s="159" t="s">
        <v>36</v>
      </c>
      <c r="H11" s="127" t="s">
        <v>164</v>
      </c>
      <c r="I11" s="127" t="s">
        <v>159</v>
      </c>
      <c r="J11" s="127" t="s">
        <v>38</v>
      </c>
      <c r="K11" s="127" t="s">
        <v>161</v>
      </c>
      <c r="L11" s="53">
        <v>1</v>
      </c>
      <c r="N11" s="53">
        <v>4</v>
      </c>
      <c r="O11" s="53">
        <v>0.95</v>
      </c>
      <c r="P11" s="53">
        <v>0.85</v>
      </c>
      <c r="Q11" s="74">
        <f t="shared" si="1"/>
        <v>0.89999999999999991</v>
      </c>
      <c r="R11" s="166">
        <v>14.5</v>
      </c>
      <c r="S11" s="166">
        <v>86</v>
      </c>
      <c r="T11" s="16">
        <f t="shared" si="0"/>
        <v>36</v>
      </c>
      <c r="U11" s="162">
        <v>398</v>
      </c>
      <c r="V11" s="38">
        <f t="shared" si="2"/>
        <v>3582</v>
      </c>
      <c r="W11" s="163">
        <v>6</v>
      </c>
      <c r="X11" s="164" t="s">
        <v>39</v>
      </c>
      <c r="Y11" s="170" t="s">
        <v>84</v>
      </c>
      <c r="Z11" s="164" t="s">
        <v>50</v>
      </c>
      <c r="AA11" s="170" t="s">
        <v>40</v>
      </c>
      <c r="AB11" s="53" t="s">
        <v>158</v>
      </c>
      <c r="AE11" s="22" t="s">
        <v>65</v>
      </c>
      <c r="AG11" s="23" t="s">
        <v>273</v>
      </c>
      <c r="AH11" s="23" t="s">
        <v>366</v>
      </c>
      <c r="AL11" s="34"/>
      <c r="AP11" s="23" t="s">
        <v>104</v>
      </c>
      <c r="AR11" s="23" t="s">
        <v>87</v>
      </c>
      <c r="AV11" s="23" t="s">
        <v>69</v>
      </c>
    </row>
    <row r="12" spans="1:53" x14ac:dyDescent="0.15">
      <c r="A12" s="156" t="s">
        <v>34</v>
      </c>
      <c r="B12" s="156" t="s">
        <v>157</v>
      </c>
      <c r="C12" s="156">
        <v>2019</v>
      </c>
      <c r="D12" s="158" t="s">
        <v>166</v>
      </c>
      <c r="E12" s="157" t="s">
        <v>356</v>
      </c>
      <c r="F12" s="156" t="s">
        <v>361</v>
      </c>
      <c r="G12" s="159" t="s">
        <v>36</v>
      </c>
      <c r="H12" s="127" t="s">
        <v>164</v>
      </c>
      <c r="I12" s="127" t="s">
        <v>159</v>
      </c>
      <c r="J12" s="127" t="s">
        <v>38</v>
      </c>
      <c r="K12" s="127" t="s">
        <v>161</v>
      </c>
      <c r="L12" s="53">
        <v>2</v>
      </c>
      <c r="N12" s="53">
        <v>4</v>
      </c>
      <c r="O12" s="53">
        <v>0.75</v>
      </c>
      <c r="P12" s="53">
        <v>0.8</v>
      </c>
      <c r="Q12" s="74">
        <f t="shared" si="1"/>
        <v>0.77500000000000002</v>
      </c>
      <c r="R12" s="166">
        <v>14</v>
      </c>
      <c r="S12" s="166">
        <v>91</v>
      </c>
      <c r="T12" s="16">
        <f t="shared" si="0"/>
        <v>36</v>
      </c>
      <c r="U12" s="162">
        <v>398</v>
      </c>
      <c r="V12" s="38">
        <f t="shared" si="2"/>
        <v>3582</v>
      </c>
      <c r="W12" s="163">
        <v>6</v>
      </c>
      <c r="X12" s="164" t="s">
        <v>39</v>
      </c>
      <c r="Y12" s="170" t="s">
        <v>84</v>
      </c>
      <c r="Z12" s="164" t="s">
        <v>50</v>
      </c>
      <c r="AA12" s="170" t="s">
        <v>40</v>
      </c>
      <c r="AB12" s="53" t="s">
        <v>158</v>
      </c>
      <c r="AE12" s="22" t="s">
        <v>70</v>
      </c>
      <c r="AG12" s="23"/>
      <c r="AH12" s="23"/>
      <c r="AL12" s="34"/>
      <c r="AP12" s="23" t="s">
        <v>67</v>
      </c>
      <c r="AR12" s="23" t="s">
        <v>124</v>
      </c>
      <c r="AV12" s="23" t="s">
        <v>72</v>
      </c>
    </row>
    <row r="13" spans="1:53" x14ac:dyDescent="0.15">
      <c r="A13" s="156" t="s">
        <v>34</v>
      </c>
      <c r="B13" s="156" t="s">
        <v>157</v>
      </c>
      <c r="C13" s="157">
        <v>2019</v>
      </c>
      <c r="D13" s="158" t="s">
        <v>166</v>
      </c>
      <c r="E13" s="157" t="s">
        <v>356</v>
      </c>
      <c r="F13" s="156" t="s">
        <v>361</v>
      </c>
      <c r="G13" s="159" t="s">
        <v>36</v>
      </c>
      <c r="H13" s="127" t="s">
        <v>164</v>
      </c>
      <c r="I13" s="127" t="s">
        <v>159</v>
      </c>
      <c r="J13" s="127" t="s">
        <v>38</v>
      </c>
      <c r="K13" s="127" t="s">
        <v>161</v>
      </c>
      <c r="L13" s="53">
        <v>3</v>
      </c>
      <c r="N13" s="53">
        <v>4</v>
      </c>
      <c r="O13" s="53">
        <v>0.8</v>
      </c>
      <c r="P13" s="53">
        <v>0.85</v>
      </c>
      <c r="Q13" s="74">
        <f t="shared" si="1"/>
        <v>0.82499999999999996</v>
      </c>
      <c r="R13" s="166">
        <v>14.4</v>
      </c>
      <c r="S13" s="166">
        <v>86</v>
      </c>
      <c r="T13" s="16">
        <f t="shared" si="0"/>
        <v>36</v>
      </c>
      <c r="U13" s="162">
        <v>398</v>
      </c>
      <c r="V13" s="38">
        <f t="shared" si="2"/>
        <v>3582</v>
      </c>
      <c r="W13" s="163">
        <v>6</v>
      </c>
      <c r="X13" s="164" t="s">
        <v>39</v>
      </c>
      <c r="Y13" s="170" t="s">
        <v>84</v>
      </c>
      <c r="Z13" s="164" t="s">
        <v>50</v>
      </c>
      <c r="AA13" s="170" t="s">
        <v>40</v>
      </c>
      <c r="AB13" s="53" t="s">
        <v>158</v>
      </c>
      <c r="AE13" s="22" t="s">
        <v>73</v>
      </c>
      <c r="AG13" s="28"/>
      <c r="AH13" s="28"/>
      <c r="AP13" s="23" t="s">
        <v>71</v>
      </c>
      <c r="AR13" s="23" t="s">
        <v>103</v>
      </c>
      <c r="AV13" s="23" t="s">
        <v>75</v>
      </c>
    </row>
    <row r="14" spans="1:53" x14ac:dyDescent="0.15">
      <c r="A14" s="156" t="s">
        <v>34</v>
      </c>
      <c r="B14" s="156" t="s">
        <v>157</v>
      </c>
      <c r="C14" s="156">
        <v>2019</v>
      </c>
      <c r="D14" s="158" t="s">
        <v>166</v>
      </c>
      <c r="E14" s="157" t="s">
        <v>356</v>
      </c>
      <c r="F14" s="156" t="s">
        <v>361</v>
      </c>
      <c r="G14" s="159" t="s">
        <v>36</v>
      </c>
      <c r="H14" s="127" t="s">
        <v>168</v>
      </c>
      <c r="I14" s="127" t="s">
        <v>159</v>
      </c>
      <c r="J14" s="127" t="s">
        <v>38</v>
      </c>
      <c r="K14" s="127" t="s">
        <v>54</v>
      </c>
      <c r="L14" s="53">
        <v>1</v>
      </c>
      <c r="N14" s="53">
        <v>4</v>
      </c>
      <c r="O14" s="53">
        <v>1.1499999999999999</v>
      </c>
      <c r="P14" s="53">
        <v>1.2</v>
      </c>
      <c r="Q14" s="74">
        <f t="shared" si="1"/>
        <v>1.1749999999999998</v>
      </c>
      <c r="R14" s="166">
        <v>16.600000000000001</v>
      </c>
      <c r="S14" s="166">
        <v>117</v>
      </c>
      <c r="T14" s="16">
        <f t="shared" si="0"/>
        <v>33</v>
      </c>
      <c r="U14" s="162">
        <v>498</v>
      </c>
      <c r="V14" s="38">
        <f t="shared" si="2"/>
        <v>4108.5</v>
      </c>
      <c r="W14" s="163">
        <v>6</v>
      </c>
      <c r="X14" s="164" t="s">
        <v>39</v>
      </c>
      <c r="Y14" s="170" t="s">
        <v>84</v>
      </c>
      <c r="Z14" s="170" t="s">
        <v>50</v>
      </c>
      <c r="AA14" s="170" t="s">
        <v>40</v>
      </c>
      <c r="AB14" s="53" t="s">
        <v>158</v>
      </c>
      <c r="AC14" s="34"/>
      <c r="AE14" s="22" t="s">
        <v>76</v>
      </c>
      <c r="AP14" s="23" t="s">
        <v>74</v>
      </c>
      <c r="AR14" s="23" t="s">
        <v>125</v>
      </c>
      <c r="AV14" s="23" t="s">
        <v>78</v>
      </c>
    </row>
    <row r="15" spans="1:53" x14ac:dyDescent="0.15">
      <c r="A15" s="156" t="s">
        <v>34</v>
      </c>
      <c r="B15" s="156" t="s">
        <v>157</v>
      </c>
      <c r="C15" s="157">
        <v>2019</v>
      </c>
      <c r="D15" s="158" t="s">
        <v>166</v>
      </c>
      <c r="E15" s="157" t="s">
        <v>356</v>
      </c>
      <c r="F15" s="156" t="s">
        <v>361</v>
      </c>
      <c r="G15" s="159" t="s">
        <v>36</v>
      </c>
      <c r="H15" s="127" t="s">
        <v>168</v>
      </c>
      <c r="I15" s="127" t="s">
        <v>159</v>
      </c>
      <c r="J15" s="127" t="s">
        <v>38</v>
      </c>
      <c r="K15" s="127" t="s">
        <v>54</v>
      </c>
      <c r="L15" s="53">
        <v>2</v>
      </c>
      <c r="N15" s="53">
        <v>4</v>
      </c>
      <c r="O15" s="53">
        <v>1.3</v>
      </c>
      <c r="P15" s="53">
        <v>1.1499999999999999</v>
      </c>
      <c r="Q15" s="74">
        <f t="shared" si="1"/>
        <v>1.2250000000000001</v>
      </c>
      <c r="R15" s="166">
        <v>15.4</v>
      </c>
      <c r="S15" s="166">
        <v>112</v>
      </c>
      <c r="T15" s="16">
        <f t="shared" si="0"/>
        <v>33</v>
      </c>
      <c r="U15" s="162">
        <v>498</v>
      </c>
      <c r="V15" s="38">
        <f t="shared" si="2"/>
        <v>4108.5</v>
      </c>
      <c r="W15" s="163">
        <v>6</v>
      </c>
      <c r="X15" s="164" t="s">
        <v>39</v>
      </c>
      <c r="Y15" s="170" t="s">
        <v>84</v>
      </c>
      <c r="Z15" s="170" t="s">
        <v>50</v>
      </c>
      <c r="AA15" s="170" t="s">
        <v>40</v>
      </c>
      <c r="AB15" s="53" t="s">
        <v>158</v>
      </c>
      <c r="AC15" s="34"/>
      <c r="AE15" s="22" t="s">
        <v>79</v>
      </c>
      <c r="AP15" s="23" t="s">
        <v>77</v>
      </c>
      <c r="AR15" s="23" t="s">
        <v>94</v>
      </c>
      <c r="AV15" s="23" t="s">
        <v>107</v>
      </c>
    </row>
    <row r="16" spans="1:53" x14ac:dyDescent="0.15">
      <c r="A16" s="156" t="s">
        <v>34</v>
      </c>
      <c r="B16" s="156" t="s">
        <v>157</v>
      </c>
      <c r="C16" s="156">
        <v>2019</v>
      </c>
      <c r="D16" s="158" t="s">
        <v>166</v>
      </c>
      <c r="E16" s="157" t="s">
        <v>356</v>
      </c>
      <c r="F16" s="156" t="s">
        <v>361</v>
      </c>
      <c r="G16" s="159" t="s">
        <v>36</v>
      </c>
      <c r="H16" s="127" t="s">
        <v>168</v>
      </c>
      <c r="I16" s="127" t="s">
        <v>159</v>
      </c>
      <c r="J16" s="127" t="s">
        <v>38</v>
      </c>
      <c r="K16" s="127" t="s">
        <v>54</v>
      </c>
      <c r="L16" s="53">
        <v>3</v>
      </c>
      <c r="N16" s="53">
        <v>4</v>
      </c>
      <c r="O16" s="53">
        <v>1.25</v>
      </c>
      <c r="P16" s="53">
        <v>1.1499999999999999</v>
      </c>
      <c r="Q16" s="74">
        <f t="shared" si="1"/>
        <v>1.2</v>
      </c>
      <c r="R16" s="166">
        <v>15.5</v>
      </c>
      <c r="S16" s="166">
        <v>116</v>
      </c>
      <c r="T16" s="16">
        <f t="shared" si="0"/>
        <v>33</v>
      </c>
      <c r="U16" s="162">
        <v>498</v>
      </c>
      <c r="V16" s="38">
        <f t="shared" si="2"/>
        <v>4108.5</v>
      </c>
      <c r="W16" s="163">
        <v>6</v>
      </c>
      <c r="X16" s="164" t="s">
        <v>39</v>
      </c>
      <c r="Y16" s="170" t="s">
        <v>84</v>
      </c>
      <c r="Z16" s="170" t="s">
        <v>50</v>
      </c>
      <c r="AA16" s="170" t="s">
        <v>40</v>
      </c>
      <c r="AB16" s="53" t="s">
        <v>158</v>
      </c>
      <c r="AC16" s="34"/>
      <c r="AE16" s="22" t="s">
        <v>82</v>
      </c>
      <c r="AP16" s="23" t="s">
        <v>80</v>
      </c>
      <c r="AR16" s="23" t="s">
        <v>63</v>
      </c>
      <c r="AV16" s="23" t="s">
        <v>84</v>
      </c>
    </row>
    <row r="17" spans="1:48" x14ac:dyDescent="0.15">
      <c r="A17" s="156" t="s">
        <v>34</v>
      </c>
      <c r="B17" s="156" t="s">
        <v>236</v>
      </c>
      <c r="C17" s="157">
        <v>2019</v>
      </c>
      <c r="D17" s="158" t="s">
        <v>166</v>
      </c>
      <c r="E17" s="157" t="s">
        <v>211</v>
      </c>
      <c r="F17" s="156" t="s">
        <v>362</v>
      </c>
      <c r="G17" s="159" t="s">
        <v>42</v>
      </c>
      <c r="H17" s="127" t="s">
        <v>164</v>
      </c>
      <c r="I17" s="127" t="s">
        <v>159</v>
      </c>
      <c r="J17" s="127" t="s">
        <v>38</v>
      </c>
      <c r="K17" s="127" t="s">
        <v>161</v>
      </c>
      <c r="L17" s="53">
        <v>1</v>
      </c>
      <c r="N17" s="53">
        <v>4</v>
      </c>
      <c r="O17" s="53">
        <v>0.35</v>
      </c>
      <c r="P17" s="53">
        <v>0.3</v>
      </c>
      <c r="Q17" s="74">
        <f t="shared" si="1"/>
        <v>0.32499999999999996</v>
      </c>
      <c r="R17" s="166">
        <v>16.5</v>
      </c>
      <c r="S17" s="166">
        <v>100</v>
      </c>
      <c r="T17" s="16">
        <f t="shared" si="0"/>
        <v>33</v>
      </c>
      <c r="U17" s="162">
        <v>377</v>
      </c>
      <c r="V17" s="38">
        <f t="shared" si="2"/>
        <v>3110.25</v>
      </c>
      <c r="W17" s="163">
        <v>1</v>
      </c>
      <c r="X17" s="164" t="s">
        <v>46</v>
      </c>
      <c r="Y17" s="170" t="s">
        <v>90</v>
      </c>
      <c r="Z17" s="170" t="s">
        <v>84</v>
      </c>
      <c r="AA17" s="170" t="s">
        <v>69</v>
      </c>
      <c r="AB17" s="53" t="s">
        <v>158</v>
      </c>
      <c r="AC17" s="34"/>
      <c r="AE17" s="22" t="s">
        <v>85</v>
      </c>
      <c r="AP17" s="27" t="s">
        <v>110</v>
      </c>
      <c r="AR17" s="23" t="s">
        <v>96</v>
      </c>
      <c r="AV17" s="23" t="s">
        <v>86</v>
      </c>
    </row>
    <row r="18" spans="1:48" x14ac:dyDescent="0.15">
      <c r="A18" s="156" t="s">
        <v>34</v>
      </c>
      <c r="B18" s="156" t="s">
        <v>157</v>
      </c>
      <c r="C18" s="156">
        <v>2019</v>
      </c>
      <c r="D18" s="158" t="s">
        <v>166</v>
      </c>
      <c r="E18" s="157" t="s">
        <v>211</v>
      </c>
      <c r="F18" s="156" t="s">
        <v>362</v>
      </c>
      <c r="G18" s="159" t="s">
        <v>42</v>
      </c>
      <c r="H18" s="127" t="s">
        <v>164</v>
      </c>
      <c r="I18" s="127" t="s">
        <v>159</v>
      </c>
      <c r="J18" s="127" t="s">
        <v>38</v>
      </c>
      <c r="K18" s="127" t="s">
        <v>161</v>
      </c>
      <c r="L18" s="53">
        <v>2</v>
      </c>
      <c r="N18" s="53">
        <v>4</v>
      </c>
      <c r="O18" s="53">
        <v>0.4</v>
      </c>
      <c r="P18" s="53">
        <v>0.35</v>
      </c>
      <c r="Q18" s="74">
        <f t="shared" si="1"/>
        <v>0.375</v>
      </c>
      <c r="R18" s="166">
        <v>15.7</v>
      </c>
      <c r="S18" s="166">
        <v>93</v>
      </c>
      <c r="T18" s="16">
        <f t="shared" si="0"/>
        <v>36</v>
      </c>
      <c r="U18" s="162">
        <v>377</v>
      </c>
      <c r="V18" s="38">
        <f t="shared" si="2"/>
        <v>3393</v>
      </c>
      <c r="W18" s="163">
        <v>1</v>
      </c>
      <c r="X18" s="164" t="s">
        <v>46</v>
      </c>
      <c r="Y18" s="170" t="s">
        <v>90</v>
      </c>
      <c r="Z18" s="170" t="s">
        <v>84</v>
      </c>
      <c r="AA18" s="170" t="s">
        <v>69</v>
      </c>
      <c r="AB18" s="53" t="s">
        <v>158</v>
      </c>
      <c r="AC18" s="34"/>
      <c r="AE18" s="22" t="s">
        <v>87</v>
      </c>
      <c r="AP18" s="27" t="s">
        <v>111</v>
      </c>
      <c r="AR18" s="23" t="s">
        <v>101</v>
      </c>
      <c r="AV18" s="23" t="s">
        <v>88</v>
      </c>
    </row>
    <row r="19" spans="1:48" x14ac:dyDescent="0.15">
      <c r="A19" s="156" t="s">
        <v>34</v>
      </c>
      <c r="B19" s="156" t="s">
        <v>157</v>
      </c>
      <c r="C19" s="157">
        <v>2019</v>
      </c>
      <c r="D19" s="158" t="s">
        <v>166</v>
      </c>
      <c r="E19" s="157" t="s">
        <v>211</v>
      </c>
      <c r="F19" s="156" t="s">
        <v>362</v>
      </c>
      <c r="G19" s="159" t="s">
        <v>42</v>
      </c>
      <c r="H19" s="127" t="s">
        <v>164</v>
      </c>
      <c r="I19" s="127" t="s">
        <v>159</v>
      </c>
      <c r="J19" s="127" t="s">
        <v>38</v>
      </c>
      <c r="K19" s="127" t="s">
        <v>161</v>
      </c>
      <c r="L19" s="53">
        <v>3</v>
      </c>
      <c r="N19" s="53">
        <v>4</v>
      </c>
      <c r="O19" s="53">
        <v>0.45</v>
      </c>
      <c r="P19" s="53">
        <v>0.4</v>
      </c>
      <c r="Q19" s="74">
        <f t="shared" si="1"/>
        <v>0.42500000000000004</v>
      </c>
      <c r="R19" s="166">
        <v>15.8</v>
      </c>
      <c r="S19" s="166">
        <v>105</v>
      </c>
      <c r="T19" s="16">
        <f t="shared" si="0"/>
        <v>33</v>
      </c>
      <c r="U19" s="162">
        <v>377</v>
      </c>
      <c r="V19" s="38">
        <f t="shared" si="2"/>
        <v>3110.25</v>
      </c>
      <c r="W19" s="163">
        <v>1</v>
      </c>
      <c r="X19" s="164" t="s">
        <v>46</v>
      </c>
      <c r="Y19" s="170" t="s">
        <v>90</v>
      </c>
      <c r="Z19" s="170" t="s">
        <v>84</v>
      </c>
      <c r="AA19" s="170" t="s">
        <v>69</v>
      </c>
      <c r="AB19" s="53" t="s">
        <v>158</v>
      </c>
      <c r="AC19" s="34"/>
      <c r="AE19" s="35" t="s">
        <v>89</v>
      </c>
      <c r="AP19" s="27" t="s">
        <v>112</v>
      </c>
      <c r="AR19" s="23" t="s">
        <v>126</v>
      </c>
      <c r="AV19" s="23" t="s">
        <v>90</v>
      </c>
    </row>
    <row r="20" spans="1:48" x14ac:dyDescent="0.15">
      <c r="A20" s="156" t="s">
        <v>34</v>
      </c>
      <c r="B20" s="156" t="s">
        <v>157</v>
      </c>
      <c r="C20" s="156">
        <v>2019</v>
      </c>
      <c r="D20" s="158" t="s">
        <v>166</v>
      </c>
      <c r="E20" s="157" t="s">
        <v>273</v>
      </c>
      <c r="F20" s="156" t="s">
        <v>362</v>
      </c>
      <c r="G20" s="159" t="s">
        <v>42</v>
      </c>
      <c r="H20" s="127" t="s">
        <v>164</v>
      </c>
      <c r="I20" s="127" t="s">
        <v>159</v>
      </c>
      <c r="J20" s="127" t="s">
        <v>38</v>
      </c>
      <c r="K20" s="127" t="s">
        <v>161</v>
      </c>
      <c r="L20" s="53">
        <v>1</v>
      </c>
      <c r="N20" s="53">
        <v>7</v>
      </c>
      <c r="O20" s="53">
        <v>0.6</v>
      </c>
      <c r="P20" s="53">
        <v>0.55000000000000004</v>
      </c>
      <c r="Q20" s="74">
        <f t="shared" si="1"/>
        <v>0.57499999999999996</v>
      </c>
      <c r="R20" s="166">
        <v>13.9</v>
      </c>
      <c r="S20" s="166">
        <v>97</v>
      </c>
      <c r="T20" s="16">
        <f t="shared" si="0"/>
        <v>36</v>
      </c>
      <c r="U20" s="162">
        <v>398</v>
      </c>
      <c r="V20" s="38">
        <f t="shared" si="2"/>
        <v>2046.8571428571427</v>
      </c>
      <c r="W20" s="163">
        <v>2</v>
      </c>
      <c r="X20" s="164" t="s">
        <v>46</v>
      </c>
      <c r="Y20" s="170" t="s">
        <v>90</v>
      </c>
      <c r="Z20" s="170" t="s">
        <v>40</v>
      </c>
      <c r="AA20" s="170" t="s">
        <v>84</v>
      </c>
      <c r="AB20" s="53" t="s">
        <v>158</v>
      </c>
      <c r="AE20" s="35"/>
      <c r="AP20" s="27" t="s">
        <v>113</v>
      </c>
      <c r="AR20" s="23" t="s">
        <v>105</v>
      </c>
      <c r="AV20" s="27" t="s">
        <v>135</v>
      </c>
    </row>
    <row r="21" spans="1:48" x14ac:dyDescent="0.15">
      <c r="A21" s="156" t="s">
        <v>34</v>
      </c>
      <c r="B21" s="156" t="s">
        <v>157</v>
      </c>
      <c r="C21" s="157">
        <v>2019</v>
      </c>
      <c r="D21" s="158" t="s">
        <v>166</v>
      </c>
      <c r="E21" s="157" t="s">
        <v>273</v>
      </c>
      <c r="F21" s="156" t="s">
        <v>362</v>
      </c>
      <c r="G21" s="159" t="s">
        <v>42</v>
      </c>
      <c r="H21" s="127" t="s">
        <v>164</v>
      </c>
      <c r="I21" s="127" t="s">
        <v>159</v>
      </c>
      <c r="J21" s="127" t="s">
        <v>38</v>
      </c>
      <c r="K21" s="127" t="s">
        <v>161</v>
      </c>
      <c r="L21" s="53">
        <v>2</v>
      </c>
      <c r="N21" s="53">
        <v>7</v>
      </c>
      <c r="O21" s="53">
        <v>0.55000000000000004</v>
      </c>
      <c r="P21" s="53">
        <v>0.6</v>
      </c>
      <c r="Q21" s="74">
        <f t="shared" si="1"/>
        <v>0.57499999999999996</v>
      </c>
      <c r="R21" s="166">
        <v>14</v>
      </c>
      <c r="S21" s="166">
        <v>100</v>
      </c>
      <c r="T21" s="16">
        <f t="shared" si="0"/>
        <v>33</v>
      </c>
      <c r="U21" s="162">
        <v>398</v>
      </c>
      <c r="V21" s="38">
        <f t="shared" si="2"/>
        <v>1876.2857142857142</v>
      </c>
      <c r="W21" s="163">
        <v>2</v>
      </c>
      <c r="X21" s="164" t="s">
        <v>46</v>
      </c>
      <c r="Y21" s="170" t="s">
        <v>90</v>
      </c>
      <c r="Z21" s="170" t="s">
        <v>40</v>
      </c>
      <c r="AA21" s="170" t="s">
        <v>84</v>
      </c>
      <c r="AB21" s="53" t="s">
        <v>158</v>
      </c>
      <c r="AE21" s="28"/>
      <c r="AP21" s="27" t="s">
        <v>114</v>
      </c>
      <c r="AR21" s="23" t="s">
        <v>68</v>
      </c>
      <c r="AV21" s="27" t="s">
        <v>136</v>
      </c>
    </row>
    <row r="22" spans="1:48" x14ac:dyDescent="0.15">
      <c r="A22" s="156" t="s">
        <v>34</v>
      </c>
      <c r="B22" s="156" t="s">
        <v>157</v>
      </c>
      <c r="C22" s="156">
        <v>2019</v>
      </c>
      <c r="D22" s="158" t="s">
        <v>166</v>
      </c>
      <c r="E22" s="157" t="s">
        <v>273</v>
      </c>
      <c r="F22" s="156" t="s">
        <v>362</v>
      </c>
      <c r="G22" s="159" t="s">
        <v>42</v>
      </c>
      <c r="H22" s="127" t="s">
        <v>164</v>
      </c>
      <c r="I22" s="127" t="s">
        <v>159</v>
      </c>
      <c r="J22" s="127" t="s">
        <v>38</v>
      </c>
      <c r="K22" s="127" t="s">
        <v>161</v>
      </c>
      <c r="L22" s="53">
        <v>3</v>
      </c>
      <c r="N22" s="53">
        <v>7</v>
      </c>
      <c r="O22" s="53">
        <v>0.65</v>
      </c>
      <c r="P22" s="34">
        <v>0.6</v>
      </c>
      <c r="Q22" s="74">
        <f t="shared" si="1"/>
        <v>0.625</v>
      </c>
      <c r="R22" s="166">
        <v>13.5</v>
      </c>
      <c r="S22" s="166">
        <v>91</v>
      </c>
      <c r="T22" s="16">
        <f t="shared" si="0"/>
        <v>36</v>
      </c>
      <c r="U22" s="162">
        <v>398</v>
      </c>
      <c r="V22" s="38">
        <f t="shared" si="2"/>
        <v>2046.8571428571427</v>
      </c>
      <c r="W22" s="163">
        <v>2</v>
      </c>
      <c r="X22" s="164" t="s">
        <v>46</v>
      </c>
      <c r="Y22" s="170" t="s">
        <v>90</v>
      </c>
      <c r="Z22" s="170" t="s">
        <v>40</v>
      </c>
      <c r="AA22" s="170" t="s">
        <v>84</v>
      </c>
      <c r="AB22" s="53" t="s">
        <v>158</v>
      </c>
      <c r="AP22" s="27" t="s">
        <v>115</v>
      </c>
      <c r="AR22" s="23" t="s">
        <v>83</v>
      </c>
      <c r="AV22" s="23"/>
    </row>
    <row r="23" spans="1:48" x14ac:dyDescent="0.15">
      <c r="A23" s="156" t="s">
        <v>34</v>
      </c>
      <c r="B23" s="156" t="s">
        <v>157</v>
      </c>
      <c r="C23" s="157">
        <v>2019</v>
      </c>
      <c r="D23" s="158" t="s">
        <v>166</v>
      </c>
      <c r="E23" s="157" t="s">
        <v>273</v>
      </c>
      <c r="F23" s="156" t="s">
        <v>362</v>
      </c>
      <c r="G23" s="159" t="s">
        <v>42</v>
      </c>
      <c r="H23" s="127" t="s">
        <v>168</v>
      </c>
      <c r="I23" s="127" t="s">
        <v>159</v>
      </c>
      <c r="J23" s="127" t="s">
        <v>38</v>
      </c>
      <c r="K23" s="127" t="s">
        <v>54</v>
      </c>
      <c r="L23" s="53">
        <v>1</v>
      </c>
      <c r="N23" s="53">
        <v>4</v>
      </c>
      <c r="O23" s="53">
        <v>0.85</v>
      </c>
      <c r="P23" s="34">
        <v>0.75</v>
      </c>
      <c r="Q23" s="74">
        <f t="shared" si="1"/>
        <v>0.8</v>
      </c>
      <c r="R23" s="166">
        <v>10.199999999999999</v>
      </c>
      <c r="S23" s="166">
        <v>74</v>
      </c>
      <c r="T23" s="16">
        <f t="shared" si="0"/>
        <v>46</v>
      </c>
      <c r="U23" s="162">
        <v>498</v>
      </c>
      <c r="V23" s="38">
        <f t="shared" si="2"/>
        <v>5727</v>
      </c>
      <c r="W23" s="163">
        <v>2</v>
      </c>
      <c r="X23" s="164" t="s">
        <v>46</v>
      </c>
      <c r="Y23" s="170" t="s">
        <v>90</v>
      </c>
      <c r="Z23" s="170" t="s">
        <v>40</v>
      </c>
      <c r="AA23" s="170" t="s">
        <v>84</v>
      </c>
      <c r="AB23" s="53" t="s">
        <v>158</v>
      </c>
      <c r="AP23" s="27" t="s">
        <v>137</v>
      </c>
      <c r="AR23" s="23" t="s">
        <v>61</v>
      </c>
      <c r="AV23" s="23"/>
    </row>
    <row r="24" spans="1:48" x14ac:dyDescent="0.15">
      <c r="A24" s="156" t="s">
        <v>34</v>
      </c>
      <c r="B24" s="156" t="s">
        <v>157</v>
      </c>
      <c r="C24" s="156">
        <v>2019</v>
      </c>
      <c r="D24" s="158" t="s">
        <v>166</v>
      </c>
      <c r="E24" s="157" t="s">
        <v>273</v>
      </c>
      <c r="F24" s="156" t="s">
        <v>362</v>
      </c>
      <c r="G24" s="159" t="s">
        <v>42</v>
      </c>
      <c r="H24" s="127" t="s">
        <v>168</v>
      </c>
      <c r="I24" s="127" t="s">
        <v>159</v>
      </c>
      <c r="J24" s="127" t="s">
        <v>38</v>
      </c>
      <c r="K24" s="127" t="s">
        <v>54</v>
      </c>
      <c r="L24" s="53">
        <v>2</v>
      </c>
      <c r="N24" s="53">
        <v>4</v>
      </c>
      <c r="O24" s="53">
        <v>0.9</v>
      </c>
      <c r="P24" s="34">
        <v>0.8</v>
      </c>
      <c r="Q24" s="74">
        <f t="shared" si="1"/>
        <v>0.85000000000000009</v>
      </c>
      <c r="R24" s="166">
        <v>11.3</v>
      </c>
      <c r="S24" s="166">
        <v>81</v>
      </c>
      <c r="T24" s="16">
        <f t="shared" si="0"/>
        <v>42</v>
      </c>
      <c r="U24" s="162">
        <v>498</v>
      </c>
      <c r="V24" s="38">
        <f t="shared" si="2"/>
        <v>5229</v>
      </c>
      <c r="W24" s="163">
        <v>2</v>
      </c>
      <c r="X24" s="164" t="s">
        <v>46</v>
      </c>
      <c r="Y24" s="170" t="s">
        <v>90</v>
      </c>
      <c r="Z24" s="170" t="s">
        <v>40</v>
      </c>
      <c r="AA24" s="170" t="s">
        <v>84</v>
      </c>
      <c r="AB24" s="53" t="s">
        <v>158</v>
      </c>
      <c r="AP24" s="27" t="s">
        <v>138</v>
      </c>
      <c r="AR24" s="23" t="s">
        <v>91</v>
      </c>
      <c r="AV24" s="23"/>
    </row>
    <row r="25" spans="1:48" x14ac:dyDescent="0.15">
      <c r="A25" s="156" t="s">
        <v>34</v>
      </c>
      <c r="B25" s="156" t="s">
        <v>157</v>
      </c>
      <c r="C25" s="157">
        <v>2019</v>
      </c>
      <c r="D25" s="158" t="s">
        <v>166</v>
      </c>
      <c r="E25" s="157" t="s">
        <v>273</v>
      </c>
      <c r="F25" s="156" t="s">
        <v>362</v>
      </c>
      <c r="G25" s="159" t="s">
        <v>42</v>
      </c>
      <c r="H25" s="127" t="s">
        <v>168</v>
      </c>
      <c r="I25" s="127" t="s">
        <v>159</v>
      </c>
      <c r="J25" s="127" t="s">
        <v>38</v>
      </c>
      <c r="K25" s="127" t="s">
        <v>54</v>
      </c>
      <c r="L25" s="53">
        <v>3</v>
      </c>
      <c r="N25" s="53">
        <v>4</v>
      </c>
      <c r="O25" s="53">
        <v>0.8</v>
      </c>
      <c r="P25" s="34">
        <v>0.95</v>
      </c>
      <c r="Q25" s="74">
        <f t="shared" si="1"/>
        <v>0.875</v>
      </c>
      <c r="R25" s="166">
        <v>10.8</v>
      </c>
      <c r="S25" s="166">
        <v>81</v>
      </c>
      <c r="T25" s="16">
        <f t="shared" si="0"/>
        <v>42</v>
      </c>
      <c r="U25" s="162">
        <v>498</v>
      </c>
      <c r="V25" s="38">
        <f t="shared" si="2"/>
        <v>5229</v>
      </c>
      <c r="W25" s="163">
        <v>2</v>
      </c>
      <c r="X25" s="164" t="s">
        <v>46</v>
      </c>
      <c r="Y25" s="170" t="s">
        <v>90</v>
      </c>
      <c r="Z25" s="170" t="s">
        <v>40</v>
      </c>
      <c r="AA25" s="170" t="s">
        <v>84</v>
      </c>
      <c r="AB25" s="53" t="s">
        <v>158</v>
      </c>
      <c r="AP25" s="27" t="s">
        <v>116</v>
      </c>
      <c r="AR25" s="27" t="s">
        <v>92</v>
      </c>
      <c r="AV25" s="23"/>
    </row>
    <row r="26" spans="1:48" x14ac:dyDescent="0.15">
      <c r="A26" s="156" t="s">
        <v>34</v>
      </c>
      <c r="B26" s="156" t="s">
        <v>157</v>
      </c>
      <c r="C26" s="156">
        <v>2019</v>
      </c>
      <c r="D26" s="158" t="s">
        <v>166</v>
      </c>
      <c r="E26" s="157" t="s">
        <v>211</v>
      </c>
      <c r="F26" s="156" t="s">
        <v>364</v>
      </c>
      <c r="G26" s="159" t="s">
        <v>42</v>
      </c>
      <c r="H26" s="127" t="s">
        <v>164</v>
      </c>
      <c r="I26" s="127" t="s">
        <v>159</v>
      </c>
      <c r="J26" s="127" t="s">
        <v>38</v>
      </c>
      <c r="K26" s="127" t="s">
        <v>161</v>
      </c>
      <c r="L26" s="53">
        <v>1</v>
      </c>
      <c r="N26" s="53">
        <v>4</v>
      </c>
      <c r="O26" s="53">
        <v>0.4</v>
      </c>
      <c r="P26" s="53">
        <v>0.35</v>
      </c>
      <c r="Q26" s="74">
        <f t="shared" si="1"/>
        <v>0.375</v>
      </c>
      <c r="R26" s="166">
        <v>15.8</v>
      </c>
      <c r="S26" s="166">
        <v>105</v>
      </c>
      <c r="T26" s="16">
        <f t="shared" si="0"/>
        <v>33</v>
      </c>
      <c r="U26" s="162">
        <v>377</v>
      </c>
      <c r="V26" s="38">
        <f t="shared" si="2"/>
        <v>3110.25</v>
      </c>
      <c r="W26" s="163">
        <v>1</v>
      </c>
      <c r="X26" s="164" t="s">
        <v>46</v>
      </c>
      <c r="Y26" s="170" t="s">
        <v>69</v>
      </c>
      <c r="Z26" s="170" t="s">
        <v>40</v>
      </c>
      <c r="AA26" s="170" t="s">
        <v>90</v>
      </c>
      <c r="AB26" s="53" t="s">
        <v>158</v>
      </c>
      <c r="AP26" s="27" t="s">
        <v>117</v>
      </c>
      <c r="AR26" s="23" t="s">
        <v>153</v>
      </c>
      <c r="AV26" s="27"/>
    </row>
    <row r="27" spans="1:48" x14ac:dyDescent="0.15">
      <c r="A27" s="156" t="s">
        <v>34</v>
      </c>
      <c r="B27" s="156" t="s">
        <v>157</v>
      </c>
      <c r="C27" s="157">
        <v>2019</v>
      </c>
      <c r="D27" s="158" t="s">
        <v>166</v>
      </c>
      <c r="E27" s="157" t="s">
        <v>211</v>
      </c>
      <c r="F27" s="156" t="s">
        <v>364</v>
      </c>
      <c r="G27" s="159" t="s">
        <v>42</v>
      </c>
      <c r="H27" s="127" t="s">
        <v>164</v>
      </c>
      <c r="I27" s="127" t="s">
        <v>159</v>
      </c>
      <c r="J27" s="127" t="s">
        <v>38</v>
      </c>
      <c r="K27" s="127" t="s">
        <v>161</v>
      </c>
      <c r="L27" s="53">
        <v>2</v>
      </c>
      <c r="N27" s="53">
        <v>4</v>
      </c>
      <c r="O27" s="34">
        <v>0.4</v>
      </c>
      <c r="P27" s="53">
        <v>0.35</v>
      </c>
      <c r="Q27" s="74">
        <f t="shared" si="1"/>
        <v>0.375</v>
      </c>
      <c r="R27" s="166">
        <v>15.3</v>
      </c>
      <c r="S27" s="166">
        <v>99</v>
      </c>
      <c r="T27" s="16">
        <f t="shared" si="0"/>
        <v>33</v>
      </c>
      <c r="U27" s="162">
        <v>377</v>
      </c>
      <c r="V27" s="38">
        <f t="shared" si="2"/>
        <v>3110.25</v>
      </c>
      <c r="W27" s="163">
        <v>1</v>
      </c>
      <c r="X27" s="164" t="s">
        <v>46</v>
      </c>
      <c r="Y27" s="170" t="s">
        <v>69</v>
      </c>
      <c r="Z27" s="170" t="s">
        <v>40</v>
      </c>
      <c r="AA27" s="170" t="s">
        <v>90</v>
      </c>
      <c r="AB27" s="53" t="s">
        <v>158</v>
      </c>
      <c r="AP27" s="27" t="s">
        <v>118</v>
      </c>
      <c r="AR27" s="23"/>
    </row>
    <row r="28" spans="1:48" x14ac:dyDescent="0.15">
      <c r="A28" s="156" t="s">
        <v>34</v>
      </c>
      <c r="B28" s="156" t="s">
        <v>157</v>
      </c>
      <c r="C28" s="156">
        <v>2019</v>
      </c>
      <c r="D28" s="158" t="s">
        <v>166</v>
      </c>
      <c r="E28" s="157" t="s">
        <v>211</v>
      </c>
      <c r="F28" s="156" t="s">
        <v>364</v>
      </c>
      <c r="G28" s="159" t="s">
        <v>42</v>
      </c>
      <c r="H28" s="127" t="s">
        <v>164</v>
      </c>
      <c r="I28" s="127" t="s">
        <v>159</v>
      </c>
      <c r="J28" s="127" t="s">
        <v>38</v>
      </c>
      <c r="K28" s="127" t="s">
        <v>161</v>
      </c>
      <c r="L28" s="53">
        <v>3</v>
      </c>
      <c r="N28" s="53">
        <v>4</v>
      </c>
      <c r="O28" s="34">
        <v>0.35</v>
      </c>
      <c r="P28" s="53">
        <v>0.3</v>
      </c>
      <c r="Q28" s="74">
        <f t="shared" si="1"/>
        <v>0.32499999999999996</v>
      </c>
      <c r="R28" s="166">
        <v>15.5</v>
      </c>
      <c r="S28" s="166">
        <v>97</v>
      </c>
      <c r="T28" s="16">
        <f t="shared" si="0"/>
        <v>36</v>
      </c>
      <c r="U28" s="162">
        <v>377</v>
      </c>
      <c r="V28" s="38">
        <f t="shared" si="2"/>
        <v>3393</v>
      </c>
      <c r="W28" s="163">
        <v>1</v>
      </c>
      <c r="X28" s="164" t="s">
        <v>46</v>
      </c>
      <c r="Y28" s="170" t="s">
        <v>69</v>
      </c>
      <c r="Z28" s="170" t="s">
        <v>40</v>
      </c>
      <c r="AA28" s="170" t="s">
        <v>90</v>
      </c>
      <c r="AB28" s="53" t="s">
        <v>158</v>
      </c>
      <c r="AR28" s="23"/>
    </row>
    <row r="29" spans="1:48" x14ac:dyDescent="0.15">
      <c r="A29" s="156" t="s">
        <v>34</v>
      </c>
      <c r="B29" s="156" t="s">
        <v>157</v>
      </c>
      <c r="C29" s="156">
        <v>2019</v>
      </c>
      <c r="D29" s="158" t="s">
        <v>166</v>
      </c>
      <c r="E29" s="157" t="s">
        <v>139</v>
      </c>
      <c r="F29" s="156" t="s">
        <v>364</v>
      </c>
      <c r="G29" s="159" t="s">
        <v>36</v>
      </c>
      <c r="H29" s="127" t="s">
        <v>164</v>
      </c>
      <c r="I29" s="127" t="s">
        <v>159</v>
      </c>
      <c r="J29" s="127" t="s">
        <v>38</v>
      </c>
      <c r="K29" s="127" t="s">
        <v>161</v>
      </c>
      <c r="L29" s="53">
        <v>1</v>
      </c>
      <c r="N29" s="53">
        <v>1</v>
      </c>
      <c r="O29" s="53">
        <v>0.8</v>
      </c>
      <c r="P29" s="53">
        <v>0.95</v>
      </c>
      <c r="Q29" s="74">
        <f t="shared" si="1"/>
        <v>0.875</v>
      </c>
      <c r="R29" s="166">
        <v>14.7</v>
      </c>
      <c r="S29" s="166">
        <v>106</v>
      </c>
      <c r="T29" s="16">
        <f t="shared" si="0"/>
        <v>33</v>
      </c>
      <c r="U29" s="162">
        <v>108</v>
      </c>
      <c r="V29" s="38">
        <f t="shared" si="2"/>
        <v>3564</v>
      </c>
      <c r="W29" s="163">
        <v>6</v>
      </c>
      <c r="X29" s="164" t="s">
        <v>46</v>
      </c>
      <c r="Y29" s="170" t="s">
        <v>84</v>
      </c>
      <c r="Z29" s="170" t="s">
        <v>40</v>
      </c>
      <c r="AA29" s="170" t="s">
        <v>90</v>
      </c>
      <c r="AB29" s="53" t="s">
        <v>158</v>
      </c>
      <c r="AR29" s="28"/>
    </row>
    <row r="30" spans="1:48" x14ac:dyDescent="0.15">
      <c r="A30" s="156" t="s">
        <v>34</v>
      </c>
      <c r="B30" s="156" t="s">
        <v>157</v>
      </c>
      <c r="C30" s="157">
        <v>2019</v>
      </c>
      <c r="D30" s="158" t="s">
        <v>166</v>
      </c>
      <c r="E30" s="157" t="s">
        <v>139</v>
      </c>
      <c r="F30" s="156" t="s">
        <v>364</v>
      </c>
      <c r="G30" s="159" t="s">
        <v>36</v>
      </c>
      <c r="H30" s="127" t="s">
        <v>164</v>
      </c>
      <c r="I30" s="127" t="s">
        <v>159</v>
      </c>
      <c r="J30" s="127" t="s">
        <v>38</v>
      </c>
      <c r="K30" s="127" t="s">
        <v>161</v>
      </c>
      <c r="L30" s="53">
        <v>2</v>
      </c>
      <c r="N30" s="53">
        <v>1</v>
      </c>
      <c r="O30" s="53">
        <v>0.85</v>
      </c>
      <c r="P30" s="53">
        <v>0.8</v>
      </c>
      <c r="Q30" s="74">
        <f t="shared" si="1"/>
        <v>0.82499999999999996</v>
      </c>
      <c r="R30" s="166">
        <v>14.4</v>
      </c>
      <c r="S30" s="166">
        <v>108</v>
      </c>
      <c r="T30" s="16">
        <f t="shared" si="0"/>
        <v>33</v>
      </c>
      <c r="U30" s="162">
        <v>108</v>
      </c>
      <c r="V30" s="38">
        <f t="shared" si="2"/>
        <v>3564</v>
      </c>
      <c r="W30" s="163">
        <v>6</v>
      </c>
      <c r="X30" s="164" t="s">
        <v>46</v>
      </c>
      <c r="Y30" s="170" t="s">
        <v>84</v>
      </c>
      <c r="Z30" s="170" t="s">
        <v>40</v>
      </c>
      <c r="AA30" s="170" t="s">
        <v>90</v>
      </c>
      <c r="AB30" s="53" t="s">
        <v>158</v>
      </c>
    </row>
    <row r="31" spans="1:48" x14ac:dyDescent="0.15">
      <c r="A31" s="156" t="s">
        <v>34</v>
      </c>
      <c r="B31" s="156" t="s">
        <v>157</v>
      </c>
      <c r="C31" s="156">
        <v>2019</v>
      </c>
      <c r="D31" s="158" t="s">
        <v>166</v>
      </c>
      <c r="E31" s="157" t="s">
        <v>139</v>
      </c>
      <c r="F31" s="156" t="s">
        <v>364</v>
      </c>
      <c r="G31" s="159" t="s">
        <v>36</v>
      </c>
      <c r="H31" s="127" t="s">
        <v>164</v>
      </c>
      <c r="I31" s="127" t="s">
        <v>159</v>
      </c>
      <c r="J31" s="127" t="s">
        <v>38</v>
      </c>
      <c r="K31" s="127" t="s">
        <v>161</v>
      </c>
      <c r="L31" s="53">
        <v>3</v>
      </c>
      <c r="N31" s="53">
        <v>1</v>
      </c>
      <c r="O31" s="53">
        <v>0.65</v>
      </c>
      <c r="P31" s="53">
        <v>0.75</v>
      </c>
      <c r="Q31" s="74">
        <f t="shared" si="1"/>
        <v>0.7</v>
      </c>
      <c r="R31" s="166">
        <v>13.6</v>
      </c>
      <c r="S31" s="166">
        <v>102</v>
      </c>
      <c r="T31" s="16">
        <f t="shared" si="0"/>
        <v>33</v>
      </c>
      <c r="U31" s="162">
        <v>108</v>
      </c>
      <c r="V31" s="38">
        <f t="shared" si="2"/>
        <v>3564</v>
      </c>
      <c r="W31" s="163">
        <v>6</v>
      </c>
      <c r="X31" s="164" t="s">
        <v>46</v>
      </c>
      <c r="Y31" s="170" t="s">
        <v>84</v>
      </c>
      <c r="Z31" s="170" t="s">
        <v>40</v>
      </c>
      <c r="AA31" s="170" t="s">
        <v>90</v>
      </c>
      <c r="AB31" s="53" t="s">
        <v>158</v>
      </c>
    </row>
    <row r="32" spans="1:48" ht="14.25" customHeight="1" x14ac:dyDescent="0.15">
      <c r="A32" s="156" t="s">
        <v>34</v>
      </c>
      <c r="B32" s="156" t="s">
        <v>157</v>
      </c>
      <c r="C32" s="157">
        <v>2019</v>
      </c>
      <c r="D32" s="158" t="s">
        <v>166</v>
      </c>
      <c r="E32" s="157" t="s">
        <v>133</v>
      </c>
      <c r="F32" s="156" t="s">
        <v>365</v>
      </c>
      <c r="G32" s="159" t="s">
        <v>36</v>
      </c>
      <c r="H32" s="127" t="s">
        <v>164</v>
      </c>
      <c r="I32" s="127" t="s">
        <v>159</v>
      </c>
      <c r="J32" s="127" t="s">
        <v>38</v>
      </c>
      <c r="K32" s="127" t="s">
        <v>161</v>
      </c>
      <c r="L32" s="53">
        <v>1</v>
      </c>
      <c r="N32" s="53">
        <v>1</v>
      </c>
      <c r="O32" s="53">
        <v>0.65</v>
      </c>
      <c r="P32" s="53">
        <v>0.6</v>
      </c>
      <c r="Q32" s="74">
        <f t="shared" si="1"/>
        <v>0.625</v>
      </c>
      <c r="R32" s="166">
        <v>13.3</v>
      </c>
      <c r="S32" s="166">
        <v>116</v>
      </c>
      <c r="T32" s="16">
        <f t="shared" si="0"/>
        <v>30</v>
      </c>
      <c r="U32" s="162">
        <v>98</v>
      </c>
      <c r="V32" s="38">
        <f t="shared" si="2"/>
        <v>2940</v>
      </c>
      <c r="W32" s="163">
        <v>16</v>
      </c>
      <c r="X32" s="164" t="s">
        <v>46</v>
      </c>
      <c r="Y32" s="170" t="s">
        <v>69</v>
      </c>
      <c r="Z32" s="170" t="s">
        <v>90</v>
      </c>
      <c r="AA32" s="170" t="s">
        <v>84</v>
      </c>
      <c r="AB32" s="53" t="s">
        <v>158</v>
      </c>
    </row>
    <row r="33" spans="1:28" x14ac:dyDescent="0.15">
      <c r="A33" s="156" t="s">
        <v>34</v>
      </c>
      <c r="B33" s="156" t="s">
        <v>157</v>
      </c>
      <c r="C33" s="156">
        <v>2019</v>
      </c>
      <c r="D33" s="158" t="s">
        <v>166</v>
      </c>
      <c r="E33" s="157" t="s">
        <v>133</v>
      </c>
      <c r="F33" s="156" t="s">
        <v>365</v>
      </c>
      <c r="G33" s="159" t="s">
        <v>36</v>
      </c>
      <c r="H33" s="127" t="s">
        <v>164</v>
      </c>
      <c r="I33" s="127" t="s">
        <v>159</v>
      </c>
      <c r="J33" s="127" t="s">
        <v>38</v>
      </c>
      <c r="K33" s="127" t="s">
        <v>161</v>
      </c>
      <c r="L33" s="53">
        <v>2</v>
      </c>
      <c r="N33" s="53">
        <v>1</v>
      </c>
      <c r="O33" s="53">
        <v>0.6</v>
      </c>
      <c r="P33" s="53">
        <v>0.55000000000000004</v>
      </c>
      <c r="Q33" s="74">
        <f t="shared" si="1"/>
        <v>0.57499999999999996</v>
      </c>
      <c r="R33" s="166">
        <v>13.7</v>
      </c>
      <c r="S33" s="166">
        <v>114</v>
      </c>
      <c r="T33" s="16">
        <f t="shared" si="0"/>
        <v>30</v>
      </c>
      <c r="U33" s="162">
        <v>98</v>
      </c>
      <c r="V33" s="38">
        <f t="shared" si="2"/>
        <v>2940</v>
      </c>
      <c r="W33" s="163">
        <v>16</v>
      </c>
      <c r="X33" s="164" t="s">
        <v>46</v>
      </c>
      <c r="Y33" s="170" t="s">
        <v>69</v>
      </c>
      <c r="Z33" s="170" t="s">
        <v>90</v>
      </c>
      <c r="AA33" s="170" t="s">
        <v>84</v>
      </c>
      <c r="AB33" s="53" t="s">
        <v>158</v>
      </c>
    </row>
    <row r="34" spans="1:28" x14ac:dyDescent="0.15">
      <c r="A34" s="156" t="s">
        <v>34</v>
      </c>
      <c r="B34" s="156" t="s">
        <v>157</v>
      </c>
      <c r="C34" s="157">
        <v>2019</v>
      </c>
      <c r="D34" s="158" t="s">
        <v>166</v>
      </c>
      <c r="E34" s="157" t="s">
        <v>133</v>
      </c>
      <c r="F34" s="156" t="s">
        <v>365</v>
      </c>
      <c r="G34" s="159" t="s">
        <v>36</v>
      </c>
      <c r="H34" s="127" t="s">
        <v>164</v>
      </c>
      <c r="I34" s="127" t="s">
        <v>159</v>
      </c>
      <c r="J34" s="127" t="s">
        <v>38</v>
      </c>
      <c r="K34" s="127" t="s">
        <v>161</v>
      </c>
      <c r="L34" s="53">
        <v>3</v>
      </c>
      <c r="N34" s="53">
        <v>1</v>
      </c>
      <c r="O34" s="53">
        <v>0.6</v>
      </c>
      <c r="P34" s="34">
        <v>0.65</v>
      </c>
      <c r="Q34" s="74">
        <f t="shared" si="1"/>
        <v>0.625</v>
      </c>
      <c r="R34" s="166">
        <v>13.5</v>
      </c>
      <c r="S34" s="166">
        <v>117</v>
      </c>
      <c r="T34" s="16">
        <f t="shared" si="0"/>
        <v>30</v>
      </c>
      <c r="U34" s="162">
        <v>98</v>
      </c>
      <c r="V34" s="38">
        <f t="shared" si="2"/>
        <v>2940</v>
      </c>
      <c r="W34" s="163">
        <v>16</v>
      </c>
      <c r="X34" s="164" t="s">
        <v>46</v>
      </c>
      <c r="Y34" s="170" t="s">
        <v>69</v>
      </c>
      <c r="Z34" s="170" t="s">
        <v>90</v>
      </c>
      <c r="AA34" s="170" t="s">
        <v>84</v>
      </c>
      <c r="AB34" s="53" t="s">
        <v>158</v>
      </c>
    </row>
    <row r="35" spans="1:28" x14ac:dyDescent="0.15">
      <c r="A35" s="156" t="s">
        <v>34</v>
      </c>
      <c r="B35" s="156" t="s">
        <v>157</v>
      </c>
      <c r="C35" s="156">
        <v>2019</v>
      </c>
      <c r="D35" s="158" t="s">
        <v>166</v>
      </c>
      <c r="E35" s="157" t="s">
        <v>133</v>
      </c>
      <c r="F35" s="156" t="s">
        <v>365</v>
      </c>
      <c r="G35" s="159" t="s">
        <v>36</v>
      </c>
      <c r="H35" s="127" t="s">
        <v>168</v>
      </c>
      <c r="I35" s="127" t="s">
        <v>159</v>
      </c>
      <c r="J35" s="127" t="s">
        <v>38</v>
      </c>
      <c r="K35" s="127" t="s">
        <v>54</v>
      </c>
      <c r="L35" s="53">
        <v>1</v>
      </c>
      <c r="N35" s="53">
        <v>4</v>
      </c>
      <c r="O35" s="53">
        <v>1.55</v>
      </c>
      <c r="P35" s="53">
        <v>1.4</v>
      </c>
      <c r="Q35" s="74">
        <f t="shared" si="1"/>
        <v>1.4750000000000001</v>
      </c>
      <c r="R35" s="166">
        <v>15</v>
      </c>
      <c r="S35" s="166">
        <v>89</v>
      </c>
      <c r="T35" s="16">
        <f t="shared" si="0"/>
        <v>39</v>
      </c>
      <c r="U35" s="162">
        <v>598</v>
      </c>
      <c r="V35" s="38">
        <f t="shared" si="2"/>
        <v>5830.5</v>
      </c>
      <c r="W35" s="163">
        <v>16</v>
      </c>
      <c r="X35" s="164" t="s">
        <v>46</v>
      </c>
      <c r="Y35" s="170" t="s">
        <v>69</v>
      </c>
      <c r="Z35" s="170" t="s">
        <v>90</v>
      </c>
      <c r="AA35" s="170" t="s">
        <v>84</v>
      </c>
      <c r="AB35" s="53" t="s">
        <v>158</v>
      </c>
    </row>
    <row r="36" spans="1:28" x14ac:dyDescent="0.15">
      <c r="A36" s="156" t="s">
        <v>34</v>
      </c>
      <c r="B36" s="156" t="s">
        <v>157</v>
      </c>
      <c r="C36" s="157">
        <v>2019</v>
      </c>
      <c r="D36" s="158" t="s">
        <v>166</v>
      </c>
      <c r="E36" s="157" t="s">
        <v>133</v>
      </c>
      <c r="F36" s="156" t="s">
        <v>365</v>
      </c>
      <c r="G36" s="159" t="s">
        <v>36</v>
      </c>
      <c r="H36" s="127" t="s">
        <v>168</v>
      </c>
      <c r="I36" s="127" t="s">
        <v>159</v>
      </c>
      <c r="J36" s="127" t="s">
        <v>38</v>
      </c>
      <c r="K36" s="127" t="s">
        <v>54</v>
      </c>
      <c r="L36" s="53">
        <v>2</v>
      </c>
      <c r="N36" s="53">
        <v>4</v>
      </c>
      <c r="O36" s="53">
        <v>1.35</v>
      </c>
      <c r="P36" s="53">
        <v>1.3</v>
      </c>
      <c r="Q36" s="74">
        <f t="shared" si="1"/>
        <v>1.3250000000000002</v>
      </c>
      <c r="R36" s="166">
        <v>14.3</v>
      </c>
      <c r="S36" s="166">
        <v>91</v>
      </c>
      <c r="T36" s="16">
        <f t="shared" si="0"/>
        <v>39</v>
      </c>
      <c r="U36" s="162">
        <v>598</v>
      </c>
      <c r="V36" s="38">
        <f t="shared" si="2"/>
        <v>5830.5</v>
      </c>
      <c r="W36" s="163">
        <v>16</v>
      </c>
      <c r="X36" s="164" t="s">
        <v>46</v>
      </c>
      <c r="Y36" s="170" t="s">
        <v>69</v>
      </c>
      <c r="Z36" s="170" t="s">
        <v>90</v>
      </c>
      <c r="AA36" s="170" t="s">
        <v>84</v>
      </c>
      <c r="AB36" s="53" t="s">
        <v>158</v>
      </c>
    </row>
    <row r="37" spans="1:28" x14ac:dyDescent="0.15">
      <c r="A37" s="156" t="s">
        <v>34</v>
      </c>
      <c r="B37" s="156" t="s">
        <v>157</v>
      </c>
      <c r="C37" s="156">
        <v>2019</v>
      </c>
      <c r="D37" s="158" t="s">
        <v>166</v>
      </c>
      <c r="E37" s="157" t="s">
        <v>133</v>
      </c>
      <c r="F37" s="156" t="s">
        <v>365</v>
      </c>
      <c r="G37" s="159" t="s">
        <v>36</v>
      </c>
      <c r="H37" s="127" t="s">
        <v>168</v>
      </c>
      <c r="I37" s="127" t="s">
        <v>159</v>
      </c>
      <c r="J37" s="127" t="s">
        <v>38</v>
      </c>
      <c r="K37" s="127" t="s">
        <v>54</v>
      </c>
      <c r="L37" s="53">
        <v>3</v>
      </c>
      <c r="N37" s="53">
        <v>4</v>
      </c>
      <c r="O37" s="53">
        <v>1.1000000000000001</v>
      </c>
      <c r="P37" s="53">
        <v>1.25</v>
      </c>
      <c r="Q37" s="74">
        <f t="shared" si="1"/>
        <v>1.175</v>
      </c>
      <c r="R37" s="166">
        <v>14.5</v>
      </c>
      <c r="S37" s="166">
        <v>96</v>
      </c>
      <c r="T37" s="16">
        <f t="shared" si="0"/>
        <v>39</v>
      </c>
      <c r="U37" s="162">
        <v>598</v>
      </c>
      <c r="V37" s="38">
        <f t="shared" si="2"/>
        <v>5830.5</v>
      </c>
      <c r="W37" s="163">
        <v>16</v>
      </c>
      <c r="X37" s="164" t="s">
        <v>46</v>
      </c>
      <c r="Y37" s="170" t="s">
        <v>69</v>
      </c>
      <c r="Z37" s="170" t="s">
        <v>90</v>
      </c>
      <c r="AA37" s="170" t="s">
        <v>84</v>
      </c>
      <c r="AB37" s="53" t="s">
        <v>158</v>
      </c>
    </row>
    <row r="38" spans="1:28" x14ac:dyDescent="0.15">
      <c r="A38" s="156" t="s">
        <v>34</v>
      </c>
      <c r="B38" s="156" t="s">
        <v>157</v>
      </c>
      <c r="C38" s="157">
        <v>2019</v>
      </c>
      <c r="D38" s="158" t="s">
        <v>166</v>
      </c>
      <c r="E38" s="157" t="s">
        <v>273</v>
      </c>
      <c r="F38" s="156" t="s">
        <v>366</v>
      </c>
      <c r="G38" s="159" t="s">
        <v>36</v>
      </c>
      <c r="H38" s="127" t="s">
        <v>164</v>
      </c>
      <c r="I38" s="127" t="s">
        <v>159</v>
      </c>
      <c r="J38" s="127" t="s">
        <v>38</v>
      </c>
      <c r="K38" s="127" t="s">
        <v>161</v>
      </c>
      <c r="L38" s="53">
        <v>1</v>
      </c>
      <c r="N38" s="53">
        <v>7</v>
      </c>
      <c r="O38" s="53">
        <v>0.55000000000000004</v>
      </c>
      <c r="P38" s="53">
        <v>0.55000000000000004</v>
      </c>
      <c r="Q38" s="74">
        <f t="shared" si="1"/>
        <v>0.55000000000000004</v>
      </c>
      <c r="R38" s="166">
        <v>13.9</v>
      </c>
      <c r="S38" s="166">
        <v>95</v>
      </c>
      <c r="T38" s="16">
        <f t="shared" si="0"/>
        <v>36</v>
      </c>
      <c r="U38" s="162">
        <v>398</v>
      </c>
      <c r="V38" s="38">
        <f t="shared" si="2"/>
        <v>2046.8571428571427</v>
      </c>
      <c r="W38" s="163">
        <v>2</v>
      </c>
      <c r="X38" s="164" t="s">
        <v>46</v>
      </c>
      <c r="Y38" s="170" t="s">
        <v>90</v>
      </c>
      <c r="Z38" s="170" t="s">
        <v>40</v>
      </c>
      <c r="AA38" s="170" t="s">
        <v>84</v>
      </c>
      <c r="AB38" s="53" t="s">
        <v>158</v>
      </c>
    </row>
    <row r="39" spans="1:28" x14ac:dyDescent="0.15">
      <c r="A39" s="156" t="s">
        <v>34</v>
      </c>
      <c r="B39" s="156" t="s">
        <v>157</v>
      </c>
      <c r="C39" s="156">
        <v>2019</v>
      </c>
      <c r="D39" s="158" t="s">
        <v>166</v>
      </c>
      <c r="E39" s="157" t="s">
        <v>273</v>
      </c>
      <c r="F39" s="156" t="s">
        <v>366</v>
      </c>
      <c r="G39" s="159" t="s">
        <v>36</v>
      </c>
      <c r="H39" s="127" t="s">
        <v>164</v>
      </c>
      <c r="I39" s="127" t="s">
        <v>159</v>
      </c>
      <c r="J39" s="127" t="s">
        <v>38</v>
      </c>
      <c r="K39" s="127" t="s">
        <v>161</v>
      </c>
      <c r="L39" s="53">
        <v>2</v>
      </c>
      <c r="N39" s="53">
        <v>7</v>
      </c>
      <c r="O39" s="53">
        <v>0.6</v>
      </c>
      <c r="P39" s="53">
        <v>0.6</v>
      </c>
      <c r="Q39" s="74">
        <f t="shared" si="1"/>
        <v>0.6</v>
      </c>
      <c r="R39" s="166">
        <v>13.7</v>
      </c>
      <c r="S39" s="166">
        <v>103</v>
      </c>
      <c r="T39" s="16">
        <f t="shared" si="0"/>
        <v>33</v>
      </c>
      <c r="U39" s="162">
        <v>398</v>
      </c>
      <c r="V39" s="38">
        <f t="shared" si="2"/>
        <v>1876.2857142857142</v>
      </c>
      <c r="W39" s="163">
        <v>2</v>
      </c>
      <c r="X39" s="164" t="s">
        <v>46</v>
      </c>
      <c r="Y39" s="170" t="s">
        <v>90</v>
      </c>
      <c r="Z39" s="170" t="s">
        <v>40</v>
      </c>
      <c r="AA39" s="170" t="s">
        <v>84</v>
      </c>
      <c r="AB39" s="53" t="s">
        <v>158</v>
      </c>
    </row>
    <row r="40" spans="1:28" ht="12.75" customHeight="1" x14ac:dyDescent="0.15">
      <c r="A40" s="156" t="s">
        <v>34</v>
      </c>
      <c r="B40" s="156" t="s">
        <v>157</v>
      </c>
      <c r="C40" s="157">
        <v>2019</v>
      </c>
      <c r="D40" s="158" t="s">
        <v>166</v>
      </c>
      <c r="E40" s="157" t="s">
        <v>273</v>
      </c>
      <c r="F40" s="156" t="s">
        <v>366</v>
      </c>
      <c r="G40" s="159" t="s">
        <v>36</v>
      </c>
      <c r="H40" s="127" t="s">
        <v>164</v>
      </c>
      <c r="I40" s="127" t="s">
        <v>159</v>
      </c>
      <c r="J40" s="127" t="s">
        <v>38</v>
      </c>
      <c r="K40" s="127" t="s">
        <v>161</v>
      </c>
      <c r="L40" s="53">
        <v>3</v>
      </c>
      <c r="N40" s="53">
        <v>7</v>
      </c>
      <c r="O40" s="53">
        <v>0.6</v>
      </c>
      <c r="P40" s="53">
        <v>0.55000000000000004</v>
      </c>
      <c r="Q40" s="74">
        <f t="shared" si="1"/>
        <v>0.57499999999999996</v>
      </c>
      <c r="R40" s="166">
        <v>14.2</v>
      </c>
      <c r="S40" s="166">
        <v>101</v>
      </c>
      <c r="T40" s="16">
        <f t="shared" si="0"/>
        <v>33</v>
      </c>
      <c r="U40" s="162">
        <v>398</v>
      </c>
      <c r="V40" s="38">
        <f t="shared" si="2"/>
        <v>1876.2857142857142</v>
      </c>
      <c r="W40" s="163">
        <v>2</v>
      </c>
      <c r="X40" s="164" t="s">
        <v>46</v>
      </c>
      <c r="Y40" s="170" t="s">
        <v>90</v>
      </c>
      <c r="Z40" s="170" t="s">
        <v>40</v>
      </c>
      <c r="AA40" s="170" t="s">
        <v>84</v>
      </c>
      <c r="AB40" s="53" t="s">
        <v>158</v>
      </c>
    </row>
    <row r="41" spans="1:28" ht="12.75" customHeight="1" x14ac:dyDescent="0.15">
      <c r="A41" s="127" t="s">
        <v>34</v>
      </c>
      <c r="B41" s="156" t="s">
        <v>157</v>
      </c>
      <c r="C41" s="157">
        <v>2019</v>
      </c>
      <c r="D41" s="158" t="s">
        <v>166</v>
      </c>
      <c r="E41" s="157" t="s">
        <v>273</v>
      </c>
      <c r="F41" s="156" t="s">
        <v>366</v>
      </c>
      <c r="G41" s="159" t="s">
        <v>36</v>
      </c>
      <c r="H41" s="127" t="s">
        <v>168</v>
      </c>
      <c r="I41" s="127" t="s">
        <v>159</v>
      </c>
      <c r="J41" s="127" t="s">
        <v>38</v>
      </c>
      <c r="K41" s="127" t="s">
        <v>54</v>
      </c>
      <c r="L41" s="53">
        <v>1</v>
      </c>
      <c r="N41" s="53">
        <v>4</v>
      </c>
      <c r="O41" s="53">
        <v>0.95</v>
      </c>
      <c r="P41" s="53">
        <v>0.9</v>
      </c>
      <c r="Q41" s="74">
        <f t="shared" si="1"/>
        <v>0.92500000000000004</v>
      </c>
      <c r="R41" s="166">
        <v>11.1</v>
      </c>
      <c r="S41" s="166">
        <v>78</v>
      </c>
      <c r="T41" s="16">
        <f t="shared" si="0"/>
        <v>42</v>
      </c>
      <c r="U41" s="162">
        <v>498</v>
      </c>
      <c r="V41" s="38">
        <f t="shared" si="2"/>
        <v>5229</v>
      </c>
      <c r="W41" s="53">
        <v>2</v>
      </c>
      <c r="X41" s="164" t="s">
        <v>46</v>
      </c>
      <c r="Y41" s="171" t="s">
        <v>90</v>
      </c>
      <c r="Z41" s="171" t="s">
        <v>40</v>
      </c>
      <c r="AA41" s="171" t="s">
        <v>84</v>
      </c>
      <c r="AB41" s="53" t="s">
        <v>158</v>
      </c>
    </row>
    <row r="42" spans="1:28" ht="12.75" customHeight="1" x14ac:dyDescent="0.15">
      <c r="A42" s="127" t="s">
        <v>34</v>
      </c>
      <c r="B42" s="156" t="s">
        <v>157</v>
      </c>
      <c r="C42" s="157">
        <v>2019</v>
      </c>
      <c r="D42" s="158" t="s">
        <v>166</v>
      </c>
      <c r="E42" s="157" t="s">
        <v>273</v>
      </c>
      <c r="F42" s="156" t="s">
        <v>366</v>
      </c>
      <c r="G42" s="159" t="s">
        <v>36</v>
      </c>
      <c r="H42" s="127" t="s">
        <v>168</v>
      </c>
      <c r="I42" s="127" t="s">
        <v>159</v>
      </c>
      <c r="J42" s="127" t="s">
        <v>38</v>
      </c>
      <c r="K42" s="127" t="s">
        <v>54</v>
      </c>
      <c r="L42" s="53">
        <v>2</v>
      </c>
      <c r="N42" s="53">
        <v>4</v>
      </c>
      <c r="O42" s="53">
        <v>0.75</v>
      </c>
      <c r="P42" s="53">
        <v>0.7</v>
      </c>
      <c r="Q42" s="74">
        <f t="shared" si="1"/>
        <v>0.72499999999999998</v>
      </c>
      <c r="R42" s="166">
        <v>11.5</v>
      </c>
      <c r="S42" s="166">
        <v>81</v>
      </c>
      <c r="T42" s="16">
        <f t="shared" si="0"/>
        <v>42</v>
      </c>
      <c r="U42" s="162">
        <v>498</v>
      </c>
      <c r="V42" s="38">
        <f t="shared" si="2"/>
        <v>5229</v>
      </c>
      <c r="W42" s="53">
        <v>2</v>
      </c>
      <c r="X42" s="164" t="s">
        <v>46</v>
      </c>
      <c r="Y42" s="171" t="s">
        <v>90</v>
      </c>
      <c r="Z42" s="171" t="s">
        <v>40</v>
      </c>
      <c r="AA42" s="171" t="s">
        <v>84</v>
      </c>
      <c r="AB42" s="53" t="s">
        <v>158</v>
      </c>
    </row>
    <row r="43" spans="1:28" ht="12.75" customHeight="1" x14ac:dyDescent="0.15">
      <c r="A43" s="127" t="s">
        <v>34</v>
      </c>
      <c r="B43" s="156" t="s">
        <v>157</v>
      </c>
      <c r="C43" s="157">
        <v>2019</v>
      </c>
      <c r="D43" s="158" t="s">
        <v>166</v>
      </c>
      <c r="E43" s="157" t="s">
        <v>273</v>
      </c>
      <c r="F43" s="156" t="s">
        <v>366</v>
      </c>
      <c r="G43" s="159" t="s">
        <v>36</v>
      </c>
      <c r="H43" s="127" t="s">
        <v>168</v>
      </c>
      <c r="I43" s="127" t="s">
        <v>159</v>
      </c>
      <c r="J43" s="127" t="s">
        <v>38</v>
      </c>
      <c r="K43" s="127" t="s">
        <v>54</v>
      </c>
      <c r="L43" s="53">
        <v>3</v>
      </c>
      <c r="N43" s="53">
        <v>4</v>
      </c>
      <c r="O43" s="53">
        <v>0.8</v>
      </c>
      <c r="P43" s="53">
        <v>0.85</v>
      </c>
      <c r="Q43" s="74">
        <f t="shared" si="1"/>
        <v>0.82499999999999996</v>
      </c>
      <c r="R43" s="166">
        <v>10.9</v>
      </c>
      <c r="S43" s="166">
        <v>77</v>
      </c>
      <c r="T43" s="16">
        <f t="shared" si="0"/>
        <v>42</v>
      </c>
      <c r="U43" s="162">
        <v>498</v>
      </c>
      <c r="V43" s="38">
        <f t="shared" si="2"/>
        <v>5229</v>
      </c>
      <c r="W43" s="53">
        <v>2</v>
      </c>
      <c r="X43" s="164" t="s">
        <v>46</v>
      </c>
      <c r="Y43" s="171" t="s">
        <v>90</v>
      </c>
      <c r="Z43" s="171" t="s">
        <v>40</v>
      </c>
      <c r="AA43" s="171" t="s">
        <v>84</v>
      </c>
      <c r="AB43" s="53" t="s">
        <v>158</v>
      </c>
    </row>
    <row r="44" spans="1:28" x14ac:dyDescent="0.15">
      <c r="B44" s="156"/>
      <c r="C44" s="157"/>
      <c r="D44" s="158"/>
      <c r="E44" s="157"/>
      <c r="F44" s="156"/>
      <c r="G44" s="159"/>
      <c r="H44" s="127"/>
      <c r="I44" s="127"/>
      <c r="K44" s="127"/>
      <c r="Q44" s="74"/>
      <c r="R44" s="166"/>
      <c r="S44" s="166"/>
      <c r="U44" s="162"/>
      <c r="X44" s="164"/>
      <c r="Y44" s="171"/>
      <c r="Z44" s="171"/>
      <c r="AA44" s="171"/>
    </row>
    <row r="45" spans="1:28" x14ac:dyDescent="0.15">
      <c r="B45" s="156"/>
      <c r="C45" s="156"/>
      <c r="D45" s="158"/>
      <c r="E45" s="157"/>
      <c r="F45" s="156"/>
      <c r="G45" s="159"/>
      <c r="H45" s="127"/>
      <c r="I45" s="127"/>
      <c r="K45" s="127"/>
      <c r="Q45" s="74"/>
      <c r="R45" s="166"/>
      <c r="S45" s="166"/>
      <c r="U45" s="162"/>
      <c r="X45" s="164"/>
      <c r="Y45" s="171"/>
      <c r="Z45" s="171"/>
      <c r="AA45" s="171"/>
    </row>
    <row r="46" spans="1:28" x14ac:dyDescent="0.15">
      <c r="B46" s="156"/>
      <c r="C46" s="157"/>
      <c r="D46" s="158"/>
      <c r="E46" s="157"/>
      <c r="F46" s="156"/>
      <c r="G46" s="159"/>
      <c r="H46" s="127"/>
      <c r="I46" s="127"/>
      <c r="K46" s="127"/>
      <c r="Q46" s="74"/>
      <c r="R46" s="166"/>
      <c r="S46" s="166"/>
      <c r="U46" s="162"/>
      <c r="X46" s="164"/>
      <c r="Y46" s="171"/>
      <c r="Z46" s="171"/>
      <c r="AA46" s="171"/>
    </row>
    <row r="47" spans="1:28" x14ac:dyDescent="0.15">
      <c r="B47" s="156"/>
      <c r="D47" s="172"/>
      <c r="F47" s="156"/>
      <c r="G47" s="159"/>
      <c r="H47" s="127"/>
      <c r="I47" s="127"/>
      <c r="K47" s="127"/>
      <c r="Q47" s="74"/>
      <c r="R47" s="166"/>
      <c r="S47" s="166"/>
      <c r="X47" s="164"/>
    </row>
    <row r="48" spans="1:28" x14ac:dyDescent="0.15">
      <c r="B48" s="34"/>
      <c r="D48" s="172"/>
      <c r="F48" s="156"/>
      <c r="G48" s="159"/>
      <c r="H48" s="127"/>
      <c r="I48" s="127"/>
      <c r="K48" s="127"/>
      <c r="Q48" s="74"/>
      <c r="R48" s="166"/>
      <c r="S48" s="166"/>
      <c r="X48" s="164"/>
    </row>
    <row r="49" spans="2:24" x14ac:dyDescent="0.15">
      <c r="B49" s="34"/>
      <c r="D49" s="172"/>
      <c r="F49" s="156"/>
      <c r="G49" s="159"/>
      <c r="H49" s="127"/>
      <c r="I49" s="127"/>
      <c r="K49" s="127"/>
      <c r="Q49" s="74"/>
      <c r="R49" s="166"/>
      <c r="S49" s="166"/>
      <c r="X49" s="164"/>
    </row>
    <row r="50" spans="2:24" x14ac:dyDescent="0.15">
      <c r="D50" s="172"/>
      <c r="F50" s="156"/>
      <c r="G50" s="159"/>
      <c r="K50" s="127"/>
      <c r="Q50" s="74"/>
      <c r="X50" s="164"/>
    </row>
    <row r="51" spans="2:24" x14ac:dyDescent="0.15">
      <c r="D51" s="172"/>
      <c r="F51" s="156"/>
      <c r="G51" s="159"/>
      <c r="K51" s="127"/>
      <c r="Q51" s="74"/>
      <c r="X51" s="164"/>
    </row>
    <row r="52" spans="2:24" x14ac:dyDescent="0.15">
      <c r="D52" s="172"/>
      <c r="F52" s="156"/>
      <c r="G52" s="159"/>
      <c r="K52" s="127"/>
      <c r="Q52" s="74"/>
      <c r="X52" s="164"/>
    </row>
    <row r="53" spans="2:24" x14ac:dyDescent="0.15">
      <c r="D53" s="172"/>
      <c r="F53" s="156"/>
      <c r="G53" s="159"/>
      <c r="K53" s="127"/>
      <c r="Q53" s="74"/>
      <c r="X53" s="164"/>
    </row>
    <row r="54" spans="2:24" x14ac:dyDescent="0.15">
      <c r="D54" s="172"/>
      <c r="F54" s="156"/>
      <c r="G54" s="159"/>
      <c r="K54" s="127"/>
      <c r="Q54" s="74"/>
      <c r="X54" s="164"/>
    </row>
    <row r="55" spans="2:24" x14ac:dyDescent="0.15">
      <c r="D55" s="172"/>
      <c r="F55" s="156"/>
      <c r="G55" s="159"/>
      <c r="K55" s="127"/>
      <c r="Q55" s="74"/>
      <c r="X55" s="164"/>
    </row>
    <row r="56" spans="2:24" x14ac:dyDescent="0.15">
      <c r="D56" s="172"/>
      <c r="F56" s="156"/>
      <c r="G56" s="159"/>
      <c r="K56" s="127"/>
      <c r="Q56" s="74"/>
      <c r="X56" s="164"/>
    </row>
    <row r="57" spans="2:24" x14ac:dyDescent="0.15">
      <c r="D57" s="172"/>
      <c r="F57" s="156"/>
      <c r="G57" s="159"/>
      <c r="K57" s="127"/>
      <c r="Q57" s="74"/>
      <c r="X57" s="164"/>
    </row>
    <row r="58" spans="2:24" x14ac:dyDescent="0.15">
      <c r="D58" s="172"/>
      <c r="F58" s="156"/>
      <c r="G58" s="159"/>
      <c r="K58" s="127"/>
      <c r="Q58" s="74"/>
      <c r="X58" s="164"/>
    </row>
    <row r="59" spans="2:24" x14ac:dyDescent="0.15">
      <c r="D59" s="172"/>
      <c r="F59" s="156"/>
      <c r="G59" s="159"/>
      <c r="K59" s="127"/>
      <c r="Q59" s="74"/>
      <c r="X59" s="164"/>
    </row>
    <row r="60" spans="2:24" x14ac:dyDescent="0.15">
      <c r="D60" s="172"/>
      <c r="F60" s="156"/>
      <c r="G60" s="159"/>
      <c r="K60" s="127"/>
      <c r="Q60" s="74"/>
      <c r="X60" s="164"/>
    </row>
    <row r="61" spans="2:24" x14ac:dyDescent="0.15">
      <c r="D61" s="172"/>
      <c r="F61" s="156"/>
      <c r="G61" s="159"/>
      <c r="K61" s="127"/>
      <c r="Q61" s="74"/>
      <c r="X61" s="164"/>
    </row>
    <row r="62" spans="2:24" x14ac:dyDescent="0.15">
      <c r="D62" s="172"/>
      <c r="F62" s="156"/>
      <c r="G62" s="159"/>
      <c r="K62" s="127"/>
      <c r="Q62" s="74" t="str">
        <f t="shared" ref="Q62:Q91" si="3">IF(OR(O62="",P62=""),"",AVERAGE(O62,P62))</f>
        <v/>
      </c>
      <c r="T62" s="16" t="str">
        <f t="shared" si="0"/>
        <v/>
      </c>
      <c r="V62" s="16" t="str">
        <f t="shared" si="2"/>
        <v/>
      </c>
      <c r="X62" s="164"/>
    </row>
    <row r="63" spans="2:24" x14ac:dyDescent="0.15">
      <c r="D63" s="172"/>
      <c r="F63" s="156"/>
      <c r="G63" s="159"/>
      <c r="K63" s="127"/>
      <c r="Q63" s="74" t="str">
        <f t="shared" si="3"/>
        <v/>
      </c>
      <c r="T63" s="16" t="str">
        <f t="shared" si="0"/>
        <v/>
      </c>
      <c r="V63" s="16" t="str">
        <f t="shared" si="2"/>
        <v/>
      </c>
      <c r="X63" s="164"/>
    </row>
    <row r="64" spans="2:24" x14ac:dyDescent="0.15">
      <c r="D64" s="172"/>
      <c r="F64" s="156"/>
      <c r="G64" s="159"/>
      <c r="K64" s="127"/>
      <c r="Q64" s="74" t="str">
        <f t="shared" si="3"/>
        <v/>
      </c>
      <c r="T64" s="16" t="str">
        <f t="shared" si="0"/>
        <v/>
      </c>
      <c r="V64" s="16" t="str">
        <f t="shared" si="2"/>
        <v/>
      </c>
      <c r="X64" s="164"/>
    </row>
    <row r="65" spans="4:24" x14ac:dyDescent="0.15">
      <c r="D65" s="172"/>
      <c r="F65" s="156"/>
      <c r="G65" s="159"/>
      <c r="K65" s="127"/>
      <c r="Q65" s="74" t="str">
        <f t="shared" si="3"/>
        <v/>
      </c>
      <c r="T65" s="16" t="str">
        <f t="shared" si="0"/>
        <v/>
      </c>
      <c r="V65" s="16" t="str">
        <f t="shared" si="2"/>
        <v/>
      </c>
      <c r="X65" s="164"/>
    </row>
    <row r="66" spans="4:24" x14ac:dyDescent="0.15">
      <c r="D66" s="172"/>
      <c r="F66" s="156"/>
      <c r="G66" s="159"/>
      <c r="K66" s="127"/>
      <c r="Q66" s="74" t="str">
        <f t="shared" si="3"/>
        <v/>
      </c>
      <c r="T66" s="16" t="str">
        <f t="shared" ref="T66:T91" si="4">IF(H66="","",IF(OR(H66="GREEN",H66="GK"),IF(S66&gt;=$AX$2,VLOOKUP(S66,$AX$2:$AY$7,2,1),""),IF(S66&gt;=$AZ$2,VLOOKUP(S66,$AZ$2:$BA$7,2,1),"")))</f>
        <v/>
      </c>
      <c r="V66" s="16" t="str">
        <f t="shared" si="2"/>
        <v/>
      </c>
      <c r="X66" s="164"/>
    </row>
    <row r="67" spans="4:24" x14ac:dyDescent="0.15">
      <c r="D67" s="172"/>
      <c r="F67" s="156"/>
      <c r="G67" s="159"/>
      <c r="K67" s="127"/>
      <c r="Q67" s="74" t="str">
        <f t="shared" si="3"/>
        <v/>
      </c>
      <c r="T67" s="16" t="str">
        <f t="shared" si="4"/>
        <v/>
      </c>
      <c r="V67" s="16" t="str">
        <f t="shared" ref="V67:V92" si="5">IF(OR(N67="",U67="",T67=""),"",U67/N67*T67)</f>
        <v/>
      </c>
      <c r="X67" s="164"/>
    </row>
    <row r="68" spans="4:24" x14ac:dyDescent="0.15">
      <c r="D68" s="172"/>
      <c r="F68" s="156"/>
      <c r="G68" s="159"/>
      <c r="K68" s="127"/>
      <c r="Q68" s="74" t="str">
        <f t="shared" si="3"/>
        <v/>
      </c>
      <c r="T68" s="16" t="str">
        <f t="shared" si="4"/>
        <v/>
      </c>
      <c r="V68" s="16" t="str">
        <f t="shared" si="5"/>
        <v/>
      </c>
      <c r="X68" s="164"/>
    </row>
    <row r="69" spans="4:24" x14ac:dyDescent="0.15">
      <c r="D69" s="172"/>
      <c r="F69" s="156"/>
      <c r="G69" s="159"/>
      <c r="K69" s="127"/>
      <c r="Q69" s="74" t="str">
        <f t="shared" si="3"/>
        <v/>
      </c>
      <c r="T69" s="16" t="str">
        <f t="shared" si="4"/>
        <v/>
      </c>
      <c r="V69" s="16" t="str">
        <f t="shared" si="5"/>
        <v/>
      </c>
      <c r="X69" s="164"/>
    </row>
    <row r="70" spans="4:24" x14ac:dyDescent="0.15">
      <c r="D70" s="172"/>
      <c r="F70" s="156"/>
      <c r="G70" s="159"/>
      <c r="K70" s="127"/>
      <c r="Q70" s="74" t="str">
        <f t="shared" si="3"/>
        <v/>
      </c>
      <c r="T70" s="16" t="str">
        <f t="shared" si="4"/>
        <v/>
      </c>
      <c r="V70" s="16" t="str">
        <f t="shared" si="5"/>
        <v/>
      </c>
      <c r="X70" s="164"/>
    </row>
    <row r="71" spans="4:24" x14ac:dyDescent="0.15">
      <c r="D71" s="172"/>
      <c r="F71" s="156"/>
      <c r="G71" s="159"/>
      <c r="K71" s="127"/>
      <c r="Q71" s="74" t="str">
        <f t="shared" si="3"/>
        <v/>
      </c>
      <c r="T71" s="16" t="str">
        <f t="shared" si="4"/>
        <v/>
      </c>
      <c r="V71" s="16" t="str">
        <f t="shared" si="5"/>
        <v/>
      </c>
      <c r="X71" s="164"/>
    </row>
    <row r="72" spans="4:24" x14ac:dyDescent="0.15">
      <c r="D72" s="172"/>
      <c r="F72" s="156"/>
      <c r="G72" s="159"/>
      <c r="K72" s="127"/>
      <c r="Q72" s="74" t="str">
        <f t="shared" si="3"/>
        <v/>
      </c>
      <c r="T72" s="16" t="str">
        <f t="shared" si="4"/>
        <v/>
      </c>
      <c r="V72" s="16" t="str">
        <f t="shared" si="5"/>
        <v/>
      </c>
      <c r="X72" s="164"/>
    </row>
    <row r="73" spans="4:24" x14ac:dyDescent="0.15">
      <c r="D73" s="172"/>
      <c r="F73" s="156"/>
      <c r="G73" s="159"/>
      <c r="K73" s="127"/>
      <c r="Q73" s="74" t="str">
        <f t="shared" si="3"/>
        <v/>
      </c>
      <c r="T73" s="16" t="str">
        <f t="shared" si="4"/>
        <v/>
      </c>
      <c r="V73" s="16" t="str">
        <f t="shared" si="5"/>
        <v/>
      </c>
      <c r="X73" s="164"/>
    </row>
    <row r="74" spans="4:24" x14ac:dyDescent="0.15">
      <c r="D74" s="172"/>
      <c r="F74" s="156"/>
      <c r="G74" s="159"/>
      <c r="K74" s="127"/>
      <c r="Q74" s="74" t="str">
        <f t="shared" si="3"/>
        <v/>
      </c>
      <c r="T74" s="16" t="str">
        <f t="shared" si="4"/>
        <v/>
      </c>
      <c r="V74" s="16" t="str">
        <f t="shared" si="5"/>
        <v/>
      </c>
      <c r="X74" s="164"/>
    </row>
    <row r="75" spans="4:24" x14ac:dyDescent="0.15">
      <c r="D75" s="172"/>
      <c r="F75" s="156"/>
      <c r="G75" s="159"/>
      <c r="K75" s="127"/>
      <c r="Q75" s="74" t="str">
        <f t="shared" si="3"/>
        <v/>
      </c>
      <c r="T75" s="16" t="str">
        <f t="shared" si="4"/>
        <v/>
      </c>
      <c r="V75" s="16" t="str">
        <f t="shared" si="5"/>
        <v/>
      </c>
      <c r="X75" s="164"/>
    </row>
    <row r="76" spans="4:24" x14ac:dyDescent="0.15">
      <c r="D76" s="172"/>
      <c r="F76" s="156"/>
      <c r="G76" s="159"/>
      <c r="K76" s="127"/>
      <c r="Q76" s="74" t="str">
        <f t="shared" si="3"/>
        <v/>
      </c>
      <c r="T76" s="16" t="str">
        <f t="shared" si="4"/>
        <v/>
      </c>
      <c r="V76" s="16" t="str">
        <f t="shared" si="5"/>
        <v/>
      </c>
      <c r="X76" s="164"/>
    </row>
    <row r="77" spans="4:24" x14ac:dyDescent="0.15">
      <c r="D77" s="172"/>
      <c r="F77" s="156"/>
      <c r="G77" s="159"/>
      <c r="K77" s="127"/>
      <c r="Q77" s="74" t="str">
        <f t="shared" si="3"/>
        <v/>
      </c>
      <c r="T77" s="16" t="str">
        <f t="shared" si="4"/>
        <v/>
      </c>
      <c r="V77" s="16" t="str">
        <f t="shared" si="5"/>
        <v/>
      </c>
      <c r="X77" s="164"/>
    </row>
    <row r="78" spans="4:24" x14ac:dyDescent="0.15">
      <c r="D78" s="172"/>
      <c r="F78" s="156"/>
      <c r="G78" s="159"/>
      <c r="K78" s="127"/>
      <c r="Q78" s="74" t="str">
        <f t="shared" si="3"/>
        <v/>
      </c>
      <c r="T78" s="16" t="str">
        <f t="shared" si="4"/>
        <v/>
      </c>
      <c r="V78" s="16" t="str">
        <f t="shared" si="5"/>
        <v/>
      </c>
      <c r="X78" s="164"/>
    </row>
    <row r="79" spans="4:24" x14ac:dyDescent="0.15">
      <c r="D79" s="172"/>
      <c r="F79" s="156"/>
      <c r="G79" s="159"/>
      <c r="K79" s="127"/>
      <c r="Q79" s="74" t="str">
        <f t="shared" si="3"/>
        <v/>
      </c>
      <c r="T79" s="16" t="str">
        <f t="shared" si="4"/>
        <v/>
      </c>
      <c r="V79" s="16" t="str">
        <f t="shared" si="5"/>
        <v/>
      </c>
      <c r="X79" s="164"/>
    </row>
    <row r="80" spans="4:24" x14ac:dyDescent="0.15">
      <c r="K80" s="127"/>
      <c r="Q80" s="74" t="str">
        <f t="shared" si="3"/>
        <v/>
      </c>
      <c r="T80" s="16" t="str">
        <f t="shared" si="4"/>
        <v/>
      </c>
      <c r="V80" s="16" t="str">
        <f t="shared" si="5"/>
        <v/>
      </c>
    </row>
    <row r="81" spans="11:22" x14ac:dyDescent="0.15">
      <c r="K81" s="127"/>
      <c r="Q81" s="74" t="str">
        <f t="shared" si="3"/>
        <v/>
      </c>
      <c r="T81" s="16" t="str">
        <f t="shared" si="4"/>
        <v/>
      </c>
      <c r="V81" s="16" t="str">
        <f t="shared" si="5"/>
        <v/>
      </c>
    </row>
    <row r="82" spans="11:22" x14ac:dyDescent="0.15">
      <c r="K82" s="127"/>
      <c r="Q82" s="74" t="str">
        <f t="shared" si="3"/>
        <v/>
      </c>
      <c r="T82" s="16" t="str">
        <f t="shared" si="4"/>
        <v/>
      </c>
      <c r="V82" s="16" t="str">
        <f t="shared" si="5"/>
        <v/>
      </c>
    </row>
    <row r="83" spans="11:22" x14ac:dyDescent="0.15">
      <c r="K83" s="127"/>
      <c r="Q83" s="74" t="str">
        <f t="shared" si="3"/>
        <v/>
      </c>
      <c r="T83" s="16" t="str">
        <f t="shared" si="4"/>
        <v/>
      </c>
      <c r="V83" s="16" t="str">
        <f t="shared" si="5"/>
        <v/>
      </c>
    </row>
    <row r="84" spans="11:22" x14ac:dyDescent="0.15">
      <c r="K84" s="127"/>
      <c r="Q84" s="74" t="str">
        <f t="shared" si="3"/>
        <v/>
      </c>
      <c r="T84" s="16" t="str">
        <f t="shared" si="4"/>
        <v/>
      </c>
      <c r="V84" s="16" t="str">
        <f t="shared" si="5"/>
        <v/>
      </c>
    </row>
    <row r="85" spans="11:22" x14ac:dyDescent="0.15">
      <c r="K85" s="127"/>
      <c r="Q85" s="74" t="str">
        <f t="shared" si="3"/>
        <v/>
      </c>
      <c r="T85" s="16" t="str">
        <f t="shared" si="4"/>
        <v/>
      </c>
      <c r="V85" s="16" t="str">
        <f t="shared" si="5"/>
        <v/>
      </c>
    </row>
    <row r="86" spans="11:22" x14ac:dyDescent="0.15">
      <c r="K86" s="127"/>
      <c r="Q86" s="74" t="str">
        <f t="shared" si="3"/>
        <v/>
      </c>
      <c r="T86" s="16" t="str">
        <f t="shared" si="4"/>
        <v/>
      </c>
      <c r="V86" s="16" t="str">
        <f t="shared" si="5"/>
        <v/>
      </c>
    </row>
    <row r="87" spans="11:22" x14ac:dyDescent="0.15">
      <c r="K87" s="127"/>
      <c r="Q87" s="74" t="str">
        <f t="shared" si="3"/>
        <v/>
      </c>
      <c r="T87" s="16" t="str">
        <f t="shared" si="4"/>
        <v/>
      </c>
      <c r="V87" s="16" t="str">
        <f t="shared" si="5"/>
        <v/>
      </c>
    </row>
    <row r="88" spans="11:22" x14ac:dyDescent="0.15">
      <c r="K88" s="127"/>
      <c r="Q88" s="74" t="str">
        <f t="shared" si="3"/>
        <v/>
      </c>
      <c r="T88" s="16" t="str">
        <f t="shared" si="4"/>
        <v/>
      </c>
      <c r="V88" s="16" t="str">
        <f t="shared" si="5"/>
        <v/>
      </c>
    </row>
    <row r="89" spans="11:22" x14ac:dyDescent="0.15">
      <c r="K89" s="127"/>
      <c r="Q89" s="74" t="str">
        <f t="shared" si="3"/>
        <v/>
      </c>
      <c r="T89" s="16" t="str">
        <f t="shared" si="4"/>
        <v/>
      </c>
      <c r="V89" s="16" t="str">
        <f t="shared" si="5"/>
        <v/>
      </c>
    </row>
    <row r="90" spans="11:22" x14ac:dyDescent="0.15">
      <c r="K90" s="127"/>
      <c r="Q90" s="74" t="str">
        <f t="shared" si="3"/>
        <v/>
      </c>
      <c r="T90" s="16" t="str">
        <f t="shared" si="4"/>
        <v/>
      </c>
      <c r="V90" s="16" t="str">
        <f t="shared" si="5"/>
        <v/>
      </c>
    </row>
    <row r="91" spans="11:22" x14ac:dyDescent="0.15">
      <c r="K91" s="127"/>
      <c r="Q91" s="74" t="str">
        <f t="shared" si="3"/>
        <v/>
      </c>
      <c r="T91" s="16" t="str">
        <f t="shared" si="4"/>
        <v/>
      </c>
      <c r="V91" s="16" t="str">
        <f t="shared" si="5"/>
        <v/>
      </c>
    </row>
    <row r="92" spans="11:22" x14ac:dyDescent="0.15">
      <c r="K92" s="127"/>
      <c r="Q92" s="74"/>
    </row>
    <row r="93" spans="11:22" x14ac:dyDescent="0.15">
      <c r="K93" s="127"/>
      <c r="Q93" s="74"/>
    </row>
    <row r="94" spans="11:22" x14ac:dyDescent="0.15">
      <c r="K94" s="127"/>
      <c r="Q94" s="74"/>
    </row>
    <row r="95" spans="11:22" x14ac:dyDescent="0.15">
      <c r="K95" s="127"/>
      <c r="Q95" s="74"/>
    </row>
    <row r="96" spans="11:22" x14ac:dyDescent="0.15">
      <c r="K96" s="127"/>
      <c r="Q96" s="74"/>
    </row>
    <row r="97" spans="11:17" x14ac:dyDescent="0.15">
      <c r="K97" s="127"/>
      <c r="Q97" s="74"/>
    </row>
    <row r="98" spans="11:17" x14ac:dyDescent="0.15">
      <c r="K98" s="127"/>
      <c r="Q98" s="74"/>
    </row>
    <row r="99" spans="11:17" x14ac:dyDescent="0.15">
      <c r="K99" s="127"/>
      <c r="Q99" s="74"/>
    </row>
    <row r="100" spans="11:17" x14ac:dyDescent="0.15">
      <c r="K100" s="127"/>
      <c r="Q100" s="74"/>
    </row>
    <row r="101" spans="11:17" x14ac:dyDescent="0.15">
      <c r="K101" s="127"/>
      <c r="Q101" s="74"/>
    </row>
    <row r="102" spans="11:17" x14ac:dyDescent="0.15">
      <c r="K102" s="127"/>
      <c r="Q102" s="74"/>
    </row>
    <row r="103" spans="11:17" x14ac:dyDescent="0.15">
      <c r="K103" s="127"/>
      <c r="Q103" s="74"/>
    </row>
    <row r="104" spans="11:17" x14ac:dyDescent="0.15">
      <c r="K104" s="127"/>
      <c r="Q104" s="74"/>
    </row>
    <row r="105" spans="11:17" x14ac:dyDescent="0.15">
      <c r="K105" s="127"/>
      <c r="Q105" s="74"/>
    </row>
    <row r="106" spans="11:17" x14ac:dyDescent="0.15">
      <c r="K106" s="127"/>
      <c r="Q106" s="74"/>
    </row>
    <row r="107" spans="11:17" x14ac:dyDescent="0.15">
      <c r="K107" s="127"/>
      <c r="Q107" s="74"/>
    </row>
    <row r="108" spans="11:17" x14ac:dyDescent="0.15">
      <c r="K108" s="127"/>
      <c r="Q108" s="74"/>
    </row>
    <row r="109" spans="11:17" x14ac:dyDescent="0.15">
      <c r="K109" s="127"/>
      <c r="Q109" s="74"/>
    </row>
    <row r="110" spans="11:17" x14ac:dyDescent="0.15">
      <c r="K110" s="127"/>
      <c r="Q110" s="74"/>
    </row>
    <row r="111" spans="11:17" x14ac:dyDescent="0.15">
      <c r="K111" s="127"/>
      <c r="Q111" s="74"/>
    </row>
    <row r="112" spans="11:17" x14ac:dyDescent="0.15">
      <c r="K112" s="127"/>
      <c r="Q112" s="74"/>
    </row>
    <row r="113" spans="11:17" x14ac:dyDescent="0.15">
      <c r="K113" s="127"/>
      <c r="Q113" s="74"/>
    </row>
    <row r="114" spans="11:17" x14ac:dyDescent="0.15">
      <c r="K114" s="127"/>
      <c r="Q114" s="74"/>
    </row>
    <row r="115" spans="11:17" x14ac:dyDescent="0.15">
      <c r="K115" s="127"/>
      <c r="Q115" s="74"/>
    </row>
    <row r="116" spans="11:17" x14ac:dyDescent="0.15">
      <c r="K116" s="127"/>
      <c r="Q116" s="74"/>
    </row>
    <row r="117" spans="11:17" x14ac:dyDescent="0.15">
      <c r="K117" s="127"/>
      <c r="Q117" s="74"/>
    </row>
    <row r="118" spans="11:17" x14ac:dyDescent="0.15">
      <c r="K118" s="127"/>
      <c r="Q118" s="74"/>
    </row>
    <row r="119" spans="11:17" x14ac:dyDescent="0.15">
      <c r="K119" s="127"/>
      <c r="Q119" s="74"/>
    </row>
    <row r="120" spans="11:17" x14ac:dyDescent="0.15">
      <c r="K120" s="127"/>
      <c r="Q120" s="74"/>
    </row>
    <row r="121" spans="11:17" x14ac:dyDescent="0.15">
      <c r="K121" s="127"/>
      <c r="Q121" s="74"/>
    </row>
    <row r="122" spans="11:17" x14ac:dyDescent="0.15">
      <c r="K122" s="127"/>
      <c r="Q122" s="74"/>
    </row>
    <row r="123" spans="11:17" x14ac:dyDescent="0.15">
      <c r="K123" s="127"/>
      <c r="Q123" s="74"/>
    </row>
    <row r="124" spans="11:17" x14ac:dyDescent="0.15">
      <c r="K124" s="127"/>
      <c r="Q124" s="74"/>
    </row>
    <row r="125" spans="11:17" x14ac:dyDescent="0.15">
      <c r="K125" s="127"/>
      <c r="Q125" s="74"/>
    </row>
    <row r="126" spans="11:17" x14ac:dyDescent="0.15">
      <c r="K126" s="127"/>
      <c r="Q126" s="74"/>
    </row>
    <row r="127" spans="11:17" x14ac:dyDescent="0.15">
      <c r="K127" s="127"/>
      <c r="Q127" s="74"/>
    </row>
    <row r="128" spans="11:17" x14ac:dyDescent="0.15">
      <c r="K128" s="127"/>
      <c r="Q128" s="74"/>
    </row>
    <row r="129" spans="11:17" x14ac:dyDescent="0.15">
      <c r="K129" s="127"/>
      <c r="Q129" s="74"/>
    </row>
    <row r="130" spans="11:17" x14ac:dyDescent="0.15">
      <c r="K130" s="127"/>
      <c r="Q130" s="74"/>
    </row>
    <row r="131" spans="11:17" x14ac:dyDescent="0.15">
      <c r="K131" s="127"/>
      <c r="Q131" s="74"/>
    </row>
    <row r="132" spans="11:17" x14ac:dyDescent="0.15">
      <c r="K132" s="127"/>
      <c r="Q132" s="74"/>
    </row>
    <row r="133" spans="11:17" x14ac:dyDescent="0.15">
      <c r="K133" s="127"/>
      <c r="Q133" s="74"/>
    </row>
    <row r="134" spans="11:17" x14ac:dyDescent="0.15">
      <c r="K134" s="127"/>
      <c r="Q134" s="74"/>
    </row>
    <row r="135" spans="11:17" x14ac:dyDescent="0.15">
      <c r="K135" s="127"/>
      <c r="Q135" s="74"/>
    </row>
    <row r="136" spans="11:17" x14ac:dyDescent="0.15">
      <c r="K136" s="127"/>
      <c r="Q136" s="74"/>
    </row>
    <row r="137" spans="11:17" x14ac:dyDescent="0.15">
      <c r="K137" s="127"/>
      <c r="Q137" s="74"/>
    </row>
    <row r="138" spans="11:17" x14ac:dyDescent="0.15">
      <c r="K138" s="127"/>
      <c r="Q138" s="74"/>
    </row>
    <row r="139" spans="11:17" x14ac:dyDescent="0.15">
      <c r="K139" s="127"/>
      <c r="Q139" s="74"/>
    </row>
    <row r="140" spans="11:17" x14ac:dyDescent="0.15">
      <c r="K140" s="127"/>
      <c r="Q140" s="74"/>
    </row>
    <row r="141" spans="11:17" x14ac:dyDescent="0.15">
      <c r="K141" s="127"/>
      <c r="Q141" s="74"/>
    </row>
    <row r="142" spans="11:17" x14ac:dyDescent="0.15">
      <c r="K142" s="127"/>
      <c r="Q142" s="74"/>
    </row>
    <row r="143" spans="11:17" x14ac:dyDescent="0.15">
      <c r="K143" s="127"/>
      <c r="Q143" s="74"/>
    </row>
    <row r="144" spans="11:17" x14ac:dyDescent="0.15">
      <c r="K144" s="127"/>
      <c r="Q144" s="74"/>
    </row>
    <row r="145" spans="11:17" x14ac:dyDescent="0.15">
      <c r="K145" s="127"/>
      <c r="Q145" s="74"/>
    </row>
    <row r="146" spans="11:17" x14ac:dyDescent="0.15">
      <c r="K146" s="127"/>
      <c r="Q146" s="74"/>
    </row>
    <row r="147" spans="11:17" x14ac:dyDescent="0.15">
      <c r="K147" s="127"/>
      <c r="Q147" s="74"/>
    </row>
    <row r="148" spans="11:17" x14ac:dyDescent="0.15">
      <c r="K148" s="127"/>
      <c r="Q148" s="74"/>
    </row>
    <row r="149" spans="11:17" x14ac:dyDescent="0.15">
      <c r="K149" s="127"/>
      <c r="Q149" s="74"/>
    </row>
    <row r="150" spans="11:17" x14ac:dyDescent="0.15">
      <c r="K150" s="127"/>
      <c r="Q150" s="74"/>
    </row>
    <row r="151" spans="11:17" x14ac:dyDescent="0.15">
      <c r="K151" s="127"/>
      <c r="Q151" s="74"/>
    </row>
    <row r="152" spans="11:17" x14ac:dyDescent="0.15">
      <c r="K152" s="127"/>
      <c r="Q152" s="74"/>
    </row>
    <row r="153" spans="11:17" x14ac:dyDescent="0.15">
      <c r="K153" s="127"/>
      <c r="Q153" s="74"/>
    </row>
    <row r="154" spans="11:17" x14ac:dyDescent="0.15">
      <c r="K154" s="127"/>
      <c r="Q154" s="74"/>
    </row>
    <row r="155" spans="11:17" x14ac:dyDescent="0.15">
      <c r="K155" s="127"/>
      <c r="Q155" s="74"/>
    </row>
    <row r="156" spans="11:17" x14ac:dyDescent="0.15">
      <c r="K156" s="127"/>
      <c r="Q156" s="74"/>
    </row>
    <row r="157" spans="11:17" x14ac:dyDescent="0.15">
      <c r="K157" s="127"/>
      <c r="Q157" s="74"/>
    </row>
    <row r="158" spans="11:17" x14ac:dyDescent="0.15">
      <c r="K158" s="127"/>
      <c r="Q158" s="74"/>
    </row>
    <row r="159" spans="11:17" x14ac:dyDescent="0.15">
      <c r="K159" s="127"/>
      <c r="Q159" s="74"/>
    </row>
    <row r="160" spans="11:17" x14ac:dyDescent="0.15">
      <c r="K160" s="127"/>
      <c r="Q160" s="74"/>
    </row>
    <row r="161" spans="11:17" x14ac:dyDescent="0.15">
      <c r="K161" s="127"/>
      <c r="Q161" s="74"/>
    </row>
    <row r="162" spans="11:17" x14ac:dyDescent="0.15">
      <c r="K162" s="127"/>
      <c r="Q162" s="74"/>
    </row>
    <row r="163" spans="11:17" x14ac:dyDescent="0.15">
      <c r="K163" s="127"/>
      <c r="Q163" s="74"/>
    </row>
    <row r="164" spans="11:17" x14ac:dyDescent="0.15">
      <c r="K164" s="127"/>
      <c r="Q164" s="74"/>
    </row>
    <row r="165" spans="11:17" x14ac:dyDescent="0.15">
      <c r="K165" s="127"/>
      <c r="Q165" s="74"/>
    </row>
    <row r="166" spans="11:17" x14ac:dyDescent="0.15">
      <c r="K166" s="127"/>
      <c r="Q166" s="74"/>
    </row>
    <row r="167" spans="11:17" x14ac:dyDescent="0.15">
      <c r="K167" s="127"/>
      <c r="Q167" s="74"/>
    </row>
    <row r="168" spans="11:17" x14ac:dyDescent="0.15">
      <c r="K168" s="127"/>
      <c r="Q168" s="74"/>
    </row>
    <row r="169" spans="11:17" x14ac:dyDescent="0.15">
      <c r="K169" s="127"/>
      <c r="Q169" s="74"/>
    </row>
    <row r="170" spans="11:17" x14ac:dyDescent="0.15">
      <c r="K170" s="127"/>
      <c r="Q170" s="74"/>
    </row>
    <row r="171" spans="11:17" x14ac:dyDescent="0.15">
      <c r="K171" s="127"/>
      <c r="Q171" s="74"/>
    </row>
    <row r="172" spans="11:17" x14ac:dyDescent="0.15">
      <c r="K172" s="127"/>
      <c r="Q172" s="74"/>
    </row>
    <row r="173" spans="11:17" x14ac:dyDescent="0.15">
      <c r="K173" s="127"/>
      <c r="Q173" s="74"/>
    </row>
    <row r="174" spans="11:17" x14ac:dyDescent="0.15">
      <c r="K174" s="127"/>
      <c r="Q174" s="74"/>
    </row>
    <row r="175" spans="11:17" x14ac:dyDescent="0.15">
      <c r="K175" s="127"/>
      <c r="Q175" s="74"/>
    </row>
    <row r="176" spans="11:17" x14ac:dyDescent="0.15">
      <c r="K176" s="127"/>
      <c r="Q176" s="74"/>
    </row>
    <row r="177" spans="11:17" x14ac:dyDescent="0.15">
      <c r="K177" s="127"/>
      <c r="Q177" s="74"/>
    </row>
    <row r="178" spans="11:17" x14ac:dyDescent="0.15">
      <c r="K178" s="127"/>
      <c r="Q178" s="74"/>
    </row>
    <row r="179" spans="11:17" x14ac:dyDescent="0.15">
      <c r="K179" s="127"/>
      <c r="Q179" s="74"/>
    </row>
    <row r="180" spans="11:17" x14ac:dyDescent="0.15">
      <c r="K180" s="127"/>
      <c r="Q180" s="74"/>
    </row>
    <row r="181" spans="11:17" x14ac:dyDescent="0.15">
      <c r="K181" s="127"/>
      <c r="Q181" s="74"/>
    </row>
    <row r="182" spans="11:17" x14ac:dyDescent="0.15">
      <c r="K182" s="127"/>
      <c r="Q182" s="74"/>
    </row>
    <row r="183" spans="11:17" x14ac:dyDescent="0.15">
      <c r="K183" s="127"/>
      <c r="Q183" s="74"/>
    </row>
    <row r="184" spans="11:17" x14ac:dyDescent="0.15">
      <c r="K184" s="127"/>
      <c r="Q184" s="74"/>
    </row>
    <row r="185" spans="11:17" x14ac:dyDescent="0.15">
      <c r="K185" s="127"/>
      <c r="Q185" s="74"/>
    </row>
    <row r="186" spans="11:17" x14ac:dyDescent="0.15">
      <c r="K186" s="127"/>
      <c r="Q186" s="74"/>
    </row>
    <row r="187" spans="11:17" x14ac:dyDescent="0.15">
      <c r="K187" s="127"/>
      <c r="Q187" s="74"/>
    </row>
    <row r="188" spans="11:17" x14ac:dyDescent="0.15">
      <c r="K188" s="127"/>
      <c r="Q188" s="74"/>
    </row>
    <row r="189" spans="11:17" x14ac:dyDescent="0.15">
      <c r="K189" s="127"/>
      <c r="Q189" s="74"/>
    </row>
    <row r="190" spans="11:17" x14ac:dyDescent="0.15">
      <c r="K190" s="127"/>
      <c r="Q190" s="74"/>
    </row>
    <row r="191" spans="11:17" x14ac:dyDescent="0.15">
      <c r="K191" s="127"/>
      <c r="Q191" s="74"/>
    </row>
    <row r="192" spans="11:17" x14ac:dyDescent="0.15">
      <c r="K192" s="127"/>
      <c r="Q192" s="74"/>
    </row>
    <row r="193" spans="11:17" x14ac:dyDescent="0.15">
      <c r="K193" s="127"/>
      <c r="Q193" s="74"/>
    </row>
    <row r="194" spans="11:17" x14ac:dyDescent="0.15">
      <c r="K194" s="127"/>
      <c r="Q194" s="74"/>
    </row>
    <row r="195" spans="11:17" x14ac:dyDescent="0.15">
      <c r="K195" s="127"/>
      <c r="Q195" s="74"/>
    </row>
    <row r="196" spans="11:17" x14ac:dyDescent="0.15">
      <c r="K196" s="127"/>
      <c r="Q196" s="74"/>
    </row>
    <row r="197" spans="11:17" x14ac:dyDescent="0.15">
      <c r="K197" s="127"/>
      <c r="Q197" s="74"/>
    </row>
    <row r="198" spans="11:17" x14ac:dyDescent="0.15">
      <c r="K198" s="127"/>
      <c r="Q198" s="74"/>
    </row>
    <row r="199" spans="11:17" x14ac:dyDescent="0.15">
      <c r="K199" s="127"/>
      <c r="Q199" s="74"/>
    </row>
    <row r="200" spans="11:17" x14ac:dyDescent="0.15">
      <c r="K200" s="127"/>
      <c r="Q200" s="74"/>
    </row>
    <row r="201" spans="11:17" x14ac:dyDescent="0.15">
      <c r="K201" s="127"/>
      <c r="Q201" s="74"/>
    </row>
    <row r="202" spans="11:17" x14ac:dyDescent="0.15">
      <c r="K202" s="127"/>
      <c r="Q202" s="74"/>
    </row>
    <row r="203" spans="11:17" x14ac:dyDescent="0.15">
      <c r="K203" s="127"/>
      <c r="Q203" s="74"/>
    </row>
    <row r="204" spans="11:17" x14ac:dyDescent="0.15">
      <c r="K204" s="127"/>
      <c r="Q204" s="74"/>
    </row>
    <row r="205" spans="11:17" x14ac:dyDescent="0.15">
      <c r="K205" s="127"/>
      <c r="Q205" s="74"/>
    </row>
    <row r="206" spans="11:17" x14ac:dyDescent="0.15">
      <c r="K206" s="127"/>
      <c r="Q206" s="74"/>
    </row>
    <row r="207" spans="11:17" x14ac:dyDescent="0.15">
      <c r="K207" s="127"/>
      <c r="Q207" s="74"/>
    </row>
    <row r="208" spans="11:17" x14ac:dyDescent="0.15">
      <c r="K208" s="127"/>
      <c r="Q208" s="74"/>
    </row>
    <row r="209" spans="11:17" x14ac:dyDescent="0.15">
      <c r="K209" s="127"/>
      <c r="Q209" s="74"/>
    </row>
    <row r="210" spans="11:17" x14ac:dyDescent="0.15">
      <c r="K210" s="127"/>
      <c r="Q210" s="74"/>
    </row>
    <row r="211" spans="11:17" x14ac:dyDescent="0.15">
      <c r="K211" s="127"/>
      <c r="Q211" s="74"/>
    </row>
    <row r="212" spans="11:17" x14ac:dyDescent="0.15">
      <c r="K212" s="127"/>
      <c r="Q212" s="74"/>
    </row>
    <row r="213" spans="11:17" x14ac:dyDescent="0.15">
      <c r="K213" s="127"/>
      <c r="Q213" s="74"/>
    </row>
    <row r="214" spans="11:17" x14ac:dyDescent="0.15">
      <c r="K214" s="127"/>
      <c r="Q214" s="74"/>
    </row>
    <row r="215" spans="11:17" x14ac:dyDescent="0.15">
      <c r="K215" s="127"/>
      <c r="Q215" s="74"/>
    </row>
    <row r="216" spans="11:17" x14ac:dyDescent="0.15">
      <c r="K216" s="127"/>
      <c r="Q216" s="74"/>
    </row>
    <row r="217" spans="11:17" x14ac:dyDescent="0.15">
      <c r="K217" s="127"/>
      <c r="Q217" s="74"/>
    </row>
    <row r="218" spans="11:17" x14ac:dyDescent="0.15">
      <c r="K218" s="127"/>
      <c r="Q218" s="74"/>
    </row>
    <row r="219" spans="11:17" x14ac:dyDescent="0.15">
      <c r="K219" s="127"/>
      <c r="Q219" s="74"/>
    </row>
    <row r="220" spans="11:17" x14ac:dyDescent="0.15">
      <c r="K220" s="127"/>
      <c r="Q220" s="74"/>
    </row>
    <row r="221" spans="11:17" x14ac:dyDescent="0.15">
      <c r="K221" s="127"/>
      <c r="Q221" s="74"/>
    </row>
    <row r="222" spans="11:17" x14ac:dyDescent="0.15">
      <c r="K222" s="127"/>
      <c r="Q222" s="74"/>
    </row>
    <row r="223" spans="11:17" x14ac:dyDescent="0.15">
      <c r="K223" s="127"/>
      <c r="Q223" s="74"/>
    </row>
    <row r="224" spans="11:17" x14ac:dyDescent="0.15">
      <c r="K224" s="127"/>
      <c r="Q224" s="74"/>
    </row>
    <row r="225" spans="11:17" x14ac:dyDescent="0.15">
      <c r="K225" s="127"/>
      <c r="Q225" s="74"/>
    </row>
    <row r="226" spans="11:17" x14ac:dyDescent="0.15">
      <c r="K226" s="127"/>
      <c r="Q226" s="74"/>
    </row>
    <row r="227" spans="11:17" x14ac:dyDescent="0.15">
      <c r="K227" s="127"/>
      <c r="Q227" s="74"/>
    </row>
    <row r="228" spans="11:17" x14ac:dyDescent="0.15">
      <c r="K228" s="127"/>
      <c r="Q228" s="74"/>
    </row>
    <row r="229" spans="11:17" x14ac:dyDescent="0.15">
      <c r="K229" s="127"/>
      <c r="Q229" s="74"/>
    </row>
    <row r="230" spans="11:17" x14ac:dyDescent="0.15">
      <c r="K230" s="127"/>
      <c r="Q230" s="74"/>
    </row>
    <row r="231" spans="11:17" x14ac:dyDescent="0.15">
      <c r="K231" s="127"/>
      <c r="Q231" s="74"/>
    </row>
    <row r="232" spans="11:17" x14ac:dyDescent="0.15">
      <c r="K232" s="127"/>
      <c r="Q232" s="74"/>
    </row>
    <row r="233" spans="11:17" x14ac:dyDescent="0.15">
      <c r="K233" s="127"/>
      <c r="Q233" s="74"/>
    </row>
    <row r="234" spans="11:17" x14ac:dyDescent="0.15">
      <c r="K234" s="127"/>
      <c r="Q234" s="74"/>
    </row>
    <row r="235" spans="11:17" x14ac:dyDescent="0.15">
      <c r="K235" s="127"/>
      <c r="Q235" s="74"/>
    </row>
    <row r="236" spans="11:17" x14ac:dyDescent="0.15">
      <c r="K236" s="127"/>
      <c r="Q236" s="74"/>
    </row>
    <row r="237" spans="11:17" x14ac:dyDescent="0.15">
      <c r="K237" s="127"/>
      <c r="Q237" s="74"/>
    </row>
    <row r="238" spans="11:17" x14ac:dyDescent="0.15">
      <c r="K238" s="127"/>
      <c r="Q238" s="74"/>
    </row>
    <row r="239" spans="11:17" x14ac:dyDescent="0.15">
      <c r="K239" s="127"/>
      <c r="Q239" s="74"/>
    </row>
    <row r="240" spans="11:17" x14ac:dyDescent="0.15">
      <c r="K240" s="127"/>
      <c r="Q240" s="74"/>
    </row>
    <row r="241" spans="11:17" x14ac:dyDescent="0.15">
      <c r="K241" s="127"/>
      <c r="Q241" s="74"/>
    </row>
    <row r="242" spans="11:17" x14ac:dyDescent="0.15">
      <c r="K242" s="127"/>
      <c r="Q242" s="74"/>
    </row>
    <row r="243" spans="11:17" x14ac:dyDescent="0.15">
      <c r="K243" s="127"/>
      <c r="Q243" s="74"/>
    </row>
    <row r="244" spans="11:17" x14ac:dyDescent="0.15">
      <c r="K244" s="127"/>
      <c r="Q244" s="74"/>
    </row>
    <row r="245" spans="11:17" x14ac:dyDescent="0.15">
      <c r="K245" s="127"/>
      <c r="Q245" s="74"/>
    </row>
    <row r="246" spans="11:17" x14ac:dyDescent="0.15">
      <c r="K246" s="127"/>
      <c r="Q246" s="74"/>
    </row>
    <row r="247" spans="11:17" x14ac:dyDescent="0.15">
      <c r="K247" s="127"/>
      <c r="Q247" s="74"/>
    </row>
    <row r="248" spans="11:17" x14ac:dyDescent="0.15">
      <c r="K248" s="127"/>
      <c r="Q248" s="74"/>
    </row>
    <row r="249" spans="11:17" x14ac:dyDescent="0.15">
      <c r="K249" s="127"/>
      <c r="Q249" s="74"/>
    </row>
    <row r="250" spans="11:17" x14ac:dyDescent="0.15">
      <c r="K250" s="127"/>
      <c r="Q250" s="74"/>
    </row>
    <row r="251" spans="11:17" x14ac:dyDescent="0.15">
      <c r="K251" s="127"/>
      <c r="Q251" s="74"/>
    </row>
    <row r="252" spans="11:17" x14ac:dyDescent="0.15">
      <c r="K252" s="127"/>
      <c r="Q252" s="74"/>
    </row>
    <row r="253" spans="11:17" x14ac:dyDescent="0.15">
      <c r="K253" s="127"/>
      <c r="Q253" s="74"/>
    </row>
    <row r="254" spans="11:17" x14ac:dyDescent="0.15">
      <c r="K254" s="127"/>
      <c r="Q254" s="74"/>
    </row>
    <row r="255" spans="11:17" x14ac:dyDescent="0.15">
      <c r="K255" s="127"/>
      <c r="Q255" s="74"/>
    </row>
    <row r="256" spans="11:17" x14ac:dyDescent="0.15">
      <c r="K256" s="127"/>
      <c r="Q256" s="74"/>
    </row>
    <row r="257" spans="11:17" x14ac:dyDescent="0.15">
      <c r="K257" s="127"/>
      <c r="Q257" s="74"/>
    </row>
    <row r="258" spans="11:17" x14ac:dyDescent="0.15">
      <c r="K258" s="127"/>
      <c r="Q258" s="74"/>
    </row>
    <row r="259" spans="11:17" x14ac:dyDescent="0.15">
      <c r="K259" s="127"/>
      <c r="Q259" s="74"/>
    </row>
    <row r="260" spans="11:17" x14ac:dyDescent="0.15">
      <c r="K260" s="127"/>
      <c r="Q260" s="74"/>
    </row>
    <row r="261" spans="11:17" x14ac:dyDescent="0.15">
      <c r="K261" s="127"/>
      <c r="Q261" s="74"/>
    </row>
    <row r="262" spans="11:17" x14ac:dyDescent="0.15">
      <c r="K262" s="127"/>
      <c r="Q262" s="74"/>
    </row>
    <row r="263" spans="11:17" x14ac:dyDescent="0.15">
      <c r="K263" s="127"/>
      <c r="Q263" s="74"/>
    </row>
    <row r="264" spans="11:17" x14ac:dyDescent="0.15">
      <c r="K264" s="127"/>
      <c r="Q264" s="74"/>
    </row>
    <row r="265" spans="11:17" x14ac:dyDescent="0.15">
      <c r="K265" s="127"/>
      <c r="Q265" s="74"/>
    </row>
    <row r="266" spans="11:17" x14ac:dyDescent="0.15">
      <c r="K266" s="127"/>
      <c r="Q266" s="74"/>
    </row>
    <row r="267" spans="11:17" x14ac:dyDescent="0.15">
      <c r="K267" s="127"/>
      <c r="Q267" s="74"/>
    </row>
    <row r="268" spans="11:17" x14ac:dyDescent="0.15">
      <c r="K268" s="127"/>
      <c r="Q268" s="74"/>
    </row>
    <row r="269" spans="11:17" x14ac:dyDescent="0.15">
      <c r="K269" s="127"/>
      <c r="Q269" s="74"/>
    </row>
    <row r="270" spans="11:17" x14ac:dyDescent="0.15">
      <c r="K270" s="127"/>
      <c r="Q270" s="74"/>
    </row>
    <row r="271" spans="11:17" x14ac:dyDescent="0.15">
      <c r="K271" s="127"/>
      <c r="Q271" s="74"/>
    </row>
    <row r="272" spans="11:17" x14ac:dyDescent="0.15">
      <c r="K272" s="127"/>
      <c r="Q272" s="74"/>
    </row>
    <row r="273" spans="11:17" x14ac:dyDescent="0.15">
      <c r="K273" s="127"/>
      <c r="Q273" s="74"/>
    </row>
    <row r="274" spans="11:17" x14ac:dyDescent="0.15">
      <c r="K274" s="127"/>
      <c r="Q274" s="74"/>
    </row>
    <row r="275" spans="11:17" x14ac:dyDescent="0.15">
      <c r="K275" s="127"/>
      <c r="Q275" s="74"/>
    </row>
    <row r="276" spans="11:17" x14ac:dyDescent="0.15">
      <c r="K276" s="127"/>
      <c r="Q276" s="74"/>
    </row>
    <row r="277" spans="11:17" x14ac:dyDescent="0.15">
      <c r="K277" s="127"/>
      <c r="Q277" s="74"/>
    </row>
    <row r="278" spans="11:17" x14ac:dyDescent="0.15">
      <c r="K278" s="127"/>
      <c r="Q278" s="74"/>
    </row>
    <row r="279" spans="11:17" x14ac:dyDescent="0.15">
      <c r="K279" s="127"/>
      <c r="Q279" s="74"/>
    </row>
    <row r="280" spans="11:17" x14ac:dyDescent="0.15">
      <c r="K280" s="127"/>
      <c r="Q280" s="74"/>
    </row>
    <row r="281" spans="11:17" x14ac:dyDescent="0.15">
      <c r="K281" s="127"/>
      <c r="Q281" s="74"/>
    </row>
    <row r="282" spans="11:17" x14ac:dyDescent="0.15">
      <c r="K282" s="127"/>
      <c r="Q282" s="74"/>
    </row>
    <row r="283" spans="11:17" x14ac:dyDescent="0.15">
      <c r="K283" s="127"/>
      <c r="Q283" s="74"/>
    </row>
    <row r="284" spans="11:17" x14ac:dyDescent="0.15">
      <c r="K284" s="127"/>
      <c r="Q284" s="74"/>
    </row>
    <row r="285" spans="11:17" x14ac:dyDescent="0.15">
      <c r="K285" s="127"/>
      <c r="Q285" s="74"/>
    </row>
    <row r="286" spans="11:17" x14ac:dyDescent="0.15">
      <c r="K286" s="127"/>
      <c r="Q286" s="74"/>
    </row>
    <row r="287" spans="11:17" x14ac:dyDescent="0.15">
      <c r="K287" s="127"/>
      <c r="Q287" s="74"/>
    </row>
    <row r="288" spans="11:17" x14ac:dyDescent="0.15">
      <c r="K288" s="127"/>
      <c r="Q288" s="74"/>
    </row>
    <row r="289" spans="11:17" x14ac:dyDescent="0.15">
      <c r="K289" s="127"/>
      <c r="Q289" s="74"/>
    </row>
    <row r="290" spans="11:17" x14ac:dyDescent="0.15">
      <c r="K290" s="127"/>
      <c r="Q290" s="74"/>
    </row>
    <row r="291" spans="11:17" x14ac:dyDescent="0.15">
      <c r="K291" s="127"/>
      <c r="Q291" s="74"/>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row r="443" spans="11:11" x14ac:dyDescent="0.15">
      <c r="K443" s="127"/>
    </row>
  </sheetData>
  <autoFilter ref="A1:BA1" xr:uid="{00000000-0009-0000-0000-000000000000}"/>
  <phoneticPr fontId="3"/>
  <dataValidations count="20">
    <dataValidation type="list" allowBlank="1" showInputMessage="1" showErrorMessage="1" sqref="F2:F491" xr:uid="{4B5895A1-30AD-4760-8E93-8F8C76AE5DFB}">
      <formula1>$AH$2:$AH$11</formula1>
    </dataValidation>
    <dataValidation type="list" allowBlank="1" showInputMessage="1" showErrorMessage="1" sqref="E2:E491" xr:uid="{951ED862-EE94-4BBB-AC7F-62D395992D39}">
      <formula1>$AG$2:$AG$11</formula1>
    </dataValidation>
    <dataValidation type="decimal" allowBlank="1" showInputMessage="1" showErrorMessage="1" error="硬度を正しく入力して下さい。" sqref="O2:P491" xr:uid="{97E46D9E-A4CF-48D7-94D1-D3EF1811FDF6}">
      <formula1>0</formula1>
      <formula2>7</formula2>
    </dataValidation>
    <dataValidation type="list" allowBlank="1" showInputMessage="1" showErrorMessage="1" sqref="Y2:AA491" xr:uid="{1ECA6013-AAF7-4C8D-8522-2785DF7A0D0E}">
      <formula1>$AV$2:$AV$21</formula1>
    </dataValidation>
    <dataValidation type="list" allowBlank="1" showInputMessage="1" showErrorMessage="1" sqref="K444:K491" xr:uid="{70F69CAF-B4FC-41F0-A672-504266C0B1FF}">
      <formula1>$AR$2:$AR$25</formula1>
    </dataValidation>
    <dataValidation type="list" allowBlank="1" showInputMessage="1" showErrorMessage="1" sqref="I2:I491" xr:uid="{60123C70-261E-43C5-BB84-F3BCB4477FE4}">
      <formula1>$AN$5:$AN$6</formula1>
    </dataValidation>
    <dataValidation type="list" allowBlank="1" showInputMessage="1" showErrorMessage="1" sqref="H2:H491" xr:uid="{F159C318-DC03-4222-8E80-E939DD4E994A}">
      <formula1>$AL$2:$AL$8</formula1>
    </dataValidation>
    <dataValidation type="list" allowBlank="1" showInputMessage="1" showErrorMessage="1" sqref="A2:A491" xr:uid="{AACD8D58-BC41-413C-BC97-E5E1392042B0}">
      <formula1>$AE$2:$AE$19</formula1>
    </dataValidation>
    <dataValidation type="list" allowBlank="1" showInputMessage="1" showErrorMessage="1" sqref="X2:X491" xr:uid="{B5AF0CAD-FF04-4090-AFA9-5DD56098E41A}">
      <formula1>$AT$2:$AT$3</formula1>
    </dataValidation>
    <dataValidation type="list" allowBlank="1" showInputMessage="1" showErrorMessage="1" sqref="G2:G491" xr:uid="{3352E868-1C1C-44D6-8B5F-6872FE810AB4}">
      <formula1>$AJ$2:$AJ$4</formula1>
    </dataValidation>
    <dataValidation type="list" allowBlank="1" showInputMessage="1" showErrorMessage="1" sqref="J2:J491" xr:uid="{207DBDE4-5CB7-4A49-8A9D-9D992050DC80}">
      <formula1>$AP$2:$AP$27</formula1>
    </dataValidation>
    <dataValidation operator="equal" allowBlank="1" showInputMessage="1" showErrorMessage="1" sqref="B2:B47" xr:uid="{82457621-319C-4EB8-9938-141FC4237EA8}"/>
    <dataValidation type="list" allowBlank="1" showInputMessage="1" showErrorMessage="1" sqref="F492:F64242" xr:uid="{46A6644C-BCEB-47C9-99AC-E63A5EDBC9AE}">
      <formula1>$AH$2:$AH$8</formula1>
    </dataValidation>
    <dataValidation type="list" allowBlank="1" showInputMessage="1" showErrorMessage="1" sqref="E492:E64242" xr:uid="{1BDB2267-C791-4B7A-87E9-9F1C4042B398}">
      <formula1>$AG$2:$AG$9</formula1>
    </dataValidation>
    <dataValidation type="list" allowBlank="1" showInputMessage="1" showErrorMessage="1" sqref="H492:H64242" xr:uid="{E52C4873-8A2E-4510-AC2A-C4EBACCF2B57}">
      <formula1>$AL$2:$AL$10</formula1>
    </dataValidation>
    <dataValidation type="list" allowBlank="1" showInputMessage="1" showErrorMessage="1" sqref="K492:K64242" xr:uid="{474A6B57-4B0F-42C8-803B-5FBF2B0B5F66}">
      <formula1>$AR$2:$AR$28</formula1>
    </dataValidation>
    <dataValidation type="list" allowBlank="1" showInputMessage="1" showErrorMessage="1" sqref="Y492:AA64242" xr:uid="{82764332-6660-4029-BB68-CC2DAD9C51F5}">
      <formula1>$AV$2:$AV$26</formula1>
    </dataValidation>
    <dataValidation type="list" allowBlank="1" showInputMessage="1" showErrorMessage="1" sqref="I492:I64242" xr:uid="{020A4190-8193-4144-B4EE-7600FD059EF3}">
      <formula1>$AN$2:$AN$6</formula1>
    </dataValidation>
    <dataValidation type="list" allowBlank="1" showInputMessage="1" showErrorMessage="1" sqref="J492:J64242" xr:uid="{CDC458A3-3290-4879-870C-ADBA1CA56856}">
      <formula1>$AP$2:$AP$16</formula1>
    </dataValidation>
    <dataValidation type="list" allowBlank="1" showInputMessage="1" showErrorMessage="1" sqref="K2:K443" xr:uid="{D33EEEBB-DEDA-4A65-972D-CE4934924044}">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3787D-E1C4-41BA-BA4E-388E004230B9}">
  <dimension ref="A1:BA149"/>
  <sheetViews>
    <sheetView zoomScale="85" zoomScaleNormal="85" workbookViewId="0">
      <pane ySplit="1" topLeftCell="A2" activePane="bottomLeft" state="frozen"/>
      <selection pane="bottomLeft" activeCell="M76" sqref="M76"/>
    </sheetView>
  </sheetViews>
  <sheetFormatPr defaultRowHeight="13.5" x14ac:dyDescent="0.15"/>
  <cols>
    <col min="1" max="2" width="9" style="53"/>
    <col min="3" max="3" width="6.5" style="53" customWidth="1"/>
    <col min="4" max="4" width="10.5" style="53" bestFit="1" customWidth="1"/>
    <col min="5" max="5" width="10.875" style="53" bestFit="1" customWidth="1"/>
    <col min="6" max="6" width="15.25" style="53" customWidth="1"/>
    <col min="7" max="9" width="9" style="53"/>
    <col min="10" max="10" width="9.25" style="53" customWidth="1"/>
    <col min="11" max="12" width="9" style="53"/>
    <col min="13" max="13" width="9" style="53" bestFit="1" customWidth="1"/>
    <col min="14"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312</v>
      </c>
      <c r="V1" s="5" t="s">
        <v>20</v>
      </c>
      <c r="W1" s="56" t="s">
        <v>21</v>
      </c>
      <c r="X1" s="45" t="s">
        <v>22</v>
      </c>
      <c r="Y1" s="45" t="s">
        <v>23</v>
      </c>
      <c r="Z1" s="45" t="s">
        <v>367</v>
      </c>
      <c r="AA1" s="46" t="s">
        <v>25</v>
      </c>
      <c r="AB1" s="80" t="s">
        <v>26</v>
      </c>
      <c r="AE1" s="60" t="s">
        <v>0</v>
      </c>
      <c r="AF1" s="61"/>
      <c r="AG1" s="173"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236</v>
      </c>
      <c r="C2" s="53">
        <v>2019</v>
      </c>
      <c r="D2" s="174" t="s">
        <v>237</v>
      </c>
      <c r="E2" s="53" t="s">
        <v>368</v>
      </c>
      <c r="F2" s="53" t="s">
        <v>369</v>
      </c>
      <c r="G2" s="53" t="s">
        <v>36</v>
      </c>
      <c r="H2" s="53" t="s">
        <v>164</v>
      </c>
      <c r="I2" s="53" t="s">
        <v>159</v>
      </c>
      <c r="J2" s="53" t="s">
        <v>38</v>
      </c>
      <c r="K2" s="53" t="s">
        <v>161</v>
      </c>
      <c r="L2" s="53">
        <v>1</v>
      </c>
      <c r="N2" s="53">
        <v>1</v>
      </c>
      <c r="O2" s="53">
        <v>0.75</v>
      </c>
      <c r="P2" s="53">
        <v>0.8</v>
      </c>
      <c r="Q2" s="74">
        <f t="shared" ref="Q2:Q65" si="0">IF(OR(O2="",P2=""),"",AVERAGE(O2,P2))</f>
        <v>0.77500000000000002</v>
      </c>
      <c r="R2" s="53">
        <v>12.3</v>
      </c>
      <c r="S2" s="53">
        <v>104</v>
      </c>
      <c r="T2" s="16">
        <f t="shared" ref="T2:T65" si="1">IF(H2="","",IF(OR(H2="GREEN",H2="GK"),IF(S2&gt;=$AX$2,VLOOKUP(S2,$AX$2:$AY$9,2,1),""),IF(S2&gt;=$AZ$2,VLOOKUP(S2,$AZ$2:$BA$9,2,1),"")))</f>
        <v>33</v>
      </c>
      <c r="U2" s="53">
        <v>100</v>
      </c>
      <c r="V2" s="16">
        <f t="shared" ref="V2:V65" si="2">IF(OR(N2="",U2="",T2=""),"",U2/N2*T2)</f>
        <v>3300</v>
      </c>
      <c r="W2" s="53">
        <v>2</v>
      </c>
      <c r="X2" s="53" t="s">
        <v>46</v>
      </c>
      <c r="Y2" s="53" t="s">
        <v>84</v>
      </c>
      <c r="Z2" s="53" t="s">
        <v>90</v>
      </c>
      <c r="AA2" s="53" t="s">
        <v>69</v>
      </c>
      <c r="AB2" s="53" t="s">
        <v>240</v>
      </c>
      <c r="AE2" s="64" t="s">
        <v>35</v>
      </c>
      <c r="AG2" s="175" t="s">
        <v>360</v>
      </c>
      <c r="AH2" s="67" t="s">
        <v>370</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236</v>
      </c>
      <c r="C3" s="53">
        <v>2019</v>
      </c>
      <c r="D3" s="174" t="s">
        <v>237</v>
      </c>
      <c r="E3" s="53" t="s">
        <v>368</v>
      </c>
      <c r="F3" s="53" t="s">
        <v>369</v>
      </c>
      <c r="G3" s="53" t="s">
        <v>36</v>
      </c>
      <c r="H3" s="53" t="s">
        <v>164</v>
      </c>
      <c r="I3" s="53" t="s">
        <v>159</v>
      </c>
      <c r="J3" s="53" t="s">
        <v>38</v>
      </c>
      <c r="K3" s="53" t="s">
        <v>161</v>
      </c>
      <c r="L3" s="53">
        <v>2</v>
      </c>
      <c r="N3" s="53">
        <v>1</v>
      </c>
      <c r="O3" s="53">
        <v>0.65</v>
      </c>
      <c r="P3" s="53">
        <v>0.7</v>
      </c>
      <c r="Q3" s="74">
        <f t="shared" si="0"/>
        <v>0.67500000000000004</v>
      </c>
      <c r="R3" s="53">
        <v>14.5</v>
      </c>
      <c r="S3" s="53">
        <v>104</v>
      </c>
      <c r="T3" s="16">
        <f t="shared" si="1"/>
        <v>33</v>
      </c>
      <c r="U3" s="53">
        <v>100</v>
      </c>
      <c r="V3" s="16">
        <f t="shared" si="2"/>
        <v>3300</v>
      </c>
      <c r="W3" s="53">
        <v>2</v>
      </c>
      <c r="X3" s="53" t="s">
        <v>46</v>
      </c>
      <c r="Y3" s="53" t="s">
        <v>84</v>
      </c>
      <c r="Z3" s="53" t="s">
        <v>90</v>
      </c>
      <c r="AA3" s="53" t="s">
        <v>69</v>
      </c>
      <c r="AB3" s="53" t="s">
        <v>240</v>
      </c>
      <c r="AE3" s="22" t="s">
        <v>41</v>
      </c>
      <c r="AG3" s="176" t="s">
        <v>371</v>
      </c>
      <c r="AH3" s="67" t="s">
        <v>372</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236</v>
      </c>
      <c r="C4" s="53">
        <v>2019</v>
      </c>
      <c r="D4" s="174" t="s">
        <v>237</v>
      </c>
      <c r="E4" s="53" t="s">
        <v>368</v>
      </c>
      <c r="F4" s="53" t="s">
        <v>369</v>
      </c>
      <c r="G4" s="53" t="s">
        <v>36</v>
      </c>
      <c r="H4" s="53" t="s">
        <v>164</v>
      </c>
      <c r="I4" s="53" t="s">
        <v>159</v>
      </c>
      <c r="J4" s="53" t="s">
        <v>38</v>
      </c>
      <c r="K4" s="53" t="s">
        <v>161</v>
      </c>
      <c r="L4" s="53">
        <v>3</v>
      </c>
      <c r="N4" s="53">
        <v>1</v>
      </c>
      <c r="O4" s="53">
        <v>0.6</v>
      </c>
      <c r="P4" s="53">
        <v>0.55000000000000004</v>
      </c>
      <c r="Q4" s="74">
        <f t="shared" si="0"/>
        <v>0.57499999999999996</v>
      </c>
      <c r="R4" s="53">
        <v>15.1</v>
      </c>
      <c r="S4" s="53">
        <v>106</v>
      </c>
      <c r="T4" s="16">
        <f t="shared" si="1"/>
        <v>33</v>
      </c>
      <c r="U4" s="53">
        <v>100</v>
      </c>
      <c r="V4" s="16">
        <f t="shared" si="2"/>
        <v>3300</v>
      </c>
      <c r="W4" s="53">
        <v>2</v>
      </c>
      <c r="X4" s="53" t="s">
        <v>46</v>
      </c>
      <c r="Y4" s="53" t="s">
        <v>84</v>
      </c>
      <c r="Z4" s="53" t="s">
        <v>90</v>
      </c>
      <c r="AA4" s="53" t="s">
        <v>69</v>
      </c>
      <c r="AB4" s="53" t="s">
        <v>240</v>
      </c>
      <c r="AE4" s="22" t="s">
        <v>34</v>
      </c>
      <c r="AG4" s="176" t="s">
        <v>373</v>
      </c>
      <c r="AH4" s="67" t="s">
        <v>374</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236</v>
      </c>
      <c r="C5" s="53">
        <v>2019</v>
      </c>
      <c r="D5" s="174" t="s">
        <v>237</v>
      </c>
      <c r="E5" s="53" t="s">
        <v>368</v>
      </c>
      <c r="F5" s="53" t="s">
        <v>369</v>
      </c>
      <c r="G5" s="53" t="s">
        <v>36</v>
      </c>
      <c r="H5" s="53" t="s">
        <v>164</v>
      </c>
      <c r="I5" s="53" t="s">
        <v>159</v>
      </c>
      <c r="J5" s="53" t="s">
        <v>38</v>
      </c>
      <c r="K5" s="53" t="s">
        <v>161</v>
      </c>
      <c r="L5" s="53">
        <v>1</v>
      </c>
      <c r="N5" s="53">
        <v>5</v>
      </c>
      <c r="O5" s="53">
        <v>0.2</v>
      </c>
      <c r="P5" s="53">
        <v>0.2</v>
      </c>
      <c r="Q5" s="74">
        <f t="shared" si="0"/>
        <v>0.2</v>
      </c>
      <c r="R5" s="53">
        <v>15.5</v>
      </c>
      <c r="S5" s="53">
        <v>78</v>
      </c>
      <c r="T5" s="16">
        <f t="shared" si="1"/>
        <v>39</v>
      </c>
      <c r="U5" s="53">
        <v>287</v>
      </c>
      <c r="V5" s="16">
        <f t="shared" si="2"/>
        <v>2238.6</v>
      </c>
      <c r="W5" s="53">
        <v>2</v>
      </c>
      <c r="X5" s="53" t="s">
        <v>46</v>
      </c>
      <c r="Y5" s="53" t="s">
        <v>84</v>
      </c>
      <c r="Z5" s="53" t="s">
        <v>90</v>
      </c>
      <c r="AA5" s="53" t="s">
        <v>69</v>
      </c>
      <c r="AB5" s="53" t="s">
        <v>240</v>
      </c>
      <c r="AE5" s="22" t="s">
        <v>51</v>
      </c>
      <c r="AG5" s="176" t="s">
        <v>375</v>
      </c>
      <c r="AH5" s="67" t="s">
        <v>376</v>
      </c>
      <c r="AJ5" s="28"/>
      <c r="AL5" s="73" t="s">
        <v>66</v>
      </c>
      <c r="AN5" s="73" t="s">
        <v>52</v>
      </c>
      <c r="AP5" s="23" t="s">
        <v>119</v>
      </c>
      <c r="AR5" s="23" t="s">
        <v>54</v>
      </c>
      <c r="AV5" s="23" t="s">
        <v>55</v>
      </c>
      <c r="AX5" s="24">
        <v>84</v>
      </c>
      <c r="AY5" s="25">
        <v>39</v>
      </c>
      <c r="AZ5" s="25">
        <v>84</v>
      </c>
      <c r="BA5" s="26">
        <v>36</v>
      </c>
    </row>
    <row r="6" spans="1:53" x14ac:dyDescent="0.15">
      <c r="A6" s="53" t="s">
        <v>34</v>
      </c>
      <c r="B6" s="53" t="s">
        <v>236</v>
      </c>
      <c r="C6" s="53">
        <v>2019</v>
      </c>
      <c r="D6" s="174" t="s">
        <v>237</v>
      </c>
      <c r="E6" s="53" t="s">
        <v>368</v>
      </c>
      <c r="F6" s="53" t="s">
        <v>369</v>
      </c>
      <c r="G6" s="53" t="s">
        <v>36</v>
      </c>
      <c r="H6" s="53" t="s">
        <v>164</v>
      </c>
      <c r="I6" s="53" t="s">
        <v>159</v>
      </c>
      <c r="J6" s="53" t="s">
        <v>38</v>
      </c>
      <c r="K6" s="53" t="s">
        <v>161</v>
      </c>
      <c r="L6" s="53">
        <v>2</v>
      </c>
      <c r="N6" s="53">
        <v>5</v>
      </c>
      <c r="O6" s="53">
        <v>1</v>
      </c>
      <c r="P6" s="53">
        <v>1</v>
      </c>
      <c r="Q6" s="74">
        <f t="shared" si="0"/>
        <v>1</v>
      </c>
      <c r="R6" s="53">
        <v>14.4</v>
      </c>
      <c r="S6" s="53">
        <v>80</v>
      </c>
      <c r="T6" s="16">
        <f t="shared" si="1"/>
        <v>39</v>
      </c>
      <c r="U6" s="53">
        <v>287</v>
      </c>
      <c r="V6" s="16">
        <f t="shared" si="2"/>
        <v>2238.6</v>
      </c>
      <c r="W6" s="53">
        <v>2</v>
      </c>
      <c r="X6" s="53" t="s">
        <v>46</v>
      </c>
      <c r="Y6" s="53" t="s">
        <v>84</v>
      </c>
      <c r="Z6" s="53" t="s">
        <v>90</v>
      </c>
      <c r="AA6" s="53" t="s">
        <v>69</v>
      </c>
      <c r="AB6" s="53" t="s">
        <v>240</v>
      </c>
      <c r="AE6" s="22" t="s">
        <v>56</v>
      </c>
      <c r="AG6" s="176" t="s">
        <v>377</v>
      </c>
      <c r="AH6" s="67" t="s">
        <v>378</v>
      </c>
      <c r="AL6" s="73" t="s">
        <v>99</v>
      </c>
      <c r="AN6" s="73" t="s">
        <v>57</v>
      </c>
      <c r="AP6" s="23" t="s">
        <v>53</v>
      </c>
      <c r="AR6" s="23" t="s">
        <v>59</v>
      </c>
      <c r="AV6" s="23" t="s">
        <v>60</v>
      </c>
      <c r="AX6" s="24">
        <v>97</v>
      </c>
      <c r="AY6" s="25">
        <v>36</v>
      </c>
      <c r="AZ6" s="25">
        <v>99</v>
      </c>
      <c r="BA6" s="26">
        <v>33</v>
      </c>
    </row>
    <row r="7" spans="1:53" x14ac:dyDescent="0.15">
      <c r="A7" s="53" t="s">
        <v>34</v>
      </c>
      <c r="B7" s="53" t="s">
        <v>236</v>
      </c>
      <c r="C7" s="53">
        <v>2019</v>
      </c>
      <c r="D7" s="174" t="s">
        <v>237</v>
      </c>
      <c r="E7" s="53" t="s">
        <v>368</v>
      </c>
      <c r="F7" s="53" t="s">
        <v>369</v>
      </c>
      <c r="G7" s="53" t="s">
        <v>36</v>
      </c>
      <c r="H7" s="53" t="s">
        <v>164</v>
      </c>
      <c r="I7" s="53" t="s">
        <v>159</v>
      </c>
      <c r="J7" s="53" t="s">
        <v>38</v>
      </c>
      <c r="K7" s="53" t="s">
        <v>161</v>
      </c>
      <c r="L7" s="53">
        <v>3</v>
      </c>
      <c r="N7" s="53">
        <v>5</v>
      </c>
      <c r="O7" s="53">
        <v>0.6</v>
      </c>
      <c r="P7" s="53">
        <v>0.6</v>
      </c>
      <c r="Q7" s="74">
        <f t="shared" si="0"/>
        <v>0.6</v>
      </c>
      <c r="R7" s="53">
        <v>14.9</v>
      </c>
      <c r="S7" s="53">
        <v>77</v>
      </c>
      <c r="T7" s="16">
        <f t="shared" si="1"/>
        <v>39</v>
      </c>
      <c r="U7" s="53">
        <v>287</v>
      </c>
      <c r="V7" s="16">
        <f t="shared" si="2"/>
        <v>2238.6</v>
      </c>
      <c r="W7" s="53">
        <v>2</v>
      </c>
      <c r="X7" s="53" t="s">
        <v>46</v>
      </c>
      <c r="Y7" s="53" t="s">
        <v>84</v>
      </c>
      <c r="Z7" s="53" t="s">
        <v>90</v>
      </c>
      <c r="AA7" s="53" t="s">
        <v>69</v>
      </c>
      <c r="AB7" s="53" t="s">
        <v>240</v>
      </c>
      <c r="AE7" s="22" t="s">
        <v>61</v>
      </c>
      <c r="AG7" s="176" t="s">
        <v>273</v>
      </c>
      <c r="AH7" s="67" t="s">
        <v>379</v>
      </c>
      <c r="AL7" s="34" t="s">
        <v>109</v>
      </c>
      <c r="AP7" s="23" t="s">
        <v>58</v>
      </c>
      <c r="AR7" s="23" t="s">
        <v>122</v>
      </c>
      <c r="AV7" s="23" t="s">
        <v>64</v>
      </c>
      <c r="AX7" s="24">
        <v>109</v>
      </c>
      <c r="AY7" s="25">
        <v>33</v>
      </c>
      <c r="AZ7" s="25">
        <v>113</v>
      </c>
      <c r="BA7" s="26">
        <v>30</v>
      </c>
    </row>
    <row r="8" spans="1:53" x14ac:dyDescent="0.15">
      <c r="A8" s="53" t="s">
        <v>34</v>
      </c>
      <c r="B8" s="53" t="s">
        <v>236</v>
      </c>
      <c r="C8" s="53">
        <v>2019</v>
      </c>
      <c r="D8" s="174" t="s">
        <v>237</v>
      </c>
      <c r="E8" s="53" t="s">
        <v>380</v>
      </c>
      <c r="F8" s="53" t="s">
        <v>381</v>
      </c>
      <c r="G8" s="53" t="s">
        <v>36</v>
      </c>
      <c r="H8" s="53" t="s">
        <v>164</v>
      </c>
      <c r="I8" s="53" t="s">
        <v>159</v>
      </c>
      <c r="J8" s="53" t="s">
        <v>38</v>
      </c>
      <c r="K8" s="53" t="s">
        <v>161</v>
      </c>
      <c r="L8" s="53">
        <v>1</v>
      </c>
      <c r="N8" s="53">
        <v>1</v>
      </c>
      <c r="O8" s="53">
        <v>0.7</v>
      </c>
      <c r="P8" s="53">
        <v>0.55000000000000004</v>
      </c>
      <c r="Q8" s="74">
        <f t="shared" si="0"/>
        <v>0.625</v>
      </c>
      <c r="R8" s="53">
        <v>15.2</v>
      </c>
      <c r="S8" s="53">
        <v>122</v>
      </c>
      <c r="T8" s="16">
        <f t="shared" si="1"/>
        <v>30</v>
      </c>
      <c r="U8" s="53">
        <v>95</v>
      </c>
      <c r="V8" s="16">
        <f t="shared" si="2"/>
        <v>2850</v>
      </c>
      <c r="W8" s="53">
        <v>1</v>
      </c>
      <c r="X8" s="53" t="s">
        <v>46</v>
      </c>
      <c r="Y8" s="53" t="s">
        <v>90</v>
      </c>
      <c r="Z8" s="53" t="s">
        <v>84</v>
      </c>
      <c r="AA8" s="53" t="s">
        <v>69</v>
      </c>
      <c r="AB8" s="53" t="s">
        <v>240</v>
      </c>
      <c r="AE8" s="22" t="s">
        <v>59</v>
      </c>
      <c r="AG8" s="176" t="s">
        <v>380</v>
      </c>
      <c r="AH8" s="67" t="s">
        <v>381</v>
      </c>
      <c r="AL8" s="34" t="s">
        <v>134</v>
      </c>
      <c r="AP8" s="23" t="s">
        <v>62</v>
      </c>
      <c r="AR8" s="23" t="s">
        <v>81</v>
      </c>
      <c r="AV8" s="23" t="s">
        <v>97</v>
      </c>
      <c r="AX8" s="24">
        <v>151</v>
      </c>
      <c r="AY8" s="25">
        <v>22</v>
      </c>
      <c r="AZ8" s="25">
        <v>152</v>
      </c>
      <c r="BA8" s="26">
        <v>18</v>
      </c>
    </row>
    <row r="9" spans="1:53" x14ac:dyDescent="0.15">
      <c r="A9" s="53" t="s">
        <v>34</v>
      </c>
      <c r="B9" s="53" t="s">
        <v>236</v>
      </c>
      <c r="C9" s="53">
        <v>2019</v>
      </c>
      <c r="D9" s="174" t="s">
        <v>237</v>
      </c>
      <c r="E9" s="53" t="s">
        <v>380</v>
      </c>
      <c r="F9" s="53" t="s">
        <v>381</v>
      </c>
      <c r="G9" s="53" t="s">
        <v>36</v>
      </c>
      <c r="H9" s="53" t="s">
        <v>164</v>
      </c>
      <c r="I9" s="53" t="s">
        <v>159</v>
      </c>
      <c r="J9" s="53" t="s">
        <v>38</v>
      </c>
      <c r="K9" s="53" t="s">
        <v>161</v>
      </c>
      <c r="L9" s="53">
        <v>2</v>
      </c>
      <c r="N9" s="53">
        <v>1</v>
      </c>
      <c r="O9" s="53">
        <v>0.6</v>
      </c>
      <c r="P9" s="53">
        <v>0.65</v>
      </c>
      <c r="Q9" s="74">
        <f t="shared" si="0"/>
        <v>0.625</v>
      </c>
      <c r="R9" s="53">
        <v>15.5</v>
      </c>
      <c r="S9" s="53">
        <v>112</v>
      </c>
      <c r="T9" s="16">
        <f t="shared" si="1"/>
        <v>33</v>
      </c>
      <c r="U9" s="53">
        <v>95</v>
      </c>
      <c r="V9" s="16">
        <f t="shared" si="2"/>
        <v>3135</v>
      </c>
      <c r="W9" s="53">
        <v>1</v>
      </c>
      <c r="X9" s="53" t="s">
        <v>46</v>
      </c>
      <c r="Y9" s="53" t="s">
        <v>90</v>
      </c>
      <c r="Z9" s="53" t="s">
        <v>84</v>
      </c>
      <c r="AA9" s="53" t="s">
        <v>69</v>
      </c>
      <c r="AB9" s="53" t="s">
        <v>240</v>
      </c>
      <c r="AE9" s="22" t="s">
        <v>98</v>
      </c>
      <c r="AG9" s="176" t="s">
        <v>382</v>
      </c>
      <c r="AH9" s="67" t="s">
        <v>383</v>
      </c>
      <c r="AL9" s="73"/>
      <c r="AP9" s="23" t="s">
        <v>95</v>
      </c>
      <c r="AR9" s="23" t="s">
        <v>89</v>
      </c>
      <c r="AV9" s="23" t="s">
        <v>102</v>
      </c>
      <c r="AX9" s="31">
        <v>180</v>
      </c>
      <c r="AY9" s="32">
        <v>18</v>
      </c>
      <c r="AZ9" s="32">
        <v>181</v>
      </c>
      <c r="BA9" s="33">
        <v>16</v>
      </c>
    </row>
    <row r="10" spans="1:53" x14ac:dyDescent="0.15">
      <c r="A10" s="53" t="s">
        <v>34</v>
      </c>
      <c r="B10" s="53" t="s">
        <v>236</v>
      </c>
      <c r="C10" s="53">
        <v>2019</v>
      </c>
      <c r="D10" s="174" t="s">
        <v>237</v>
      </c>
      <c r="E10" s="53" t="s">
        <v>380</v>
      </c>
      <c r="F10" s="53" t="s">
        <v>381</v>
      </c>
      <c r="G10" s="53" t="s">
        <v>36</v>
      </c>
      <c r="H10" s="53" t="s">
        <v>164</v>
      </c>
      <c r="I10" s="53" t="s">
        <v>159</v>
      </c>
      <c r="J10" s="53" t="s">
        <v>38</v>
      </c>
      <c r="K10" s="53" t="s">
        <v>161</v>
      </c>
      <c r="L10" s="53">
        <v>3</v>
      </c>
      <c r="N10" s="53">
        <v>1</v>
      </c>
      <c r="O10" s="53">
        <v>0.65</v>
      </c>
      <c r="P10" s="53">
        <v>0.5</v>
      </c>
      <c r="Q10" s="74">
        <f t="shared" si="0"/>
        <v>0.57499999999999996</v>
      </c>
      <c r="R10" s="53">
        <v>14.7</v>
      </c>
      <c r="S10" s="53">
        <v>122</v>
      </c>
      <c r="T10" s="16">
        <f t="shared" si="1"/>
        <v>30</v>
      </c>
      <c r="U10" s="53">
        <v>95</v>
      </c>
      <c r="V10" s="16">
        <f t="shared" si="2"/>
        <v>2850</v>
      </c>
      <c r="W10" s="53">
        <v>1</v>
      </c>
      <c r="X10" s="53" t="s">
        <v>46</v>
      </c>
      <c r="Y10" s="53" t="s">
        <v>90</v>
      </c>
      <c r="Z10" s="53" t="s">
        <v>84</v>
      </c>
      <c r="AA10" s="53" t="s">
        <v>69</v>
      </c>
      <c r="AB10" s="53" t="s">
        <v>240</v>
      </c>
      <c r="AE10" s="22" t="s">
        <v>103</v>
      </c>
      <c r="AG10" s="176" t="s">
        <v>368</v>
      </c>
      <c r="AH10" s="67" t="s">
        <v>369</v>
      </c>
      <c r="AL10" s="34"/>
      <c r="AP10" s="23" t="s">
        <v>100</v>
      </c>
      <c r="AR10" s="23" t="s">
        <v>123</v>
      </c>
      <c r="AV10" s="23" t="s">
        <v>106</v>
      </c>
    </row>
    <row r="11" spans="1:53" x14ac:dyDescent="0.15">
      <c r="A11" s="53" t="s">
        <v>34</v>
      </c>
      <c r="B11" s="53" t="s">
        <v>236</v>
      </c>
      <c r="C11" s="53">
        <v>2019</v>
      </c>
      <c r="D11" s="174" t="s">
        <v>237</v>
      </c>
      <c r="E11" s="53" t="s">
        <v>382</v>
      </c>
      <c r="F11" s="53" t="s">
        <v>383</v>
      </c>
      <c r="G11" s="53" t="s">
        <v>36</v>
      </c>
      <c r="H11" s="53" t="s">
        <v>164</v>
      </c>
      <c r="I11" s="53" t="s">
        <v>159</v>
      </c>
      <c r="J11" s="53" t="s">
        <v>38</v>
      </c>
      <c r="K11" s="53" t="s">
        <v>161</v>
      </c>
      <c r="L11" s="53">
        <v>1</v>
      </c>
      <c r="N11" s="53">
        <v>1</v>
      </c>
      <c r="O11" s="53">
        <v>0.6</v>
      </c>
      <c r="P11" s="53">
        <v>0.65</v>
      </c>
      <c r="Q11" s="74">
        <f t="shared" si="0"/>
        <v>0.625</v>
      </c>
      <c r="R11" s="53">
        <v>13.7</v>
      </c>
      <c r="S11" s="53">
        <v>118</v>
      </c>
      <c r="T11" s="16">
        <f t="shared" si="1"/>
        <v>30</v>
      </c>
      <c r="U11" s="53">
        <v>138</v>
      </c>
      <c r="V11" s="16">
        <f t="shared" si="2"/>
        <v>4140</v>
      </c>
      <c r="W11" s="53">
        <v>6</v>
      </c>
      <c r="X11" s="53" t="s">
        <v>46</v>
      </c>
      <c r="Y11" s="53" t="s">
        <v>84</v>
      </c>
      <c r="Z11" s="53" t="s">
        <v>90</v>
      </c>
      <c r="AA11" s="53" t="s">
        <v>78</v>
      </c>
      <c r="AB11" s="53" t="s">
        <v>240</v>
      </c>
      <c r="AE11" s="22" t="s">
        <v>65</v>
      </c>
      <c r="AG11" s="176" t="s">
        <v>211</v>
      </c>
      <c r="AH11" s="67" t="s">
        <v>384</v>
      </c>
      <c r="AL11" s="34"/>
      <c r="AP11" s="23" t="s">
        <v>104</v>
      </c>
      <c r="AR11" s="23" t="s">
        <v>87</v>
      </c>
      <c r="AV11" s="23" t="s">
        <v>69</v>
      </c>
    </row>
    <row r="12" spans="1:53" x14ac:dyDescent="0.15">
      <c r="A12" s="53" t="s">
        <v>34</v>
      </c>
      <c r="B12" s="53" t="s">
        <v>236</v>
      </c>
      <c r="C12" s="53">
        <v>2019</v>
      </c>
      <c r="D12" s="174" t="s">
        <v>237</v>
      </c>
      <c r="E12" s="53" t="s">
        <v>382</v>
      </c>
      <c r="F12" s="53" t="s">
        <v>383</v>
      </c>
      <c r="G12" s="53" t="s">
        <v>36</v>
      </c>
      <c r="H12" s="53" t="s">
        <v>164</v>
      </c>
      <c r="I12" s="53" t="s">
        <v>159</v>
      </c>
      <c r="J12" s="53" t="s">
        <v>38</v>
      </c>
      <c r="K12" s="53" t="s">
        <v>161</v>
      </c>
      <c r="L12" s="53">
        <v>2</v>
      </c>
      <c r="N12" s="53">
        <v>1</v>
      </c>
      <c r="O12" s="53">
        <v>0.2</v>
      </c>
      <c r="P12" s="53">
        <v>0.2</v>
      </c>
      <c r="Q12" s="74">
        <f t="shared" si="0"/>
        <v>0.2</v>
      </c>
      <c r="R12" s="53">
        <v>14.8</v>
      </c>
      <c r="S12" s="53">
        <v>124</v>
      </c>
      <c r="T12" s="16">
        <f t="shared" si="1"/>
        <v>30</v>
      </c>
      <c r="U12" s="53">
        <v>138</v>
      </c>
      <c r="V12" s="16">
        <f t="shared" si="2"/>
        <v>4140</v>
      </c>
      <c r="W12" s="53">
        <v>6</v>
      </c>
      <c r="X12" s="53" t="s">
        <v>46</v>
      </c>
      <c r="Y12" s="53" t="s">
        <v>84</v>
      </c>
      <c r="Z12" s="53" t="s">
        <v>90</v>
      </c>
      <c r="AA12" s="53" t="s">
        <v>78</v>
      </c>
      <c r="AB12" s="53" t="s">
        <v>240</v>
      </c>
      <c r="AE12" s="22" t="s">
        <v>70</v>
      </c>
      <c r="AG12" s="28"/>
      <c r="AH12" s="23"/>
      <c r="AL12" s="34"/>
      <c r="AP12" s="23" t="s">
        <v>67</v>
      </c>
      <c r="AR12" s="23" t="s">
        <v>124</v>
      </c>
      <c r="AV12" s="23" t="s">
        <v>72</v>
      </c>
    </row>
    <row r="13" spans="1:53" x14ac:dyDescent="0.15">
      <c r="A13" s="53" t="s">
        <v>34</v>
      </c>
      <c r="B13" s="53" t="s">
        <v>236</v>
      </c>
      <c r="C13" s="53">
        <v>2019</v>
      </c>
      <c r="D13" s="174" t="s">
        <v>237</v>
      </c>
      <c r="E13" s="53" t="s">
        <v>382</v>
      </c>
      <c r="F13" s="53" t="s">
        <v>383</v>
      </c>
      <c r="G13" s="53" t="s">
        <v>36</v>
      </c>
      <c r="H13" s="53" t="s">
        <v>164</v>
      </c>
      <c r="I13" s="53" t="s">
        <v>159</v>
      </c>
      <c r="J13" s="53" t="s">
        <v>38</v>
      </c>
      <c r="K13" s="53" t="s">
        <v>161</v>
      </c>
      <c r="L13" s="53">
        <v>3</v>
      </c>
      <c r="N13" s="53">
        <v>1</v>
      </c>
      <c r="O13" s="53">
        <v>0.2</v>
      </c>
      <c r="P13" s="53">
        <v>0.2</v>
      </c>
      <c r="Q13" s="74">
        <f t="shared" si="0"/>
        <v>0.2</v>
      </c>
      <c r="R13" s="53">
        <v>14.3</v>
      </c>
      <c r="S13" s="53">
        <v>116</v>
      </c>
      <c r="T13" s="16">
        <f t="shared" si="1"/>
        <v>30</v>
      </c>
      <c r="U13" s="53">
        <v>138</v>
      </c>
      <c r="V13" s="16">
        <f t="shared" si="2"/>
        <v>4140</v>
      </c>
      <c r="W13" s="53">
        <v>6</v>
      </c>
      <c r="X13" s="53" t="s">
        <v>46</v>
      </c>
      <c r="Y13" s="53" t="s">
        <v>84</v>
      </c>
      <c r="Z13" s="53" t="s">
        <v>90</v>
      </c>
      <c r="AA13" s="53" t="s">
        <v>78</v>
      </c>
      <c r="AB13" s="53" t="s">
        <v>240</v>
      </c>
      <c r="AE13" s="22" t="s">
        <v>73</v>
      </c>
      <c r="AH13" s="28"/>
      <c r="AP13" s="23" t="s">
        <v>71</v>
      </c>
      <c r="AR13" s="23" t="s">
        <v>103</v>
      </c>
      <c r="AV13" s="23" t="s">
        <v>75</v>
      </c>
    </row>
    <row r="14" spans="1:53" x14ac:dyDescent="0.15">
      <c r="A14" s="53" t="s">
        <v>34</v>
      </c>
      <c r="B14" s="53" t="s">
        <v>236</v>
      </c>
      <c r="C14" s="53">
        <v>2019</v>
      </c>
      <c r="D14" s="174" t="s">
        <v>237</v>
      </c>
      <c r="E14" s="53" t="s">
        <v>382</v>
      </c>
      <c r="F14" s="53" t="s">
        <v>383</v>
      </c>
      <c r="G14" s="53" t="s">
        <v>36</v>
      </c>
      <c r="H14" s="53" t="s">
        <v>164</v>
      </c>
      <c r="I14" s="53" t="s">
        <v>159</v>
      </c>
      <c r="J14" s="53" t="s">
        <v>38</v>
      </c>
      <c r="K14" s="53" t="s">
        <v>161</v>
      </c>
      <c r="L14" s="53">
        <v>1</v>
      </c>
      <c r="N14" s="53">
        <v>4</v>
      </c>
      <c r="O14" s="53">
        <v>0.75</v>
      </c>
      <c r="P14" s="53">
        <v>0.7</v>
      </c>
      <c r="Q14" s="74">
        <f t="shared" si="0"/>
        <v>0.72499999999999998</v>
      </c>
      <c r="R14" s="53">
        <v>15</v>
      </c>
      <c r="S14" s="53">
        <v>87</v>
      </c>
      <c r="T14" s="16">
        <f t="shared" si="1"/>
        <v>36</v>
      </c>
      <c r="U14" s="53">
        <v>429</v>
      </c>
      <c r="V14" s="16">
        <f t="shared" si="2"/>
        <v>3861</v>
      </c>
      <c r="W14" s="53">
        <v>6</v>
      </c>
      <c r="X14" s="53" t="s">
        <v>46</v>
      </c>
      <c r="Y14" s="53" t="s">
        <v>84</v>
      </c>
      <c r="Z14" s="53" t="s">
        <v>90</v>
      </c>
      <c r="AA14" s="53" t="s">
        <v>78</v>
      </c>
      <c r="AB14" s="53" t="s">
        <v>240</v>
      </c>
      <c r="AE14" s="22" t="s">
        <v>76</v>
      </c>
      <c r="AG14" s="177"/>
      <c r="AP14" s="23" t="s">
        <v>74</v>
      </c>
      <c r="AR14" s="23" t="s">
        <v>125</v>
      </c>
      <c r="AV14" s="23" t="s">
        <v>78</v>
      </c>
    </row>
    <row r="15" spans="1:53" x14ac:dyDescent="0.15">
      <c r="A15" s="53" t="s">
        <v>34</v>
      </c>
      <c r="B15" s="53" t="s">
        <v>236</v>
      </c>
      <c r="C15" s="53">
        <v>2019</v>
      </c>
      <c r="D15" s="174" t="s">
        <v>237</v>
      </c>
      <c r="E15" s="53" t="s">
        <v>382</v>
      </c>
      <c r="F15" s="53" t="s">
        <v>383</v>
      </c>
      <c r="G15" s="53" t="s">
        <v>36</v>
      </c>
      <c r="H15" s="53" t="s">
        <v>164</v>
      </c>
      <c r="I15" s="53" t="s">
        <v>159</v>
      </c>
      <c r="J15" s="53" t="s">
        <v>38</v>
      </c>
      <c r="K15" s="53" t="s">
        <v>161</v>
      </c>
      <c r="L15" s="53">
        <v>2</v>
      </c>
      <c r="N15" s="53">
        <v>4</v>
      </c>
      <c r="O15" s="53">
        <v>0.2</v>
      </c>
      <c r="P15" s="53">
        <v>0.2</v>
      </c>
      <c r="Q15" s="74">
        <f t="shared" si="0"/>
        <v>0.2</v>
      </c>
      <c r="R15" s="53">
        <v>14.4</v>
      </c>
      <c r="S15" s="53">
        <v>83</v>
      </c>
      <c r="T15" s="16">
        <f t="shared" si="1"/>
        <v>39</v>
      </c>
      <c r="U15" s="53">
        <v>429</v>
      </c>
      <c r="V15" s="16">
        <f t="shared" si="2"/>
        <v>4182.75</v>
      </c>
      <c r="W15" s="53">
        <v>6</v>
      </c>
      <c r="X15" s="53" t="s">
        <v>46</v>
      </c>
      <c r="Y15" s="53" t="s">
        <v>84</v>
      </c>
      <c r="Z15" s="53" t="s">
        <v>90</v>
      </c>
      <c r="AA15" s="53" t="s">
        <v>78</v>
      </c>
      <c r="AB15" s="53" t="s">
        <v>240</v>
      </c>
      <c r="AE15" s="22" t="s">
        <v>79</v>
      </c>
      <c r="AP15" s="23" t="s">
        <v>77</v>
      </c>
      <c r="AR15" s="23" t="s">
        <v>94</v>
      </c>
      <c r="AV15" s="23" t="s">
        <v>107</v>
      </c>
    </row>
    <row r="16" spans="1:53" x14ac:dyDescent="0.15">
      <c r="A16" s="53" t="s">
        <v>34</v>
      </c>
      <c r="B16" s="53" t="s">
        <v>236</v>
      </c>
      <c r="C16" s="53">
        <v>2019</v>
      </c>
      <c r="D16" s="174" t="s">
        <v>237</v>
      </c>
      <c r="E16" s="53" t="s">
        <v>382</v>
      </c>
      <c r="F16" s="53" t="s">
        <v>383</v>
      </c>
      <c r="G16" s="53" t="s">
        <v>36</v>
      </c>
      <c r="H16" s="53" t="s">
        <v>164</v>
      </c>
      <c r="I16" s="53" t="s">
        <v>159</v>
      </c>
      <c r="J16" s="53" t="s">
        <v>38</v>
      </c>
      <c r="K16" s="53" t="s">
        <v>161</v>
      </c>
      <c r="L16" s="53">
        <v>3</v>
      </c>
      <c r="N16" s="53">
        <v>4</v>
      </c>
      <c r="O16" s="53">
        <v>0.9</v>
      </c>
      <c r="P16" s="53">
        <v>0.8</v>
      </c>
      <c r="Q16" s="74">
        <f t="shared" si="0"/>
        <v>0.85000000000000009</v>
      </c>
      <c r="R16" s="53">
        <v>12.5</v>
      </c>
      <c r="S16" s="53">
        <v>86</v>
      </c>
      <c r="T16" s="16">
        <f t="shared" si="1"/>
        <v>36</v>
      </c>
      <c r="U16" s="53">
        <v>429</v>
      </c>
      <c r="V16" s="16">
        <f t="shared" si="2"/>
        <v>3861</v>
      </c>
      <c r="W16" s="53">
        <v>6</v>
      </c>
      <c r="X16" s="53" t="s">
        <v>46</v>
      </c>
      <c r="Y16" s="53" t="s">
        <v>84</v>
      </c>
      <c r="Z16" s="53" t="s">
        <v>90</v>
      </c>
      <c r="AA16" s="53" t="s">
        <v>78</v>
      </c>
      <c r="AB16" s="53" t="s">
        <v>240</v>
      </c>
      <c r="AE16" s="22" t="s">
        <v>82</v>
      </c>
      <c r="AP16" s="23" t="s">
        <v>80</v>
      </c>
      <c r="AR16" s="23" t="s">
        <v>63</v>
      </c>
      <c r="AV16" s="23" t="s">
        <v>84</v>
      </c>
    </row>
    <row r="17" spans="1:48" x14ac:dyDescent="0.15">
      <c r="A17" s="53" t="s">
        <v>34</v>
      </c>
      <c r="B17" s="53" t="s">
        <v>236</v>
      </c>
      <c r="C17" s="53">
        <v>2019</v>
      </c>
      <c r="D17" s="174" t="s">
        <v>237</v>
      </c>
      <c r="E17" s="53" t="s">
        <v>382</v>
      </c>
      <c r="F17" s="53" t="s">
        <v>383</v>
      </c>
      <c r="G17" s="53" t="s">
        <v>36</v>
      </c>
      <c r="H17" s="53" t="s">
        <v>164</v>
      </c>
      <c r="I17" s="53" t="s">
        <v>159</v>
      </c>
      <c r="J17" s="53" t="s">
        <v>38</v>
      </c>
      <c r="K17" s="53" t="s">
        <v>161</v>
      </c>
      <c r="L17" s="53">
        <v>1</v>
      </c>
      <c r="N17" s="53">
        <v>8</v>
      </c>
      <c r="O17" s="53">
        <v>0.7</v>
      </c>
      <c r="P17" s="53">
        <v>0.7</v>
      </c>
      <c r="Q17" s="74">
        <f t="shared" si="0"/>
        <v>0.7</v>
      </c>
      <c r="R17" s="53">
        <v>14.4</v>
      </c>
      <c r="S17" s="53">
        <v>100</v>
      </c>
      <c r="T17" s="16">
        <f t="shared" si="1"/>
        <v>33</v>
      </c>
      <c r="U17" s="53">
        <v>754</v>
      </c>
      <c r="V17" s="16">
        <f t="shared" si="2"/>
        <v>3110.25</v>
      </c>
      <c r="W17" s="53">
        <v>6</v>
      </c>
      <c r="X17" s="53" t="s">
        <v>46</v>
      </c>
      <c r="Y17" s="53" t="s">
        <v>84</v>
      </c>
      <c r="Z17" s="53" t="s">
        <v>90</v>
      </c>
      <c r="AA17" s="53" t="s">
        <v>78</v>
      </c>
      <c r="AB17" s="53" t="s">
        <v>240</v>
      </c>
      <c r="AE17" s="22" t="s">
        <v>85</v>
      </c>
      <c r="AP17" s="27" t="s">
        <v>110</v>
      </c>
      <c r="AR17" s="23" t="s">
        <v>96</v>
      </c>
      <c r="AV17" s="23" t="s">
        <v>86</v>
      </c>
    </row>
    <row r="18" spans="1:48" x14ac:dyDescent="0.15">
      <c r="A18" s="53" t="s">
        <v>34</v>
      </c>
      <c r="B18" s="53" t="s">
        <v>236</v>
      </c>
      <c r="C18" s="53">
        <v>2019</v>
      </c>
      <c r="D18" s="174" t="s">
        <v>237</v>
      </c>
      <c r="E18" s="53" t="s">
        <v>382</v>
      </c>
      <c r="F18" s="53" t="s">
        <v>383</v>
      </c>
      <c r="G18" s="53" t="s">
        <v>36</v>
      </c>
      <c r="H18" s="53" t="s">
        <v>164</v>
      </c>
      <c r="I18" s="53" t="s">
        <v>159</v>
      </c>
      <c r="J18" s="53" t="s">
        <v>38</v>
      </c>
      <c r="K18" s="53" t="s">
        <v>161</v>
      </c>
      <c r="L18" s="53">
        <v>2</v>
      </c>
      <c r="N18" s="53">
        <v>8</v>
      </c>
      <c r="O18" s="53">
        <v>0.8</v>
      </c>
      <c r="P18" s="53">
        <v>0.7</v>
      </c>
      <c r="Q18" s="74">
        <f t="shared" si="0"/>
        <v>0.75</v>
      </c>
      <c r="R18" s="53">
        <v>14.3</v>
      </c>
      <c r="S18" s="53">
        <v>92</v>
      </c>
      <c r="T18" s="16">
        <f t="shared" si="1"/>
        <v>36</v>
      </c>
      <c r="U18" s="53">
        <v>754</v>
      </c>
      <c r="V18" s="16">
        <f t="shared" si="2"/>
        <v>3393</v>
      </c>
      <c r="W18" s="53">
        <v>6</v>
      </c>
      <c r="X18" s="53" t="s">
        <v>46</v>
      </c>
      <c r="Y18" s="53" t="s">
        <v>84</v>
      </c>
      <c r="Z18" s="53" t="s">
        <v>90</v>
      </c>
      <c r="AA18" s="53" t="s">
        <v>78</v>
      </c>
      <c r="AB18" s="53" t="s">
        <v>240</v>
      </c>
      <c r="AE18" s="22" t="s">
        <v>87</v>
      </c>
      <c r="AP18" s="27" t="s">
        <v>111</v>
      </c>
      <c r="AR18" s="23" t="s">
        <v>101</v>
      </c>
      <c r="AV18" s="23" t="s">
        <v>88</v>
      </c>
    </row>
    <row r="19" spans="1:48" x14ac:dyDescent="0.15">
      <c r="A19" s="53" t="s">
        <v>34</v>
      </c>
      <c r="B19" s="53" t="s">
        <v>236</v>
      </c>
      <c r="C19" s="53">
        <v>2019</v>
      </c>
      <c r="D19" s="174" t="s">
        <v>237</v>
      </c>
      <c r="E19" s="53" t="s">
        <v>382</v>
      </c>
      <c r="F19" s="53" t="s">
        <v>383</v>
      </c>
      <c r="G19" s="53" t="s">
        <v>36</v>
      </c>
      <c r="H19" s="53" t="s">
        <v>164</v>
      </c>
      <c r="I19" s="53" t="s">
        <v>159</v>
      </c>
      <c r="J19" s="53" t="s">
        <v>38</v>
      </c>
      <c r="K19" s="53" t="s">
        <v>161</v>
      </c>
      <c r="L19" s="53">
        <v>3</v>
      </c>
      <c r="N19" s="53">
        <v>8</v>
      </c>
      <c r="O19" s="53">
        <v>0.75</v>
      </c>
      <c r="P19" s="53">
        <v>0.75</v>
      </c>
      <c r="Q19" s="74">
        <f t="shared" si="0"/>
        <v>0.75</v>
      </c>
      <c r="R19" s="53">
        <v>14.5</v>
      </c>
      <c r="S19" s="53">
        <v>99</v>
      </c>
      <c r="T19" s="16">
        <f t="shared" si="1"/>
        <v>33</v>
      </c>
      <c r="U19" s="53">
        <v>754</v>
      </c>
      <c r="V19" s="16">
        <f t="shared" si="2"/>
        <v>3110.25</v>
      </c>
      <c r="W19" s="53">
        <v>6</v>
      </c>
      <c r="X19" s="53" t="s">
        <v>46</v>
      </c>
      <c r="Y19" s="53" t="s">
        <v>84</v>
      </c>
      <c r="Z19" s="53" t="s">
        <v>90</v>
      </c>
      <c r="AA19" s="53" t="s">
        <v>78</v>
      </c>
      <c r="AB19" s="53" t="s">
        <v>240</v>
      </c>
      <c r="AE19" s="35" t="s">
        <v>89</v>
      </c>
      <c r="AP19" s="27" t="s">
        <v>112</v>
      </c>
      <c r="AR19" s="23" t="s">
        <v>126</v>
      </c>
      <c r="AV19" s="23" t="s">
        <v>90</v>
      </c>
    </row>
    <row r="20" spans="1:48" x14ac:dyDescent="0.15">
      <c r="A20" s="53" t="s">
        <v>34</v>
      </c>
      <c r="B20" s="53" t="s">
        <v>236</v>
      </c>
      <c r="C20" s="53">
        <v>2019</v>
      </c>
      <c r="D20" s="174" t="s">
        <v>237</v>
      </c>
      <c r="E20" s="53" t="s">
        <v>382</v>
      </c>
      <c r="F20" s="53" t="s">
        <v>383</v>
      </c>
      <c r="G20" s="53" t="s">
        <v>36</v>
      </c>
      <c r="H20" s="53" t="s">
        <v>128</v>
      </c>
      <c r="I20" s="53" t="s">
        <v>159</v>
      </c>
      <c r="J20" s="53" t="s">
        <v>80</v>
      </c>
      <c r="K20" s="53" t="s">
        <v>63</v>
      </c>
      <c r="L20" s="53">
        <v>1</v>
      </c>
      <c r="N20" s="53">
        <v>3</v>
      </c>
      <c r="O20" s="53">
        <v>0.55000000000000004</v>
      </c>
      <c r="P20" s="53">
        <v>0.6</v>
      </c>
      <c r="Q20" s="74">
        <f t="shared" si="0"/>
        <v>0.57499999999999996</v>
      </c>
      <c r="R20" s="53">
        <v>15.3</v>
      </c>
      <c r="S20" s="53">
        <v>90</v>
      </c>
      <c r="T20" s="16">
        <f t="shared" si="1"/>
        <v>36</v>
      </c>
      <c r="U20" s="53">
        <v>429</v>
      </c>
      <c r="V20" s="16">
        <f t="shared" si="2"/>
        <v>5148</v>
      </c>
      <c r="W20" s="53">
        <v>1</v>
      </c>
      <c r="X20" s="53" t="s">
        <v>46</v>
      </c>
      <c r="Y20" s="53" t="s">
        <v>84</v>
      </c>
      <c r="Z20" s="53" t="s">
        <v>90</v>
      </c>
      <c r="AA20" s="53" t="s">
        <v>78</v>
      </c>
      <c r="AB20" s="53" t="s">
        <v>240</v>
      </c>
      <c r="AP20" s="27" t="s">
        <v>113</v>
      </c>
      <c r="AR20" s="23" t="s">
        <v>105</v>
      </c>
      <c r="AV20" s="27" t="s">
        <v>135</v>
      </c>
    </row>
    <row r="21" spans="1:48" x14ac:dyDescent="0.15">
      <c r="A21" s="53" t="s">
        <v>34</v>
      </c>
      <c r="B21" s="53" t="s">
        <v>236</v>
      </c>
      <c r="C21" s="53">
        <v>2019</v>
      </c>
      <c r="D21" s="174" t="s">
        <v>237</v>
      </c>
      <c r="E21" s="53" t="s">
        <v>382</v>
      </c>
      <c r="F21" s="53" t="s">
        <v>383</v>
      </c>
      <c r="G21" s="53" t="s">
        <v>36</v>
      </c>
      <c r="H21" s="53" t="s">
        <v>128</v>
      </c>
      <c r="I21" s="53" t="s">
        <v>159</v>
      </c>
      <c r="J21" s="53" t="s">
        <v>80</v>
      </c>
      <c r="K21" s="53" t="s">
        <v>63</v>
      </c>
      <c r="L21" s="53">
        <v>2</v>
      </c>
      <c r="N21" s="53">
        <v>3</v>
      </c>
      <c r="O21" s="53">
        <v>0.2</v>
      </c>
      <c r="P21" s="53">
        <v>0.2</v>
      </c>
      <c r="Q21" s="74">
        <f t="shared" si="0"/>
        <v>0.2</v>
      </c>
      <c r="R21" s="53">
        <v>15</v>
      </c>
      <c r="S21" s="53">
        <v>86</v>
      </c>
      <c r="T21" s="16">
        <f t="shared" si="1"/>
        <v>36</v>
      </c>
      <c r="U21" s="53">
        <v>429</v>
      </c>
      <c r="V21" s="16">
        <f t="shared" si="2"/>
        <v>5148</v>
      </c>
      <c r="W21" s="53">
        <v>1</v>
      </c>
      <c r="X21" s="53" t="s">
        <v>46</v>
      </c>
      <c r="Y21" s="53" t="s">
        <v>84</v>
      </c>
      <c r="Z21" s="53" t="s">
        <v>90</v>
      </c>
      <c r="AA21" s="53" t="s">
        <v>78</v>
      </c>
      <c r="AB21" s="53" t="s">
        <v>240</v>
      </c>
      <c r="AP21" s="27" t="s">
        <v>114</v>
      </c>
      <c r="AR21" s="23" t="s">
        <v>68</v>
      </c>
      <c r="AV21" s="27" t="s">
        <v>136</v>
      </c>
    </row>
    <row r="22" spans="1:48" x14ac:dyDescent="0.15">
      <c r="A22" s="53" t="s">
        <v>34</v>
      </c>
      <c r="B22" s="53" t="s">
        <v>236</v>
      </c>
      <c r="C22" s="53">
        <v>2019</v>
      </c>
      <c r="D22" s="174" t="s">
        <v>237</v>
      </c>
      <c r="E22" s="53" t="s">
        <v>382</v>
      </c>
      <c r="F22" s="53" t="s">
        <v>383</v>
      </c>
      <c r="G22" s="53" t="s">
        <v>36</v>
      </c>
      <c r="H22" s="53" t="s">
        <v>128</v>
      </c>
      <c r="I22" s="53" t="s">
        <v>159</v>
      </c>
      <c r="J22" s="53" t="s">
        <v>80</v>
      </c>
      <c r="K22" s="53" t="s">
        <v>63</v>
      </c>
      <c r="L22" s="53">
        <v>3</v>
      </c>
      <c r="N22" s="53">
        <v>3</v>
      </c>
      <c r="O22" s="53">
        <v>0.2</v>
      </c>
      <c r="P22" s="53">
        <v>0.2</v>
      </c>
      <c r="Q22" s="74">
        <f t="shared" si="0"/>
        <v>0.2</v>
      </c>
      <c r="R22" s="53">
        <v>16.5</v>
      </c>
      <c r="S22" s="53">
        <v>84</v>
      </c>
      <c r="T22" s="16">
        <f t="shared" si="1"/>
        <v>36</v>
      </c>
      <c r="U22" s="53">
        <v>429</v>
      </c>
      <c r="V22" s="16">
        <f t="shared" si="2"/>
        <v>5148</v>
      </c>
      <c r="W22" s="53">
        <v>1</v>
      </c>
      <c r="X22" s="53" t="s">
        <v>46</v>
      </c>
      <c r="Y22" s="53" t="s">
        <v>84</v>
      </c>
      <c r="Z22" s="53" t="s">
        <v>90</v>
      </c>
      <c r="AA22" s="53" t="s">
        <v>78</v>
      </c>
      <c r="AB22" s="53" t="s">
        <v>240</v>
      </c>
      <c r="AP22" s="27" t="s">
        <v>115</v>
      </c>
      <c r="AR22" s="23" t="s">
        <v>83</v>
      </c>
      <c r="AV22" s="27"/>
    </row>
    <row r="23" spans="1:48" x14ac:dyDescent="0.15">
      <c r="A23" s="53" t="s">
        <v>34</v>
      </c>
      <c r="B23" s="53" t="s">
        <v>236</v>
      </c>
      <c r="C23" s="53">
        <v>2019</v>
      </c>
      <c r="D23" s="174" t="s">
        <v>237</v>
      </c>
      <c r="E23" s="53" t="s">
        <v>373</v>
      </c>
      <c r="F23" s="53" t="s">
        <v>374</v>
      </c>
      <c r="G23" s="53" t="s">
        <v>36</v>
      </c>
      <c r="H23" s="53" t="s">
        <v>164</v>
      </c>
      <c r="I23" s="53" t="s">
        <v>159</v>
      </c>
      <c r="J23" s="53" t="s">
        <v>38</v>
      </c>
      <c r="K23" s="53" t="s">
        <v>161</v>
      </c>
      <c r="L23" s="53">
        <v>1</v>
      </c>
      <c r="N23" s="53">
        <v>1</v>
      </c>
      <c r="O23" s="53">
        <v>0.2</v>
      </c>
      <c r="P23" s="53">
        <v>0.2</v>
      </c>
      <c r="Q23" s="74">
        <f t="shared" si="0"/>
        <v>0.2</v>
      </c>
      <c r="R23" s="53">
        <v>16.399999999999999</v>
      </c>
      <c r="S23" s="53">
        <v>102</v>
      </c>
      <c r="T23" s="16">
        <f t="shared" si="1"/>
        <v>33</v>
      </c>
      <c r="U23" s="53">
        <v>158</v>
      </c>
      <c r="V23" s="16">
        <f t="shared" si="2"/>
        <v>5214</v>
      </c>
      <c r="W23" s="53">
        <v>1</v>
      </c>
      <c r="X23" s="53" t="s">
        <v>46</v>
      </c>
      <c r="Y23" s="53" t="s">
        <v>84</v>
      </c>
      <c r="Z23" s="53" t="s">
        <v>90</v>
      </c>
      <c r="AA23" s="53" t="s">
        <v>69</v>
      </c>
      <c r="AB23" s="53" t="s">
        <v>240</v>
      </c>
      <c r="AP23" s="27" t="s">
        <v>117</v>
      </c>
      <c r="AR23" s="23" t="s">
        <v>153</v>
      </c>
    </row>
    <row r="24" spans="1:48" x14ac:dyDescent="0.15">
      <c r="A24" s="53" t="s">
        <v>34</v>
      </c>
      <c r="B24" s="53" t="s">
        <v>236</v>
      </c>
      <c r="C24" s="53">
        <v>2019</v>
      </c>
      <c r="D24" s="174" t="s">
        <v>237</v>
      </c>
      <c r="E24" s="53" t="s">
        <v>373</v>
      </c>
      <c r="F24" s="53" t="s">
        <v>374</v>
      </c>
      <c r="G24" s="53" t="s">
        <v>36</v>
      </c>
      <c r="H24" s="53" t="s">
        <v>164</v>
      </c>
      <c r="I24" s="53" t="s">
        <v>159</v>
      </c>
      <c r="J24" s="53" t="s">
        <v>38</v>
      </c>
      <c r="K24" s="53" t="s">
        <v>161</v>
      </c>
      <c r="L24" s="53">
        <v>2</v>
      </c>
      <c r="N24" s="53">
        <v>1</v>
      </c>
      <c r="O24" s="53">
        <v>0.2</v>
      </c>
      <c r="P24" s="53">
        <v>0.2</v>
      </c>
      <c r="Q24" s="74">
        <f t="shared" si="0"/>
        <v>0.2</v>
      </c>
      <c r="R24" s="53">
        <v>14.1</v>
      </c>
      <c r="S24" s="53">
        <v>104</v>
      </c>
      <c r="T24" s="16">
        <f t="shared" si="1"/>
        <v>33</v>
      </c>
      <c r="U24" s="53">
        <v>158</v>
      </c>
      <c r="V24" s="16">
        <f t="shared" si="2"/>
        <v>5214</v>
      </c>
      <c r="W24" s="53">
        <v>1</v>
      </c>
      <c r="X24" s="53" t="s">
        <v>46</v>
      </c>
      <c r="Y24" s="53" t="s">
        <v>84</v>
      </c>
      <c r="Z24" s="53" t="s">
        <v>90</v>
      </c>
      <c r="AA24" s="53" t="s">
        <v>69</v>
      </c>
      <c r="AB24" s="53" t="s">
        <v>240</v>
      </c>
      <c r="AP24" s="27" t="s">
        <v>118</v>
      </c>
    </row>
    <row r="25" spans="1:48" x14ac:dyDescent="0.15">
      <c r="A25" s="53" t="s">
        <v>34</v>
      </c>
      <c r="B25" s="53" t="s">
        <v>236</v>
      </c>
      <c r="C25" s="53">
        <v>2019</v>
      </c>
      <c r="D25" s="174" t="s">
        <v>237</v>
      </c>
      <c r="E25" s="53" t="s">
        <v>373</v>
      </c>
      <c r="F25" s="53" t="s">
        <v>374</v>
      </c>
      <c r="G25" s="53" t="s">
        <v>36</v>
      </c>
      <c r="H25" s="53" t="s">
        <v>164</v>
      </c>
      <c r="I25" s="53" t="s">
        <v>159</v>
      </c>
      <c r="J25" s="53" t="s">
        <v>38</v>
      </c>
      <c r="K25" s="53" t="s">
        <v>161</v>
      </c>
      <c r="L25" s="53">
        <v>3</v>
      </c>
      <c r="N25" s="53">
        <v>1</v>
      </c>
      <c r="O25" s="53">
        <v>0.2</v>
      </c>
      <c r="P25" s="53">
        <v>0.2</v>
      </c>
      <c r="Q25" s="74">
        <f t="shared" si="0"/>
        <v>0.2</v>
      </c>
      <c r="R25" s="53">
        <v>14.3</v>
      </c>
      <c r="S25" s="53">
        <v>102</v>
      </c>
      <c r="T25" s="16">
        <f t="shared" si="1"/>
        <v>33</v>
      </c>
      <c r="U25" s="53">
        <v>158</v>
      </c>
      <c r="V25" s="16">
        <f t="shared" si="2"/>
        <v>5214</v>
      </c>
      <c r="W25" s="53">
        <v>1</v>
      </c>
      <c r="X25" s="53" t="s">
        <v>46</v>
      </c>
      <c r="Y25" s="53" t="s">
        <v>84</v>
      </c>
      <c r="Z25" s="53" t="s">
        <v>90</v>
      </c>
      <c r="AA25" s="53" t="s">
        <v>69</v>
      </c>
      <c r="AB25" s="53" t="s">
        <v>240</v>
      </c>
    </row>
    <row r="26" spans="1:48" x14ac:dyDescent="0.15">
      <c r="A26" s="53" t="s">
        <v>34</v>
      </c>
      <c r="B26" s="53" t="s">
        <v>236</v>
      </c>
      <c r="C26" s="53">
        <v>2019</v>
      </c>
      <c r="D26" s="174" t="s">
        <v>237</v>
      </c>
      <c r="E26" s="53" t="s">
        <v>373</v>
      </c>
      <c r="F26" s="53" t="s">
        <v>374</v>
      </c>
      <c r="G26" s="53" t="s">
        <v>36</v>
      </c>
      <c r="H26" s="53" t="s">
        <v>128</v>
      </c>
      <c r="I26" s="53" t="s">
        <v>159</v>
      </c>
      <c r="J26" s="53" t="s">
        <v>80</v>
      </c>
      <c r="K26" s="53" t="s">
        <v>94</v>
      </c>
      <c r="L26" s="53">
        <v>1</v>
      </c>
      <c r="N26" s="53">
        <v>4</v>
      </c>
      <c r="O26" s="53">
        <v>1</v>
      </c>
      <c r="P26" s="53">
        <v>0.9</v>
      </c>
      <c r="Q26" s="74">
        <f t="shared" si="0"/>
        <v>0.95</v>
      </c>
      <c r="R26" s="53">
        <v>14.3</v>
      </c>
      <c r="S26" s="53">
        <v>120</v>
      </c>
      <c r="T26" s="16">
        <f t="shared" si="1"/>
        <v>30</v>
      </c>
      <c r="U26" s="53">
        <v>298</v>
      </c>
      <c r="V26" s="16">
        <f t="shared" si="2"/>
        <v>2235</v>
      </c>
      <c r="W26" s="53">
        <v>2</v>
      </c>
      <c r="X26" s="53" t="s">
        <v>46</v>
      </c>
      <c r="Y26" s="53" t="s">
        <v>84</v>
      </c>
      <c r="Z26" s="53" t="s">
        <v>90</v>
      </c>
      <c r="AA26" s="53" t="s">
        <v>69</v>
      </c>
      <c r="AB26" s="53" t="s">
        <v>240</v>
      </c>
    </row>
    <row r="27" spans="1:48" x14ac:dyDescent="0.15">
      <c r="A27" s="53" t="s">
        <v>34</v>
      </c>
      <c r="B27" s="53" t="s">
        <v>236</v>
      </c>
      <c r="C27" s="53">
        <v>2019</v>
      </c>
      <c r="D27" s="174" t="s">
        <v>237</v>
      </c>
      <c r="E27" s="53" t="s">
        <v>373</v>
      </c>
      <c r="F27" s="53" t="s">
        <v>374</v>
      </c>
      <c r="G27" s="53" t="s">
        <v>36</v>
      </c>
      <c r="H27" s="53" t="s">
        <v>128</v>
      </c>
      <c r="I27" s="53" t="s">
        <v>159</v>
      </c>
      <c r="J27" s="53" t="s">
        <v>80</v>
      </c>
      <c r="K27" s="53" t="s">
        <v>94</v>
      </c>
      <c r="L27" s="53">
        <v>2</v>
      </c>
      <c r="N27" s="53">
        <v>4</v>
      </c>
      <c r="O27" s="53">
        <v>1.25</v>
      </c>
      <c r="P27" s="53">
        <v>1.45</v>
      </c>
      <c r="Q27" s="74">
        <f t="shared" si="0"/>
        <v>1.35</v>
      </c>
      <c r="R27" s="53">
        <v>13.9</v>
      </c>
      <c r="S27" s="53">
        <v>122</v>
      </c>
      <c r="T27" s="16">
        <f t="shared" si="1"/>
        <v>30</v>
      </c>
      <c r="U27" s="53">
        <v>298</v>
      </c>
      <c r="V27" s="16">
        <f t="shared" si="2"/>
        <v>2235</v>
      </c>
      <c r="W27" s="53">
        <v>2</v>
      </c>
      <c r="X27" s="53" t="s">
        <v>46</v>
      </c>
      <c r="Y27" s="53" t="s">
        <v>84</v>
      </c>
      <c r="Z27" s="53" t="s">
        <v>90</v>
      </c>
      <c r="AA27" s="53" t="s">
        <v>69</v>
      </c>
      <c r="AB27" s="53" t="s">
        <v>240</v>
      </c>
    </row>
    <row r="28" spans="1:48" x14ac:dyDescent="0.15">
      <c r="A28" s="53" t="s">
        <v>34</v>
      </c>
      <c r="B28" s="53" t="s">
        <v>236</v>
      </c>
      <c r="C28" s="53">
        <v>2019</v>
      </c>
      <c r="D28" s="174" t="s">
        <v>237</v>
      </c>
      <c r="E28" s="53" t="s">
        <v>373</v>
      </c>
      <c r="F28" s="53" t="s">
        <v>374</v>
      </c>
      <c r="G28" s="53" t="s">
        <v>36</v>
      </c>
      <c r="H28" s="53" t="s">
        <v>128</v>
      </c>
      <c r="I28" s="53" t="s">
        <v>159</v>
      </c>
      <c r="J28" s="53" t="s">
        <v>80</v>
      </c>
      <c r="K28" s="53" t="s">
        <v>94</v>
      </c>
      <c r="L28" s="53">
        <v>3</v>
      </c>
      <c r="N28" s="53">
        <v>4</v>
      </c>
      <c r="O28" s="53">
        <v>1.2</v>
      </c>
      <c r="P28" s="53">
        <v>1</v>
      </c>
      <c r="Q28" s="74">
        <f>IF(OR(O28="",P28=""),"",AVERAGE(O28,P28))</f>
        <v>1.1000000000000001</v>
      </c>
      <c r="R28" s="53">
        <v>17.3</v>
      </c>
      <c r="S28" s="53">
        <v>122</v>
      </c>
      <c r="T28" s="16">
        <f t="shared" si="1"/>
        <v>30</v>
      </c>
      <c r="U28" s="53">
        <v>298</v>
      </c>
      <c r="V28" s="16">
        <f t="shared" si="2"/>
        <v>2235</v>
      </c>
      <c r="W28" s="53">
        <v>2</v>
      </c>
      <c r="X28" s="53" t="s">
        <v>46</v>
      </c>
      <c r="Y28" s="53" t="s">
        <v>84</v>
      </c>
      <c r="Z28" s="53" t="s">
        <v>90</v>
      </c>
      <c r="AA28" s="53" t="s">
        <v>69</v>
      </c>
      <c r="AB28" s="53" t="s">
        <v>240</v>
      </c>
    </row>
    <row r="29" spans="1:48" x14ac:dyDescent="0.15">
      <c r="A29" s="53" t="s">
        <v>34</v>
      </c>
      <c r="B29" s="53" t="s">
        <v>236</v>
      </c>
      <c r="C29" s="53">
        <v>2019</v>
      </c>
      <c r="D29" s="174" t="s">
        <v>237</v>
      </c>
      <c r="E29" s="53" t="s">
        <v>373</v>
      </c>
      <c r="F29" s="53" t="s">
        <v>374</v>
      </c>
      <c r="G29" s="53" t="s">
        <v>36</v>
      </c>
      <c r="H29" s="53" t="s">
        <v>128</v>
      </c>
      <c r="I29" s="53" t="s">
        <v>159</v>
      </c>
      <c r="J29" s="53" t="s">
        <v>80</v>
      </c>
      <c r="K29" s="53" t="s">
        <v>63</v>
      </c>
      <c r="L29" s="53">
        <v>1</v>
      </c>
      <c r="N29" s="53">
        <v>4</v>
      </c>
      <c r="O29" s="53">
        <v>0.2</v>
      </c>
      <c r="P29" s="53">
        <v>0.2</v>
      </c>
      <c r="Q29" s="74">
        <f t="shared" si="0"/>
        <v>0.2</v>
      </c>
      <c r="R29" s="53">
        <v>16.100000000000001</v>
      </c>
      <c r="S29" s="53">
        <v>82</v>
      </c>
      <c r="T29" s="16">
        <f t="shared" si="1"/>
        <v>39</v>
      </c>
      <c r="U29" s="53">
        <v>398</v>
      </c>
      <c r="V29" s="16">
        <f t="shared" si="2"/>
        <v>3880.5</v>
      </c>
      <c r="W29" s="53">
        <v>2</v>
      </c>
      <c r="X29" s="53" t="s">
        <v>46</v>
      </c>
      <c r="Y29" s="53" t="s">
        <v>84</v>
      </c>
      <c r="Z29" s="53" t="s">
        <v>90</v>
      </c>
      <c r="AA29" s="53" t="s">
        <v>69</v>
      </c>
      <c r="AB29" s="53" t="s">
        <v>240</v>
      </c>
    </row>
    <row r="30" spans="1:48" x14ac:dyDescent="0.15">
      <c r="A30" s="53" t="s">
        <v>34</v>
      </c>
      <c r="B30" s="53" t="s">
        <v>236</v>
      </c>
      <c r="C30" s="53">
        <v>2019</v>
      </c>
      <c r="D30" s="174" t="s">
        <v>237</v>
      </c>
      <c r="E30" s="53" t="s">
        <v>373</v>
      </c>
      <c r="F30" s="53" t="s">
        <v>374</v>
      </c>
      <c r="G30" s="53" t="s">
        <v>36</v>
      </c>
      <c r="H30" s="53" t="s">
        <v>128</v>
      </c>
      <c r="I30" s="53" t="s">
        <v>159</v>
      </c>
      <c r="J30" s="53" t="s">
        <v>80</v>
      </c>
      <c r="K30" s="53" t="s">
        <v>63</v>
      </c>
      <c r="L30" s="53">
        <v>2</v>
      </c>
      <c r="N30" s="53">
        <v>4</v>
      </c>
      <c r="O30" s="53">
        <v>0.5</v>
      </c>
      <c r="P30" s="53">
        <v>0.5</v>
      </c>
      <c r="Q30" s="74">
        <f t="shared" si="0"/>
        <v>0.5</v>
      </c>
      <c r="R30" s="53">
        <v>14.7</v>
      </c>
      <c r="S30" s="53">
        <v>84</v>
      </c>
      <c r="T30" s="16">
        <f t="shared" si="1"/>
        <v>36</v>
      </c>
      <c r="U30" s="53">
        <v>398</v>
      </c>
      <c r="V30" s="16">
        <f t="shared" si="2"/>
        <v>3582</v>
      </c>
      <c r="W30" s="53">
        <v>2</v>
      </c>
      <c r="X30" s="53" t="s">
        <v>46</v>
      </c>
      <c r="Y30" s="53" t="s">
        <v>84</v>
      </c>
      <c r="Z30" s="53" t="s">
        <v>90</v>
      </c>
      <c r="AA30" s="53" t="s">
        <v>69</v>
      </c>
      <c r="AB30" s="53" t="s">
        <v>240</v>
      </c>
    </row>
    <row r="31" spans="1:48" x14ac:dyDescent="0.15">
      <c r="A31" s="53" t="s">
        <v>34</v>
      </c>
      <c r="B31" s="53" t="s">
        <v>236</v>
      </c>
      <c r="C31" s="53">
        <v>2019</v>
      </c>
      <c r="D31" s="174" t="s">
        <v>237</v>
      </c>
      <c r="E31" s="53" t="s">
        <v>373</v>
      </c>
      <c r="F31" s="53" t="s">
        <v>374</v>
      </c>
      <c r="G31" s="53" t="s">
        <v>36</v>
      </c>
      <c r="H31" s="53" t="s">
        <v>128</v>
      </c>
      <c r="I31" s="53" t="s">
        <v>159</v>
      </c>
      <c r="J31" s="53" t="s">
        <v>80</v>
      </c>
      <c r="K31" s="53" t="s">
        <v>63</v>
      </c>
      <c r="L31" s="53">
        <v>3</v>
      </c>
      <c r="N31" s="53">
        <v>4</v>
      </c>
      <c r="O31" s="53">
        <v>0.45</v>
      </c>
      <c r="P31" s="53">
        <v>0.2</v>
      </c>
      <c r="Q31" s="74">
        <f t="shared" si="0"/>
        <v>0.32500000000000001</v>
      </c>
      <c r="R31" s="53">
        <v>15.2</v>
      </c>
      <c r="S31" s="53">
        <v>93</v>
      </c>
      <c r="T31" s="16">
        <f t="shared" si="1"/>
        <v>36</v>
      </c>
      <c r="U31" s="53">
        <v>398</v>
      </c>
      <c r="V31" s="16">
        <f t="shared" si="2"/>
        <v>3582</v>
      </c>
      <c r="W31" s="53">
        <v>2</v>
      </c>
      <c r="X31" s="53" t="s">
        <v>46</v>
      </c>
      <c r="Y31" s="53" t="s">
        <v>84</v>
      </c>
      <c r="Z31" s="53" t="s">
        <v>90</v>
      </c>
      <c r="AA31" s="53" t="s">
        <v>69</v>
      </c>
      <c r="AB31" s="53" t="s">
        <v>240</v>
      </c>
    </row>
    <row r="32" spans="1:48" x14ac:dyDescent="0.15">
      <c r="A32" s="53" t="s">
        <v>34</v>
      </c>
      <c r="B32" s="53" t="s">
        <v>236</v>
      </c>
      <c r="C32" s="53">
        <v>2019</v>
      </c>
      <c r="D32" s="174" t="s">
        <v>237</v>
      </c>
      <c r="E32" s="53" t="s">
        <v>211</v>
      </c>
      <c r="F32" s="53" t="s">
        <v>384</v>
      </c>
      <c r="G32" s="53" t="s">
        <v>36</v>
      </c>
      <c r="H32" s="53" t="s">
        <v>164</v>
      </c>
      <c r="I32" s="53" t="s">
        <v>159</v>
      </c>
      <c r="J32" s="53" t="s">
        <v>38</v>
      </c>
      <c r="K32" s="53" t="s">
        <v>161</v>
      </c>
      <c r="L32" s="53">
        <v>1</v>
      </c>
      <c r="N32" s="53">
        <v>1</v>
      </c>
      <c r="O32" s="53">
        <v>0.2</v>
      </c>
      <c r="P32" s="53">
        <v>0.2</v>
      </c>
      <c r="Q32" s="74">
        <f t="shared" si="0"/>
        <v>0.2</v>
      </c>
      <c r="R32" s="53">
        <v>14.5</v>
      </c>
      <c r="S32" s="53">
        <v>116</v>
      </c>
      <c r="T32" s="16">
        <f t="shared" si="1"/>
        <v>30</v>
      </c>
      <c r="U32" s="53">
        <v>104</v>
      </c>
      <c r="V32" s="16">
        <f t="shared" si="2"/>
        <v>3120</v>
      </c>
      <c r="W32" s="53">
        <v>3</v>
      </c>
      <c r="X32" s="53" t="s">
        <v>39</v>
      </c>
      <c r="Y32" s="53" t="s">
        <v>84</v>
      </c>
      <c r="Z32" s="53" t="s">
        <v>69</v>
      </c>
      <c r="AA32" s="53" t="s">
        <v>90</v>
      </c>
      <c r="AB32" s="53" t="s">
        <v>240</v>
      </c>
    </row>
    <row r="33" spans="1:28" x14ac:dyDescent="0.15">
      <c r="A33" s="53" t="s">
        <v>34</v>
      </c>
      <c r="B33" s="53" t="s">
        <v>236</v>
      </c>
      <c r="C33" s="53">
        <v>2019</v>
      </c>
      <c r="D33" s="174" t="s">
        <v>237</v>
      </c>
      <c r="E33" s="53" t="s">
        <v>211</v>
      </c>
      <c r="F33" s="53" t="s">
        <v>384</v>
      </c>
      <c r="G33" s="53" t="s">
        <v>36</v>
      </c>
      <c r="H33" s="53" t="s">
        <v>164</v>
      </c>
      <c r="I33" s="53" t="s">
        <v>159</v>
      </c>
      <c r="J33" s="53" t="s">
        <v>38</v>
      </c>
      <c r="K33" s="53" t="s">
        <v>161</v>
      </c>
      <c r="L33" s="53">
        <v>2</v>
      </c>
      <c r="N33" s="53">
        <v>1</v>
      </c>
      <c r="O33" s="53">
        <v>0.5</v>
      </c>
      <c r="P33" s="53">
        <v>0.7</v>
      </c>
      <c r="Q33" s="74">
        <f t="shared" si="0"/>
        <v>0.6</v>
      </c>
      <c r="R33" s="53">
        <v>13.7</v>
      </c>
      <c r="S33" s="53">
        <v>122</v>
      </c>
      <c r="T33" s="16">
        <f t="shared" si="1"/>
        <v>30</v>
      </c>
      <c r="U33" s="53">
        <v>104</v>
      </c>
      <c r="V33" s="16">
        <f t="shared" si="2"/>
        <v>3120</v>
      </c>
      <c r="W33" s="53">
        <v>3</v>
      </c>
      <c r="X33" s="53" t="s">
        <v>39</v>
      </c>
      <c r="Y33" s="53" t="s">
        <v>84</v>
      </c>
      <c r="Z33" s="53" t="s">
        <v>69</v>
      </c>
      <c r="AA33" s="53" t="s">
        <v>90</v>
      </c>
      <c r="AB33" s="53" t="s">
        <v>240</v>
      </c>
    </row>
    <row r="34" spans="1:28" x14ac:dyDescent="0.15">
      <c r="A34" s="53" t="s">
        <v>34</v>
      </c>
      <c r="B34" s="53" t="s">
        <v>236</v>
      </c>
      <c r="C34" s="53">
        <v>2019</v>
      </c>
      <c r="D34" s="174" t="s">
        <v>237</v>
      </c>
      <c r="E34" s="53" t="s">
        <v>211</v>
      </c>
      <c r="F34" s="53" t="s">
        <v>384</v>
      </c>
      <c r="G34" s="53" t="s">
        <v>36</v>
      </c>
      <c r="H34" s="53" t="s">
        <v>164</v>
      </c>
      <c r="I34" s="53" t="s">
        <v>159</v>
      </c>
      <c r="J34" s="53" t="s">
        <v>38</v>
      </c>
      <c r="K34" s="53" t="s">
        <v>161</v>
      </c>
      <c r="L34" s="53">
        <v>3</v>
      </c>
      <c r="N34" s="53">
        <v>1</v>
      </c>
      <c r="O34" s="53">
        <v>0.6</v>
      </c>
      <c r="P34" s="53">
        <v>0.5</v>
      </c>
      <c r="Q34" s="74">
        <f>IF(OR(O34="",P34=""),"",AVERAGE(O34,P34))</f>
        <v>0.55000000000000004</v>
      </c>
      <c r="R34" s="53">
        <v>13.9</v>
      </c>
      <c r="S34" s="53">
        <v>120</v>
      </c>
      <c r="T34" s="16">
        <f t="shared" si="1"/>
        <v>30</v>
      </c>
      <c r="U34" s="53">
        <v>104</v>
      </c>
      <c r="V34" s="16">
        <f t="shared" si="2"/>
        <v>3120</v>
      </c>
      <c r="W34" s="53">
        <v>3</v>
      </c>
      <c r="X34" s="53" t="s">
        <v>39</v>
      </c>
      <c r="Y34" s="53" t="s">
        <v>84</v>
      </c>
      <c r="Z34" s="53" t="s">
        <v>69</v>
      </c>
      <c r="AA34" s="53" t="s">
        <v>90</v>
      </c>
      <c r="AB34" s="53" t="s">
        <v>240</v>
      </c>
    </row>
    <row r="35" spans="1:28" x14ac:dyDescent="0.15">
      <c r="A35" s="53" t="s">
        <v>34</v>
      </c>
      <c r="B35" s="53" t="s">
        <v>236</v>
      </c>
      <c r="C35" s="53">
        <v>2019</v>
      </c>
      <c r="D35" s="174" t="s">
        <v>237</v>
      </c>
      <c r="E35" s="53" t="s">
        <v>211</v>
      </c>
      <c r="F35" s="53" t="s">
        <v>384</v>
      </c>
      <c r="G35" s="53" t="s">
        <v>36</v>
      </c>
      <c r="H35" s="53" t="s">
        <v>164</v>
      </c>
      <c r="I35" s="53" t="s">
        <v>159</v>
      </c>
      <c r="J35" s="53" t="s">
        <v>38</v>
      </c>
      <c r="K35" s="53" t="s">
        <v>161</v>
      </c>
      <c r="L35" s="53">
        <v>1</v>
      </c>
      <c r="N35" s="53">
        <v>4</v>
      </c>
      <c r="O35" s="53">
        <v>0.2</v>
      </c>
      <c r="P35" s="53">
        <v>0.2</v>
      </c>
      <c r="Q35" s="74">
        <f t="shared" ref="Q35:Q36" si="3">IF(OR(O35="",P35=""),"",AVERAGE(O35,P35))</f>
        <v>0.2</v>
      </c>
      <c r="R35" s="53">
        <v>14</v>
      </c>
      <c r="S35" s="53">
        <v>90</v>
      </c>
      <c r="T35" s="16">
        <f t="shared" si="1"/>
        <v>36</v>
      </c>
      <c r="U35" s="53">
        <v>407</v>
      </c>
      <c r="V35" s="16">
        <f t="shared" si="2"/>
        <v>3663</v>
      </c>
      <c r="W35" s="53">
        <v>3</v>
      </c>
      <c r="X35" s="53" t="s">
        <v>39</v>
      </c>
      <c r="Y35" s="53" t="s">
        <v>84</v>
      </c>
      <c r="Z35" s="53" t="s">
        <v>69</v>
      </c>
      <c r="AA35" s="53" t="s">
        <v>90</v>
      </c>
      <c r="AB35" s="53" t="s">
        <v>240</v>
      </c>
    </row>
    <row r="36" spans="1:28" x14ac:dyDescent="0.15">
      <c r="A36" s="53" t="s">
        <v>34</v>
      </c>
      <c r="B36" s="53" t="s">
        <v>236</v>
      </c>
      <c r="C36" s="53">
        <v>2019</v>
      </c>
      <c r="D36" s="174" t="s">
        <v>237</v>
      </c>
      <c r="E36" s="53" t="s">
        <v>211</v>
      </c>
      <c r="F36" s="53" t="s">
        <v>384</v>
      </c>
      <c r="G36" s="53" t="s">
        <v>36</v>
      </c>
      <c r="H36" s="53" t="s">
        <v>164</v>
      </c>
      <c r="I36" s="53" t="s">
        <v>159</v>
      </c>
      <c r="J36" s="53" t="s">
        <v>38</v>
      </c>
      <c r="K36" s="53" t="s">
        <v>161</v>
      </c>
      <c r="L36" s="53">
        <v>2</v>
      </c>
      <c r="N36" s="53">
        <v>4</v>
      </c>
      <c r="O36" s="53">
        <v>0.2</v>
      </c>
      <c r="P36" s="53">
        <v>0.5</v>
      </c>
      <c r="Q36" s="74">
        <f t="shared" si="3"/>
        <v>0.35</v>
      </c>
      <c r="R36" s="53">
        <v>13.9</v>
      </c>
      <c r="S36" s="53">
        <v>93</v>
      </c>
      <c r="T36" s="16">
        <f t="shared" si="1"/>
        <v>36</v>
      </c>
      <c r="U36" s="53">
        <v>407</v>
      </c>
      <c r="V36" s="16">
        <f t="shared" si="2"/>
        <v>3663</v>
      </c>
      <c r="W36" s="53">
        <v>3</v>
      </c>
      <c r="X36" s="53" t="s">
        <v>39</v>
      </c>
      <c r="Y36" s="53" t="s">
        <v>84</v>
      </c>
      <c r="Z36" s="53" t="s">
        <v>69</v>
      </c>
      <c r="AA36" s="53" t="s">
        <v>90</v>
      </c>
      <c r="AB36" s="53" t="s">
        <v>240</v>
      </c>
    </row>
    <row r="37" spans="1:28" x14ac:dyDescent="0.15">
      <c r="A37" s="53" t="s">
        <v>34</v>
      </c>
      <c r="B37" s="53" t="s">
        <v>236</v>
      </c>
      <c r="C37" s="53">
        <v>2019</v>
      </c>
      <c r="D37" s="174" t="s">
        <v>237</v>
      </c>
      <c r="E37" s="53" t="s">
        <v>211</v>
      </c>
      <c r="F37" s="53" t="s">
        <v>384</v>
      </c>
      <c r="G37" s="53" t="s">
        <v>36</v>
      </c>
      <c r="H37" s="53" t="s">
        <v>164</v>
      </c>
      <c r="I37" s="53" t="s">
        <v>159</v>
      </c>
      <c r="J37" s="53" t="s">
        <v>38</v>
      </c>
      <c r="K37" s="53" t="s">
        <v>161</v>
      </c>
      <c r="L37" s="53">
        <v>3</v>
      </c>
      <c r="N37" s="53">
        <v>4</v>
      </c>
      <c r="O37" s="53">
        <v>0.75</v>
      </c>
      <c r="P37" s="53">
        <v>0.7</v>
      </c>
      <c r="Q37" s="74">
        <f>IF(OR(O37="",P37=""),"",AVERAGE(O37,P37))</f>
        <v>0.72499999999999998</v>
      </c>
      <c r="R37" s="53">
        <v>14.1</v>
      </c>
      <c r="S37" s="53">
        <v>95</v>
      </c>
      <c r="T37" s="16">
        <f t="shared" si="1"/>
        <v>36</v>
      </c>
      <c r="U37" s="53">
        <v>407</v>
      </c>
      <c r="V37" s="16">
        <f t="shared" si="2"/>
        <v>3663</v>
      </c>
      <c r="W37" s="53">
        <v>3</v>
      </c>
      <c r="X37" s="53" t="s">
        <v>39</v>
      </c>
      <c r="Y37" s="53" t="s">
        <v>84</v>
      </c>
      <c r="Z37" s="53" t="s">
        <v>69</v>
      </c>
      <c r="AA37" s="53" t="s">
        <v>90</v>
      </c>
      <c r="AB37" s="53" t="s">
        <v>240</v>
      </c>
    </row>
    <row r="38" spans="1:28" x14ac:dyDescent="0.15">
      <c r="A38" s="53" t="s">
        <v>34</v>
      </c>
      <c r="B38" s="53" t="s">
        <v>236</v>
      </c>
      <c r="C38" s="53">
        <v>2019</v>
      </c>
      <c r="D38" s="174" t="s">
        <v>237</v>
      </c>
      <c r="E38" s="53" t="s">
        <v>371</v>
      </c>
      <c r="F38" s="53" t="s">
        <v>372</v>
      </c>
      <c r="G38" s="53" t="s">
        <v>36</v>
      </c>
      <c r="H38" s="53" t="s">
        <v>164</v>
      </c>
      <c r="I38" s="53" t="s">
        <v>159</v>
      </c>
      <c r="J38" s="53" t="s">
        <v>38</v>
      </c>
      <c r="K38" s="53" t="s">
        <v>161</v>
      </c>
      <c r="L38" s="53">
        <v>1</v>
      </c>
      <c r="N38" s="53">
        <v>1</v>
      </c>
      <c r="O38" s="53">
        <v>0.8</v>
      </c>
      <c r="P38" s="53">
        <v>0.7</v>
      </c>
      <c r="Q38" s="74">
        <f t="shared" ref="Q38:Q39" si="4">IF(OR(O38="",P38=""),"",AVERAGE(O38,P38))</f>
        <v>0.75</v>
      </c>
      <c r="R38" s="53">
        <v>14.1</v>
      </c>
      <c r="S38" s="53">
        <v>122</v>
      </c>
      <c r="T38" s="16">
        <f t="shared" si="1"/>
        <v>30</v>
      </c>
      <c r="U38" s="53">
        <v>108</v>
      </c>
      <c r="V38" s="16">
        <f t="shared" si="2"/>
        <v>3240</v>
      </c>
      <c r="W38" s="53">
        <v>3</v>
      </c>
      <c r="X38" s="53" t="s">
        <v>46</v>
      </c>
      <c r="Y38" s="53" t="s">
        <v>84</v>
      </c>
      <c r="Z38" s="53" t="s">
        <v>90</v>
      </c>
      <c r="AA38" s="53" t="s">
        <v>69</v>
      </c>
      <c r="AB38" s="53" t="s">
        <v>240</v>
      </c>
    </row>
    <row r="39" spans="1:28" x14ac:dyDescent="0.15">
      <c r="A39" s="53" t="s">
        <v>34</v>
      </c>
      <c r="B39" s="53" t="s">
        <v>236</v>
      </c>
      <c r="C39" s="53">
        <v>2019</v>
      </c>
      <c r="D39" s="174" t="s">
        <v>237</v>
      </c>
      <c r="E39" s="53" t="s">
        <v>371</v>
      </c>
      <c r="F39" s="53" t="s">
        <v>372</v>
      </c>
      <c r="G39" s="53" t="s">
        <v>36</v>
      </c>
      <c r="H39" s="53" t="s">
        <v>164</v>
      </c>
      <c r="I39" s="53" t="s">
        <v>159</v>
      </c>
      <c r="J39" s="53" t="s">
        <v>38</v>
      </c>
      <c r="K39" s="53" t="s">
        <v>161</v>
      </c>
      <c r="L39" s="53">
        <v>2</v>
      </c>
      <c r="N39" s="53">
        <v>1</v>
      </c>
      <c r="O39" s="53">
        <v>0.7</v>
      </c>
      <c r="P39" s="53">
        <v>0.65</v>
      </c>
      <c r="Q39" s="74">
        <f t="shared" si="4"/>
        <v>0.67500000000000004</v>
      </c>
      <c r="R39" s="53">
        <v>12.5</v>
      </c>
      <c r="S39" s="53">
        <v>118</v>
      </c>
      <c r="T39" s="16">
        <f t="shared" si="1"/>
        <v>30</v>
      </c>
      <c r="U39" s="53">
        <v>108</v>
      </c>
      <c r="V39" s="16">
        <f t="shared" si="2"/>
        <v>3240</v>
      </c>
      <c r="W39" s="53">
        <v>3</v>
      </c>
      <c r="X39" s="53" t="s">
        <v>46</v>
      </c>
      <c r="Y39" s="53" t="s">
        <v>84</v>
      </c>
      <c r="Z39" s="53" t="s">
        <v>90</v>
      </c>
      <c r="AA39" s="53" t="s">
        <v>69</v>
      </c>
      <c r="AB39" s="53" t="s">
        <v>240</v>
      </c>
    </row>
    <row r="40" spans="1:28" x14ac:dyDescent="0.15">
      <c r="A40" s="53" t="s">
        <v>34</v>
      </c>
      <c r="B40" s="53" t="s">
        <v>236</v>
      </c>
      <c r="C40" s="53">
        <v>2019</v>
      </c>
      <c r="D40" s="174" t="s">
        <v>237</v>
      </c>
      <c r="E40" s="53" t="s">
        <v>371</v>
      </c>
      <c r="F40" s="53" t="s">
        <v>372</v>
      </c>
      <c r="G40" s="53" t="s">
        <v>36</v>
      </c>
      <c r="H40" s="53" t="s">
        <v>164</v>
      </c>
      <c r="I40" s="53" t="s">
        <v>159</v>
      </c>
      <c r="J40" s="53" t="s">
        <v>38</v>
      </c>
      <c r="K40" s="53" t="s">
        <v>161</v>
      </c>
      <c r="L40" s="53">
        <v>3</v>
      </c>
      <c r="N40" s="53">
        <v>1</v>
      </c>
      <c r="O40" s="53">
        <v>0.7</v>
      </c>
      <c r="P40" s="53">
        <v>0.65</v>
      </c>
      <c r="Q40" s="74">
        <f>IF(OR(O40="",P40=""),"",AVERAGE(O40,P40))</f>
        <v>0.67500000000000004</v>
      </c>
      <c r="R40" s="53">
        <v>14.1</v>
      </c>
      <c r="S40" s="53">
        <v>130</v>
      </c>
      <c r="T40" s="16">
        <f t="shared" si="1"/>
        <v>30</v>
      </c>
      <c r="U40" s="53">
        <v>108</v>
      </c>
      <c r="V40" s="16">
        <f t="shared" si="2"/>
        <v>3240</v>
      </c>
      <c r="W40" s="53">
        <v>3</v>
      </c>
      <c r="X40" s="53" t="s">
        <v>46</v>
      </c>
      <c r="Y40" s="53" t="s">
        <v>84</v>
      </c>
      <c r="Z40" s="53" t="s">
        <v>90</v>
      </c>
      <c r="AA40" s="53" t="s">
        <v>69</v>
      </c>
      <c r="AB40" s="53" t="s">
        <v>240</v>
      </c>
    </row>
    <row r="41" spans="1:28" x14ac:dyDescent="0.15">
      <c r="A41" s="53" t="s">
        <v>34</v>
      </c>
      <c r="B41" s="53" t="s">
        <v>236</v>
      </c>
      <c r="C41" s="53">
        <v>2019</v>
      </c>
      <c r="D41" s="174" t="s">
        <v>237</v>
      </c>
      <c r="E41" s="53" t="s">
        <v>371</v>
      </c>
      <c r="F41" s="53" t="s">
        <v>372</v>
      </c>
      <c r="G41" s="53" t="s">
        <v>36</v>
      </c>
      <c r="H41" s="53" t="s">
        <v>127</v>
      </c>
      <c r="I41" s="53" t="s">
        <v>159</v>
      </c>
      <c r="J41" s="53" t="s">
        <v>71</v>
      </c>
      <c r="K41" s="53" t="s">
        <v>94</v>
      </c>
      <c r="L41" s="53">
        <v>1</v>
      </c>
      <c r="N41" s="53">
        <v>6</v>
      </c>
      <c r="O41" s="53">
        <v>0.75</v>
      </c>
      <c r="P41" s="53">
        <v>0.5</v>
      </c>
      <c r="Q41" s="74">
        <f t="shared" si="0"/>
        <v>0.625</v>
      </c>
      <c r="R41" s="53">
        <v>10.7</v>
      </c>
      <c r="S41" s="53">
        <v>104</v>
      </c>
      <c r="T41" s="16">
        <f t="shared" si="1"/>
        <v>33</v>
      </c>
      <c r="U41" s="53">
        <v>429</v>
      </c>
      <c r="V41" s="16">
        <f t="shared" si="2"/>
        <v>2359.5</v>
      </c>
      <c r="W41" s="53">
        <v>3</v>
      </c>
      <c r="X41" s="53" t="s">
        <v>39</v>
      </c>
      <c r="Y41" s="53" t="s">
        <v>84</v>
      </c>
      <c r="Z41" s="53" t="s">
        <v>90</v>
      </c>
      <c r="AA41" s="53" t="s">
        <v>69</v>
      </c>
      <c r="AB41" s="53" t="s">
        <v>240</v>
      </c>
    </row>
    <row r="42" spans="1:28" x14ac:dyDescent="0.15">
      <c r="A42" s="53" t="s">
        <v>34</v>
      </c>
      <c r="B42" s="53" t="s">
        <v>236</v>
      </c>
      <c r="C42" s="53">
        <v>2019</v>
      </c>
      <c r="D42" s="174" t="s">
        <v>237</v>
      </c>
      <c r="E42" s="53" t="s">
        <v>371</v>
      </c>
      <c r="F42" s="53" t="s">
        <v>372</v>
      </c>
      <c r="G42" s="53" t="s">
        <v>36</v>
      </c>
      <c r="H42" s="53" t="s">
        <v>127</v>
      </c>
      <c r="I42" s="53" t="s">
        <v>159</v>
      </c>
      <c r="J42" s="53" t="s">
        <v>71</v>
      </c>
      <c r="K42" s="53" t="s">
        <v>94</v>
      </c>
      <c r="L42" s="53">
        <v>2</v>
      </c>
      <c r="N42" s="53">
        <v>6</v>
      </c>
      <c r="O42" s="53">
        <v>0.9</v>
      </c>
      <c r="P42" s="53">
        <v>0.7</v>
      </c>
      <c r="Q42" s="74">
        <f t="shared" si="0"/>
        <v>0.8</v>
      </c>
      <c r="R42" s="53">
        <v>13.2</v>
      </c>
      <c r="S42" s="53">
        <v>104</v>
      </c>
      <c r="T42" s="16">
        <f t="shared" si="1"/>
        <v>33</v>
      </c>
      <c r="U42" s="53">
        <v>429</v>
      </c>
      <c r="V42" s="16">
        <f t="shared" si="2"/>
        <v>2359.5</v>
      </c>
      <c r="W42" s="53">
        <v>3</v>
      </c>
      <c r="X42" s="53" t="s">
        <v>39</v>
      </c>
      <c r="Y42" s="53" t="s">
        <v>84</v>
      </c>
      <c r="Z42" s="53" t="s">
        <v>90</v>
      </c>
      <c r="AA42" s="53" t="s">
        <v>69</v>
      </c>
      <c r="AB42" s="53" t="s">
        <v>240</v>
      </c>
    </row>
    <row r="43" spans="1:28" x14ac:dyDescent="0.15">
      <c r="A43" s="53" t="s">
        <v>34</v>
      </c>
      <c r="B43" s="53" t="s">
        <v>236</v>
      </c>
      <c r="C43" s="53">
        <v>2019</v>
      </c>
      <c r="D43" s="174" t="s">
        <v>237</v>
      </c>
      <c r="E43" s="53" t="s">
        <v>371</v>
      </c>
      <c r="F43" s="53" t="s">
        <v>372</v>
      </c>
      <c r="G43" s="53" t="s">
        <v>36</v>
      </c>
      <c r="H43" s="53" t="s">
        <v>127</v>
      </c>
      <c r="I43" s="53" t="s">
        <v>159</v>
      </c>
      <c r="J43" s="53" t="s">
        <v>71</v>
      </c>
      <c r="K43" s="53" t="s">
        <v>94</v>
      </c>
      <c r="L43" s="53">
        <v>3</v>
      </c>
      <c r="N43" s="53">
        <v>6</v>
      </c>
      <c r="O43" s="53">
        <v>0.6</v>
      </c>
      <c r="P43" s="53">
        <v>0.5</v>
      </c>
      <c r="Q43" s="74">
        <f t="shared" si="0"/>
        <v>0.55000000000000004</v>
      </c>
      <c r="R43" s="53">
        <v>13.4</v>
      </c>
      <c r="S43" s="53">
        <v>106</v>
      </c>
      <c r="T43" s="16">
        <f t="shared" si="1"/>
        <v>33</v>
      </c>
      <c r="U43" s="53">
        <v>429</v>
      </c>
      <c r="V43" s="16">
        <f t="shared" si="2"/>
        <v>2359.5</v>
      </c>
      <c r="W43" s="53">
        <v>3</v>
      </c>
      <c r="X43" s="53" t="s">
        <v>39</v>
      </c>
      <c r="Y43" s="53" t="s">
        <v>84</v>
      </c>
      <c r="Z43" s="53" t="s">
        <v>90</v>
      </c>
      <c r="AA43" s="53" t="s">
        <v>69</v>
      </c>
      <c r="AB43" s="53" t="s">
        <v>240</v>
      </c>
    </row>
    <row r="44" spans="1:28" x14ac:dyDescent="0.15">
      <c r="A44" s="53" t="s">
        <v>34</v>
      </c>
      <c r="B44" s="53" t="s">
        <v>236</v>
      </c>
      <c r="C44" s="53">
        <v>2019</v>
      </c>
      <c r="D44" s="174" t="s">
        <v>237</v>
      </c>
      <c r="E44" s="53" t="s">
        <v>371</v>
      </c>
      <c r="F44" s="53" t="s">
        <v>372</v>
      </c>
      <c r="G44" s="53" t="s">
        <v>36</v>
      </c>
      <c r="H44" s="53" t="s">
        <v>164</v>
      </c>
      <c r="I44" s="53" t="s">
        <v>159</v>
      </c>
      <c r="J44" s="53" t="s">
        <v>38</v>
      </c>
      <c r="K44" s="53" t="s">
        <v>161</v>
      </c>
      <c r="L44" s="53">
        <v>1</v>
      </c>
      <c r="N44" s="53">
        <v>4</v>
      </c>
      <c r="O44" s="53">
        <v>0.75</v>
      </c>
      <c r="P44" s="53">
        <v>0.7</v>
      </c>
      <c r="Q44" s="74">
        <f t="shared" si="0"/>
        <v>0.72499999999999998</v>
      </c>
      <c r="R44" s="53">
        <v>13.3</v>
      </c>
      <c r="S44" s="53">
        <v>106</v>
      </c>
      <c r="T44" s="16">
        <f t="shared" si="1"/>
        <v>33</v>
      </c>
      <c r="U44" s="53">
        <v>321</v>
      </c>
      <c r="V44" s="16">
        <f t="shared" si="2"/>
        <v>2648.25</v>
      </c>
      <c r="W44" s="53">
        <v>3</v>
      </c>
      <c r="X44" s="53" t="s">
        <v>39</v>
      </c>
      <c r="Y44" s="53" t="s">
        <v>84</v>
      </c>
      <c r="Z44" s="53" t="s">
        <v>90</v>
      </c>
      <c r="AA44" s="53" t="s">
        <v>69</v>
      </c>
      <c r="AB44" s="53" t="s">
        <v>240</v>
      </c>
    </row>
    <row r="45" spans="1:28" x14ac:dyDescent="0.15">
      <c r="A45" s="53" t="s">
        <v>34</v>
      </c>
      <c r="B45" s="53" t="s">
        <v>236</v>
      </c>
      <c r="C45" s="53">
        <v>2019</v>
      </c>
      <c r="D45" s="174" t="s">
        <v>237</v>
      </c>
      <c r="E45" s="53" t="s">
        <v>371</v>
      </c>
      <c r="F45" s="53" t="s">
        <v>372</v>
      </c>
      <c r="G45" s="53" t="s">
        <v>36</v>
      </c>
      <c r="H45" s="53" t="s">
        <v>164</v>
      </c>
      <c r="I45" s="53" t="s">
        <v>159</v>
      </c>
      <c r="J45" s="53" t="s">
        <v>38</v>
      </c>
      <c r="K45" s="53" t="s">
        <v>161</v>
      </c>
      <c r="L45" s="53">
        <v>2</v>
      </c>
      <c r="N45" s="53">
        <v>4</v>
      </c>
      <c r="O45" s="53">
        <v>0.8</v>
      </c>
      <c r="P45" s="53">
        <v>0.85</v>
      </c>
      <c r="Q45" s="74">
        <f t="shared" si="0"/>
        <v>0.82499999999999996</v>
      </c>
      <c r="R45" s="53">
        <v>11.1</v>
      </c>
      <c r="S45" s="53">
        <v>94</v>
      </c>
      <c r="T45" s="16">
        <f t="shared" si="1"/>
        <v>36</v>
      </c>
      <c r="U45" s="53">
        <v>321</v>
      </c>
      <c r="V45" s="16">
        <f t="shared" si="2"/>
        <v>2889</v>
      </c>
      <c r="W45" s="53">
        <v>3</v>
      </c>
      <c r="X45" s="53" t="s">
        <v>39</v>
      </c>
      <c r="Y45" s="53" t="s">
        <v>84</v>
      </c>
      <c r="Z45" s="53" t="s">
        <v>90</v>
      </c>
      <c r="AA45" s="53" t="s">
        <v>69</v>
      </c>
      <c r="AB45" s="53" t="s">
        <v>240</v>
      </c>
    </row>
    <row r="46" spans="1:28" x14ac:dyDescent="0.15">
      <c r="A46" s="53" t="s">
        <v>34</v>
      </c>
      <c r="B46" s="53" t="s">
        <v>236</v>
      </c>
      <c r="C46" s="53">
        <v>2019</v>
      </c>
      <c r="D46" s="174" t="s">
        <v>237</v>
      </c>
      <c r="E46" s="53" t="s">
        <v>371</v>
      </c>
      <c r="F46" s="53" t="s">
        <v>372</v>
      </c>
      <c r="G46" s="53" t="s">
        <v>36</v>
      </c>
      <c r="H46" s="53" t="s">
        <v>164</v>
      </c>
      <c r="I46" s="53" t="s">
        <v>159</v>
      </c>
      <c r="J46" s="53" t="s">
        <v>38</v>
      </c>
      <c r="K46" s="53" t="s">
        <v>161</v>
      </c>
      <c r="L46" s="53">
        <v>3</v>
      </c>
      <c r="N46" s="53">
        <v>4</v>
      </c>
      <c r="O46" s="53">
        <v>0.8</v>
      </c>
      <c r="P46" s="53">
        <v>0.9</v>
      </c>
      <c r="Q46" s="74">
        <f t="shared" si="0"/>
        <v>0.85000000000000009</v>
      </c>
      <c r="R46" s="53">
        <v>13.3</v>
      </c>
      <c r="S46" s="53">
        <v>108</v>
      </c>
      <c r="T46" s="16">
        <f t="shared" si="1"/>
        <v>33</v>
      </c>
      <c r="U46" s="53">
        <v>321</v>
      </c>
      <c r="V46" s="16">
        <f t="shared" si="2"/>
        <v>2648.25</v>
      </c>
      <c r="W46" s="53">
        <v>3</v>
      </c>
      <c r="X46" s="53" t="s">
        <v>39</v>
      </c>
      <c r="Y46" s="53" t="s">
        <v>84</v>
      </c>
      <c r="Z46" s="53" t="s">
        <v>90</v>
      </c>
      <c r="AA46" s="53" t="s">
        <v>69</v>
      </c>
      <c r="AB46" s="53" t="s">
        <v>240</v>
      </c>
    </row>
    <row r="47" spans="1:28" x14ac:dyDescent="0.15">
      <c r="A47" s="53" t="s">
        <v>34</v>
      </c>
      <c r="B47" s="53" t="s">
        <v>236</v>
      </c>
      <c r="C47" s="53">
        <v>2019</v>
      </c>
      <c r="D47" s="174" t="s">
        <v>237</v>
      </c>
      <c r="E47" s="53" t="s">
        <v>371</v>
      </c>
      <c r="F47" s="53" t="s">
        <v>372</v>
      </c>
      <c r="G47" s="53" t="s">
        <v>36</v>
      </c>
      <c r="H47" s="53" t="s">
        <v>160</v>
      </c>
      <c r="I47" s="53" t="s">
        <v>159</v>
      </c>
      <c r="J47" s="53" t="s">
        <v>38</v>
      </c>
      <c r="K47" s="53" t="s">
        <v>54</v>
      </c>
      <c r="L47" s="53">
        <v>1</v>
      </c>
      <c r="N47" s="53">
        <v>4</v>
      </c>
      <c r="O47" s="53">
        <v>0.5</v>
      </c>
      <c r="P47" s="53">
        <v>0.2</v>
      </c>
      <c r="Q47" s="74">
        <f t="shared" si="0"/>
        <v>0.35</v>
      </c>
      <c r="R47" s="53">
        <v>16.7</v>
      </c>
      <c r="S47" s="53">
        <v>94</v>
      </c>
      <c r="T47" s="16">
        <f t="shared" si="1"/>
        <v>36</v>
      </c>
      <c r="U47" s="53">
        <v>626</v>
      </c>
      <c r="V47" s="16">
        <f t="shared" si="2"/>
        <v>5634</v>
      </c>
      <c r="W47" s="53">
        <v>1</v>
      </c>
      <c r="X47" s="53" t="s">
        <v>39</v>
      </c>
      <c r="Y47" s="53" t="s">
        <v>84</v>
      </c>
      <c r="Z47" s="53" t="s">
        <v>90</v>
      </c>
      <c r="AA47" s="53" t="s">
        <v>69</v>
      </c>
      <c r="AB47" s="53" t="s">
        <v>240</v>
      </c>
    </row>
    <row r="48" spans="1:28" x14ac:dyDescent="0.15">
      <c r="A48" s="53" t="s">
        <v>34</v>
      </c>
      <c r="B48" s="53" t="s">
        <v>236</v>
      </c>
      <c r="C48" s="53">
        <v>2019</v>
      </c>
      <c r="D48" s="174" t="s">
        <v>237</v>
      </c>
      <c r="E48" s="53" t="s">
        <v>371</v>
      </c>
      <c r="F48" s="53" t="s">
        <v>372</v>
      </c>
      <c r="G48" s="53" t="s">
        <v>36</v>
      </c>
      <c r="H48" s="53" t="s">
        <v>160</v>
      </c>
      <c r="I48" s="53" t="s">
        <v>159</v>
      </c>
      <c r="J48" s="53" t="s">
        <v>38</v>
      </c>
      <c r="K48" s="53" t="s">
        <v>54</v>
      </c>
      <c r="L48" s="53">
        <v>2</v>
      </c>
      <c r="N48" s="53">
        <v>4</v>
      </c>
      <c r="O48" s="53">
        <v>0.5</v>
      </c>
      <c r="P48" s="53">
        <v>0.45</v>
      </c>
      <c r="Q48" s="74">
        <f t="shared" si="0"/>
        <v>0.47499999999999998</v>
      </c>
      <c r="R48" s="53">
        <v>15.6</v>
      </c>
      <c r="S48" s="53">
        <v>87</v>
      </c>
      <c r="T48" s="16">
        <f t="shared" si="1"/>
        <v>36</v>
      </c>
      <c r="U48" s="53">
        <v>626</v>
      </c>
      <c r="V48" s="16">
        <f t="shared" si="2"/>
        <v>5634</v>
      </c>
      <c r="W48" s="53">
        <v>1</v>
      </c>
      <c r="X48" s="53" t="s">
        <v>39</v>
      </c>
      <c r="Y48" s="53" t="s">
        <v>84</v>
      </c>
      <c r="Z48" s="53" t="s">
        <v>90</v>
      </c>
      <c r="AA48" s="53" t="s">
        <v>69</v>
      </c>
      <c r="AB48" s="53" t="s">
        <v>240</v>
      </c>
    </row>
    <row r="49" spans="1:28" x14ac:dyDescent="0.15">
      <c r="A49" s="53" t="s">
        <v>34</v>
      </c>
      <c r="B49" s="53" t="s">
        <v>236</v>
      </c>
      <c r="C49" s="53">
        <v>2019</v>
      </c>
      <c r="D49" s="174" t="s">
        <v>237</v>
      </c>
      <c r="E49" s="53" t="s">
        <v>371</v>
      </c>
      <c r="F49" s="53" t="s">
        <v>372</v>
      </c>
      <c r="G49" s="53" t="s">
        <v>36</v>
      </c>
      <c r="H49" s="53" t="s">
        <v>160</v>
      </c>
      <c r="I49" s="53" t="s">
        <v>159</v>
      </c>
      <c r="J49" s="53" t="s">
        <v>38</v>
      </c>
      <c r="K49" s="53" t="s">
        <v>54</v>
      </c>
      <c r="L49" s="53">
        <v>3</v>
      </c>
      <c r="N49" s="53">
        <v>4</v>
      </c>
      <c r="O49" s="53">
        <v>0.5</v>
      </c>
      <c r="P49" s="53">
        <v>0.5</v>
      </c>
      <c r="Q49" s="74">
        <f t="shared" si="0"/>
        <v>0.5</v>
      </c>
      <c r="R49" s="53">
        <v>13.9</v>
      </c>
      <c r="S49" s="53">
        <v>94</v>
      </c>
      <c r="T49" s="16">
        <f t="shared" si="1"/>
        <v>36</v>
      </c>
      <c r="U49" s="53">
        <v>626</v>
      </c>
      <c r="V49" s="16">
        <f t="shared" si="2"/>
        <v>5634</v>
      </c>
      <c r="W49" s="53">
        <v>1</v>
      </c>
      <c r="X49" s="53" t="s">
        <v>39</v>
      </c>
      <c r="Y49" s="53" t="s">
        <v>84</v>
      </c>
      <c r="Z49" s="53" t="s">
        <v>90</v>
      </c>
      <c r="AA49" s="53" t="s">
        <v>69</v>
      </c>
      <c r="AB49" s="53" t="s">
        <v>240</v>
      </c>
    </row>
    <row r="50" spans="1:28" x14ac:dyDescent="0.15">
      <c r="A50" s="53" t="s">
        <v>34</v>
      </c>
      <c r="B50" s="53" t="s">
        <v>236</v>
      </c>
      <c r="C50" s="53">
        <v>2019</v>
      </c>
      <c r="D50" s="174" t="s">
        <v>237</v>
      </c>
      <c r="E50" s="53" t="s">
        <v>360</v>
      </c>
      <c r="F50" s="53" t="s">
        <v>370</v>
      </c>
      <c r="G50" s="53" t="s">
        <v>36</v>
      </c>
      <c r="H50" s="53" t="s">
        <v>164</v>
      </c>
      <c r="I50" s="53" t="s">
        <v>159</v>
      </c>
      <c r="J50" s="53" t="s">
        <v>38</v>
      </c>
      <c r="K50" s="53" t="s">
        <v>161</v>
      </c>
      <c r="L50" s="53">
        <v>1</v>
      </c>
      <c r="N50" s="53">
        <v>1</v>
      </c>
      <c r="O50" s="53">
        <v>0.2</v>
      </c>
      <c r="P50" s="53">
        <v>0.2</v>
      </c>
      <c r="Q50" s="74">
        <f t="shared" si="0"/>
        <v>0.2</v>
      </c>
      <c r="R50" s="53">
        <v>14.5</v>
      </c>
      <c r="S50" s="53">
        <v>104</v>
      </c>
      <c r="T50" s="16">
        <f t="shared" si="1"/>
        <v>33</v>
      </c>
      <c r="U50" s="53">
        <v>113</v>
      </c>
      <c r="V50" s="16">
        <f t="shared" si="2"/>
        <v>3729</v>
      </c>
      <c r="W50" s="53">
        <v>2</v>
      </c>
      <c r="X50" s="53" t="s">
        <v>46</v>
      </c>
      <c r="Y50" s="53" t="s">
        <v>84</v>
      </c>
      <c r="Z50" s="53" t="s">
        <v>90</v>
      </c>
      <c r="AA50" s="53" t="s">
        <v>40</v>
      </c>
      <c r="AB50" s="53" t="s">
        <v>240</v>
      </c>
    </row>
    <row r="51" spans="1:28" x14ac:dyDescent="0.15">
      <c r="A51" s="53" t="s">
        <v>34</v>
      </c>
      <c r="B51" s="53" t="s">
        <v>236</v>
      </c>
      <c r="C51" s="53">
        <v>2019</v>
      </c>
      <c r="D51" s="174" t="s">
        <v>237</v>
      </c>
      <c r="E51" s="53" t="s">
        <v>360</v>
      </c>
      <c r="F51" s="53" t="s">
        <v>370</v>
      </c>
      <c r="G51" s="53" t="s">
        <v>36</v>
      </c>
      <c r="H51" s="53" t="s">
        <v>164</v>
      </c>
      <c r="I51" s="53" t="s">
        <v>159</v>
      </c>
      <c r="J51" s="53" t="s">
        <v>38</v>
      </c>
      <c r="K51" s="53" t="s">
        <v>161</v>
      </c>
      <c r="L51" s="53">
        <v>2</v>
      </c>
      <c r="N51" s="53">
        <v>1</v>
      </c>
      <c r="O51" s="53">
        <v>0.2</v>
      </c>
      <c r="P51" s="53">
        <v>0.2</v>
      </c>
      <c r="Q51" s="74">
        <f t="shared" si="0"/>
        <v>0.2</v>
      </c>
      <c r="R51" s="53">
        <v>14.8</v>
      </c>
      <c r="S51" s="53">
        <v>104</v>
      </c>
      <c r="T51" s="16">
        <f t="shared" si="1"/>
        <v>33</v>
      </c>
      <c r="U51" s="53">
        <v>113</v>
      </c>
      <c r="V51" s="16">
        <f t="shared" si="2"/>
        <v>3729</v>
      </c>
      <c r="W51" s="53">
        <v>2</v>
      </c>
      <c r="X51" s="53" t="s">
        <v>46</v>
      </c>
      <c r="Y51" s="53" t="s">
        <v>84</v>
      </c>
      <c r="Z51" s="53" t="s">
        <v>90</v>
      </c>
      <c r="AA51" s="53" t="s">
        <v>40</v>
      </c>
      <c r="AB51" s="53" t="s">
        <v>240</v>
      </c>
    </row>
    <row r="52" spans="1:28" x14ac:dyDescent="0.15">
      <c r="A52" s="53" t="s">
        <v>34</v>
      </c>
      <c r="B52" s="53" t="s">
        <v>236</v>
      </c>
      <c r="C52" s="53">
        <v>2019</v>
      </c>
      <c r="D52" s="174" t="s">
        <v>237</v>
      </c>
      <c r="E52" s="53" t="s">
        <v>360</v>
      </c>
      <c r="F52" s="53" t="s">
        <v>370</v>
      </c>
      <c r="G52" s="53" t="s">
        <v>36</v>
      </c>
      <c r="H52" s="53" t="s">
        <v>164</v>
      </c>
      <c r="I52" s="53" t="s">
        <v>159</v>
      </c>
      <c r="J52" s="53" t="s">
        <v>38</v>
      </c>
      <c r="K52" s="53" t="s">
        <v>161</v>
      </c>
      <c r="L52" s="53">
        <v>3</v>
      </c>
      <c r="N52" s="53">
        <v>1</v>
      </c>
      <c r="O52" s="53">
        <v>0.2</v>
      </c>
      <c r="P52" s="53">
        <v>0.2</v>
      </c>
      <c r="Q52" s="74">
        <f t="shared" si="0"/>
        <v>0.2</v>
      </c>
      <c r="R52" s="53">
        <v>15</v>
      </c>
      <c r="S52" s="53">
        <v>99</v>
      </c>
      <c r="T52" s="16">
        <f t="shared" si="1"/>
        <v>33</v>
      </c>
      <c r="U52" s="53">
        <v>113</v>
      </c>
      <c r="V52" s="16">
        <f t="shared" si="2"/>
        <v>3729</v>
      </c>
      <c r="W52" s="53">
        <v>2</v>
      </c>
      <c r="X52" s="53" t="s">
        <v>46</v>
      </c>
      <c r="Y52" s="53" t="s">
        <v>84</v>
      </c>
      <c r="Z52" s="53" t="s">
        <v>90</v>
      </c>
      <c r="AA52" s="53" t="s">
        <v>40</v>
      </c>
      <c r="AB52" s="53" t="s">
        <v>240</v>
      </c>
    </row>
    <row r="53" spans="1:28" x14ac:dyDescent="0.15">
      <c r="A53" s="53" t="s">
        <v>34</v>
      </c>
      <c r="B53" s="53" t="s">
        <v>236</v>
      </c>
      <c r="C53" s="53">
        <v>2019</v>
      </c>
      <c r="D53" s="174" t="s">
        <v>237</v>
      </c>
      <c r="E53" s="53" t="s">
        <v>360</v>
      </c>
      <c r="F53" s="53" t="s">
        <v>370</v>
      </c>
      <c r="G53" s="53" t="s">
        <v>36</v>
      </c>
      <c r="H53" s="53" t="s">
        <v>164</v>
      </c>
      <c r="I53" s="53" t="s">
        <v>159</v>
      </c>
      <c r="J53" s="53" t="s">
        <v>38</v>
      </c>
      <c r="K53" s="53" t="s">
        <v>161</v>
      </c>
      <c r="L53" s="53">
        <v>1</v>
      </c>
      <c r="N53" s="53">
        <v>6</v>
      </c>
      <c r="O53" s="53">
        <v>0.5</v>
      </c>
      <c r="P53" s="53">
        <v>0.2</v>
      </c>
      <c r="Q53" s="74">
        <f t="shared" si="0"/>
        <v>0.35</v>
      </c>
      <c r="R53" s="53">
        <v>14.7</v>
      </c>
      <c r="S53" s="53">
        <v>102</v>
      </c>
      <c r="T53" s="16">
        <f t="shared" si="1"/>
        <v>33</v>
      </c>
      <c r="U53" s="53">
        <v>463</v>
      </c>
      <c r="V53" s="16">
        <f t="shared" si="2"/>
        <v>2546.5</v>
      </c>
      <c r="W53" s="53">
        <v>2</v>
      </c>
      <c r="X53" s="53" t="s">
        <v>46</v>
      </c>
      <c r="Y53" s="53" t="s">
        <v>84</v>
      </c>
      <c r="Z53" s="53" t="s">
        <v>90</v>
      </c>
      <c r="AA53" s="53" t="s">
        <v>40</v>
      </c>
      <c r="AB53" s="53" t="s">
        <v>240</v>
      </c>
    </row>
    <row r="54" spans="1:28" x14ac:dyDescent="0.15">
      <c r="A54" s="53" t="s">
        <v>34</v>
      </c>
      <c r="B54" s="53" t="s">
        <v>236</v>
      </c>
      <c r="C54" s="53">
        <v>2019</v>
      </c>
      <c r="D54" s="174" t="s">
        <v>237</v>
      </c>
      <c r="E54" s="53" t="s">
        <v>360</v>
      </c>
      <c r="F54" s="53" t="s">
        <v>370</v>
      </c>
      <c r="G54" s="53" t="s">
        <v>36</v>
      </c>
      <c r="H54" s="53" t="s">
        <v>164</v>
      </c>
      <c r="I54" s="53" t="s">
        <v>159</v>
      </c>
      <c r="J54" s="53" t="s">
        <v>38</v>
      </c>
      <c r="K54" s="53" t="s">
        <v>161</v>
      </c>
      <c r="L54" s="53">
        <v>2</v>
      </c>
      <c r="N54" s="53">
        <v>6</v>
      </c>
      <c r="O54" s="53">
        <v>0.2</v>
      </c>
      <c r="P54" s="53">
        <v>0.2</v>
      </c>
      <c r="Q54" s="74">
        <f t="shared" si="0"/>
        <v>0.2</v>
      </c>
      <c r="R54" s="53">
        <v>14.8</v>
      </c>
      <c r="S54" s="53">
        <v>96</v>
      </c>
      <c r="T54" s="16">
        <f t="shared" si="1"/>
        <v>36</v>
      </c>
      <c r="U54" s="53">
        <v>463</v>
      </c>
      <c r="V54" s="16">
        <f t="shared" si="2"/>
        <v>2778</v>
      </c>
      <c r="W54" s="53">
        <v>2</v>
      </c>
      <c r="X54" s="53" t="s">
        <v>46</v>
      </c>
      <c r="Y54" s="53" t="s">
        <v>84</v>
      </c>
      <c r="Z54" s="53" t="s">
        <v>90</v>
      </c>
      <c r="AA54" s="53" t="s">
        <v>40</v>
      </c>
      <c r="AB54" s="53" t="s">
        <v>240</v>
      </c>
    </row>
    <row r="55" spans="1:28" x14ac:dyDescent="0.15">
      <c r="A55" s="53" t="s">
        <v>34</v>
      </c>
      <c r="B55" s="53" t="s">
        <v>236</v>
      </c>
      <c r="C55" s="53">
        <v>2019</v>
      </c>
      <c r="D55" s="174" t="s">
        <v>237</v>
      </c>
      <c r="E55" s="53" t="s">
        <v>360</v>
      </c>
      <c r="F55" s="53" t="s">
        <v>370</v>
      </c>
      <c r="G55" s="53" t="s">
        <v>36</v>
      </c>
      <c r="H55" s="53" t="s">
        <v>164</v>
      </c>
      <c r="I55" s="53" t="s">
        <v>159</v>
      </c>
      <c r="J55" s="53" t="s">
        <v>38</v>
      </c>
      <c r="K55" s="53" t="s">
        <v>161</v>
      </c>
      <c r="L55" s="53">
        <v>3</v>
      </c>
      <c r="N55" s="53">
        <v>6</v>
      </c>
      <c r="O55" s="53">
        <v>0.2</v>
      </c>
      <c r="P55" s="53">
        <v>0.2</v>
      </c>
      <c r="Q55" s="74">
        <f t="shared" si="0"/>
        <v>0.2</v>
      </c>
      <c r="R55" s="53">
        <v>14.5</v>
      </c>
      <c r="S55" s="53">
        <v>97</v>
      </c>
      <c r="T55" s="16">
        <f t="shared" si="1"/>
        <v>36</v>
      </c>
      <c r="U55" s="53">
        <v>463</v>
      </c>
      <c r="V55" s="16">
        <f t="shared" si="2"/>
        <v>2778</v>
      </c>
      <c r="W55" s="53">
        <v>2</v>
      </c>
      <c r="X55" s="53" t="s">
        <v>46</v>
      </c>
      <c r="Y55" s="53" t="s">
        <v>84</v>
      </c>
      <c r="Z55" s="53" t="s">
        <v>90</v>
      </c>
      <c r="AA55" s="53" t="s">
        <v>40</v>
      </c>
      <c r="AB55" s="53" t="s">
        <v>240</v>
      </c>
    </row>
    <row r="56" spans="1:28" x14ac:dyDescent="0.15">
      <c r="A56" s="53" t="s">
        <v>34</v>
      </c>
      <c r="B56" s="53" t="s">
        <v>236</v>
      </c>
      <c r="C56" s="53">
        <v>2019</v>
      </c>
      <c r="D56" s="174" t="s">
        <v>237</v>
      </c>
      <c r="E56" s="53" t="s">
        <v>360</v>
      </c>
      <c r="F56" s="53" t="s">
        <v>370</v>
      </c>
      <c r="G56" s="53" t="s">
        <v>36</v>
      </c>
      <c r="H56" s="53" t="s">
        <v>129</v>
      </c>
      <c r="I56" s="53" t="s">
        <v>159</v>
      </c>
      <c r="J56" s="53" t="s">
        <v>80</v>
      </c>
      <c r="K56" s="53" t="s">
        <v>63</v>
      </c>
      <c r="L56" s="53">
        <v>1</v>
      </c>
      <c r="N56" s="53">
        <v>6</v>
      </c>
      <c r="O56" s="53">
        <v>0.2</v>
      </c>
      <c r="P56" s="53">
        <v>0.2</v>
      </c>
      <c r="Q56" s="74">
        <f t="shared" si="0"/>
        <v>0.2</v>
      </c>
      <c r="R56" s="53">
        <v>15.9</v>
      </c>
      <c r="S56" s="53">
        <v>83</v>
      </c>
      <c r="T56" s="16">
        <f t="shared" si="1"/>
        <v>39</v>
      </c>
      <c r="U56" s="53">
        <v>579</v>
      </c>
      <c r="V56" s="16">
        <f t="shared" si="2"/>
        <v>3763.5</v>
      </c>
      <c r="W56" s="53">
        <v>1</v>
      </c>
      <c r="X56" s="53" t="s">
        <v>46</v>
      </c>
      <c r="Y56" s="53" t="s">
        <v>84</v>
      </c>
      <c r="Z56" s="53" t="s">
        <v>90</v>
      </c>
      <c r="AA56" s="53" t="s">
        <v>40</v>
      </c>
      <c r="AB56" s="53" t="s">
        <v>240</v>
      </c>
    </row>
    <row r="57" spans="1:28" x14ac:dyDescent="0.15">
      <c r="A57" s="53" t="s">
        <v>34</v>
      </c>
      <c r="B57" s="53" t="s">
        <v>236</v>
      </c>
      <c r="C57" s="53">
        <v>2019</v>
      </c>
      <c r="D57" s="174" t="s">
        <v>237</v>
      </c>
      <c r="E57" s="53" t="s">
        <v>360</v>
      </c>
      <c r="F57" s="53" t="s">
        <v>370</v>
      </c>
      <c r="G57" s="53" t="s">
        <v>36</v>
      </c>
      <c r="H57" s="53" t="s">
        <v>129</v>
      </c>
      <c r="I57" s="53" t="s">
        <v>159</v>
      </c>
      <c r="J57" s="53" t="s">
        <v>80</v>
      </c>
      <c r="K57" s="53" t="s">
        <v>63</v>
      </c>
      <c r="L57" s="53">
        <v>2</v>
      </c>
      <c r="N57" s="53">
        <v>6</v>
      </c>
      <c r="O57" s="53">
        <v>0.2</v>
      </c>
      <c r="P57" s="53">
        <v>0.2</v>
      </c>
      <c r="Q57" s="74">
        <f t="shared" si="0"/>
        <v>0.2</v>
      </c>
      <c r="R57" s="53">
        <v>17.7</v>
      </c>
      <c r="S57" s="53">
        <v>85</v>
      </c>
      <c r="T57" s="16">
        <f t="shared" si="1"/>
        <v>36</v>
      </c>
      <c r="U57" s="53">
        <v>579</v>
      </c>
      <c r="V57" s="16">
        <f t="shared" si="2"/>
        <v>3474</v>
      </c>
      <c r="W57" s="53">
        <v>1</v>
      </c>
      <c r="X57" s="53" t="s">
        <v>46</v>
      </c>
      <c r="Y57" s="53" t="s">
        <v>84</v>
      </c>
      <c r="Z57" s="53" t="s">
        <v>90</v>
      </c>
      <c r="AA57" s="53" t="s">
        <v>40</v>
      </c>
      <c r="AB57" s="53" t="s">
        <v>240</v>
      </c>
    </row>
    <row r="58" spans="1:28" x14ac:dyDescent="0.15">
      <c r="A58" s="53" t="s">
        <v>34</v>
      </c>
      <c r="B58" s="53" t="s">
        <v>236</v>
      </c>
      <c r="C58" s="53">
        <v>2019</v>
      </c>
      <c r="D58" s="174" t="s">
        <v>237</v>
      </c>
      <c r="E58" s="53" t="s">
        <v>360</v>
      </c>
      <c r="F58" s="53" t="s">
        <v>370</v>
      </c>
      <c r="G58" s="53" t="s">
        <v>36</v>
      </c>
      <c r="H58" s="53" t="s">
        <v>129</v>
      </c>
      <c r="I58" s="53" t="s">
        <v>159</v>
      </c>
      <c r="J58" s="53" t="s">
        <v>80</v>
      </c>
      <c r="K58" s="53" t="s">
        <v>63</v>
      </c>
      <c r="L58" s="53">
        <v>3</v>
      </c>
      <c r="N58" s="53">
        <v>6</v>
      </c>
      <c r="O58" s="53">
        <v>0.2</v>
      </c>
      <c r="P58" s="53">
        <v>0.2</v>
      </c>
      <c r="Q58" s="74">
        <f t="shared" si="0"/>
        <v>0.2</v>
      </c>
      <c r="R58" s="53">
        <v>17.399999999999999</v>
      </c>
      <c r="S58" s="53">
        <v>91</v>
      </c>
      <c r="T58" s="16">
        <f t="shared" si="1"/>
        <v>36</v>
      </c>
      <c r="U58" s="53">
        <v>579</v>
      </c>
      <c r="V58" s="16">
        <f t="shared" si="2"/>
        <v>3474</v>
      </c>
      <c r="W58" s="53">
        <v>1</v>
      </c>
      <c r="X58" s="53" t="s">
        <v>46</v>
      </c>
      <c r="Y58" s="53" t="s">
        <v>84</v>
      </c>
      <c r="Z58" s="53" t="s">
        <v>90</v>
      </c>
      <c r="AA58" s="53" t="s">
        <v>40</v>
      </c>
      <c r="AB58" s="53" t="s">
        <v>240</v>
      </c>
    </row>
    <row r="59" spans="1:28" x14ac:dyDescent="0.15">
      <c r="A59" s="53" t="s">
        <v>34</v>
      </c>
      <c r="B59" s="53" t="s">
        <v>236</v>
      </c>
      <c r="C59" s="53">
        <v>2019</v>
      </c>
      <c r="D59" s="174" t="s">
        <v>237</v>
      </c>
      <c r="E59" s="53" t="s">
        <v>375</v>
      </c>
      <c r="F59" s="53" t="s">
        <v>376</v>
      </c>
      <c r="G59" s="53" t="s">
        <v>36</v>
      </c>
      <c r="H59" s="53" t="s">
        <v>164</v>
      </c>
      <c r="I59" s="53" t="s">
        <v>159</v>
      </c>
      <c r="J59" s="53" t="s">
        <v>38</v>
      </c>
      <c r="K59" s="53" t="s">
        <v>161</v>
      </c>
      <c r="L59" s="53">
        <v>1</v>
      </c>
      <c r="N59" s="53">
        <v>1</v>
      </c>
      <c r="O59" s="53">
        <v>0.6</v>
      </c>
      <c r="P59" s="53">
        <v>0.6</v>
      </c>
      <c r="Q59" s="74">
        <f t="shared" si="0"/>
        <v>0.6</v>
      </c>
      <c r="R59" s="53">
        <v>15.2</v>
      </c>
      <c r="S59" s="53">
        <v>83</v>
      </c>
      <c r="T59" s="16">
        <f t="shared" si="1"/>
        <v>39</v>
      </c>
      <c r="U59" s="53">
        <v>62</v>
      </c>
      <c r="V59" s="16">
        <f t="shared" si="2"/>
        <v>2418</v>
      </c>
      <c r="W59" s="53">
        <v>2</v>
      </c>
      <c r="X59" s="53" t="s">
        <v>46</v>
      </c>
      <c r="Y59" s="53" t="s">
        <v>84</v>
      </c>
      <c r="Z59" s="53" t="s">
        <v>90</v>
      </c>
      <c r="AA59" s="53" t="s">
        <v>69</v>
      </c>
      <c r="AB59" s="53" t="s">
        <v>240</v>
      </c>
    </row>
    <row r="60" spans="1:28" x14ac:dyDescent="0.15">
      <c r="A60" s="53" t="s">
        <v>34</v>
      </c>
      <c r="B60" s="53" t="s">
        <v>236</v>
      </c>
      <c r="C60" s="53">
        <v>2019</v>
      </c>
      <c r="D60" s="174" t="s">
        <v>237</v>
      </c>
      <c r="E60" s="53" t="s">
        <v>375</v>
      </c>
      <c r="F60" s="53" t="s">
        <v>376</v>
      </c>
      <c r="G60" s="53" t="s">
        <v>36</v>
      </c>
      <c r="H60" s="53" t="s">
        <v>164</v>
      </c>
      <c r="I60" s="53" t="s">
        <v>159</v>
      </c>
      <c r="J60" s="53" t="s">
        <v>38</v>
      </c>
      <c r="K60" s="53" t="s">
        <v>161</v>
      </c>
      <c r="L60" s="53">
        <v>2</v>
      </c>
      <c r="N60" s="53">
        <v>1</v>
      </c>
      <c r="O60" s="53">
        <v>0.5</v>
      </c>
      <c r="P60" s="53">
        <v>0.6</v>
      </c>
      <c r="Q60" s="74">
        <f t="shared" si="0"/>
        <v>0.55000000000000004</v>
      </c>
      <c r="R60" s="53">
        <v>15</v>
      </c>
      <c r="S60" s="53">
        <v>124</v>
      </c>
      <c r="T60" s="16">
        <f t="shared" si="1"/>
        <v>30</v>
      </c>
      <c r="U60" s="53">
        <v>62</v>
      </c>
      <c r="V60" s="16">
        <f t="shared" si="2"/>
        <v>1860</v>
      </c>
      <c r="W60" s="53">
        <v>2</v>
      </c>
      <c r="X60" s="53" t="s">
        <v>46</v>
      </c>
      <c r="Y60" s="53" t="s">
        <v>84</v>
      </c>
      <c r="Z60" s="53" t="s">
        <v>90</v>
      </c>
      <c r="AA60" s="53" t="s">
        <v>69</v>
      </c>
      <c r="AB60" s="53" t="s">
        <v>240</v>
      </c>
    </row>
    <row r="61" spans="1:28" x14ac:dyDescent="0.15">
      <c r="A61" s="53" t="s">
        <v>34</v>
      </c>
      <c r="B61" s="53" t="s">
        <v>236</v>
      </c>
      <c r="C61" s="53">
        <v>2019</v>
      </c>
      <c r="D61" s="174" t="s">
        <v>237</v>
      </c>
      <c r="E61" s="53" t="s">
        <v>375</v>
      </c>
      <c r="F61" s="53" t="s">
        <v>376</v>
      </c>
      <c r="G61" s="53" t="s">
        <v>36</v>
      </c>
      <c r="H61" s="53" t="s">
        <v>164</v>
      </c>
      <c r="I61" s="53" t="s">
        <v>159</v>
      </c>
      <c r="J61" s="53" t="s">
        <v>38</v>
      </c>
      <c r="K61" s="53" t="s">
        <v>161</v>
      </c>
      <c r="L61" s="53">
        <v>3</v>
      </c>
      <c r="N61" s="53">
        <v>1</v>
      </c>
      <c r="O61" s="53">
        <v>0.65</v>
      </c>
      <c r="P61" s="53">
        <v>0.6</v>
      </c>
      <c r="Q61" s="74">
        <f t="shared" si="0"/>
        <v>0.625</v>
      </c>
      <c r="R61" s="53">
        <v>13.7</v>
      </c>
      <c r="S61" s="53">
        <v>93</v>
      </c>
      <c r="T61" s="16">
        <f t="shared" si="1"/>
        <v>36</v>
      </c>
      <c r="U61" s="53">
        <v>62</v>
      </c>
      <c r="V61" s="16">
        <f t="shared" si="2"/>
        <v>2232</v>
      </c>
      <c r="W61" s="53">
        <v>2</v>
      </c>
      <c r="X61" s="53" t="s">
        <v>46</v>
      </c>
      <c r="Y61" s="53" t="s">
        <v>84</v>
      </c>
      <c r="Z61" s="53" t="s">
        <v>90</v>
      </c>
      <c r="AA61" s="53" t="s">
        <v>69</v>
      </c>
      <c r="AB61" s="53" t="s">
        <v>240</v>
      </c>
    </row>
    <row r="62" spans="1:28" x14ac:dyDescent="0.15">
      <c r="A62" s="53" t="s">
        <v>34</v>
      </c>
      <c r="B62" s="53" t="s">
        <v>236</v>
      </c>
      <c r="C62" s="53">
        <v>2019</v>
      </c>
      <c r="D62" s="174" t="s">
        <v>237</v>
      </c>
      <c r="E62" s="53" t="s">
        <v>273</v>
      </c>
      <c r="F62" s="53" t="s">
        <v>379</v>
      </c>
      <c r="G62" s="53" t="s">
        <v>36</v>
      </c>
      <c r="H62" s="53" t="s">
        <v>164</v>
      </c>
      <c r="I62" s="53" t="s">
        <v>159</v>
      </c>
      <c r="J62" s="53" t="s">
        <v>38</v>
      </c>
      <c r="K62" s="53" t="s">
        <v>161</v>
      </c>
      <c r="L62" s="53">
        <v>1</v>
      </c>
      <c r="N62" s="53">
        <v>1</v>
      </c>
      <c r="O62" s="53">
        <v>0.55000000000000004</v>
      </c>
      <c r="P62" s="53">
        <v>0.55000000000000004</v>
      </c>
      <c r="Q62" s="74">
        <f t="shared" si="0"/>
        <v>0.55000000000000004</v>
      </c>
      <c r="R62" s="53">
        <v>13.5</v>
      </c>
      <c r="S62" s="53">
        <v>112</v>
      </c>
      <c r="T62" s="16">
        <f t="shared" si="1"/>
        <v>33</v>
      </c>
      <c r="U62" s="53">
        <v>105</v>
      </c>
      <c r="V62" s="16">
        <f t="shared" si="2"/>
        <v>3465</v>
      </c>
      <c r="W62" s="53">
        <v>2</v>
      </c>
      <c r="X62" s="53" t="s">
        <v>46</v>
      </c>
      <c r="Y62" s="53" t="s">
        <v>84</v>
      </c>
      <c r="Z62" s="53" t="s">
        <v>90</v>
      </c>
      <c r="AA62" s="53" t="s">
        <v>69</v>
      </c>
      <c r="AB62" s="53" t="s">
        <v>240</v>
      </c>
    </row>
    <row r="63" spans="1:28" x14ac:dyDescent="0.15">
      <c r="A63" s="53" t="s">
        <v>34</v>
      </c>
      <c r="B63" s="53" t="s">
        <v>236</v>
      </c>
      <c r="C63" s="53">
        <v>2019</v>
      </c>
      <c r="D63" s="174" t="s">
        <v>237</v>
      </c>
      <c r="E63" s="53" t="s">
        <v>273</v>
      </c>
      <c r="F63" s="53" t="s">
        <v>379</v>
      </c>
      <c r="G63" s="53" t="s">
        <v>36</v>
      </c>
      <c r="H63" s="53" t="s">
        <v>164</v>
      </c>
      <c r="I63" s="53" t="s">
        <v>159</v>
      </c>
      <c r="J63" s="53" t="s">
        <v>38</v>
      </c>
      <c r="K63" s="53" t="s">
        <v>161</v>
      </c>
      <c r="L63" s="53">
        <v>2</v>
      </c>
      <c r="N63" s="53">
        <v>1</v>
      </c>
      <c r="O63" s="53">
        <v>0.5</v>
      </c>
      <c r="P63" s="53">
        <v>0.5</v>
      </c>
      <c r="Q63" s="74">
        <f t="shared" si="0"/>
        <v>0.5</v>
      </c>
      <c r="R63" s="53">
        <v>14</v>
      </c>
      <c r="S63" s="53">
        <v>102</v>
      </c>
      <c r="T63" s="16">
        <f t="shared" si="1"/>
        <v>33</v>
      </c>
      <c r="U63" s="53">
        <v>105</v>
      </c>
      <c r="V63" s="16">
        <f t="shared" si="2"/>
        <v>3465</v>
      </c>
      <c r="W63" s="53">
        <v>2</v>
      </c>
      <c r="X63" s="53" t="s">
        <v>46</v>
      </c>
      <c r="Y63" s="53" t="s">
        <v>84</v>
      </c>
      <c r="Z63" s="53" t="s">
        <v>90</v>
      </c>
      <c r="AA63" s="53" t="s">
        <v>69</v>
      </c>
      <c r="AB63" s="53" t="s">
        <v>240</v>
      </c>
    </row>
    <row r="64" spans="1:28" x14ac:dyDescent="0.15">
      <c r="A64" s="53" t="s">
        <v>34</v>
      </c>
      <c r="B64" s="53" t="s">
        <v>236</v>
      </c>
      <c r="C64" s="53">
        <v>2019</v>
      </c>
      <c r="D64" s="174" t="s">
        <v>237</v>
      </c>
      <c r="E64" s="53" t="s">
        <v>273</v>
      </c>
      <c r="F64" s="53" t="s">
        <v>379</v>
      </c>
      <c r="G64" s="53" t="s">
        <v>36</v>
      </c>
      <c r="H64" s="53" t="s">
        <v>164</v>
      </c>
      <c r="I64" s="53" t="s">
        <v>159</v>
      </c>
      <c r="J64" s="53" t="s">
        <v>38</v>
      </c>
      <c r="K64" s="53" t="s">
        <v>161</v>
      </c>
      <c r="L64" s="53">
        <v>3</v>
      </c>
      <c r="N64" s="53">
        <v>1</v>
      </c>
      <c r="O64" s="53">
        <v>0.6</v>
      </c>
      <c r="P64" s="53">
        <v>0.5</v>
      </c>
      <c r="Q64" s="74">
        <f t="shared" si="0"/>
        <v>0.55000000000000004</v>
      </c>
      <c r="R64" s="53">
        <v>13.8</v>
      </c>
      <c r="S64" s="53">
        <v>114</v>
      </c>
      <c r="T64" s="16">
        <f t="shared" si="1"/>
        <v>30</v>
      </c>
      <c r="U64" s="53">
        <v>105</v>
      </c>
      <c r="V64" s="16">
        <f t="shared" si="2"/>
        <v>3150</v>
      </c>
      <c r="W64" s="53">
        <v>2</v>
      </c>
      <c r="X64" s="53" t="s">
        <v>46</v>
      </c>
      <c r="Y64" s="53" t="s">
        <v>84</v>
      </c>
      <c r="Z64" s="53" t="s">
        <v>90</v>
      </c>
      <c r="AA64" s="53" t="s">
        <v>69</v>
      </c>
      <c r="AB64" s="53" t="s">
        <v>240</v>
      </c>
    </row>
    <row r="65" spans="1:28" x14ac:dyDescent="0.15">
      <c r="A65" s="53" t="s">
        <v>34</v>
      </c>
      <c r="B65" s="53" t="s">
        <v>236</v>
      </c>
      <c r="C65" s="53">
        <v>2019</v>
      </c>
      <c r="D65" s="174" t="s">
        <v>237</v>
      </c>
      <c r="E65" s="53" t="s">
        <v>273</v>
      </c>
      <c r="F65" s="53" t="s">
        <v>379</v>
      </c>
      <c r="G65" s="53" t="s">
        <v>36</v>
      </c>
      <c r="H65" s="53" t="s">
        <v>160</v>
      </c>
      <c r="I65" s="53" t="s">
        <v>159</v>
      </c>
      <c r="J65" s="53" t="s">
        <v>38</v>
      </c>
      <c r="K65" s="53" t="s">
        <v>54</v>
      </c>
      <c r="L65" s="53">
        <v>1</v>
      </c>
      <c r="N65" s="53">
        <v>4</v>
      </c>
      <c r="O65" s="53">
        <v>0.8</v>
      </c>
      <c r="P65" s="53">
        <v>0.7</v>
      </c>
      <c r="Q65" s="74">
        <f t="shared" si="0"/>
        <v>0.75</v>
      </c>
      <c r="R65" s="53">
        <v>14.6</v>
      </c>
      <c r="S65" s="53">
        <v>82</v>
      </c>
      <c r="T65" s="16">
        <f t="shared" si="1"/>
        <v>39</v>
      </c>
      <c r="U65" s="53">
        <v>538</v>
      </c>
      <c r="V65" s="16">
        <f t="shared" si="2"/>
        <v>5245.5</v>
      </c>
      <c r="W65" s="53">
        <v>1</v>
      </c>
      <c r="X65" s="53" t="s">
        <v>46</v>
      </c>
      <c r="Y65" s="53" t="s">
        <v>84</v>
      </c>
      <c r="Z65" s="53" t="s">
        <v>90</v>
      </c>
      <c r="AA65" s="53" t="s">
        <v>69</v>
      </c>
      <c r="AB65" s="53" t="s">
        <v>240</v>
      </c>
    </row>
    <row r="66" spans="1:28" x14ac:dyDescent="0.15">
      <c r="A66" s="53" t="s">
        <v>34</v>
      </c>
      <c r="B66" s="53" t="s">
        <v>236</v>
      </c>
      <c r="C66" s="53">
        <v>2019</v>
      </c>
      <c r="D66" s="174" t="s">
        <v>237</v>
      </c>
      <c r="E66" s="53" t="s">
        <v>273</v>
      </c>
      <c r="F66" s="53" t="s">
        <v>379</v>
      </c>
      <c r="G66" s="53" t="s">
        <v>36</v>
      </c>
      <c r="H66" s="53" t="s">
        <v>160</v>
      </c>
      <c r="I66" s="53" t="s">
        <v>159</v>
      </c>
      <c r="J66" s="53" t="s">
        <v>38</v>
      </c>
      <c r="K66" s="53" t="s">
        <v>54</v>
      </c>
      <c r="L66" s="53">
        <v>2</v>
      </c>
      <c r="N66" s="53">
        <v>4</v>
      </c>
      <c r="O66" s="53">
        <v>0.2</v>
      </c>
      <c r="P66" s="53">
        <v>0.2</v>
      </c>
      <c r="Q66" s="74">
        <f t="shared" ref="Q66:Q76" si="5">IF(OR(O66="",P66=""),"",AVERAGE(O66,P66))</f>
        <v>0.2</v>
      </c>
      <c r="R66" s="53">
        <v>11.4</v>
      </c>
      <c r="S66" s="53">
        <v>79</v>
      </c>
      <c r="T66" s="16">
        <f t="shared" ref="T66:T76" si="6">IF(H66="","",IF(OR(H66="GREEN",H66="GK"),IF(S66&gt;=$AX$2,VLOOKUP(S66,$AX$2:$AY$9,2,1),""),IF(S66&gt;=$AZ$2,VLOOKUP(S66,$AZ$2:$BA$9,2,1),"")))</f>
        <v>39</v>
      </c>
      <c r="U66" s="53">
        <v>538</v>
      </c>
      <c r="V66" s="16">
        <f t="shared" ref="V66:V76" si="7">IF(OR(N66="",U66="",T66=""),"",U66/N66*T66)</f>
        <v>5245.5</v>
      </c>
      <c r="W66" s="53">
        <v>1</v>
      </c>
      <c r="X66" s="53" t="s">
        <v>46</v>
      </c>
      <c r="Y66" s="53" t="s">
        <v>84</v>
      </c>
      <c r="Z66" s="53" t="s">
        <v>90</v>
      </c>
      <c r="AA66" s="53" t="s">
        <v>69</v>
      </c>
      <c r="AB66" s="53" t="s">
        <v>240</v>
      </c>
    </row>
    <row r="67" spans="1:28" x14ac:dyDescent="0.15">
      <c r="A67" s="53" t="s">
        <v>34</v>
      </c>
      <c r="B67" s="53" t="s">
        <v>236</v>
      </c>
      <c r="C67" s="53">
        <v>2019</v>
      </c>
      <c r="D67" s="174" t="s">
        <v>237</v>
      </c>
      <c r="E67" s="53" t="s">
        <v>273</v>
      </c>
      <c r="F67" s="53" t="s">
        <v>379</v>
      </c>
      <c r="G67" s="53" t="s">
        <v>36</v>
      </c>
      <c r="H67" s="53" t="s">
        <v>160</v>
      </c>
      <c r="I67" s="53" t="s">
        <v>159</v>
      </c>
      <c r="J67" s="53" t="s">
        <v>38</v>
      </c>
      <c r="K67" s="53" t="s">
        <v>54</v>
      </c>
      <c r="L67" s="53">
        <v>3</v>
      </c>
      <c r="N67" s="53">
        <v>4</v>
      </c>
      <c r="O67" s="53">
        <v>0.45</v>
      </c>
      <c r="P67" s="53">
        <v>0.5</v>
      </c>
      <c r="Q67" s="74">
        <f t="shared" si="5"/>
        <v>0.47499999999999998</v>
      </c>
      <c r="R67" s="53">
        <v>13.9</v>
      </c>
      <c r="S67" s="53">
        <v>80</v>
      </c>
      <c r="T67" s="16">
        <f t="shared" si="6"/>
        <v>39</v>
      </c>
      <c r="U67" s="53">
        <v>538</v>
      </c>
      <c r="V67" s="16">
        <f t="shared" si="7"/>
        <v>5245.5</v>
      </c>
      <c r="W67" s="53">
        <v>1</v>
      </c>
      <c r="X67" s="53" t="s">
        <v>46</v>
      </c>
      <c r="Y67" s="53" t="s">
        <v>84</v>
      </c>
      <c r="Z67" s="53" t="s">
        <v>90</v>
      </c>
      <c r="AA67" s="53" t="s">
        <v>69</v>
      </c>
      <c r="AB67" s="53" t="s">
        <v>240</v>
      </c>
    </row>
    <row r="68" spans="1:28" x14ac:dyDescent="0.15">
      <c r="A68" s="53" t="s">
        <v>34</v>
      </c>
      <c r="B68" s="53" t="s">
        <v>236</v>
      </c>
      <c r="C68" s="53">
        <v>2019</v>
      </c>
      <c r="D68" s="174" t="s">
        <v>237</v>
      </c>
      <c r="E68" s="53" t="s">
        <v>377</v>
      </c>
      <c r="F68" s="53" t="s">
        <v>378</v>
      </c>
      <c r="G68" s="53" t="s">
        <v>36</v>
      </c>
      <c r="H68" s="53" t="s">
        <v>164</v>
      </c>
      <c r="I68" s="53" t="s">
        <v>159</v>
      </c>
      <c r="J68" s="53" t="s">
        <v>38</v>
      </c>
      <c r="K68" s="53" t="s">
        <v>161</v>
      </c>
      <c r="L68" s="53">
        <v>1</v>
      </c>
      <c r="N68" s="53">
        <v>1</v>
      </c>
      <c r="O68" s="53">
        <v>0.2</v>
      </c>
      <c r="P68" s="53">
        <v>0.2</v>
      </c>
      <c r="Q68" s="74">
        <f t="shared" si="5"/>
        <v>0.2</v>
      </c>
      <c r="R68" s="53">
        <v>14</v>
      </c>
      <c r="S68" s="53">
        <v>104</v>
      </c>
      <c r="T68" s="16">
        <f t="shared" si="6"/>
        <v>33</v>
      </c>
      <c r="U68" s="53">
        <v>98</v>
      </c>
      <c r="V68" s="16">
        <f t="shared" si="7"/>
        <v>3234</v>
      </c>
      <c r="W68" s="53">
        <v>5</v>
      </c>
      <c r="X68" s="53" t="s">
        <v>46</v>
      </c>
      <c r="Y68" s="53" t="s">
        <v>84</v>
      </c>
      <c r="Z68" s="53" t="s">
        <v>90</v>
      </c>
      <c r="AA68" s="53" t="s">
        <v>78</v>
      </c>
      <c r="AB68" s="53" t="s">
        <v>240</v>
      </c>
    </row>
    <row r="69" spans="1:28" x14ac:dyDescent="0.15">
      <c r="A69" s="53" t="s">
        <v>34</v>
      </c>
      <c r="B69" s="53" t="s">
        <v>236</v>
      </c>
      <c r="C69" s="53">
        <v>2019</v>
      </c>
      <c r="D69" s="174" t="s">
        <v>237</v>
      </c>
      <c r="E69" s="53" t="s">
        <v>377</v>
      </c>
      <c r="F69" s="53" t="s">
        <v>378</v>
      </c>
      <c r="G69" s="53" t="s">
        <v>36</v>
      </c>
      <c r="H69" s="53" t="s">
        <v>164</v>
      </c>
      <c r="I69" s="53" t="s">
        <v>159</v>
      </c>
      <c r="J69" s="53" t="s">
        <v>38</v>
      </c>
      <c r="K69" s="53" t="s">
        <v>161</v>
      </c>
      <c r="L69" s="53">
        <v>2</v>
      </c>
      <c r="N69" s="53">
        <v>1</v>
      </c>
      <c r="O69" s="53">
        <v>0.7</v>
      </c>
      <c r="P69" s="53">
        <v>0.8</v>
      </c>
      <c r="Q69" s="74">
        <f t="shared" si="5"/>
        <v>0.75</v>
      </c>
      <c r="R69" s="53">
        <v>14.1</v>
      </c>
      <c r="S69" s="53">
        <v>97</v>
      </c>
      <c r="T69" s="16">
        <f t="shared" si="6"/>
        <v>36</v>
      </c>
      <c r="U69" s="53">
        <v>98</v>
      </c>
      <c r="V69" s="16">
        <f t="shared" si="7"/>
        <v>3528</v>
      </c>
      <c r="W69" s="53">
        <v>5</v>
      </c>
      <c r="X69" s="53" t="s">
        <v>46</v>
      </c>
      <c r="Y69" s="53" t="s">
        <v>84</v>
      </c>
      <c r="Z69" s="53" t="s">
        <v>90</v>
      </c>
      <c r="AA69" s="53" t="s">
        <v>78</v>
      </c>
      <c r="AB69" s="53" t="s">
        <v>240</v>
      </c>
    </row>
    <row r="70" spans="1:28" x14ac:dyDescent="0.15">
      <c r="A70" s="53" t="s">
        <v>34</v>
      </c>
      <c r="B70" s="53" t="s">
        <v>236</v>
      </c>
      <c r="C70" s="53">
        <v>2019</v>
      </c>
      <c r="D70" s="174" t="s">
        <v>237</v>
      </c>
      <c r="E70" s="53" t="s">
        <v>377</v>
      </c>
      <c r="F70" s="53" t="s">
        <v>378</v>
      </c>
      <c r="G70" s="53" t="s">
        <v>36</v>
      </c>
      <c r="H70" s="53" t="s">
        <v>164</v>
      </c>
      <c r="I70" s="53" t="s">
        <v>159</v>
      </c>
      <c r="J70" s="53" t="s">
        <v>38</v>
      </c>
      <c r="K70" s="53" t="s">
        <v>161</v>
      </c>
      <c r="L70" s="53">
        <v>3</v>
      </c>
      <c r="N70" s="53">
        <v>1</v>
      </c>
      <c r="O70" s="53">
        <v>0.75</v>
      </c>
      <c r="P70" s="53">
        <v>0.65</v>
      </c>
      <c r="Q70" s="74">
        <f t="shared" si="5"/>
        <v>0.7</v>
      </c>
      <c r="R70" s="53">
        <v>14.3</v>
      </c>
      <c r="S70" s="53">
        <v>102</v>
      </c>
      <c r="T70" s="16">
        <f t="shared" si="6"/>
        <v>33</v>
      </c>
      <c r="U70" s="53">
        <v>98</v>
      </c>
      <c r="V70" s="16">
        <f t="shared" si="7"/>
        <v>3234</v>
      </c>
      <c r="W70" s="53">
        <v>5</v>
      </c>
      <c r="X70" s="53" t="s">
        <v>46</v>
      </c>
      <c r="Y70" s="53" t="s">
        <v>84</v>
      </c>
      <c r="Z70" s="53" t="s">
        <v>90</v>
      </c>
      <c r="AA70" s="53" t="s">
        <v>78</v>
      </c>
      <c r="AB70" s="53" t="s">
        <v>240</v>
      </c>
    </row>
    <row r="71" spans="1:28" x14ac:dyDescent="0.15">
      <c r="A71" s="53" t="s">
        <v>34</v>
      </c>
      <c r="B71" s="53" t="s">
        <v>236</v>
      </c>
      <c r="C71" s="53">
        <v>2019</v>
      </c>
      <c r="D71" s="174" t="s">
        <v>237</v>
      </c>
      <c r="E71" s="53" t="s">
        <v>377</v>
      </c>
      <c r="F71" s="53" t="s">
        <v>378</v>
      </c>
      <c r="G71" s="53" t="s">
        <v>36</v>
      </c>
      <c r="H71" s="53" t="s">
        <v>164</v>
      </c>
      <c r="I71" s="53" t="s">
        <v>159</v>
      </c>
      <c r="J71" s="53" t="s">
        <v>38</v>
      </c>
      <c r="K71" s="53" t="s">
        <v>161</v>
      </c>
      <c r="L71" s="53">
        <v>1</v>
      </c>
      <c r="N71" s="53">
        <v>5</v>
      </c>
      <c r="O71" s="53">
        <v>0.2</v>
      </c>
      <c r="P71" s="53">
        <v>0.2</v>
      </c>
      <c r="Q71" s="74">
        <f t="shared" si="5"/>
        <v>0.2</v>
      </c>
      <c r="R71" s="53">
        <v>14.5</v>
      </c>
      <c r="S71" s="53">
        <v>102</v>
      </c>
      <c r="T71" s="16">
        <f t="shared" si="6"/>
        <v>33</v>
      </c>
      <c r="U71" s="53">
        <v>380</v>
      </c>
      <c r="V71" s="16">
        <f t="shared" si="7"/>
        <v>2508</v>
      </c>
      <c r="W71" s="53">
        <v>5</v>
      </c>
      <c r="X71" s="53" t="s">
        <v>46</v>
      </c>
      <c r="Y71" s="53" t="s">
        <v>84</v>
      </c>
      <c r="Z71" s="53" t="s">
        <v>90</v>
      </c>
      <c r="AA71" s="53" t="s">
        <v>78</v>
      </c>
      <c r="AB71" s="53" t="s">
        <v>240</v>
      </c>
    </row>
    <row r="72" spans="1:28" x14ac:dyDescent="0.15">
      <c r="A72" s="53" t="s">
        <v>34</v>
      </c>
      <c r="B72" s="53" t="s">
        <v>236</v>
      </c>
      <c r="C72" s="53">
        <v>2019</v>
      </c>
      <c r="D72" s="174" t="s">
        <v>237</v>
      </c>
      <c r="E72" s="53" t="s">
        <v>377</v>
      </c>
      <c r="F72" s="53" t="s">
        <v>378</v>
      </c>
      <c r="G72" s="53" t="s">
        <v>36</v>
      </c>
      <c r="H72" s="53" t="s">
        <v>164</v>
      </c>
      <c r="I72" s="53" t="s">
        <v>159</v>
      </c>
      <c r="J72" s="53" t="s">
        <v>38</v>
      </c>
      <c r="K72" s="53" t="s">
        <v>161</v>
      </c>
      <c r="L72" s="53">
        <v>2</v>
      </c>
      <c r="N72" s="53">
        <v>5</v>
      </c>
      <c r="O72" s="53">
        <v>0.7</v>
      </c>
      <c r="P72" s="53">
        <v>0.8</v>
      </c>
      <c r="Q72" s="74">
        <f t="shared" si="5"/>
        <v>0.75</v>
      </c>
      <c r="R72" s="53">
        <v>14.4</v>
      </c>
      <c r="S72" s="53">
        <v>106</v>
      </c>
      <c r="T72" s="16">
        <f t="shared" si="6"/>
        <v>33</v>
      </c>
      <c r="U72" s="53">
        <v>380</v>
      </c>
      <c r="V72" s="16">
        <f t="shared" si="7"/>
        <v>2508</v>
      </c>
      <c r="W72" s="53">
        <v>5</v>
      </c>
      <c r="X72" s="53" t="s">
        <v>46</v>
      </c>
      <c r="Y72" s="53" t="s">
        <v>84</v>
      </c>
      <c r="Z72" s="53" t="s">
        <v>90</v>
      </c>
      <c r="AA72" s="53" t="s">
        <v>78</v>
      </c>
      <c r="AB72" s="53" t="s">
        <v>240</v>
      </c>
    </row>
    <row r="73" spans="1:28" x14ac:dyDescent="0.15">
      <c r="A73" s="53" t="s">
        <v>34</v>
      </c>
      <c r="B73" s="53" t="s">
        <v>236</v>
      </c>
      <c r="C73" s="53">
        <v>2019</v>
      </c>
      <c r="D73" s="174" t="s">
        <v>237</v>
      </c>
      <c r="E73" s="53" t="s">
        <v>377</v>
      </c>
      <c r="F73" s="53" t="s">
        <v>378</v>
      </c>
      <c r="G73" s="53" t="s">
        <v>36</v>
      </c>
      <c r="H73" s="53" t="s">
        <v>164</v>
      </c>
      <c r="I73" s="53" t="s">
        <v>159</v>
      </c>
      <c r="J73" s="53" t="s">
        <v>38</v>
      </c>
      <c r="K73" s="53" t="s">
        <v>161</v>
      </c>
      <c r="L73" s="53">
        <v>3</v>
      </c>
      <c r="N73" s="53">
        <v>5</v>
      </c>
      <c r="O73" s="53">
        <v>0.9</v>
      </c>
      <c r="P73" s="53">
        <v>0.95</v>
      </c>
      <c r="Q73" s="74">
        <f t="shared" si="5"/>
        <v>0.92500000000000004</v>
      </c>
      <c r="R73" s="53">
        <v>14.3</v>
      </c>
      <c r="S73" s="53">
        <v>94</v>
      </c>
      <c r="T73" s="16">
        <f t="shared" si="6"/>
        <v>36</v>
      </c>
      <c r="U73" s="53">
        <v>380</v>
      </c>
      <c r="V73" s="16">
        <f t="shared" si="7"/>
        <v>2736</v>
      </c>
      <c r="W73" s="53">
        <v>5</v>
      </c>
      <c r="X73" s="53" t="s">
        <v>46</v>
      </c>
      <c r="Y73" s="53" t="s">
        <v>84</v>
      </c>
      <c r="Z73" s="53" t="s">
        <v>90</v>
      </c>
      <c r="AA73" s="53" t="s">
        <v>78</v>
      </c>
      <c r="AB73" s="53" t="s">
        <v>240</v>
      </c>
    </row>
    <row r="74" spans="1:28" x14ac:dyDescent="0.15">
      <c r="D74" s="174"/>
      <c r="Q74" s="74"/>
    </row>
    <row r="75" spans="1:28" x14ac:dyDescent="0.15">
      <c r="D75" s="174"/>
      <c r="Q75" s="74"/>
    </row>
    <row r="76" spans="1:28" x14ac:dyDescent="0.15">
      <c r="D76" s="174"/>
      <c r="Q76" s="74"/>
    </row>
    <row r="77" spans="1:28" x14ac:dyDescent="0.15">
      <c r="D77" s="174"/>
      <c r="Q77" s="74"/>
    </row>
    <row r="78" spans="1:28" x14ac:dyDescent="0.15">
      <c r="D78" s="174"/>
      <c r="Q78" s="74"/>
    </row>
    <row r="79" spans="1:28" x14ac:dyDescent="0.15">
      <c r="D79" s="174"/>
      <c r="Q79" s="74"/>
    </row>
    <row r="80" spans="1:28" x14ac:dyDescent="0.15">
      <c r="D80" s="174"/>
      <c r="Q80" s="74"/>
    </row>
    <row r="81" spans="4:17" x14ac:dyDescent="0.15">
      <c r="D81" s="174"/>
      <c r="Q81" s="74"/>
    </row>
    <row r="82" spans="4:17" x14ac:dyDescent="0.15">
      <c r="D82" s="174"/>
      <c r="Q82" s="74"/>
    </row>
    <row r="83" spans="4:17" x14ac:dyDescent="0.15">
      <c r="D83" s="174"/>
      <c r="Q83" s="74"/>
    </row>
    <row r="84" spans="4:17" x14ac:dyDescent="0.15">
      <c r="D84" s="174"/>
    </row>
    <row r="85" spans="4:17" x14ac:dyDescent="0.15">
      <c r="D85" s="174"/>
    </row>
    <row r="86" spans="4:17" x14ac:dyDescent="0.15">
      <c r="D86" s="174"/>
    </row>
    <row r="87" spans="4:17" x14ac:dyDescent="0.15">
      <c r="D87" s="174"/>
    </row>
    <row r="88" spans="4:17" x14ac:dyDescent="0.15">
      <c r="D88" s="174"/>
    </row>
    <row r="89" spans="4:17" x14ac:dyDescent="0.15">
      <c r="D89" s="174"/>
    </row>
    <row r="90" spans="4:17" x14ac:dyDescent="0.15">
      <c r="D90" s="174"/>
    </row>
    <row r="91" spans="4:17" x14ac:dyDescent="0.15">
      <c r="D91" s="174"/>
    </row>
    <row r="92" spans="4:17" x14ac:dyDescent="0.15">
      <c r="D92" s="174"/>
    </row>
    <row r="93" spans="4:17" x14ac:dyDescent="0.15">
      <c r="D93" s="174"/>
    </row>
    <row r="94" spans="4:17" x14ac:dyDescent="0.15">
      <c r="D94" s="174"/>
    </row>
    <row r="95" spans="4:17" x14ac:dyDescent="0.15">
      <c r="D95" s="174"/>
    </row>
    <row r="96" spans="4:17" x14ac:dyDescent="0.15">
      <c r="D96" s="174"/>
    </row>
    <row r="97" spans="4:4" x14ac:dyDescent="0.15">
      <c r="D97" s="174"/>
    </row>
    <row r="98" spans="4:4" x14ac:dyDescent="0.15">
      <c r="D98" s="174"/>
    </row>
    <row r="99" spans="4:4" x14ac:dyDescent="0.15">
      <c r="D99" s="174"/>
    </row>
    <row r="100" spans="4:4" x14ac:dyDescent="0.15">
      <c r="D100" s="174"/>
    </row>
    <row r="101" spans="4:4" x14ac:dyDescent="0.15">
      <c r="D101" s="174"/>
    </row>
    <row r="102" spans="4:4" x14ac:dyDescent="0.15">
      <c r="D102" s="174"/>
    </row>
    <row r="103" spans="4:4" x14ac:dyDescent="0.15">
      <c r="D103" s="174"/>
    </row>
    <row r="104" spans="4:4" x14ac:dyDescent="0.15">
      <c r="D104" s="174"/>
    </row>
    <row r="105" spans="4:4" x14ac:dyDescent="0.15">
      <c r="D105" s="174"/>
    </row>
    <row r="106" spans="4:4" x14ac:dyDescent="0.15">
      <c r="D106" s="174"/>
    </row>
    <row r="107" spans="4:4" x14ac:dyDescent="0.15">
      <c r="D107" s="174"/>
    </row>
    <row r="108" spans="4:4" x14ac:dyDescent="0.15">
      <c r="D108" s="174"/>
    </row>
    <row r="109" spans="4:4" x14ac:dyDescent="0.15">
      <c r="D109" s="174"/>
    </row>
    <row r="110" spans="4:4" x14ac:dyDescent="0.15">
      <c r="D110" s="174"/>
    </row>
    <row r="111" spans="4:4" x14ac:dyDescent="0.15">
      <c r="D111" s="174"/>
    </row>
    <row r="112" spans="4:4" x14ac:dyDescent="0.15">
      <c r="D112" s="174"/>
    </row>
    <row r="113" spans="4:4" x14ac:dyDescent="0.15">
      <c r="D113" s="174"/>
    </row>
    <row r="114" spans="4:4" x14ac:dyDescent="0.15">
      <c r="D114" s="174"/>
    </row>
    <row r="115" spans="4:4" x14ac:dyDescent="0.15">
      <c r="D115" s="174"/>
    </row>
    <row r="116" spans="4:4" x14ac:dyDescent="0.15">
      <c r="D116" s="174"/>
    </row>
    <row r="117" spans="4:4" x14ac:dyDescent="0.15">
      <c r="D117" s="174"/>
    </row>
    <row r="118" spans="4:4" x14ac:dyDescent="0.15">
      <c r="D118" s="174"/>
    </row>
    <row r="119" spans="4:4" x14ac:dyDescent="0.15">
      <c r="D119" s="174"/>
    </row>
    <row r="120" spans="4:4" x14ac:dyDescent="0.15">
      <c r="D120" s="174"/>
    </row>
    <row r="121" spans="4:4" x14ac:dyDescent="0.15">
      <c r="D121" s="174"/>
    </row>
    <row r="122" spans="4:4" x14ac:dyDescent="0.15">
      <c r="D122" s="174"/>
    </row>
    <row r="123" spans="4:4" x14ac:dyDescent="0.15">
      <c r="D123" s="174"/>
    </row>
    <row r="124" spans="4:4" x14ac:dyDescent="0.15">
      <c r="D124" s="174"/>
    </row>
    <row r="125" spans="4:4" x14ac:dyDescent="0.15">
      <c r="D125" s="174"/>
    </row>
    <row r="126" spans="4:4" x14ac:dyDescent="0.15">
      <c r="D126" s="174"/>
    </row>
    <row r="127" spans="4:4" x14ac:dyDescent="0.15">
      <c r="D127" s="174"/>
    </row>
    <row r="128" spans="4:4" x14ac:dyDescent="0.15">
      <c r="D128" s="174"/>
    </row>
    <row r="129" spans="4:4" x14ac:dyDescent="0.15">
      <c r="D129" s="174"/>
    </row>
    <row r="130" spans="4:4" x14ac:dyDescent="0.15">
      <c r="D130" s="174"/>
    </row>
    <row r="131" spans="4:4" x14ac:dyDescent="0.15">
      <c r="D131" s="174"/>
    </row>
    <row r="132" spans="4:4" x14ac:dyDescent="0.15">
      <c r="D132" s="174"/>
    </row>
    <row r="133" spans="4:4" x14ac:dyDescent="0.15">
      <c r="D133" s="174"/>
    </row>
    <row r="134" spans="4:4" x14ac:dyDescent="0.15">
      <c r="D134" s="174"/>
    </row>
    <row r="135" spans="4:4" x14ac:dyDescent="0.15">
      <c r="D135" s="174"/>
    </row>
    <row r="136" spans="4:4" x14ac:dyDescent="0.15">
      <c r="D136" s="174"/>
    </row>
    <row r="137" spans="4:4" x14ac:dyDescent="0.15">
      <c r="D137" s="174"/>
    </row>
    <row r="138" spans="4:4" x14ac:dyDescent="0.15">
      <c r="D138" s="174"/>
    </row>
    <row r="139" spans="4:4" x14ac:dyDescent="0.15">
      <c r="D139" s="174"/>
    </row>
    <row r="140" spans="4:4" x14ac:dyDescent="0.15">
      <c r="D140" s="174"/>
    </row>
    <row r="141" spans="4:4" x14ac:dyDescent="0.15">
      <c r="D141" s="174"/>
    </row>
    <row r="142" spans="4:4" x14ac:dyDescent="0.15">
      <c r="D142" s="174"/>
    </row>
    <row r="143" spans="4:4" x14ac:dyDescent="0.15">
      <c r="D143" s="174"/>
    </row>
    <row r="144" spans="4:4" x14ac:dyDescent="0.15">
      <c r="D144" s="174"/>
    </row>
    <row r="145" spans="4:4" x14ac:dyDescent="0.15">
      <c r="D145" s="174"/>
    </row>
    <row r="146" spans="4:4" x14ac:dyDescent="0.15">
      <c r="D146" s="174"/>
    </row>
    <row r="147" spans="4:4" x14ac:dyDescent="0.15">
      <c r="D147" s="174"/>
    </row>
    <row r="148" spans="4:4" x14ac:dyDescent="0.15">
      <c r="D148" s="174"/>
    </row>
    <row r="149" spans="4:4" x14ac:dyDescent="0.15">
      <c r="D149" s="174"/>
    </row>
  </sheetData>
  <autoFilter ref="A1:BA149" xr:uid="{00000000-0009-0000-0000-000000000000}"/>
  <phoneticPr fontId="3"/>
  <dataValidations count="12">
    <dataValidation type="list" allowBlank="1" showInputMessage="1" showErrorMessage="1" sqref="F2:F469" xr:uid="{9CE359C0-6B75-4EB5-BDE2-0D1ED80B3379}">
      <formula1>$AH$2:$AH$11</formula1>
    </dataValidation>
    <dataValidation type="list" allowBlank="1" showInputMessage="1" showErrorMessage="1" sqref="E2:E469" xr:uid="{9DF31B6F-B680-4BA2-9CEF-F1756A827506}">
      <formula1>$AG$2:$AG$11</formula1>
    </dataValidation>
    <dataValidation type="list" allowBlank="1" showInputMessage="1" showErrorMessage="1" sqref="K2:K781" xr:uid="{0AEB73F8-F19B-4ACC-969A-2F149789B266}">
      <formula1>$AR$2:$AR$23</formula1>
    </dataValidation>
    <dataValidation operator="equal" allowBlank="1" showInputMessage="1" showErrorMessage="1" sqref="B2:B149" xr:uid="{66257877-C87E-44F0-A316-B75D4CE6658F}"/>
    <dataValidation type="list" allowBlank="1" showInputMessage="1" showErrorMessage="1" sqref="A2:A468" xr:uid="{3A5CE809-1E5B-4F56-9E95-7D037105E02A}">
      <formula1>$AE$2:$AE$19</formula1>
    </dataValidation>
    <dataValidation type="list" allowBlank="1" showInputMessage="1" showErrorMessage="1" sqref="Y2:AA469" xr:uid="{BBB1AFCE-406C-4E57-A9BF-944AD01757B6}">
      <formula1>$AV$2:$AV$21</formula1>
    </dataValidation>
    <dataValidation type="list" allowBlank="1" showInputMessage="1" showErrorMessage="1" sqref="H2:H469" xr:uid="{0AB97607-039F-4421-82BD-67DFA3F227AB}">
      <formula1>$AL$2:$AL$8</formula1>
    </dataValidation>
    <dataValidation type="list" allowBlank="1" showInputMessage="1" showErrorMessage="1" sqref="X2:X469" xr:uid="{D7F46E8F-E62E-4EBD-924B-55392CED7981}">
      <formula1>$AT$2:$AT$3</formula1>
    </dataValidation>
    <dataValidation type="list" allowBlank="1" showInputMessage="1" showErrorMessage="1" sqref="G2:G469" xr:uid="{86023DC6-8128-4C84-9E8F-C5A2E542C929}">
      <formula1>$AJ$2:$AJ$4</formula1>
    </dataValidation>
    <dataValidation type="list" allowBlank="1" showInputMessage="1" showErrorMessage="1" sqref="I2:I469" xr:uid="{B1D6C44A-688B-44B2-BEC9-81B72A8756EA}">
      <formula1>$AN$5:$AN$6</formula1>
    </dataValidation>
    <dataValidation type="list" allowBlank="1" showInputMessage="1" showErrorMessage="1" sqref="J2:J469" xr:uid="{8C6C98CE-C26C-4E94-AB8D-3F9762F489A8}">
      <formula1>$AP$2:$AP$24</formula1>
    </dataValidation>
    <dataValidation type="decimal" allowBlank="1" showInputMessage="1" showErrorMessage="1" error="硬度を正しく入力して下さい。" sqref="O2:P49 O59:P469" xr:uid="{373B46E1-4E3C-4606-A9F3-6CB85489E728}">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0EA375A-3F57-497A-BD1F-9D0CBB11B548}"/>
</file>

<file path=customXml/itemProps2.xml><?xml version="1.0" encoding="utf-8"?>
<ds:datastoreItem xmlns:ds="http://schemas.openxmlformats.org/officeDocument/2006/customXml" ds:itemID="{533B2D09-2D5E-4E6F-8C90-6B0043BF6121}"/>
</file>

<file path=customXml/itemProps3.xml><?xml version="1.0" encoding="utf-8"?>
<ds:datastoreItem xmlns:ds="http://schemas.openxmlformats.org/officeDocument/2006/customXml" ds:itemID="{D6956377-334F-4C33-90F3-4C23F59AB25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2019-12-23T08:53:21Z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