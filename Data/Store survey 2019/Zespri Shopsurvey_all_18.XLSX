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01"/>
  <workbookPr defaultThemeVersion="124226"/>
  <mc:AlternateContent xmlns:mc="http://schemas.openxmlformats.org/markup-compatibility/2006">
    <mc:Choice Requires="x15">
      <x15ac:absPath xmlns:x15ac="http://schemas.microsoft.com/office/spreadsheetml/2010/11/ac" url="\\192.168.11.200\000_全国共有\2-Zespri\品質調査\2019\18週\"/>
    </mc:Choice>
  </mc:AlternateContent>
  <xr:revisionPtr revIDLastSave="0" documentId="13_ncr:1_{F662B424-7FF9-486F-8143-06D65B3B7E2E}"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fukuoka!$A$1:$BA$152</definedName>
    <definedName name="_xlnm._FilterDatabase" localSheetId="4" hidden="1">hiroshima!$A$1:$BA$1</definedName>
    <definedName name="_xlnm._FilterDatabase" localSheetId="1" hidden="1">miyagi!$A$1:$BA$372</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09" i="24" l="1"/>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52" i="22" l="1"/>
  <c r="T152" i="22"/>
  <c r="Q152" i="22"/>
  <c r="V151" i="22"/>
  <c r="T151" i="22"/>
  <c r="Q151" i="22"/>
  <c r="V150" i="22"/>
  <c r="T150" i="22"/>
  <c r="Q150" i="22"/>
  <c r="V149" i="22"/>
  <c r="T149" i="22"/>
  <c r="Q149" i="22"/>
  <c r="V148" i="22"/>
  <c r="T148" i="22"/>
  <c r="Q148" i="22"/>
  <c r="V147" i="22"/>
  <c r="T147" i="22"/>
  <c r="Q147" i="22"/>
  <c r="V146" i="22"/>
  <c r="T146" i="22"/>
  <c r="Q146" i="22"/>
  <c r="V145" i="22"/>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c r="V79" i="21" s="1"/>
  <c r="Q79" i="21"/>
  <c r="T78" i="21"/>
  <c r="V78" i="21" s="1"/>
  <c r="Q78" i="21"/>
  <c r="T77" i="21"/>
  <c r="V77" i="21" s="1"/>
  <c r="Q77"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72" i="18" l="1"/>
  <c r="T371" i="18"/>
  <c r="T370" i="18"/>
  <c r="T369" i="18"/>
  <c r="T368" i="18"/>
  <c r="T367" i="18"/>
  <c r="T366" i="18"/>
  <c r="T365" i="18"/>
  <c r="T364" i="18"/>
  <c r="T363" i="18"/>
  <c r="T362" i="18"/>
  <c r="T361" i="18"/>
  <c r="T360" i="18"/>
  <c r="T359" i="18"/>
  <c r="T358" i="18"/>
  <c r="T357" i="18"/>
  <c r="T356" i="18"/>
  <c r="T355" i="18"/>
  <c r="T354" i="18"/>
  <c r="T353" i="18"/>
  <c r="V352" i="18"/>
  <c r="T352" i="18"/>
  <c r="T351" i="18"/>
  <c r="V351" i="18" s="1"/>
  <c r="T350" i="18"/>
  <c r="V350" i="18" s="1"/>
  <c r="V349" i="18"/>
  <c r="T349" i="18"/>
  <c r="T348" i="18"/>
  <c r="V348" i="18" s="1"/>
  <c r="V347" i="18"/>
  <c r="T347" i="18"/>
  <c r="V346" i="18"/>
  <c r="T346" i="18"/>
  <c r="T345" i="18"/>
  <c r="V345" i="18" s="1"/>
  <c r="T344" i="18"/>
  <c r="V344" i="18" s="1"/>
  <c r="Q344" i="18"/>
  <c r="T343" i="18"/>
  <c r="V343" i="18" s="1"/>
  <c r="Q343" i="18"/>
  <c r="V342" i="18"/>
  <c r="T342" i="18"/>
  <c r="Q342" i="18"/>
  <c r="T341" i="18"/>
  <c r="V341" i="18" s="1"/>
  <c r="Q341" i="18"/>
  <c r="T340" i="18"/>
  <c r="V340" i="18" s="1"/>
  <c r="Q340" i="18"/>
  <c r="T339" i="18"/>
  <c r="V339" i="18" s="1"/>
  <c r="Q339" i="18"/>
  <c r="V338" i="18"/>
  <c r="T338" i="18"/>
  <c r="Q338" i="18"/>
  <c r="T337" i="18"/>
  <c r="V337" i="18" s="1"/>
  <c r="Q337" i="18"/>
  <c r="T336" i="18"/>
  <c r="V336" i="18" s="1"/>
  <c r="Q336" i="18"/>
  <c r="T335" i="18"/>
  <c r="V335" i="18" s="1"/>
  <c r="Q335" i="18"/>
  <c r="V334" i="18"/>
  <c r="T334" i="18"/>
  <c r="Q334" i="18"/>
  <c r="T333" i="18"/>
  <c r="V333" i="18" s="1"/>
  <c r="Q333" i="18"/>
  <c r="T332" i="18"/>
  <c r="V332" i="18" s="1"/>
  <c r="Q332" i="18"/>
  <c r="T331" i="18"/>
  <c r="V331" i="18" s="1"/>
  <c r="Q331" i="18"/>
  <c r="V330" i="18"/>
  <c r="T330" i="18"/>
  <c r="Q330" i="18"/>
  <c r="T329" i="18"/>
  <c r="V329" i="18" s="1"/>
  <c r="Q329" i="18"/>
  <c r="T328" i="18"/>
  <c r="V328" i="18" s="1"/>
  <c r="Q328" i="18"/>
  <c r="T327" i="18"/>
  <c r="V327" i="18" s="1"/>
  <c r="Q327" i="18"/>
  <c r="V326" i="18"/>
  <c r="T326" i="18"/>
  <c r="Q326" i="18"/>
  <c r="T325" i="18"/>
  <c r="V325" i="18" s="1"/>
  <c r="Q325" i="18"/>
  <c r="T324" i="18"/>
  <c r="V324" i="18" s="1"/>
  <c r="Q324" i="18"/>
  <c r="T323" i="18"/>
  <c r="V323" i="18" s="1"/>
  <c r="Q323" i="18"/>
  <c r="V322" i="18"/>
  <c r="T322" i="18"/>
  <c r="Q322" i="18"/>
  <c r="T321" i="18"/>
  <c r="V321" i="18" s="1"/>
  <c r="Q321" i="18"/>
  <c r="T320" i="18"/>
  <c r="V320" i="18" s="1"/>
  <c r="Q320" i="18"/>
  <c r="T319" i="18"/>
  <c r="V319" i="18" s="1"/>
  <c r="Q319" i="18"/>
  <c r="V318" i="18"/>
  <c r="T318" i="18"/>
  <c r="Q318" i="18"/>
  <c r="T317" i="18"/>
  <c r="V317" i="18" s="1"/>
  <c r="Q317" i="18"/>
  <c r="T316" i="18"/>
  <c r="V316" i="18" s="1"/>
  <c r="Q316" i="18"/>
  <c r="T315" i="18"/>
  <c r="V315" i="18" s="1"/>
  <c r="Q315" i="18"/>
  <c r="V314" i="18"/>
  <c r="T314" i="18"/>
  <c r="Q314" i="18"/>
  <c r="T313" i="18"/>
  <c r="V313" i="18" s="1"/>
  <c r="Q313" i="18"/>
  <c r="T312" i="18"/>
  <c r="V312" i="18" s="1"/>
  <c r="Q312" i="18"/>
  <c r="T311" i="18"/>
  <c r="V311" i="18" s="1"/>
  <c r="Q311" i="18"/>
  <c r="V310" i="18"/>
  <c r="T310" i="18"/>
  <c r="Q310" i="18"/>
  <c r="T309" i="18"/>
  <c r="V309" i="18" s="1"/>
  <c r="Q309" i="18"/>
  <c r="T308" i="18"/>
  <c r="V308" i="18" s="1"/>
  <c r="Q308" i="18"/>
  <c r="T307" i="18"/>
  <c r="V307" i="18" s="1"/>
  <c r="Q307" i="18"/>
  <c r="V306" i="18"/>
  <c r="T306" i="18"/>
  <c r="Q306" i="18"/>
  <c r="T305" i="18"/>
  <c r="V305" i="18" s="1"/>
  <c r="Q305" i="18"/>
  <c r="T304" i="18"/>
  <c r="V304" i="18" s="1"/>
  <c r="Q304" i="18"/>
  <c r="T303" i="18"/>
  <c r="V303" i="18" s="1"/>
  <c r="Q303" i="18"/>
  <c r="V302" i="18"/>
  <c r="T302" i="18"/>
  <c r="Q302" i="18"/>
  <c r="T301" i="18"/>
  <c r="V301" i="18" s="1"/>
  <c r="Q301" i="18"/>
  <c r="T300" i="18"/>
  <c r="V300" i="18" s="1"/>
  <c r="Q300" i="18"/>
  <c r="T299" i="18"/>
  <c r="V299" i="18" s="1"/>
  <c r="Q299" i="18"/>
  <c r="V298" i="18"/>
  <c r="T298" i="18"/>
  <c r="Q298" i="18"/>
  <c r="T297" i="18"/>
  <c r="V297" i="18" s="1"/>
  <c r="Q297" i="18"/>
  <c r="T296" i="18"/>
  <c r="V296" i="18" s="1"/>
  <c r="Q296" i="18"/>
  <c r="T295" i="18"/>
  <c r="V295" i="18" s="1"/>
  <c r="Q295" i="18"/>
  <c r="V294" i="18"/>
  <c r="T294" i="18"/>
  <c r="Q294" i="18"/>
  <c r="T293" i="18"/>
  <c r="V293" i="18" s="1"/>
  <c r="Q293" i="18"/>
  <c r="T292" i="18"/>
  <c r="V292" i="18" s="1"/>
  <c r="Q292" i="18"/>
  <c r="T291" i="18"/>
  <c r="V291" i="18" s="1"/>
  <c r="Q291" i="18"/>
  <c r="V290" i="18"/>
  <c r="T290" i="18"/>
  <c r="Q290" i="18"/>
  <c r="T289" i="18"/>
  <c r="V289" i="18" s="1"/>
  <c r="Q289" i="18"/>
  <c r="T288" i="18"/>
  <c r="V288" i="18" s="1"/>
  <c r="Q288" i="18"/>
  <c r="T287" i="18"/>
  <c r="V287" i="18" s="1"/>
  <c r="Q287" i="18"/>
  <c r="V286" i="18"/>
  <c r="T286" i="18"/>
  <c r="Q286" i="18"/>
  <c r="T285" i="18"/>
  <c r="V285" i="18" s="1"/>
  <c r="Q285" i="18"/>
  <c r="T284" i="18"/>
  <c r="V284" i="18" s="1"/>
  <c r="Q284" i="18"/>
  <c r="T283" i="18"/>
  <c r="V283" i="18" s="1"/>
  <c r="Q283" i="18"/>
  <c r="V282" i="18"/>
  <c r="T282" i="18"/>
  <c r="Q282" i="18"/>
  <c r="T281" i="18"/>
  <c r="V281" i="18" s="1"/>
  <c r="Q281" i="18"/>
  <c r="T280" i="18"/>
  <c r="V280" i="18" s="1"/>
  <c r="Q280" i="18"/>
  <c r="T279" i="18"/>
  <c r="V279" i="18" s="1"/>
  <c r="Q279" i="18"/>
  <c r="V278" i="18"/>
  <c r="T278" i="18"/>
  <c r="Q278" i="18"/>
  <c r="T277" i="18"/>
  <c r="V277" i="18" s="1"/>
  <c r="Q277" i="18"/>
  <c r="T276" i="18"/>
  <c r="V276" i="18" s="1"/>
  <c r="Q276" i="18"/>
  <c r="T275" i="18"/>
  <c r="V275" i="18" s="1"/>
  <c r="Q275" i="18"/>
  <c r="V274" i="18"/>
  <c r="T274" i="18"/>
  <c r="Q274" i="18"/>
  <c r="T273" i="18"/>
  <c r="V273" i="18" s="1"/>
  <c r="Q273" i="18"/>
  <c r="T272" i="18"/>
  <c r="V272" i="18" s="1"/>
  <c r="Q272" i="18"/>
  <c r="T271" i="18"/>
  <c r="V271" i="18" s="1"/>
  <c r="Q271" i="18"/>
  <c r="V270" i="18"/>
  <c r="T270" i="18"/>
  <c r="Q270" i="18"/>
  <c r="T269" i="18"/>
  <c r="V269" i="18" s="1"/>
  <c r="Q269" i="18"/>
  <c r="T268" i="18"/>
  <c r="V268" i="18" s="1"/>
  <c r="Q268" i="18"/>
  <c r="T267" i="18"/>
  <c r="V267" i="18" s="1"/>
  <c r="Q267" i="18"/>
  <c r="V266" i="18"/>
  <c r="T266" i="18"/>
  <c r="Q266" i="18"/>
  <c r="T265" i="18"/>
  <c r="V265" i="18" s="1"/>
  <c r="Q265" i="18"/>
  <c r="T264" i="18"/>
  <c r="V264" i="18" s="1"/>
  <c r="Q264" i="18"/>
  <c r="T263" i="18"/>
  <c r="V263" i="18" s="1"/>
  <c r="Q263" i="18"/>
  <c r="V262" i="18"/>
  <c r="T262" i="18"/>
  <c r="Q262" i="18"/>
  <c r="T261" i="18"/>
  <c r="V261" i="18" s="1"/>
  <c r="Q261" i="18"/>
  <c r="T260" i="18"/>
  <c r="V260" i="18" s="1"/>
  <c r="Q260" i="18"/>
  <c r="T259" i="18"/>
  <c r="V259" i="18" s="1"/>
  <c r="Q259" i="18"/>
  <c r="V258" i="18"/>
  <c r="T258" i="18"/>
  <c r="Q258" i="18"/>
  <c r="T257" i="18"/>
  <c r="V257" i="18" s="1"/>
  <c r="Q257" i="18"/>
  <c r="T256" i="18"/>
  <c r="V256" i="18" s="1"/>
  <c r="Q256" i="18"/>
  <c r="T255" i="18"/>
  <c r="V255" i="18" s="1"/>
  <c r="Q255" i="18"/>
  <c r="V254" i="18"/>
  <c r="T254" i="18"/>
  <c r="Q254" i="18"/>
  <c r="T253" i="18"/>
  <c r="V253" i="18" s="1"/>
  <c r="Q253" i="18"/>
  <c r="T252" i="18"/>
  <c r="V252" i="18" s="1"/>
  <c r="Q252" i="18"/>
  <c r="T251" i="18"/>
  <c r="V251" i="18" s="1"/>
  <c r="Q251" i="18"/>
  <c r="V250" i="18"/>
  <c r="T250" i="18"/>
  <c r="Q250" i="18"/>
  <c r="T249" i="18"/>
  <c r="V249" i="18" s="1"/>
  <c r="Q249" i="18"/>
  <c r="T248" i="18"/>
  <c r="V248" i="18" s="1"/>
  <c r="Q248" i="18"/>
  <c r="T247" i="18"/>
  <c r="V247" i="18" s="1"/>
  <c r="Q247" i="18"/>
  <c r="V246" i="18"/>
  <c r="T246" i="18"/>
  <c r="Q246" i="18"/>
  <c r="T245" i="18"/>
  <c r="V245" i="18" s="1"/>
  <c r="Q245" i="18"/>
  <c r="T244" i="18"/>
  <c r="V244" i="18" s="1"/>
  <c r="Q244" i="18"/>
  <c r="T243" i="18"/>
  <c r="V243" i="18" s="1"/>
  <c r="Q243" i="18"/>
  <c r="V242" i="18"/>
  <c r="T242" i="18"/>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V222" i="18"/>
  <c r="T222" i="18"/>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V206" i="18"/>
  <c r="T206" i="18"/>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V190" i="18"/>
  <c r="T190" i="18"/>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V174" i="18"/>
  <c r="T174" i="18"/>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V158" i="18"/>
  <c r="T158" i="18"/>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V142" i="18"/>
  <c r="T142" i="18"/>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V126" i="18"/>
  <c r="T126" i="18"/>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V110" i="18"/>
  <c r="T110" i="18"/>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V94" i="18"/>
  <c r="T94" i="18"/>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V78" i="18"/>
  <c r="T78" i="18"/>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V62" i="18"/>
  <c r="T62" i="18"/>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V46" i="18"/>
  <c r="T46" i="18"/>
  <c r="Q46" i="18"/>
  <c r="T45" i="18"/>
  <c r="V45" i="18" s="1"/>
  <c r="Q45" i="18"/>
  <c r="T44" i="18"/>
  <c r="V44" i="18" s="1"/>
  <c r="Q44" i="18"/>
  <c r="T43" i="18"/>
  <c r="V43" i="18" s="1"/>
  <c r="Q43" i="18"/>
  <c r="T42" i="18"/>
  <c r="V42" i="18" s="1"/>
  <c r="Q42" i="18"/>
  <c r="T41" i="18"/>
  <c r="V41" i="18" s="1"/>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V30" i="18"/>
  <c r="T30" i="18"/>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V8" i="18"/>
  <c r="T8" i="18"/>
  <c r="Q8" i="18"/>
  <c r="T7" i="18"/>
  <c r="V7" i="18" s="1"/>
  <c r="Q7" i="18"/>
  <c r="T6" i="18"/>
  <c r="V6" i="18" s="1"/>
  <c r="Q6" i="18"/>
  <c r="T5" i="18"/>
  <c r="V5" i="18" s="1"/>
  <c r="Q5" i="18"/>
  <c r="V4" i="18"/>
  <c r="T4" i="18"/>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<sst xmlns="http://schemas.openxmlformats.org/spreadsheetml/2006/main" count="9304" uniqueCount="387">
  <si>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</si>
  <si>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</si>
  <si>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</si>
  <si>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</si>
  <si>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</si>
  <si>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</si>
  <si>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</si>
  <si>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</si>
  <si>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</si>
  <si>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</si>
  <si>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</si>
  <si>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</si>
  <si>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</si>
  <si>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</si>
  <si>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</si>
  <si>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</si>
  <si>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</si>
  <si>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</si>
  <si>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</si>
  <si>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</si>
  <si>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</si>
  <si>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</si>
  <si>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</si>
  <si>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</si>
  <si>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</si>
  <si>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</si>
  <si>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</si>
  <si>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</si>
  <si>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</si>
  <si>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</si>
  <si>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</si>
  <si>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</si>
  <si>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</si>
  <si>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</si>
  <si>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</si>
  <si>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</si>
  <si>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</si>
  <si>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</si>
  <si>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</si>
  <si>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</si>
  <si>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</si>
  <si>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</si>
  <si>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</si>
  <si>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</si>
  <si>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</si>
  <si>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</si>
  <si>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</si>
  <si>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</si>
  <si>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</si>
  <si>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</si>
  <si>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</si>
  <si>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</si>
  <si>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</si>
  <si>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</si>
  <si>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</si>
  <si>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</si>
  <si>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</si>
  <si>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</si>
  <si>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</si>
  <si>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</si>
  <si>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</si>
  <si>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</si>
  <si>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</si>
  <si>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</si>
  <si>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</si>
  <si>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</si>
  <si>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</si>
  <si>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</si>
  <si>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</si>
  <si>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</si>
  <si>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</si>
  <si>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</si>
  <si>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</si>
  <si>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</si>
  <si>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</si>
  <si>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</si>
  <si>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</si>
  <si>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</si>
  <si>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</si>
  <si>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</si>
  <si>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</si>
  <si>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</si>
  <si>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</si>
  <si>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</si>
  <si>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</si>
  <si>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</si>
  <si>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</si>
  <si>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</si>
  <si>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</si>
  <si>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</si>
  <si>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</si>
  <si>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</si>
  <si>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</si>
  <si>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</si>
  <si>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</si>
  <si>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</si>
  <si>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</si>
  <si>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</si>
  <si>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</si>
  <si>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</si>
  <si>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</si>
  <si>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</si>
  <si>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</si>
  <si>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</si>
  <si>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</si>
  <si>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</si>
  <si>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</si>
  <si>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</si>
  <si>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</si>
  <si>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</si>
  <si>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</si>
  <si>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</si>
  <si>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</si>
  <si>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</si>
  <si>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</si>
  <si>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</si>
  <si>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</si>
  <si>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</si>
  <si>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</si>
  <si>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</si>
  <si>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</si>
  <si>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</si>
  <si>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</si>
  <si>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</si>
  <si>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</si>
  <si>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</si>
  <si>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</si>
  <si>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</si>
  <si>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</si>
  <si>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</si>
  <si>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</si>
  <si>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</si>
  <si>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</si>
  <si>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</si>
  <si>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</si>
  <si>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</si>
  <si>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</si>
  <si>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</si>
  <si>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</si>
  <si>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</si>
  <si>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</si>
  <si>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</si>
  <si>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</si>
  <si>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</si>
  <si>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</si>
  <si>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</si>
  <si>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</si>
  <si>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</si>
  <si>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</si>
  <si>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</si>
  <si>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</si>
  <si>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</si>
  <si>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</si>
  <si>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</si>
  <si>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</si>
  <si>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</si>
  <si>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</si>
  <si>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</si>
  <si>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</si>
  <si>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</si>
  <si>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</si>
  <si>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</si>
  <si>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</si>
  <si>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</si>
  <si>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HE</t>
  </si>
  <si>
    <t>HW</t>
  </si>
  <si>
    <t>30.04.2019</t>
  </si>
  <si>
    <t>30.04.2019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</si>
  <si>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</si>
  <si>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</si>
  <si>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</si>
  <si>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</si>
  <si>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</si>
  <si>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</si>
  <si>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</si>
  <si>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</si>
  <si>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</si>
  <si>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</si>
  <si>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</si>
  <si>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</si>
  <si>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</si>
  <si>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</si>
  <si>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</si>
  <si>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</si>
  <si>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利府店</t>
  </si>
  <si>
    <t>JPY</t>
    <phoneticPr fontId="16"/>
  </si>
  <si>
    <t>その他グリーン</t>
  </si>
  <si>
    <t>みやぎ生協</t>
  </si>
  <si>
    <t>その他ゴールド</t>
  </si>
  <si>
    <t>杉の入店</t>
  </si>
  <si>
    <t>その他レッド</t>
  </si>
  <si>
    <t>減農薬栽培</t>
  </si>
  <si>
    <t>D'lish</t>
  </si>
  <si>
    <t>中国</t>
  </si>
  <si>
    <t>ウジエ</t>
  </si>
  <si>
    <t>Del Monte</t>
  </si>
  <si>
    <t>塩釜店</t>
  </si>
  <si>
    <t>GK</t>
  </si>
  <si>
    <t>OB</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</si>
  <si>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</si>
  <si>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</si>
  <si>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</si>
  <si>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</si>
  <si>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</si>
  <si>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</si>
  <si>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</si>
  <si>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</si>
  <si>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</si>
  <si>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</si>
  <si>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</si>
  <si>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</si>
  <si>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</si>
  <si>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</si>
  <si>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</si>
  <si>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</si>
  <si>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</si>
  <si>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</si>
  <si>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</si>
  <si>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</si>
  <si>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</si>
  <si>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</si>
  <si>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</si>
  <si>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</si>
  <si>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</si>
  <si>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</si>
  <si>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</si>
  <si>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</si>
  <si>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</si>
  <si>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</si>
  <si>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</si>
  <si>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</si>
  <si>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</si>
  <si>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</si>
  <si>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04.05.2019</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</si>
  <si>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</si>
  <si>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</si>
  <si>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</si>
  <si>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</si>
  <si>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</si>
  <si>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</si>
  <si>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</si>
  <si>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</si>
  <si>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</si>
  <si>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</si>
  <si>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</si>
  <si>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</si>
  <si>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</si>
  <si>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</si>
  <si>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</si>
  <si>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長久手店</t>
  </si>
  <si>
    <t>カネトク</t>
    <phoneticPr fontId="4"/>
  </si>
  <si>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</si>
  <si>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</si>
  <si>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</si>
  <si>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</si>
  <si>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</si>
  <si>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</si>
  <si>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</si>
  <si>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</si>
  <si>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</si>
  <si>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03.05.2019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</si>
  <si>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</si>
  <si>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</si>
  <si>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</si>
  <si>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</si>
  <si>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</si>
  <si>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</si>
  <si>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</si>
  <si>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</si>
  <si>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</si>
  <si>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</si>
  <si>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</si>
  <si>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</si>
  <si>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</si>
  <si>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</si>
  <si>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</si>
  <si>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</si>
  <si>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</si>
  <si>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</si>
  <si>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</si>
  <si>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</si>
  <si>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</si>
  <si>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02.05.2019</t>
    <phoneticPr fontId="3"/>
  </si>
  <si>
    <t>ユアーズ</t>
  </si>
  <si>
    <t>十日市店</t>
    <rPh sb="3" eb="4">
      <t>テン</t>
    </rPh>
    <phoneticPr fontId="3"/>
  </si>
  <si>
    <t>JPY</t>
    <phoneticPr fontId="3"/>
  </si>
  <si>
    <t>福や</t>
  </si>
  <si>
    <t>鉄砲町店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</si>
  <si>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</si>
  <si>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</si>
  <si>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</si>
  <si>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</si>
  <si>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</si>
  <si>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</si>
  <si>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</si>
  <si>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</si>
  <si>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バナナ</t>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</si>
  <si>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</si>
  <si>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</si>
  <si>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</si>
  <si>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</si>
  <si>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</si>
  <si>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</si>
  <si>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</si>
  <si>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</si>
  <si>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</si>
  <si>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</si>
  <si>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</si>
  <si>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</si>
  <si>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</si>
  <si>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</si>
  <si>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</si>
  <si>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</si>
  <si>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</si>
  <si>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01.05.2019</t>
    <phoneticPr fontId="3"/>
  </si>
  <si>
    <t>マルショク</t>
    <phoneticPr fontId="3"/>
  </si>
  <si>
    <t>野間大池</t>
    <rPh sb="0" eb="2">
      <t>ノマ</t>
    </rPh>
    <rPh sb="2" eb="4">
      <t>オオイケ</t>
    </rPh>
    <phoneticPr fontId="3"/>
  </si>
  <si>
    <t>保冷なし</t>
    <rPh sb="0" eb="2">
      <t>ホレイ</t>
    </rPh>
    <phoneticPr fontId="3"/>
  </si>
  <si>
    <t>りんご</t>
    <phoneticPr fontId="3"/>
  </si>
  <si>
    <t>JPY</t>
    <phoneticPr fontId="4"/>
  </si>
  <si>
    <t>サニー</t>
  </si>
  <si>
    <t>野間</t>
    <rPh sb="0" eb="2">
      <t>ノマ</t>
    </rPh>
    <phoneticPr fontId="3"/>
  </si>
  <si>
    <t>一般栽培</t>
    <phoneticPr fontId="4"/>
  </si>
  <si>
    <t>マルショク</t>
  </si>
  <si>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</si>
  <si>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</si>
  <si>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</si>
  <si>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</si>
  <si>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</si>
  <si>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</si>
  <si>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</si>
  <si>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</si>
  <si>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</si>
  <si>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</si>
  <si>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</si>
  <si>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</si>
  <si>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</si>
  <si>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</si>
  <si>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</si>
  <si>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</si>
  <si>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</si>
  <si>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</si>
  <si>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</si>
  <si>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</si>
  <si>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</si>
  <si>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</si>
  <si>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</si>
  <si>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</si>
  <si>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</si>
  <si>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</si>
  <si>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</si>
  <si>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</si>
  <si>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</si>
  <si>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</si>
  <si>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</si>
  <si>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</si>
  <si>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</si>
  <si>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サミット</t>
  </si>
  <si>
    <t>久が原食品館</t>
  </si>
  <si>
    <t>02.05.2019</t>
  </si>
  <si>
    <t>東急ストア</t>
  </si>
  <si>
    <t>蒲田</t>
  </si>
  <si>
    <t>マルエツ</t>
  </si>
  <si>
    <t>大森西</t>
  </si>
  <si>
    <t>大森</t>
  </si>
  <si>
    <t>カドヤ</t>
  </si>
  <si>
    <t>大井町</t>
  </si>
  <si>
    <t>品川シーサイド</t>
  </si>
  <si>
    <t>大崎ニューシティ</t>
  </si>
  <si>
    <t>２番人気
果実</t>
    <phoneticPr fontId="3"/>
  </si>
  <si>
    <t>03.05.2019</t>
    <phoneticPr fontId="3"/>
  </si>
  <si>
    <t>ビッグ・エー</t>
  </si>
  <si>
    <t>江戸川本一色店</t>
  </si>
  <si>
    <t>松江店</t>
  </si>
  <si>
    <t>マックスバリュエクスプレス</t>
  </si>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</sst>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3743705557422"/>
      </left>
      <right/>
      <top style="thin">
        <color auto="1"/>
      </top>
      <bottom/>
      <diagonal/>
    </border>
    <border>
      <left style="thin">
        <color auto="1"/>
      </left>
      <right/>
      <top/>
      <bottom/>
      <diagonal/>
    </border>
    <border>
      <left style="hair">
        <color auto="1"/>
      </left>
      <right style="thin">
        <color auto="1"/>
      </right>
      <top/>
      <bottom/>
      <diagonal/>
    </border>
    <border>
      <left style="thin">
        <color theme="0" tint="-0.14993743705557422"/>
      </left>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223">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0" fontId="1" fillId="0" borderId="0" xfId="1" applyFont="1" applyFill="1" applyAlignment="1"/>
    <xf numFmtId="0" fontId="1" fillId="0" borderId="0" xfId="1" applyFont="1" applyFill="1" applyAlignment="1">
      <alignment horizontal="center"/>
    </xf>
    <xf numFmtId="14" fontId="15" fillId="0" borderId="0" xfId="1" applyNumberFormat="1" applyFont="1" applyFill="1" applyAlignment="1">
      <alignment horizontal="right"/>
    </xf>
    <xf numFmtId="178" fontId="1" fillId="3" borderId="22" xfId="1" applyNumberFormat="1" applyFont="1" applyFill="1" applyBorder="1"/>
    <xf numFmtId="0" fontId="1" fillId="2" borderId="0" xfId="1" applyFont="1" applyFill="1"/>
    <xf numFmtId="0" fontId="17" fillId="0" borderId="23" xfId="2" applyFont="1" applyBorder="1" applyAlignment="1">
      <alignment horizontal="center" vertical="center"/>
    </xf>
    <xf numFmtId="0" fontId="17" fillId="0" borderId="24" xfId="2" applyFont="1" applyBorder="1" applyAlignment="1">
      <alignment horizontal="center" vertical="center"/>
    </xf>
    <xf numFmtId="0" fontId="1" fillId="0" borderId="8" xfId="1" applyFont="1" applyFill="1" applyBorder="1"/>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178" fontId="1" fillId="3" borderId="25" xfId="1" applyNumberFormat="1" applyFont="1" applyFill="1" applyBorder="1"/>
    <xf numFmtId="0" fontId="17" fillId="0" borderId="12" xfId="2"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178" fontId="1" fillId="2" borderId="0" xfId="1" applyNumberFormat="1" applyFont="1" applyFill="1"/>
    <xf numFmtId="0" fontId="1" fillId="0" borderId="16" xfId="1" applyFont="1" applyBorder="1"/>
    <xf numFmtId="0" fontId="1" fillId="0" borderId="17"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5" fillId="0" borderId="0" xfId="1" applyFont="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0" fontId="15" fillId="0" borderId="0" xfId="2" applyFont="1">
      <alignment vertical="center"/>
    </xf>
    <xf numFmtId="178" fontId="1" fillId="3" borderId="0" xfId="1" applyNumberFormat="1" applyFont="1" applyFill="1"/>
    <xf numFmtId="0" fontId="1" fillId="3" borderId="0" xfId="1" applyFont="1" applyFill="1"/>
    <xf numFmtId="0" fontId="15" fillId="0" borderId="0" xfId="2" applyFont="1" applyFill="1">
      <alignment vertical="center"/>
    </xf>
    <xf numFmtId="0"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8" fillId="0" borderId="0" xfId="1" applyNumberFormat="1" applyFont="1" applyFill="1"/>
    <xf numFmtId="178" fontId="1" fillId="2" borderId="0" xfId="1" applyNumberFormat="1" applyFill="1"/>
    <xf numFmtId="0" fontId="1" fillId="0" borderId="12" xfId="1" applyFont="1" applyFill="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 fillId="0" borderId="0" xfId="5" applyFont="1" applyFill="1" applyAlignment="1"/>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6"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8" fillId="0" borderId="0" xfId="1" applyNumberFormat="1" applyFont="1" applyAlignment="1">
      <alignment horizontal="center"/>
    </xf>
    <xf numFmtId="0" fontId="19" fillId="0" borderId="1" xfId="0" applyFont="1" applyFill="1" applyBorder="1">
      <alignment vertical="center"/>
    </xf>
    <xf numFmtId="0" fontId="15"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5" fillId="0" borderId="1" xfId="0" applyFont="1" applyFill="1" applyBorder="1">
      <alignment vertical="center"/>
    </xf>
    <xf numFmtId="0" fontId="15" fillId="0" borderId="6" xfId="0" applyFont="1" applyFill="1" applyBorder="1">
      <alignment vertical="center"/>
    </xf>
    <xf numFmtId="49" fontId="2" fillId="5" borderId="27"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8" xfId="1" applyFill="1" applyBorder="1"/>
    <xf numFmtId="14" fontId="0" fillId="4" borderId="29" xfId="1" applyNumberFormat="1" applyFont="1" applyFill="1" applyBorder="1"/>
    <xf numFmtId="0" fontId="1" fillId="4" borderId="30" xfId="1" applyFill="1" applyBorder="1"/>
    <xf numFmtId="0" fontId="1" fillId="4" borderId="31" xfId="1" applyFill="1" applyBorder="1"/>
    <xf numFmtId="0" fontId="1" fillId="4" borderId="32" xfId="1" applyFill="1" applyBorder="1"/>
    <xf numFmtId="0" fontId="1" fillId="4" borderId="33" xfId="1" applyFill="1" applyBorder="1"/>
    <xf numFmtId="0" fontId="1" fillId="4" borderId="34" xfId="1" applyFill="1" applyBorder="1"/>
    <xf numFmtId="178" fontId="1" fillId="3" borderId="31" xfId="1" applyNumberFormat="1" applyFill="1" applyBorder="1"/>
    <xf numFmtId="0" fontId="1" fillId="4" borderId="35" xfId="1" applyFill="1" applyBorder="1"/>
    <xf numFmtId="0" fontId="1" fillId="3" borderId="32" xfId="1" applyFill="1" applyBorder="1"/>
    <xf numFmtId="0" fontId="1" fillId="4" borderId="36" xfId="1" applyFill="1" applyBorder="1"/>
    <xf numFmtId="0" fontId="1" fillId="4" borderId="37" xfId="1" applyFill="1" applyBorder="1"/>
    <xf numFmtId="0" fontId="1" fillId="4" borderId="37" xfId="1" applyFont="1" applyFill="1" applyBorder="1"/>
    <xf numFmtId="0" fontId="1" fillId="4" borderId="38" xfId="1" applyFill="1" applyBorder="1"/>
    <xf numFmtId="0" fontId="1" fillId="0" borderId="38" xfId="1" applyBorder="1"/>
    <xf numFmtId="14" fontId="0" fillId="4" borderId="39" xfId="1" applyNumberFormat="1" applyFont="1" applyFill="1" applyBorder="1"/>
    <xf numFmtId="0" fontId="1" fillId="4" borderId="40" xfId="1" applyFill="1" applyBorder="1"/>
    <xf numFmtId="178" fontId="1" fillId="3" borderId="41" xfId="1" applyNumberFormat="1" applyFill="1" applyBorder="1"/>
    <xf numFmtId="0" fontId="1" fillId="0" borderId="42" xfId="1" applyBorder="1"/>
    <xf numFmtId="0" fontId="1" fillId="0" borderId="43" xfId="1" applyFill="1" applyBorder="1"/>
    <xf numFmtId="0" fontId="1" fillId="3" borderId="0" xfId="1" applyFill="1" applyBorder="1"/>
    <xf numFmtId="0" fontId="1" fillId="0" borderId="44" xfId="1" applyFill="1" applyBorder="1"/>
    <xf numFmtId="0" fontId="1" fillId="4" borderId="45" xfId="1" applyFill="1" applyBorder="1"/>
    <xf numFmtId="0" fontId="1" fillId="4" borderId="12" xfId="1" applyFill="1" applyBorder="1"/>
    <xf numFmtId="0" fontId="1" fillId="0" borderId="46" xfId="1" applyBorder="1"/>
    <xf numFmtId="0" fontId="1" fillId="4" borderId="43" xfId="1" applyFill="1" applyBorder="1"/>
    <xf numFmtId="0" fontId="1" fillId="0" borderId="44" xfId="1" applyBorder="1"/>
    <xf numFmtId="0" fontId="1" fillId="4" borderId="16" xfId="1" applyFill="1" applyBorder="1"/>
    <xf numFmtId="0" fontId="1" fillId="4" borderId="17" xfId="1" applyFill="1" applyBorder="1"/>
    <xf numFmtId="0" fontId="1" fillId="0" borderId="43" xfId="1" applyBorder="1"/>
    <xf numFmtId="0" fontId="1" fillId="0" borderId="45" xfId="1" applyBorder="1"/>
    <xf numFmtId="0" fontId="1" fillId="0" borderId="45" xfId="1" applyFont="1" applyBorder="1"/>
    <xf numFmtId="0" fontId="1" fillId="0" borderId="17" xfId="1" applyFill="1" applyBorder="1"/>
    <xf numFmtId="0" fontId="1" fillId="0" borderId="46" xfId="1" applyFont="1" applyBorder="1"/>
    <xf numFmtId="0" fontId="1" fillId="0" borderId="37" xfId="1" applyBorder="1"/>
    <xf numFmtId="14" fontId="0" fillId="0" borderId="0" xfId="1" applyNumberFormat="1" applyFont="1"/>
    <xf numFmtId="49" fontId="8" fillId="0" borderId="26"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S62" sqref="S62"/>
    </sheetView>
  </sheetViews>
  <sheetFormatPr defaultRowHeight="13.5" x14ac:dyDescent="0.15"/>
  <cols>
    <col min="1" max="3" width="9" style="7"/>
    <col min="4" max="4" width="10.42578125" style="7" bestFit="1" customWidth="1"/>
    <col min="5" max="5" width="10.85546875" style="7" bestFit="1" customWidth="1"/>
    <col min="6" max="13" width="9" style="7"/>
    <col min="14" max="14" width="9.42578125" style="7" bestFit="1" customWidth="1"/>
    <col min="15" max="16" width="9" style="7"/>
    <col min="17" max="17" width="9" style="48"/>
    <col min="18" max="18" width="9" style="7"/>
    <col min="19" max="19" width="12.7109375" style="7" bestFit="1" customWidth="1"/>
    <col min="20" max="20" width="9" style="16"/>
    <col min="21" max="21" width="9.42578125" style="7" bestFit="1" customWidth="1"/>
    <col min="22" max="22" width="9" style="16"/>
    <col min="23" max="32" width="9" style="7"/>
    <col min="33" max="33" width="13.85546875" style="7" bestFit="1" customWidth="1"/>
    <col min="34" max="259" width="9" style="7"/>
    <col min="260" max="260" width="10.42578125" style="7" bestFit="1" customWidth="1"/>
    <col min="261" max="261" width="10.85546875" style="7" bestFit="1" customWidth="1"/>
    <col min="262" max="276" width="9" style="7"/>
    <col min="277" max="277" width="9.42578125" style="7" bestFit="1" customWidth="1"/>
    <col min="278" max="288" width="9" style="7"/>
    <col min="289" max="289" width="12.42578125" style="7" bestFit="1" customWidth="1"/>
    <col min="290" max="515" width="9" style="7"/>
    <col min="516" max="516" width="10.42578125" style="7" bestFit="1" customWidth="1"/>
    <col min="517" max="517" width="10.85546875" style="7" bestFit="1" customWidth="1"/>
    <col min="518" max="532" width="9" style="7"/>
    <col min="533" max="533" width="9.42578125" style="7" bestFit="1" customWidth="1"/>
    <col min="534" max="544" width="9" style="7"/>
    <col min="545" max="545" width="12.42578125" style="7" bestFit="1" customWidth="1"/>
    <col min="546" max="771" width="9" style="7"/>
    <col min="772" max="772" width="10.42578125" style="7" bestFit="1" customWidth="1"/>
    <col min="773" max="773" width="10.85546875" style="7" bestFit="1" customWidth="1"/>
    <col min="774" max="788" width="9" style="7"/>
    <col min="789" max="789" width="9.42578125" style="7" bestFit="1" customWidth="1"/>
    <col min="790" max="800" width="9" style="7"/>
    <col min="801" max="801" width="12.42578125" style="7" bestFit="1" customWidth="1"/>
    <col min="802" max="1027" width="9" style="7"/>
    <col min="1028" max="1028" width="10.42578125" style="7" bestFit="1" customWidth="1"/>
    <col min="1029" max="1029" width="10.85546875" style="7" bestFit="1" customWidth="1"/>
    <col min="1030" max="1044" width="9" style="7"/>
    <col min="1045" max="1045" width="9.42578125" style="7" bestFit="1" customWidth="1"/>
    <col min="1046" max="1056" width="9" style="7"/>
    <col min="1057" max="1057" width="12.42578125" style="7" bestFit="1" customWidth="1"/>
    <col min="1058" max="1283" width="9" style="7"/>
    <col min="1284" max="1284" width="10.42578125" style="7" bestFit="1" customWidth="1"/>
    <col min="1285" max="1285" width="10.85546875" style="7" bestFit="1" customWidth="1"/>
    <col min="1286" max="1300" width="9" style="7"/>
    <col min="1301" max="1301" width="9.42578125" style="7" bestFit="1" customWidth="1"/>
    <col min="1302" max="1312" width="9" style="7"/>
    <col min="1313" max="1313" width="12.42578125" style="7" bestFit="1" customWidth="1"/>
    <col min="1314" max="1539" width="9" style="7"/>
    <col min="1540" max="1540" width="10.42578125" style="7" bestFit="1" customWidth="1"/>
    <col min="1541" max="1541" width="10.85546875" style="7" bestFit="1" customWidth="1"/>
    <col min="1542" max="1556" width="9" style="7"/>
    <col min="1557" max="1557" width="9.42578125" style="7" bestFit="1" customWidth="1"/>
    <col min="1558" max="1568" width="9" style="7"/>
    <col min="1569" max="1569" width="12.42578125" style="7" bestFit="1" customWidth="1"/>
    <col min="1570" max="1795" width="9" style="7"/>
    <col min="1796" max="1796" width="10.42578125" style="7" bestFit="1" customWidth="1"/>
    <col min="1797" max="1797" width="10.85546875" style="7" bestFit="1" customWidth="1"/>
    <col min="1798" max="1812" width="9" style="7"/>
    <col min="1813" max="1813" width="9.42578125" style="7" bestFit="1" customWidth="1"/>
    <col min="1814" max="1824" width="9" style="7"/>
    <col min="1825" max="1825" width="12.42578125" style="7" bestFit="1" customWidth="1"/>
    <col min="1826" max="2051" width="9" style="7"/>
    <col min="2052" max="2052" width="10.42578125" style="7" bestFit="1" customWidth="1"/>
    <col min="2053" max="2053" width="10.85546875" style="7" bestFit="1" customWidth="1"/>
    <col min="2054" max="2068" width="9" style="7"/>
    <col min="2069" max="2069" width="9.42578125" style="7" bestFit="1" customWidth="1"/>
    <col min="2070" max="2080" width="9" style="7"/>
    <col min="2081" max="2081" width="12.42578125" style="7" bestFit="1" customWidth="1"/>
    <col min="2082" max="2307" width="9" style="7"/>
    <col min="2308" max="2308" width="10.42578125" style="7" bestFit="1" customWidth="1"/>
    <col min="2309" max="2309" width="10.85546875" style="7" bestFit="1" customWidth="1"/>
    <col min="2310" max="2324" width="9" style="7"/>
    <col min="2325" max="2325" width="9.42578125" style="7" bestFit="1" customWidth="1"/>
    <col min="2326" max="2336" width="9" style="7"/>
    <col min="2337" max="2337" width="12.42578125" style="7" bestFit="1" customWidth="1"/>
    <col min="2338" max="2563" width="9" style="7"/>
    <col min="2564" max="2564" width="10.42578125" style="7" bestFit="1" customWidth="1"/>
    <col min="2565" max="2565" width="10.85546875" style="7" bestFit="1" customWidth="1"/>
    <col min="2566" max="2580" width="9" style="7"/>
    <col min="2581" max="2581" width="9.42578125" style="7" bestFit="1" customWidth="1"/>
    <col min="2582" max="2592" width="9" style="7"/>
    <col min="2593" max="2593" width="12.42578125" style="7" bestFit="1" customWidth="1"/>
    <col min="2594" max="2819" width="9" style="7"/>
    <col min="2820" max="2820" width="10.42578125" style="7" bestFit="1" customWidth="1"/>
    <col min="2821" max="2821" width="10.85546875" style="7" bestFit="1" customWidth="1"/>
    <col min="2822" max="2836" width="9" style="7"/>
    <col min="2837" max="2837" width="9.42578125" style="7" bestFit="1" customWidth="1"/>
    <col min="2838" max="2848" width="9" style="7"/>
    <col min="2849" max="2849" width="12.42578125" style="7" bestFit="1" customWidth="1"/>
    <col min="2850" max="3075" width="9" style="7"/>
    <col min="3076" max="3076" width="10.42578125" style="7" bestFit="1" customWidth="1"/>
    <col min="3077" max="3077" width="10.85546875" style="7" bestFit="1" customWidth="1"/>
    <col min="3078" max="3092" width="9" style="7"/>
    <col min="3093" max="3093" width="9.42578125" style="7" bestFit="1" customWidth="1"/>
    <col min="3094" max="3104" width="9" style="7"/>
    <col min="3105" max="3105" width="12.42578125" style="7" bestFit="1" customWidth="1"/>
    <col min="3106" max="3331" width="9" style="7"/>
    <col min="3332" max="3332" width="10.42578125" style="7" bestFit="1" customWidth="1"/>
    <col min="3333" max="3333" width="10.85546875" style="7" bestFit="1" customWidth="1"/>
    <col min="3334" max="3348" width="9" style="7"/>
    <col min="3349" max="3349" width="9.42578125" style="7" bestFit="1" customWidth="1"/>
    <col min="3350" max="3360" width="9" style="7"/>
    <col min="3361" max="3361" width="12.42578125" style="7" bestFit="1" customWidth="1"/>
    <col min="3362" max="3587" width="9" style="7"/>
    <col min="3588" max="3588" width="10.42578125" style="7" bestFit="1" customWidth="1"/>
    <col min="3589" max="3589" width="10.85546875" style="7" bestFit="1" customWidth="1"/>
    <col min="3590" max="3604" width="9" style="7"/>
    <col min="3605" max="3605" width="9.42578125" style="7" bestFit="1" customWidth="1"/>
    <col min="3606" max="3616" width="9" style="7"/>
    <col min="3617" max="3617" width="12.42578125" style="7" bestFit="1" customWidth="1"/>
    <col min="3618" max="3843" width="9" style="7"/>
    <col min="3844" max="3844" width="10.42578125" style="7" bestFit="1" customWidth="1"/>
    <col min="3845" max="3845" width="10.85546875" style="7" bestFit="1" customWidth="1"/>
    <col min="3846" max="3860" width="9" style="7"/>
    <col min="3861" max="3861" width="9.42578125" style="7" bestFit="1" customWidth="1"/>
    <col min="3862" max="3872" width="9" style="7"/>
    <col min="3873" max="3873" width="12.42578125" style="7" bestFit="1" customWidth="1"/>
    <col min="3874" max="4099" width="9" style="7"/>
    <col min="4100" max="4100" width="10.42578125" style="7" bestFit="1" customWidth="1"/>
    <col min="4101" max="4101" width="10.85546875" style="7" bestFit="1" customWidth="1"/>
    <col min="4102" max="4116" width="9" style="7"/>
    <col min="4117" max="4117" width="9.42578125" style="7" bestFit="1" customWidth="1"/>
    <col min="4118" max="4128" width="9" style="7"/>
    <col min="4129" max="4129" width="12.42578125" style="7" bestFit="1" customWidth="1"/>
    <col min="4130" max="4355" width="9" style="7"/>
    <col min="4356" max="4356" width="10.42578125" style="7" bestFit="1" customWidth="1"/>
    <col min="4357" max="4357" width="10.85546875" style="7" bestFit="1" customWidth="1"/>
    <col min="4358" max="4372" width="9" style="7"/>
    <col min="4373" max="4373" width="9.42578125" style="7" bestFit="1" customWidth="1"/>
    <col min="4374" max="4384" width="9" style="7"/>
    <col min="4385" max="4385" width="12.42578125" style="7" bestFit="1" customWidth="1"/>
    <col min="4386" max="4611" width="9" style="7"/>
    <col min="4612" max="4612" width="10.42578125" style="7" bestFit="1" customWidth="1"/>
    <col min="4613" max="4613" width="10.85546875" style="7" bestFit="1" customWidth="1"/>
    <col min="4614" max="4628" width="9" style="7"/>
    <col min="4629" max="4629" width="9.42578125" style="7" bestFit="1" customWidth="1"/>
    <col min="4630" max="4640" width="9" style="7"/>
    <col min="4641" max="4641" width="12.42578125" style="7" bestFit="1" customWidth="1"/>
    <col min="4642" max="4867" width="9" style="7"/>
    <col min="4868" max="4868" width="10.42578125" style="7" bestFit="1" customWidth="1"/>
    <col min="4869" max="4869" width="10.85546875" style="7" bestFit="1" customWidth="1"/>
    <col min="4870" max="4884" width="9" style="7"/>
    <col min="4885" max="4885" width="9.42578125" style="7" bestFit="1" customWidth="1"/>
    <col min="4886" max="4896" width="9" style="7"/>
    <col min="4897" max="4897" width="12.42578125" style="7" bestFit="1" customWidth="1"/>
    <col min="4898" max="5123" width="9" style="7"/>
    <col min="5124" max="5124" width="10.42578125" style="7" bestFit="1" customWidth="1"/>
    <col min="5125" max="5125" width="10.85546875" style="7" bestFit="1" customWidth="1"/>
    <col min="5126" max="5140" width="9" style="7"/>
    <col min="5141" max="5141" width="9.42578125" style="7" bestFit="1" customWidth="1"/>
    <col min="5142" max="5152" width="9" style="7"/>
    <col min="5153" max="5153" width="12.42578125" style="7" bestFit="1" customWidth="1"/>
    <col min="5154" max="5379" width="9" style="7"/>
    <col min="5380" max="5380" width="10.42578125" style="7" bestFit="1" customWidth="1"/>
    <col min="5381" max="5381" width="10.85546875" style="7" bestFit="1" customWidth="1"/>
    <col min="5382" max="5396" width="9" style="7"/>
    <col min="5397" max="5397" width="9.42578125" style="7" bestFit="1" customWidth="1"/>
    <col min="5398" max="5408" width="9" style="7"/>
    <col min="5409" max="5409" width="12.42578125" style="7" bestFit="1" customWidth="1"/>
    <col min="5410" max="5635" width="9" style="7"/>
    <col min="5636" max="5636" width="10.42578125" style="7" bestFit="1" customWidth="1"/>
    <col min="5637" max="5637" width="10.85546875" style="7" bestFit="1" customWidth="1"/>
    <col min="5638" max="5652" width="9" style="7"/>
    <col min="5653" max="5653" width="9.42578125" style="7" bestFit="1" customWidth="1"/>
    <col min="5654" max="5664" width="9" style="7"/>
    <col min="5665" max="5665" width="12.42578125" style="7" bestFit="1" customWidth="1"/>
    <col min="5666" max="5891" width="9" style="7"/>
    <col min="5892" max="5892" width="10.42578125" style="7" bestFit="1" customWidth="1"/>
    <col min="5893" max="5893" width="10.85546875" style="7" bestFit="1" customWidth="1"/>
    <col min="5894" max="5908" width="9" style="7"/>
    <col min="5909" max="5909" width="9.42578125" style="7" bestFit="1" customWidth="1"/>
    <col min="5910" max="5920" width="9" style="7"/>
    <col min="5921" max="5921" width="12.42578125" style="7" bestFit="1" customWidth="1"/>
    <col min="5922" max="6147" width="9" style="7"/>
    <col min="6148" max="6148" width="10.42578125" style="7" bestFit="1" customWidth="1"/>
    <col min="6149" max="6149" width="10.85546875" style="7" bestFit="1" customWidth="1"/>
    <col min="6150" max="6164" width="9" style="7"/>
    <col min="6165" max="6165" width="9.42578125" style="7" bestFit="1" customWidth="1"/>
    <col min="6166" max="6176" width="9" style="7"/>
    <col min="6177" max="6177" width="12.42578125" style="7" bestFit="1" customWidth="1"/>
    <col min="6178" max="6403" width="9" style="7"/>
    <col min="6404" max="6404" width="10.42578125" style="7" bestFit="1" customWidth="1"/>
    <col min="6405" max="6405" width="10.85546875" style="7" bestFit="1" customWidth="1"/>
    <col min="6406" max="6420" width="9" style="7"/>
    <col min="6421" max="6421" width="9.42578125" style="7" bestFit="1" customWidth="1"/>
    <col min="6422" max="6432" width="9" style="7"/>
    <col min="6433" max="6433" width="12.42578125" style="7" bestFit="1" customWidth="1"/>
    <col min="6434" max="6659" width="9" style="7"/>
    <col min="6660" max="6660" width="10.42578125" style="7" bestFit="1" customWidth="1"/>
    <col min="6661" max="6661" width="10.85546875" style="7" bestFit="1" customWidth="1"/>
    <col min="6662" max="6676" width="9" style="7"/>
    <col min="6677" max="6677" width="9.42578125" style="7" bestFit="1" customWidth="1"/>
    <col min="6678" max="6688" width="9" style="7"/>
    <col min="6689" max="6689" width="12.42578125" style="7" bestFit="1" customWidth="1"/>
    <col min="6690" max="6915" width="9" style="7"/>
    <col min="6916" max="6916" width="10.42578125" style="7" bestFit="1" customWidth="1"/>
    <col min="6917" max="6917" width="10.85546875" style="7" bestFit="1" customWidth="1"/>
    <col min="6918" max="6932" width="9" style="7"/>
    <col min="6933" max="6933" width="9.42578125" style="7" bestFit="1" customWidth="1"/>
    <col min="6934" max="6944" width="9" style="7"/>
    <col min="6945" max="6945" width="12.42578125" style="7" bestFit="1" customWidth="1"/>
    <col min="6946" max="7171" width="9" style="7"/>
    <col min="7172" max="7172" width="10.42578125" style="7" bestFit="1" customWidth="1"/>
    <col min="7173" max="7173" width="10.85546875" style="7" bestFit="1" customWidth="1"/>
    <col min="7174" max="7188" width="9" style="7"/>
    <col min="7189" max="7189" width="9.42578125" style="7" bestFit="1" customWidth="1"/>
    <col min="7190" max="7200" width="9" style="7"/>
    <col min="7201" max="7201" width="12.42578125" style="7" bestFit="1" customWidth="1"/>
    <col min="7202" max="7427" width="9" style="7"/>
    <col min="7428" max="7428" width="10.42578125" style="7" bestFit="1" customWidth="1"/>
    <col min="7429" max="7429" width="10.85546875" style="7" bestFit="1" customWidth="1"/>
    <col min="7430" max="7444" width="9" style="7"/>
    <col min="7445" max="7445" width="9.42578125" style="7" bestFit="1" customWidth="1"/>
    <col min="7446" max="7456" width="9" style="7"/>
    <col min="7457" max="7457" width="12.42578125" style="7" bestFit="1" customWidth="1"/>
    <col min="7458" max="7683" width="9" style="7"/>
    <col min="7684" max="7684" width="10.42578125" style="7" bestFit="1" customWidth="1"/>
    <col min="7685" max="7685" width="10.85546875" style="7" bestFit="1" customWidth="1"/>
    <col min="7686" max="7700" width="9" style="7"/>
    <col min="7701" max="7701" width="9.42578125" style="7" bestFit="1" customWidth="1"/>
    <col min="7702" max="7712" width="9" style="7"/>
    <col min="7713" max="7713" width="12.42578125" style="7" bestFit="1" customWidth="1"/>
    <col min="7714" max="7939" width="9" style="7"/>
    <col min="7940" max="7940" width="10.42578125" style="7" bestFit="1" customWidth="1"/>
    <col min="7941" max="7941" width="10.85546875" style="7" bestFit="1" customWidth="1"/>
    <col min="7942" max="7956" width="9" style="7"/>
    <col min="7957" max="7957" width="9.42578125" style="7" bestFit="1" customWidth="1"/>
    <col min="7958" max="7968" width="9" style="7"/>
    <col min="7969" max="7969" width="12.42578125" style="7" bestFit="1" customWidth="1"/>
    <col min="7970" max="8195" width="9" style="7"/>
    <col min="8196" max="8196" width="10.42578125" style="7" bestFit="1" customWidth="1"/>
    <col min="8197" max="8197" width="10.85546875" style="7" bestFit="1" customWidth="1"/>
    <col min="8198" max="8212" width="9" style="7"/>
    <col min="8213" max="8213" width="9.42578125" style="7" bestFit="1" customWidth="1"/>
    <col min="8214" max="8224" width="9" style="7"/>
    <col min="8225" max="8225" width="12.42578125" style="7" bestFit="1" customWidth="1"/>
    <col min="8226" max="8451" width="9" style="7"/>
    <col min="8452" max="8452" width="10.42578125" style="7" bestFit="1" customWidth="1"/>
    <col min="8453" max="8453" width="10.85546875" style="7" bestFit="1" customWidth="1"/>
    <col min="8454" max="8468" width="9" style="7"/>
    <col min="8469" max="8469" width="9.42578125" style="7" bestFit="1" customWidth="1"/>
    <col min="8470" max="8480" width="9" style="7"/>
    <col min="8481" max="8481" width="12.42578125" style="7" bestFit="1" customWidth="1"/>
    <col min="8482" max="8707" width="9" style="7"/>
    <col min="8708" max="8708" width="10.42578125" style="7" bestFit="1" customWidth="1"/>
    <col min="8709" max="8709" width="10.85546875" style="7" bestFit="1" customWidth="1"/>
    <col min="8710" max="8724" width="9" style="7"/>
    <col min="8725" max="8725" width="9.42578125" style="7" bestFit="1" customWidth="1"/>
    <col min="8726" max="8736" width="9" style="7"/>
    <col min="8737" max="8737" width="12.42578125" style="7" bestFit="1" customWidth="1"/>
    <col min="8738" max="8963" width="9" style="7"/>
    <col min="8964" max="8964" width="10.42578125" style="7" bestFit="1" customWidth="1"/>
    <col min="8965" max="8965" width="10.85546875" style="7" bestFit="1" customWidth="1"/>
    <col min="8966" max="8980" width="9" style="7"/>
    <col min="8981" max="8981" width="9.42578125" style="7" bestFit="1" customWidth="1"/>
    <col min="8982" max="8992" width="9" style="7"/>
    <col min="8993" max="8993" width="12.42578125" style="7" bestFit="1" customWidth="1"/>
    <col min="8994" max="9219" width="9" style="7"/>
    <col min="9220" max="9220" width="10.42578125" style="7" bestFit="1" customWidth="1"/>
    <col min="9221" max="9221" width="10.85546875" style="7" bestFit="1" customWidth="1"/>
    <col min="9222" max="9236" width="9" style="7"/>
    <col min="9237" max="9237" width="9.42578125" style="7" bestFit="1" customWidth="1"/>
    <col min="9238" max="9248" width="9" style="7"/>
    <col min="9249" max="9249" width="12.42578125" style="7" bestFit="1" customWidth="1"/>
    <col min="9250" max="9475" width="9" style="7"/>
    <col min="9476" max="9476" width="10.42578125" style="7" bestFit="1" customWidth="1"/>
    <col min="9477" max="9477" width="10.85546875" style="7" bestFit="1" customWidth="1"/>
    <col min="9478" max="9492" width="9" style="7"/>
    <col min="9493" max="9493" width="9.42578125" style="7" bestFit="1" customWidth="1"/>
    <col min="9494" max="9504" width="9" style="7"/>
    <col min="9505" max="9505" width="12.42578125" style="7" bestFit="1" customWidth="1"/>
    <col min="9506" max="9731" width="9" style="7"/>
    <col min="9732" max="9732" width="10.42578125" style="7" bestFit="1" customWidth="1"/>
    <col min="9733" max="9733" width="10.85546875" style="7" bestFit="1" customWidth="1"/>
    <col min="9734" max="9748" width="9" style="7"/>
    <col min="9749" max="9749" width="9.42578125" style="7" bestFit="1" customWidth="1"/>
    <col min="9750" max="9760" width="9" style="7"/>
    <col min="9761" max="9761" width="12.42578125" style="7" bestFit="1" customWidth="1"/>
    <col min="9762" max="9987" width="9" style="7"/>
    <col min="9988" max="9988" width="10.42578125" style="7" bestFit="1" customWidth="1"/>
    <col min="9989" max="9989" width="10.85546875" style="7" bestFit="1" customWidth="1"/>
    <col min="9990" max="10004" width="9" style="7"/>
    <col min="10005" max="10005" width="9.42578125" style="7" bestFit="1" customWidth="1"/>
    <col min="10006" max="10016" width="9" style="7"/>
    <col min="10017" max="10017" width="12.42578125" style="7" bestFit="1" customWidth="1"/>
    <col min="10018" max="10243" width="9" style="7"/>
    <col min="10244" max="10244" width="10.42578125" style="7" bestFit="1" customWidth="1"/>
    <col min="10245" max="10245" width="10.85546875" style="7" bestFit="1" customWidth="1"/>
    <col min="10246" max="10260" width="9" style="7"/>
    <col min="10261" max="10261" width="9.42578125" style="7" bestFit="1" customWidth="1"/>
    <col min="10262" max="10272" width="9" style="7"/>
    <col min="10273" max="10273" width="12.42578125" style="7" bestFit="1" customWidth="1"/>
    <col min="10274" max="10499" width="9" style="7"/>
    <col min="10500" max="10500" width="10.42578125" style="7" bestFit="1" customWidth="1"/>
    <col min="10501" max="10501" width="10.85546875" style="7" bestFit="1" customWidth="1"/>
    <col min="10502" max="10516" width="9" style="7"/>
    <col min="10517" max="10517" width="9.42578125" style="7" bestFit="1" customWidth="1"/>
    <col min="10518" max="10528" width="9" style="7"/>
    <col min="10529" max="10529" width="12.42578125" style="7" bestFit="1" customWidth="1"/>
    <col min="10530" max="10755" width="9" style="7"/>
    <col min="10756" max="10756" width="10.42578125" style="7" bestFit="1" customWidth="1"/>
    <col min="10757" max="10757" width="10.85546875" style="7" bestFit="1" customWidth="1"/>
    <col min="10758" max="10772" width="9" style="7"/>
    <col min="10773" max="10773" width="9.42578125" style="7" bestFit="1" customWidth="1"/>
    <col min="10774" max="10784" width="9" style="7"/>
    <col min="10785" max="10785" width="12.42578125" style="7" bestFit="1" customWidth="1"/>
    <col min="10786" max="11011" width="9" style="7"/>
    <col min="11012" max="11012" width="10.42578125" style="7" bestFit="1" customWidth="1"/>
    <col min="11013" max="11013" width="10.85546875" style="7" bestFit="1" customWidth="1"/>
    <col min="11014" max="11028" width="9" style="7"/>
    <col min="11029" max="11029" width="9.42578125" style="7" bestFit="1" customWidth="1"/>
    <col min="11030" max="11040" width="9" style="7"/>
    <col min="11041" max="11041" width="12.42578125" style="7" bestFit="1" customWidth="1"/>
    <col min="11042" max="11267" width="9" style="7"/>
    <col min="11268" max="11268" width="10.42578125" style="7" bestFit="1" customWidth="1"/>
    <col min="11269" max="11269" width="10.85546875" style="7" bestFit="1" customWidth="1"/>
    <col min="11270" max="11284" width="9" style="7"/>
    <col min="11285" max="11285" width="9.42578125" style="7" bestFit="1" customWidth="1"/>
    <col min="11286" max="11296" width="9" style="7"/>
    <col min="11297" max="11297" width="12.42578125" style="7" bestFit="1" customWidth="1"/>
    <col min="11298" max="11523" width="9" style="7"/>
    <col min="11524" max="11524" width="10.42578125" style="7" bestFit="1" customWidth="1"/>
    <col min="11525" max="11525" width="10.85546875" style="7" bestFit="1" customWidth="1"/>
    <col min="11526" max="11540" width="9" style="7"/>
    <col min="11541" max="11541" width="9.42578125" style="7" bestFit="1" customWidth="1"/>
    <col min="11542" max="11552" width="9" style="7"/>
    <col min="11553" max="11553" width="12.42578125" style="7" bestFit="1" customWidth="1"/>
    <col min="11554" max="11779" width="9" style="7"/>
    <col min="11780" max="11780" width="10.42578125" style="7" bestFit="1" customWidth="1"/>
    <col min="11781" max="11781" width="10.85546875" style="7" bestFit="1" customWidth="1"/>
    <col min="11782" max="11796" width="9" style="7"/>
    <col min="11797" max="11797" width="9.42578125" style="7" bestFit="1" customWidth="1"/>
    <col min="11798" max="11808" width="9" style="7"/>
    <col min="11809" max="11809" width="12.42578125" style="7" bestFit="1" customWidth="1"/>
    <col min="11810" max="12035" width="9" style="7"/>
    <col min="12036" max="12036" width="10.42578125" style="7" bestFit="1" customWidth="1"/>
    <col min="12037" max="12037" width="10.85546875" style="7" bestFit="1" customWidth="1"/>
    <col min="12038" max="12052" width="9" style="7"/>
    <col min="12053" max="12053" width="9.42578125" style="7" bestFit="1" customWidth="1"/>
    <col min="12054" max="12064" width="9" style="7"/>
    <col min="12065" max="12065" width="12.42578125" style="7" bestFit="1" customWidth="1"/>
    <col min="12066" max="12291" width="9" style="7"/>
    <col min="12292" max="12292" width="10.42578125" style="7" bestFit="1" customWidth="1"/>
    <col min="12293" max="12293" width="10.85546875" style="7" bestFit="1" customWidth="1"/>
    <col min="12294" max="12308" width="9" style="7"/>
    <col min="12309" max="12309" width="9.42578125" style="7" bestFit="1" customWidth="1"/>
    <col min="12310" max="12320" width="9" style="7"/>
    <col min="12321" max="12321" width="12.42578125" style="7" bestFit="1" customWidth="1"/>
    <col min="12322" max="12547" width="9" style="7"/>
    <col min="12548" max="12548" width="10.42578125" style="7" bestFit="1" customWidth="1"/>
    <col min="12549" max="12549" width="10.85546875" style="7" bestFit="1" customWidth="1"/>
    <col min="12550" max="12564" width="9" style="7"/>
    <col min="12565" max="12565" width="9.42578125" style="7" bestFit="1" customWidth="1"/>
    <col min="12566" max="12576" width="9" style="7"/>
    <col min="12577" max="12577" width="12.42578125" style="7" bestFit="1" customWidth="1"/>
    <col min="12578" max="12803" width="9" style="7"/>
    <col min="12804" max="12804" width="10.42578125" style="7" bestFit="1" customWidth="1"/>
    <col min="12805" max="12805" width="10.85546875" style="7" bestFit="1" customWidth="1"/>
    <col min="12806" max="12820" width="9" style="7"/>
    <col min="12821" max="12821" width="9.42578125" style="7" bestFit="1" customWidth="1"/>
    <col min="12822" max="12832" width="9" style="7"/>
    <col min="12833" max="12833" width="12.42578125" style="7" bestFit="1" customWidth="1"/>
    <col min="12834" max="13059" width="9" style="7"/>
    <col min="13060" max="13060" width="10.42578125" style="7" bestFit="1" customWidth="1"/>
    <col min="13061" max="13061" width="10.85546875" style="7" bestFit="1" customWidth="1"/>
    <col min="13062" max="13076" width="9" style="7"/>
    <col min="13077" max="13077" width="9.42578125" style="7" bestFit="1" customWidth="1"/>
    <col min="13078" max="13088" width="9" style="7"/>
    <col min="13089" max="13089" width="12.42578125" style="7" bestFit="1" customWidth="1"/>
    <col min="13090" max="13315" width="9" style="7"/>
    <col min="13316" max="13316" width="10.42578125" style="7" bestFit="1" customWidth="1"/>
    <col min="13317" max="13317" width="10.85546875" style="7" bestFit="1" customWidth="1"/>
    <col min="13318" max="13332" width="9" style="7"/>
    <col min="13333" max="13333" width="9.42578125" style="7" bestFit="1" customWidth="1"/>
    <col min="13334" max="13344" width="9" style="7"/>
    <col min="13345" max="13345" width="12.42578125" style="7" bestFit="1" customWidth="1"/>
    <col min="13346" max="13571" width="9" style="7"/>
    <col min="13572" max="13572" width="10.42578125" style="7" bestFit="1" customWidth="1"/>
    <col min="13573" max="13573" width="10.85546875" style="7" bestFit="1" customWidth="1"/>
    <col min="13574" max="13588" width="9" style="7"/>
    <col min="13589" max="13589" width="9.42578125" style="7" bestFit="1" customWidth="1"/>
    <col min="13590" max="13600" width="9" style="7"/>
    <col min="13601" max="13601" width="12.42578125" style="7" bestFit="1" customWidth="1"/>
    <col min="13602" max="13827" width="9" style="7"/>
    <col min="13828" max="13828" width="10.42578125" style="7" bestFit="1" customWidth="1"/>
    <col min="13829" max="13829" width="10.85546875" style="7" bestFit="1" customWidth="1"/>
    <col min="13830" max="13844" width="9" style="7"/>
    <col min="13845" max="13845" width="9.42578125" style="7" bestFit="1" customWidth="1"/>
    <col min="13846" max="13856" width="9" style="7"/>
    <col min="13857" max="13857" width="12.42578125" style="7" bestFit="1" customWidth="1"/>
    <col min="13858" max="14083" width="9" style="7"/>
    <col min="14084" max="14084" width="10.42578125" style="7" bestFit="1" customWidth="1"/>
    <col min="14085" max="14085" width="10.85546875" style="7" bestFit="1" customWidth="1"/>
    <col min="14086" max="14100" width="9" style="7"/>
    <col min="14101" max="14101" width="9.42578125" style="7" bestFit="1" customWidth="1"/>
    <col min="14102" max="14112" width="9" style="7"/>
    <col min="14113" max="14113" width="12.42578125" style="7" bestFit="1" customWidth="1"/>
    <col min="14114" max="14339" width="9" style="7"/>
    <col min="14340" max="14340" width="10.42578125" style="7" bestFit="1" customWidth="1"/>
    <col min="14341" max="14341" width="10.85546875" style="7" bestFit="1" customWidth="1"/>
    <col min="14342" max="14356" width="9" style="7"/>
    <col min="14357" max="14357" width="9.42578125" style="7" bestFit="1" customWidth="1"/>
    <col min="14358" max="14368" width="9" style="7"/>
    <col min="14369" max="14369" width="12.42578125" style="7" bestFit="1" customWidth="1"/>
    <col min="14370" max="14595" width="9" style="7"/>
    <col min="14596" max="14596" width="10.42578125" style="7" bestFit="1" customWidth="1"/>
    <col min="14597" max="14597" width="10.85546875" style="7" bestFit="1" customWidth="1"/>
    <col min="14598" max="14612" width="9" style="7"/>
    <col min="14613" max="14613" width="9.42578125" style="7" bestFit="1" customWidth="1"/>
    <col min="14614" max="14624" width="9" style="7"/>
    <col min="14625" max="14625" width="12.42578125" style="7" bestFit="1" customWidth="1"/>
    <col min="14626" max="14851" width="9" style="7"/>
    <col min="14852" max="14852" width="10.42578125" style="7" bestFit="1" customWidth="1"/>
    <col min="14853" max="14853" width="10.85546875" style="7" bestFit="1" customWidth="1"/>
    <col min="14854" max="14868" width="9" style="7"/>
    <col min="14869" max="14869" width="9.42578125" style="7" bestFit="1" customWidth="1"/>
    <col min="14870" max="14880" width="9" style="7"/>
    <col min="14881" max="14881" width="12.42578125" style="7" bestFit="1" customWidth="1"/>
    <col min="14882" max="15107" width="9" style="7"/>
    <col min="15108" max="15108" width="10.42578125" style="7" bestFit="1" customWidth="1"/>
    <col min="15109" max="15109" width="10.85546875" style="7" bestFit="1" customWidth="1"/>
    <col min="15110" max="15124" width="9" style="7"/>
    <col min="15125" max="15125" width="9.42578125" style="7" bestFit="1" customWidth="1"/>
    <col min="15126" max="15136" width="9" style="7"/>
    <col min="15137" max="15137" width="12.42578125" style="7" bestFit="1" customWidth="1"/>
    <col min="15138" max="15363" width="9" style="7"/>
    <col min="15364" max="15364" width="10.42578125" style="7" bestFit="1" customWidth="1"/>
    <col min="15365" max="15365" width="10.85546875" style="7" bestFit="1" customWidth="1"/>
    <col min="15366" max="15380" width="9" style="7"/>
    <col min="15381" max="15381" width="9.42578125" style="7" bestFit="1" customWidth="1"/>
    <col min="15382" max="15392" width="9" style="7"/>
    <col min="15393" max="15393" width="12.42578125" style="7" bestFit="1" customWidth="1"/>
    <col min="15394" max="15619" width="9" style="7"/>
    <col min="15620" max="15620" width="10.42578125" style="7" bestFit="1" customWidth="1"/>
    <col min="15621" max="15621" width="10.85546875" style="7" bestFit="1" customWidth="1"/>
    <col min="15622" max="15636" width="9" style="7"/>
    <col min="15637" max="15637" width="9.42578125" style="7" bestFit="1" customWidth="1"/>
    <col min="15638" max="15648" width="9" style="7"/>
    <col min="15649" max="15649" width="12.42578125" style="7" bestFit="1" customWidth="1"/>
    <col min="15650" max="15875" width="9" style="7"/>
    <col min="15876" max="15876" width="10.42578125" style="7" bestFit="1" customWidth="1"/>
    <col min="15877" max="15877" width="10.85546875" style="7" bestFit="1" customWidth="1"/>
    <col min="15878" max="15892" width="9" style="7"/>
    <col min="15893" max="15893" width="9.42578125" style="7" bestFit="1" customWidth="1"/>
    <col min="15894" max="15904" width="9" style="7"/>
    <col min="15905" max="15905" width="12.42578125" style="7" bestFit="1" customWidth="1"/>
    <col min="15906" max="16131" width="9" style="7"/>
    <col min="16132" max="16132" width="10.42578125" style="7" bestFit="1" customWidth="1"/>
    <col min="16133" max="16133" width="10.85546875" style="7" bestFit="1" customWidth="1"/>
    <col min="16134" max="16148" width="9" style="7"/>
    <col min="16149" max="16149" width="9.42578125" style="7" bestFit="1" customWidth="1"/>
    <col min="16150" max="16160" width="9" style="7"/>
    <col min="16161" max="16161" width="12.4257812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165</v>
      </c>
      <c r="I2" s="15" t="s">
        <v>159</v>
      </c>
      <c r="J2" s="15" t="s">
        <v>38</v>
      </c>
      <c r="K2" s="7" t="s">
        <v>161</v>
      </c>
      <c r="L2" s="7">
        <v>1</v>
      </c>
      <c r="N2" s="47">
        <v>1</v>
      </c>
      <c r="O2" s="15">
        <v>0.6</v>
      </c>
      <c r="P2" s="15">
        <v>0.75</v>
      </c>
      <c r="Q2" s="51">
        <f t="shared" ref="Q2:Q65" si="0">IF(OR(O2="",P2=""),"",AVERAGE(O2,P2))</f>
        <v>0.67500000000000004</v>
      </c>
      <c r="R2" s="15">
        <v>14.4</v>
      </c>
      <c r="S2" s="15">
        <v>118</v>
      </c>
      <c r="T2" s="38">
        <f t="shared" ref="T2:T59" si="1">IF(H2="","",IF(OR(H2="GREEN",H2="GK"),IF(S2&gt;=$AX$2,VLOOKUP(S2,$AX$2:$AY$12,2,1),""),IF(S2&gt;=$AZ$2,VLOOKUP(S2,$AZ$2:$BA$12,2,1),"")))</f>
        <v>30</v>
      </c>
      <c r="U2" s="15">
        <v>105</v>
      </c>
      <c r="V2" s="38">
        <f t="shared" ref="V2:V65" si="2">IF(OR(N2="",U2="",T2=""),"",U2/N2*T2)</f>
        <v>3150</v>
      </c>
      <c r="W2" s="15">
        <v>8</v>
      </c>
      <c r="X2" s="15" t="s">
        <v>46</v>
      </c>
      <c r="Y2" s="15" t="s">
        <v>55</v>
      </c>
      <c r="Z2" s="15" t="s">
        <v>47</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165</v>
      </c>
      <c r="I3" s="7" t="s">
        <v>159</v>
      </c>
      <c r="J3" s="15" t="s">
        <v>38</v>
      </c>
      <c r="K3" s="7" t="s">
        <v>161</v>
      </c>
      <c r="L3" s="7">
        <v>2</v>
      </c>
      <c r="N3" s="7">
        <v>1</v>
      </c>
      <c r="O3" s="34">
        <v>0.7</v>
      </c>
      <c r="P3" s="7">
        <v>0.8</v>
      </c>
      <c r="Q3" s="52">
        <f t="shared" si="0"/>
        <v>0.75</v>
      </c>
      <c r="R3" s="7">
        <v>14.6</v>
      </c>
      <c r="S3" s="7">
        <v>125</v>
      </c>
      <c r="T3" s="16">
        <f t="shared" si="1"/>
        <v>27</v>
      </c>
      <c r="U3" s="15">
        <v>105</v>
      </c>
      <c r="V3" s="16">
        <f t="shared" si="2"/>
        <v>2835</v>
      </c>
      <c r="W3" s="15">
        <v>8</v>
      </c>
      <c r="X3" s="15" t="s">
        <v>46</v>
      </c>
      <c r="Y3" s="15" t="s">
        <v>55</v>
      </c>
      <c r="Z3" s="15" t="s">
        <v>47</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165</v>
      </c>
      <c r="I4" s="7" t="s">
        <v>159</v>
      </c>
      <c r="J4" s="15" t="s">
        <v>38</v>
      </c>
      <c r="K4" s="7" t="s">
        <v>161</v>
      </c>
      <c r="L4" s="7">
        <v>3</v>
      </c>
      <c r="N4" s="7">
        <v>1</v>
      </c>
      <c r="O4" s="7">
        <v>0.8</v>
      </c>
      <c r="P4" s="7">
        <v>0.8</v>
      </c>
      <c r="Q4" s="52">
        <f t="shared" si="0"/>
        <v>0.8</v>
      </c>
      <c r="R4" s="7">
        <v>14.8</v>
      </c>
      <c r="S4" s="7">
        <v>123</v>
      </c>
      <c r="T4" s="16">
        <f t="shared" si="1"/>
        <v>27</v>
      </c>
      <c r="U4" s="15">
        <v>105</v>
      </c>
      <c r="V4" s="16">
        <f t="shared" si="2"/>
        <v>2835</v>
      </c>
      <c r="W4" s="15">
        <v>8</v>
      </c>
      <c r="X4" s="15" t="s">
        <v>46</v>
      </c>
      <c r="Y4" s="15" t="s">
        <v>55</v>
      </c>
      <c r="Z4" s="15" t="s">
        <v>47</v>
      </c>
      <c r="AA4" s="15"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141</v>
      </c>
      <c r="F5" s="15" t="s">
        <v>149</v>
      </c>
      <c r="G5" s="7" t="s">
        <v>36</v>
      </c>
      <c r="H5" s="15" t="s">
        <v>160</v>
      </c>
      <c r="I5" s="7" t="s">
        <v>159</v>
      </c>
      <c r="J5" s="15" t="s">
        <v>38</v>
      </c>
      <c r="K5" s="7" t="s">
        <v>161</v>
      </c>
      <c r="L5" s="7">
        <v>1</v>
      </c>
      <c r="N5" s="7">
        <v>1</v>
      </c>
      <c r="O5" s="7">
        <v>0.9</v>
      </c>
      <c r="P5" s="7">
        <v>0.85</v>
      </c>
      <c r="Q5" s="52">
        <f t="shared" si="0"/>
        <v>0.875</v>
      </c>
      <c r="R5" s="7">
        <v>15.4</v>
      </c>
      <c r="S5" s="7">
        <v>135</v>
      </c>
      <c r="T5" s="16">
        <f t="shared" si="1"/>
        <v>25</v>
      </c>
      <c r="U5" s="15">
        <v>135</v>
      </c>
      <c r="V5" s="16">
        <f t="shared" si="2"/>
        <v>3375</v>
      </c>
      <c r="W5" s="15">
        <v>17</v>
      </c>
      <c r="X5" s="15" t="s">
        <v>46</v>
      </c>
      <c r="Y5" s="15" t="s">
        <v>55</v>
      </c>
      <c r="Z5" s="15" t="s">
        <v>47</v>
      </c>
      <c r="AA5" s="15"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141</v>
      </c>
      <c r="F6" s="7" t="s">
        <v>149</v>
      </c>
      <c r="G6" s="7" t="s">
        <v>36</v>
      </c>
      <c r="H6" s="54" t="s">
        <v>160</v>
      </c>
      <c r="I6" s="7" t="s">
        <v>159</v>
      </c>
      <c r="J6" s="15" t="s">
        <v>38</v>
      </c>
      <c r="K6" s="7" t="s">
        <v>161</v>
      </c>
      <c r="L6" s="7">
        <v>2</v>
      </c>
      <c r="N6" s="7">
        <v>1</v>
      </c>
      <c r="O6" s="7">
        <v>0.65</v>
      </c>
      <c r="P6" s="7">
        <v>0.65</v>
      </c>
      <c r="Q6" s="52">
        <f t="shared" si="0"/>
        <v>0.65</v>
      </c>
      <c r="R6" s="7">
        <v>17.3</v>
      </c>
      <c r="S6" s="7">
        <v>134</v>
      </c>
      <c r="T6" s="16">
        <f t="shared" si="1"/>
        <v>25</v>
      </c>
      <c r="U6" s="15">
        <v>135</v>
      </c>
      <c r="V6" s="16">
        <f t="shared" si="2"/>
        <v>3375</v>
      </c>
      <c r="W6" s="15">
        <v>17</v>
      </c>
      <c r="X6" s="15" t="s">
        <v>46</v>
      </c>
      <c r="Y6" s="15" t="s">
        <v>55</v>
      </c>
      <c r="Z6" s="15" t="s">
        <v>47</v>
      </c>
      <c r="AA6" s="15"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141</v>
      </c>
      <c r="F7" s="7" t="s">
        <v>149</v>
      </c>
      <c r="G7" s="7" t="s">
        <v>36</v>
      </c>
      <c r="H7" s="54" t="s">
        <v>160</v>
      </c>
      <c r="I7" s="7" t="s">
        <v>159</v>
      </c>
      <c r="J7" s="15" t="s">
        <v>38</v>
      </c>
      <c r="K7" s="7" t="s">
        <v>161</v>
      </c>
      <c r="L7" s="7">
        <v>3</v>
      </c>
      <c r="N7" s="7">
        <v>1</v>
      </c>
      <c r="O7" s="7">
        <v>0.7</v>
      </c>
      <c r="P7" s="7">
        <v>0.75</v>
      </c>
      <c r="Q7" s="52">
        <f t="shared" si="0"/>
        <v>0.72499999999999998</v>
      </c>
      <c r="R7" s="34">
        <v>16.3</v>
      </c>
      <c r="S7" s="7">
        <v>132</v>
      </c>
      <c r="T7" s="16">
        <f t="shared" si="1"/>
        <v>25</v>
      </c>
      <c r="U7" s="15">
        <v>135</v>
      </c>
      <c r="V7" s="16">
        <f t="shared" si="2"/>
        <v>3375</v>
      </c>
      <c r="W7" s="15">
        <v>17</v>
      </c>
      <c r="X7" s="15" t="s">
        <v>46</v>
      </c>
      <c r="Y7" s="15" t="s">
        <v>55</v>
      </c>
      <c r="Z7" s="15" t="s">
        <v>47</v>
      </c>
      <c r="AA7" s="15"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164</v>
      </c>
      <c r="I8" s="7" t="s">
        <v>159</v>
      </c>
      <c r="J8" s="15" t="s">
        <v>38</v>
      </c>
      <c r="K8" s="7" t="s">
        <v>161</v>
      </c>
      <c r="L8" s="7">
        <v>1</v>
      </c>
      <c r="N8" s="7">
        <v>1</v>
      </c>
      <c r="O8" s="7">
        <v>0.9</v>
      </c>
      <c r="P8" s="7">
        <v>0.85</v>
      </c>
      <c r="Q8" s="52">
        <f t="shared" si="0"/>
        <v>0.875</v>
      </c>
      <c r="R8" s="34">
        <v>15</v>
      </c>
      <c r="S8" s="7">
        <v>111</v>
      </c>
      <c r="T8" s="16">
        <f t="shared" si="1"/>
        <v>33</v>
      </c>
      <c r="U8" s="15">
        <v>95</v>
      </c>
      <c r="V8" s="16">
        <f t="shared" si="2"/>
        <v>3135</v>
      </c>
      <c r="W8" s="15">
        <v>2</v>
      </c>
      <c r="X8" s="15" t="s">
        <v>46</v>
      </c>
      <c r="Y8" s="15" t="s">
        <v>47</v>
      </c>
      <c r="Z8" s="15" t="s">
        <v>40</v>
      </c>
      <c r="AA8" s="15" t="s">
        <v>69</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15" t="s">
        <v>164</v>
      </c>
      <c r="I9" s="7" t="s">
        <v>159</v>
      </c>
      <c r="J9" s="15" t="s">
        <v>38</v>
      </c>
      <c r="K9" s="7" t="s">
        <v>161</v>
      </c>
      <c r="L9" s="7">
        <v>2</v>
      </c>
      <c r="N9" s="7">
        <v>1</v>
      </c>
      <c r="O9" s="7">
        <v>1.25</v>
      </c>
      <c r="P9" s="7">
        <v>1.3</v>
      </c>
      <c r="Q9" s="52">
        <f t="shared" si="0"/>
        <v>1.2749999999999999</v>
      </c>
      <c r="R9" s="7">
        <v>20.6</v>
      </c>
      <c r="S9" s="7">
        <v>106</v>
      </c>
      <c r="T9" s="16">
        <f t="shared" si="1"/>
        <v>33</v>
      </c>
      <c r="U9" s="15">
        <v>95</v>
      </c>
      <c r="V9" s="16">
        <f t="shared" si="2"/>
        <v>3135</v>
      </c>
      <c r="W9" s="15">
        <v>2</v>
      </c>
      <c r="X9" s="15" t="s">
        <v>46</v>
      </c>
      <c r="Y9" s="54" t="s">
        <v>47</v>
      </c>
      <c r="Z9" s="54" t="s">
        <v>40</v>
      </c>
      <c r="AA9" s="54" t="s">
        <v>69</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15" t="s">
        <v>164</v>
      </c>
      <c r="I10" s="7" t="s">
        <v>159</v>
      </c>
      <c r="J10" s="15" t="s">
        <v>38</v>
      </c>
      <c r="K10" s="7" t="s">
        <v>161</v>
      </c>
      <c r="L10" s="7">
        <v>3</v>
      </c>
      <c r="N10" s="7">
        <v>1</v>
      </c>
      <c r="O10" s="7">
        <v>1.05</v>
      </c>
      <c r="P10" s="7">
        <v>1.1000000000000001</v>
      </c>
      <c r="Q10" s="52">
        <f t="shared" si="0"/>
        <v>1.0750000000000002</v>
      </c>
      <c r="R10" s="7">
        <v>16.7</v>
      </c>
      <c r="S10" s="7">
        <v>106</v>
      </c>
      <c r="T10" s="16">
        <f t="shared" si="1"/>
        <v>33</v>
      </c>
      <c r="U10" s="15">
        <v>95</v>
      </c>
      <c r="V10" s="16">
        <f t="shared" si="2"/>
        <v>3135</v>
      </c>
      <c r="W10" s="15">
        <v>2</v>
      </c>
      <c r="X10" s="15" t="s">
        <v>46</v>
      </c>
      <c r="Y10" s="54" t="s">
        <v>47</v>
      </c>
      <c r="Z10" s="54" t="s">
        <v>40</v>
      </c>
      <c r="AA10" s="54" t="s">
        <v>69</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133</v>
      </c>
      <c r="F11" s="7" t="s">
        <v>150</v>
      </c>
      <c r="G11" s="7" t="s">
        <v>36</v>
      </c>
      <c r="H11" s="15" t="s">
        <v>160</v>
      </c>
      <c r="I11" s="7" t="s">
        <v>159</v>
      </c>
      <c r="J11" s="15" t="s">
        <v>38</v>
      </c>
      <c r="K11" s="7" t="s">
        <v>161</v>
      </c>
      <c r="L11" s="7">
        <v>1</v>
      </c>
      <c r="N11" s="7">
        <v>1</v>
      </c>
      <c r="O11" s="7">
        <v>0.95</v>
      </c>
      <c r="P11" s="7">
        <v>0.85</v>
      </c>
      <c r="Q11" s="52">
        <f t="shared" si="0"/>
        <v>0.89999999999999991</v>
      </c>
      <c r="R11" s="7">
        <v>16.5</v>
      </c>
      <c r="S11" s="7">
        <v>117</v>
      </c>
      <c r="T11" s="16">
        <f t="shared" si="1"/>
        <v>30</v>
      </c>
      <c r="U11" s="7">
        <v>95</v>
      </c>
      <c r="V11" s="16">
        <f t="shared" si="2"/>
        <v>2850</v>
      </c>
      <c r="W11" s="7">
        <v>6</v>
      </c>
      <c r="X11" s="15" t="s">
        <v>46</v>
      </c>
      <c r="Y11" s="54" t="s">
        <v>47</v>
      </c>
      <c r="Z11" s="54" t="s">
        <v>40</v>
      </c>
      <c r="AA11" s="54" t="s">
        <v>69</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133</v>
      </c>
      <c r="F12" s="7" t="s">
        <v>150</v>
      </c>
      <c r="G12" s="7" t="s">
        <v>36</v>
      </c>
      <c r="H12" s="54" t="s">
        <v>160</v>
      </c>
      <c r="I12" s="53" t="s">
        <v>159</v>
      </c>
      <c r="J12" s="15" t="s">
        <v>38</v>
      </c>
      <c r="K12" s="7" t="s">
        <v>161</v>
      </c>
      <c r="L12" s="7">
        <v>2</v>
      </c>
      <c r="N12" s="7">
        <v>1</v>
      </c>
      <c r="O12" s="7">
        <v>0.85</v>
      </c>
      <c r="P12" s="7">
        <v>0.75</v>
      </c>
      <c r="Q12" s="52">
        <f t="shared" si="0"/>
        <v>0.8</v>
      </c>
      <c r="R12" s="34">
        <v>15.7</v>
      </c>
      <c r="S12" s="7">
        <v>110</v>
      </c>
      <c r="T12" s="16">
        <f t="shared" si="1"/>
        <v>33</v>
      </c>
      <c r="U12" s="7">
        <v>95</v>
      </c>
      <c r="V12" s="16">
        <f t="shared" si="2"/>
        <v>3135</v>
      </c>
      <c r="W12" s="7">
        <v>6</v>
      </c>
      <c r="X12" s="15" t="s">
        <v>46</v>
      </c>
      <c r="Y12" s="54" t="s">
        <v>47</v>
      </c>
      <c r="Z12" s="54" t="s">
        <v>40</v>
      </c>
      <c r="AA12" s="54" t="s">
        <v>69</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133</v>
      </c>
      <c r="F13" s="7" t="s">
        <v>150</v>
      </c>
      <c r="G13" s="7" t="s">
        <v>36</v>
      </c>
      <c r="H13" s="54" t="s">
        <v>160</v>
      </c>
      <c r="I13" s="53" t="s">
        <v>159</v>
      </c>
      <c r="J13" s="15" t="s">
        <v>38</v>
      </c>
      <c r="K13" s="7" t="s">
        <v>161</v>
      </c>
      <c r="L13" s="7">
        <v>3</v>
      </c>
      <c r="N13" s="7">
        <v>1</v>
      </c>
      <c r="O13" s="7">
        <v>0.85</v>
      </c>
      <c r="P13" s="7">
        <v>0.85</v>
      </c>
      <c r="Q13" s="52">
        <f t="shared" si="0"/>
        <v>0.85</v>
      </c>
      <c r="R13" s="7">
        <v>14.1</v>
      </c>
      <c r="S13" s="7">
        <v>114</v>
      </c>
      <c r="T13" s="16">
        <f t="shared" si="1"/>
        <v>30</v>
      </c>
      <c r="U13" s="7">
        <v>95</v>
      </c>
      <c r="V13" s="16">
        <f t="shared" si="2"/>
        <v>2850</v>
      </c>
      <c r="W13" s="7">
        <v>6</v>
      </c>
      <c r="X13" s="15" t="s">
        <v>46</v>
      </c>
      <c r="Y13" s="54" t="s">
        <v>47</v>
      </c>
      <c r="Z13" s="54" t="s">
        <v>40</v>
      </c>
      <c r="AA13" s="54" t="s">
        <v>69</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165</v>
      </c>
      <c r="I14" s="7" t="s">
        <v>159</v>
      </c>
      <c r="J14" s="15" t="s">
        <v>38</v>
      </c>
      <c r="K14" s="7" t="s">
        <v>161</v>
      </c>
      <c r="L14" s="7">
        <v>1</v>
      </c>
      <c r="N14" s="7">
        <v>4</v>
      </c>
      <c r="O14" s="7">
        <v>0.7</v>
      </c>
      <c r="P14" s="7">
        <v>0.7</v>
      </c>
      <c r="Q14" s="52">
        <f t="shared" si="0"/>
        <v>0.7</v>
      </c>
      <c r="R14" s="7">
        <v>13.2</v>
      </c>
      <c r="S14" s="7">
        <v>96</v>
      </c>
      <c r="T14" s="16">
        <f t="shared" si="1"/>
        <v>36</v>
      </c>
      <c r="U14" s="7">
        <v>429</v>
      </c>
      <c r="V14" s="16">
        <f t="shared" si="2"/>
        <v>3861</v>
      </c>
      <c r="W14" s="7">
        <v>1</v>
      </c>
      <c r="X14" s="15" t="s">
        <v>46</v>
      </c>
      <c r="Y14" s="15" t="s">
        <v>55</v>
      </c>
      <c r="Z14" s="15" t="s">
        <v>90</v>
      </c>
      <c r="AA14" s="15" t="s">
        <v>47</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165</v>
      </c>
      <c r="I15" s="7" t="s">
        <v>159</v>
      </c>
      <c r="J15" s="15" t="s">
        <v>38</v>
      </c>
      <c r="K15" s="7" t="s">
        <v>161</v>
      </c>
      <c r="L15" s="7">
        <v>2</v>
      </c>
      <c r="N15" s="7">
        <v>4</v>
      </c>
      <c r="O15" s="7">
        <v>0.5</v>
      </c>
      <c r="P15" s="7">
        <v>0.5</v>
      </c>
      <c r="Q15" s="52">
        <f t="shared" si="0"/>
        <v>0.5</v>
      </c>
      <c r="R15" s="7">
        <v>15.1</v>
      </c>
      <c r="S15" s="7">
        <v>95</v>
      </c>
      <c r="T15" s="16">
        <f t="shared" si="1"/>
        <v>36</v>
      </c>
      <c r="U15" s="7">
        <v>429</v>
      </c>
      <c r="V15" s="16">
        <f t="shared" si="2"/>
        <v>3861</v>
      </c>
      <c r="W15" s="7">
        <v>1</v>
      </c>
      <c r="X15" s="15" t="s">
        <v>46</v>
      </c>
      <c r="Y15" s="54" t="s">
        <v>55</v>
      </c>
      <c r="Z15" s="54" t="s">
        <v>90</v>
      </c>
      <c r="AA15" s="54" t="s">
        <v>47</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165</v>
      </c>
      <c r="I16" s="7" t="s">
        <v>159</v>
      </c>
      <c r="J16" s="15" t="s">
        <v>38</v>
      </c>
      <c r="K16" s="7" t="s">
        <v>161</v>
      </c>
      <c r="L16" s="7">
        <v>3</v>
      </c>
      <c r="N16" s="7">
        <v>4</v>
      </c>
      <c r="O16" s="7">
        <v>0.7</v>
      </c>
      <c r="P16" s="7">
        <v>0.75</v>
      </c>
      <c r="Q16" s="52">
        <f t="shared" si="0"/>
        <v>0.72499999999999998</v>
      </c>
      <c r="R16" s="7">
        <v>13.9</v>
      </c>
      <c r="S16" s="7">
        <v>98</v>
      </c>
      <c r="T16" s="16">
        <f t="shared" si="1"/>
        <v>36</v>
      </c>
      <c r="U16" s="7">
        <v>429</v>
      </c>
      <c r="V16" s="16">
        <f t="shared" si="2"/>
        <v>3861</v>
      </c>
      <c r="W16" s="7">
        <v>1</v>
      </c>
      <c r="X16" s="15" t="s">
        <v>46</v>
      </c>
      <c r="Y16" s="54" t="s">
        <v>55</v>
      </c>
      <c r="Z16" s="54" t="s">
        <v>90</v>
      </c>
      <c r="AA16" s="54" t="s">
        <v>47</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142</v>
      </c>
      <c r="F17" s="7" t="s">
        <v>151</v>
      </c>
      <c r="G17" s="7" t="s">
        <v>36</v>
      </c>
      <c r="H17" s="15" t="s">
        <v>160</v>
      </c>
      <c r="I17" s="7" t="s">
        <v>159</v>
      </c>
      <c r="J17" s="15" t="s">
        <v>38</v>
      </c>
      <c r="K17" s="7" t="s">
        <v>161</v>
      </c>
      <c r="L17" s="7">
        <v>1</v>
      </c>
      <c r="N17" s="7">
        <v>1</v>
      </c>
      <c r="O17" s="7">
        <v>0.85</v>
      </c>
      <c r="P17" s="7">
        <v>0.75</v>
      </c>
      <c r="Q17" s="52">
        <f t="shared" si="0"/>
        <v>0.8</v>
      </c>
      <c r="R17" s="7">
        <v>17.7</v>
      </c>
      <c r="S17" s="7">
        <v>122</v>
      </c>
      <c r="T17" s="16">
        <f t="shared" si="1"/>
        <v>27</v>
      </c>
      <c r="U17" s="7">
        <v>149</v>
      </c>
      <c r="V17" s="16">
        <f t="shared" si="2"/>
        <v>4023</v>
      </c>
      <c r="W17" s="7">
        <v>7</v>
      </c>
      <c r="X17" s="15" t="s">
        <v>46</v>
      </c>
      <c r="Y17" s="54" t="s">
        <v>55</v>
      </c>
      <c r="Z17" s="54" t="s">
        <v>90</v>
      </c>
      <c r="AA17" s="54" t="s">
        <v>47</v>
      </c>
      <c r="AB17" s="39" t="s">
        <v>158</v>
      </c>
      <c r="AE17" s="22" t="s">
        <v>85</v>
      </c>
      <c r="AP17" s="43" t="s">
        <v>110</v>
      </c>
      <c r="AR17" s="41" t="s">
        <v>96</v>
      </c>
      <c r="AV17" s="23" t="s">
        <v>86</v>
      </c>
    </row>
    <row r="18" spans="1:48" x14ac:dyDescent="0.15">
      <c r="A18" s="15" t="s">
        <v>156</v>
      </c>
      <c r="B18" s="15" t="s">
        <v>157</v>
      </c>
      <c r="C18" s="15">
        <v>2019</v>
      </c>
      <c r="D18" s="37" t="s">
        <v>166</v>
      </c>
      <c r="E18" s="15" t="s">
        <v>142</v>
      </c>
      <c r="F18" s="7" t="s">
        <v>151</v>
      </c>
      <c r="G18" s="7" t="s">
        <v>36</v>
      </c>
      <c r="H18" s="15" t="s">
        <v>160</v>
      </c>
      <c r="I18" s="7" t="s">
        <v>159</v>
      </c>
      <c r="J18" s="15" t="s">
        <v>38</v>
      </c>
      <c r="K18" s="7" t="s">
        <v>161</v>
      </c>
      <c r="L18" s="7">
        <v>2</v>
      </c>
      <c r="N18" s="7">
        <v>1</v>
      </c>
      <c r="O18" s="7">
        <v>0.6</v>
      </c>
      <c r="P18" s="7">
        <v>0.6</v>
      </c>
      <c r="Q18" s="52">
        <f t="shared" si="0"/>
        <v>0.6</v>
      </c>
      <c r="R18" s="7">
        <v>17.600000000000001</v>
      </c>
      <c r="S18" s="7">
        <v>127</v>
      </c>
      <c r="T18" s="16">
        <f t="shared" si="1"/>
        <v>27</v>
      </c>
      <c r="U18" s="7">
        <v>149</v>
      </c>
      <c r="V18" s="16">
        <f t="shared" si="2"/>
        <v>4023</v>
      </c>
      <c r="W18" s="7">
        <v>7</v>
      </c>
      <c r="X18" s="15" t="s">
        <v>46</v>
      </c>
      <c r="Y18" s="54" t="s">
        <v>55</v>
      </c>
      <c r="Z18" s="54" t="s">
        <v>90</v>
      </c>
      <c r="AA18" s="54" t="s">
        <v>47</v>
      </c>
      <c r="AB18" s="39" t="s">
        <v>158</v>
      </c>
      <c r="AE18" s="22" t="s">
        <v>87</v>
      </c>
      <c r="AP18" s="43" t="s">
        <v>111</v>
      </c>
      <c r="AR18" s="41" t="s">
        <v>101</v>
      </c>
      <c r="AV18" s="23" t="s">
        <v>88</v>
      </c>
    </row>
    <row r="19" spans="1:48" x14ac:dyDescent="0.15">
      <c r="A19" s="15" t="s">
        <v>156</v>
      </c>
      <c r="B19" s="15" t="s">
        <v>157</v>
      </c>
      <c r="C19" s="15">
        <v>2019</v>
      </c>
      <c r="D19" s="37" t="s">
        <v>166</v>
      </c>
      <c r="E19" s="15" t="s">
        <v>142</v>
      </c>
      <c r="F19" s="7" t="s">
        <v>151</v>
      </c>
      <c r="G19" s="7" t="s">
        <v>36</v>
      </c>
      <c r="H19" s="15" t="s">
        <v>160</v>
      </c>
      <c r="I19" s="7" t="s">
        <v>159</v>
      </c>
      <c r="J19" s="15" t="s">
        <v>38</v>
      </c>
      <c r="K19" s="7" t="s">
        <v>161</v>
      </c>
      <c r="L19" s="7">
        <v>3</v>
      </c>
      <c r="N19" s="7">
        <v>1</v>
      </c>
      <c r="O19" s="7">
        <v>0.6</v>
      </c>
      <c r="P19" s="7">
        <v>0.6</v>
      </c>
      <c r="Q19" s="52">
        <f t="shared" si="0"/>
        <v>0.6</v>
      </c>
      <c r="R19" s="7">
        <v>15.6</v>
      </c>
      <c r="S19" s="7">
        <v>128</v>
      </c>
      <c r="T19" s="16">
        <f t="shared" si="1"/>
        <v>27</v>
      </c>
      <c r="U19" s="7">
        <v>149</v>
      </c>
      <c r="V19" s="16">
        <f t="shared" si="2"/>
        <v>4023</v>
      </c>
      <c r="W19" s="7">
        <v>7</v>
      </c>
      <c r="X19" s="15" t="s">
        <v>46</v>
      </c>
      <c r="Y19" s="54" t="s">
        <v>55</v>
      </c>
      <c r="Z19" s="54" t="s">
        <v>90</v>
      </c>
      <c r="AA19" s="54" t="s">
        <v>47</v>
      </c>
      <c r="AB19" s="39" t="s">
        <v>158</v>
      </c>
      <c r="AE19" s="35" t="s">
        <v>89</v>
      </c>
      <c r="AP19" s="43" t="s">
        <v>112</v>
      </c>
      <c r="AR19" s="30" t="s">
        <v>126</v>
      </c>
      <c r="AV19" s="23" t="s">
        <v>90</v>
      </c>
    </row>
    <row r="20" spans="1:48" x14ac:dyDescent="0.15">
      <c r="A20" s="15" t="s">
        <v>156</v>
      </c>
      <c r="B20" s="15" t="s">
        <v>157</v>
      </c>
      <c r="C20" s="15">
        <v>2019</v>
      </c>
      <c r="D20" s="37" t="s">
        <v>166</v>
      </c>
      <c r="E20" s="15" t="s">
        <v>143</v>
      </c>
      <c r="F20" s="7" t="s">
        <v>152</v>
      </c>
      <c r="G20" s="7" t="s">
        <v>36</v>
      </c>
      <c r="H20" s="15" t="s">
        <v>127</v>
      </c>
      <c r="I20" s="7" t="s">
        <v>159</v>
      </c>
      <c r="J20" s="15" t="s">
        <v>53</v>
      </c>
      <c r="K20" s="7" t="s">
        <v>54</v>
      </c>
      <c r="L20" s="7">
        <v>1</v>
      </c>
      <c r="N20" s="7">
        <v>1</v>
      </c>
      <c r="O20" s="7">
        <v>0.9</v>
      </c>
      <c r="P20" s="34">
        <v>0.85</v>
      </c>
      <c r="Q20" s="52">
        <f t="shared" si="0"/>
        <v>0.875</v>
      </c>
      <c r="R20" s="7">
        <v>13.6</v>
      </c>
      <c r="S20" s="7">
        <v>124</v>
      </c>
      <c r="T20" s="16">
        <f t="shared" si="1"/>
        <v>27</v>
      </c>
      <c r="U20" s="7">
        <v>138</v>
      </c>
      <c r="V20" s="16">
        <f t="shared" si="2"/>
        <v>3726</v>
      </c>
      <c r="W20" s="7">
        <v>3</v>
      </c>
      <c r="X20" s="15" t="s">
        <v>46</v>
      </c>
      <c r="Y20" s="54" t="s">
        <v>55</v>
      </c>
      <c r="Z20" s="54" t="s">
        <v>40</v>
      </c>
      <c r="AA20" s="54" t="s">
        <v>47</v>
      </c>
      <c r="AB20" s="39" t="s">
        <v>158</v>
      </c>
      <c r="AE20" s="22"/>
      <c r="AP20" s="43" t="s">
        <v>113</v>
      </c>
      <c r="AR20" s="41" t="s">
        <v>105</v>
      </c>
      <c r="AV20" s="27" t="s">
        <v>135</v>
      </c>
    </row>
    <row r="21" spans="1:48" x14ac:dyDescent="0.15">
      <c r="A21" s="15" t="s">
        <v>156</v>
      </c>
      <c r="B21" s="15" t="s">
        <v>157</v>
      </c>
      <c r="C21" s="15">
        <v>2019</v>
      </c>
      <c r="D21" s="37" t="s">
        <v>166</v>
      </c>
      <c r="E21" s="15" t="s">
        <v>143</v>
      </c>
      <c r="F21" s="7" t="s">
        <v>152</v>
      </c>
      <c r="G21" s="7" t="s">
        <v>36</v>
      </c>
      <c r="H21" s="15" t="s">
        <v>127</v>
      </c>
      <c r="I21" s="7" t="s">
        <v>159</v>
      </c>
      <c r="J21" s="15" t="s">
        <v>53</v>
      </c>
      <c r="K21" s="7" t="s">
        <v>54</v>
      </c>
      <c r="L21" s="7">
        <v>2</v>
      </c>
      <c r="N21" s="7">
        <v>1</v>
      </c>
      <c r="O21" s="7">
        <v>1.25</v>
      </c>
      <c r="P21" s="7">
        <v>1.1499999999999999</v>
      </c>
      <c r="Q21" s="52">
        <f t="shared" si="0"/>
        <v>1.2</v>
      </c>
      <c r="R21" s="7">
        <v>15</v>
      </c>
      <c r="S21" s="7">
        <v>126</v>
      </c>
      <c r="T21" s="16">
        <f t="shared" si="1"/>
        <v>27</v>
      </c>
      <c r="U21" s="7">
        <v>138</v>
      </c>
      <c r="V21" s="16">
        <f t="shared" si="2"/>
        <v>3726</v>
      </c>
      <c r="W21" s="7">
        <v>3</v>
      </c>
      <c r="X21" s="15" t="s">
        <v>46</v>
      </c>
      <c r="Y21" s="54" t="s">
        <v>55</v>
      </c>
      <c r="Z21" s="54" t="s">
        <v>40</v>
      </c>
      <c r="AA21" s="54" t="s">
        <v>47</v>
      </c>
      <c r="AB21" s="39" t="s">
        <v>158</v>
      </c>
      <c r="AE21" s="22"/>
      <c r="AP21" s="43" t="s">
        <v>114</v>
      </c>
      <c r="AR21" s="41" t="s">
        <v>68</v>
      </c>
      <c r="AV21" s="27" t="s">
        <v>136</v>
      </c>
    </row>
    <row r="22" spans="1:48" x14ac:dyDescent="0.15">
      <c r="A22" s="15" t="s">
        <v>156</v>
      </c>
      <c r="B22" s="15" t="s">
        <v>157</v>
      </c>
      <c r="C22" s="15">
        <v>2019</v>
      </c>
      <c r="D22" s="37" t="s">
        <v>166</v>
      </c>
      <c r="E22" s="15" t="s">
        <v>143</v>
      </c>
      <c r="F22" s="7" t="s">
        <v>152</v>
      </c>
      <c r="G22" s="7" t="s">
        <v>36</v>
      </c>
      <c r="H22" s="15" t="s">
        <v>127</v>
      </c>
      <c r="I22" s="7" t="s">
        <v>159</v>
      </c>
      <c r="J22" s="15" t="s">
        <v>53</v>
      </c>
      <c r="K22" s="7" t="s">
        <v>54</v>
      </c>
      <c r="L22" s="7">
        <v>3</v>
      </c>
      <c r="N22" s="7">
        <v>1</v>
      </c>
      <c r="O22" s="34">
        <v>0.9</v>
      </c>
      <c r="P22" s="7">
        <v>0.9</v>
      </c>
      <c r="Q22" s="52">
        <f t="shared" si="0"/>
        <v>0.9</v>
      </c>
      <c r="R22" s="7">
        <v>11.2</v>
      </c>
      <c r="S22" s="7">
        <v>115</v>
      </c>
      <c r="T22" s="16">
        <f t="shared" si="1"/>
        <v>30</v>
      </c>
      <c r="U22" s="7">
        <v>138</v>
      </c>
      <c r="V22" s="16">
        <f t="shared" si="2"/>
        <v>4140</v>
      </c>
      <c r="W22" s="7">
        <v>3</v>
      </c>
      <c r="X22" s="15" t="s">
        <v>46</v>
      </c>
      <c r="Y22" s="54" t="s">
        <v>55</v>
      </c>
      <c r="Z22" s="54" t="s">
        <v>40</v>
      </c>
      <c r="AA22" s="54" t="s">
        <v>47</v>
      </c>
      <c r="AB22" s="39" t="s">
        <v>158</v>
      </c>
      <c r="AE22" s="35"/>
      <c r="AP22" s="43" t="s">
        <v>115</v>
      </c>
      <c r="AR22" s="41" t="s">
        <v>83</v>
      </c>
      <c r="AV22" s="27"/>
    </row>
    <row r="23" spans="1:48" x14ac:dyDescent="0.15">
      <c r="A23" s="15" t="s">
        <v>156</v>
      </c>
      <c r="B23" s="15" t="s">
        <v>157</v>
      </c>
      <c r="C23" s="15">
        <v>2019</v>
      </c>
      <c r="D23" s="37" t="s">
        <v>166</v>
      </c>
      <c r="E23" s="7" t="s">
        <v>143</v>
      </c>
      <c r="F23" s="7" t="s">
        <v>152</v>
      </c>
      <c r="G23" s="7" t="s">
        <v>36</v>
      </c>
      <c r="H23" s="15" t="s">
        <v>160</v>
      </c>
      <c r="I23" s="7" t="s">
        <v>159</v>
      </c>
      <c r="J23" s="15" t="s">
        <v>38</v>
      </c>
      <c r="K23" s="7" t="s">
        <v>161</v>
      </c>
      <c r="L23" s="7">
        <v>1</v>
      </c>
      <c r="N23" s="7">
        <v>1</v>
      </c>
      <c r="O23" s="34">
        <v>0.8</v>
      </c>
      <c r="P23" s="7">
        <v>0.9</v>
      </c>
      <c r="Q23" s="52">
        <f t="shared" si="0"/>
        <v>0.85000000000000009</v>
      </c>
      <c r="R23" s="7">
        <v>18.7</v>
      </c>
      <c r="S23" s="7">
        <v>121</v>
      </c>
      <c r="T23" s="16">
        <f t="shared" si="1"/>
        <v>27</v>
      </c>
      <c r="U23" s="7">
        <v>138</v>
      </c>
      <c r="V23" s="16">
        <f t="shared" si="2"/>
        <v>3726</v>
      </c>
      <c r="W23" s="7">
        <v>7</v>
      </c>
      <c r="X23" s="15" t="s">
        <v>46</v>
      </c>
      <c r="Y23" s="54" t="s">
        <v>55</v>
      </c>
      <c r="Z23" s="54" t="s">
        <v>40</v>
      </c>
      <c r="AA23" s="54" t="s">
        <v>47</v>
      </c>
      <c r="AB23" s="39" t="s">
        <v>158</v>
      </c>
      <c r="AE23" s="22"/>
      <c r="AP23" s="43" t="s">
        <v>137</v>
      </c>
      <c r="AR23" s="41" t="s">
        <v>61</v>
      </c>
      <c r="AV23" s="27"/>
    </row>
    <row r="24" spans="1:48" x14ac:dyDescent="0.15">
      <c r="A24" s="15" t="s">
        <v>156</v>
      </c>
      <c r="B24" s="15" t="s">
        <v>157</v>
      </c>
      <c r="C24" s="15">
        <v>2019</v>
      </c>
      <c r="D24" s="37" t="s">
        <v>166</v>
      </c>
      <c r="E24" s="7" t="s">
        <v>143</v>
      </c>
      <c r="F24" s="7" t="s">
        <v>152</v>
      </c>
      <c r="G24" s="7" t="s">
        <v>36</v>
      </c>
      <c r="H24" s="15" t="s">
        <v>160</v>
      </c>
      <c r="I24" s="7" t="s">
        <v>159</v>
      </c>
      <c r="J24" s="15" t="s">
        <v>38</v>
      </c>
      <c r="K24" s="7" t="s">
        <v>161</v>
      </c>
      <c r="L24" s="7">
        <v>2</v>
      </c>
      <c r="N24" s="7">
        <v>1</v>
      </c>
      <c r="O24" s="7">
        <v>0.8</v>
      </c>
      <c r="P24" s="7">
        <v>0.85</v>
      </c>
      <c r="Q24" s="52">
        <f t="shared" si="0"/>
        <v>0.82499999999999996</v>
      </c>
      <c r="R24" s="7">
        <v>18.100000000000001</v>
      </c>
      <c r="S24" s="7">
        <v>122</v>
      </c>
      <c r="T24" s="16">
        <f t="shared" si="1"/>
        <v>27</v>
      </c>
      <c r="U24" s="7">
        <v>138</v>
      </c>
      <c r="V24" s="16">
        <f t="shared" si="2"/>
        <v>3726</v>
      </c>
      <c r="W24" s="7">
        <v>7</v>
      </c>
      <c r="X24" s="15" t="s">
        <v>46</v>
      </c>
      <c r="Y24" s="54" t="s">
        <v>55</v>
      </c>
      <c r="Z24" s="54" t="s">
        <v>40</v>
      </c>
      <c r="AA24" s="54" t="s">
        <v>47</v>
      </c>
      <c r="AB24" s="39" t="s">
        <v>158</v>
      </c>
      <c r="AE24" s="22"/>
      <c r="AP24" s="43" t="s">
        <v>138</v>
      </c>
      <c r="AR24" s="41" t="s">
        <v>91</v>
      </c>
      <c r="AV24" s="27"/>
    </row>
    <row r="25" spans="1:48" x14ac:dyDescent="0.15">
      <c r="A25" s="15" t="s">
        <v>156</v>
      </c>
      <c r="B25" s="15" t="s">
        <v>157</v>
      </c>
      <c r="C25" s="15">
        <v>2019</v>
      </c>
      <c r="D25" s="37" t="s">
        <v>166</v>
      </c>
      <c r="E25" s="7" t="s">
        <v>143</v>
      </c>
      <c r="F25" s="7" t="s">
        <v>152</v>
      </c>
      <c r="G25" s="7" t="s">
        <v>36</v>
      </c>
      <c r="H25" s="15" t="s">
        <v>160</v>
      </c>
      <c r="I25" s="7" t="s">
        <v>159</v>
      </c>
      <c r="J25" s="15" t="s">
        <v>38</v>
      </c>
      <c r="K25" s="7" t="s">
        <v>161</v>
      </c>
      <c r="L25" s="7">
        <v>3</v>
      </c>
      <c r="N25" s="7">
        <v>1</v>
      </c>
      <c r="O25" s="7">
        <v>0.75</v>
      </c>
      <c r="P25" s="7">
        <v>0.85</v>
      </c>
      <c r="Q25" s="52">
        <f t="shared" si="0"/>
        <v>0.8</v>
      </c>
      <c r="R25" s="7">
        <v>18.600000000000001</v>
      </c>
      <c r="S25" s="7">
        <v>122</v>
      </c>
      <c r="T25" s="16">
        <f t="shared" si="1"/>
        <v>27</v>
      </c>
      <c r="U25" s="7">
        <v>138</v>
      </c>
      <c r="V25" s="16">
        <f t="shared" si="2"/>
        <v>3726</v>
      </c>
      <c r="W25" s="7">
        <v>7</v>
      </c>
      <c r="X25" s="15" t="s">
        <v>46</v>
      </c>
      <c r="Y25" s="54" t="s">
        <v>55</v>
      </c>
      <c r="Z25" s="54" t="s">
        <v>40</v>
      </c>
      <c r="AA25" s="54" t="s">
        <v>47</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164</v>
      </c>
      <c r="I26" s="7" t="s">
        <v>159</v>
      </c>
      <c r="J26" s="15" t="s">
        <v>38</v>
      </c>
      <c r="K26" s="7" t="s">
        <v>161</v>
      </c>
      <c r="L26" s="7">
        <v>1</v>
      </c>
      <c r="N26" s="7">
        <v>4</v>
      </c>
      <c r="O26" s="7">
        <v>0.95</v>
      </c>
      <c r="P26" s="7">
        <v>0.95</v>
      </c>
      <c r="Q26" s="52">
        <f t="shared" si="0"/>
        <v>0.95</v>
      </c>
      <c r="R26" s="7">
        <v>17.8</v>
      </c>
      <c r="S26" s="7">
        <v>84</v>
      </c>
      <c r="T26" s="16">
        <f t="shared" si="1"/>
        <v>36</v>
      </c>
      <c r="U26" s="7">
        <v>322</v>
      </c>
      <c r="V26" s="16">
        <f t="shared" si="2"/>
        <v>2898</v>
      </c>
      <c r="W26" s="7">
        <v>3</v>
      </c>
      <c r="X26" s="15" t="s">
        <v>46</v>
      </c>
      <c r="Y26" s="54" t="s">
        <v>78</v>
      </c>
      <c r="Z26" s="54" t="s">
        <v>55</v>
      </c>
      <c r="AA26" s="54" t="s">
        <v>47</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15" t="s">
        <v>164</v>
      </c>
      <c r="I27" s="7" t="s">
        <v>159</v>
      </c>
      <c r="J27" s="15" t="s">
        <v>38</v>
      </c>
      <c r="K27" s="7" t="s">
        <v>161</v>
      </c>
      <c r="L27" s="7">
        <v>2</v>
      </c>
      <c r="N27" s="7">
        <v>4</v>
      </c>
      <c r="O27" s="7">
        <v>0.9</v>
      </c>
      <c r="P27" s="7">
        <v>0.9</v>
      </c>
      <c r="Q27" s="52">
        <f t="shared" si="0"/>
        <v>0.9</v>
      </c>
      <c r="R27" s="7">
        <v>18.3</v>
      </c>
      <c r="S27" s="7">
        <v>84</v>
      </c>
      <c r="T27" s="16">
        <f t="shared" si="1"/>
        <v>36</v>
      </c>
      <c r="U27" s="7">
        <v>322</v>
      </c>
      <c r="V27" s="16">
        <f t="shared" si="2"/>
        <v>2898</v>
      </c>
      <c r="W27" s="7">
        <v>3</v>
      </c>
      <c r="X27" s="15" t="s">
        <v>46</v>
      </c>
      <c r="Y27" s="54" t="s">
        <v>78</v>
      </c>
      <c r="Z27" s="54" t="s">
        <v>55</v>
      </c>
      <c r="AA27" s="54" t="s">
        <v>47</v>
      </c>
      <c r="AB27" s="39" t="s">
        <v>158</v>
      </c>
      <c r="AE27" s="28"/>
      <c r="AP27" s="43" t="s">
        <v>118</v>
      </c>
      <c r="AR27" s="23"/>
    </row>
    <row r="28" spans="1:48" x14ac:dyDescent="0.15">
      <c r="A28" s="15" t="s">
        <v>156</v>
      </c>
      <c r="B28" s="15" t="s">
        <v>157</v>
      </c>
      <c r="C28" s="15">
        <v>2019</v>
      </c>
      <c r="D28" s="37" t="s">
        <v>166</v>
      </c>
      <c r="E28" s="7" t="s">
        <v>131</v>
      </c>
      <c r="F28" s="7" t="s">
        <v>144</v>
      </c>
      <c r="G28" s="7" t="s">
        <v>36</v>
      </c>
      <c r="H28" s="15" t="s">
        <v>164</v>
      </c>
      <c r="I28" s="7" t="s">
        <v>159</v>
      </c>
      <c r="J28" s="15" t="s">
        <v>38</v>
      </c>
      <c r="K28" s="7" t="s">
        <v>161</v>
      </c>
      <c r="L28" s="7">
        <v>3</v>
      </c>
      <c r="N28" s="7">
        <v>4</v>
      </c>
      <c r="O28" s="7">
        <v>1</v>
      </c>
      <c r="P28" s="7">
        <v>1.1499999999999999</v>
      </c>
      <c r="Q28" s="52">
        <f t="shared" si="0"/>
        <v>1.075</v>
      </c>
      <c r="R28" s="7">
        <v>17.2</v>
      </c>
      <c r="S28" s="7">
        <v>94</v>
      </c>
      <c r="T28" s="16">
        <f t="shared" si="1"/>
        <v>36</v>
      </c>
      <c r="U28" s="7">
        <v>322</v>
      </c>
      <c r="V28" s="16">
        <f t="shared" si="2"/>
        <v>2898</v>
      </c>
      <c r="W28" s="7">
        <v>3</v>
      </c>
      <c r="X28" s="15" t="s">
        <v>46</v>
      </c>
      <c r="Y28" s="54" t="s">
        <v>78</v>
      </c>
      <c r="Z28" s="54" t="s">
        <v>55</v>
      </c>
      <c r="AA28" s="54" t="s">
        <v>47</v>
      </c>
      <c r="AB28" s="39" t="s">
        <v>158</v>
      </c>
      <c r="AP28" s="27"/>
      <c r="AR28" s="23"/>
    </row>
    <row r="29" spans="1:48" x14ac:dyDescent="0.15">
      <c r="A29" s="15" t="s">
        <v>156</v>
      </c>
      <c r="B29" s="15" t="s">
        <v>157</v>
      </c>
      <c r="C29" s="15">
        <v>2019</v>
      </c>
      <c r="D29" s="37" t="s">
        <v>166</v>
      </c>
      <c r="E29" s="7" t="s">
        <v>131</v>
      </c>
      <c r="F29" s="7" t="s">
        <v>144</v>
      </c>
      <c r="G29" s="7" t="s">
        <v>36</v>
      </c>
      <c r="H29" s="15" t="s">
        <v>160</v>
      </c>
      <c r="I29" s="7" t="s">
        <v>159</v>
      </c>
      <c r="J29" s="15" t="s">
        <v>38</v>
      </c>
      <c r="K29" s="7" t="s">
        <v>161</v>
      </c>
      <c r="L29" s="7">
        <v>1</v>
      </c>
      <c r="N29" s="7">
        <v>1</v>
      </c>
      <c r="O29" s="7">
        <v>0.5</v>
      </c>
      <c r="P29" s="7">
        <v>0.55000000000000004</v>
      </c>
      <c r="Q29" s="52">
        <f t="shared" si="0"/>
        <v>0.52500000000000002</v>
      </c>
      <c r="R29" s="7">
        <v>17.2</v>
      </c>
      <c r="S29" s="7">
        <v>129</v>
      </c>
      <c r="T29" s="16">
        <f t="shared" si="1"/>
        <v>25</v>
      </c>
      <c r="U29" s="7">
        <v>138</v>
      </c>
      <c r="V29" s="16">
        <f t="shared" si="2"/>
        <v>3450</v>
      </c>
      <c r="W29" s="7">
        <v>6</v>
      </c>
      <c r="X29" s="15" t="s">
        <v>46</v>
      </c>
      <c r="Y29" s="54" t="s">
        <v>78</v>
      </c>
      <c r="Z29" s="54" t="s">
        <v>55</v>
      </c>
      <c r="AA29" s="54" t="s">
        <v>47</v>
      </c>
      <c r="AB29" s="39" t="s">
        <v>158</v>
      </c>
      <c r="AP29" s="27"/>
      <c r="AR29" s="27"/>
      <c r="AV29" s="28"/>
    </row>
    <row r="30" spans="1:48" x14ac:dyDescent="0.15">
      <c r="A30" s="15" t="s">
        <v>156</v>
      </c>
      <c r="B30" s="15" t="s">
        <v>157</v>
      </c>
      <c r="C30" s="15">
        <v>2019</v>
      </c>
      <c r="D30" s="37" t="s">
        <v>166</v>
      </c>
      <c r="E30" s="7" t="s">
        <v>131</v>
      </c>
      <c r="F30" s="7" t="s">
        <v>144</v>
      </c>
      <c r="G30" s="7" t="s">
        <v>36</v>
      </c>
      <c r="H30" s="15" t="s">
        <v>160</v>
      </c>
      <c r="I30" s="7" t="s">
        <v>159</v>
      </c>
      <c r="J30" s="15" t="s">
        <v>38</v>
      </c>
      <c r="K30" s="7" t="s">
        <v>161</v>
      </c>
      <c r="L30" s="7">
        <v>2</v>
      </c>
      <c r="N30" s="7">
        <v>1</v>
      </c>
      <c r="O30" s="7">
        <v>0.5</v>
      </c>
      <c r="P30" s="7">
        <v>0.6</v>
      </c>
      <c r="Q30" s="52">
        <f t="shared" si="0"/>
        <v>0.55000000000000004</v>
      </c>
      <c r="R30" s="7">
        <v>19</v>
      </c>
      <c r="S30" s="7">
        <v>126</v>
      </c>
      <c r="T30" s="16">
        <f t="shared" si="1"/>
        <v>27</v>
      </c>
      <c r="U30" s="7">
        <v>138</v>
      </c>
      <c r="V30" s="16">
        <f t="shared" si="2"/>
        <v>3726</v>
      </c>
      <c r="W30" s="7">
        <v>6</v>
      </c>
      <c r="X30" s="15" t="s">
        <v>46</v>
      </c>
      <c r="Y30" s="54" t="s">
        <v>78</v>
      </c>
      <c r="Z30" s="54" t="s">
        <v>55</v>
      </c>
      <c r="AA30" s="54" t="s">
        <v>47</v>
      </c>
      <c r="AB30" s="39" t="s">
        <v>158</v>
      </c>
      <c r="AP30" s="27"/>
      <c r="AR30" s="27"/>
    </row>
    <row r="31" spans="1:48" x14ac:dyDescent="0.15">
      <c r="A31" s="15" t="s">
        <v>156</v>
      </c>
      <c r="B31" s="15" t="s">
        <v>157</v>
      </c>
      <c r="C31" s="15">
        <v>2019</v>
      </c>
      <c r="D31" s="37" t="s">
        <v>166</v>
      </c>
      <c r="E31" s="7" t="s">
        <v>131</v>
      </c>
      <c r="F31" s="7" t="s">
        <v>144</v>
      </c>
      <c r="G31" s="7" t="s">
        <v>36</v>
      </c>
      <c r="H31" s="15" t="s">
        <v>160</v>
      </c>
      <c r="I31" s="7" t="s">
        <v>159</v>
      </c>
      <c r="J31" s="15" t="s">
        <v>38</v>
      </c>
      <c r="K31" s="7" t="s">
        <v>161</v>
      </c>
      <c r="L31" s="7">
        <v>3</v>
      </c>
      <c r="N31" s="7">
        <v>1</v>
      </c>
      <c r="O31" s="7">
        <v>0.5</v>
      </c>
      <c r="P31" s="7">
        <v>0.5</v>
      </c>
      <c r="Q31" s="52">
        <f t="shared" si="0"/>
        <v>0.5</v>
      </c>
      <c r="R31" s="7">
        <v>17.100000000000001</v>
      </c>
      <c r="S31" s="7">
        <v>129</v>
      </c>
      <c r="T31" s="16">
        <f t="shared" si="1"/>
        <v>25</v>
      </c>
      <c r="U31" s="7">
        <v>138</v>
      </c>
      <c r="V31" s="16">
        <f t="shared" si="2"/>
        <v>3450</v>
      </c>
      <c r="W31" s="7">
        <v>6</v>
      </c>
      <c r="X31" s="15" t="s">
        <v>46</v>
      </c>
      <c r="Y31" s="54" t="s">
        <v>78</v>
      </c>
      <c r="Z31" s="54" t="s">
        <v>55</v>
      </c>
      <c r="AA31" s="54" t="s">
        <v>47</v>
      </c>
      <c r="AB31" s="39" t="s">
        <v>158</v>
      </c>
      <c r="AP31" s="27"/>
      <c r="AR31" s="27"/>
    </row>
    <row r="32" spans="1:48" x14ac:dyDescent="0.15">
      <c r="A32" s="15" t="s">
        <v>156</v>
      </c>
      <c r="B32" s="15" t="s">
        <v>157</v>
      </c>
      <c r="C32" s="15">
        <v>2019</v>
      </c>
      <c r="D32" s="37" t="s">
        <v>166</v>
      </c>
      <c r="E32" s="7" t="s">
        <v>139</v>
      </c>
      <c r="F32" s="7" t="s">
        <v>145</v>
      </c>
      <c r="G32" s="7" t="s">
        <v>36</v>
      </c>
      <c r="H32" s="15" t="s">
        <v>164</v>
      </c>
      <c r="I32" s="7" t="s">
        <v>159</v>
      </c>
      <c r="J32" s="15" t="s">
        <v>38</v>
      </c>
      <c r="K32" s="7" t="s">
        <v>161</v>
      </c>
      <c r="L32" s="7">
        <v>1</v>
      </c>
      <c r="N32" s="7">
        <v>4</v>
      </c>
      <c r="O32" s="7">
        <v>1.1499999999999999</v>
      </c>
      <c r="P32" s="7">
        <v>1</v>
      </c>
      <c r="Q32" s="52">
        <f t="shared" si="0"/>
        <v>1.075</v>
      </c>
      <c r="R32" s="7">
        <v>15.7</v>
      </c>
      <c r="S32" s="7">
        <v>95</v>
      </c>
      <c r="T32" s="16">
        <f t="shared" si="1"/>
        <v>36</v>
      </c>
      <c r="U32" s="7">
        <v>429</v>
      </c>
      <c r="V32" s="16">
        <f t="shared" si="2"/>
        <v>3861</v>
      </c>
      <c r="W32" s="7">
        <v>2</v>
      </c>
      <c r="X32" s="15" t="s">
        <v>46</v>
      </c>
      <c r="Y32" s="54" t="s">
        <v>55</v>
      </c>
      <c r="Z32" s="15" t="s">
        <v>47</v>
      </c>
      <c r="AA32" s="15" t="s">
        <v>40</v>
      </c>
      <c r="AB32" s="39" t="s">
        <v>158</v>
      </c>
      <c r="AP32" s="28"/>
      <c r="AR32" s="28"/>
    </row>
    <row r="33" spans="1:44" x14ac:dyDescent="0.15">
      <c r="A33" s="15" t="s">
        <v>156</v>
      </c>
      <c r="B33" s="15" t="s">
        <v>157</v>
      </c>
      <c r="C33" s="15">
        <v>2019</v>
      </c>
      <c r="D33" s="37" t="s">
        <v>166</v>
      </c>
      <c r="E33" s="7" t="s">
        <v>139</v>
      </c>
      <c r="F33" s="7" t="s">
        <v>145</v>
      </c>
      <c r="G33" s="7" t="s">
        <v>36</v>
      </c>
      <c r="H33" s="15" t="s">
        <v>164</v>
      </c>
      <c r="I33" s="7" t="s">
        <v>159</v>
      </c>
      <c r="J33" s="15" t="s">
        <v>38</v>
      </c>
      <c r="K33" s="7" t="s">
        <v>161</v>
      </c>
      <c r="L33" s="7">
        <v>2</v>
      </c>
      <c r="N33" s="7">
        <v>4</v>
      </c>
      <c r="O33" s="7">
        <v>1.05</v>
      </c>
      <c r="P33" s="7">
        <v>0.9</v>
      </c>
      <c r="Q33" s="52">
        <f t="shared" si="0"/>
        <v>0.97500000000000009</v>
      </c>
      <c r="R33" s="7">
        <v>19.3</v>
      </c>
      <c r="S33" s="7">
        <v>104</v>
      </c>
      <c r="T33" s="16">
        <f t="shared" si="1"/>
        <v>33</v>
      </c>
      <c r="U33" s="7">
        <v>429</v>
      </c>
      <c r="V33" s="16">
        <f t="shared" si="2"/>
        <v>3539.25</v>
      </c>
      <c r="W33" s="7">
        <v>2</v>
      </c>
      <c r="X33" s="15" t="s">
        <v>46</v>
      </c>
      <c r="Y33" s="54" t="s">
        <v>55</v>
      </c>
      <c r="Z33" s="54" t="s">
        <v>47</v>
      </c>
      <c r="AA33" s="54" t="s">
        <v>40</v>
      </c>
      <c r="AB33" s="39" t="s">
        <v>158</v>
      </c>
    </row>
    <row r="34" spans="1:44" x14ac:dyDescent="0.15">
      <c r="A34" s="15" t="s">
        <v>156</v>
      </c>
      <c r="B34" s="15" t="s">
        <v>157</v>
      </c>
      <c r="C34" s="15">
        <v>2019</v>
      </c>
      <c r="D34" s="37" t="s">
        <v>166</v>
      </c>
      <c r="E34" s="7" t="s">
        <v>139</v>
      </c>
      <c r="F34" s="7" t="s">
        <v>145</v>
      </c>
      <c r="G34" s="7" t="s">
        <v>36</v>
      </c>
      <c r="H34" s="15" t="s">
        <v>164</v>
      </c>
      <c r="I34" s="7" t="s">
        <v>159</v>
      </c>
      <c r="J34" s="15" t="s">
        <v>38</v>
      </c>
      <c r="K34" s="7" t="s">
        <v>161</v>
      </c>
      <c r="L34" s="7">
        <v>3</v>
      </c>
      <c r="N34" s="7">
        <v>4</v>
      </c>
      <c r="O34" s="7">
        <v>0.7</v>
      </c>
      <c r="P34" s="7">
        <v>0.85</v>
      </c>
      <c r="Q34" s="52">
        <f t="shared" si="0"/>
        <v>0.77499999999999991</v>
      </c>
      <c r="R34" s="7">
        <v>19.3</v>
      </c>
      <c r="S34" s="7">
        <v>99</v>
      </c>
      <c r="T34" s="16">
        <f t="shared" si="1"/>
        <v>33</v>
      </c>
      <c r="U34" s="7">
        <v>429</v>
      </c>
      <c r="V34" s="16">
        <f t="shared" si="2"/>
        <v>3539.25</v>
      </c>
      <c r="W34" s="7">
        <v>2</v>
      </c>
      <c r="X34" s="15" t="s">
        <v>46</v>
      </c>
      <c r="Y34" s="54" t="s">
        <v>55</v>
      </c>
      <c r="Z34" s="54" t="s">
        <v>47</v>
      </c>
      <c r="AA34" s="54" t="s">
        <v>40</v>
      </c>
      <c r="AB34" s="39" t="s">
        <v>158</v>
      </c>
    </row>
    <row r="35" spans="1:44" x14ac:dyDescent="0.15">
      <c r="A35" s="15" t="s">
        <v>156</v>
      </c>
      <c r="B35" s="15" t="s">
        <v>157</v>
      </c>
      <c r="C35" s="15">
        <v>2019</v>
      </c>
      <c r="D35" s="37" t="s">
        <v>166</v>
      </c>
      <c r="E35" s="7" t="s">
        <v>139</v>
      </c>
      <c r="F35" s="7" t="s">
        <v>145</v>
      </c>
      <c r="G35" s="7" t="s">
        <v>36</v>
      </c>
      <c r="H35" s="15" t="s">
        <v>160</v>
      </c>
      <c r="I35" s="7" t="s">
        <v>159</v>
      </c>
      <c r="J35" s="15" t="s">
        <v>38</v>
      </c>
      <c r="K35" s="7" t="s">
        <v>161</v>
      </c>
      <c r="L35" s="7">
        <v>1</v>
      </c>
      <c r="N35" s="7">
        <v>1</v>
      </c>
      <c r="O35" s="7">
        <v>0.9</v>
      </c>
      <c r="P35" s="7">
        <v>0.95</v>
      </c>
      <c r="Q35" s="52">
        <f t="shared" si="0"/>
        <v>0.92500000000000004</v>
      </c>
      <c r="R35" s="7">
        <v>18.8</v>
      </c>
      <c r="S35" s="7">
        <v>145</v>
      </c>
      <c r="T35" s="16">
        <f t="shared" si="1"/>
        <v>22</v>
      </c>
      <c r="U35" s="7">
        <v>100</v>
      </c>
      <c r="V35" s="16">
        <f t="shared" si="2"/>
        <v>2200</v>
      </c>
      <c r="W35" s="7">
        <v>17</v>
      </c>
      <c r="X35" s="15" t="s">
        <v>46</v>
      </c>
      <c r="Y35" s="54" t="s">
        <v>55</v>
      </c>
      <c r="Z35" s="54" t="s">
        <v>47</v>
      </c>
      <c r="AA35" s="54" t="s">
        <v>40</v>
      </c>
      <c r="AB35" s="39" t="s">
        <v>158</v>
      </c>
      <c r="AP35" s="28"/>
      <c r="AR35" s="28"/>
    </row>
    <row r="36" spans="1:44" x14ac:dyDescent="0.15">
      <c r="A36" s="15" t="s">
        <v>156</v>
      </c>
      <c r="B36" s="15" t="s">
        <v>157</v>
      </c>
      <c r="C36" s="15">
        <v>2019</v>
      </c>
      <c r="D36" s="37" t="s">
        <v>166</v>
      </c>
      <c r="E36" s="7" t="s">
        <v>139</v>
      </c>
      <c r="F36" s="7" t="s">
        <v>145</v>
      </c>
      <c r="G36" s="7" t="s">
        <v>36</v>
      </c>
      <c r="H36" s="15" t="s">
        <v>160</v>
      </c>
      <c r="I36" s="7" t="s">
        <v>159</v>
      </c>
      <c r="J36" s="15" t="s">
        <v>38</v>
      </c>
      <c r="K36" s="7" t="s">
        <v>161</v>
      </c>
      <c r="L36" s="7">
        <v>2</v>
      </c>
      <c r="N36" s="7">
        <v>1</v>
      </c>
      <c r="O36" s="7">
        <v>0.85</v>
      </c>
      <c r="P36" s="7">
        <v>0.85</v>
      </c>
      <c r="Q36" s="52">
        <f t="shared" si="0"/>
        <v>0.85</v>
      </c>
      <c r="R36" s="7">
        <v>15.9</v>
      </c>
      <c r="S36" s="7">
        <v>141</v>
      </c>
      <c r="T36" s="16">
        <f t="shared" si="1"/>
        <v>22</v>
      </c>
      <c r="U36" s="7">
        <v>100</v>
      </c>
      <c r="V36" s="16">
        <f t="shared" si="2"/>
        <v>2200</v>
      </c>
      <c r="W36" s="7">
        <v>17</v>
      </c>
      <c r="X36" s="15" t="s">
        <v>46</v>
      </c>
      <c r="Y36" s="54" t="s">
        <v>55</v>
      </c>
      <c r="Z36" s="54" t="s">
        <v>47</v>
      </c>
      <c r="AA36" s="54" t="s">
        <v>40</v>
      </c>
      <c r="AB36" s="39" t="s">
        <v>158</v>
      </c>
    </row>
    <row r="37" spans="1:44" x14ac:dyDescent="0.15">
      <c r="A37" s="15" t="s">
        <v>156</v>
      </c>
      <c r="B37" s="15" t="s">
        <v>157</v>
      </c>
      <c r="C37" s="15">
        <v>2019</v>
      </c>
      <c r="D37" s="37" t="s">
        <v>166</v>
      </c>
      <c r="E37" s="7" t="s">
        <v>139</v>
      </c>
      <c r="F37" s="7" t="s">
        <v>145</v>
      </c>
      <c r="G37" s="7" t="s">
        <v>36</v>
      </c>
      <c r="H37" s="15" t="s">
        <v>160</v>
      </c>
      <c r="I37" s="7" t="s">
        <v>159</v>
      </c>
      <c r="J37" s="15" t="s">
        <v>38</v>
      </c>
      <c r="K37" s="7" t="s">
        <v>161</v>
      </c>
      <c r="L37" s="7">
        <v>3</v>
      </c>
      <c r="N37" s="7">
        <v>1</v>
      </c>
      <c r="O37" s="34">
        <v>0.85</v>
      </c>
      <c r="P37" s="34">
        <v>0.9</v>
      </c>
      <c r="Q37" s="52">
        <f t="shared" si="0"/>
        <v>0.875</v>
      </c>
      <c r="R37" s="7">
        <v>16.3</v>
      </c>
      <c r="S37" s="7">
        <v>146</v>
      </c>
      <c r="T37" s="16">
        <f t="shared" si="1"/>
        <v>22</v>
      </c>
      <c r="U37" s="7">
        <v>100</v>
      </c>
      <c r="V37" s="16">
        <f t="shared" si="2"/>
        <v>2200</v>
      </c>
      <c r="W37" s="7">
        <v>17</v>
      </c>
      <c r="X37" s="15" t="s">
        <v>46</v>
      </c>
      <c r="Y37" s="54" t="s">
        <v>55</v>
      </c>
      <c r="Z37" s="54" t="s">
        <v>47</v>
      </c>
      <c r="AA37" s="54" t="s">
        <v>40</v>
      </c>
      <c r="AB37" s="39" t="s">
        <v>158</v>
      </c>
    </row>
    <row r="38" spans="1:44" x14ac:dyDescent="0.15">
      <c r="A38" s="15" t="s">
        <v>156</v>
      </c>
      <c r="B38" s="15" t="s">
        <v>157</v>
      </c>
      <c r="C38" s="15">
        <v>2019</v>
      </c>
      <c r="D38" s="37" t="s">
        <v>166</v>
      </c>
      <c r="E38" s="7" t="s">
        <v>162</v>
      </c>
      <c r="F38" s="7" t="s">
        <v>163</v>
      </c>
      <c r="G38" s="7" t="s">
        <v>36</v>
      </c>
      <c r="H38" s="15" t="s">
        <v>127</v>
      </c>
      <c r="I38" s="7" t="s">
        <v>159</v>
      </c>
      <c r="J38" s="15" t="s">
        <v>53</v>
      </c>
      <c r="K38" s="7" t="s">
        <v>54</v>
      </c>
      <c r="L38" s="7">
        <v>1</v>
      </c>
      <c r="N38" s="7">
        <v>1</v>
      </c>
      <c r="O38" s="34">
        <v>1.1000000000000001</v>
      </c>
      <c r="P38" s="34">
        <v>1.25</v>
      </c>
      <c r="Q38" s="52">
        <f t="shared" si="0"/>
        <v>1.175</v>
      </c>
      <c r="R38" s="7">
        <v>14.5</v>
      </c>
      <c r="S38" s="7">
        <v>108</v>
      </c>
      <c r="T38" s="16">
        <f t="shared" si="1"/>
        <v>33</v>
      </c>
      <c r="U38" s="7">
        <v>98</v>
      </c>
      <c r="V38" s="16">
        <f t="shared" si="2"/>
        <v>3234</v>
      </c>
      <c r="W38" s="7">
        <v>3</v>
      </c>
      <c r="X38" s="15" t="s">
        <v>46</v>
      </c>
      <c r="Y38" s="15" t="s">
        <v>47</v>
      </c>
      <c r="Z38" s="15" t="s">
        <v>55</v>
      </c>
      <c r="AA38" s="15" t="s">
        <v>40</v>
      </c>
      <c r="AB38" s="39" t="s">
        <v>158</v>
      </c>
    </row>
    <row r="39" spans="1:44" x14ac:dyDescent="0.15">
      <c r="A39" s="15" t="s">
        <v>156</v>
      </c>
      <c r="B39" s="15" t="s">
        <v>157</v>
      </c>
      <c r="C39" s="15">
        <v>2019</v>
      </c>
      <c r="D39" s="37" t="s">
        <v>166</v>
      </c>
      <c r="E39" s="7" t="s">
        <v>162</v>
      </c>
      <c r="F39" s="7" t="s">
        <v>163</v>
      </c>
      <c r="G39" s="7" t="s">
        <v>36</v>
      </c>
      <c r="H39" s="15" t="s">
        <v>127</v>
      </c>
      <c r="I39" s="7" t="s">
        <v>159</v>
      </c>
      <c r="J39" s="15" t="s">
        <v>53</v>
      </c>
      <c r="K39" s="7" t="s">
        <v>54</v>
      </c>
      <c r="L39" s="7">
        <v>2</v>
      </c>
      <c r="N39" s="7">
        <v>1</v>
      </c>
      <c r="O39" s="7">
        <v>1.2</v>
      </c>
      <c r="P39" s="7">
        <v>1.05</v>
      </c>
      <c r="Q39" s="52">
        <f t="shared" si="0"/>
        <v>1.125</v>
      </c>
      <c r="R39" s="34">
        <v>13.3</v>
      </c>
      <c r="S39" s="7">
        <v>98</v>
      </c>
      <c r="T39" s="16">
        <f t="shared" si="1"/>
        <v>36</v>
      </c>
      <c r="U39" s="7">
        <v>98</v>
      </c>
      <c r="V39" s="16">
        <f t="shared" si="2"/>
        <v>3528</v>
      </c>
      <c r="W39" s="7">
        <v>3</v>
      </c>
      <c r="X39" s="15" t="s">
        <v>46</v>
      </c>
      <c r="Y39" s="54" t="s">
        <v>47</v>
      </c>
      <c r="Z39" s="54" t="s">
        <v>55</v>
      </c>
      <c r="AA39" s="54" t="s">
        <v>40</v>
      </c>
      <c r="AB39" s="39" t="s">
        <v>158</v>
      </c>
    </row>
    <row r="40" spans="1:44" x14ac:dyDescent="0.15">
      <c r="A40" s="15" t="s">
        <v>156</v>
      </c>
      <c r="B40" s="15" t="s">
        <v>157</v>
      </c>
      <c r="C40" s="15">
        <v>2019</v>
      </c>
      <c r="D40" s="37" t="s">
        <v>166</v>
      </c>
      <c r="E40" s="7" t="s">
        <v>162</v>
      </c>
      <c r="F40" s="7" t="s">
        <v>163</v>
      </c>
      <c r="G40" s="7" t="s">
        <v>36</v>
      </c>
      <c r="H40" s="15" t="s">
        <v>127</v>
      </c>
      <c r="I40" s="7" t="s">
        <v>159</v>
      </c>
      <c r="J40" s="15" t="s">
        <v>53</v>
      </c>
      <c r="K40" s="7" t="s">
        <v>54</v>
      </c>
      <c r="L40" s="7">
        <v>3</v>
      </c>
      <c r="N40" s="7">
        <v>1</v>
      </c>
      <c r="O40" s="7">
        <v>0.9</v>
      </c>
      <c r="P40" s="7">
        <v>0.8</v>
      </c>
      <c r="Q40" s="52">
        <f t="shared" si="0"/>
        <v>0.85000000000000009</v>
      </c>
      <c r="R40" s="7">
        <v>13.2</v>
      </c>
      <c r="S40" s="7">
        <v>103</v>
      </c>
      <c r="T40" s="16">
        <f t="shared" si="1"/>
        <v>33</v>
      </c>
      <c r="U40" s="7">
        <v>98</v>
      </c>
      <c r="V40" s="16">
        <f t="shared" si="2"/>
        <v>3234</v>
      </c>
      <c r="W40" s="7">
        <v>3</v>
      </c>
      <c r="X40" s="15" t="s">
        <v>46</v>
      </c>
      <c r="Y40" s="54" t="s">
        <v>47</v>
      </c>
      <c r="Z40" s="54" t="s">
        <v>55</v>
      </c>
      <c r="AA40" s="54" t="s">
        <v>40</v>
      </c>
      <c r="AB40" s="39" t="s">
        <v>158</v>
      </c>
    </row>
    <row r="41" spans="1:44" ht="12.75" customHeight="1" x14ac:dyDescent="0.15">
      <c r="A41" s="15" t="s">
        <v>156</v>
      </c>
      <c r="B41" s="15" t="s">
        <v>157</v>
      </c>
      <c r="C41" s="15">
        <v>2019</v>
      </c>
      <c r="D41" s="37" t="s">
        <v>166</v>
      </c>
      <c r="E41" s="7" t="s">
        <v>162</v>
      </c>
      <c r="F41" s="7" t="s">
        <v>163</v>
      </c>
      <c r="G41" s="7" t="s">
        <v>36</v>
      </c>
      <c r="H41" s="15" t="s">
        <v>160</v>
      </c>
      <c r="I41" s="7" t="s">
        <v>159</v>
      </c>
      <c r="J41" s="15" t="s">
        <v>38</v>
      </c>
      <c r="K41" s="7" t="s">
        <v>161</v>
      </c>
      <c r="L41" s="7">
        <v>1</v>
      </c>
      <c r="N41" s="7">
        <v>1</v>
      </c>
      <c r="O41" s="7">
        <v>1.05</v>
      </c>
      <c r="P41" s="7">
        <v>1.2</v>
      </c>
      <c r="Q41" s="52">
        <f t="shared" si="0"/>
        <v>1.125</v>
      </c>
      <c r="R41" s="7">
        <v>15.6</v>
      </c>
      <c r="S41" s="7">
        <v>108</v>
      </c>
      <c r="T41" s="16">
        <f t="shared" si="1"/>
        <v>33</v>
      </c>
      <c r="U41" s="7">
        <v>100</v>
      </c>
      <c r="V41" s="16">
        <f t="shared" si="2"/>
        <v>3300</v>
      </c>
      <c r="W41" s="7">
        <v>5</v>
      </c>
      <c r="X41" s="15" t="s">
        <v>46</v>
      </c>
      <c r="Y41" s="54" t="s">
        <v>47</v>
      </c>
      <c r="Z41" s="54" t="s">
        <v>55</v>
      </c>
      <c r="AA41" s="54" t="s">
        <v>40</v>
      </c>
      <c r="AB41" s="39" t="s">
        <v>158</v>
      </c>
    </row>
    <row r="42" spans="1:44" x14ac:dyDescent="0.15">
      <c r="A42" s="15" t="s">
        <v>156</v>
      </c>
      <c r="B42" s="15" t="s">
        <v>157</v>
      </c>
      <c r="C42" s="15">
        <v>2019</v>
      </c>
      <c r="D42" s="37" t="s">
        <v>166</v>
      </c>
      <c r="E42" s="7" t="s">
        <v>162</v>
      </c>
      <c r="F42" s="7" t="s">
        <v>163</v>
      </c>
      <c r="G42" s="7" t="s">
        <v>36</v>
      </c>
      <c r="H42" s="54" t="s">
        <v>160</v>
      </c>
      <c r="I42" s="7" t="s">
        <v>159</v>
      </c>
      <c r="J42" s="15" t="s">
        <v>38</v>
      </c>
      <c r="K42" s="7" t="s">
        <v>161</v>
      </c>
      <c r="L42" s="7">
        <v>2</v>
      </c>
      <c r="N42" s="7">
        <v>1</v>
      </c>
      <c r="O42" s="7">
        <v>1.1499999999999999</v>
      </c>
      <c r="P42" s="7">
        <v>1.1000000000000001</v>
      </c>
      <c r="Q42" s="52">
        <f t="shared" si="0"/>
        <v>1.125</v>
      </c>
      <c r="R42" s="7">
        <v>15.5</v>
      </c>
      <c r="S42" s="7">
        <v>109</v>
      </c>
      <c r="T42" s="16">
        <f t="shared" si="1"/>
        <v>33</v>
      </c>
      <c r="U42" s="7">
        <v>100</v>
      </c>
      <c r="V42" s="16">
        <f t="shared" si="2"/>
        <v>3300</v>
      </c>
      <c r="W42" s="7">
        <v>5</v>
      </c>
      <c r="X42" s="15" t="s">
        <v>46</v>
      </c>
      <c r="Y42" s="54" t="s">
        <v>47</v>
      </c>
      <c r="Z42" s="54" t="s">
        <v>55</v>
      </c>
      <c r="AA42" s="54" t="s">
        <v>40</v>
      </c>
      <c r="AB42" s="39" t="s">
        <v>158</v>
      </c>
    </row>
    <row r="43" spans="1:44" x14ac:dyDescent="0.15">
      <c r="A43" s="15" t="s">
        <v>156</v>
      </c>
      <c r="B43" s="15" t="s">
        <v>157</v>
      </c>
      <c r="C43" s="15">
        <v>2019</v>
      </c>
      <c r="D43" s="37" t="s">
        <v>166</v>
      </c>
      <c r="E43" s="7" t="s">
        <v>162</v>
      </c>
      <c r="F43" s="7" t="s">
        <v>163</v>
      </c>
      <c r="G43" s="7" t="s">
        <v>36</v>
      </c>
      <c r="H43" s="54" t="s">
        <v>160</v>
      </c>
      <c r="I43" s="7" t="s">
        <v>159</v>
      </c>
      <c r="J43" s="15" t="s">
        <v>38</v>
      </c>
      <c r="K43" s="7" t="s">
        <v>161</v>
      </c>
      <c r="L43" s="7">
        <v>3</v>
      </c>
      <c r="N43" s="7">
        <v>1</v>
      </c>
      <c r="O43" s="7">
        <v>0.7</v>
      </c>
      <c r="P43" s="7">
        <v>0.6</v>
      </c>
      <c r="Q43" s="52">
        <f t="shared" si="0"/>
        <v>0.64999999999999991</v>
      </c>
      <c r="R43" s="7">
        <v>20</v>
      </c>
      <c r="S43" s="7">
        <v>111</v>
      </c>
      <c r="T43" s="16">
        <f t="shared" si="1"/>
        <v>33</v>
      </c>
      <c r="U43" s="7">
        <v>100</v>
      </c>
      <c r="V43" s="16">
        <f t="shared" si="2"/>
        <v>3300</v>
      </c>
      <c r="W43" s="7">
        <v>5</v>
      </c>
      <c r="X43" s="15" t="s">
        <v>46</v>
      </c>
      <c r="Y43" s="54" t="s">
        <v>47</v>
      </c>
      <c r="Z43" s="54" t="s">
        <v>55</v>
      </c>
      <c r="AA43" s="54" t="s">
        <v>40</v>
      </c>
      <c r="AB43" s="39" t="s">
        <v>158</v>
      </c>
    </row>
    <row r="44" spans="1:44" x14ac:dyDescent="0.15">
      <c r="A44" s="15" t="s">
        <v>156</v>
      </c>
      <c r="B44" s="15" t="s">
        <v>157</v>
      </c>
      <c r="C44" s="15">
        <v>2019</v>
      </c>
      <c r="D44" s="37" t="s">
        <v>166</v>
      </c>
      <c r="E44" s="7" t="s">
        <v>130</v>
      </c>
      <c r="F44" s="7" t="s">
        <v>146</v>
      </c>
      <c r="G44" s="7" t="s">
        <v>36</v>
      </c>
      <c r="H44" s="15" t="s">
        <v>127</v>
      </c>
      <c r="I44" s="7" t="s">
        <v>159</v>
      </c>
      <c r="J44" s="15" t="s">
        <v>53</v>
      </c>
      <c r="K44" s="7" t="s">
        <v>54</v>
      </c>
      <c r="L44" s="7">
        <v>1</v>
      </c>
      <c r="N44" s="7">
        <v>1</v>
      </c>
      <c r="O44" s="7">
        <v>1.1000000000000001</v>
      </c>
      <c r="P44" s="7">
        <v>1.1000000000000001</v>
      </c>
      <c r="Q44" s="52">
        <f t="shared" si="0"/>
        <v>1.1000000000000001</v>
      </c>
      <c r="R44" s="7">
        <v>12.9</v>
      </c>
      <c r="S44" s="7">
        <v>124</v>
      </c>
      <c r="T44" s="16">
        <f t="shared" si="1"/>
        <v>27</v>
      </c>
      <c r="U44" s="7">
        <v>135</v>
      </c>
      <c r="V44" s="16">
        <f t="shared" si="2"/>
        <v>3645</v>
      </c>
      <c r="W44" s="7">
        <v>8</v>
      </c>
      <c r="X44" s="15" t="s">
        <v>46</v>
      </c>
      <c r="Y44" s="54" t="s">
        <v>55</v>
      </c>
      <c r="Z44" s="54" t="s">
        <v>40</v>
      </c>
      <c r="AA44" s="15" t="s">
        <v>78</v>
      </c>
      <c r="AB44" s="39" t="s">
        <v>158</v>
      </c>
    </row>
    <row r="45" spans="1:44" x14ac:dyDescent="0.15">
      <c r="A45" s="15" t="s">
        <v>156</v>
      </c>
      <c r="B45" s="15" t="s">
        <v>157</v>
      </c>
      <c r="C45" s="15">
        <v>2019</v>
      </c>
      <c r="D45" s="37" t="s">
        <v>166</v>
      </c>
      <c r="E45" s="7" t="s">
        <v>130</v>
      </c>
      <c r="F45" s="7" t="s">
        <v>146</v>
      </c>
      <c r="G45" s="7" t="s">
        <v>36</v>
      </c>
      <c r="H45" s="15" t="s">
        <v>127</v>
      </c>
      <c r="I45" s="7" t="s">
        <v>159</v>
      </c>
      <c r="J45" s="15" t="s">
        <v>53</v>
      </c>
      <c r="K45" s="7" t="s">
        <v>54</v>
      </c>
      <c r="L45" s="7">
        <v>2</v>
      </c>
      <c r="N45" s="7">
        <v>1</v>
      </c>
      <c r="O45" s="7">
        <v>1.3</v>
      </c>
      <c r="P45" s="7">
        <v>1.3</v>
      </c>
      <c r="Q45" s="52">
        <f t="shared" si="0"/>
        <v>1.3</v>
      </c>
      <c r="R45" s="7">
        <v>11.3</v>
      </c>
      <c r="S45" s="7">
        <v>116</v>
      </c>
      <c r="T45" s="16">
        <f t="shared" si="1"/>
        <v>30</v>
      </c>
      <c r="U45" s="7">
        <v>135</v>
      </c>
      <c r="V45" s="16">
        <f t="shared" si="2"/>
        <v>4050</v>
      </c>
      <c r="W45" s="7">
        <v>8</v>
      </c>
      <c r="X45" s="15" t="s">
        <v>46</v>
      </c>
      <c r="Y45" s="54" t="s">
        <v>55</v>
      </c>
      <c r="Z45" s="54" t="s">
        <v>40</v>
      </c>
      <c r="AA45" s="54" t="s">
        <v>78</v>
      </c>
      <c r="AB45" s="39" t="s">
        <v>158</v>
      </c>
    </row>
    <row r="46" spans="1:44" x14ac:dyDescent="0.15">
      <c r="A46" s="15" t="s">
        <v>156</v>
      </c>
      <c r="B46" s="15" t="s">
        <v>157</v>
      </c>
      <c r="C46" s="15">
        <v>2019</v>
      </c>
      <c r="D46" s="37" t="s">
        <v>166</v>
      </c>
      <c r="E46" s="7" t="s">
        <v>130</v>
      </c>
      <c r="F46" s="7" t="s">
        <v>146</v>
      </c>
      <c r="G46" s="7" t="s">
        <v>36</v>
      </c>
      <c r="H46" s="15" t="s">
        <v>127</v>
      </c>
      <c r="I46" s="7" t="s">
        <v>159</v>
      </c>
      <c r="J46" s="15" t="s">
        <v>53</v>
      </c>
      <c r="K46" s="7" t="s">
        <v>54</v>
      </c>
      <c r="L46" s="7">
        <v>3</v>
      </c>
      <c r="N46" s="7">
        <v>1</v>
      </c>
      <c r="O46" s="7">
        <v>1.1499999999999999</v>
      </c>
      <c r="P46" s="34">
        <v>1.25</v>
      </c>
      <c r="Q46" s="52">
        <f t="shared" si="0"/>
        <v>1.2</v>
      </c>
      <c r="R46" s="7">
        <v>12.2</v>
      </c>
      <c r="S46" s="7">
        <v>112</v>
      </c>
      <c r="T46" s="16">
        <f t="shared" si="1"/>
        <v>33</v>
      </c>
      <c r="U46" s="7">
        <v>135</v>
      </c>
      <c r="V46" s="16">
        <f t="shared" si="2"/>
        <v>4455</v>
      </c>
      <c r="W46" s="7">
        <v>8</v>
      </c>
      <c r="X46" s="15" t="s">
        <v>46</v>
      </c>
      <c r="Y46" s="54" t="s">
        <v>55</v>
      </c>
      <c r="Z46" s="54" t="s">
        <v>40</v>
      </c>
      <c r="AA46" s="54" t="s">
        <v>78</v>
      </c>
      <c r="AB46" s="39" t="s">
        <v>158</v>
      </c>
    </row>
    <row r="47" spans="1:44" x14ac:dyDescent="0.15">
      <c r="A47" s="15" t="s">
        <v>156</v>
      </c>
      <c r="B47" s="15" t="s">
        <v>157</v>
      </c>
      <c r="C47" s="15">
        <v>2019</v>
      </c>
      <c r="D47" s="37" t="s">
        <v>166</v>
      </c>
      <c r="E47" s="7" t="s">
        <v>130</v>
      </c>
      <c r="F47" s="7" t="s">
        <v>146</v>
      </c>
      <c r="G47" s="7" t="s">
        <v>36</v>
      </c>
      <c r="H47" s="15" t="s">
        <v>160</v>
      </c>
      <c r="I47" s="7" t="s">
        <v>159</v>
      </c>
      <c r="J47" s="15" t="s">
        <v>38</v>
      </c>
      <c r="K47" s="7" t="s">
        <v>161</v>
      </c>
      <c r="L47" s="7">
        <v>1</v>
      </c>
      <c r="N47" s="7">
        <v>1</v>
      </c>
      <c r="O47" s="7">
        <v>0.75</v>
      </c>
      <c r="P47" s="7">
        <v>0.75</v>
      </c>
      <c r="Q47" s="52">
        <f t="shared" si="0"/>
        <v>0.75</v>
      </c>
      <c r="R47" s="7">
        <v>17.600000000000001</v>
      </c>
      <c r="S47" s="7">
        <v>121</v>
      </c>
      <c r="T47" s="16">
        <f t="shared" si="1"/>
        <v>27</v>
      </c>
      <c r="U47" s="7">
        <v>105</v>
      </c>
      <c r="V47" s="16">
        <f t="shared" si="2"/>
        <v>2835</v>
      </c>
      <c r="W47" s="7">
        <v>17</v>
      </c>
      <c r="X47" s="15" t="s">
        <v>46</v>
      </c>
      <c r="Y47" s="54" t="s">
        <v>55</v>
      </c>
      <c r="Z47" s="54" t="s">
        <v>40</v>
      </c>
      <c r="AA47" s="54" t="s">
        <v>78</v>
      </c>
      <c r="AB47" s="39" t="s">
        <v>158</v>
      </c>
    </row>
    <row r="48" spans="1:44" x14ac:dyDescent="0.15">
      <c r="A48" s="15" t="s">
        <v>156</v>
      </c>
      <c r="B48" s="15" t="s">
        <v>157</v>
      </c>
      <c r="C48" s="15">
        <v>2019</v>
      </c>
      <c r="D48" s="37" t="s">
        <v>166</v>
      </c>
      <c r="E48" s="7" t="s">
        <v>130</v>
      </c>
      <c r="F48" s="7" t="s">
        <v>146</v>
      </c>
      <c r="G48" s="7" t="s">
        <v>36</v>
      </c>
      <c r="H48" s="15" t="s">
        <v>160</v>
      </c>
      <c r="I48" s="7" t="s">
        <v>159</v>
      </c>
      <c r="J48" s="15" t="s">
        <v>38</v>
      </c>
      <c r="K48" s="7" t="s">
        <v>161</v>
      </c>
      <c r="L48" s="7">
        <v>2</v>
      </c>
      <c r="N48" s="7">
        <v>1</v>
      </c>
      <c r="O48" s="7">
        <v>0.85</v>
      </c>
      <c r="P48" s="7">
        <v>0.9</v>
      </c>
      <c r="Q48" s="52">
        <f t="shared" si="0"/>
        <v>0.875</v>
      </c>
      <c r="R48" s="7">
        <v>17.7</v>
      </c>
      <c r="S48" s="7">
        <v>128</v>
      </c>
      <c r="T48" s="16">
        <f t="shared" si="1"/>
        <v>27</v>
      </c>
      <c r="U48" s="7">
        <v>105</v>
      </c>
      <c r="V48" s="16">
        <f t="shared" si="2"/>
        <v>2835</v>
      </c>
      <c r="W48" s="7">
        <v>17</v>
      </c>
      <c r="X48" s="15" t="s">
        <v>46</v>
      </c>
      <c r="Y48" s="54" t="s">
        <v>55</v>
      </c>
      <c r="Z48" s="54" t="s">
        <v>40</v>
      </c>
      <c r="AA48" s="54" t="s">
        <v>78</v>
      </c>
      <c r="AB48" s="39" t="s">
        <v>158</v>
      </c>
    </row>
    <row r="49" spans="1:29" x14ac:dyDescent="0.15">
      <c r="A49" s="15" t="s">
        <v>156</v>
      </c>
      <c r="B49" s="15" t="s">
        <v>157</v>
      </c>
      <c r="C49" s="15">
        <v>2019</v>
      </c>
      <c r="D49" s="37" t="s">
        <v>166</v>
      </c>
      <c r="E49" s="7" t="s">
        <v>130</v>
      </c>
      <c r="F49" s="7" t="s">
        <v>146</v>
      </c>
      <c r="G49" s="7" t="s">
        <v>36</v>
      </c>
      <c r="H49" s="15" t="s">
        <v>160</v>
      </c>
      <c r="I49" s="7" t="s">
        <v>159</v>
      </c>
      <c r="J49" s="15" t="s">
        <v>38</v>
      </c>
      <c r="K49" s="7" t="s">
        <v>161</v>
      </c>
      <c r="L49" s="7">
        <v>3</v>
      </c>
      <c r="N49" s="7">
        <v>1</v>
      </c>
      <c r="O49" s="7">
        <v>0.75</v>
      </c>
      <c r="P49" s="34">
        <v>0.9</v>
      </c>
      <c r="Q49" s="52">
        <f t="shared" si="0"/>
        <v>0.82499999999999996</v>
      </c>
      <c r="R49" s="7">
        <v>18.899999999999999</v>
      </c>
      <c r="S49" s="7">
        <v>123</v>
      </c>
      <c r="T49" s="16">
        <f t="shared" si="1"/>
        <v>27</v>
      </c>
      <c r="U49" s="7">
        <v>105</v>
      </c>
      <c r="V49" s="16">
        <f t="shared" si="2"/>
        <v>2835</v>
      </c>
      <c r="W49" s="7">
        <v>17</v>
      </c>
      <c r="X49" s="15" t="s">
        <v>46</v>
      </c>
      <c r="Y49" s="54" t="s">
        <v>55</v>
      </c>
      <c r="Z49" s="54" t="s">
        <v>40</v>
      </c>
      <c r="AA49" s="54" t="s">
        <v>78</v>
      </c>
      <c r="AB49" s="39" t="s">
        <v>158</v>
      </c>
    </row>
    <row r="50" spans="1:29" x14ac:dyDescent="0.15">
      <c r="A50" s="15" t="s">
        <v>156</v>
      </c>
      <c r="B50" s="15" t="s">
        <v>157</v>
      </c>
      <c r="C50" s="15">
        <v>2019</v>
      </c>
      <c r="D50" s="37" t="s">
        <v>166</v>
      </c>
      <c r="E50" s="7" t="s">
        <v>132</v>
      </c>
      <c r="F50" s="7" t="s">
        <v>147</v>
      </c>
      <c r="G50" s="7" t="s">
        <v>36</v>
      </c>
      <c r="H50" s="15" t="s">
        <v>164</v>
      </c>
      <c r="I50" s="7" t="s">
        <v>159</v>
      </c>
      <c r="J50" s="15" t="s">
        <v>38</v>
      </c>
      <c r="K50" s="7" t="s">
        <v>161</v>
      </c>
      <c r="L50" s="7">
        <v>1</v>
      </c>
      <c r="N50" s="7">
        <v>1</v>
      </c>
      <c r="O50" s="7">
        <v>0.65</v>
      </c>
      <c r="P50" s="7">
        <v>0.75</v>
      </c>
      <c r="Q50" s="52">
        <f t="shared" si="0"/>
        <v>0.7</v>
      </c>
      <c r="R50" s="7">
        <v>18</v>
      </c>
      <c r="S50" s="7">
        <v>100</v>
      </c>
      <c r="T50" s="16">
        <f t="shared" si="1"/>
        <v>33</v>
      </c>
      <c r="U50" s="7">
        <v>99</v>
      </c>
      <c r="V50" s="16">
        <f t="shared" si="2"/>
        <v>3267</v>
      </c>
      <c r="W50" s="7">
        <v>4</v>
      </c>
      <c r="X50" s="15" t="s">
        <v>46</v>
      </c>
      <c r="Y50" s="54" t="s">
        <v>55</v>
      </c>
      <c r="Z50" s="15" t="s">
        <v>90</v>
      </c>
      <c r="AA50" s="15" t="s">
        <v>47</v>
      </c>
      <c r="AB50" s="39" t="s">
        <v>158</v>
      </c>
    </row>
    <row r="51" spans="1:29" x14ac:dyDescent="0.15">
      <c r="A51" s="15" t="s">
        <v>156</v>
      </c>
      <c r="B51" s="15" t="s">
        <v>157</v>
      </c>
      <c r="C51" s="15">
        <v>2019</v>
      </c>
      <c r="D51" s="37" t="s">
        <v>166</v>
      </c>
      <c r="E51" s="7" t="s">
        <v>132</v>
      </c>
      <c r="F51" s="7" t="s">
        <v>147</v>
      </c>
      <c r="G51" s="7" t="s">
        <v>36</v>
      </c>
      <c r="H51" s="15" t="s">
        <v>164</v>
      </c>
      <c r="I51" s="7" t="s">
        <v>159</v>
      </c>
      <c r="J51" s="15" t="s">
        <v>38</v>
      </c>
      <c r="K51" s="7" t="s">
        <v>161</v>
      </c>
      <c r="L51" s="7">
        <v>2</v>
      </c>
      <c r="N51" s="7">
        <v>1</v>
      </c>
      <c r="O51" s="7">
        <v>0.9</v>
      </c>
      <c r="P51" s="7">
        <v>1</v>
      </c>
      <c r="Q51" s="52">
        <f t="shared" si="0"/>
        <v>0.95</v>
      </c>
      <c r="R51" s="7">
        <v>16.899999999999999</v>
      </c>
      <c r="S51" s="7">
        <v>95</v>
      </c>
      <c r="T51" s="16">
        <f t="shared" si="1"/>
        <v>36</v>
      </c>
      <c r="U51" s="7">
        <v>99</v>
      </c>
      <c r="V51" s="16">
        <f t="shared" si="2"/>
        <v>3564</v>
      </c>
      <c r="W51" s="7">
        <v>4</v>
      </c>
      <c r="X51" s="15" t="s">
        <v>46</v>
      </c>
      <c r="Y51" s="54" t="s">
        <v>55</v>
      </c>
      <c r="Z51" s="54" t="s">
        <v>90</v>
      </c>
      <c r="AA51" s="54" t="s">
        <v>47</v>
      </c>
      <c r="AB51" s="39" t="s">
        <v>158</v>
      </c>
    </row>
    <row r="52" spans="1:29" x14ac:dyDescent="0.15">
      <c r="A52" s="15" t="s">
        <v>156</v>
      </c>
      <c r="B52" s="15" t="s">
        <v>157</v>
      </c>
      <c r="C52" s="15">
        <v>2019</v>
      </c>
      <c r="D52" s="37" t="s">
        <v>166</v>
      </c>
      <c r="E52" s="7" t="s">
        <v>132</v>
      </c>
      <c r="F52" s="7" t="s">
        <v>147</v>
      </c>
      <c r="G52" s="7" t="s">
        <v>36</v>
      </c>
      <c r="H52" s="15" t="s">
        <v>164</v>
      </c>
      <c r="I52" s="7" t="s">
        <v>159</v>
      </c>
      <c r="J52" s="15" t="s">
        <v>38</v>
      </c>
      <c r="K52" s="7" t="s">
        <v>161</v>
      </c>
      <c r="L52" s="7">
        <v>3</v>
      </c>
      <c r="N52" s="7">
        <v>1</v>
      </c>
      <c r="O52" s="7">
        <v>1.1499999999999999</v>
      </c>
      <c r="P52" s="7">
        <v>1.05</v>
      </c>
      <c r="Q52" s="52">
        <f t="shared" si="0"/>
        <v>1.1000000000000001</v>
      </c>
      <c r="R52" s="7">
        <v>19.600000000000001</v>
      </c>
      <c r="S52" s="7">
        <v>93</v>
      </c>
      <c r="T52" s="16">
        <f t="shared" si="1"/>
        <v>36</v>
      </c>
      <c r="U52" s="7">
        <v>99</v>
      </c>
      <c r="V52" s="16">
        <f t="shared" si="2"/>
        <v>3564</v>
      </c>
      <c r="W52" s="7">
        <v>4</v>
      </c>
      <c r="X52" s="15" t="s">
        <v>46</v>
      </c>
      <c r="Y52" s="54" t="s">
        <v>55</v>
      </c>
      <c r="Z52" s="54" t="s">
        <v>90</v>
      </c>
      <c r="AA52" s="54" t="s">
        <v>47</v>
      </c>
      <c r="AB52" s="39" t="s">
        <v>158</v>
      </c>
    </row>
    <row r="53" spans="1:29" x14ac:dyDescent="0.15">
      <c r="A53" s="15" t="s">
        <v>156</v>
      </c>
      <c r="B53" s="15" t="s">
        <v>157</v>
      </c>
      <c r="C53" s="15">
        <v>2019</v>
      </c>
      <c r="D53" s="37" t="s">
        <v>166</v>
      </c>
      <c r="E53" s="7" t="s">
        <v>132</v>
      </c>
      <c r="F53" s="7" t="s">
        <v>147</v>
      </c>
      <c r="G53" s="7" t="s">
        <v>36</v>
      </c>
      <c r="H53" s="15" t="s">
        <v>160</v>
      </c>
      <c r="I53" s="7" t="s">
        <v>159</v>
      </c>
      <c r="J53" s="15" t="s">
        <v>38</v>
      </c>
      <c r="K53" s="7" t="s">
        <v>161</v>
      </c>
      <c r="L53" s="7">
        <v>1</v>
      </c>
      <c r="N53" s="7">
        <v>1</v>
      </c>
      <c r="O53" s="7">
        <v>0.85</v>
      </c>
      <c r="P53" s="7">
        <v>0.75</v>
      </c>
      <c r="Q53" s="52">
        <f t="shared" si="0"/>
        <v>0.8</v>
      </c>
      <c r="R53" s="7">
        <v>15.8</v>
      </c>
      <c r="S53" s="7">
        <v>105</v>
      </c>
      <c r="T53" s="16">
        <f t="shared" si="1"/>
        <v>33</v>
      </c>
      <c r="U53" s="7">
        <v>99</v>
      </c>
      <c r="V53" s="16">
        <f t="shared" si="2"/>
        <v>3267</v>
      </c>
      <c r="W53" s="7">
        <v>9</v>
      </c>
      <c r="X53" s="15" t="s">
        <v>46</v>
      </c>
      <c r="Y53" s="54" t="s">
        <v>55</v>
      </c>
      <c r="Z53" s="54" t="s">
        <v>90</v>
      </c>
      <c r="AA53" s="54" t="s">
        <v>47</v>
      </c>
      <c r="AB53" s="39" t="s">
        <v>158</v>
      </c>
      <c r="AC53" s="36"/>
    </row>
    <row r="54" spans="1:29" x14ac:dyDescent="0.15">
      <c r="A54" s="15" t="s">
        <v>156</v>
      </c>
      <c r="B54" s="15" t="s">
        <v>157</v>
      </c>
      <c r="C54" s="15">
        <v>2019</v>
      </c>
      <c r="D54" s="37" t="s">
        <v>166</v>
      </c>
      <c r="E54" s="7" t="s">
        <v>132</v>
      </c>
      <c r="F54" s="7" t="s">
        <v>147</v>
      </c>
      <c r="G54" s="7" t="s">
        <v>36</v>
      </c>
      <c r="H54" s="15" t="s">
        <v>160</v>
      </c>
      <c r="I54" s="7" t="s">
        <v>159</v>
      </c>
      <c r="J54" s="15" t="s">
        <v>38</v>
      </c>
      <c r="K54" s="7" t="s">
        <v>161</v>
      </c>
      <c r="L54" s="7">
        <v>2</v>
      </c>
      <c r="N54" s="7">
        <v>1</v>
      </c>
      <c r="O54" s="7">
        <v>0.9</v>
      </c>
      <c r="P54" s="7">
        <v>0.9</v>
      </c>
      <c r="Q54" s="52">
        <f t="shared" si="0"/>
        <v>0.9</v>
      </c>
      <c r="R54" s="7">
        <v>16.399999999999999</v>
      </c>
      <c r="S54" s="7">
        <v>111</v>
      </c>
      <c r="T54" s="16">
        <f t="shared" si="1"/>
        <v>33</v>
      </c>
      <c r="U54" s="7">
        <v>99</v>
      </c>
      <c r="V54" s="16">
        <f t="shared" si="2"/>
        <v>3267</v>
      </c>
      <c r="W54" s="7">
        <v>9</v>
      </c>
      <c r="X54" s="15" t="s">
        <v>46</v>
      </c>
      <c r="Y54" s="54" t="s">
        <v>55</v>
      </c>
      <c r="Z54" s="54" t="s">
        <v>90</v>
      </c>
      <c r="AA54" s="54" t="s">
        <v>47</v>
      </c>
      <c r="AB54" s="39" t="s">
        <v>158</v>
      </c>
      <c r="AC54" s="36"/>
    </row>
    <row r="55" spans="1:29" x14ac:dyDescent="0.15">
      <c r="A55" s="15" t="s">
        <v>156</v>
      </c>
      <c r="B55" s="15" t="s">
        <v>157</v>
      </c>
      <c r="C55" s="15">
        <v>2019</v>
      </c>
      <c r="D55" s="37" t="s">
        <v>166</v>
      </c>
      <c r="E55" s="7" t="s">
        <v>132</v>
      </c>
      <c r="F55" s="7" t="s">
        <v>147</v>
      </c>
      <c r="G55" s="7" t="s">
        <v>36</v>
      </c>
      <c r="H55" s="15" t="s">
        <v>160</v>
      </c>
      <c r="I55" s="7" t="s">
        <v>159</v>
      </c>
      <c r="J55" s="15" t="s">
        <v>38</v>
      </c>
      <c r="K55" s="7" t="s">
        <v>161</v>
      </c>
      <c r="L55" s="7">
        <v>3</v>
      </c>
      <c r="N55" s="7">
        <v>1</v>
      </c>
      <c r="O55" s="7">
        <v>1.1000000000000001</v>
      </c>
      <c r="P55" s="7">
        <v>1.1000000000000001</v>
      </c>
      <c r="Q55" s="52">
        <f t="shared" si="0"/>
        <v>1.1000000000000001</v>
      </c>
      <c r="R55" s="7">
        <v>16.3</v>
      </c>
      <c r="S55" s="7">
        <v>108</v>
      </c>
      <c r="T55" s="16">
        <f t="shared" si="1"/>
        <v>33</v>
      </c>
      <c r="U55" s="7">
        <v>99</v>
      </c>
      <c r="V55" s="16">
        <f t="shared" si="2"/>
        <v>3267</v>
      </c>
      <c r="W55" s="7">
        <v>9</v>
      </c>
      <c r="X55" s="15" t="s">
        <v>46</v>
      </c>
      <c r="Y55" s="54" t="s">
        <v>55</v>
      </c>
      <c r="Z55" s="54" t="s">
        <v>90</v>
      </c>
      <c r="AA55" s="54" t="s">
        <v>47</v>
      </c>
      <c r="AB55" s="39" t="s">
        <v>158</v>
      </c>
      <c r="AC55" s="36"/>
    </row>
    <row r="56" spans="1:29" x14ac:dyDescent="0.15">
      <c r="A56" s="15" t="s">
        <v>156</v>
      </c>
      <c r="B56" s="15" t="s">
        <v>157</v>
      </c>
      <c r="C56" s="15">
        <v>2019</v>
      </c>
      <c r="D56" s="37" t="s">
        <v>166</v>
      </c>
      <c r="E56" s="7" t="s">
        <v>140</v>
      </c>
      <c r="F56" s="7" t="s">
        <v>148</v>
      </c>
      <c r="G56" s="7" t="s">
        <v>36</v>
      </c>
      <c r="H56" s="15" t="s">
        <v>164</v>
      </c>
      <c r="I56" s="7" t="s">
        <v>159</v>
      </c>
      <c r="J56" s="15" t="s">
        <v>38</v>
      </c>
      <c r="K56" s="7" t="s">
        <v>161</v>
      </c>
      <c r="L56" s="7">
        <v>1</v>
      </c>
      <c r="N56" s="7">
        <v>1</v>
      </c>
      <c r="O56" s="7">
        <v>0.95</v>
      </c>
      <c r="P56" s="7">
        <v>1.05</v>
      </c>
      <c r="Q56" s="52">
        <f t="shared" si="0"/>
        <v>1</v>
      </c>
      <c r="R56" s="7">
        <v>15.5</v>
      </c>
      <c r="S56" s="7">
        <v>98</v>
      </c>
      <c r="T56" s="16">
        <f t="shared" si="1"/>
        <v>36</v>
      </c>
      <c r="U56" s="7">
        <v>138</v>
      </c>
      <c r="V56" s="16">
        <f t="shared" si="2"/>
        <v>4968</v>
      </c>
      <c r="W56" s="7">
        <v>5</v>
      </c>
      <c r="X56" s="15" t="s">
        <v>46</v>
      </c>
      <c r="Y56" s="15" t="s">
        <v>55</v>
      </c>
      <c r="Z56" s="15" t="s">
        <v>47</v>
      </c>
      <c r="AA56" s="15" t="s">
        <v>78</v>
      </c>
      <c r="AB56" s="39" t="s">
        <v>158</v>
      </c>
    </row>
    <row r="57" spans="1:29" x14ac:dyDescent="0.15">
      <c r="A57" s="15" t="s">
        <v>156</v>
      </c>
      <c r="B57" s="15" t="s">
        <v>157</v>
      </c>
      <c r="C57" s="15">
        <v>2019</v>
      </c>
      <c r="D57" s="37" t="s">
        <v>166</v>
      </c>
      <c r="E57" s="7" t="s">
        <v>140</v>
      </c>
      <c r="F57" s="7" t="s">
        <v>148</v>
      </c>
      <c r="G57" s="7" t="s">
        <v>36</v>
      </c>
      <c r="H57" s="15" t="s">
        <v>164</v>
      </c>
      <c r="I57" s="7" t="s">
        <v>159</v>
      </c>
      <c r="J57" s="15" t="s">
        <v>38</v>
      </c>
      <c r="K57" s="7" t="s">
        <v>161</v>
      </c>
      <c r="L57" s="7">
        <v>2</v>
      </c>
      <c r="N57" s="7">
        <v>1</v>
      </c>
      <c r="O57" s="7">
        <v>0.85</v>
      </c>
      <c r="P57" s="7">
        <v>0.75</v>
      </c>
      <c r="Q57" s="52">
        <f t="shared" si="0"/>
        <v>0.8</v>
      </c>
      <c r="R57" s="7">
        <v>20.2</v>
      </c>
      <c r="S57" s="7">
        <v>101</v>
      </c>
      <c r="T57" s="16">
        <f t="shared" si="1"/>
        <v>33</v>
      </c>
      <c r="U57" s="7">
        <v>138</v>
      </c>
      <c r="V57" s="16">
        <f t="shared" si="2"/>
        <v>4554</v>
      </c>
      <c r="W57" s="7">
        <v>5</v>
      </c>
      <c r="X57" s="15" t="s">
        <v>46</v>
      </c>
      <c r="Y57" s="54" t="s">
        <v>55</v>
      </c>
      <c r="Z57" s="54" t="s">
        <v>47</v>
      </c>
      <c r="AA57" s="54" t="s">
        <v>78</v>
      </c>
      <c r="AB57" s="39" t="s">
        <v>158</v>
      </c>
    </row>
    <row r="58" spans="1:29" x14ac:dyDescent="0.15">
      <c r="A58" s="15" t="s">
        <v>156</v>
      </c>
      <c r="B58" s="15" t="s">
        <v>157</v>
      </c>
      <c r="C58" s="15">
        <v>2019</v>
      </c>
      <c r="D58" s="37" t="s">
        <v>166</v>
      </c>
      <c r="E58" s="7" t="s">
        <v>140</v>
      </c>
      <c r="F58" s="7" t="s">
        <v>148</v>
      </c>
      <c r="G58" s="7" t="s">
        <v>36</v>
      </c>
      <c r="H58" s="15" t="s">
        <v>164</v>
      </c>
      <c r="I58" s="7" t="s">
        <v>159</v>
      </c>
      <c r="J58" s="15" t="s">
        <v>38</v>
      </c>
      <c r="K58" s="7" t="s">
        <v>161</v>
      </c>
      <c r="L58" s="7">
        <v>3</v>
      </c>
      <c r="N58" s="7">
        <v>1</v>
      </c>
      <c r="O58" s="7">
        <v>0.9</v>
      </c>
      <c r="P58" s="7">
        <v>0.95</v>
      </c>
      <c r="Q58" s="52">
        <f t="shared" si="0"/>
        <v>0.92500000000000004</v>
      </c>
      <c r="R58" s="7">
        <v>19.7</v>
      </c>
      <c r="S58" s="7">
        <v>89</v>
      </c>
      <c r="T58" s="16">
        <f t="shared" si="1"/>
        <v>36</v>
      </c>
      <c r="U58" s="7">
        <v>138</v>
      </c>
      <c r="V58" s="16">
        <f t="shared" si="2"/>
        <v>4968</v>
      </c>
      <c r="W58" s="7">
        <v>5</v>
      </c>
      <c r="X58" s="15" t="s">
        <v>46</v>
      </c>
      <c r="Y58" s="54" t="s">
        <v>55</v>
      </c>
      <c r="Z58" s="54" t="s">
        <v>47</v>
      </c>
      <c r="AA58" s="54" t="s">
        <v>78</v>
      </c>
      <c r="AB58" s="39" t="s">
        <v>158</v>
      </c>
    </row>
    <row r="59" spans="1:29" x14ac:dyDescent="0.15">
      <c r="A59" s="15" t="s">
        <v>156</v>
      </c>
      <c r="B59" s="15" t="s">
        <v>157</v>
      </c>
      <c r="C59" s="15">
        <v>2019</v>
      </c>
      <c r="D59" s="37" t="s">
        <v>166</v>
      </c>
      <c r="E59" s="7" t="s">
        <v>140</v>
      </c>
      <c r="F59" s="7" t="s">
        <v>148</v>
      </c>
      <c r="G59" s="7" t="s">
        <v>36</v>
      </c>
      <c r="H59" s="15" t="s">
        <v>160</v>
      </c>
      <c r="I59" s="7" t="s">
        <v>159</v>
      </c>
      <c r="J59" s="15" t="s">
        <v>38</v>
      </c>
      <c r="K59" s="7" t="s">
        <v>161</v>
      </c>
      <c r="L59" s="7">
        <v>1</v>
      </c>
      <c r="N59" s="7">
        <v>1</v>
      </c>
      <c r="O59" s="7">
        <v>0.85</v>
      </c>
      <c r="P59" s="7">
        <v>1</v>
      </c>
      <c r="Q59" s="52">
        <f t="shared" si="0"/>
        <v>0.92500000000000004</v>
      </c>
      <c r="R59" s="7">
        <v>14.4</v>
      </c>
      <c r="S59" s="7">
        <v>112</v>
      </c>
      <c r="T59" s="16">
        <f t="shared" si="1"/>
        <v>33</v>
      </c>
      <c r="U59" s="7">
        <v>138</v>
      </c>
      <c r="V59" s="16">
        <f t="shared" si="2"/>
        <v>4554</v>
      </c>
      <c r="W59" s="7">
        <v>13</v>
      </c>
      <c r="X59" s="15" t="s">
        <v>46</v>
      </c>
      <c r="Y59" s="54" t="s">
        <v>55</v>
      </c>
      <c r="Z59" s="54" t="s">
        <v>47</v>
      </c>
      <c r="AA59" s="54" t="s">
        <v>78</v>
      </c>
      <c r="AB59" s="39" t="s">
        <v>158</v>
      </c>
    </row>
    <row r="60" spans="1:29" x14ac:dyDescent="0.15">
      <c r="A60" s="15" t="s">
        <v>156</v>
      </c>
      <c r="B60" s="15" t="s">
        <v>157</v>
      </c>
      <c r="C60" s="15">
        <v>2019</v>
      </c>
      <c r="D60" s="37" t="s">
        <v>166</v>
      </c>
      <c r="E60" s="7" t="s">
        <v>140</v>
      </c>
      <c r="F60" s="7" t="s">
        <v>148</v>
      </c>
      <c r="G60" s="7" t="s">
        <v>36</v>
      </c>
      <c r="H60" s="15" t="s">
        <v>160</v>
      </c>
      <c r="I60" s="7" t="s">
        <v>159</v>
      </c>
      <c r="J60" s="15" t="s">
        <v>38</v>
      </c>
      <c r="K60" s="7" t="s">
        <v>161</v>
      </c>
      <c r="L60" s="7">
        <v>2</v>
      </c>
      <c r="N60" s="7">
        <v>1</v>
      </c>
      <c r="O60" s="7">
        <v>0.85</v>
      </c>
      <c r="P60" s="7">
        <v>0.95</v>
      </c>
      <c r="Q60" s="52">
        <f t="shared" si="0"/>
        <v>0.89999999999999991</v>
      </c>
      <c r="R60" s="7">
        <v>15.3</v>
      </c>
      <c r="S60" s="7">
        <v>112</v>
      </c>
      <c r="T60" s="16">
        <f>IF(H60="","",IF(OR(H60="GREEN",H60="GK"),IF(S60&gt;=$AX$2,VLOOKUP(S60,$AX$2:$AY$12,2,1),""),IF(S60&gt;=$AZ$2,VLOOKUP(S60,$AZ$2:$BA$12,2,1),"")))</f>
        <v>33</v>
      </c>
      <c r="U60" s="7">
        <v>138</v>
      </c>
      <c r="V60" s="16">
        <f t="shared" si="2"/>
        <v>4554</v>
      </c>
      <c r="W60" s="7">
        <v>13</v>
      </c>
      <c r="X60" s="15" t="s">
        <v>46</v>
      </c>
      <c r="Y60" s="54" t="s">
        <v>55</v>
      </c>
      <c r="Z60" s="54" t="s">
        <v>47</v>
      </c>
      <c r="AA60" s="54" t="s">
        <v>78</v>
      </c>
      <c r="AB60" s="39" t="s">
        <v>158</v>
      </c>
    </row>
    <row r="61" spans="1:29" x14ac:dyDescent="0.15">
      <c r="A61" s="15" t="s">
        <v>156</v>
      </c>
      <c r="B61" s="15" t="s">
        <v>157</v>
      </c>
      <c r="C61" s="15">
        <v>2019</v>
      </c>
      <c r="D61" s="37" t="s">
        <v>166</v>
      </c>
      <c r="E61" s="7" t="s">
        <v>140</v>
      </c>
      <c r="F61" s="7" t="s">
        <v>148</v>
      </c>
      <c r="G61" s="7" t="s">
        <v>36</v>
      </c>
      <c r="H61" s="15" t="s">
        <v>160</v>
      </c>
      <c r="I61" s="7" t="s">
        <v>159</v>
      </c>
      <c r="J61" s="15" t="s">
        <v>38</v>
      </c>
      <c r="K61" s="7" t="s">
        <v>161</v>
      </c>
      <c r="L61" s="7">
        <v>3</v>
      </c>
      <c r="N61" s="7">
        <v>1</v>
      </c>
      <c r="O61" s="7">
        <v>1</v>
      </c>
      <c r="P61" s="7">
        <v>1.05</v>
      </c>
      <c r="Q61" s="52">
        <f t="shared" si="0"/>
        <v>1.0249999999999999</v>
      </c>
      <c r="R61" s="7">
        <v>15.4</v>
      </c>
      <c r="S61" s="7">
        <v>115</v>
      </c>
      <c r="T61" s="16">
        <f>IF(H61="","",IF(OR(H61="GREEN",H61="GK"),IF(S61&gt;=$AX$2,VLOOKUP(S61,$AX$2:$AY$12,2,1),""),IF(S61&gt;=$AZ$2,VLOOKUP(S61,$AZ$2:$BA$12,2,1),"")))</f>
        <v>30</v>
      </c>
      <c r="U61" s="7">
        <v>138</v>
      </c>
      <c r="V61" s="16">
        <f t="shared" si="2"/>
        <v>4140</v>
      </c>
      <c r="W61" s="7">
        <v>13</v>
      </c>
      <c r="X61" s="15" t="s">
        <v>46</v>
      </c>
      <c r="Y61" s="54" t="s">
        <v>55</v>
      </c>
      <c r="Z61" s="54" t="s">
        <v>47</v>
      </c>
      <c r="AA61" s="54" t="s">
        <v>78</v>
      </c>
      <c r="AB61" s="39" t="s">
        <v>158</v>
      </c>
    </row>
    <row r="62" spans="1:29" x14ac:dyDescent="0.15">
      <c r="A62" s="15"/>
      <c r="B62" s="15"/>
      <c r="C62" s="15"/>
      <c r="D62" s="37"/>
      <c r="H62" s="15"/>
      <c r="J62" s="15"/>
      <c r="Q62" s="52" t="str">
        <f t="shared" si="0"/>
        <v/>
      </c>
      <c r="T62" s="16" t="str">
        <f t="shared" ref="T62:T120" si="3">IF(H62="","",IF(OR(H62="GREEN",H62="GK"),IF(S62&gt;=$AX$2,VLOOKUP(S62,$AX$2:$AY$12,2,1),""),IF(S62&gt;=$AZ$2,VLOOKUP(S62,$AZ$2:$BA$12,2,1),"")))</f>
        <v/>
      </c>
      <c r="V62" s="16" t="str">
        <f t="shared" si="2"/>
        <v/>
      </c>
      <c r="X62" s="15"/>
      <c r="Y62" s="15"/>
      <c r="Z62" s="15"/>
      <c r="AA62" s="15"/>
      <c r="AB62" s="39"/>
    </row>
    <row r="63" spans="1:29" x14ac:dyDescent="0.15">
      <c r="A63" s="15"/>
      <c r="B63" s="15"/>
      <c r="C63" s="15"/>
      <c r="D63" s="37"/>
      <c r="H63" s="15"/>
      <c r="J63" s="15"/>
      <c r="Q63" s="52" t="str">
        <f t="shared" si="0"/>
        <v/>
      </c>
      <c r="T63" s="16" t="str">
        <f t="shared" si="3"/>
        <v/>
      </c>
      <c r="V63" s="16" t="str">
        <f t="shared" si="2"/>
        <v/>
      </c>
      <c r="X63" s="15"/>
      <c r="Y63" s="15"/>
      <c r="Z63" s="15"/>
      <c r="AA63" s="15"/>
      <c r="AB63" s="39"/>
    </row>
    <row r="64" spans="1:29" x14ac:dyDescent="0.15">
      <c r="A64" s="15"/>
      <c r="B64" s="15"/>
      <c r="C64" s="15"/>
      <c r="D64" s="37"/>
      <c r="H64" s="15"/>
      <c r="J64" s="15"/>
      <c r="Q64" s="52" t="str">
        <f t="shared" si="0"/>
        <v/>
      </c>
      <c r="T64" s="16" t="str">
        <f t="shared" si="3"/>
        <v/>
      </c>
      <c r="V64" s="16" t="str">
        <f t="shared" si="2"/>
        <v/>
      </c>
      <c r="X64" s="15"/>
      <c r="Y64" s="15"/>
      <c r="Z64" s="15"/>
      <c r="AA64" s="15"/>
      <c r="AB64" s="39"/>
    </row>
    <row r="65" spans="1:28" x14ac:dyDescent="0.15">
      <c r="A65" s="15"/>
      <c r="B65" s="15"/>
      <c r="C65" s="15"/>
      <c r="D65" s="37"/>
      <c r="H65" s="15"/>
      <c r="J65" s="15"/>
      <c r="Q65" s="52" t="str">
        <f t="shared" si="0"/>
        <v/>
      </c>
      <c r="T65" s="16" t="str">
        <f t="shared" si="3"/>
        <v/>
      </c>
      <c r="V65" s="16" t="str">
        <f t="shared" si="2"/>
        <v/>
      </c>
      <c r="X65" s="15"/>
      <c r="Y65" s="15"/>
      <c r="Z65" s="15"/>
      <c r="AA65" s="15"/>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15"/>
      <c r="Y66" s="15"/>
      <c r="Z66" s="15"/>
      <c r="AA66" s="15"/>
      <c r="AB66" s="39"/>
    </row>
    <row r="67" spans="1:28" x14ac:dyDescent="0.15">
      <c r="A67" s="15"/>
      <c r="B67" s="15"/>
      <c r="C67" s="15"/>
      <c r="D67" s="37"/>
      <c r="H67" s="15"/>
      <c r="J67" s="15"/>
      <c r="Q67" s="52" t="str">
        <f t="shared" si="4"/>
        <v/>
      </c>
      <c r="T67" s="16" t="str">
        <f t="shared" si="3"/>
        <v/>
      </c>
      <c r="V67" s="16" t="str">
        <f t="shared" si="5"/>
        <v/>
      </c>
      <c r="X67" s="15"/>
      <c r="Y67" s="15"/>
      <c r="Z67" s="15"/>
      <c r="AA67" s="15"/>
      <c r="AB67" s="39"/>
    </row>
    <row r="68" spans="1:28" x14ac:dyDescent="0.15">
      <c r="A68" s="15"/>
      <c r="B68" s="15"/>
      <c r="C68" s="15"/>
      <c r="D68" s="37"/>
      <c r="H68" s="15"/>
      <c r="J68" s="15"/>
      <c r="Q68" s="52" t="str">
        <f t="shared" si="4"/>
        <v/>
      </c>
      <c r="T68" s="16" t="str">
        <f t="shared" si="3"/>
        <v/>
      </c>
      <c r="V68" s="16" t="str">
        <f t="shared" si="5"/>
        <v/>
      </c>
      <c r="X68" s="15"/>
      <c r="Y68" s="15"/>
      <c r="Z68" s="15"/>
      <c r="AA68" s="15"/>
      <c r="AB68" s="39"/>
    </row>
    <row r="69" spans="1:28" x14ac:dyDescent="0.15">
      <c r="A69" s="15"/>
      <c r="B69" s="15"/>
      <c r="C69" s="15"/>
      <c r="D69" s="37"/>
      <c r="H69" s="15"/>
      <c r="J69" s="15"/>
      <c r="Q69" s="52" t="str">
        <f t="shared" si="4"/>
        <v/>
      </c>
      <c r="T69" s="16" t="str">
        <f t="shared" si="3"/>
        <v/>
      </c>
      <c r="V69" s="16" t="str">
        <f t="shared" si="5"/>
        <v/>
      </c>
      <c r="X69" s="15"/>
      <c r="Y69" s="15"/>
      <c r="Z69" s="15"/>
      <c r="AA69" s="15"/>
      <c r="AB69" s="39"/>
    </row>
    <row r="70" spans="1:28" x14ac:dyDescent="0.15">
      <c r="A70" s="15"/>
      <c r="B70" s="15"/>
      <c r="C70" s="15"/>
      <c r="D70" s="37"/>
      <c r="H70" s="15"/>
      <c r="J70" s="15"/>
      <c r="Q70" s="52" t="str">
        <f t="shared" si="4"/>
        <v/>
      </c>
      <c r="T70" s="16" t="str">
        <f t="shared" si="3"/>
        <v/>
      </c>
      <c r="V70" s="16" t="str">
        <f t="shared" si="5"/>
        <v/>
      </c>
      <c r="X70" s="15"/>
      <c r="Y70" s="15"/>
      <c r="Z70" s="15"/>
      <c r="AA70" s="15"/>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A8566-3429-422E-9880-E3D73DEE1095}">
  <dimension ref="A1:BA372"/>
  <sheetViews>
    <sheetView topLeftCell="A19" zoomScale="70" zoomScaleNormal="70" workbookViewId="0">
      <selection activeCell="M134" sqref="M134"/>
    </sheetView>
  </sheetViews>
  <sheetFormatPr defaultColWidth="9" defaultRowHeight="13.5" x14ac:dyDescent="0.15"/>
  <cols>
    <col min="1" max="3" width="9" style="36"/>
    <col min="4" max="4" width="11" style="36" customWidth="1"/>
    <col min="5" max="5" width="10.85546875" style="36" customWidth="1"/>
    <col min="6" max="16" width="9" style="36"/>
    <col min="17" max="17" width="9" style="62"/>
    <col min="18" max="18" width="9" style="36"/>
    <col min="19" max="19" width="11.5703125" style="36" customWidth="1"/>
    <col min="20" max="20" width="9" style="62"/>
    <col min="21" max="21" width="9" style="36"/>
    <col min="22" max="22" width="9" style="92"/>
    <col min="23" max="32" width="9" style="36"/>
    <col min="33" max="33" width="14.42578125" style="36" customWidth="1"/>
    <col min="34" max="34" width="11.42578125" style="36" customWidth="1"/>
    <col min="35" max="16384" width="9" style="36"/>
  </cols>
  <sheetData>
    <row r="1" spans="1:53" ht="45" x14ac:dyDescent="0.15">
      <c r="A1" s="44" t="s">
        <v>0</v>
      </c>
      <c r="B1" s="1" t="s">
        <v>168</v>
      </c>
      <c r="C1" s="1" t="s">
        <v>169</v>
      </c>
      <c r="D1" s="2" t="s">
        <v>3</v>
      </c>
      <c r="E1" s="45" t="s">
        <v>4</v>
      </c>
      <c r="F1" s="45" t="s">
        <v>5</v>
      </c>
      <c r="G1" s="45" t="s">
        <v>6</v>
      </c>
      <c r="H1" s="45" t="s">
        <v>7</v>
      </c>
      <c r="I1" s="45" t="s">
        <v>8</v>
      </c>
      <c r="J1" s="45" t="s">
        <v>9</v>
      </c>
      <c r="K1" s="45" t="s">
        <v>10</v>
      </c>
      <c r="L1" s="2" t="s">
        <v>170</v>
      </c>
      <c r="M1" s="2" t="s">
        <v>171</v>
      </c>
      <c r="N1" s="2" t="s">
        <v>13</v>
      </c>
      <c r="O1" s="2" t="s">
        <v>172</v>
      </c>
      <c r="P1" s="2" t="s">
        <v>173</v>
      </c>
      <c r="Q1" s="55" t="s">
        <v>174</v>
      </c>
      <c r="R1" s="2" t="s">
        <v>175</v>
      </c>
      <c r="S1" s="2" t="s">
        <v>176</v>
      </c>
      <c r="T1" s="55" t="s">
        <v>19</v>
      </c>
      <c r="U1" s="4" t="s">
        <v>108</v>
      </c>
      <c r="V1" s="56" t="s">
        <v>20</v>
      </c>
      <c r="W1" s="2" t="s">
        <v>177</v>
      </c>
      <c r="X1" s="45" t="s">
        <v>22</v>
      </c>
      <c r="Y1" s="45" t="s">
        <v>23</v>
      </c>
      <c r="Z1" s="45" t="s">
        <v>24</v>
      </c>
      <c r="AA1" s="45" t="s">
        <v>25</v>
      </c>
      <c r="AB1" s="46" t="s">
        <v>178</v>
      </c>
      <c r="AE1" s="8" t="s">
        <v>0</v>
      </c>
      <c r="AF1" s="9"/>
      <c r="AG1" s="8" t="s">
        <v>4</v>
      </c>
      <c r="AH1" s="8" t="s">
        <v>5</v>
      </c>
      <c r="AI1" s="9"/>
      <c r="AJ1" s="8" t="s">
        <v>6</v>
      </c>
      <c r="AK1" s="9"/>
      <c r="AL1" s="10" t="s">
        <v>7</v>
      </c>
      <c r="AM1" s="9"/>
      <c r="AN1" s="10" t="s">
        <v>8</v>
      </c>
      <c r="AO1" s="9"/>
      <c r="AP1" s="10" t="s">
        <v>27</v>
      </c>
      <c r="AQ1" s="9"/>
      <c r="AR1" s="10" t="s">
        <v>10</v>
      </c>
      <c r="AS1" s="9"/>
      <c r="AT1" s="11" t="s">
        <v>179</v>
      </c>
      <c r="AU1" s="9"/>
      <c r="AV1" s="10" t="s">
        <v>29</v>
      </c>
      <c r="AX1" s="12" t="s">
        <v>180</v>
      </c>
      <c r="AY1" s="13" t="s">
        <v>181</v>
      </c>
      <c r="AZ1" s="13" t="s">
        <v>182</v>
      </c>
      <c r="BA1" s="14" t="s">
        <v>183</v>
      </c>
    </row>
    <row r="2" spans="1:53" s="57" customFormat="1" x14ac:dyDescent="0.15">
      <c r="A2" s="57" t="s">
        <v>41</v>
      </c>
      <c r="B2" s="58" t="s">
        <v>157</v>
      </c>
      <c r="C2" s="59">
        <v>2019</v>
      </c>
      <c r="D2" s="60" t="s">
        <v>166</v>
      </c>
      <c r="E2" s="36" t="s">
        <v>133</v>
      </c>
      <c r="F2" s="36" t="s">
        <v>184</v>
      </c>
      <c r="G2" s="57" t="s">
        <v>42</v>
      </c>
      <c r="H2" s="57" t="s">
        <v>165</v>
      </c>
      <c r="I2" s="57" t="s">
        <v>159</v>
      </c>
      <c r="J2" s="57" t="s">
        <v>38</v>
      </c>
      <c r="K2" s="57" t="s">
        <v>161</v>
      </c>
      <c r="L2" s="36">
        <v>1</v>
      </c>
      <c r="M2" s="36"/>
      <c r="N2" s="57">
        <v>8</v>
      </c>
      <c r="O2" s="57">
        <v>1</v>
      </c>
      <c r="P2" s="57">
        <v>1.2</v>
      </c>
      <c r="Q2" s="61">
        <f t="shared" ref="Q2:Q65" si="0">IF(OR(O2="",P2=""),"",AVERAGE(O2,P2))</f>
        <v>1.1000000000000001</v>
      </c>
      <c r="R2" s="57">
        <v>15.2</v>
      </c>
      <c r="S2" s="57">
        <v>124</v>
      </c>
      <c r="T2" s="62">
        <f t="shared" ref="T2:T65" si="1">IF(H2="","",IF(OR(H2="GREEN",H2="GK"),IF(S2&gt;=$AX$2,VLOOKUP(S2,$AX$2:$AY$10,2,1),""),IF(S2&gt;=$AZ$2,VLOOKUP(S2,$AZ$2:$BA$10,2,1),"")))</f>
        <v>27</v>
      </c>
      <c r="U2" s="36">
        <v>753</v>
      </c>
      <c r="V2" s="62">
        <f t="shared" ref="V2:V65" si="2">IF(OR(N2="",U2="",T2=""),"",U2/N2*T2)</f>
        <v>2541.375</v>
      </c>
      <c r="W2" s="36">
        <v>2</v>
      </c>
      <c r="X2" s="57" t="s">
        <v>46</v>
      </c>
      <c r="Y2" s="57" t="s">
        <v>47</v>
      </c>
      <c r="Z2" s="57" t="s">
        <v>55</v>
      </c>
      <c r="AA2" s="57" t="s">
        <v>69</v>
      </c>
      <c r="AB2" s="57" t="s">
        <v>185</v>
      </c>
      <c r="AE2" s="17" t="s">
        <v>35</v>
      </c>
      <c r="AG2" s="63" t="s">
        <v>133</v>
      </c>
      <c r="AH2" s="64" t="s">
        <v>184</v>
      </c>
      <c r="AJ2" s="65" t="s">
        <v>36</v>
      </c>
      <c r="AL2" s="65" t="s">
        <v>186</v>
      </c>
      <c r="AN2" s="65" t="s">
        <v>37</v>
      </c>
      <c r="AP2" s="65" t="s">
        <v>38</v>
      </c>
      <c r="AR2" s="65" t="s">
        <v>161</v>
      </c>
      <c r="AT2" s="65" t="s">
        <v>39</v>
      </c>
      <c r="AV2" s="65" t="s">
        <v>40</v>
      </c>
      <c r="AX2" s="66">
        <v>1</v>
      </c>
      <c r="AY2" s="67">
        <v>50</v>
      </c>
      <c r="AZ2" s="67">
        <v>1</v>
      </c>
      <c r="BA2" s="68">
        <v>50</v>
      </c>
    </row>
    <row r="3" spans="1:53" x14ac:dyDescent="0.15">
      <c r="A3" s="57" t="s">
        <v>41</v>
      </c>
      <c r="B3" s="58" t="s">
        <v>157</v>
      </c>
      <c r="C3" s="59">
        <v>2019</v>
      </c>
      <c r="D3" s="60" t="s">
        <v>166</v>
      </c>
      <c r="E3" s="36" t="s">
        <v>133</v>
      </c>
      <c r="F3" s="36" t="s">
        <v>184</v>
      </c>
      <c r="G3" s="57" t="s">
        <v>42</v>
      </c>
      <c r="H3" s="57" t="s">
        <v>165</v>
      </c>
      <c r="I3" s="57" t="s">
        <v>159</v>
      </c>
      <c r="J3" s="57" t="s">
        <v>38</v>
      </c>
      <c r="K3" s="57" t="s">
        <v>161</v>
      </c>
      <c r="L3" s="36">
        <v>2</v>
      </c>
      <c r="N3" s="57">
        <v>8</v>
      </c>
      <c r="O3" s="57">
        <v>1.2</v>
      </c>
      <c r="P3" s="57">
        <v>1.3</v>
      </c>
      <c r="Q3" s="69">
        <f t="shared" si="0"/>
        <v>1.25</v>
      </c>
      <c r="R3" s="57">
        <v>12.1</v>
      </c>
      <c r="S3" s="57">
        <v>125</v>
      </c>
      <c r="T3" s="62">
        <f t="shared" si="1"/>
        <v>27</v>
      </c>
      <c r="U3" s="36">
        <v>753</v>
      </c>
      <c r="V3" s="62">
        <f t="shared" si="2"/>
        <v>2541.375</v>
      </c>
      <c r="W3" s="36">
        <v>2</v>
      </c>
      <c r="X3" s="57" t="s">
        <v>46</v>
      </c>
      <c r="Y3" s="57" t="s">
        <v>47</v>
      </c>
      <c r="Z3" s="57" t="s">
        <v>55</v>
      </c>
      <c r="AA3" s="57" t="s">
        <v>69</v>
      </c>
      <c r="AB3" s="57" t="s">
        <v>185</v>
      </c>
      <c r="AE3" s="22" t="s">
        <v>41</v>
      </c>
      <c r="AG3" s="70" t="s">
        <v>187</v>
      </c>
      <c r="AH3" s="70" t="s">
        <v>184</v>
      </c>
      <c r="AJ3" s="71" t="s">
        <v>42</v>
      </c>
      <c r="AL3" s="71" t="s">
        <v>188</v>
      </c>
      <c r="AN3" s="71" t="s">
        <v>43</v>
      </c>
      <c r="AP3" s="71" t="s">
        <v>44</v>
      </c>
      <c r="AR3" s="30" t="s">
        <v>45</v>
      </c>
      <c r="AT3" s="71" t="s">
        <v>46</v>
      </c>
      <c r="AV3" s="71" t="s">
        <v>47</v>
      </c>
      <c r="AX3" s="72">
        <v>72</v>
      </c>
      <c r="AY3" s="73">
        <v>46</v>
      </c>
      <c r="AZ3" s="73">
        <v>71</v>
      </c>
      <c r="BA3" s="74">
        <v>42</v>
      </c>
    </row>
    <row r="4" spans="1:53" x14ac:dyDescent="0.15">
      <c r="A4" s="57" t="s">
        <v>41</v>
      </c>
      <c r="B4" s="58" t="s">
        <v>157</v>
      </c>
      <c r="C4" s="59">
        <v>2019</v>
      </c>
      <c r="D4" s="60" t="s">
        <v>166</v>
      </c>
      <c r="E4" s="36" t="s">
        <v>133</v>
      </c>
      <c r="F4" s="36" t="s">
        <v>184</v>
      </c>
      <c r="G4" s="57" t="s">
        <v>42</v>
      </c>
      <c r="H4" s="57" t="s">
        <v>165</v>
      </c>
      <c r="I4" s="57" t="s">
        <v>159</v>
      </c>
      <c r="J4" s="57" t="s">
        <v>38</v>
      </c>
      <c r="K4" s="57" t="s">
        <v>161</v>
      </c>
      <c r="L4" s="36">
        <v>3</v>
      </c>
      <c r="N4" s="57">
        <v>8</v>
      </c>
      <c r="O4" s="57">
        <v>1.3</v>
      </c>
      <c r="P4" s="57">
        <v>1.1000000000000001</v>
      </c>
      <c r="Q4" s="75">
        <f t="shared" si="0"/>
        <v>1.2000000000000002</v>
      </c>
      <c r="R4" s="57">
        <v>13.6</v>
      </c>
      <c r="S4" s="57">
        <v>126</v>
      </c>
      <c r="T4" s="62">
        <f t="shared" si="1"/>
        <v>27</v>
      </c>
      <c r="U4" s="36">
        <v>753</v>
      </c>
      <c r="V4" s="62">
        <f t="shared" si="2"/>
        <v>2541.375</v>
      </c>
      <c r="W4" s="36">
        <v>2</v>
      </c>
      <c r="X4" s="57" t="s">
        <v>46</v>
      </c>
      <c r="Y4" s="57" t="s">
        <v>47</v>
      </c>
      <c r="Z4" s="57" t="s">
        <v>55</v>
      </c>
      <c r="AA4" s="57" t="s">
        <v>69</v>
      </c>
      <c r="AB4" s="57" t="s">
        <v>185</v>
      </c>
      <c r="AE4" s="22" t="s">
        <v>34</v>
      </c>
      <c r="AG4" s="70" t="s">
        <v>187</v>
      </c>
      <c r="AH4" s="70" t="s">
        <v>189</v>
      </c>
      <c r="AJ4" s="76" t="s">
        <v>48</v>
      </c>
      <c r="AL4" s="76" t="s">
        <v>190</v>
      </c>
      <c r="AN4" s="77" t="s">
        <v>191</v>
      </c>
      <c r="AP4" s="71" t="s">
        <v>192</v>
      </c>
      <c r="AR4" s="30" t="s">
        <v>193</v>
      </c>
      <c r="AT4" s="77"/>
      <c r="AV4" s="71" t="s">
        <v>50</v>
      </c>
      <c r="AX4" s="72">
        <v>75</v>
      </c>
      <c r="AY4" s="73">
        <v>42</v>
      </c>
      <c r="AZ4" s="73">
        <v>76</v>
      </c>
      <c r="BA4" s="74">
        <v>39</v>
      </c>
    </row>
    <row r="5" spans="1:53" s="57" customFormat="1" ht="13.5" customHeight="1" x14ac:dyDescent="0.15">
      <c r="A5" s="57" t="s">
        <v>41</v>
      </c>
      <c r="B5" s="58" t="s">
        <v>157</v>
      </c>
      <c r="C5" s="59">
        <v>2019</v>
      </c>
      <c r="D5" s="60" t="s">
        <v>166</v>
      </c>
      <c r="E5" s="36" t="s">
        <v>133</v>
      </c>
      <c r="F5" s="36" t="s">
        <v>184</v>
      </c>
      <c r="G5" s="57" t="s">
        <v>42</v>
      </c>
      <c r="H5" s="57" t="s">
        <v>160</v>
      </c>
      <c r="I5" s="57" t="s">
        <v>159</v>
      </c>
      <c r="J5" s="57" t="s">
        <v>38</v>
      </c>
      <c r="K5" s="57" t="s">
        <v>161</v>
      </c>
      <c r="L5" s="36">
        <v>1</v>
      </c>
      <c r="M5" s="36"/>
      <c r="N5" s="36">
        <v>1</v>
      </c>
      <c r="O5" s="57">
        <v>0.95</v>
      </c>
      <c r="P5" s="57">
        <v>1</v>
      </c>
      <c r="Q5" s="75">
        <f t="shared" si="0"/>
        <v>0.97499999999999998</v>
      </c>
      <c r="R5" s="57">
        <v>14.6</v>
      </c>
      <c r="S5" s="36">
        <v>122</v>
      </c>
      <c r="T5" s="62">
        <f t="shared" si="1"/>
        <v>27</v>
      </c>
      <c r="U5" s="36">
        <v>149</v>
      </c>
      <c r="V5" s="62">
        <f t="shared" si="2"/>
        <v>4023</v>
      </c>
      <c r="W5" s="36">
        <v>6</v>
      </c>
      <c r="X5" s="57" t="s">
        <v>46</v>
      </c>
      <c r="Y5" s="57" t="s">
        <v>47</v>
      </c>
      <c r="Z5" s="57" t="s">
        <v>55</v>
      </c>
      <c r="AA5" s="57" t="s">
        <v>69</v>
      </c>
      <c r="AB5" s="57" t="s">
        <v>185</v>
      </c>
      <c r="AC5" s="36"/>
      <c r="AD5" s="36"/>
      <c r="AE5" s="78" t="s">
        <v>51</v>
      </c>
      <c r="AG5" s="70" t="s">
        <v>194</v>
      </c>
      <c r="AH5" s="70" t="s">
        <v>184</v>
      </c>
      <c r="AJ5" s="79"/>
      <c r="AL5" s="80" t="s">
        <v>165</v>
      </c>
      <c r="AN5" s="80" t="s">
        <v>159</v>
      </c>
      <c r="AP5" s="30" t="s">
        <v>195</v>
      </c>
      <c r="AR5" s="30" t="s">
        <v>54</v>
      </c>
      <c r="AV5" s="30" t="s">
        <v>55</v>
      </c>
      <c r="AX5" s="81">
        <v>84</v>
      </c>
      <c r="AY5" s="82">
        <v>39</v>
      </c>
      <c r="AZ5" s="82">
        <v>84</v>
      </c>
      <c r="BA5" s="83">
        <v>36</v>
      </c>
    </row>
    <row r="6" spans="1:53" x14ac:dyDescent="0.15">
      <c r="A6" s="57" t="s">
        <v>41</v>
      </c>
      <c r="B6" s="58" t="s">
        <v>157</v>
      </c>
      <c r="C6" s="59">
        <v>2019</v>
      </c>
      <c r="D6" s="60" t="s">
        <v>166</v>
      </c>
      <c r="E6" s="36" t="s">
        <v>133</v>
      </c>
      <c r="F6" s="36" t="s">
        <v>184</v>
      </c>
      <c r="G6" s="57" t="s">
        <v>42</v>
      </c>
      <c r="H6" s="57" t="s">
        <v>160</v>
      </c>
      <c r="I6" s="57" t="s">
        <v>159</v>
      </c>
      <c r="J6" s="57" t="s">
        <v>38</v>
      </c>
      <c r="K6" s="57" t="s">
        <v>161</v>
      </c>
      <c r="L6" s="36">
        <v>2</v>
      </c>
      <c r="N6" s="36">
        <v>1</v>
      </c>
      <c r="O6" s="57">
        <v>0.5</v>
      </c>
      <c r="P6" s="57">
        <v>0.7</v>
      </c>
      <c r="Q6" s="75">
        <f t="shared" si="0"/>
        <v>0.6</v>
      </c>
      <c r="R6" s="57">
        <v>15.2</v>
      </c>
      <c r="S6" s="36">
        <v>121</v>
      </c>
      <c r="T6" s="62">
        <f t="shared" si="1"/>
        <v>27</v>
      </c>
      <c r="U6" s="36">
        <v>149</v>
      </c>
      <c r="V6" s="62">
        <f t="shared" si="2"/>
        <v>4023</v>
      </c>
      <c r="W6" s="36">
        <v>6</v>
      </c>
      <c r="X6" s="57" t="s">
        <v>46</v>
      </c>
      <c r="Y6" s="57" t="s">
        <v>47</v>
      </c>
      <c r="Z6" s="57" t="s">
        <v>55</v>
      </c>
      <c r="AA6" s="57" t="s">
        <v>69</v>
      </c>
      <c r="AB6" s="57" t="s">
        <v>185</v>
      </c>
      <c r="AE6" s="22" t="s">
        <v>56</v>
      </c>
      <c r="AG6" s="70" t="s">
        <v>194</v>
      </c>
      <c r="AH6" s="70" t="s">
        <v>196</v>
      </c>
      <c r="AL6" s="80" t="s">
        <v>197</v>
      </c>
      <c r="AN6" s="80" t="s">
        <v>198</v>
      </c>
      <c r="AP6" s="71" t="s">
        <v>53</v>
      </c>
      <c r="AR6" s="30" t="s">
        <v>59</v>
      </c>
      <c r="AV6" s="71" t="s">
        <v>60</v>
      </c>
      <c r="AX6" s="72">
        <v>97</v>
      </c>
      <c r="AY6" s="73">
        <v>36</v>
      </c>
      <c r="AZ6" s="73">
        <v>99</v>
      </c>
      <c r="BA6" s="74">
        <v>33</v>
      </c>
    </row>
    <row r="7" spans="1:53" x14ac:dyDescent="0.15">
      <c r="A7" s="57" t="s">
        <v>41</v>
      </c>
      <c r="B7" s="58" t="s">
        <v>157</v>
      </c>
      <c r="C7" s="59">
        <v>2019</v>
      </c>
      <c r="D7" s="60" t="s">
        <v>166</v>
      </c>
      <c r="E7" s="36" t="s">
        <v>133</v>
      </c>
      <c r="F7" s="36" t="s">
        <v>184</v>
      </c>
      <c r="G7" s="57" t="s">
        <v>42</v>
      </c>
      <c r="H7" s="57" t="s">
        <v>160</v>
      </c>
      <c r="I7" s="57" t="s">
        <v>159</v>
      </c>
      <c r="J7" s="57" t="s">
        <v>38</v>
      </c>
      <c r="K7" s="57" t="s">
        <v>161</v>
      </c>
      <c r="L7" s="36">
        <v>3</v>
      </c>
      <c r="N7" s="36">
        <v>1</v>
      </c>
      <c r="O7" s="57">
        <v>0.75</v>
      </c>
      <c r="P7" s="57">
        <v>0.65</v>
      </c>
      <c r="Q7" s="75">
        <f t="shared" si="0"/>
        <v>0.7</v>
      </c>
      <c r="R7" s="57">
        <v>14.2</v>
      </c>
      <c r="S7" s="36">
        <v>124</v>
      </c>
      <c r="T7" s="62">
        <f t="shared" si="1"/>
        <v>27</v>
      </c>
      <c r="U7" s="36">
        <v>149</v>
      </c>
      <c r="V7" s="62">
        <f t="shared" si="2"/>
        <v>4023</v>
      </c>
      <c r="W7" s="36">
        <v>6</v>
      </c>
      <c r="X7" s="57" t="s">
        <v>46</v>
      </c>
      <c r="Y7" s="57" t="s">
        <v>47</v>
      </c>
      <c r="Z7" s="57" t="s">
        <v>55</v>
      </c>
      <c r="AA7" s="57" t="s">
        <v>69</v>
      </c>
      <c r="AB7" s="57" t="s">
        <v>185</v>
      </c>
      <c r="AE7" s="22" t="s">
        <v>61</v>
      </c>
      <c r="AG7" s="70" t="s">
        <v>199</v>
      </c>
      <c r="AH7" s="70" t="s">
        <v>196</v>
      </c>
      <c r="AL7" s="84" t="s">
        <v>164</v>
      </c>
      <c r="AP7" s="71" t="s">
        <v>58</v>
      </c>
      <c r="AR7" s="30" t="s">
        <v>200</v>
      </c>
      <c r="AV7" s="71" t="s">
        <v>64</v>
      </c>
      <c r="AX7" s="72">
        <v>109</v>
      </c>
      <c r="AY7" s="73">
        <v>33</v>
      </c>
      <c r="AZ7" s="73">
        <v>113</v>
      </c>
      <c r="BA7" s="74">
        <v>30</v>
      </c>
    </row>
    <row r="8" spans="1:53" x14ac:dyDescent="0.15">
      <c r="A8" s="57" t="s">
        <v>41</v>
      </c>
      <c r="B8" s="58" t="s">
        <v>157</v>
      </c>
      <c r="C8" s="59">
        <v>2019</v>
      </c>
      <c r="D8" s="60" t="s">
        <v>166</v>
      </c>
      <c r="E8" s="36" t="s">
        <v>133</v>
      </c>
      <c r="F8" s="36" t="s">
        <v>184</v>
      </c>
      <c r="G8" s="57" t="s">
        <v>42</v>
      </c>
      <c r="H8" s="57" t="s">
        <v>160</v>
      </c>
      <c r="I8" s="57" t="s">
        <v>159</v>
      </c>
      <c r="J8" s="57" t="s">
        <v>38</v>
      </c>
      <c r="K8" s="57" t="s">
        <v>161</v>
      </c>
      <c r="L8" s="57">
        <v>1</v>
      </c>
      <c r="M8" s="57"/>
      <c r="N8" s="57">
        <v>6</v>
      </c>
      <c r="O8" s="57">
        <v>0.8</v>
      </c>
      <c r="P8" s="57">
        <v>0.85</v>
      </c>
      <c r="Q8" s="75">
        <f t="shared" si="0"/>
        <v>0.82499999999999996</v>
      </c>
      <c r="R8" s="36">
        <v>15.1</v>
      </c>
      <c r="S8" s="36">
        <v>120</v>
      </c>
      <c r="T8" s="62">
        <f t="shared" si="1"/>
        <v>30</v>
      </c>
      <c r="U8" s="57">
        <v>753</v>
      </c>
      <c r="V8" s="62">
        <f t="shared" si="2"/>
        <v>3765</v>
      </c>
      <c r="W8" s="57">
        <v>2</v>
      </c>
      <c r="X8" s="57" t="s">
        <v>46</v>
      </c>
      <c r="Y8" s="57" t="s">
        <v>47</v>
      </c>
      <c r="Z8" s="57" t="s">
        <v>55</v>
      </c>
      <c r="AA8" s="57" t="s">
        <v>69</v>
      </c>
      <c r="AB8" s="57" t="s">
        <v>185</v>
      </c>
      <c r="AC8" s="57"/>
      <c r="AD8" s="57"/>
      <c r="AE8" s="22" t="s">
        <v>59</v>
      </c>
      <c r="AG8" s="70" t="s">
        <v>201</v>
      </c>
      <c r="AH8" s="70" t="s">
        <v>202</v>
      </c>
      <c r="AL8" s="84" t="s">
        <v>160</v>
      </c>
      <c r="AP8" s="71" t="s">
        <v>62</v>
      </c>
      <c r="AR8" s="30" t="s">
        <v>81</v>
      </c>
      <c r="AV8" s="71" t="s">
        <v>97</v>
      </c>
      <c r="AX8" s="72">
        <v>119</v>
      </c>
      <c r="AY8" s="73">
        <v>30</v>
      </c>
      <c r="AZ8" s="73">
        <v>121</v>
      </c>
      <c r="BA8" s="74">
        <v>27</v>
      </c>
    </row>
    <row r="9" spans="1:53" x14ac:dyDescent="0.15">
      <c r="A9" s="57" t="s">
        <v>41</v>
      </c>
      <c r="B9" s="58" t="s">
        <v>157</v>
      </c>
      <c r="C9" s="59">
        <v>2019</v>
      </c>
      <c r="D9" s="60" t="s">
        <v>166</v>
      </c>
      <c r="E9" s="36" t="s">
        <v>133</v>
      </c>
      <c r="F9" s="36" t="s">
        <v>184</v>
      </c>
      <c r="G9" s="57" t="s">
        <v>42</v>
      </c>
      <c r="H9" s="57" t="s">
        <v>160</v>
      </c>
      <c r="I9" s="57" t="s">
        <v>159</v>
      </c>
      <c r="J9" s="57" t="s">
        <v>38</v>
      </c>
      <c r="K9" s="57" t="s">
        <v>161</v>
      </c>
      <c r="L9" s="36">
        <v>2</v>
      </c>
      <c r="N9" s="57">
        <v>6</v>
      </c>
      <c r="O9" s="57">
        <v>0.6</v>
      </c>
      <c r="P9" s="57">
        <v>0.7</v>
      </c>
      <c r="Q9" s="75">
        <f t="shared" si="0"/>
        <v>0.64999999999999991</v>
      </c>
      <c r="R9" s="36">
        <v>13.8</v>
      </c>
      <c r="S9" s="36">
        <v>120</v>
      </c>
      <c r="T9" s="62">
        <f t="shared" si="1"/>
        <v>30</v>
      </c>
      <c r="U9" s="57">
        <v>753</v>
      </c>
      <c r="V9" s="62">
        <f t="shared" si="2"/>
        <v>3765</v>
      </c>
      <c r="W9" s="36">
        <v>2</v>
      </c>
      <c r="X9" s="57" t="s">
        <v>46</v>
      </c>
      <c r="Y9" s="57" t="s">
        <v>47</v>
      </c>
      <c r="Z9" s="57" t="s">
        <v>55</v>
      </c>
      <c r="AA9" s="57" t="s">
        <v>69</v>
      </c>
      <c r="AB9" s="57" t="s">
        <v>185</v>
      </c>
      <c r="AE9" s="22" t="s">
        <v>203</v>
      </c>
      <c r="AG9" s="70" t="s">
        <v>204</v>
      </c>
      <c r="AH9" s="70" t="s">
        <v>205</v>
      </c>
      <c r="AL9" s="80"/>
      <c r="AP9" s="71" t="s">
        <v>95</v>
      </c>
      <c r="AR9" s="30" t="s">
        <v>206</v>
      </c>
      <c r="AV9" s="71" t="s">
        <v>102</v>
      </c>
      <c r="AX9" s="72">
        <v>128</v>
      </c>
      <c r="AY9" s="73">
        <v>27</v>
      </c>
      <c r="AZ9" s="73">
        <v>129</v>
      </c>
      <c r="BA9" s="74">
        <v>25</v>
      </c>
    </row>
    <row r="10" spans="1:53" x14ac:dyDescent="0.15">
      <c r="A10" s="57" t="s">
        <v>41</v>
      </c>
      <c r="B10" s="58" t="s">
        <v>157</v>
      </c>
      <c r="C10" s="59">
        <v>2019</v>
      </c>
      <c r="D10" s="60" t="s">
        <v>166</v>
      </c>
      <c r="E10" s="36" t="s">
        <v>133</v>
      </c>
      <c r="F10" s="36" t="s">
        <v>184</v>
      </c>
      <c r="G10" s="57" t="s">
        <v>42</v>
      </c>
      <c r="H10" s="57" t="s">
        <v>160</v>
      </c>
      <c r="I10" s="57" t="s">
        <v>159</v>
      </c>
      <c r="J10" s="57" t="s">
        <v>38</v>
      </c>
      <c r="K10" s="57" t="s">
        <v>161</v>
      </c>
      <c r="L10" s="36">
        <v>3</v>
      </c>
      <c r="N10" s="57">
        <v>6</v>
      </c>
      <c r="O10" s="57">
        <v>0.85</v>
      </c>
      <c r="P10" s="57">
        <v>0.7</v>
      </c>
      <c r="Q10" s="75">
        <f t="shared" si="0"/>
        <v>0.77499999999999991</v>
      </c>
      <c r="R10" s="36">
        <v>15.2</v>
      </c>
      <c r="S10" s="36">
        <v>121</v>
      </c>
      <c r="T10" s="62">
        <f t="shared" si="1"/>
        <v>27</v>
      </c>
      <c r="U10" s="57">
        <v>753</v>
      </c>
      <c r="V10" s="62">
        <f t="shared" si="2"/>
        <v>3388.5</v>
      </c>
      <c r="W10" s="36">
        <v>2</v>
      </c>
      <c r="X10" s="57" t="s">
        <v>46</v>
      </c>
      <c r="Y10" s="57" t="s">
        <v>47</v>
      </c>
      <c r="Z10" s="57" t="s">
        <v>55</v>
      </c>
      <c r="AA10" s="57" t="s">
        <v>69</v>
      </c>
      <c r="AB10" s="57" t="s">
        <v>185</v>
      </c>
      <c r="AE10" s="22" t="s">
        <v>207</v>
      </c>
      <c r="AG10" s="70" t="s">
        <v>201</v>
      </c>
      <c r="AH10" s="70" t="s">
        <v>208</v>
      </c>
      <c r="AL10" s="84"/>
      <c r="AP10" s="71" t="s">
        <v>100</v>
      </c>
      <c r="AR10" s="30" t="s">
        <v>209</v>
      </c>
      <c r="AV10" s="71" t="s">
        <v>106</v>
      </c>
      <c r="AX10" s="72">
        <v>138</v>
      </c>
      <c r="AY10" s="73">
        <v>25</v>
      </c>
      <c r="AZ10" s="73">
        <v>138</v>
      </c>
      <c r="BA10" s="74">
        <v>22</v>
      </c>
    </row>
    <row r="11" spans="1:53" x14ac:dyDescent="0.15">
      <c r="A11" s="57" t="s">
        <v>41</v>
      </c>
      <c r="B11" s="58" t="s">
        <v>157</v>
      </c>
      <c r="C11" s="59">
        <v>2019</v>
      </c>
      <c r="D11" s="60" t="s">
        <v>166</v>
      </c>
      <c r="E11" s="36" t="s">
        <v>187</v>
      </c>
      <c r="F11" s="36" t="s">
        <v>184</v>
      </c>
      <c r="G11" s="57" t="s">
        <v>42</v>
      </c>
      <c r="H11" s="57" t="s">
        <v>186</v>
      </c>
      <c r="I11" s="57" t="s">
        <v>159</v>
      </c>
      <c r="J11" s="57" t="s">
        <v>53</v>
      </c>
      <c r="K11" s="57" t="s">
        <v>54</v>
      </c>
      <c r="L11" s="57">
        <v>1</v>
      </c>
      <c r="M11" s="57"/>
      <c r="N11" s="57">
        <v>1</v>
      </c>
      <c r="O11" s="57">
        <v>1</v>
      </c>
      <c r="P11" s="57">
        <v>1.2</v>
      </c>
      <c r="Q11" s="75">
        <f t="shared" si="0"/>
        <v>1.1000000000000001</v>
      </c>
      <c r="R11" s="36">
        <v>12.1</v>
      </c>
      <c r="S11" s="36">
        <v>128</v>
      </c>
      <c r="T11" s="62">
        <f t="shared" si="1"/>
        <v>27</v>
      </c>
      <c r="U11" s="57">
        <v>105</v>
      </c>
      <c r="V11" s="62">
        <f t="shared" si="2"/>
        <v>2835</v>
      </c>
      <c r="W11" s="57">
        <v>2</v>
      </c>
      <c r="X11" s="57" t="s">
        <v>46</v>
      </c>
      <c r="Y11" s="57" t="s">
        <v>55</v>
      </c>
      <c r="Z11" s="57" t="s">
        <v>69</v>
      </c>
      <c r="AA11" s="57" t="s">
        <v>78</v>
      </c>
      <c r="AB11" s="57" t="s">
        <v>185</v>
      </c>
      <c r="AE11" s="22" t="s">
        <v>68</v>
      </c>
      <c r="AG11" s="70" t="s">
        <v>210</v>
      </c>
      <c r="AH11" s="70" t="s">
        <v>211</v>
      </c>
      <c r="AL11" s="84"/>
      <c r="AP11" s="71" t="s">
        <v>104</v>
      </c>
      <c r="AR11" s="30" t="s">
        <v>212</v>
      </c>
      <c r="AV11" s="71" t="s">
        <v>69</v>
      </c>
      <c r="AX11" s="72">
        <v>151</v>
      </c>
      <c r="AY11" s="73">
        <v>22</v>
      </c>
      <c r="AZ11" s="73">
        <v>152</v>
      </c>
      <c r="BA11" s="74">
        <v>18</v>
      </c>
    </row>
    <row r="12" spans="1:53" x14ac:dyDescent="0.15">
      <c r="A12" s="57" t="s">
        <v>41</v>
      </c>
      <c r="B12" s="58" t="s">
        <v>157</v>
      </c>
      <c r="C12" s="59">
        <v>2019</v>
      </c>
      <c r="D12" s="60" t="s">
        <v>166</v>
      </c>
      <c r="E12" s="36" t="s">
        <v>187</v>
      </c>
      <c r="F12" s="36" t="s">
        <v>184</v>
      </c>
      <c r="G12" s="57" t="s">
        <v>42</v>
      </c>
      <c r="H12" s="57" t="s">
        <v>186</v>
      </c>
      <c r="I12" s="57" t="s">
        <v>159</v>
      </c>
      <c r="J12" s="57" t="s">
        <v>53</v>
      </c>
      <c r="K12" s="57" t="s">
        <v>54</v>
      </c>
      <c r="L12" s="36">
        <v>2</v>
      </c>
      <c r="N12" s="57">
        <v>1</v>
      </c>
      <c r="O12" s="57">
        <v>1.3</v>
      </c>
      <c r="P12" s="57">
        <v>1.1000000000000001</v>
      </c>
      <c r="Q12" s="75">
        <f t="shared" si="0"/>
        <v>1.2000000000000002</v>
      </c>
      <c r="R12" s="36">
        <v>14.2</v>
      </c>
      <c r="S12" s="36">
        <v>125</v>
      </c>
      <c r="T12" s="62">
        <f t="shared" si="1"/>
        <v>27</v>
      </c>
      <c r="U12" s="57">
        <v>105</v>
      </c>
      <c r="V12" s="62">
        <f t="shared" si="2"/>
        <v>2835</v>
      </c>
      <c r="W12" s="36">
        <v>2</v>
      </c>
      <c r="X12" s="57" t="s">
        <v>46</v>
      </c>
      <c r="Y12" s="57" t="s">
        <v>55</v>
      </c>
      <c r="Z12" s="57" t="s">
        <v>69</v>
      </c>
      <c r="AA12" s="57" t="s">
        <v>78</v>
      </c>
      <c r="AB12" s="57" t="s">
        <v>185</v>
      </c>
      <c r="AE12" s="22" t="s">
        <v>213</v>
      </c>
      <c r="AG12" s="78"/>
      <c r="AH12" s="78"/>
      <c r="AL12" s="84"/>
      <c r="AP12" s="71" t="s">
        <v>67</v>
      </c>
      <c r="AR12" s="30" t="s">
        <v>214</v>
      </c>
      <c r="AV12" s="71" t="s">
        <v>72</v>
      </c>
      <c r="AX12" s="85">
        <v>180</v>
      </c>
      <c r="AY12" s="86">
        <v>18</v>
      </c>
      <c r="AZ12" s="86">
        <v>181</v>
      </c>
      <c r="BA12" s="87">
        <v>16</v>
      </c>
    </row>
    <row r="13" spans="1:53" x14ac:dyDescent="0.15">
      <c r="A13" s="57" t="s">
        <v>41</v>
      </c>
      <c r="B13" s="58" t="s">
        <v>157</v>
      </c>
      <c r="C13" s="59">
        <v>2019</v>
      </c>
      <c r="D13" s="60" t="s">
        <v>166</v>
      </c>
      <c r="E13" s="36" t="s">
        <v>187</v>
      </c>
      <c r="F13" s="36" t="s">
        <v>184</v>
      </c>
      <c r="G13" s="57" t="s">
        <v>42</v>
      </c>
      <c r="H13" s="57" t="s">
        <v>186</v>
      </c>
      <c r="I13" s="57" t="s">
        <v>159</v>
      </c>
      <c r="J13" s="57" t="s">
        <v>53</v>
      </c>
      <c r="K13" s="57" t="s">
        <v>54</v>
      </c>
      <c r="L13" s="36">
        <v>3</v>
      </c>
      <c r="N13" s="57">
        <v>1</v>
      </c>
      <c r="O13" s="57">
        <v>1.35</v>
      </c>
      <c r="P13" s="57">
        <v>1.2</v>
      </c>
      <c r="Q13" s="75">
        <f t="shared" si="0"/>
        <v>1.2749999999999999</v>
      </c>
      <c r="R13" s="36">
        <v>13.3</v>
      </c>
      <c r="S13" s="36">
        <v>124</v>
      </c>
      <c r="T13" s="62">
        <f t="shared" si="1"/>
        <v>27</v>
      </c>
      <c r="U13" s="57">
        <v>105</v>
      </c>
      <c r="V13" s="62">
        <f t="shared" si="2"/>
        <v>2835</v>
      </c>
      <c r="W13" s="36">
        <v>2</v>
      </c>
      <c r="X13" s="57" t="s">
        <v>46</v>
      </c>
      <c r="Y13" s="57" t="s">
        <v>55</v>
      </c>
      <c r="Z13" s="57" t="s">
        <v>69</v>
      </c>
      <c r="AA13" s="57" t="s">
        <v>78</v>
      </c>
      <c r="AB13" s="57" t="s">
        <v>185</v>
      </c>
      <c r="AE13" s="22" t="s">
        <v>215</v>
      </c>
      <c r="AG13" s="30"/>
      <c r="AH13" s="30"/>
      <c r="AP13" s="71" t="s">
        <v>71</v>
      </c>
      <c r="AR13" s="30" t="s">
        <v>207</v>
      </c>
      <c r="AV13" s="71" t="s">
        <v>75</v>
      </c>
    </row>
    <row r="14" spans="1:53" x14ac:dyDescent="0.15">
      <c r="A14" s="57" t="s">
        <v>41</v>
      </c>
      <c r="B14" s="58" t="s">
        <v>157</v>
      </c>
      <c r="C14" s="59">
        <v>2019</v>
      </c>
      <c r="D14" s="60" t="s">
        <v>166</v>
      </c>
      <c r="E14" s="36" t="s">
        <v>187</v>
      </c>
      <c r="F14" s="36" t="s">
        <v>184</v>
      </c>
      <c r="G14" s="57" t="s">
        <v>42</v>
      </c>
      <c r="H14" s="57" t="s">
        <v>197</v>
      </c>
      <c r="I14" s="57" t="s">
        <v>159</v>
      </c>
      <c r="J14" s="57" t="s">
        <v>38</v>
      </c>
      <c r="K14" s="57" t="s">
        <v>161</v>
      </c>
      <c r="L14" s="57">
        <v>1</v>
      </c>
      <c r="M14" s="57"/>
      <c r="N14" s="57">
        <v>1</v>
      </c>
      <c r="O14" s="57">
        <v>0.45</v>
      </c>
      <c r="P14" s="57">
        <v>0.6</v>
      </c>
      <c r="Q14" s="75">
        <f t="shared" si="0"/>
        <v>0.52500000000000002</v>
      </c>
      <c r="R14" s="36">
        <v>15.2</v>
      </c>
      <c r="S14" s="36">
        <v>129</v>
      </c>
      <c r="T14" s="62">
        <f t="shared" si="1"/>
        <v>27</v>
      </c>
      <c r="U14" s="57">
        <v>105</v>
      </c>
      <c r="V14" s="62">
        <f t="shared" si="2"/>
        <v>2835</v>
      </c>
      <c r="W14" s="57">
        <v>4</v>
      </c>
      <c r="X14" s="57" t="s">
        <v>46</v>
      </c>
      <c r="Y14" s="57" t="s">
        <v>55</v>
      </c>
      <c r="Z14" s="57" t="s">
        <v>69</v>
      </c>
      <c r="AA14" s="57" t="s">
        <v>78</v>
      </c>
      <c r="AB14" s="57" t="s">
        <v>185</v>
      </c>
      <c r="AE14" s="22" t="s">
        <v>96</v>
      </c>
      <c r="AG14" s="30"/>
      <c r="AH14" s="30"/>
      <c r="AP14" s="71" t="s">
        <v>74</v>
      </c>
      <c r="AR14" s="30" t="s">
        <v>216</v>
      </c>
      <c r="AV14" s="71" t="s">
        <v>78</v>
      </c>
    </row>
    <row r="15" spans="1:53" x14ac:dyDescent="0.15">
      <c r="A15" s="57" t="s">
        <v>41</v>
      </c>
      <c r="B15" s="58" t="s">
        <v>157</v>
      </c>
      <c r="C15" s="59">
        <v>2019</v>
      </c>
      <c r="D15" s="60" t="s">
        <v>166</v>
      </c>
      <c r="E15" s="36" t="s">
        <v>187</v>
      </c>
      <c r="F15" s="36" t="s">
        <v>184</v>
      </c>
      <c r="G15" s="57" t="s">
        <v>42</v>
      </c>
      <c r="H15" s="57" t="s">
        <v>197</v>
      </c>
      <c r="I15" s="57" t="s">
        <v>159</v>
      </c>
      <c r="J15" s="57" t="s">
        <v>38</v>
      </c>
      <c r="K15" s="57" t="s">
        <v>161</v>
      </c>
      <c r="L15" s="36">
        <v>2</v>
      </c>
      <c r="N15" s="57">
        <v>1</v>
      </c>
      <c r="O15" s="57">
        <v>0.4</v>
      </c>
      <c r="P15" s="57">
        <v>0.55000000000000004</v>
      </c>
      <c r="Q15" s="75">
        <f t="shared" si="0"/>
        <v>0.47500000000000003</v>
      </c>
      <c r="R15" s="36">
        <v>14.8</v>
      </c>
      <c r="S15" s="36">
        <v>128</v>
      </c>
      <c r="T15" s="62">
        <f t="shared" si="1"/>
        <v>27</v>
      </c>
      <c r="U15" s="57">
        <v>105</v>
      </c>
      <c r="V15" s="62">
        <f t="shared" si="2"/>
        <v>2835</v>
      </c>
      <c r="W15" s="36">
        <v>4</v>
      </c>
      <c r="X15" s="57" t="s">
        <v>46</v>
      </c>
      <c r="Y15" s="57" t="s">
        <v>55</v>
      </c>
      <c r="Z15" s="57" t="s">
        <v>69</v>
      </c>
      <c r="AA15" s="57" t="s">
        <v>78</v>
      </c>
      <c r="AB15" s="57" t="s">
        <v>185</v>
      </c>
      <c r="AE15" s="22" t="s">
        <v>217</v>
      </c>
      <c r="AG15" s="30"/>
      <c r="AH15" s="30"/>
      <c r="AP15" s="71" t="s">
        <v>77</v>
      </c>
      <c r="AR15" s="30" t="s">
        <v>80</v>
      </c>
      <c r="AV15" s="71" t="s">
        <v>107</v>
      </c>
    </row>
    <row r="16" spans="1:53" x14ac:dyDescent="0.15">
      <c r="A16" s="57" t="s">
        <v>41</v>
      </c>
      <c r="B16" s="58" t="s">
        <v>157</v>
      </c>
      <c r="C16" s="59">
        <v>2019</v>
      </c>
      <c r="D16" s="60" t="s">
        <v>166</v>
      </c>
      <c r="E16" s="36" t="s">
        <v>187</v>
      </c>
      <c r="F16" s="36" t="s">
        <v>184</v>
      </c>
      <c r="G16" s="57" t="s">
        <v>42</v>
      </c>
      <c r="H16" s="57" t="s">
        <v>197</v>
      </c>
      <c r="I16" s="57" t="s">
        <v>159</v>
      </c>
      <c r="J16" s="57" t="s">
        <v>38</v>
      </c>
      <c r="K16" s="57" t="s">
        <v>161</v>
      </c>
      <c r="L16" s="36">
        <v>3</v>
      </c>
      <c r="N16" s="57">
        <v>1</v>
      </c>
      <c r="O16" s="57">
        <v>0.6</v>
      </c>
      <c r="P16" s="57">
        <v>0.55000000000000004</v>
      </c>
      <c r="Q16" s="75">
        <f t="shared" si="0"/>
        <v>0.57499999999999996</v>
      </c>
      <c r="R16" s="36">
        <v>14.2</v>
      </c>
      <c r="S16" s="36">
        <v>129</v>
      </c>
      <c r="T16" s="62">
        <f t="shared" si="1"/>
        <v>27</v>
      </c>
      <c r="U16" s="57">
        <v>105</v>
      </c>
      <c r="V16" s="62">
        <f t="shared" si="2"/>
        <v>2835</v>
      </c>
      <c r="W16" s="36">
        <v>4</v>
      </c>
      <c r="X16" s="57" t="s">
        <v>46</v>
      </c>
      <c r="Y16" s="57" t="s">
        <v>55</v>
      </c>
      <c r="Z16" s="57" t="s">
        <v>69</v>
      </c>
      <c r="AA16" s="57" t="s">
        <v>78</v>
      </c>
      <c r="AB16" s="57" t="s">
        <v>185</v>
      </c>
      <c r="AE16" s="22" t="s">
        <v>218</v>
      </c>
      <c r="AG16" s="79"/>
      <c r="AH16" s="79"/>
      <c r="AP16" s="71" t="s">
        <v>80</v>
      </c>
      <c r="AR16" s="30" t="s">
        <v>63</v>
      </c>
      <c r="AV16" s="71" t="s">
        <v>84</v>
      </c>
    </row>
    <row r="17" spans="1:48" x14ac:dyDescent="0.15">
      <c r="A17" s="57" t="s">
        <v>41</v>
      </c>
      <c r="B17" s="58" t="s">
        <v>157</v>
      </c>
      <c r="C17" s="59">
        <v>2019</v>
      </c>
      <c r="D17" s="60" t="s">
        <v>166</v>
      </c>
      <c r="E17" s="36" t="s">
        <v>187</v>
      </c>
      <c r="F17" s="36" t="s">
        <v>184</v>
      </c>
      <c r="G17" s="57" t="s">
        <v>42</v>
      </c>
      <c r="H17" s="57" t="s">
        <v>160</v>
      </c>
      <c r="I17" s="57" t="s">
        <v>159</v>
      </c>
      <c r="J17" s="57" t="s">
        <v>38</v>
      </c>
      <c r="K17" s="57" t="s">
        <v>161</v>
      </c>
      <c r="L17" s="57">
        <v>1</v>
      </c>
      <c r="M17" s="57"/>
      <c r="N17" s="57">
        <v>4</v>
      </c>
      <c r="O17" s="57">
        <v>0.85</v>
      </c>
      <c r="P17" s="57">
        <v>0.75</v>
      </c>
      <c r="Q17" s="75">
        <f t="shared" si="0"/>
        <v>0.8</v>
      </c>
      <c r="R17" s="36">
        <v>15.4</v>
      </c>
      <c r="S17" s="36">
        <v>123</v>
      </c>
      <c r="T17" s="62">
        <f t="shared" si="1"/>
        <v>27</v>
      </c>
      <c r="U17" s="57">
        <v>410</v>
      </c>
      <c r="V17" s="62">
        <f t="shared" si="2"/>
        <v>2767.5</v>
      </c>
      <c r="W17" s="57">
        <v>1</v>
      </c>
      <c r="X17" s="57" t="s">
        <v>46</v>
      </c>
      <c r="Y17" s="57" t="s">
        <v>55</v>
      </c>
      <c r="Z17" s="57" t="s">
        <v>69</v>
      </c>
      <c r="AA17" s="57" t="s">
        <v>78</v>
      </c>
      <c r="AB17" s="57" t="s">
        <v>185</v>
      </c>
      <c r="AE17" s="22" t="s">
        <v>219</v>
      </c>
      <c r="AP17" s="43" t="s">
        <v>220</v>
      </c>
      <c r="AR17" s="30" t="s">
        <v>96</v>
      </c>
      <c r="AV17" s="71" t="s">
        <v>86</v>
      </c>
    </row>
    <row r="18" spans="1:48" x14ac:dyDescent="0.15">
      <c r="A18" s="57" t="s">
        <v>41</v>
      </c>
      <c r="B18" s="58" t="s">
        <v>157</v>
      </c>
      <c r="C18" s="59">
        <v>2019</v>
      </c>
      <c r="D18" s="60" t="s">
        <v>166</v>
      </c>
      <c r="E18" s="36" t="s">
        <v>187</v>
      </c>
      <c r="F18" s="36" t="s">
        <v>184</v>
      </c>
      <c r="G18" s="57" t="s">
        <v>42</v>
      </c>
      <c r="H18" s="57" t="s">
        <v>160</v>
      </c>
      <c r="I18" s="57" t="s">
        <v>159</v>
      </c>
      <c r="J18" s="57" t="s">
        <v>38</v>
      </c>
      <c r="K18" s="57" t="s">
        <v>161</v>
      </c>
      <c r="L18" s="36">
        <v>2</v>
      </c>
      <c r="N18" s="57">
        <v>4</v>
      </c>
      <c r="O18" s="57">
        <v>0.7</v>
      </c>
      <c r="P18" s="57">
        <v>0.55000000000000004</v>
      </c>
      <c r="Q18" s="75">
        <f t="shared" si="0"/>
        <v>0.625</v>
      </c>
      <c r="R18" s="36">
        <v>13.8</v>
      </c>
      <c r="S18" s="36">
        <v>120</v>
      </c>
      <c r="T18" s="62">
        <f t="shared" si="1"/>
        <v>30</v>
      </c>
      <c r="U18" s="57">
        <v>410</v>
      </c>
      <c r="V18" s="62">
        <f t="shared" si="2"/>
        <v>3075</v>
      </c>
      <c r="W18" s="57">
        <v>1</v>
      </c>
      <c r="X18" s="57" t="s">
        <v>46</v>
      </c>
      <c r="Y18" s="57" t="s">
        <v>55</v>
      </c>
      <c r="Z18" s="57" t="s">
        <v>69</v>
      </c>
      <c r="AA18" s="57" t="s">
        <v>78</v>
      </c>
      <c r="AB18" s="57" t="s">
        <v>185</v>
      </c>
      <c r="AE18" s="22" t="s">
        <v>212</v>
      </c>
      <c r="AP18" s="43" t="s">
        <v>221</v>
      </c>
      <c r="AR18" s="30" t="s">
        <v>101</v>
      </c>
      <c r="AV18" s="71" t="s">
        <v>88</v>
      </c>
    </row>
    <row r="19" spans="1:48" x14ac:dyDescent="0.15">
      <c r="A19" s="57" t="s">
        <v>41</v>
      </c>
      <c r="B19" s="58" t="s">
        <v>157</v>
      </c>
      <c r="C19" s="59">
        <v>2019</v>
      </c>
      <c r="D19" s="60" t="s">
        <v>166</v>
      </c>
      <c r="E19" s="36" t="s">
        <v>187</v>
      </c>
      <c r="F19" s="36" t="s">
        <v>184</v>
      </c>
      <c r="G19" s="57" t="s">
        <v>42</v>
      </c>
      <c r="H19" s="57" t="s">
        <v>160</v>
      </c>
      <c r="I19" s="57" t="s">
        <v>159</v>
      </c>
      <c r="J19" s="57" t="s">
        <v>38</v>
      </c>
      <c r="K19" s="57" t="s">
        <v>161</v>
      </c>
      <c r="L19" s="36">
        <v>3</v>
      </c>
      <c r="N19" s="57">
        <v>4</v>
      </c>
      <c r="O19" s="57">
        <v>0.6</v>
      </c>
      <c r="P19" s="57">
        <v>0.65</v>
      </c>
      <c r="Q19" s="75">
        <f t="shared" si="0"/>
        <v>0.625</v>
      </c>
      <c r="R19" s="36">
        <v>14.1</v>
      </c>
      <c r="S19" s="36">
        <v>124</v>
      </c>
      <c r="T19" s="62">
        <f t="shared" si="1"/>
        <v>27</v>
      </c>
      <c r="U19" s="57">
        <v>410</v>
      </c>
      <c r="V19" s="62">
        <f t="shared" si="2"/>
        <v>2767.5</v>
      </c>
      <c r="W19" s="36">
        <v>1</v>
      </c>
      <c r="X19" s="57" t="s">
        <v>46</v>
      </c>
      <c r="Y19" s="57" t="s">
        <v>55</v>
      </c>
      <c r="Z19" s="57" t="s">
        <v>69</v>
      </c>
      <c r="AA19" s="57" t="s">
        <v>78</v>
      </c>
      <c r="AB19" s="57" t="s">
        <v>185</v>
      </c>
      <c r="AE19" s="35" t="s">
        <v>206</v>
      </c>
      <c r="AP19" s="43" t="s">
        <v>222</v>
      </c>
      <c r="AR19" s="30" t="s">
        <v>223</v>
      </c>
      <c r="AV19" s="71" t="s">
        <v>90</v>
      </c>
    </row>
    <row r="20" spans="1:48" x14ac:dyDescent="0.15">
      <c r="A20" s="57" t="s">
        <v>41</v>
      </c>
      <c r="B20" s="58" t="s">
        <v>157</v>
      </c>
      <c r="C20" s="59">
        <v>2019</v>
      </c>
      <c r="D20" s="60" t="s">
        <v>166</v>
      </c>
      <c r="E20" s="36" t="s">
        <v>187</v>
      </c>
      <c r="F20" s="36" t="s">
        <v>184</v>
      </c>
      <c r="G20" s="57" t="s">
        <v>42</v>
      </c>
      <c r="H20" s="57" t="s">
        <v>160</v>
      </c>
      <c r="I20" s="57" t="s">
        <v>159</v>
      </c>
      <c r="J20" s="57" t="s">
        <v>38</v>
      </c>
      <c r="K20" s="57" t="s">
        <v>161</v>
      </c>
      <c r="L20" s="57">
        <v>1</v>
      </c>
      <c r="M20" s="57"/>
      <c r="N20" s="57">
        <v>5</v>
      </c>
      <c r="O20" s="57">
        <v>0.45</v>
      </c>
      <c r="P20" s="57">
        <v>0.5</v>
      </c>
      <c r="Q20" s="75">
        <f t="shared" si="0"/>
        <v>0.47499999999999998</v>
      </c>
      <c r="R20" s="36">
        <v>14.6</v>
      </c>
      <c r="S20" s="36">
        <v>122</v>
      </c>
      <c r="T20" s="62">
        <f t="shared" si="1"/>
        <v>27</v>
      </c>
      <c r="U20" s="57">
        <v>518</v>
      </c>
      <c r="V20" s="62">
        <f t="shared" si="2"/>
        <v>2797.2</v>
      </c>
      <c r="W20" s="57">
        <v>2</v>
      </c>
      <c r="X20" s="57" t="s">
        <v>46</v>
      </c>
      <c r="Y20" s="57" t="s">
        <v>55</v>
      </c>
      <c r="Z20" s="57" t="s">
        <v>69</v>
      </c>
      <c r="AA20" s="57" t="s">
        <v>78</v>
      </c>
      <c r="AB20" s="57" t="s">
        <v>185</v>
      </c>
      <c r="AE20" s="35"/>
      <c r="AP20" s="43" t="s">
        <v>224</v>
      </c>
      <c r="AR20" s="30" t="s">
        <v>105</v>
      </c>
      <c r="AV20" s="76" t="s">
        <v>225</v>
      </c>
    </row>
    <row r="21" spans="1:48" x14ac:dyDescent="0.15">
      <c r="A21" s="57" t="s">
        <v>41</v>
      </c>
      <c r="B21" s="58" t="s">
        <v>157</v>
      </c>
      <c r="C21" s="59">
        <v>2019</v>
      </c>
      <c r="D21" s="60" t="s">
        <v>166</v>
      </c>
      <c r="E21" s="36" t="s">
        <v>187</v>
      </c>
      <c r="F21" s="36" t="s">
        <v>184</v>
      </c>
      <c r="G21" s="57" t="s">
        <v>42</v>
      </c>
      <c r="H21" s="57" t="s">
        <v>160</v>
      </c>
      <c r="I21" s="57" t="s">
        <v>159</v>
      </c>
      <c r="J21" s="57" t="s">
        <v>38</v>
      </c>
      <c r="K21" s="57" t="s">
        <v>161</v>
      </c>
      <c r="L21" s="36">
        <v>2</v>
      </c>
      <c r="N21" s="57">
        <v>5</v>
      </c>
      <c r="O21" s="57">
        <v>0.5</v>
      </c>
      <c r="P21" s="57">
        <v>0.45</v>
      </c>
      <c r="Q21" s="75">
        <f t="shared" si="0"/>
        <v>0.47499999999999998</v>
      </c>
      <c r="R21" s="36">
        <v>15.4</v>
      </c>
      <c r="S21" s="36">
        <v>121</v>
      </c>
      <c r="T21" s="62">
        <f t="shared" si="1"/>
        <v>27</v>
      </c>
      <c r="U21" s="57">
        <v>518</v>
      </c>
      <c r="V21" s="62">
        <f t="shared" si="2"/>
        <v>2797.2</v>
      </c>
      <c r="W21" s="57">
        <v>2</v>
      </c>
      <c r="X21" s="57" t="s">
        <v>46</v>
      </c>
      <c r="Y21" s="57" t="s">
        <v>55</v>
      </c>
      <c r="Z21" s="57" t="s">
        <v>69</v>
      </c>
      <c r="AA21" s="57" t="s">
        <v>78</v>
      </c>
      <c r="AB21" s="57" t="s">
        <v>185</v>
      </c>
      <c r="AE21" s="77"/>
      <c r="AP21" s="43" t="s">
        <v>226</v>
      </c>
      <c r="AR21" s="30" t="s">
        <v>68</v>
      </c>
      <c r="AV21" s="76" t="s">
        <v>227</v>
      </c>
    </row>
    <row r="22" spans="1:48" x14ac:dyDescent="0.15">
      <c r="A22" s="57" t="s">
        <v>41</v>
      </c>
      <c r="B22" s="58" t="s">
        <v>157</v>
      </c>
      <c r="C22" s="59">
        <v>2019</v>
      </c>
      <c r="D22" s="60" t="s">
        <v>166</v>
      </c>
      <c r="E22" s="36" t="s">
        <v>187</v>
      </c>
      <c r="F22" s="36" t="s">
        <v>184</v>
      </c>
      <c r="G22" s="57" t="s">
        <v>42</v>
      </c>
      <c r="H22" s="57" t="s">
        <v>160</v>
      </c>
      <c r="I22" s="57" t="s">
        <v>159</v>
      </c>
      <c r="J22" s="57" t="s">
        <v>38</v>
      </c>
      <c r="K22" s="57" t="s">
        <v>161</v>
      </c>
      <c r="L22" s="36">
        <v>3</v>
      </c>
      <c r="N22" s="57">
        <v>5</v>
      </c>
      <c r="O22" s="57">
        <v>0.5</v>
      </c>
      <c r="P22" s="57">
        <v>0.5</v>
      </c>
      <c r="Q22" s="75">
        <f t="shared" si="0"/>
        <v>0.5</v>
      </c>
      <c r="R22" s="36">
        <v>15</v>
      </c>
      <c r="S22" s="36">
        <v>123</v>
      </c>
      <c r="T22" s="62">
        <f t="shared" si="1"/>
        <v>27</v>
      </c>
      <c r="U22" s="57">
        <v>518</v>
      </c>
      <c r="V22" s="62">
        <f t="shared" si="2"/>
        <v>2797.2</v>
      </c>
      <c r="W22" s="36">
        <v>2</v>
      </c>
      <c r="X22" s="57" t="s">
        <v>46</v>
      </c>
      <c r="Y22" s="57" t="s">
        <v>55</v>
      </c>
      <c r="Z22" s="57" t="s">
        <v>69</v>
      </c>
      <c r="AA22" s="57" t="s">
        <v>78</v>
      </c>
      <c r="AB22" s="57" t="s">
        <v>185</v>
      </c>
      <c r="AP22" s="43" t="s">
        <v>228</v>
      </c>
      <c r="AR22" s="30" t="s">
        <v>83</v>
      </c>
      <c r="AV22" s="76"/>
    </row>
    <row r="23" spans="1:48" x14ac:dyDescent="0.15">
      <c r="A23" s="57" t="s">
        <v>41</v>
      </c>
      <c r="B23" s="58" t="s">
        <v>157</v>
      </c>
      <c r="C23" s="59">
        <v>2019</v>
      </c>
      <c r="D23" s="60" t="s">
        <v>166</v>
      </c>
      <c r="E23" s="36" t="s">
        <v>187</v>
      </c>
      <c r="F23" s="36" t="s">
        <v>184</v>
      </c>
      <c r="G23" s="57" t="s">
        <v>42</v>
      </c>
      <c r="H23" s="57" t="s">
        <v>160</v>
      </c>
      <c r="I23" s="57" t="s">
        <v>159</v>
      </c>
      <c r="J23" s="57" t="s">
        <v>38</v>
      </c>
      <c r="K23" s="57" t="s">
        <v>161</v>
      </c>
      <c r="L23" s="57">
        <v>1</v>
      </c>
      <c r="M23" s="57"/>
      <c r="N23" s="57">
        <v>10</v>
      </c>
      <c r="O23" s="57">
        <v>0.9</v>
      </c>
      <c r="P23" s="57">
        <v>0.85</v>
      </c>
      <c r="Q23" s="75">
        <f t="shared" si="0"/>
        <v>0.875</v>
      </c>
      <c r="R23" s="36">
        <v>13.5</v>
      </c>
      <c r="S23" s="36">
        <v>119</v>
      </c>
      <c r="T23" s="62">
        <f t="shared" si="1"/>
        <v>30</v>
      </c>
      <c r="U23" s="57">
        <v>1058</v>
      </c>
      <c r="V23" s="62">
        <f t="shared" si="2"/>
        <v>3174</v>
      </c>
      <c r="W23" s="57">
        <v>2</v>
      </c>
      <c r="X23" s="57" t="s">
        <v>46</v>
      </c>
      <c r="Y23" s="57" t="s">
        <v>55</v>
      </c>
      <c r="Z23" s="57" t="s">
        <v>69</v>
      </c>
      <c r="AA23" s="57" t="s">
        <v>78</v>
      </c>
      <c r="AB23" s="57" t="s">
        <v>185</v>
      </c>
      <c r="AP23" s="43" t="s">
        <v>229</v>
      </c>
      <c r="AR23" s="77" t="s">
        <v>230</v>
      </c>
      <c r="AV23" s="77"/>
    </row>
    <row r="24" spans="1:48" x14ac:dyDescent="0.15">
      <c r="A24" s="57" t="s">
        <v>41</v>
      </c>
      <c r="B24" s="58" t="s">
        <v>157</v>
      </c>
      <c r="C24" s="59">
        <v>2019</v>
      </c>
      <c r="D24" s="60" t="s">
        <v>166</v>
      </c>
      <c r="E24" s="36" t="s">
        <v>187</v>
      </c>
      <c r="F24" s="36" t="s">
        <v>184</v>
      </c>
      <c r="G24" s="57" t="s">
        <v>42</v>
      </c>
      <c r="H24" s="57" t="s">
        <v>160</v>
      </c>
      <c r="I24" s="57" t="s">
        <v>159</v>
      </c>
      <c r="J24" s="57" t="s">
        <v>38</v>
      </c>
      <c r="K24" s="57" t="s">
        <v>161</v>
      </c>
      <c r="L24" s="36">
        <v>2</v>
      </c>
      <c r="N24" s="57">
        <v>10</v>
      </c>
      <c r="O24" s="57">
        <v>1</v>
      </c>
      <c r="P24" s="57">
        <v>1.1000000000000001</v>
      </c>
      <c r="Q24" s="75">
        <f t="shared" si="0"/>
        <v>1.05</v>
      </c>
      <c r="R24" s="36">
        <v>14.2</v>
      </c>
      <c r="S24" s="36">
        <v>120</v>
      </c>
      <c r="T24" s="62">
        <f t="shared" si="1"/>
        <v>30</v>
      </c>
      <c r="U24" s="57">
        <v>1058</v>
      </c>
      <c r="V24" s="62">
        <f t="shared" si="2"/>
        <v>3174</v>
      </c>
      <c r="W24" s="57">
        <v>2</v>
      </c>
      <c r="X24" s="57" t="s">
        <v>46</v>
      </c>
      <c r="Y24" s="57" t="s">
        <v>55</v>
      </c>
      <c r="Z24" s="57" t="s">
        <v>69</v>
      </c>
      <c r="AA24" s="57" t="s">
        <v>78</v>
      </c>
      <c r="AB24" s="57" t="s">
        <v>185</v>
      </c>
      <c r="AP24" s="43" t="s">
        <v>231</v>
      </c>
    </row>
    <row r="25" spans="1:48" x14ac:dyDescent="0.15">
      <c r="A25" s="57" t="s">
        <v>41</v>
      </c>
      <c r="B25" s="58" t="s">
        <v>157</v>
      </c>
      <c r="C25" s="59">
        <v>2019</v>
      </c>
      <c r="D25" s="60" t="s">
        <v>166</v>
      </c>
      <c r="E25" s="36" t="s">
        <v>187</v>
      </c>
      <c r="F25" s="36" t="s">
        <v>184</v>
      </c>
      <c r="G25" s="57" t="s">
        <v>42</v>
      </c>
      <c r="H25" s="57" t="s">
        <v>160</v>
      </c>
      <c r="I25" s="57" t="s">
        <v>159</v>
      </c>
      <c r="J25" s="57" t="s">
        <v>38</v>
      </c>
      <c r="K25" s="57" t="s">
        <v>161</v>
      </c>
      <c r="L25" s="36">
        <v>3</v>
      </c>
      <c r="N25" s="57">
        <v>10</v>
      </c>
      <c r="O25" s="57">
        <v>0.7</v>
      </c>
      <c r="P25" s="57">
        <v>0.9</v>
      </c>
      <c r="Q25" s="75">
        <f t="shared" si="0"/>
        <v>0.8</v>
      </c>
      <c r="R25" s="36">
        <v>14.9</v>
      </c>
      <c r="S25" s="36">
        <v>121</v>
      </c>
      <c r="T25" s="62">
        <f t="shared" si="1"/>
        <v>27</v>
      </c>
      <c r="U25" s="57">
        <v>1058</v>
      </c>
      <c r="V25" s="62">
        <f t="shared" si="2"/>
        <v>2856.6</v>
      </c>
      <c r="W25" s="36">
        <v>2</v>
      </c>
      <c r="X25" s="57" t="s">
        <v>46</v>
      </c>
      <c r="Y25" s="57" t="s">
        <v>55</v>
      </c>
      <c r="Z25" s="57" t="s">
        <v>69</v>
      </c>
      <c r="AA25" s="57" t="s">
        <v>78</v>
      </c>
      <c r="AB25" s="57" t="s">
        <v>185</v>
      </c>
    </row>
    <row r="26" spans="1:48" x14ac:dyDescent="0.15">
      <c r="A26" s="57" t="s">
        <v>41</v>
      </c>
      <c r="B26" s="58" t="s">
        <v>157</v>
      </c>
      <c r="C26" s="59">
        <v>2019</v>
      </c>
      <c r="D26" s="60" t="s">
        <v>166</v>
      </c>
      <c r="E26" s="36" t="s">
        <v>187</v>
      </c>
      <c r="F26" s="57" t="s">
        <v>189</v>
      </c>
      <c r="G26" s="57" t="s">
        <v>42</v>
      </c>
      <c r="H26" s="57" t="s">
        <v>186</v>
      </c>
      <c r="I26" s="57" t="s">
        <v>159</v>
      </c>
      <c r="J26" s="57" t="s">
        <v>53</v>
      </c>
      <c r="K26" s="57" t="s">
        <v>54</v>
      </c>
      <c r="L26" s="57">
        <v>1</v>
      </c>
      <c r="M26" s="57"/>
      <c r="N26" s="57">
        <v>1</v>
      </c>
      <c r="O26" s="57">
        <v>1</v>
      </c>
      <c r="P26" s="57">
        <v>1.05</v>
      </c>
      <c r="Q26" s="75">
        <f t="shared" si="0"/>
        <v>1.0249999999999999</v>
      </c>
      <c r="R26" s="36">
        <v>12.1</v>
      </c>
      <c r="S26" s="36">
        <v>122</v>
      </c>
      <c r="T26" s="62">
        <f t="shared" si="1"/>
        <v>27</v>
      </c>
      <c r="U26" s="57">
        <v>149</v>
      </c>
      <c r="V26" s="62">
        <f t="shared" si="2"/>
        <v>4023</v>
      </c>
      <c r="W26" s="57">
        <v>1</v>
      </c>
      <c r="X26" s="57" t="s">
        <v>46</v>
      </c>
      <c r="Y26" s="57" t="s">
        <v>69</v>
      </c>
      <c r="Z26" s="57" t="s">
        <v>78</v>
      </c>
      <c r="AA26" s="57" t="s">
        <v>55</v>
      </c>
      <c r="AB26" s="57" t="s">
        <v>185</v>
      </c>
    </row>
    <row r="27" spans="1:48" x14ac:dyDescent="0.15">
      <c r="A27" s="57" t="s">
        <v>41</v>
      </c>
      <c r="B27" s="58" t="s">
        <v>157</v>
      </c>
      <c r="C27" s="59">
        <v>2019</v>
      </c>
      <c r="D27" s="60" t="s">
        <v>166</v>
      </c>
      <c r="E27" s="36" t="s">
        <v>187</v>
      </c>
      <c r="F27" s="57" t="s">
        <v>189</v>
      </c>
      <c r="G27" s="57" t="s">
        <v>42</v>
      </c>
      <c r="H27" s="57" t="s">
        <v>186</v>
      </c>
      <c r="I27" s="57" t="s">
        <v>159</v>
      </c>
      <c r="J27" s="57" t="s">
        <v>53</v>
      </c>
      <c r="K27" s="57" t="s">
        <v>54</v>
      </c>
      <c r="L27" s="36">
        <v>2</v>
      </c>
      <c r="N27" s="57">
        <v>1</v>
      </c>
      <c r="O27" s="57">
        <v>1.3</v>
      </c>
      <c r="P27" s="57">
        <v>1.2</v>
      </c>
      <c r="Q27" s="75">
        <f t="shared" si="0"/>
        <v>1.25</v>
      </c>
      <c r="R27" s="36">
        <v>13.2</v>
      </c>
      <c r="S27" s="36">
        <v>127</v>
      </c>
      <c r="T27" s="62">
        <f t="shared" si="1"/>
        <v>27</v>
      </c>
      <c r="U27" s="57">
        <v>149</v>
      </c>
      <c r="V27" s="62">
        <f t="shared" si="2"/>
        <v>4023</v>
      </c>
      <c r="W27" s="36">
        <v>1</v>
      </c>
      <c r="X27" s="57" t="s">
        <v>46</v>
      </c>
      <c r="Y27" s="57" t="s">
        <v>69</v>
      </c>
      <c r="Z27" s="57" t="s">
        <v>78</v>
      </c>
      <c r="AA27" s="57" t="s">
        <v>55</v>
      </c>
      <c r="AB27" s="57" t="s">
        <v>185</v>
      </c>
    </row>
    <row r="28" spans="1:48" x14ac:dyDescent="0.15">
      <c r="A28" s="57" t="s">
        <v>41</v>
      </c>
      <c r="B28" s="58" t="s">
        <v>157</v>
      </c>
      <c r="C28" s="59">
        <v>2019</v>
      </c>
      <c r="D28" s="60" t="s">
        <v>166</v>
      </c>
      <c r="E28" s="36" t="s">
        <v>187</v>
      </c>
      <c r="F28" s="57" t="s">
        <v>189</v>
      </c>
      <c r="G28" s="57" t="s">
        <v>42</v>
      </c>
      <c r="H28" s="57" t="s">
        <v>186</v>
      </c>
      <c r="I28" s="57" t="s">
        <v>159</v>
      </c>
      <c r="J28" s="57" t="s">
        <v>53</v>
      </c>
      <c r="K28" s="57" t="s">
        <v>54</v>
      </c>
      <c r="L28" s="36">
        <v>3</v>
      </c>
      <c r="N28" s="57">
        <v>1</v>
      </c>
      <c r="O28" s="57">
        <v>1</v>
      </c>
      <c r="P28" s="57">
        <v>0.95</v>
      </c>
      <c r="Q28" s="75">
        <f t="shared" si="0"/>
        <v>0.97499999999999998</v>
      </c>
      <c r="R28" s="36">
        <v>13.6</v>
      </c>
      <c r="S28" s="36">
        <v>124</v>
      </c>
      <c r="T28" s="62">
        <f t="shared" si="1"/>
        <v>27</v>
      </c>
      <c r="U28" s="57">
        <v>149</v>
      </c>
      <c r="V28" s="62">
        <f t="shared" si="2"/>
        <v>4023</v>
      </c>
      <c r="W28" s="36">
        <v>1</v>
      </c>
      <c r="X28" s="57" t="s">
        <v>46</v>
      </c>
      <c r="Y28" s="57" t="s">
        <v>69</v>
      </c>
      <c r="Z28" s="57" t="s">
        <v>78</v>
      </c>
      <c r="AA28" s="57" t="s">
        <v>55</v>
      </c>
      <c r="AB28" s="57" t="s">
        <v>185</v>
      </c>
    </row>
    <row r="29" spans="1:48" x14ac:dyDescent="0.15">
      <c r="A29" s="57" t="s">
        <v>41</v>
      </c>
      <c r="B29" s="58" t="s">
        <v>157</v>
      </c>
      <c r="C29" s="59">
        <v>2019</v>
      </c>
      <c r="D29" s="60" t="s">
        <v>166</v>
      </c>
      <c r="E29" s="36" t="s">
        <v>187</v>
      </c>
      <c r="F29" s="57" t="s">
        <v>189</v>
      </c>
      <c r="G29" s="57" t="s">
        <v>42</v>
      </c>
      <c r="H29" s="57" t="s">
        <v>165</v>
      </c>
      <c r="I29" s="57" t="s">
        <v>159</v>
      </c>
      <c r="J29" s="57" t="s">
        <v>38</v>
      </c>
      <c r="K29" s="57" t="s">
        <v>161</v>
      </c>
      <c r="L29" s="36">
        <v>1</v>
      </c>
      <c r="N29" s="57">
        <v>4</v>
      </c>
      <c r="O29" s="57">
        <v>0.65</v>
      </c>
      <c r="P29" s="57">
        <v>0.7</v>
      </c>
      <c r="Q29" s="75">
        <f t="shared" si="0"/>
        <v>0.67500000000000004</v>
      </c>
      <c r="R29" s="57">
        <v>13.2</v>
      </c>
      <c r="S29" s="57">
        <v>124</v>
      </c>
      <c r="T29" s="62">
        <f t="shared" si="1"/>
        <v>27</v>
      </c>
      <c r="U29" s="57">
        <v>429</v>
      </c>
      <c r="V29" s="62">
        <f t="shared" si="2"/>
        <v>2895.75</v>
      </c>
      <c r="W29" s="36">
        <v>1</v>
      </c>
      <c r="X29" s="57" t="s">
        <v>46</v>
      </c>
      <c r="Y29" s="57" t="s">
        <v>69</v>
      </c>
      <c r="Z29" s="57" t="s">
        <v>78</v>
      </c>
      <c r="AA29" s="57" t="s">
        <v>55</v>
      </c>
      <c r="AB29" s="57" t="s">
        <v>185</v>
      </c>
    </row>
    <row r="30" spans="1:48" x14ac:dyDescent="0.15">
      <c r="A30" s="57" t="s">
        <v>41</v>
      </c>
      <c r="B30" s="58" t="s">
        <v>157</v>
      </c>
      <c r="C30" s="59">
        <v>2019</v>
      </c>
      <c r="D30" s="60" t="s">
        <v>166</v>
      </c>
      <c r="E30" s="36" t="s">
        <v>187</v>
      </c>
      <c r="F30" s="57" t="s">
        <v>189</v>
      </c>
      <c r="G30" s="57" t="s">
        <v>42</v>
      </c>
      <c r="H30" s="57" t="s">
        <v>165</v>
      </c>
      <c r="I30" s="57" t="s">
        <v>159</v>
      </c>
      <c r="J30" s="57" t="s">
        <v>38</v>
      </c>
      <c r="K30" s="57" t="s">
        <v>161</v>
      </c>
      <c r="L30" s="36">
        <v>2</v>
      </c>
      <c r="N30" s="57">
        <v>4</v>
      </c>
      <c r="O30" s="57">
        <v>0.7</v>
      </c>
      <c r="P30" s="57">
        <v>0.6</v>
      </c>
      <c r="Q30" s="75">
        <f t="shared" si="0"/>
        <v>0.64999999999999991</v>
      </c>
      <c r="R30" s="57">
        <v>14.8</v>
      </c>
      <c r="S30" s="57">
        <v>126</v>
      </c>
      <c r="T30" s="62">
        <f t="shared" si="1"/>
        <v>27</v>
      </c>
      <c r="U30" s="57">
        <v>429</v>
      </c>
      <c r="V30" s="62">
        <f t="shared" si="2"/>
        <v>2895.75</v>
      </c>
      <c r="W30" s="36">
        <v>1</v>
      </c>
      <c r="X30" s="57" t="s">
        <v>46</v>
      </c>
      <c r="Y30" s="57" t="s">
        <v>69</v>
      </c>
      <c r="Z30" s="57" t="s">
        <v>78</v>
      </c>
      <c r="AA30" s="57" t="s">
        <v>55</v>
      </c>
      <c r="AB30" s="57" t="s">
        <v>185</v>
      </c>
    </row>
    <row r="31" spans="1:48" x14ac:dyDescent="0.15">
      <c r="A31" s="57" t="s">
        <v>41</v>
      </c>
      <c r="B31" s="58" t="s">
        <v>157</v>
      </c>
      <c r="C31" s="59">
        <v>2019</v>
      </c>
      <c r="D31" s="60" t="s">
        <v>166</v>
      </c>
      <c r="E31" s="36" t="s">
        <v>187</v>
      </c>
      <c r="F31" s="57" t="s">
        <v>189</v>
      </c>
      <c r="G31" s="57" t="s">
        <v>42</v>
      </c>
      <c r="H31" s="57" t="s">
        <v>165</v>
      </c>
      <c r="I31" s="57" t="s">
        <v>159</v>
      </c>
      <c r="J31" s="57" t="s">
        <v>38</v>
      </c>
      <c r="K31" s="57" t="s">
        <v>161</v>
      </c>
      <c r="L31" s="36">
        <v>3</v>
      </c>
      <c r="N31" s="57">
        <v>4</v>
      </c>
      <c r="O31" s="57">
        <v>0.55000000000000004</v>
      </c>
      <c r="P31" s="57">
        <v>0.65</v>
      </c>
      <c r="Q31" s="75">
        <f t="shared" si="0"/>
        <v>0.60000000000000009</v>
      </c>
      <c r="R31" s="57">
        <v>15.1</v>
      </c>
      <c r="S31" s="57">
        <v>122</v>
      </c>
      <c r="T31" s="62">
        <f t="shared" si="1"/>
        <v>27</v>
      </c>
      <c r="U31" s="57">
        <v>429</v>
      </c>
      <c r="V31" s="62">
        <f t="shared" si="2"/>
        <v>2895.75</v>
      </c>
      <c r="W31" s="36">
        <v>1</v>
      </c>
      <c r="X31" s="57" t="s">
        <v>46</v>
      </c>
      <c r="Y31" s="57" t="s">
        <v>69</v>
      </c>
      <c r="Z31" s="57" t="s">
        <v>78</v>
      </c>
      <c r="AA31" s="57" t="s">
        <v>55</v>
      </c>
      <c r="AB31" s="57" t="s">
        <v>185</v>
      </c>
    </row>
    <row r="32" spans="1:48" x14ac:dyDescent="0.15">
      <c r="A32" s="57" t="s">
        <v>41</v>
      </c>
      <c r="B32" s="58" t="s">
        <v>157</v>
      </c>
      <c r="C32" s="59">
        <v>2019</v>
      </c>
      <c r="D32" s="60" t="s">
        <v>166</v>
      </c>
      <c r="E32" s="36" t="s">
        <v>187</v>
      </c>
      <c r="F32" s="57" t="s">
        <v>189</v>
      </c>
      <c r="G32" s="57" t="s">
        <v>42</v>
      </c>
      <c r="H32" s="57" t="s">
        <v>160</v>
      </c>
      <c r="I32" s="57" t="s">
        <v>159</v>
      </c>
      <c r="J32" s="57" t="s">
        <v>38</v>
      </c>
      <c r="K32" s="57" t="s">
        <v>161</v>
      </c>
      <c r="L32" s="36">
        <v>1</v>
      </c>
      <c r="N32" s="57">
        <v>1</v>
      </c>
      <c r="O32" s="57">
        <v>0.45</v>
      </c>
      <c r="P32" s="57">
        <v>0.5</v>
      </c>
      <c r="Q32" s="75">
        <f t="shared" si="0"/>
        <v>0.47499999999999998</v>
      </c>
      <c r="R32" s="57">
        <v>16.399999999999999</v>
      </c>
      <c r="S32" s="57">
        <v>126</v>
      </c>
      <c r="T32" s="62">
        <f t="shared" si="1"/>
        <v>27</v>
      </c>
      <c r="U32" s="36">
        <v>149</v>
      </c>
      <c r="V32" s="62">
        <f t="shared" si="2"/>
        <v>4023</v>
      </c>
      <c r="W32" s="36">
        <v>3</v>
      </c>
      <c r="X32" s="57" t="s">
        <v>46</v>
      </c>
      <c r="Y32" s="57" t="s">
        <v>69</v>
      </c>
      <c r="Z32" s="57" t="s">
        <v>78</v>
      </c>
      <c r="AA32" s="57" t="s">
        <v>55</v>
      </c>
      <c r="AB32" s="57" t="s">
        <v>185</v>
      </c>
    </row>
    <row r="33" spans="1:28" x14ac:dyDescent="0.15">
      <c r="A33" s="57" t="s">
        <v>41</v>
      </c>
      <c r="B33" s="58" t="s">
        <v>157</v>
      </c>
      <c r="C33" s="59">
        <v>2019</v>
      </c>
      <c r="D33" s="60" t="s">
        <v>166</v>
      </c>
      <c r="E33" s="36" t="s">
        <v>187</v>
      </c>
      <c r="F33" s="57" t="s">
        <v>189</v>
      </c>
      <c r="G33" s="57" t="s">
        <v>42</v>
      </c>
      <c r="H33" s="57" t="s">
        <v>160</v>
      </c>
      <c r="I33" s="57" t="s">
        <v>159</v>
      </c>
      <c r="J33" s="57" t="s">
        <v>38</v>
      </c>
      <c r="K33" s="57" t="s">
        <v>161</v>
      </c>
      <c r="L33" s="36">
        <v>2</v>
      </c>
      <c r="N33" s="57">
        <v>1</v>
      </c>
      <c r="O33" s="57">
        <v>0.3</v>
      </c>
      <c r="P33" s="57">
        <v>0.45</v>
      </c>
      <c r="Q33" s="75">
        <f t="shared" si="0"/>
        <v>0.375</v>
      </c>
      <c r="R33" s="57">
        <v>15.9</v>
      </c>
      <c r="S33" s="57">
        <v>124</v>
      </c>
      <c r="T33" s="62">
        <f t="shared" si="1"/>
        <v>27</v>
      </c>
      <c r="U33" s="36">
        <v>149</v>
      </c>
      <c r="V33" s="62">
        <f t="shared" si="2"/>
        <v>4023</v>
      </c>
      <c r="W33" s="36">
        <v>3</v>
      </c>
      <c r="X33" s="57" t="s">
        <v>46</v>
      </c>
      <c r="Y33" s="57" t="s">
        <v>69</v>
      </c>
      <c r="Z33" s="57" t="s">
        <v>78</v>
      </c>
      <c r="AA33" s="57" t="s">
        <v>55</v>
      </c>
      <c r="AB33" s="57" t="s">
        <v>185</v>
      </c>
    </row>
    <row r="34" spans="1:28" x14ac:dyDescent="0.15">
      <c r="A34" s="57" t="s">
        <v>41</v>
      </c>
      <c r="B34" s="58" t="s">
        <v>157</v>
      </c>
      <c r="C34" s="59">
        <v>2019</v>
      </c>
      <c r="D34" s="60" t="s">
        <v>166</v>
      </c>
      <c r="E34" s="36" t="s">
        <v>187</v>
      </c>
      <c r="F34" s="57" t="s">
        <v>189</v>
      </c>
      <c r="G34" s="57" t="s">
        <v>42</v>
      </c>
      <c r="H34" s="57" t="s">
        <v>160</v>
      </c>
      <c r="I34" s="57" t="s">
        <v>159</v>
      </c>
      <c r="J34" s="57" t="s">
        <v>38</v>
      </c>
      <c r="K34" s="57" t="s">
        <v>161</v>
      </c>
      <c r="L34" s="36">
        <v>3</v>
      </c>
      <c r="N34" s="57">
        <v>1</v>
      </c>
      <c r="O34" s="57">
        <v>0.65</v>
      </c>
      <c r="P34" s="57">
        <v>0.6</v>
      </c>
      <c r="Q34" s="75">
        <f t="shared" si="0"/>
        <v>0.625</v>
      </c>
      <c r="R34" s="57">
        <v>14.3</v>
      </c>
      <c r="S34" s="57">
        <v>122</v>
      </c>
      <c r="T34" s="62">
        <f t="shared" si="1"/>
        <v>27</v>
      </c>
      <c r="U34" s="36">
        <v>149</v>
      </c>
      <c r="V34" s="62">
        <f t="shared" si="2"/>
        <v>4023</v>
      </c>
      <c r="W34" s="36">
        <v>3</v>
      </c>
      <c r="X34" s="57" t="s">
        <v>46</v>
      </c>
      <c r="Y34" s="57" t="s">
        <v>69</v>
      </c>
      <c r="Z34" s="57" t="s">
        <v>78</v>
      </c>
      <c r="AA34" s="57" t="s">
        <v>55</v>
      </c>
      <c r="AB34" s="57" t="s">
        <v>185</v>
      </c>
    </row>
    <row r="35" spans="1:28" x14ac:dyDescent="0.15">
      <c r="A35" s="57" t="s">
        <v>41</v>
      </c>
      <c r="B35" s="58" t="s">
        <v>157</v>
      </c>
      <c r="C35" s="59">
        <v>2019</v>
      </c>
      <c r="D35" s="60" t="s">
        <v>166</v>
      </c>
      <c r="E35" s="36" t="s">
        <v>187</v>
      </c>
      <c r="F35" s="57" t="s">
        <v>189</v>
      </c>
      <c r="G35" s="57" t="s">
        <v>42</v>
      </c>
      <c r="H35" s="57" t="s">
        <v>160</v>
      </c>
      <c r="I35" s="57" t="s">
        <v>159</v>
      </c>
      <c r="J35" s="57" t="s">
        <v>38</v>
      </c>
      <c r="K35" s="57" t="s">
        <v>161</v>
      </c>
      <c r="L35" s="36">
        <v>1</v>
      </c>
      <c r="N35" s="57">
        <v>4</v>
      </c>
      <c r="O35" s="57">
        <v>0.65</v>
      </c>
      <c r="P35" s="57">
        <v>0.55000000000000004</v>
      </c>
      <c r="Q35" s="75">
        <f t="shared" si="0"/>
        <v>0.60000000000000009</v>
      </c>
      <c r="R35" s="57">
        <v>15.5</v>
      </c>
      <c r="S35" s="57">
        <v>120</v>
      </c>
      <c r="T35" s="62">
        <f t="shared" si="1"/>
        <v>30</v>
      </c>
      <c r="U35" s="36">
        <v>537</v>
      </c>
      <c r="V35" s="62">
        <f t="shared" si="2"/>
        <v>4027.5</v>
      </c>
      <c r="W35" s="36">
        <v>2</v>
      </c>
      <c r="X35" s="57" t="s">
        <v>46</v>
      </c>
      <c r="Y35" s="57" t="s">
        <v>69</v>
      </c>
      <c r="Z35" s="57" t="s">
        <v>78</v>
      </c>
      <c r="AA35" s="57" t="s">
        <v>55</v>
      </c>
      <c r="AB35" s="57" t="s">
        <v>185</v>
      </c>
    </row>
    <row r="36" spans="1:28" x14ac:dyDescent="0.15">
      <c r="A36" s="57" t="s">
        <v>41</v>
      </c>
      <c r="B36" s="58" t="s">
        <v>157</v>
      </c>
      <c r="C36" s="59">
        <v>2019</v>
      </c>
      <c r="D36" s="60" t="s">
        <v>166</v>
      </c>
      <c r="E36" s="36" t="s">
        <v>187</v>
      </c>
      <c r="F36" s="57" t="s">
        <v>189</v>
      </c>
      <c r="G36" s="57" t="s">
        <v>42</v>
      </c>
      <c r="H36" s="57" t="s">
        <v>160</v>
      </c>
      <c r="I36" s="57" t="s">
        <v>159</v>
      </c>
      <c r="J36" s="57" t="s">
        <v>38</v>
      </c>
      <c r="K36" s="57" t="s">
        <v>161</v>
      </c>
      <c r="L36" s="36">
        <v>2</v>
      </c>
      <c r="N36" s="57">
        <v>4</v>
      </c>
      <c r="O36" s="57">
        <v>0.5</v>
      </c>
      <c r="P36" s="57">
        <v>0.4</v>
      </c>
      <c r="Q36" s="75">
        <f t="shared" si="0"/>
        <v>0.45</v>
      </c>
      <c r="R36" s="57">
        <v>14.5</v>
      </c>
      <c r="S36" s="57">
        <v>120</v>
      </c>
      <c r="T36" s="62">
        <f t="shared" si="1"/>
        <v>30</v>
      </c>
      <c r="U36" s="36">
        <v>537</v>
      </c>
      <c r="V36" s="62">
        <f t="shared" si="2"/>
        <v>4027.5</v>
      </c>
      <c r="W36" s="36">
        <v>2</v>
      </c>
      <c r="X36" s="57" t="s">
        <v>46</v>
      </c>
      <c r="Y36" s="57" t="s">
        <v>69</v>
      </c>
      <c r="Z36" s="57" t="s">
        <v>78</v>
      </c>
      <c r="AA36" s="57" t="s">
        <v>55</v>
      </c>
      <c r="AB36" s="57" t="s">
        <v>185</v>
      </c>
    </row>
    <row r="37" spans="1:28" x14ac:dyDescent="0.15">
      <c r="A37" s="57" t="s">
        <v>41</v>
      </c>
      <c r="B37" s="58" t="s">
        <v>157</v>
      </c>
      <c r="C37" s="59">
        <v>2019</v>
      </c>
      <c r="D37" s="60" t="s">
        <v>166</v>
      </c>
      <c r="E37" s="36" t="s">
        <v>187</v>
      </c>
      <c r="F37" s="57" t="s">
        <v>189</v>
      </c>
      <c r="G37" s="57" t="s">
        <v>42</v>
      </c>
      <c r="H37" s="57" t="s">
        <v>160</v>
      </c>
      <c r="I37" s="57" t="s">
        <v>159</v>
      </c>
      <c r="J37" s="57" t="s">
        <v>38</v>
      </c>
      <c r="K37" s="57" t="s">
        <v>161</v>
      </c>
      <c r="L37" s="36">
        <v>3</v>
      </c>
      <c r="N37" s="57">
        <v>4</v>
      </c>
      <c r="O37" s="57">
        <v>0.55000000000000004</v>
      </c>
      <c r="P37" s="57">
        <v>0.5</v>
      </c>
      <c r="Q37" s="75">
        <f t="shared" si="0"/>
        <v>0.52500000000000002</v>
      </c>
      <c r="R37" s="57">
        <v>13.5</v>
      </c>
      <c r="S37" s="57">
        <v>118</v>
      </c>
      <c r="T37" s="62">
        <f t="shared" si="1"/>
        <v>30</v>
      </c>
      <c r="U37" s="36">
        <v>537</v>
      </c>
      <c r="V37" s="62">
        <f t="shared" si="2"/>
        <v>4027.5</v>
      </c>
      <c r="W37" s="36">
        <v>2</v>
      </c>
      <c r="X37" s="57" t="s">
        <v>46</v>
      </c>
      <c r="Y37" s="57" t="s">
        <v>69</v>
      </c>
      <c r="Z37" s="57" t="s">
        <v>78</v>
      </c>
      <c r="AA37" s="57" t="s">
        <v>55</v>
      </c>
      <c r="AB37" s="57" t="s">
        <v>185</v>
      </c>
    </row>
    <row r="38" spans="1:28" x14ac:dyDescent="0.15">
      <c r="A38" s="57" t="s">
        <v>41</v>
      </c>
      <c r="B38" s="58" t="s">
        <v>157</v>
      </c>
      <c r="C38" s="59">
        <v>2019</v>
      </c>
      <c r="D38" s="60" t="s">
        <v>166</v>
      </c>
      <c r="E38" s="36" t="s">
        <v>194</v>
      </c>
      <c r="F38" s="57" t="s">
        <v>184</v>
      </c>
      <c r="G38" s="57" t="s">
        <v>42</v>
      </c>
      <c r="H38" s="57" t="s">
        <v>165</v>
      </c>
      <c r="I38" s="57" t="s">
        <v>159</v>
      </c>
      <c r="J38" s="57" t="s">
        <v>38</v>
      </c>
      <c r="K38" s="57" t="s">
        <v>161</v>
      </c>
      <c r="L38" s="36">
        <v>1</v>
      </c>
      <c r="N38" s="57">
        <v>1</v>
      </c>
      <c r="O38" s="57">
        <v>1</v>
      </c>
      <c r="P38" s="57">
        <v>1.2</v>
      </c>
      <c r="Q38" s="75">
        <f t="shared" si="0"/>
        <v>1.1000000000000001</v>
      </c>
      <c r="R38" s="57">
        <v>14.3</v>
      </c>
      <c r="S38" s="57">
        <v>126</v>
      </c>
      <c r="T38" s="62">
        <f t="shared" si="1"/>
        <v>27</v>
      </c>
      <c r="U38" s="36">
        <v>108</v>
      </c>
      <c r="V38" s="62">
        <f t="shared" si="2"/>
        <v>2916</v>
      </c>
      <c r="W38" s="36">
        <v>2</v>
      </c>
      <c r="X38" s="57" t="s">
        <v>46</v>
      </c>
      <c r="Y38" s="57" t="s">
        <v>55</v>
      </c>
      <c r="Z38" s="57" t="s">
        <v>47</v>
      </c>
      <c r="AA38" s="57" t="s">
        <v>69</v>
      </c>
      <c r="AB38" s="57" t="s">
        <v>185</v>
      </c>
    </row>
    <row r="39" spans="1:28" x14ac:dyDescent="0.15">
      <c r="A39" s="57" t="s">
        <v>41</v>
      </c>
      <c r="B39" s="58" t="s">
        <v>157</v>
      </c>
      <c r="C39" s="59">
        <v>2019</v>
      </c>
      <c r="D39" s="60" t="s">
        <v>166</v>
      </c>
      <c r="E39" s="36" t="s">
        <v>194</v>
      </c>
      <c r="F39" s="57" t="s">
        <v>184</v>
      </c>
      <c r="G39" s="57" t="s">
        <v>42</v>
      </c>
      <c r="H39" s="57" t="s">
        <v>165</v>
      </c>
      <c r="I39" s="57" t="s">
        <v>159</v>
      </c>
      <c r="J39" s="57" t="s">
        <v>38</v>
      </c>
      <c r="K39" s="57" t="s">
        <v>161</v>
      </c>
      <c r="L39" s="36">
        <v>2</v>
      </c>
      <c r="N39" s="57">
        <v>1</v>
      </c>
      <c r="O39" s="57">
        <v>0.95</v>
      </c>
      <c r="P39" s="57">
        <v>1.1000000000000001</v>
      </c>
      <c r="Q39" s="75">
        <f t="shared" si="0"/>
        <v>1.0249999999999999</v>
      </c>
      <c r="R39" s="57">
        <v>12.3</v>
      </c>
      <c r="S39" s="57">
        <v>123</v>
      </c>
      <c r="T39" s="62">
        <f t="shared" si="1"/>
        <v>27</v>
      </c>
      <c r="U39" s="36">
        <v>108</v>
      </c>
      <c r="V39" s="62">
        <f t="shared" si="2"/>
        <v>2916</v>
      </c>
      <c r="W39" s="36">
        <v>2</v>
      </c>
      <c r="X39" s="57" t="s">
        <v>46</v>
      </c>
      <c r="Y39" s="57" t="s">
        <v>55</v>
      </c>
      <c r="Z39" s="57" t="s">
        <v>47</v>
      </c>
      <c r="AA39" s="57" t="s">
        <v>69</v>
      </c>
      <c r="AB39" s="57" t="s">
        <v>185</v>
      </c>
    </row>
    <row r="40" spans="1:28" x14ac:dyDescent="0.15">
      <c r="A40" s="57" t="s">
        <v>41</v>
      </c>
      <c r="B40" s="58" t="s">
        <v>157</v>
      </c>
      <c r="C40" s="59">
        <v>2019</v>
      </c>
      <c r="D40" s="60" t="s">
        <v>166</v>
      </c>
      <c r="E40" s="36" t="s">
        <v>194</v>
      </c>
      <c r="F40" s="57" t="s">
        <v>184</v>
      </c>
      <c r="G40" s="57" t="s">
        <v>42</v>
      </c>
      <c r="H40" s="57" t="s">
        <v>165</v>
      </c>
      <c r="I40" s="57" t="s">
        <v>159</v>
      </c>
      <c r="J40" s="57" t="s">
        <v>38</v>
      </c>
      <c r="K40" s="57" t="s">
        <v>161</v>
      </c>
      <c r="L40" s="36">
        <v>3</v>
      </c>
      <c r="N40" s="57">
        <v>1</v>
      </c>
      <c r="O40" s="57">
        <v>0.85</v>
      </c>
      <c r="P40" s="57">
        <v>0.95</v>
      </c>
      <c r="Q40" s="75">
        <f t="shared" si="0"/>
        <v>0.89999999999999991</v>
      </c>
      <c r="R40" s="57">
        <v>11.9</v>
      </c>
      <c r="S40" s="57">
        <v>122</v>
      </c>
      <c r="T40" s="62">
        <f t="shared" si="1"/>
        <v>27</v>
      </c>
      <c r="U40" s="36">
        <v>108</v>
      </c>
      <c r="V40" s="62">
        <f t="shared" si="2"/>
        <v>2916</v>
      </c>
      <c r="W40" s="36">
        <v>2</v>
      </c>
      <c r="X40" s="57" t="s">
        <v>46</v>
      </c>
      <c r="Y40" s="57" t="s">
        <v>55</v>
      </c>
      <c r="Z40" s="57" t="s">
        <v>47</v>
      </c>
      <c r="AA40" s="57" t="s">
        <v>69</v>
      </c>
      <c r="AB40" s="57" t="s">
        <v>185</v>
      </c>
    </row>
    <row r="41" spans="1:28" x14ac:dyDescent="0.15">
      <c r="A41" s="57" t="s">
        <v>41</v>
      </c>
      <c r="B41" s="58" t="s">
        <v>157</v>
      </c>
      <c r="C41" s="59">
        <v>2019</v>
      </c>
      <c r="D41" s="60" t="s">
        <v>166</v>
      </c>
      <c r="E41" s="36" t="s">
        <v>194</v>
      </c>
      <c r="F41" s="57" t="s">
        <v>184</v>
      </c>
      <c r="G41" s="57" t="s">
        <v>42</v>
      </c>
      <c r="H41" s="57" t="s">
        <v>160</v>
      </c>
      <c r="I41" s="57" t="s">
        <v>159</v>
      </c>
      <c r="J41" s="57" t="s">
        <v>38</v>
      </c>
      <c r="K41" s="57" t="s">
        <v>161</v>
      </c>
      <c r="L41" s="36">
        <v>1</v>
      </c>
      <c r="N41" s="57">
        <v>1</v>
      </c>
      <c r="O41" s="57">
        <v>0.8</v>
      </c>
      <c r="P41" s="57">
        <v>0.95</v>
      </c>
      <c r="Q41" s="75">
        <f t="shared" si="0"/>
        <v>0.875</v>
      </c>
      <c r="R41" s="57">
        <v>14.3</v>
      </c>
      <c r="S41" s="57">
        <v>121</v>
      </c>
      <c r="T41" s="62">
        <f t="shared" si="1"/>
        <v>27</v>
      </c>
      <c r="U41" s="36">
        <v>108</v>
      </c>
      <c r="V41" s="62">
        <f t="shared" si="2"/>
        <v>2916</v>
      </c>
      <c r="W41" s="36">
        <v>5</v>
      </c>
      <c r="X41" s="57" t="s">
        <v>46</v>
      </c>
      <c r="Y41" s="57" t="s">
        <v>55</v>
      </c>
      <c r="Z41" s="57" t="s">
        <v>47</v>
      </c>
      <c r="AA41" s="57" t="s">
        <v>69</v>
      </c>
      <c r="AB41" s="57" t="s">
        <v>185</v>
      </c>
    </row>
    <row r="42" spans="1:28" x14ac:dyDescent="0.15">
      <c r="A42" s="57" t="s">
        <v>41</v>
      </c>
      <c r="B42" s="58" t="s">
        <v>157</v>
      </c>
      <c r="C42" s="59">
        <v>2019</v>
      </c>
      <c r="D42" s="60" t="s">
        <v>166</v>
      </c>
      <c r="E42" s="36" t="s">
        <v>194</v>
      </c>
      <c r="F42" s="57" t="s">
        <v>184</v>
      </c>
      <c r="G42" s="57" t="s">
        <v>42</v>
      </c>
      <c r="H42" s="57" t="s">
        <v>160</v>
      </c>
      <c r="I42" s="57" t="s">
        <v>159</v>
      </c>
      <c r="J42" s="57" t="s">
        <v>38</v>
      </c>
      <c r="K42" s="57" t="s">
        <v>161</v>
      </c>
      <c r="L42" s="36">
        <v>2</v>
      </c>
      <c r="N42" s="57">
        <v>1</v>
      </c>
      <c r="O42" s="57">
        <v>0.75</v>
      </c>
      <c r="P42" s="57">
        <v>0.8</v>
      </c>
      <c r="Q42" s="75">
        <f t="shared" si="0"/>
        <v>0.77500000000000002</v>
      </c>
      <c r="R42" s="57">
        <v>13.7</v>
      </c>
      <c r="S42" s="57">
        <v>122</v>
      </c>
      <c r="T42" s="62">
        <f t="shared" si="1"/>
        <v>27</v>
      </c>
      <c r="U42" s="36">
        <v>108</v>
      </c>
      <c r="V42" s="62">
        <f t="shared" si="2"/>
        <v>2916</v>
      </c>
      <c r="W42" s="36">
        <v>5</v>
      </c>
      <c r="X42" s="57" t="s">
        <v>46</v>
      </c>
      <c r="Y42" s="57" t="s">
        <v>55</v>
      </c>
      <c r="Z42" s="57" t="s">
        <v>47</v>
      </c>
      <c r="AA42" s="57" t="s">
        <v>69</v>
      </c>
      <c r="AB42" s="57" t="s">
        <v>185</v>
      </c>
    </row>
    <row r="43" spans="1:28" x14ac:dyDescent="0.15">
      <c r="A43" s="57" t="s">
        <v>41</v>
      </c>
      <c r="B43" s="58" t="s">
        <v>157</v>
      </c>
      <c r="C43" s="59">
        <v>2019</v>
      </c>
      <c r="D43" s="60" t="s">
        <v>166</v>
      </c>
      <c r="E43" s="36" t="s">
        <v>194</v>
      </c>
      <c r="F43" s="57" t="s">
        <v>184</v>
      </c>
      <c r="G43" s="57" t="s">
        <v>42</v>
      </c>
      <c r="H43" s="57" t="s">
        <v>160</v>
      </c>
      <c r="I43" s="57" t="s">
        <v>159</v>
      </c>
      <c r="J43" s="57" t="s">
        <v>38</v>
      </c>
      <c r="K43" s="57" t="s">
        <v>161</v>
      </c>
      <c r="L43" s="36">
        <v>3</v>
      </c>
      <c r="N43" s="57">
        <v>1</v>
      </c>
      <c r="O43" s="57">
        <v>0.65</v>
      </c>
      <c r="P43" s="57">
        <v>0.7</v>
      </c>
      <c r="Q43" s="75">
        <f t="shared" si="0"/>
        <v>0.67500000000000004</v>
      </c>
      <c r="R43" s="57">
        <v>12.4</v>
      </c>
      <c r="S43" s="57">
        <v>125</v>
      </c>
      <c r="T43" s="62">
        <f t="shared" si="1"/>
        <v>27</v>
      </c>
      <c r="U43" s="36">
        <v>108</v>
      </c>
      <c r="V43" s="62">
        <f t="shared" si="2"/>
        <v>2916</v>
      </c>
      <c r="W43" s="36">
        <v>5</v>
      </c>
      <c r="X43" s="57" t="s">
        <v>46</v>
      </c>
      <c r="Y43" s="57" t="s">
        <v>55</v>
      </c>
      <c r="Z43" s="57" t="s">
        <v>47</v>
      </c>
      <c r="AA43" s="57" t="s">
        <v>69</v>
      </c>
      <c r="AB43" s="57" t="s">
        <v>185</v>
      </c>
    </row>
    <row r="44" spans="1:28" x14ac:dyDescent="0.15">
      <c r="A44" s="57" t="s">
        <v>41</v>
      </c>
      <c r="B44" s="58" t="s">
        <v>157</v>
      </c>
      <c r="C44" s="59">
        <v>2019</v>
      </c>
      <c r="D44" s="60" t="s">
        <v>166</v>
      </c>
      <c r="E44" s="36" t="s">
        <v>194</v>
      </c>
      <c r="F44" s="57" t="s">
        <v>184</v>
      </c>
      <c r="G44" s="57" t="s">
        <v>42</v>
      </c>
      <c r="H44" s="57" t="s">
        <v>160</v>
      </c>
      <c r="I44" s="57" t="s">
        <v>159</v>
      </c>
      <c r="J44" s="57" t="s">
        <v>38</v>
      </c>
      <c r="K44" s="57" t="s">
        <v>161</v>
      </c>
      <c r="L44" s="36">
        <v>1</v>
      </c>
      <c r="N44" s="36">
        <v>4</v>
      </c>
      <c r="O44" s="36">
        <v>0.3</v>
      </c>
      <c r="P44" s="36">
        <v>0.45</v>
      </c>
      <c r="Q44" s="75">
        <f t="shared" si="0"/>
        <v>0.375</v>
      </c>
      <c r="R44" s="36">
        <v>16.2</v>
      </c>
      <c r="S44" s="36">
        <v>120</v>
      </c>
      <c r="T44" s="62">
        <f t="shared" si="1"/>
        <v>30</v>
      </c>
      <c r="U44" s="36">
        <v>537</v>
      </c>
      <c r="V44" s="62">
        <f t="shared" si="2"/>
        <v>4027.5</v>
      </c>
      <c r="W44" s="36">
        <v>2</v>
      </c>
      <c r="X44" s="57" t="s">
        <v>46</v>
      </c>
      <c r="Y44" s="57" t="s">
        <v>55</v>
      </c>
      <c r="Z44" s="57" t="s">
        <v>47</v>
      </c>
      <c r="AA44" s="57" t="s">
        <v>69</v>
      </c>
      <c r="AB44" s="57" t="s">
        <v>185</v>
      </c>
    </row>
    <row r="45" spans="1:28" x14ac:dyDescent="0.15">
      <c r="A45" s="57" t="s">
        <v>41</v>
      </c>
      <c r="B45" s="58" t="s">
        <v>157</v>
      </c>
      <c r="C45" s="59">
        <v>2019</v>
      </c>
      <c r="D45" s="60" t="s">
        <v>166</v>
      </c>
      <c r="E45" s="36" t="s">
        <v>194</v>
      </c>
      <c r="F45" s="57" t="s">
        <v>184</v>
      </c>
      <c r="G45" s="57" t="s">
        <v>42</v>
      </c>
      <c r="H45" s="57" t="s">
        <v>160</v>
      </c>
      <c r="I45" s="57" t="s">
        <v>159</v>
      </c>
      <c r="J45" s="57" t="s">
        <v>38</v>
      </c>
      <c r="K45" s="57" t="s">
        <v>161</v>
      </c>
      <c r="L45" s="36">
        <v>2</v>
      </c>
      <c r="N45" s="36">
        <v>4</v>
      </c>
      <c r="O45" s="36">
        <v>0.35</v>
      </c>
      <c r="P45" s="36">
        <v>0.5</v>
      </c>
      <c r="Q45" s="75">
        <f t="shared" si="0"/>
        <v>0.42499999999999999</v>
      </c>
      <c r="R45" s="36">
        <v>15.9</v>
      </c>
      <c r="S45" s="36">
        <v>122</v>
      </c>
      <c r="T45" s="62">
        <f t="shared" si="1"/>
        <v>27</v>
      </c>
      <c r="U45" s="36">
        <v>537</v>
      </c>
      <c r="V45" s="62">
        <f t="shared" si="2"/>
        <v>3624.75</v>
      </c>
      <c r="W45" s="36">
        <v>2</v>
      </c>
      <c r="X45" s="57" t="s">
        <v>46</v>
      </c>
      <c r="Y45" s="57" t="s">
        <v>55</v>
      </c>
      <c r="Z45" s="57" t="s">
        <v>47</v>
      </c>
      <c r="AA45" s="57" t="s">
        <v>69</v>
      </c>
      <c r="AB45" s="57" t="s">
        <v>185</v>
      </c>
    </row>
    <row r="46" spans="1:28" x14ac:dyDescent="0.15">
      <c r="A46" s="57" t="s">
        <v>41</v>
      </c>
      <c r="B46" s="58" t="s">
        <v>157</v>
      </c>
      <c r="C46" s="59">
        <v>2019</v>
      </c>
      <c r="D46" s="60" t="s">
        <v>166</v>
      </c>
      <c r="E46" s="36" t="s">
        <v>194</v>
      </c>
      <c r="F46" s="57" t="s">
        <v>184</v>
      </c>
      <c r="G46" s="57" t="s">
        <v>42</v>
      </c>
      <c r="H46" s="57" t="s">
        <v>160</v>
      </c>
      <c r="I46" s="57" t="s">
        <v>159</v>
      </c>
      <c r="J46" s="57" t="s">
        <v>38</v>
      </c>
      <c r="K46" s="57" t="s">
        <v>161</v>
      </c>
      <c r="L46" s="36">
        <v>3</v>
      </c>
      <c r="N46" s="36">
        <v>4</v>
      </c>
      <c r="O46" s="36">
        <v>0.5</v>
      </c>
      <c r="P46" s="36">
        <v>0.4</v>
      </c>
      <c r="Q46" s="75">
        <f t="shared" si="0"/>
        <v>0.45</v>
      </c>
      <c r="R46" s="36">
        <v>14.2</v>
      </c>
      <c r="S46" s="36">
        <v>121</v>
      </c>
      <c r="T46" s="62">
        <f t="shared" si="1"/>
        <v>27</v>
      </c>
      <c r="U46" s="36">
        <v>537</v>
      </c>
      <c r="V46" s="62">
        <f t="shared" si="2"/>
        <v>3624.75</v>
      </c>
      <c r="W46" s="36">
        <v>2</v>
      </c>
      <c r="X46" s="57" t="s">
        <v>46</v>
      </c>
      <c r="Y46" s="57" t="s">
        <v>55</v>
      </c>
      <c r="Z46" s="57" t="s">
        <v>47</v>
      </c>
      <c r="AA46" s="57" t="s">
        <v>69</v>
      </c>
      <c r="AB46" s="57" t="s">
        <v>185</v>
      </c>
    </row>
    <row r="47" spans="1:28" x14ac:dyDescent="0.15">
      <c r="A47" s="57" t="s">
        <v>41</v>
      </c>
      <c r="B47" s="58" t="s">
        <v>157</v>
      </c>
      <c r="C47" s="59">
        <v>2019</v>
      </c>
      <c r="D47" s="60" t="s">
        <v>166</v>
      </c>
      <c r="E47" s="36" t="s">
        <v>194</v>
      </c>
      <c r="F47" s="57" t="s">
        <v>184</v>
      </c>
      <c r="G47" s="57" t="s">
        <v>42</v>
      </c>
      <c r="H47" s="57" t="s">
        <v>160</v>
      </c>
      <c r="I47" s="57" t="s">
        <v>159</v>
      </c>
      <c r="J47" s="57" t="s">
        <v>38</v>
      </c>
      <c r="K47" s="57" t="s">
        <v>161</v>
      </c>
      <c r="L47" s="36">
        <v>1</v>
      </c>
      <c r="N47" s="36">
        <v>10</v>
      </c>
      <c r="O47" s="36">
        <v>0.8</v>
      </c>
      <c r="P47" s="36">
        <v>0.7</v>
      </c>
      <c r="Q47" s="75">
        <f t="shared" si="0"/>
        <v>0.75</v>
      </c>
      <c r="R47" s="36">
        <v>14.8</v>
      </c>
      <c r="S47" s="36">
        <v>123</v>
      </c>
      <c r="T47" s="62">
        <f t="shared" si="1"/>
        <v>27</v>
      </c>
      <c r="U47" s="36">
        <v>1058</v>
      </c>
      <c r="V47" s="62">
        <f t="shared" si="2"/>
        <v>2856.6</v>
      </c>
      <c r="W47" s="36">
        <v>2</v>
      </c>
      <c r="X47" s="57" t="s">
        <v>46</v>
      </c>
      <c r="Y47" s="57" t="s">
        <v>55</v>
      </c>
      <c r="Z47" s="57" t="s">
        <v>47</v>
      </c>
      <c r="AA47" s="57" t="s">
        <v>69</v>
      </c>
      <c r="AB47" s="57" t="s">
        <v>185</v>
      </c>
    </row>
    <row r="48" spans="1:28" x14ac:dyDescent="0.15">
      <c r="A48" s="57" t="s">
        <v>41</v>
      </c>
      <c r="B48" s="58" t="s">
        <v>157</v>
      </c>
      <c r="C48" s="59">
        <v>2019</v>
      </c>
      <c r="D48" s="60" t="s">
        <v>166</v>
      </c>
      <c r="E48" s="36" t="s">
        <v>194</v>
      </c>
      <c r="F48" s="57" t="s">
        <v>184</v>
      </c>
      <c r="G48" s="57" t="s">
        <v>42</v>
      </c>
      <c r="H48" s="57" t="s">
        <v>160</v>
      </c>
      <c r="I48" s="57" t="s">
        <v>159</v>
      </c>
      <c r="J48" s="57" t="s">
        <v>38</v>
      </c>
      <c r="K48" s="57" t="s">
        <v>161</v>
      </c>
      <c r="L48" s="36">
        <v>2</v>
      </c>
      <c r="N48" s="36">
        <v>10</v>
      </c>
      <c r="O48" s="36">
        <v>0.9</v>
      </c>
      <c r="P48" s="36">
        <v>0.85</v>
      </c>
      <c r="Q48" s="75">
        <f t="shared" si="0"/>
        <v>0.875</v>
      </c>
      <c r="R48" s="36">
        <v>15.2</v>
      </c>
      <c r="S48" s="36">
        <v>119</v>
      </c>
      <c r="T48" s="62">
        <f t="shared" si="1"/>
        <v>30</v>
      </c>
      <c r="U48" s="36">
        <v>1058</v>
      </c>
      <c r="V48" s="62">
        <f t="shared" si="2"/>
        <v>3174</v>
      </c>
      <c r="W48" s="36">
        <v>2</v>
      </c>
      <c r="X48" s="57" t="s">
        <v>46</v>
      </c>
      <c r="Y48" s="57" t="s">
        <v>55</v>
      </c>
      <c r="Z48" s="57" t="s">
        <v>47</v>
      </c>
      <c r="AA48" s="57" t="s">
        <v>69</v>
      </c>
      <c r="AB48" s="57" t="s">
        <v>185</v>
      </c>
    </row>
    <row r="49" spans="1:30" x14ac:dyDescent="0.15">
      <c r="A49" s="57" t="s">
        <v>41</v>
      </c>
      <c r="B49" s="58" t="s">
        <v>157</v>
      </c>
      <c r="C49" s="59">
        <v>2019</v>
      </c>
      <c r="D49" s="60" t="s">
        <v>166</v>
      </c>
      <c r="E49" s="36" t="s">
        <v>194</v>
      </c>
      <c r="F49" s="57" t="s">
        <v>184</v>
      </c>
      <c r="G49" s="57" t="s">
        <v>42</v>
      </c>
      <c r="H49" s="57" t="s">
        <v>160</v>
      </c>
      <c r="I49" s="57" t="s">
        <v>159</v>
      </c>
      <c r="J49" s="57" t="s">
        <v>38</v>
      </c>
      <c r="K49" s="57" t="s">
        <v>161</v>
      </c>
      <c r="L49" s="36">
        <v>3</v>
      </c>
      <c r="N49" s="36">
        <v>10</v>
      </c>
      <c r="O49" s="36">
        <v>0.75</v>
      </c>
      <c r="P49" s="36">
        <v>0.9</v>
      </c>
      <c r="Q49" s="75">
        <f t="shared" si="0"/>
        <v>0.82499999999999996</v>
      </c>
      <c r="R49" s="36">
        <v>13.8</v>
      </c>
      <c r="S49" s="36">
        <v>120</v>
      </c>
      <c r="T49" s="62">
        <f t="shared" si="1"/>
        <v>30</v>
      </c>
      <c r="U49" s="36">
        <v>1058</v>
      </c>
      <c r="V49" s="62">
        <f t="shared" si="2"/>
        <v>3174</v>
      </c>
      <c r="W49" s="36">
        <v>2</v>
      </c>
      <c r="X49" s="57" t="s">
        <v>46</v>
      </c>
      <c r="Y49" s="57" t="s">
        <v>55</v>
      </c>
      <c r="Z49" s="57" t="s">
        <v>47</v>
      </c>
      <c r="AA49" s="57" t="s">
        <v>69</v>
      </c>
      <c r="AB49" s="57" t="s">
        <v>185</v>
      </c>
    </row>
    <row r="50" spans="1:30" x14ac:dyDescent="0.15">
      <c r="A50" s="57" t="s">
        <v>41</v>
      </c>
      <c r="B50" s="58" t="s">
        <v>157</v>
      </c>
      <c r="C50" s="59">
        <v>2019</v>
      </c>
      <c r="D50" s="60" t="s">
        <v>166</v>
      </c>
      <c r="E50" s="36" t="s">
        <v>194</v>
      </c>
      <c r="F50" s="57" t="s">
        <v>196</v>
      </c>
      <c r="G50" s="57" t="s">
        <v>42</v>
      </c>
      <c r="H50" s="57" t="s">
        <v>165</v>
      </c>
      <c r="I50" s="57" t="s">
        <v>159</v>
      </c>
      <c r="J50" s="57" t="s">
        <v>38</v>
      </c>
      <c r="K50" s="57" t="s">
        <v>161</v>
      </c>
      <c r="L50" s="36">
        <v>1</v>
      </c>
      <c r="N50" s="36">
        <v>1</v>
      </c>
      <c r="O50" s="57">
        <v>0.65</v>
      </c>
      <c r="P50" s="57">
        <v>0.75</v>
      </c>
      <c r="Q50" s="75">
        <f t="shared" si="0"/>
        <v>0.7</v>
      </c>
      <c r="R50" s="57">
        <v>13.8</v>
      </c>
      <c r="S50" s="57">
        <v>126</v>
      </c>
      <c r="T50" s="62">
        <f t="shared" si="1"/>
        <v>27</v>
      </c>
      <c r="U50" s="36">
        <v>108</v>
      </c>
      <c r="V50" s="62">
        <f t="shared" si="2"/>
        <v>2916</v>
      </c>
      <c r="W50" s="36">
        <v>1</v>
      </c>
      <c r="X50" s="57" t="s">
        <v>46</v>
      </c>
      <c r="Y50" s="36" t="s">
        <v>69</v>
      </c>
      <c r="Z50" s="57" t="s">
        <v>40</v>
      </c>
      <c r="AA50" s="36" t="s">
        <v>55</v>
      </c>
      <c r="AB50" s="57" t="s">
        <v>185</v>
      </c>
      <c r="AC50" s="57"/>
      <c r="AD50" s="57"/>
    </row>
    <row r="51" spans="1:30" x14ac:dyDescent="0.15">
      <c r="A51" s="57" t="s">
        <v>41</v>
      </c>
      <c r="B51" s="58" t="s">
        <v>157</v>
      </c>
      <c r="C51" s="59">
        <v>2019</v>
      </c>
      <c r="D51" s="60" t="s">
        <v>166</v>
      </c>
      <c r="E51" s="36" t="s">
        <v>194</v>
      </c>
      <c r="F51" s="57" t="s">
        <v>196</v>
      </c>
      <c r="G51" s="57" t="s">
        <v>42</v>
      </c>
      <c r="H51" s="57" t="s">
        <v>165</v>
      </c>
      <c r="I51" s="57" t="s">
        <v>159</v>
      </c>
      <c r="J51" s="57" t="s">
        <v>38</v>
      </c>
      <c r="K51" s="57" t="s">
        <v>161</v>
      </c>
      <c r="L51" s="36">
        <v>2</v>
      </c>
      <c r="N51" s="36">
        <v>1</v>
      </c>
      <c r="O51" s="57">
        <v>0.45</v>
      </c>
      <c r="P51" s="57">
        <v>0.55000000000000004</v>
      </c>
      <c r="Q51" s="75">
        <f t="shared" si="0"/>
        <v>0.5</v>
      </c>
      <c r="R51" s="57">
        <v>14.4</v>
      </c>
      <c r="S51" s="57">
        <v>125</v>
      </c>
      <c r="T51" s="62">
        <f t="shared" si="1"/>
        <v>27</v>
      </c>
      <c r="U51" s="36">
        <v>108</v>
      </c>
      <c r="V51" s="62">
        <f t="shared" si="2"/>
        <v>2916</v>
      </c>
      <c r="W51" s="36">
        <v>1</v>
      </c>
      <c r="X51" s="57" t="s">
        <v>46</v>
      </c>
      <c r="Y51" s="36" t="s">
        <v>69</v>
      </c>
      <c r="Z51" s="57" t="s">
        <v>40</v>
      </c>
      <c r="AA51" s="36" t="s">
        <v>55</v>
      </c>
      <c r="AB51" s="57" t="s">
        <v>185</v>
      </c>
    </row>
    <row r="52" spans="1:30" x14ac:dyDescent="0.15">
      <c r="A52" s="57" t="s">
        <v>41</v>
      </c>
      <c r="B52" s="58" t="s">
        <v>157</v>
      </c>
      <c r="C52" s="59">
        <v>2019</v>
      </c>
      <c r="D52" s="60" t="s">
        <v>166</v>
      </c>
      <c r="E52" s="36" t="s">
        <v>194</v>
      </c>
      <c r="F52" s="57" t="s">
        <v>196</v>
      </c>
      <c r="G52" s="57" t="s">
        <v>42</v>
      </c>
      <c r="H52" s="57" t="s">
        <v>165</v>
      </c>
      <c r="I52" s="57" t="s">
        <v>159</v>
      </c>
      <c r="J52" s="57" t="s">
        <v>38</v>
      </c>
      <c r="K52" s="57" t="s">
        <v>161</v>
      </c>
      <c r="L52" s="36">
        <v>3</v>
      </c>
      <c r="N52" s="36">
        <v>1</v>
      </c>
      <c r="O52" s="57">
        <v>0.55000000000000004</v>
      </c>
      <c r="P52" s="57">
        <v>0.7</v>
      </c>
      <c r="Q52" s="75">
        <f t="shared" si="0"/>
        <v>0.625</v>
      </c>
      <c r="R52" s="57">
        <v>15</v>
      </c>
      <c r="S52" s="57">
        <v>122</v>
      </c>
      <c r="T52" s="62">
        <f t="shared" si="1"/>
        <v>27</v>
      </c>
      <c r="U52" s="36">
        <v>108</v>
      </c>
      <c r="V52" s="62">
        <f t="shared" si="2"/>
        <v>2916</v>
      </c>
      <c r="W52" s="36">
        <v>1</v>
      </c>
      <c r="X52" s="57" t="s">
        <v>46</v>
      </c>
      <c r="Y52" s="36" t="s">
        <v>69</v>
      </c>
      <c r="Z52" s="57" t="s">
        <v>40</v>
      </c>
      <c r="AA52" s="36" t="s">
        <v>55</v>
      </c>
      <c r="AB52" s="57" t="s">
        <v>185</v>
      </c>
    </row>
    <row r="53" spans="1:30" x14ac:dyDescent="0.15">
      <c r="A53" s="57" t="s">
        <v>41</v>
      </c>
      <c r="B53" s="58" t="s">
        <v>157</v>
      </c>
      <c r="C53" s="59">
        <v>2019</v>
      </c>
      <c r="D53" s="60" t="s">
        <v>166</v>
      </c>
      <c r="E53" s="36" t="s">
        <v>194</v>
      </c>
      <c r="F53" s="57" t="s">
        <v>196</v>
      </c>
      <c r="G53" s="57" t="s">
        <v>42</v>
      </c>
      <c r="H53" s="57" t="s">
        <v>160</v>
      </c>
      <c r="I53" s="57" t="s">
        <v>159</v>
      </c>
      <c r="J53" s="57" t="s">
        <v>38</v>
      </c>
      <c r="K53" s="57" t="s">
        <v>161</v>
      </c>
      <c r="L53" s="36">
        <v>1</v>
      </c>
      <c r="N53" s="36">
        <v>1</v>
      </c>
      <c r="O53" s="36">
        <v>0.25</v>
      </c>
      <c r="P53" s="36">
        <v>0.45</v>
      </c>
      <c r="Q53" s="75">
        <f t="shared" si="0"/>
        <v>0.35</v>
      </c>
      <c r="R53" s="36">
        <v>14.9</v>
      </c>
      <c r="S53" s="36">
        <v>122</v>
      </c>
      <c r="T53" s="62">
        <f t="shared" si="1"/>
        <v>27</v>
      </c>
      <c r="U53" s="36">
        <v>138</v>
      </c>
      <c r="V53" s="62">
        <f t="shared" si="2"/>
        <v>3726</v>
      </c>
      <c r="W53" s="36">
        <v>2</v>
      </c>
      <c r="X53" s="57" t="s">
        <v>46</v>
      </c>
      <c r="Y53" s="36" t="s">
        <v>69</v>
      </c>
      <c r="Z53" s="36" t="s">
        <v>40</v>
      </c>
      <c r="AA53" s="36" t="s">
        <v>55</v>
      </c>
      <c r="AB53" s="57" t="s">
        <v>185</v>
      </c>
    </row>
    <row r="54" spans="1:30" x14ac:dyDescent="0.15">
      <c r="A54" s="57" t="s">
        <v>41</v>
      </c>
      <c r="B54" s="58" t="s">
        <v>157</v>
      </c>
      <c r="C54" s="59">
        <v>2019</v>
      </c>
      <c r="D54" s="60" t="s">
        <v>166</v>
      </c>
      <c r="E54" s="36" t="s">
        <v>194</v>
      </c>
      <c r="F54" s="57" t="s">
        <v>196</v>
      </c>
      <c r="G54" s="57" t="s">
        <v>42</v>
      </c>
      <c r="H54" s="57" t="s">
        <v>160</v>
      </c>
      <c r="I54" s="57" t="s">
        <v>159</v>
      </c>
      <c r="J54" s="57" t="s">
        <v>38</v>
      </c>
      <c r="K54" s="57" t="s">
        <v>161</v>
      </c>
      <c r="L54" s="36">
        <v>2</v>
      </c>
      <c r="N54" s="36">
        <v>1</v>
      </c>
      <c r="O54" s="57">
        <v>0.45</v>
      </c>
      <c r="P54" s="57">
        <v>0.4</v>
      </c>
      <c r="Q54" s="75">
        <f t="shared" si="0"/>
        <v>0.42500000000000004</v>
      </c>
      <c r="R54" s="36">
        <v>14</v>
      </c>
      <c r="S54" s="36">
        <v>121</v>
      </c>
      <c r="T54" s="62">
        <f t="shared" si="1"/>
        <v>27</v>
      </c>
      <c r="U54" s="36">
        <v>138</v>
      </c>
      <c r="V54" s="62">
        <f t="shared" si="2"/>
        <v>3726</v>
      </c>
      <c r="W54" s="36">
        <v>2</v>
      </c>
      <c r="X54" s="57" t="s">
        <v>46</v>
      </c>
      <c r="Y54" s="36" t="s">
        <v>69</v>
      </c>
      <c r="Z54" s="36" t="s">
        <v>40</v>
      </c>
      <c r="AA54" s="36" t="s">
        <v>55</v>
      </c>
      <c r="AB54" s="57" t="s">
        <v>185</v>
      </c>
    </row>
    <row r="55" spans="1:30" x14ac:dyDescent="0.15">
      <c r="A55" s="57" t="s">
        <v>41</v>
      </c>
      <c r="B55" s="58" t="s">
        <v>157</v>
      </c>
      <c r="C55" s="59">
        <v>2019</v>
      </c>
      <c r="D55" s="60" t="s">
        <v>166</v>
      </c>
      <c r="E55" s="36" t="s">
        <v>194</v>
      </c>
      <c r="F55" s="57" t="s">
        <v>196</v>
      </c>
      <c r="G55" s="57" t="s">
        <v>42</v>
      </c>
      <c r="H55" s="57" t="s">
        <v>160</v>
      </c>
      <c r="I55" s="57" t="s">
        <v>159</v>
      </c>
      <c r="J55" s="57" t="s">
        <v>38</v>
      </c>
      <c r="K55" s="57" t="s">
        <v>161</v>
      </c>
      <c r="L55" s="36">
        <v>3</v>
      </c>
      <c r="N55" s="36">
        <v>1</v>
      </c>
      <c r="O55" s="57">
        <v>0.3</v>
      </c>
      <c r="P55" s="57">
        <v>0.4</v>
      </c>
      <c r="Q55" s="75">
        <f t="shared" si="0"/>
        <v>0.35</v>
      </c>
      <c r="R55" s="36">
        <v>15.3</v>
      </c>
      <c r="S55" s="36">
        <v>125</v>
      </c>
      <c r="T55" s="62">
        <f t="shared" si="1"/>
        <v>27</v>
      </c>
      <c r="U55" s="36">
        <v>138</v>
      </c>
      <c r="V55" s="62">
        <f t="shared" si="2"/>
        <v>3726</v>
      </c>
      <c r="W55" s="36">
        <v>2</v>
      </c>
      <c r="X55" s="57" t="s">
        <v>46</v>
      </c>
      <c r="Y55" s="36" t="s">
        <v>69</v>
      </c>
      <c r="Z55" s="36" t="s">
        <v>40</v>
      </c>
      <c r="AA55" s="36" t="s">
        <v>55</v>
      </c>
      <c r="AB55" s="57" t="s">
        <v>185</v>
      </c>
    </row>
    <row r="56" spans="1:30" x14ac:dyDescent="0.15">
      <c r="A56" s="57" t="s">
        <v>41</v>
      </c>
      <c r="B56" s="58" t="s">
        <v>157</v>
      </c>
      <c r="C56" s="59">
        <v>2019</v>
      </c>
      <c r="D56" s="60" t="s">
        <v>166</v>
      </c>
      <c r="E56" s="36" t="s">
        <v>194</v>
      </c>
      <c r="F56" s="57" t="s">
        <v>196</v>
      </c>
      <c r="G56" s="57" t="s">
        <v>42</v>
      </c>
      <c r="H56" s="57" t="s">
        <v>160</v>
      </c>
      <c r="I56" s="57" t="s">
        <v>159</v>
      </c>
      <c r="J56" s="57" t="s">
        <v>38</v>
      </c>
      <c r="K56" s="57" t="s">
        <v>161</v>
      </c>
      <c r="L56" s="36">
        <v>1</v>
      </c>
      <c r="N56" s="36">
        <v>4</v>
      </c>
      <c r="O56" s="57">
        <v>0.35</v>
      </c>
      <c r="P56" s="57">
        <v>0.4</v>
      </c>
      <c r="Q56" s="75">
        <f t="shared" si="0"/>
        <v>0.375</v>
      </c>
      <c r="R56" s="36">
        <v>13.7</v>
      </c>
      <c r="S56" s="36">
        <v>120</v>
      </c>
      <c r="T56" s="62">
        <f t="shared" si="1"/>
        <v>30</v>
      </c>
      <c r="U56" s="36">
        <v>645</v>
      </c>
      <c r="V56" s="62">
        <f t="shared" si="2"/>
        <v>4837.5</v>
      </c>
      <c r="W56" s="36">
        <v>2</v>
      </c>
      <c r="X56" s="57" t="s">
        <v>46</v>
      </c>
      <c r="Y56" s="36" t="s">
        <v>69</v>
      </c>
      <c r="Z56" s="36" t="s">
        <v>40</v>
      </c>
      <c r="AA56" s="36" t="s">
        <v>55</v>
      </c>
      <c r="AB56" s="57" t="s">
        <v>185</v>
      </c>
    </row>
    <row r="57" spans="1:30" x14ac:dyDescent="0.15">
      <c r="A57" s="57" t="s">
        <v>41</v>
      </c>
      <c r="B57" s="58" t="s">
        <v>157</v>
      </c>
      <c r="C57" s="59">
        <v>2019</v>
      </c>
      <c r="D57" s="60" t="s">
        <v>166</v>
      </c>
      <c r="E57" s="36" t="s">
        <v>194</v>
      </c>
      <c r="F57" s="57" t="s">
        <v>196</v>
      </c>
      <c r="G57" s="57" t="s">
        <v>42</v>
      </c>
      <c r="H57" s="57" t="s">
        <v>160</v>
      </c>
      <c r="I57" s="57" t="s">
        <v>159</v>
      </c>
      <c r="J57" s="57" t="s">
        <v>38</v>
      </c>
      <c r="K57" s="57" t="s">
        <v>161</v>
      </c>
      <c r="L57" s="36">
        <v>2</v>
      </c>
      <c r="N57" s="36">
        <v>4</v>
      </c>
      <c r="O57" s="57">
        <v>0.5</v>
      </c>
      <c r="P57" s="57">
        <v>0.45</v>
      </c>
      <c r="Q57" s="75">
        <f t="shared" si="0"/>
        <v>0.47499999999999998</v>
      </c>
      <c r="R57" s="36">
        <v>14.3</v>
      </c>
      <c r="S57" s="36">
        <v>117</v>
      </c>
      <c r="T57" s="62">
        <f t="shared" si="1"/>
        <v>30</v>
      </c>
      <c r="U57" s="36">
        <v>645</v>
      </c>
      <c r="V57" s="62">
        <f t="shared" si="2"/>
        <v>4837.5</v>
      </c>
      <c r="W57" s="36">
        <v>2</v>
      </c>
      <c r="X57" s="57" t="s">
        <v>46</v>
      </c>
      <c r="Y57" s="36" t="s">
        <v>69</v>
      </c>
      <c r="Z57" s="36" t="s">
        <v>40</v>
      </c>
      <c r="AA57" s="36" t="s">
        <v>55</v>
      </c>
      <c r="AB57" s="57" t="s">
        <v>185</v>
      </c>
    </row>
    <row r="58" spans="1:30" x14ac:dyDescent="0.15">
      <c r="A58" s="57" t="s">
        <v>41</v>
      </c>
      <c r="B58" s="58" t="s">
        <v>157</v>
      </c>
      <c r="C58" s="59">
        <v>2019</v>
      </c>
      <c r="D58" s="60" t="s">
        <v>166</v>
      </c>
      <c r="E58" s="36" t="s">
        <v>194</v>
      </c>
      <c r="F58" s="57" t="s">
        <v>196</v>
      </c>
      <c r="G58" s="57" t="s">
        <v>42</v>
      </c>
      <c r="H58" s="57" t="s">
        <v>160</v>
      </c>
      <c r="I58" s="57" t="s">
        <v>159</v>
      </c>
      <c r="J58" s="57" t="s">
        <v>38</v>
      </c>
      <c r="K58" s="57" t="s">
        <v>161</v>
      </c>
      <c r="L58" s="36">
        <v>3</v>
      </c>
      <c r="N58" s="36">
        <v>4</v>
      </c>
      <c r="O58" s="57">
        <v>0.5</v>
      </c>
      <c r="P58" s="57">
        <v>0.45</v>
      </c>
      <c r="Q58" s="75">
        <f t="shared" si="0"/>
        <v>0.47499999999999998</v>
      </c>
      <c r="R58" s="36">
        <v>14.7</v>
      </c>
      <c r="S58" s="36">
        <v>119</v>
      </c>
      <c r="T58" s="62">
        <f t="shared" si="1"/>
        <v>30</v>
      </c>
      <c r="U58" s="36">
        <v>645</v>
      </c>
      <c r="V58" s="62">
        <f t="shared" si="2"/>
        <v>4837.5</v>
      </c>
      <c r="W58" s="36">
        <v>2</v>
      </c>
      <c r="X58" s="57" t="s">
        <v>46</v>
      </c>
      <c r="Y58" s="36" t="s">
        <v>69</v>
      </c>
      <c r="Z58" s="36" t="s">
        <v>40</v>
      </c>
      <c r="AA58" s="36" t="s">
        <v>55</v>
      </c>
      <c r="AB58" s="57" t="s">
        <v>185</v>
      </c>
    </row>
    <row r="59" spans="1:30" x14ac:dyDescent="0.15">
      <c r="A59" s="57" t="s">
        <v>41</v>
      </c>
      <c r="B59" s="58" t="s">
        <v>157</v>
      </c>
      <c r="C59" s="59">
        <v>2019</v>
      </c>
      <c r="D59" s="60" t="s">
        <v>166</v>
      </c>
      <c r="E59" s="36" t="s">
        <v>194</v>
      </c>
      <c r="F59" s="57" t="s">
        <v>196</v>
      </c>
      <c r="G59" s="57" t="s">
        <v>42</v>
      </c>
      <c r="H59" s="57" t="s">
        <v>160</v>
      </c>
      <c r="I59" s="57" t="s">
        <v>159</v>
      </c>
      <c r="J59" s="57" t="s">
        <v>38</v>
      </c>
      <c r="K59" s="57" t="s">
        <v>161</v>
      </c>
      <c r="L59" s="36">
        <v>1</v>
      </c>
      <c r="N59" s="57">
        <v>7</v>
      </c>
      <c r="O59" s="57">
        <v>0.45</v>
      </c>
      <c r="P59" s="57">
        <v>0.5</v>
      </c>
      <c r="Q59" s="75">
        <f t="shared" si="0"/>
        <v>0.47499999999999998</v>
      </c>
      <c r="R59" s="36">
        <v>15.7</v>
      </c>
      <c r="S59" s="36">
        <v>121</v>
      </c>
      <c r="T59" s="62">
        <f t="shared" si="1"/>
        <v>27</v>
      </c>
      <c r="U59" s="36">
        <v>1069</v>
      </c>
      <c r="V59" s="62">
        <f t="shared" si="2"/>
        <v>4123.2857142857147</v>
      </c>
      <c r="W59" s="36">
        <v>2</v>
      </c>
      <c r="X59" s="57" t="s">
        <v>46</v>
      </c>
      <c r="Y59" s="36" t="s">
        <v>69</v>
      </c>
      <c r="Z59" s="36" t="s">
        <v>40</v>
      </c>
      <c r="AA59" s="36" t="s">
        <v>55</v>
      </c>
      <c r="AB59" s="57" t="s">
        <v>185</v>
      </c>
    </row>
    <row r="60" spans="1:30" x14ac:dyDescent="0.15">
      <c r="A60" s="57" t="s">
        <v>41</v>
      </c>
      <c r="B60" s="58" t="s">
        <v>157</v>
      </c>
      <c r="C60" s="59">
        <v>2019</v>
      </c>
      <c r="D60" s="60" t="s">
        <v>166</v>
      </c>
      <c r="E60" s="36" t="s">
        <v>194</v>
      </c>
      <c r="F60" s="57" t="s">
        <v>196</v>
      </c>
      <c r="G60" s="57" t="s">
        <v>42</v>
      </c>
      <c r="H60" s="57" t="s">
        <v>160</v>
      </c>
      <c r="I60" s="57" t="s">
        <v>159</v>
      </c>
      <c r="J60" s="57" t="s">
        <v>38</v>
      </c>
      <c r="K60" s="57" t="s">
        <v>161</v>
      </c>
      <c r="L60" s="36">
        <v>2</v>
      </c>
      <c r="N60" s="57">
        <v>7</v>
      </c>
      <c r="O60" s="57">
        <v>0.65</v>
      </c>
      <c r="P60" s="57">
        <v>0.5</v>
      </c>
      <c r="Q60" s="75">
        <f t="shared" si="0"/>
        <v>0.57499999999999996</v>
      </c>
      <c r="R60" s="36">
        <v>16.2</v>
      </c>
      <c r="S60" s="36">
        <v>124</v>
      </c>
      <c r="T60" s="62">
        <f t="shared" si="1"/>
        <v>27</v>
      </c>
      <c r="U60" s="36">
        <v>1069</v>
      </c>
      <c r="V60" s="62">
        <f t="shared" si="2"/>
        <v>4123.2857142857147</v>
      </c>
      <c r="W60" s="36">
        <v>2</v>
      </c>
      <c r="X60" s="57" t="s">
        <v>46</v>
      </c>
      <c r="Y60" s="36" t="s">
        <v>69</v>
      </c>
      <c r="Z60" s="36" t="s">
        <v>40</v>
      </c>
      <c r="AA60" s="36" t="s">
        <v>55</v>
      </c>
      <c r="AB60" s="57" t="s">
        <v>185</v>
      </c>
    </row>
    <row r="61" spans="1:30" x14ac:dyDescent="0.15">
      <c r="A61" s="57" t="s">
        <v>41</v>
      </c>
      <c r="B61" s="58" t="s">
        <v>157</v>
      </c>
      <c r="C61" s="59">
        <v>2019</v>
      </c>
      <c r="D61" s="60" t="s">
        <v>166</v>
      </c>
      <c r="E61" s="36" t="s">
        <v>194</v>
      </c>
      <c r="F61" s="57" t="s">
        <v>196</v>
      </c>
      <c r="G61" s="57" t="s">
        <v>42</v>
      </c>
      <c r="H61" s="57" t="s">
        <v>160</v>
      </c>
      <c r="I61" s="57" t="s">
        <v>159</v>
      </c>
      <c r="J61" s="57" t="s">
        <v>38</v>
      </c>
      <c r="K61" s="57" t="s">
        <v>161</v>
      </c>
      <c r="L61" s="36">
        <v>3</v>
      </c>
      <c r="N61" s="57">
        <v>7</v>
      </c>
      <c r="O61" s="57">
        <v>0.25</v>
      </c>
      <c r="P61" s="57">
        <v>0.35</v>
      </c>
      <c r="Q61" s="75">
        <f t="shared" si="0"/>
        <v>0.3</v>
      </c>
      <c r="R61" s="36">
        <v>13.2</v>
      </c>
      <c r="S61" s="36">
        <v>127</v>
      </c>
      <c r="T61" s="62">
        <f t="shared" si="1"/>
        <v>27</v>
      </c>
      <c r="U61" s="36">
        <v>1069</v>
      </c>
      <c r="V61" s="62">
        <f t="shared" si="2"/>
        <v>4123.2857142857147</v>
      </c>
      <c r="W61" s="36">
        <v>2</v>
      </c>
      <c r="X61" s="57" t="s">
        <v>46</v>
      </c>
      <c r="Y61" s="36" t="s">
        <v>69</v>
      </c>
      <c r="Z61" s="36" t="s">
        <v>40</v>
      </c>
      <c r="AA61" s="36" t="s">
        <v>55</v>
      </c>
      <c r="AB61" s="57" t="s">
        <v>185</v>
      </c>
    </row>
    <row r="62" spans="1:30" x14ac:dyDescent="0.15">
      <c r="A62" s="57" t="s">
        <v>41</v>
      </c>
      <c r="B62" s="58" t="s">
        <v>157</v>
      </c>
      <c r="C62" s="59">
        <v>2019</v>
      </c>
      <c r="D62" s="60" t="s">
        <v>166</v>
      </c>
      <c r="E62" s="36" t="s">
        <v>199</v>
      </c>
      <c r="F62" s="36" t="s">
        <v>196</v>
      </c>
      <c r="G62" s="57" t="s">
        <v>42</v>
      </c>
      <c r="H62" s="57" t="s">
        <v>165</v>
      </c>
      <c r="I62" s="57" t="s">
        <v>159</v>
      </c>
      <c r="J62" s="57" t="s">
        <v>38</v>
      </c>
      <c r="K62" s="57" t="s">
        <v>161</v>
      </c>
      <c r="L62" s="36">
        <v>1</v>
      </c>
      <c r="N62" s="57">
        <v>4</v>
      </c>
      <c r="O62" s="57">
        <v>0.35</v>
      </c>
      <c r="P62" s="57">
        <v>0.4</v>
      </c>
      <c r="Q62" s="75">
        <f t="shared" si="0"/>
        <v>0.375</v>
      </c>
      <c r="R62" s="36">
        <v>13.4</v>
      </c>
      <c r="S62" s="36">
        <v>123</v>
      </c>
      <c r="T62" s="62">
        <f t="shared" si="1"/>
        <v>27</v>
      </c>
      <c r="U62" s="36">
        <v>85</v>
      </c>
      <c r="V62" s="62">
        <f t="shared" si="2"/>
        <v>573.75</v>
      </c>
      <c r="W62" s="36">
        <v>1</v>
      </c>
      <c r="X62" s="57" t="s">
        <v>46</v>
      </c>
      <c r="Y62" s="36" t="s">
        <v>40</v>
      </c>
      <c r="Z62" s="36" t="s">
        <v>69</v>
      </c>
      <c r="AA62" s="36" t="s">
        <v>78</v>
      </c>
      <c r="AB62" s="57" t="s">
        <v>185</v>
      </c>
    </row>
    <row r="63" spans="1:30" x14ac:dyDescent="0.15">
      <c r="A63" s="57" t="s">
        <v>41</v>
      </c>
      <c r="B63" s="58" t="s">
        <v>157</v>
      </c>
      <c r="C63" s="59">
        <v>2019</v>
      </c>
      <c r="D63" s="60" t="s">
        <v>166</v>
      </c>
      <c r="E63" s="36" t="s">
        <v>199</v>
      </c>
      <c r="F63" s="36" t="s">
        <v>196</v>
      </c>
      <c r="G63" s="57" t="s">
        <v>42</v>
      </c>
      <c r="H63" s="57" t="s">
        <v>165</v>
      </c>
      <c r="I63" s="57" t="s">
        <v>159</v>
      </c>
      <c r="J63" s="57" t="s">
        <v>38</v>
      </c>
      <c r="K63" s="57" t="s">
        <v>161</v>
      </c>
      <c r="L63" s="36">
        <v>2</v>
      </c>
      <c r="N63" s="57">
        <v>4</v>
      </c>
      <c r="O63" s="57">
        <v>0.6</v>
      </c>
      <c r="P63" s="57">
        <v>0.5</v>
      </c>
      <c r="Q63" s="75">
        <f t="shared" si="0"/>
        <v>0.55000000000000004</v>
      </c>
      <c r="R63" s="36">
        <v>15.7</v>
      </c>
      <c r="S63" s="36">
        <v>120</v>
      </c>
      <c r="T63" s="62">
        <f t="shared" si="1"/>
        <v>30</v>
      </c>
      <c r="U63" s="36">
        <v>85</v>
      </c>
      <c r="V63" s="62">
        <f t="shared" si="2"/>
        <v>637.5</v>
      </c>
      <c r="W63" s="36">
        <v>1</v>
      </c>
      <c r="X63" s="57" t="s">
        <v>46</v>
      </c>
      <c r="Y63" s="36" t="s">
        <v>40</v>
      </c>
      <c r="Z63" s="36" t="s">
        <v>69</v>
      </c>
      <c r="AA63" s="36" t="s">
        <v>78</v>
      </c>
      <c r="AB63" s="57" t="s">
        <v>185</v>
      </c>
    </row>
    <row r="64" spans="1:30" x14ac:dyDescent="0.15">
      <c r="A64" s="57" t="s">
        <v>41</v>
      </c>
      <c r="B64" s="58" t="s">
        <v>157</v>
      </c>
      <c r="C64" s="59">
        <v>2019</v>
      </c>
      <c r="D64" s="60" t="s">
        <v>166</v>
      </c>
      <c r="E64" s="36" t="s">
        <v>199</v>
      </c>
      <c r="F64" s="36" t="s">
        <v>196</v>
      </c>
      <c r="G64" s="57" t="s">
        <v>42</v>
      </c>
      <c r="H64" s="57" t="s">
        <v>165</v>
      </c>
      <c r="I64" s="57" t="s">
        <v>159</v>
      </c>
      <c r="J64" s="57" t="s">
        <v>38</v>
      </c>
      <c r="K64" s="57" t="s">
        <v>161</v>
      </c>
      <c r="L64" s="36">
        <v>3</v>
      </c>
      <c r="N64" s="57">
        <v>4</v>
      </c>
      <c r="O64" s="57">
        <v>0.55000000000000004</v>
      </c>
      <c r="P64" s="57">
        <v>0.45</v>
      </c>
      <c r="Q64" s="75">
        <f t="shared" si="0"/>
        <v>0.5</v>
      </c>
      <c r="R64" s="36">
        <v>14.6</v>
      </c>
      <c r="S64" s="36">
        <v>118</v>
      </c>
      <c r="T64" s="62">
        <f t="shared" si="1"/>
        <v>30</v>
      </c>
      <c r="U64" s="36">
        <v>85</v>
      </c>
      <c r="V64" s="62">
        <f t="shared" si="2"/>
        <v>637.5</v>
      </c>
      <c r="W64" s="36">
        <v>1</v>
      </c>
      <c r="X64" s="57" t="s">
        <v>46</v>
      </c>
      <c r="Y64" s="36" t="s">
        <v>40</v>
      </c>
      <c r="Z64" s="36" t="s">
        <v>69</v>
      </c>
      <c r="AA64" s="36" t="s">
        <v>78</v>
      </c>
      <c r="AB64" s="57" t="s">
        <v>185</v>
      </c>
    </row>
    <row r="65" spans="1:28" x14ac:dyDescent="0.15">
      <c r="A65" s="57" t="s">
        <v>41</v>
      </c>
      <c r="B65" s="58" t="s">
        <v>157</v>
      </c>
      <c r="C65" s="59">
        <v>2019</v>
      </c>
      <c r="D65" s="60" t="s">
        <v>166</v>
      </c>
      <c r="E65" s="36" t="s">
        <v>199</v>
      </c>
      <c r="F65" s="36" t="s">
        <v>196</v>
      </c>
      <c r="G65" s="57" t="s">
        <v>42</v>
      </c>
      <c r="H65" s="57" t="s">
        <v>186</v>
      </c>
      <c r="I65" s="57" t="s">
        <v>159</v>
      </c>
      <c r="J65" s="57" t="s">
        <v>80</v>
      </c>
      <c r="K65" s="57" t="s">
        <v>80</v>
      </c>
      <c r="L65" s="36">
        <v>1</v>
      </c>
      <c r="N65" s="57">
        <v>1</v>
      </c>
      <c r="O65" s="57">
        <v>1.3</v>
      </c>
      <c r="P65" s="57">
        <v>1.2</v>
      </c>
      <c r="Q65" s="75">
        <f t="shared" si="0"/>
        <v>1.25</v>
      </c>
      <c r="R65" s="36">
        <v>12.6</v>
      </c>
      <c r="S65" s="36">
        <v>115</v>
      </c>
      <c r="T65" s="62">
        <f t="shared" si="1"/>
        <v>30</v>
      </c>
      <c r="U65" s="57">
        <v>385</v>
      </c>
      <c r="V65" s="62">
        <f t="shared" si="2"/>
        <v>11550</v>
      </c>
      <c r="W65" s="36">
        <v>2</v>
      </c>
      <c r="X65" s="57" t="s">
        <v>46</v>
      </c>
      <c r="Y65" s="36" t="s">
        <v>40</v>
      </c>
      <c r="Z65" s="57" t="s">
        <v>69</v>
      </c>
      <c r="AA65" s="36" t="s">
        <v>78</v>
      </c>
      <c r="AB65" s="57" t="s">
        <v>185</v>
      </c>
    </row>
    <row r="66" spans="1:28" x14ac:dyDescent="0.15">
      <c r="A66" s="57" t="s">
        <v>41</v>
      </c>
      <c r="B66" s="58" t="s">
        <v>157</v>
      </c>
      <c r="C66" s="59">
        <v>2019</v>
      </c>
      <c r="D66" s="60" t="s">
        <v>166</v>
      </c>
      <c r="E66" s="36" t="s">
        <v>199</v>
      </c>
      <c r="F66" s="36" t="s">
        <v>196</v>
      </c>
      <c r="G66" s="57" t="s">
        <v>42</v>
      </c>
      <c r="H66" s="57" t="s">
        <v>186</v>
      </c>
      <c r="I66" s="57" t="s">
        <v>159</v>
      </c>
      <c r="J66" s="57" t="s">
        <v>80</v>
      </c>
      <c r="K66" s="57" t="s">
        <v>80</v>
      </c>
      <c r="L66" s="36">
        <v>2</v>
      </c>
      <c r="N66" s="57">
        <v>1</v>
      </c>
      <c r="O66" s="36">
        <v>1.25</v>
      </c>
      <c r="P66" s="36">
        <v>1.1000000000000001</v>
      </c>
      <c r="Q66" s="75">
        <f t="shared" ref="Q66:Q129" si="3">IF(OR(O66="",P66=""),"",AVERAGE(O66,P66))</f>
        <v>1.175</v>
      </c>
      <c r="R66" s="36">
        <v>12.3</v>
      </c>
      <c r="S66" s="36">
        <v>118</v>
      </c>
      <c r="T66" s="62">
        <f t="shared" ref="T66:T129" si="4">IF(H66="","",IF(OR(H66="GREEN",H66="GK"),IF(S66&gt;=$AX$2,VLOOKUP(S66,$AX$2:$AY$10,2,1),""),IF(S66&gt;=$AZ$2,VLOOKUP(S66,$AZ$2:$BA$10,2,1),"")))</f>
        <v>30</v>
      </c>
      <c r="U66" s="57">
        <v>385</v>
      </c>
      <c r="V66" s="62">
        <f t="shared" ref="V66:V129" si="5">IF(OR(N66="",U66="",T66=""),"",U66/N66*T66)</f>
        <v>11550</v>
      </c>
      <c r="W66" s="36">
        <v>2</v>
      </c>
      <c r="X66" s="57" t="s">
        <v>46</v>
      </c>
      <c r="Y66" s="36" t="s">
        <v>40</v>
      </c>
      <c r="Z66" s="57" t="s">
        <v>69</v>
      </c>
      <c r="AA66" s="36" t="s">
        <v>78</v>
      </c>
      <c r="AB66" s="57" t="s">
        <v>185</v>
      </c>
    </row>
    <row r="67" spans="1:28" x14ac:dyDescent="0.15">
      <c r="A67" s="57" t="s">
        <v>41</v>
      </c>
      <c r="B67" s="58" t="s">
        <v>157</v>
      </c>
      <c r="C67" s="59">
        <v>2019</v>
      </c>
      <c r="D67" s="60" t="s">
        <v>166</v>
      </c>
      <c r="E67" s="36" t="s">
        <v>199</v>
      </c>
      <c r="F67" s="36" t="s">
        <v>196</v>
      </c>
      <c r="G67" s="57" t="s">
        <v>42</v>
      </c>
      <c r="H67" s="57" t="s">
        <v>186</v>
      </c>
      <c r="I67" s="57" t="s">
        <v>159</v>
      </c>
      <c r="J67" s="57" t="s">
        <v>80</v>
      </c>
      <c r="K67" s="57" t="s">
        <v>80</v>
      </c>
      <c r="L67" s="36">
        <v>3</v>
      </c>
      <c r="N67" s="57">
        <v>1</v>
      </c>
      <c r="O67" s="36">
        <v>1</v>
      </c>
      <c r="P67" s="36">
        <v>1</v>
      </c>
      <c r="Q67" s="75">
        <f t="shared" si="3"/>
        <v>1</v>
      </c>
      <c r="R67" s="36">
        <v>13.6</v>
      </c>
      <c r="S67" s="36">
        <v>120</v>
      </c>
      <c r="T67" s="62">
        <f t="shared" si="4"/>
        <v>30</v>
      </c>
      <c r="U67" s="57">
        <v>385</v>
      </c>
      <c r="V67" s="62">
        <f t="shared" si="5"/>
        <v>11550</v>
      </c>
      <c r="W67" s="36">
        <v>2</v>
      </c>
      <c r="X67" s="57" t="s">
        <v>46</v>
      </c>
      <c r="Y67" s="36" t="s">
        <v>40</v>
      </c>
      <c r="Z67" s="57" t="s">
        <v>69</v>
      </c>
      <c r="AA67" s="36" t="s">
        <v>78</v>
      </c>
      <c r="AB67" s="57" t="s">
        <v>185</v>
      </c>
    </row>
    <row r="68" spans="1:28" x14ac:dyDescent="0.15">
      <c r="A68" s="57" t="s">
        <v>41</v>
      </c>
      <c r="B68" s="58" t="s">
        <v>157</v>
      </c>
      <c r="C68" s="59">
        <v>2019</v>
      </c>
      <c r="D68" s="60" t="s">
        <v>166</v>
      </c>
      <c r="E68" s="36" t="s">
        <v>199</v>
      </c>
      <c r="F68" s="36" t="s">
        <v>196</v>
      </c>
      <c r="G68" s="57" t="s">
        <v>42</v>
      </c>
      <c r="H68" s="57" t="s">
        <v>160</v>
      </c>
      <c r="I68" s="57" t="s">
        <v>159</v>
      </c>
      <c r="J68" s="57" t="s">
        <v>38</v>
      </c>
      <c r="K68" s="57" t="s">
        <v>161</v>
      </c>
      <c r="L68" s="36">
        <v>1</v>
      </c>
      <c r="N68" s="57">
        <v>1</v>
      </c>
      <c r="O68" s="57">
        <v>0.5</v>
      </c>
      <c r="P68" s="57">
        <v>0.6</v>
      </c>
      <c r="Q68" s="75">
        <f t="shared" si="3"/>
        <v>0.55000000000000004</v>
      </c>
      <c r="R68" s="57">
        <v>13.5</v>
      </c>
      <c r="S68" s="57">
        <v>120</v>
      </c>
      <c r="T68" s="62">
        <f t="shared" si="4"/>
        <v>30</v>
      </c>
      <c r="U68" s="57">
        <v>85</v>
      </c>
      <c r="V68" s="62">
        <f t="shared" si="5"/>
        <v>2550</v>
      </c>
      <c r="W68" s="36">
        <v>2</v>
      </c>
      <c r="X68" s="57" t="s">
        <v>46</v>
      </c>
      <c r="Y68" s="36" t="s">
        <v>40</v>
      </c>
      <c r="Z68" s="57" t="s">
        <v>69</v>
      </c>
      <c r="AA68" s="36" t="s">
        <v>78</v>
      </c>
      <c r="AB68" s="57" t="s">
        <v>185</v>
      </c>
    </row>
    <row r="69" spans="1:28" x14ac:dyDescent="0.15">
      <c r="A69" s="57" t="s">
        <v>41</v>
      </c>
      <c r="B69" s="58" t="s">
        <v>157</v>
      </c>
      <c r="C69" s="59">
        <v>2019</v>
      </c>
      <c r="D69" s="60" t="s">
        <v>166</v>
      </c>
      <c r="E69" s="36" t="s">
        <v>199</v>
      </c>
      <c r="F69" s="36" t="s">
        <v>196</v>
      </c>
      <c r="G69" s="57" t="s">
        <v>42</v>
      </c>
      <c r="H69" s="57" t="s">
        <v>160</v>
      </c>
      <c r="I69" s="57" t="s">
        <v>159</v>
      </c>
      <c r="J69" s="57" t="s">
        <v>38</v>
      </c>
      <c r="K69" s="57" t="s">
        <v>161</v>
      </c>
      <c r="L69" s="36">
        <v>2</v>
      </c>
      <c r="N69" s="57">
        <v>1</v>
      </c>
      <c r="O69" s="57">
        <v>0.65</v>
      </c>
      <c r="P69" s="57">
        <v>0.7</v>
      </c>
      <c r="Q69" s="75">
        <f t="shared" si="3"/>
        <v>0.67500000000000004</v>
      </c>
      <c r="R69" s="57">
        <v>14.1</v>
      </c>
      <c r="S69" s="57">
        <v>120</v>
      </c>
      <c r="T69" s="62">
        <f t="shared" si="4"/>
        <v>30</v>
      </c>
      <c r="U69" s="57">
        <v>85</v>
      </c>
      <c r="V69" s="62">
        <f t="shared" si="5"/>
        <v>2550</v>
      </c>
      <c r="W69" s="36">
        <v>2</v>
      </c>
      <c r="X69" s="57" t="s">
        <v>46</v>
      </c>
      <c r="Y69" s="36" t="s">
        <v>40</v>
      </c>
      <c r="Z69" s="57" t="s">
        <v>69</v>
      </c>
      <c r="AA69" s="36" t="s">
        <v>78</v>
      </c>
      <c r="AB69" s="57" t="s">
        <v>185</v>
      </c>
    </row>
    <row r="70" spans="1:28" x14ac:dyDescent="0.15">
      <c r="A70" s="57" t="s">
        <v>41</v>
      </c>
      <c r="B70" s="58" t="s">
        <v>157</v>
      </c>
      <c r="C70" s="59">
        <v>2019</v>
      </c>
      <c r="D70" s="60" t="s">
        <v>166</v>
      </c>
      <c r="E70" s="36" t="s">
        <v>199</v>
      </c>
      <c r="F70" s="36" t="s">
        <v>196</v>
      </c>
      <c r="G70" s="57" t="s">
        <v>42</v>
      </c>
      <c r="H70" s="57" t="s">
        <v>160</v>
      </c>
      <c r="I70" s="57" t="s">
        <v>159</v>
      </c>
      <c r="J70" s="57" t="s">
        <v>38</v>
      </c>
      <c r="K70" s="57" t="s">
        <v>161</v>
      </c>
      <c r="L70" s="36">
        <v>3</v>
      </c>
      <c r="N70" s="57">
        <v>1</v>
      </c>
      <c r="O70" s="57">
        <v>0.6</v>
      </c>
      <c r="P70" s="57">
        <v>0.65</v>
      </c>
      <c r="Q70" s="75">
        <f t="shared" si="3"/>
        <v>0.625</v>
      </c>
      <c r="R70" s="57">
        <v>16.2</v>
      </c>
      <c r="S70" s="57">
        <v>117</v>
      </c>
      <c r="T70" s="62">
        <f t="shared" si="4"/>
        <v>30</v>
      </c>
      <c r="U70" s="57">
        <v>85</v>
      </c>
      <c r="V70" s="62">
        <f t="shared" si="5"/>
        <v>2550</v>
      </c>
      <c r="W70" s="36">
        <v>2</v>
      </c>
      <c r="X70" s="57" t="s">
        <v>46</v>
      </c>
      <c r="Y70" s="36" t="s">
        <v>40</v>
      </c>
      <c r="Z70" s="57" t="s">
        <v>69</v>
      </c>
      <c r="AA70" s="36" t="s">
        <v>78</v>
      </c>
      <c r="AB70" s="57" t="s">
        <v>185</v>
      </c>
    </row>
    <row r="71" spans="1:28" x14ac:dyDescent="0.15">
      <c r="A71" s="57" t="s">
        <v>41</v>
      </c>
      <c r="B71" s="58" t="s">
        <v>157</v>
      </c>
      <c r="C71" s="59">
        <v>2019</v>
      </c>
      <c r="D71" s="60" t="s">
        <v>166</v>
      </c>
      <c r="E71" s="57" t="s">
        <v>201</v>
      </c>
      <c r="F71" s="36" t="s">
        <v>202</v>
      </c>
      <c r="G71" s="57" t="s">
        <v>42</v>
      </c>
      <c r="H71" s="57" t="s">
        <v>186</v>
      </c>
      <c r="I71" s="57" t="s">
        <v>159</v>
      </c>
      <c r="J71" s="57" t="s">
        <v>53</v>
      </c>
      <c r="K71" s="57" t="s">
        <v>54</v>
      </c>
      <c r="L71" s="57">
        <v>1</v>
      </c>
      <c r="M71" s="57"/>
      <c r="N71" s="57">
        <v>1</v>
      </c>
      <c r="O71" s="36">
        <v>0.5</v>
      </c>
      <c r="P71" s="36">
        <v>0.7</v>
      </c>
      <c r="Q71" s="75">
        <f t="shared" si="3"/>
        <v>0.6</v>
      </c>
      <c r="R71" s="36">
        <v>14</v>
      </c>
      <c r="S71" s="36">
        <v>117</v>
      </c>
      <c r="T71" s="62">
        <f t="shared" si="4"/>
        <v>30</v>
      </c>
      <c r="U71" s="57">
        <v>105</v>
      </c>
      <c r="V71" s="62">
        <f t="shared" si="5"/>
        <v>3150</v>
      </c>
      <c r="W71" s="57">
        <v>2</v>
      </c>
      <c r="X71" s="57" t="s">
        <v>46</v>
      </c>
      <c r="Y71" s="57" t="s">
        <v>55</v>
      </c>
      <c r="Z71" s="57" t="s">
        <v>69</v>
      </c>
      <c r="AA71" s="57" t="s">
        <v>47</v>
      </c>
      <c r="AB71" s="57" t="s">
        <v>185</v>
      </c>
    </row>
    <row r="72" spans="1:28" x14ac:dyDescent="0.15">
      <c r="A72" s="57" t="s">
        <v>41</v>
      </c>
      <c r="B72" s="58" t="s">
        <v>157</v>
      </c>
      <c r="C72" s="59">
        <v>2019</v>
      </c>
      <c r="D72" s="60" t="s">
        <v>166</v>
      </c>
      <c r="E72" s="57" t="s">
        <v>201</v>
      </c>
      <c r="F72" s="36" t="s">
        <v>202</v>
      </c>
      <c r="G72" s="57" t="s">
        <v>42</v>
      </c>
      <c r="H72" s="57" t="s">
        <v>186</v>
      </c>
      <c r="I72" s="57" t="s">
        <v>159</v>
      </c>
      <c r="J72" s="57" t="s">
        <v>53</v>
      </c>
      <c r="K72" s="57" t="s">
        <v>54</v>
      </c>
      <c r="L72" s="36">
        <v>2</v>
      </c>
      <c r="N72" s="57">
        <v>1</v>
      </c>
      <c r="O72" s="36">
        <v>0.95</v>
      </c>
      <c r="P72" s="36">
        <v>0.8</v>
      </c>
      <c r="Q72" s="75">
        <f t="shared" si="3"/>
        <v>0.875</v>
      </c>
      <c r="R72" s="36">
        <v>12.5</v>
      </c>
      <c r="S72" s="36">
        <v>126</v>
      </c>
      <c r="T72" s="62">
        <f t="shared" si="4"/>
        <v>27</v>
      </c>
      <c r="U72" s="57">
        <v>105</v>
      </c>
      <c r="V72" s="62">
        <f t="shared" si="5"/>
        <v>2835</v>
      </c>
      <c r="W72" s="57">
        <v>2</v>
      </c>
      <c r="X72" s="57" t="s">
        <v>46</v>
      </c>
      <c r="Y72" s="57" t="s">
        <v>55</v>
      </c>
      <c r="Z72" s="57" t="s">
        <v>69</v>
      </c>
      <c r="AA72" s="57" t="s">
        <v>47</v>
      </c>
      <c r="AB72" s="57" t="s">
        <v>185</v>
      </c>
    </row>
    <row r="73" spans="1:28" x14ac:dyDescent="0.15">
      <c r="A73" s="57" t="s">
        <v>41</v>
      </c>
      <c r="B73" s="58" t="s">
        <v>157</v>
      </c>
      <c r="C73" s="59">
        <v>2019</v>
      </c>
      <c r="D73" s="60" t="s">
        <v>166</v>
      </c>
      <c r="E73" s="57" t="s">
        <v>201</v>
      </c>
      <c r="F73" s="36" t="s">
        <v>202</v>
      </c>
      <c r="G73" s="57" t="s">
        <v>42</v>
      </c>
      <c r="H73" s="57" t="s">
        <v>186</v>
      </c>
      <c r="I73" s="57" t="s">
        <v>159</v>
      </c>
      <c r="J73" s="57" t="s">
        <v>53</v>
      </c>
      <c r="K73" s="57" t="s">
        <v>54</v>
      </c>
      <c r="L73" s="36">
        <v>3</v>
      </c>
      <c r="N73" s="57">
        <v>1</v>
      </c>
      <c r="O73" s="36">
        <v>0.8</v>
      </c>
      <c r="P73" s="36">
        <v>0.75</v>
      </c>
      <c r="Q73" s="75">
        <f t="shared" si="3"/>
        <v>0.77500000000000002</v>
      </c>
      <c r="R73" s="36">
        <v>11.4</v>
      </c>
      <c r="S73" s="36">
        <v>123</v>
      </c>
      <c r="T73" s="62">
        <f t="shared" si="4"/>
        <v>27</v>
      </c>
      <c r="U73" s="57">
        <v>105</v>
      </c>
      <c r="V73" s="62">
        <f t="shared" si="5"/>
        <v>2835</v>
      </c>
      <c r="W73" s="36">
        <v>2</v>
      </c>
      <c r="X73" s="57" t="s">
        <v>46</v>
      </c>
      <c r="Y73" s="57" t="s">
        <v>55</v>
      </c>
      <c r="Z73" s="57" t="s">
        <v>69</v>
      </c>
      <c r="AA73" s="57" t="s">
        <v>47</v>
      </c>
      <c r="AB73" s="57" t="s">
        <v>185</v>
      </c>
    </row>
    <row r="74" spans="1:28" x14ac:dyDescent="0.15">
      <c r="A74" s="57" t="s">
        <v>41</v>
      </c>
      <c r="B74" s="58" t="s">
        <v>157</v>
      </c>
      <c r="C74" s="59">
        <v>2019</v>
      </c>
      <c r="D74" s="60" t="s">
        <v>166</v>
      </c>
      <c r="E74" s="57" t="s">
        <v>201</v>
      </c>
      <c r="F74" s="36" t="s">
        <v>202</v>
      </c>
      <c r="G74" s="57" t="s">
        <v>42</v>
      </c>
      <c r="H74" s="57" t="s">
        <v>165</v>
      </c>
      <c r="I74" s="57" t="s">
        <v>159</v>
      </c>
      <c r="J74" s="57" t="s">
        <v>38</v>
      </c>
      <c r="K74" s="57" t="s">
        <v>161</v>
      </c>
      <c r="L74" s="57">
        <v>1</v>
      </c>
      <c r="M74" s="57"/>
      <c r="N74" s="57">
        <v>4</v>
      </c>
      <c r="O74" s="57">
        <v>1</v>
      </c>
      <c r="P74" s="57">
        <v>0.9</v>
      </c>
      <c r="Q74" s="75">
        <f t="shared" si="3"/>
        <v>0.95</v>
      </c>
      <c r="R74" s="36">
        <v>18.3</v>
      </c>
      <c r="S74" s="36">
        <v>122</v>
      </c>
      <c r="T74" s="62">
        <f t="shared" si="4"/>
        <v>27</v>
      </c>
      <c r="U74" s="57">
        <v>378</v>
      </c>
      <c r="V74" s="62">
        <f t="shared" si="5"/>
        <v>2551.5</v>
      </c>
      <c r="W74" s="57">
        <v>1</v>
      </c>
      <c r="X74" s="57" t="s">
        <v>46</v>
      </c>
      <c r="Y74" s="57" t="s">
        <v>55</v>
      </c>
      <c r="Z74" s="57" t="s">
        <v>69</v>
      </c>
      <c r="AA74" s="57" t="s">
        <v>47</v>
      </c>
      <c r="AB74" s="57" t="s">
        <v>185</v>
      </c>
    </row>
    <row r="75" spans="1:28" x14ac:dyDescent="0.15">
      <c r="A75" s="57" t="s">
        <v>41</v>
      </c>
      <c r="B75" s="58" t="s">
        <v>157</v>
      </c>
      <c r="C75" s="59">
        <v>2019</v>
      </c>
      <c r="D75" s="60" t="s">
        <v>166</v>
      </c>
      <c r="E75" s="57" t="s">
        <v>201</v>
      </c>
      <c r="F75" s="36" t="s">
        <v>202</v>
      </c>
      <c r="G75" s="57" t="s">
        <v>42</v>
      </c>
      <c r="H75" s="57" t="s">
        <v>165</v>
      </c>
      <c r="I75" s="57" t="s">
        <v>159</v>
      </c>
      <c r="J75" s="57" t="s">
        <v>38</v>
      </c>
      <c r="K75" s="57" t="s">
        <v>161</v>
      </c>
      <c r="L75" s="36">
        <v>2</v>
      </c>
      <c r="N75" s="57">
        <v>4</v>
      </c>
      <c r="O75" s="57">
        <v>0.9</v>
      </c>
      <c r="P75" s="57">
        <v>1.05</v>
      </c>
      <c r="Q75" s="75">
        <f t="shared" si="3"/>
        <v>0.97500000000000009</v>
      </c>
      <c r="R75" s="36">
        <v>13.5</v>
      </c>
      <c r="S75" s="36">
        <v>125</v>
      </c>
      <c r="T75" s="62">
        <f t="shared" si="4"/>
        <v>27</v>
      </c>
      <c r="U75" s="57">
        <v>378</v>
      </c>
      <c r="V75" s="62">
        <f t="shared" si="5"/>
        <v>2551.5</v>
      </c>
      <c r="W75" s="36">
        <v>1</v>
      </c>
      <c r="X75" s="57" t="s">
        <v>46</v>
      </c>
      <c r="Y75" s="57" t="s">
        <v>55</v>
      </c>
      <c r="Z75" s="57" t="s">
        <v>69</v>
      </c>
      <c r="AA75" s="57" t="s">
        <v>47</v>
      </c>
      <c r="AB75" s="57" t="s">
        <v>185</v>
      </c>
    </row>
    <row r="76" spans="1:28" x14ac:dyDescent="0.15">
      <c r="A76" s="57" t="s">
        <v>41</v>
      </c>
      <c r="B76" s="58" t="s">
        <v>157</v>
      </c>
      <c r="C76" s="59">
        <v>2019</v>
      </c>
      <c r="D76" s="60" t="s">
        <v>166</v>
      </c>
      <c r="E76" s="57" t="s">
        <v>201</v>
      </c>
      <c r="F76" s="36" t="s">
        <v>202</v>
      </c>
      <c r="G76" s="57" t="s">
        <v>42</v>
      </c>
      <c r="H76" s="57" t="s">
        <v>165</v>
      </c>
      <c r="I76" s="57" t="s">
        <v>159</v>
      </c>
      <c r="J76" s="57" t="s">
        <v>38</v>
      </c>
      <c r="K76" s="57" t="s">
        <v>161</v>
      </c>
      <c r="L76" s="36">
        <v>3</v>
      </c>
      <c r="N76" s="57">
        <v>4</v>
      </c>
      <c r="O76" s="57">
        <v>0.85</v>
      </c>
      <c r="P76" s="57">
        <v>1</v>
      </c>
      <c r="Q76" s="75">
        <f t="shared" si="3"/>
        <v>0.92500000000000004</v>
      </c>
      <c r="R76" s="36">
        <v>14.2</v>
      </c>
      <c r="S76" s="36">
        <v>121</v>
      </c>
      <c r="T76" s="62">
        <f t="shared" si="4"/>
        <v>27</v>
      </c>
      <c r="U76" s="57">
        <v>378</v>
      </c>
      <c r="V76" s="62">
        <f t="shared" si="5"/>
        <v>2551.5</v>
      </c>
      <c r="W76" s="36">
        <v>1</v>
      </c>
      <c r="X76" s="57" t="s">
        <v>46</v>
      </c>
      <c r="Y76" s="57" t="s">
        <v>55</v>
      </c>
      <c r="Z76" s="57" t="s">
        <v>69</v>
      </c>
      <c r="AA76" s="57" t="s">
        <v>47</v>
      </c>
      <c r="AB76" s="57" t="s">
        <v>185</v>
      </c>
    </row>
    <row r="77" spans="1:28" x14ac:dyDescent="0.15">
      <c r="A77" s="57" t="s">
        <v>41</v>
      </c>
      <c r="B77" s="58" t="s">
        <v>157</v>
      </c>
      <c r="C77" s="59">
        <v>2019</v>
      </c>
      <c r="D77" s="60" t="s">
        <v>166</v>
      </c>
      <c r="E77" s="57" t="s">
        <v>201</v>
      </c>
      <c r="F77" s="36" t="s">
        <v>202</v>
      </c>
      <c r="G77" s="57" t="s">
        <v>42</v>
      </c>
      <c r="H77" s="57" t="s">
        <v>160</v>
      </c>
      <c r="I77" s="57" t="s">
        <v>159</v>
      </c>
      <c r="J77" s="57" t="s">
        <v>38</v>
      </c>
      <c r="K77" s="57" t="s">
        <v>161</v>
      </c>
      <c r="L77" s="57">
        <v>1</v>
      </c>
      <c r="M77" s="57"/>
      <c r="N77" s="57">
        <v>1</v>
      </c>
      <c r="O77" s="36">
        <v>0.3</v>
      </c>
      <c r="P77" s="36">
        <v>0.35</v>
      </c>
      <c r="Q77" s="75">
        <f t="shared" si="3"/>
        <v>0.32499999999999996</v>
      </c>
      <c r="R77" s="36">
        <v>15.3</v>
      </c>
      <c r="S77" s="36">
        <v>120</v>
      </c>
      <c r="T77" s="62">
        <f t="shared" si="4"/>
        <v>30</v>
      </c>
      <c r="U77" s="57">
        <v>105</v>
      </c>
      <c r="V77" s="62">
        <f t="shared" si="5"/>
        <v>3150</v>
      </c>
      <c r="W77" s="57">
        <v>4</v>
      </c>
      <c r="X77" s="57" t="s">
        <v>46</v>
      </c>
      <c r="Y77" s="57" t="s">
        <v>55</v>
      </c>
      <c r="Z77" s="57" t="s">
        <v>69</v>
      </c>
      <c r="AA77" s="57" t="s">
        <v>47</v>
      </c>
      <c r="AB77" s="57" t="s">
        <v>185</v>
      </c>
    </row>
    <row r="78" spans="1:28" x14ac:dyDescent="0.15">
      <c r="A78" s="57" t="s">
        <v>41</v>
      </c>
      <c r="B78" s="58" t="s">
        <v>157</v>
      </c>
      <c r="C78" s="59">
        <v>2019</v>
      </c>
      <c r="D78" s="60" t="s">
        <v>166</v>
      </c>
      <c r="E78" s="57" t="s">
        <v>201</v>
      </c>
      <c r="F78" s="36" t="s">
        <v>202</v>
      </c>
      <c r="G78" s="57" t="s">
        <v>42</v>
      </c>
      <c r="H78" s="57" t="s">
        <v>160</v>
      </c>
      <c r="I78" s="57" t="s">
        <v>159</v>
      </c>
      <c r="J78" s="57" t="s">
        <v>38</v>
      </c>
      <c r="K78" s="57" t="s">
        <v>161</v>
      </c>
      <c r="L78" s="36">
        <v>2</v>
      </c>
      <c r="N78" s="57">
        <v>1</v>
      </c>
      <c r="O78" s="36">
        <v>0.4</v>
      </c>
      <c r="P78" s="36">
        <v>0.35</v>
      </c>
      <c r="Q78" s="75">
        <f t="shared" si="3"/>
        <v>0.375</v>
      </c>
      <c r="R78" s="36">
        <v>12.4</v>
      </c>
      <c r="S78" s="36">
        <v>120</v>
      </c>
      <c r="T78" s="62">
        <f t="shared" si="4"/>
        <v>30</v>
      </c>
      <c r="U78" s="57">
        <v>105</v>
      </c>
      <c r="V78" s="62">
        <f t="shared" si="5"/>
        <v>3150</v>
      </c>
      <c r="W78" s="57">
        <v>4</v>
      </c>
      <c r="X78" s="57" t="s">
        <v>46</v>
      </c>
      <c r="Y78" s="57" t="s">
        <v>55</v>
      </c>
      <c r="Z78" s="57" t="s">
        <v>69</v>
      </c>
      <c r="AA78" s="57" t="s">
        <v>47</v>
      </c>
      <c r="AB78" s="57" t="s">
        <v>185</v>
      </c>
    </row>
    <row r="79" spans="1:28" x14ac:dyDescent="0.15">
      <c r="A79" s="57" t="s">
        <v>41</v>
      </c>
      <c r="B79" s="58" t="s">
        <v>157</v>
      </c>
      <c r="C79" s="59">
        <v>2019</v>
      </c>
      <c r="D79" s="60" t="s">
        <v>166</v>
      </c>
      <c r="E79" s="57" t="s">
        <v>201</v>
      </c>
      <c r="F79" s="36" t="s">
        <v>202</v>
      </c>
      <c r="G79" s="57" t="s">
        <v>42</v>
      </c>
      <c r="H79" s="57" t="s">
        <v>160</v>
      </c>
      <c r="I79" s="57" t="s">
        <v>159</v>
      </c>
      <c r="J79" s="57" t="s">
        <v>38</v>
      </c>
      <c r="K79" s="57" t="s">
        <v>161</v>
      </c>
      <c r="L79" s="36">
        <v>3</v>
      </c>
      <c r="N79" s="57">
        <v>1</v>
      </c>
      <c r="O79" s="36">
        <v>0.35</v>
      </c>
      <c r="P79" s="36">
        <v>0.3</v>
      </c>
      <c r="Q79" s="75">
        <f t="shared" si="3"/>
        <v>0.32499999999999996</v>
      </c>
      <c r="R79" s="36">
        <v>15.2</v>
      </c>
      <c r="S79" s="36">
        <v>118</v>
      </c>
      <c r="T79" s="62">
        <f t="shared" si="4"/>
        <v>30</v>
      </c>
      <c r="U79" s="57">
        <v>105</v>
      </c>
      <c r="V79" s="62">
        <f t="shared" si="5"/>
        <v>3150</v>
      </c>
      <c r="W79" s="36">
        <v>4</v>
      </c>
      <c r="X79" s="57" t="s">
        <v>46</v>
      </c>
      <c r="Y79" s="57" t="s">
        <v>55</v>
      </c>
      <c r="Z79" s="57" t="s">
        <v>69</v>
      </c>
      <c r="AA79" s="57" t="s">
        <v>47</v>
      </c>
      <c r="AB79" s="57" t="s">
        <v>185</v>
      </c>
    </row>
    <row r="80" spans="1:28" x14ac:dyDescent="0.15">
      <c r="A80" s="57" t="s">
        <v>41</v>
      </c>
      <c r="B80" s="58" t="s">
        <v>157</v>
      </c>
      <c r="C80" s="59">
        <v>2019</v>
      </c>
      <c r="D80" s="60" t="s">
        <v>166</v>
      </c>
      <c r="E80" s="57" t="s">
        <v>201</v>
      </c>
      <c r="F80" s="36" t="s">
        <v>202</v>
      </c>
      <c r="G80" s="57" t="s">
        <v>42</v>
      </c>
      <c r="H80" s="57" t="s">
        <v>160</v>
      </c>
      <c r="I80" s="57" t="s">
        <v>159</v>
      </c>
      <c r="J80" s="57" t="s">
        <v>38</v>
      </c>
      <c r="K80" s="57" t="s">
        <v>161</v>
      </c>
      <c r="L80" s="57">
        <v>1</v>
      </c>
      <c r="M80" s="57"/>
      <c r="N80" s="57">
        <v>3</v>
      </c>
      <c r="O80" s="57">
        <v>0.25</v>
      </c>
      <c r="P80" s="57">
        <v>0.25</v>
      </c>
      <c r="Q80" s="75">
        <f t="shared" si="3"/>
        <v>0.25</v>
      </c>
      <c r="R80" s="36">
        <v>14.7</v>
      </c>
      <c r="S80" s="36">
        <v>147</v>
      </c>
      <c r="T80" s="62">
        <f t="shared" si="4"/>
        <v>22</v>
      </c>
      <c r="U80" s="57">
        <v>429</v>
      </c>
      <c r="V80" s="62">
        <f t="shared" si="5"/>
        <v>3146</v>
      </c>
      <c r="W80" s="57">
        <v>2</v>
      </c>
      <c r="X80" s="57" t="s">
        <v>46</v>
      </c>
      <c r="Y80" s="57" t="s">
        <v>55</v>
      </c>
      <c r="Z80" s="57" t="s">
        <v>69</v>
      </c>
      <c r="AA80" s="57" t="s">
        <v>47</v>
      </c>
      <c r="AB80" s="57" t="s">
        <v>185</v>
      </c>
    </row>
    <row r="81" spans="1:34" x14ac:dyDescent="0.15">
      <c r="A81" s="57" t="s">
        <v>41</v>
      </c>
      <c r="B81" s="58" t="s">
        <v>157</v>
      </c>
      <c r="C81" s="59">
        <v>2019</v>
      </c>
      <c r="D81" s="60" t="s">
        <v>166</v>
      </c>
      <c r="E81" s="57" t="s">
        <v>201</v>
      </c>
      <c r="F81" s="36" t="s">
        <v>202</v>
      </c>
      <c r="G81" s="57" t="s">
        <v>42</v>
      </c>
      <c r="H81" s="57" t="s">
        <v>160</v>
      </c>
      <c r="I81" s="57" t="s">
        <v>159</v>
      </c>
      <c r="J81" s="57" t="s">
        <v>38</v>
      </c>
      <c r="K81" s="57" t="s">
        <v>161</v>
      </c>
      <c r="L81" s="36">
        <v>2</v>
      </c>
      <c r="N81" s="57">
        <v>3</v>
      </c>
      <c r="O81" s="57">
        <v>0.3</v>
      </c>
      <c r="P81" s="57">
        <v>0.25</v>
      </c>
      <c r="Q81" s="75">
        <f t="shared" si="3"/>
        <v>0.27500000000000002</v>
      </c>
      <c r="R81" s="36">
        <v>14.4</v>
      </c>
      <c r="S81" s="36">
        <v>152</v>
      </c>
      <c r="T81" s="62">
        <f t="shared" si="4"/>
        <v>22</v>
      </c>
      <c r="U81" s="57">
        <v>429</v>
      </c>
      <c r="V81" s="62">
        <f t="shared" si="5"/>
        <v>3146</v>
      </c>
      <c r="W81" s="36">
        <v>2</v>
      </c>
      <c r="X81" s="57" t="s">
        <v>46</v>
      </c>
      <c r="Y81" s="57" t="s">
        <v>55</v>
      </c>
      <c r="Z81" s="57" t="s">
        <v>69</v>
      </c>
      <c r="AA81" s="57" t="s">
        <v>47</v>
      </c>
      <c r="AB81" s="57" t="s">
        <v>185</v>
      </c>
    </row>
    <row r="82" spans="1:34" x14ac:dyDescent="0.15">
      <c r="A82" s="57" t="s">
        <v>41</v>
      </c>
      <c r="B82" s="58" t="s">
        <v>157</v>
      </c>
      <c r="C82" s="59">
        <v>2019</v>
      </c>
      <c r="D82" s="60" t="s">
        <v>166</v>
      </c>
      <c r="E82" s="57" t="s">
        <v>201</v>
      </c>
      <c r="F82" s="36" t="s">
        <v>202</v>
      </c>
      <c r="G82" s="57" t="s">
        <v>42</v>
      </c>
      <c r="H82" s="57" t="s">
        <v>160</v>
      </c>
      <c r="I82" s="57" t="s">
        <v>159</v>
      </c>
      <c r="J82" s="57" t="s">
        <v>38</v>
      </c>
      <c r="K82" s="57" t="s">
        <v>161</v>
      </c>
      <c r="L82" s="36">
        <v>3</v>
      </c>
      <c r="N82" s="57">
        <v>3</v>
      </c>
      <c r="O82" s="57">
        <v>0.25</v>
      </c>
      <c r="P82" s="57">
        <v>0.25</v>
      </c>
      <c r="Q82" s="75">
        <f t="shared" si="3"/>
        <v>0.25</v>
      </c>
      <c r="R82" s="36">
        <v>13.5</v>
      </c>
      <c r="S82" s="36">
        <v>160</v>
      </c>
      <c r="T82" s="62">
        <f t="shared" si="4"/>
        <v>22</v>
      </c>
      <c r="U82" s="57">
        <v>429</v>
      </c>
      <c r="V82" s="62">
        <f t="shared" si="5"/>
        <v>3146</v>
      </c>
      <c r="W82" s="36">
        <v>2</v>
      </c>
      <c r="X82" s="57" t="s">
        <v>46</v>
      </c>
      <c r="Y82" s="57" t="s">
        <v>55</v>
      </c>
      <c r="Z82" s="57" t="s">
        <v>69</v>
      </c>
      <c r="AA82" s="57" t="s">
        <v>47</v>
      </c>
      <c r="AB82" s="57" t="s">
        <v>185</v>
      </c>
    </row>
    <row r="83" spans="1:34" x14ac:dyDescent="0.15">
      <c r="A83" s="57" t="s">
        <v>41</v>
      </c>
      <c r="B83" s="58" t="s">
        <v>157</v>
      </c>
      <c r="C83" s="59">
        <v>2019</v>
      </c>
      <c r="D83" s="60" t="s">
        <v>166</v>
      </c>
      <c r="E83" s="57" t="s">
        <v>201</v>
      </c>
      <c r="F83" s="36" t="s">
        <v>202</v>
      </c>
      <c r="G83" s="57" t="s">
        <v>42</v>
      </c>
      <c r="H83" s="57" t="s">
        <v>160</v>
      </c>
      <c r="I83" s="57" t="s">
        <v>159</v>
      </c>
      <c r="J83" s="57" t="s">
        <v>38</v>
      </c>
      <c r="K83" s="57" t="s">
        <v>161</v>
      </c>
      <c r="L83" s="57">
        <v>1</v>
      </c>
      <c r="M83" s="57"/>
      <c r="N83" s="57">
        <v>4</v>
      </c>
      <c r="O83" s="36">
        <v>0.5</v>
      </c>
      <c r="P83" s="36">
        <v>0.6</v>
      </c>
      <c r="Q83" s="75">
        <f t="shared" si="3"/>
        <v>0.55000000000000004</v>
      </c>
      <c r="R83" s="36">
        <v>14.2</v>
      </c>
      <c r="S83" s="36">
        <v>123</v>
      </c>
      <c r="T83" s="62">
        <f t="shared" si="4"/>
        <v>27</v>
      </c>
      <c r="U83" s="57">
        <v>410</v>
      </c>
      <c r="V83" s="62">
        <f t="shared" si="5"/>
        <v>2767.5</v>
      </c>
      <c r="W83" s="57">
        <v>2</v>
      </c>
      <c r="X83" s="57" t="s">
        <v>46</v>
      </c>
      <c r="Y83" s="57" t="s">
        <v>55</v>
      </c>
      <c r="Z83" s="57" t="s">
        <v>69</v>
      </c>
      <c r="AA83" s="57" t="s">
        <v>47</v>
      </c>
      <c r="AB83" s="57" t="s">
        <v>185</v>
      </c>
    </row>
    <row r="84" spans="1:34" x14ac:dyDescent="0.15">
      <c r="A84" s="57" t="s">
        <v>41</v>
      </c>
      <c r="B84" s="58" t="s">
        <v>157</v>
      </c>
      <c r="C84" s="59">
        <v>2019</v>
      </c>
      <c r="D84" s="60" t="s">
        <v>166</v>
      </c>
      <c r="E84" s="57" t="s">
        <v>201</v>
      </c>
      <c r="F84" s="36" t="s">
        <v>202</v>
      </c>
      <c r="G84" s="57" t="s">
        <v>42</v>
      </c>
      <c r="H84" s="57" t="s">
        <v>160</v>
      </c>
      <c r="I84" s="57" t="s">
        <v>159</v>
      </c>
      <c r="J84" s="57" t="s">
        <v>38</v>
      </c>
      <c r="K84" s="57" t="s">
        <v>161</v>
      </c>
      <c r="L84" s="36">
        <v>2</v>
      </c>
      <c r="N84" s="57">
        <v>4</v>
      </c>
      <c r="O84" s="36">
        <v>0.6</v>
      </c>
      <c r="P84" s="36">
        <v>0.55000000000000004</v>
      </c>
      <c r="Q84" s="75">
        <f t="shared" si="3"/>
        <v>0.57499999999999996</v>
      </c>
      <c r="R84" s="36">
        <v>14.7</v>
      </c>
      <c r="S84" s="36">
        <v>120</v>
      </c>
      <c r="T84" s="62">
        <f t="shared" si="4"/>
        <v>30</v>
      </c>
      <c r="U84" s="57">
        <v>410</v>
      </c>
      <c r="V84" s="62">
        <f t="shared" si="5"/>
        <v>3075</v>
      </c>
      <c r="W84" s="57">
        <v>2</v>
      </c>
      <c r="X84" s="57" t="s">
        <v>46</v>
      </c>
      <c r="Y84" s="57" t="s">
        <v>55</v>
      </c>
      <c r="Z84" s="57" t="s">
        <v>69</v>
      </c>
      <c r="AA84" s="57" t="s">
        <v>47</v>
      </c>
      <c r="AB84" s="57" t="s">
        <v>185</v>
      </c>
    </row>
    <row r="85" spans="1:34" x14ac:dyDescent="0.15">
      <c r="A85" s="57" t="s">
        <v>41</v>
      </c>
      <c r="B85" s="58" t="s">
        <v>157</v>
      </c>
      <c r="C85" s="59">
        <v>2019</v>
      </c>
      <c r="D85" s="60" t="s">
        <v>166</v>
      </c>
      <c r="E85" s="57" t="s">
        <v>201</v>
      </c>
      <c r="F85" s="36" t="s">
        <v>202</v>
      </c>
      <c r="G85" s="57" t="s">
        <v>42</v>
      </c>
      <c r="H85" s="57" t="s">
        <v>160</v>
      </c>
      <c r="I85" s="57" t="s">
        <v>159</v>
      </c>
      <c r="J85" s="57" t="s">
        <v>38</v>
      </c>
      <c r="K85" s="57" t="s">
        <v>161</v>
      </c>
      <c r="L85" s="36">
        <v>3</v>
      </c>
      <c r="N85" s="57">
        <v>4</v>
      </c>
      <c r="O85" s="36">
        <v>0.55000000000000004</v>
      </c>
      <c r="P85" s="36">
        <v>0.4</v>
      </c>
      <c r="Q85" s="75">
        <f t="shared" si="3"/>
        <v>0.47500000000000003</v>
      </c>
      <c r="R85" s="36">
        <v>15.7</v>
      </c>
      <c r="S85" s="36">
        <v>120</v>
      </c>
      <c r="T85" s="62">
        <f t="shared" si="4"/>
        <v>30</v>
      </c>
      <c r="U85" s="57">
        <v>410</v>
      </c>
      <c r="V85" s="62">
        <f t="shared" si="5"/>
        <v>3075</v>
      </c>
      <c r="W85" s="36">
        <v>2</v>
      </c>
      <c r="X85" s="57" t="s">
        <v>46</v>
      </c>
      <c r="Y85" s="57" t="s">
        <v>55</v>
      </c>
      <c r="Z85" s="57" t="s">
        <v>69</v>
      </c>
      <c r="AA85" s="57" t="s">
        <v>47</v>
      </c>
      <c r="AB85" s="57" t="s">
        <v>185</v>
      </c>
    </row>
    <row r="86" spans="1:34" x14ac:dyDescent="0.15">
      <c r="A86" s="57" t="s">
        <v>41</v>
      </c>
      <c r="B86" s="58" t="s">
        <v>157</v>
      </c>
      <c r="C86" s="59">
        <v>2019</v>
      </c>
      <c r="D86" s="60" t="s">
        <v>166</v>
      </c>
      <c r="E86" s="57" t="s">
        <v>201</v>
      </c>
      <c r="F86" s="36" t="s">
        <v>208</v>
      </c>
      <c r="G86" s="57" t="s">
        <v>42</v>
      </c>
      <c r="H86" s="57" t="s">
        <v>186</v>
      </c>
      <c r="I86" s="57" t="s">
        <v>159</v>
      </c>
      <c r="J86" s="57" t="s">
        <v>80</v>
      </c>
      <c r="K86" s="57" t="s">
        <v>68</v>
      </c>
      <c r="L86" s="57">
        <v>1</v>
      </c>
      <c r="M86" s="57"/>
      <c r="N86" s="57">
        <v>1</v>
      </c>
      <c r="O86" s="57">
        <v>0.5</v>
      </c>
      <c r="P86" s="57">
        <v>0.65</v>
      </c>
      <c r="Q86" s="75">
        <f t="shared" si="3"/>
        <v>0.57499999999999996</v>
      </c>
      <c r="R86" s="36">
        <v>13</v>
      </c>
      <c r="S86" s="36">
        <v>128</v>
      </c>
      <c r="T86" s="62">
        <f t="shared" si="4"/>
        <v>27</v>
      </c>
      <c r="U86" s="57">
        <v>105</v>
      </c>
      <c r="V86" s="62">
        <f t="shared" si="5"/>
        <v>2835</v>
      </c>
      <c r="W86" s="57">
        <v>1</v>
      </c>
      <c r="X86" s="57" t="s">
        <v>46</v>
      </c>
      <c r="Y86" s="57" t="s">
        <v>40</v>
      </c>
      <c r="Z86" s="57" t="s">
        <v>69</v>
      </c>
      <c r="AA86" s="57" t="s">
        <v>47</v>
      </c>
      <c r="AB86" s="57" t="s">
        <v>185</v>
      </c>
    </row>
    <row r="87" spans="1:34" x14ac:dyDescent="0.15">
      <c r="A87" s="57" t="s">
        <v>41</v>
      </c>
      <c r="B87" s="58" t="s">
        <v>157</v>
      </c>
      <c r="C87" s="59">
        <v>2019</v>
      </c>
      <c r="D87" s="60" t="s">
        <v>166</v>
      </c>
      <c r="E87" s="57" t="s">
        <v>201</v>
      </c>
      <c r="F87" s="36" t="s">
        <v>208</v>
      </c>
      <c r="G87" s="57" t="s">
        <v>42</v>
      </c>
      <c r="H87" s="57" t="s">
        <v>186</v>
      </c>
      <c r="I87" s="57" t="s">
        <v>159</v>
      </c>
      <c r="J87" s="57" t="s">
        <v>80</v>
      </c>
      <c r="K87" s="57" t="s">
        <v>68</v>
      </c>
      <c r="L87" s="36">
        <v>2</v>
      </c>
      <c r="N87" s="57">
        <v>1</v>
      </c>
      <c r="O87" s="57">
        <v>0.45</v>
      </c>
      <c r="P87" s="57">
        <v>0.6</v>
      </c>
      <c r="Q87" s="75">
        <f t="shared" si="3"/>
        <v>0.52500000000000002</v>
      </c>
      <c r="R87" s="36">
        <v>12</v>
      </c>
      <c r="S87" s="36">
        <v>125</v>
      </c>
      <c r="T87" s="62">
        <f t="shared" si="4"/>
        <v>27</v>
      </c>
      <c r="U87" s="57">
        <v>105</v>
      </c>
      <c r="V87" s="62">
        <f t="shared" si="5"/>
        <v>2835</v>
      </c>
      <c r="W87" s="36">
        <v>1</v>
      </c>
      <c r="X87" s="57" t="s">
        <v>46</v>
      </c>
      <c r="Y87" s="57" t="s">
        <v>40</v>
      </c>
      <c r="Z87" s="57" t="s">
        <v>69</v>
      </c>
      <c r="AA87" s="57" t="s">
        <v>47</v>
      </c>
      <c r="AB87" s="57" t="s">
        <v>185</v>
      </c>
    </row>
    <row r="88" spans="1:34" x14ac:dyDescent="0.15">
      <c r="A88" s="57" t="s">
        <v>41</v>
      </c>
      <c r="B88" s="58" t="s">
        <v>157</v>
      </c>
      <c r="C88" s="59">
        <v>2019</v>
      </c>
      <c r="D88" s="60" t="s">
        <v>166</v>
      </c>
      <c r="E88" s="57" t="s">
        <v>201</v>
      </c>
      <c r="F88" s="36" t="s">
        <v>208</v>
      </c>
      <c r="G88" s="57" t="s">
        <v>42</v>
      </c>
      <c r="H88" s="57" t="s">
        <v>186</v>
      </c>
      <c r="I88" s="57" t="s">
        <v>159</v>
      </c>
      <c r="J88" s="57" t="s">
        <v>80</v>
      </c>
      <c r="K88" s="57" t="s">
        <v>68</v>
      </c>
      <c r="L88" s="36">
        <v>3</v>
      </c>
      <c r="N88" s="57">
        <v>1</v>
      </c>
      <c r="O88" s="57">
        <v>0.7</v>
      </c>
      <c r="P88" s="57">
        <v>0.65</v>
      </c>
      <c r="Q88" s="75">
        <f t="shared" si="3"/>
        <v>0.67500000000000004</v>
      </c>
      <c r="R88" s="36">
        <v>13.8</v>
      </c>
      <c r="S88" s="36">
        <v>123</v>
      </c>
      <c r="T88" s="62">
        <f t="shared" si="4"/>
        <v>27</v>
      </c>
      <c r="U88" s="57">
        <v>105</v>
      </c>
      <c r="V88" s="62">
        <f t="shared" si="5"/>
        <v>2835</v>
      </c>
      <c r="W88" s="36">
        <v>1</v>
      </c>
      <c r="X88" s="57" t="s">
        <v>46</v>
      </c>
      <c r="Y88" s="57" t="s">
        <v>40</v>
      </c>
      <c r="Z88" s="57" t="s">
        <v>69</v>
      </c>
      <c r="AA88" s="57" t="s">
        <v>47</v>
      </c>
      <c r="AB88" s="57" t="s">
        <v>185</v>
      </c>
    </row>
    <row r="89" spans="1:34" x14ac:dyDescent="0.15">
      <c r="A89" s="57" t="s">
        <v>41</v>
      </c>
      <c r="B89" s="58" t="s">
        <v>157</v>
      </c>
      <c r="C89" s="59">
        <v>2019</v>
      </c>
      <c r="D89" s="60" t="s">
        <v>166</v>
      </c>
      <c r="E89" s="57" t="s">
        <v>201</v>
      </c>
      <c r="F89" s="36" t="s">
        <v>208</v>
      </c>
      <c r="G89" s="57" t="s">
        <v>42</v>
      </c>
      <c r="H89" s="57" t="s">
        <v>160</v>
      </c>
      <c r="I89" s="57" t="s">
        <v>159</v>
      </c>
      <c r="J89" s="57" t="s">
        <v>38</v>
      </c>
      <c r="K89" s="57" t="s">
        <v>161</v>
      </c>
      <c r="L89" s="57">
        <v>1</v>
      </c>
      <c r="M89" s="57"/>
      <c r="N89" s="57">
        <v>1</v>
      </c>
      <c r="O89" s="36">
        <v>0.65</v>
      </c>
      <c r="P89" s="36">
        <v>0.7</v>
      </c>
      <c r="Q89" s="75">
        <f t="shared" si="3"/>
        <v>0.67500000000000004</v>
      </c>
      <c r="R89" s="36">
        <v>13.7</v>
      </c>
      <c r="S89" s="36">
        <v>124</v>
      </c>
      <c r="T89" s="62">
        <f t="shared" si="4"/>
        <v>27</v>
      </c>
      <c r="U89" s="57">
        <v>105</v>
      </c>
      <c r="V89" s="62">
        <f t="shared" si="5"/>
        <v>2835</v>
      </c>
      <c r="W89" s="57">
        <v>2</v>
      </c>
      <c r="X89" s="57" t="s">
        <v>46</v>
      </c>
      <c r="Y89" s="57" t="s">
        <v>40</v>
      </c>
      <c r="Z89" s="57" t="s">
        <v>69</v>
      </c>
      <c r="AA89" s="57" t="s">
        <v>47</v>
      </c>
      <c r="AB89" s="57" t="s">
        <v>185</v>
      </c>
    </row>
    <row r="90" spans="1:34" x14ac:dyDescent="0.15">
      <c r="A90" s="57" t="s">
        <v>41</v>
      </c>
      <c r="B90" s="58" t="s">
        <v>157</v>
      </c>
      <c r="C90" s="59">
        <v>2019</v>
      </c>
      <c r="D90" s="60" t="s">
        <v>166</v>
      </c>
      <c r="E90" s="57" t="s">
        <v>201</v>
      </c>
      <c r="F90" s="36" t="s">
        <v>208</v>
      </c>
      <c r="G90" s="57" t="s">
        <v>42</v>
      </c>
      <c r="H90" s="57" t="s">
        <v>160</v>
      </c>
      <c r="I90" s="57" t="s">
        <v>159</v>
      </c>
      <c r="J90" s="57" t="s">
        <v>38</v>
      </c>
      <c r="K90" s="57" t="s">
        <v>161</v>
      </c>
      <c r="L90" s="36">
        <v>2</v>
      </c>
      <c r="N90" s="57">
        <v>1</v>
      </c>
      <c r="O90" s="36">
        <v>0.5</v>
      </c>
      <c r="P90" s="36">
        <v>0.6</v>
      </c>
      <c r="Q90" s="75">
        <f t="shared" si="3"/>
        <v>0.55000000000000004</v>
      </c>
      <c r="R90" s="36">
        <v>14.7</v>
      </c>
      <c r="S90" s="36">
        <v>123</v>
      </c>
      <c r="T90" s="62">
        <f t="shared" si="4"/>
        <v>27</v>
      </c>
      <c r="U90" s="57">
        <v>105</v>
      </c>
      <c r="V90" s="62">
        <f t="shared" si="5"/>
        <v>2835</v>
      </c>
      <c r="W90" s="57">
        <v>2</v>
      </c>
      <c r="X90" s="57" t="s">
        <v>46</v>
      </c>
      <c r="Y90" s="57" t="s">
        <v>40</v>
      </c>
      <c r="Z90" s="57" t="s">
        <v>69</v>
      </c>
      <c r="AA90" s="57" t="s">
        <v>47</v>
      </c>
      <c r="AB90" s="57" t="s">
        <v>185</v>
      </c>
    </row>
    <row r="91" spans="1:34" x14ac:dyDescent="0.15">
      <c r="A91" s="57" t="s">
        <v>41</v>
      </c>
      <c r="B91" s="58" t="s">
        <v>157</v>
      </c>
      <c r="C91" s="59">
        <v>2019</v>
      </c>
      <c r="D91" s="60" t="s">
        <v>166</v>
      </c>
      <c r="E91" s="57" t="s">
        <v>201</v>
      </c>
      <c r="F91" s="36" t="s">
        <v>208</v>
      </c>
      <c r="G91" s="57" t="s">
        <v>42</v>
      </c>
      <c r="H91" s="57" t="s">
        <v>160</v>
      </c>
      <c r="I91" s="57" t="s">
        <v>159</v>
      </c>
      <c r="J91" s="57" t="s">
        <v>38</v>
      </c>
      <c r="K91" s="57" t="s">
        <v>161</v>
      </c>
      <c r="L91" s="36">
        <v>3</v>
      </c>
      <c r="N91" s="57">
        <v>1</v>
      </c>
      <c r="O91" s="36">
        <v>0.4</v>
      </c>
      <c r="P91" s="36">
        <v>0.55000000000000004</v>
      </c>
      <c r="Q91" s="75">
        <f t="shared" si="3"/>
        <v>0.47500000000000003</v>
      </c>
      <c r="R91" s="36">
        <v>17</v>
      </c>
      <c r="S91" s="36">
        <v>122</v>
      </c>
      <c r="T91" s="62">
        <f t="shared" si="4"/>
        <v>27</v>
      </c>
      <c r="U91" s="57">
        <v>105</v>
      </c>
      <c r="V91" s="62">
        <f t="shared" si="5"/>
        <v>2835</v>
      </c>
      <c r="W91" s="36">
        <v>2</v>
      </c>
      <c r="X91" s="57" t="s">
        <v>46</v>
      </c>
      <c r="Y91" s="57" t="s">
        <v>40</v>
      </c>
      <c r="Z91" s="57" t="s">
        <v>69</v>
      </c>
      <c r="AA91" s="57" t="s">
        <v>47</v>
      </c>
      <c r="AB91" s="57" t="s">
        <v>185</v>
      </c>
    </row>
    <row r="92" spans="1:34" x14ac:dyDescent="0.15">
      <c r="A92" s="57" t="s">
        <v>41</v>
      </c>
      <c r="B92" s="58" t="s">
        <v>157</v>
      </c>
      <c r="C92" s="59">
        <v>2019</v>
      </c>
      <c r="D92" s="60" t="s">
        <v>166</v>
      </c>
      <c r="E92" s="57" t="s">
        <v>201</v>
      </c>
      <c r="F92" s="36" t="s">
        <v>208</v>
      </c>
      <c r="G92" s="57" t="s">
        <v>42</v>
      </c>
      <c r="H92" s="57" t="s">
        <v>160</v>
      </c>
      <c r="I92" s="57" t="s">
        <v>159</v>
      </c>
      <c r="J92" s="57" t="s">
        <v>38</v>
      </c>
      <c r="K92" s="57" t="s">
        <v>161</v>
      </c>
      <c r="L92" s="57">
        <v>1</v>
      </c>
      <c r="M92" s="57"/>
      <c r="N92" s="57">
        <v>3</v>
      </c>
      <c r="O92" s="57">
        <v>0.25</v>
      </c>
      <c r="P92" s="57">
        <v>0.3</v>
      </c>
      <c r="Q92" s="75">
        <f t="shared" si="3"/>
        <v>0.27500000000000002</v>
      </c>
      <c r="R92" s="36">
        <v>16.8</v>
      </c>
      <c r="S92" s="36">
        <v>150</v>
      </c>
      <c r="T92" s="62">
        <f t="shared" si="4"/>
        <v>22</v>
      </c>
      <c r="U92" s="57">
        <v>429</v>
      </c>
      <c r="V92" s="62">
        <f t="shared" si="5"/>
        <v>3146</v>
      </c>
      <c r="W92" s="57">
        <v>2</v>
      </c>
      <c r="X92" s="57" t="s">
        <v>46</v>
      </c>
      <c r="Y92" s="57" t="s">
        <v>40</v>
      </c>
      <c r="Z92" s="57" t="s">
        <v>69</v>
      </c>
      <c r="AA92" s="57" t="s">
        <v>47</v>
      </c>
      <c r="AB92" s="57" t="s">
        <v>185</v>
      </c>
    </row>
    <row r="93" spans="1:34" x14ac:dyDescent="0.15">
      <c r="A93" s="57" t="s">
        <v>41</v>
      </c>
      <c r="B93" s="58" t="s">
        <v>157</v>
      </c>
      <c r="C93" s="59">
        <v>2019</v>
      </c>
      <c r="D93" s="60" t="s">
        <v>166</v>
      </c>
      <c r="E93" s="57" t="s">
        <v>201</v>
      </c>
      <c r="F93" s="36" t="s">
        <v>208</v>
      </c>
      <c r="G93" s="57" t="s">
        <v>42</v>
      </c>
      <c r="H93" s="57" t="s">
        <v>160</v>
      </c>
      <c r="I93" s="57" t="s">
        <v>159</v>
      </c>
      <c r="J93" s="57" t="s">
        <v>38</v>
      </c>
      <c r="K93" s="57" t="s">
        <v>161</v>
      </c>
      <c r="L93" s="36">
        <v>2</v>
      </c>
      <c r="N93" s="57">
        <v>3</v>
      </c>
      <c r="O93" s="57">
        <v>0.3</v>
      </c>
      <c r="P93" s="57">
        <v>0.3</v>
      </c>
      <c r="Q93" s="75">
        <f t="shared" si="3"/>
        <v>0.3</v>
      </c>
      <c r="R93" s="36">
        <v>14.8</v>
      </c>
      <c r="S93" s="36">
        <v>157</v>
      </c>
      <c r="T93" s="62">
        <f t="shared" si="4"/>
        <v>22</v>
      </c>
      <c r="U93" s="57">
        <v>429</v>
      </c>
      <c r="V93" s="62">
        <f t="shared" si="5"/>
        <v>3146</v>
      </c>
      <c r="W93" s="36">
        <v>2</v>
      </c>
      <c r="X93" s="57" t="s">
        <v>46</v>
      </c>
      <c r="Y93" s="57" t="s">
        <v>40</v>
      </c>
      <c r="Z93" s="57" t="s">
        <v>69</v>
      </c>
      <c r="AA93" s="57" t="s">
        <v>47</v>
      </c>
      <c r="AB93" s="57" t="s">
        <v>185</v>
      </c>
    </row>
    <row r="94" spans="1:34" x14ac:dyDescent="0.15">
      <c r="A94" s="57" t="s">
        <v>41</v>
      </c>
      <c r="B94" s="58" t="s">
        <v>157</v>
      </c>
      <c r="C94" s="59">
        <v>2019</v>
      </c>
      <c r="D94" s="60" t="s">
        <v>166</v>
      </c>
      <c r="E94" s="57" t="s">
        <v>201</v>
      </c>
      <c r="F94" s="36" t="s">
        <v>208</v>
      </c>
      <c r="G94" s="57" t="s">
        <v>42</v>
      </c>
      <c r="H94" s="57" t="s">
        <v>160</v>
      </c>
      <c r="I94" s="57" t="s">
        <v>159</v>
      </c>
      <c r="J94" s="57" t="s">
        <v>38</v>
      </c>
      <c r="K94" s="57" t="s">
        <v>161</v>
      </c>
      <c r="L94" s="36">
        <v>3</v>
      </c>
      <c r="N94" s="57">
        <v>3</v>
      </c>
      <c r="O94" s="57">
        <v>0.3</v>
      </c>
      <c r="P94" s="57">
        <v>0.25</v>
      </c>
      <c r="Q94" s="75">
        <f t="shared" si="3"/>
        <v>0.27500000000000002</v>
      </c>
      <c r="R94" s="36">
        <v>15.3</v>
      </c>
      <c r="S94" s="36">
        <v>159</v>
      </c>
      <c r="T94" s="62">
        <f t="shared" si="4"/>
        <v>22</v>
      </c>
      <c r="U94" s="57">
        <v>429</v>
      </c>
      <c r="V94" s="62">
        <f t="shared" si="5"/>
        <v>3146</v>
      </c>
      <c r="W94" s="36">
        <v>2</v>
      </c>
      <c r="X94" s="57" t="s">
        <v>46</v>
      </c>
      <c r="Y94" s="57" t="s">
        <v>40</v>
      </c>
      <c r="Z94" s="57" t="s">
        <v>69</v>
      </c>
      <c r="AA94" s="57" t="s">
        <v>47</v>
      </c>
      <c r="AB94" s="57" t="s">
        <v>185</v>
      </c>
    </row>
    <row r="95" spans="1:34" x14ac:dyDescent="0.15">
      <c r="A95" s="57" t="s">
        <v>41</v>
      </c>
      <c r="B95" s="58" t="s">
        <v>157</v>
      </c>
      <c r="C95" s="59">
        <v>2019</v>
      </c>
      <c r="D95" s="60" t="s">
        <v>166</v>
      </c>
      <c r="E95" s="57" t="s">
        <v>201</v>
      </c>
      <c r="F95" s="36" t="s">
        <v>208</v>
      </c>
      <c r="G95" s="57" t="s">
        <v>42</v>
      </c>
      <c r="H95" s="57" t="s">
        <v>160</v>
      </c>
      <c r="I95" s="57" t="s">
        <v>159</v>
      </c>
      <c r="J95" s="57" t="s">
        <v>38</v>
      </c>
      <c r="K95" s="57" t="s">
        <v>161</v>
      </c>
      <c r="L95" s="57">
        <v>1</v>
      </c>
      <c r="M95" s="57"/>
      <c r="N95" s="57">
        <v>4</v>
      </c>
      <c r="O95" s="36">
        <v>0.5</v>
      </c>
      <c r="P95" s="36">
        <v>0.45</v>
      </c>
      <c r="Q95" s="75">
        <f t="shared" si="3"/>
        <v>0.47499999999999998</v>
      </c>
      <c r="R95" s="36">
        <v>14</v>
      </c>
      <c r="S95" s="36">
        <v>122</v>
      </c>
      <c r="T95" s="62">
        <f t="shared" si="4"/>
        <v>27</v>
      </c>
      <c r="U95" s="57">
        <v>518</v>
      </c>
      <c r="V95" s="62">
        <f t="shared" si="5"/>
        <v>3496.5</v>
      </c>
      <c r="W95" s="57">
        <v>2</v>
      </c>
      <c r="X95" s="57" t="s">
        <v>46</v>
      </c>
      <c r="Y95" s="57" t="s">
        <v>40</v>
      </c>
      <c r="Z95" s="57" t="s">
        <v>69</v>
      </c>
      <c r="AA95" s="57" t="s">
        <v>47</v>
      </c>
      <c r="AB95" s="57" t="s">
        <v>185</v>
      </c>
      <c r="AC95" s="88"/>
      <c r="AD95" s="88"/>
      <c r="AE95" s="88"/>
      <c r="AF95" s="88"/>
      <c r="AG95" s="88"/>
      <c r="AH95" s="88"/>
    </row>
    <row r="96" spans="1:34" x14ac:dyDescent="0.15">
      <c r="A96" s="57" t="s">
        <v>41</v>
      </c>
      <c r="B96" s="58" t="s">
        <v>157</v>
      </c>
      <c r="C96" s="59">
        <v>2019</v>
      </c>
      <c r="D96" s="60" t="s">
        <v>166</v>
      </c>
      <c r="E96" s="57" t="s">
        <v>201</v>
      </c>
      <c r="F96" s="36" t="s">
        <v>208</v>
      </c>
      <c r="G96" s="57" t="s">
        <v>42</v>
      </c>
      <c r="H96" s="57" t="s">
        <v>160</v>
      </c>
      <c r="I96" s="57" t="s">
        <v>159</v>
      </c>
      <c r="J96" s="57" t="s">
        <v>38</v>
      </c>
      <c r="K96" s="57" t="s">
        <v>161</v>
      </c>
      <c r="L96" s="36">
        <v>2</v>
      </c>
      <c r="N96" s="57">
        <v>4</v>
      </c>
      <c r="O96" s="36">
        <v>0.45</v>
      </c>
      <c r="P96" s="36">
        <v>0.6</v>
      </c>
      <c r="Q96" s="75">
        <f t="shared" si="3"/>
        <v>0.52500000000000002</v>
      </c>
      <c r="R96" s="36">
        <v>16.3</v>
      </c>
      <c r="S96" s="36">
        <v>120</v>
      </c>
      <c r="T96" s="62">
        <f t="shared" si="4"/>
        <v>30</v>
      </c>
      <c r="U96" s="57">
        <v>518</v>
      </c>
      <c r="V96" s="62">
        <f t="shared" si="5"/>
        <v>3885</v>
      </c>
      <c r="W96" s="57">
        <v>2</v>
      </c>
      <c r="X96" s="57" t="s">
        <v>46</v>
      </c>
      <c r="Y96" s="57" t="s">
        <v>40</v>
      </c>
      <c r="Z96" s="57" t="s">
        <v>69</v>
      </c>
      <c r="AA96" s="57" t="s">
        <v>47</v>
      </c>
      <c r="AB96" s="57" t="s">
        <v>185</v>
      </c>
      <c r="AC96" s="88"/>
      <c r="AD96" s="88"/>
      <c r="AE96" s="88"/>
      <c r="AF96" s="88"/>
      <c r="AG96" s="88"/>
      <c r="AH96" s="88"/>
    </row>
    <row r="97" spans="1:34" x14ac:dyDescent="0.15">
      <c r="A97" s="57" t="s">
        <v>41</v>
      </c>
      <c r="B97" s="58" t="s">
        <v>157</v>
      </c>
      <c r="C97" s="59">
        <v>2019</v>
      </c>
      <c r="D97" s="60" t="s">
        <v>166</v>
      </c>
      <c r="E97" s="57" t="s">
        <v>201</v>
      </c>
      <c r="F97" s="36" t="s">
        <v>208</v>
      </c>
      <c r="G97" s="57" t="s">
        <v>42</v>
      </c>
      <c r="H97" s="57" t="s">
        <v>160</v>
      </c>
      <c r="I97" s="57" t="s">
        <v>159</v>
      </c>
      <c r="J97" s="57" t="s">
        <v>38</v>
      </c>
      <c r="K97" s="57" t="s">
        <v>161</v>
      </c>
      <c r="L97" s="36">
        <v>3</v>
      </c>
      <c r="N97" s="57">
        <v>4</v>
      </c>
      <c r="O97" s="36">
        <v>0.6</v>
      </c>
      <c r="P97" s="36">
        <v>0.4</v>
      </c>
      <c r="Q97" s="75">
        <f t="shared" si="3"/>
        <v>0.5</v>
      </c>
      <c r="R97" s="36">
        <v>15.3</v>
      </c>
      <c r="S97" s="36">
        <v>121</v>
      </c>
      <c r="T97" s="62">
        <f t="shared" si="4"/>
        <v>27</v>
      </c>
      <c r="U97" s="57">
        <v>518</v>
      </c>
      <c r="V97" s="62">
        <f t="shared" si="5"/>
        <v>3496.5</v>
      </c>
      <c r="W97" s="36">
        <v>2</v>
      </c>
      <c r="X97" s="57" t="s">
        <v>46</v>
      </c>
      <c r="Y97" s="57" t="s">
        <v>40</v>
      </c>
      <c r="Z97" s="57" t="s">
        <v>69</v>
      </c>
      <c r="AA97" s="57" t="s">
        <v>47</v>
      </c>
      <c r="AB97" s="57" t="s">
        <v>185</v>
      </c>
      <c r="AC97" s="88"/>
      <c r="AD97" s="88"/>
      <c r="AE97" s="88"/>
      <c r="AF97" s="88"/>
      <c r="AG97" s="88"/>
      <c r="AH97" s="88"/>
    </row>
    <row r="98" spans="1:34" x14ac:dyDescent="0.15">
      <c r="A98" s="57" t="s">
        <v>41</v>
      </c>
      <c r="B98" s="58" t="s">
        <v>157</v>
      </c>
      <c r="C98" s="59">
        <v>2019</v>
      </c>
      <c r="D98" s="60" t="s">
        <v>166</v>
      </c>
      <c r="E98" s="57" t="s">
        <v>204</v>
      </c>
      <c r="F98" s="36" t="s">
        <v>205</v>
      </c>
      <c r="G98" s="57" t="s">
        <v>42</v>
      </c>
      <c r="H98" s="57" t="s">
        <v>186</v>
      </c>
      <c r="I98" s="57" t="s">
        <v>159</v>
      </c>
      <c r="J98" s="57" t="s">
        <v>53</v>
      </c>
      <c r="K98" s="57" t="s">
        <v>54</v>
      </c>
      <c r="L98" s="57">
        <v>1</v>
      </c>
      <c r="M98" s="57"/>
      <c r="N98" s="57">
        <v>6</v>
      </c>
      <c r="O98" s="57">
        <v>0.75</v>
      </c>
      <c r="P98" s="57">
        <v>0.6</v>
      </c>
      <c r="Q98" s="75">
        <f t="shared" si="3"/>
        <v>0.67500000000000004</v>
      </c>
      <c r="R98" s="36">
        <v>13.5</v>
      </c>
      <c r="S98" s="36">
        <v>124</v>
      </c>
      <c r="T98" s="62">
        <f t="shared" si="4"/>
        <v>27</v>
      </c>
      <c r="U98" s="57">
        <v>537</v>
      </c>
      <c r="V98" s="62">
        <f t="shared" si="5"/>
        <v>2416.5</v>
      </c>
      <c r="W98" s="57">
        <v>2</v>
      </c>
      <c r="X98" s="57" t="s">
        <v>46</v>
      </c>
      <c r="Y98" s="57" t="s">
        <v>55</v>
      </c>
      <c r="Z98" s="57" t="s">
        <v>69</v>
      </c>
      <c r="AA98" s="57" t="s">
        <v>47</v>
      </c>
      <c r="AB98" s="57" t="s">
        <v>185</v>
      </c>
      <c r="AC98" s="88"/>
      <c r="AD98" s="88"/>
      <c r="AE98" s="88"/>
      <c r="AF98" s="88"/>
      <c r="AG98" s="88"/>
      <c r="AH98" s="88"/>
    </row>
    <row r="99" spans="1:34" x14ac:dyDescent="0.15">
      <c r="A99" s="57" t="s">
        <v>41</v>
      </c>
      <c r="B99" s="58" t="s">
        <v>157</v>
      </c>
      <c r="C99" s="59">
        <v>2019</v>
      </c>
      <c r="D99" s="60" t="s">
        <v>166</v>
      </c>
      <c r="E99" s="57" t="s">
        <v>204</v>
      </c>
      <c r="F99" s="36" t="s">
        <v>205</v>
      </c>
      <c r="G99" s="57" t="s">
        <v>42</v>
      </c>
      <c r="H99" s="57" t="s">
        <v>186</v>
      </c>
      <c r="I99" s="57" t="s">
        <v>159</v>
      </c>
      <c r="J99" s="57" t="s">
        <v>53</v>
      </c>
      <c r="K99" s="57" t="s">
        <v>54</v>
      </c>
      <c r="L99" s="36">
        <v>2</v>
      </c>
      <c r="N99" s="57">
        <v>6</v>
      </c>
      <c r="O99" s="57">
        <v>0.8</v>
      </c>
      <c r="P99" s="57">
        <v>0.65</v>
      </c>
      <c r="Q99" s="75">
        <f t="shared" si="3"/>
        <v>0.72500000000000009</v>
      </c>
      <c r="R99" s="36">
        <v>14.4</v>
      </c>
      <c r="S99" s="36">
        <v>127</v>
      </c>
      <c r="T99" s="62">
        <f t="shared" si="4"/>
        <v>27</v>
      </c>
      <c r="U99" s="57">
        <v>537</v>
      </c>
      <c r="V99" s="62">
        <f t="shared" si="5"/>
        <v>2416.5</v>
      </c>
      <c r="W99" s="36">
        <v>2</v>
      </c>
      <c r="X99" s="57" t="s">
        <v>46</v>
      </c>
      <c r="Y99" s="57" t="s">
        <v>55</v>
      </c>
      <c r="Z99" s="57" t="s">
        <v>69</v>
      </c>
      <c r="AA99" s="57" t="s">
        <v>47</v>
      </c>
      <c r="AB99" s="57" t="s">
        <v>185</v>
      </c>
      <c r="AC99" s="88"/>
      <c r="AD99" s="88"/>
      <c r="AE99" s="88"/>
      <c r="AF99" s="88"/>
      <c r="AG99" s="88"/>
      <c r="AH99" s="88"/>
    </row>
    <row r="100" spans="1:34" x14ac:dyDescent="0.15">
      <c r="A100" s="57" t="s">
        <v>41</v>
      </c>
      <c r="B100" s="58" t="s">
        <v>157</v>
      </c>
      <c r="C100" s="59">
        <v>2019</v>
      </c>
      <c r="D100" s="60" t="s">
        <v>166</v>
      </c>
      <c r="E100" s="57" t="s">
        <v>204</v>
      </c>
      <c r="F100" s="36" t="s">
        <v>205</v>
      </c>
      <c r="G100" s="57" t="s">
        <v>42</v>
      </c>
      <c r="H100" s="57" t="s">
        <v>186</v>
      </c>
      <c r="I100" s="57" t="s">
        <v>159</v>
      </c>
      <c r="J100" s="57" t="s">
        <v>53</v>
      </c>
      <c r="K100" s="57" t="s">
        <v>54</v>
      </c>
      <c r="L100" s="36">
        <v>3</v>
      </c>
      <c r="N100" s="57">
        <v>6</v>
      </c>
      <c r="O100" s="57">
        <v>0.75</v>
      </c>
      <c r="P100" s="57">
        <v>0.6</v>
      </c>
      <c r="Q100" s="75">
        <f t="shared" si="3"/>
        <v>0.67500000000000004</v>
      </c>
      <c r="R100" s="36">
        <v>14.8</v>
      </c>
      <c r="S100" s="36">
        <v>124</v>
      </c>
      <c r="T100" s="62">
        <f t="shared" si="4"/>
        <v>27</v>
      </c>
      <c r="U100" s="57">
        <v>537</v>
      </c>
      <c r="V100" s="62">
        <f t="shared" si="5"/>
        <v>2416.5</v>
      </c>
      <c r="W100" s="36">
        <v>2</v>
      </c>
      <c r="X100" s="57" t="s">
        <v>46</v>
      </c>
      <c r="Y100" s="57" t="s">
        <v>55</v>
      </c>
      <c r="Z100" s="57" t="s">
        <v>69</v>
      </c>
      <c r="AA100" s="57" t="s">
        <v>47</v>
      </c>
      <c r="AB100" s="57" t="s">
        <v>185</v>
      </c>
      <c r="AC100" s="88"/>
      <c r="AD100" s="88"/>
      <c r="AE100" s="88"/>
      <c r="AF100" s="88"/>
      <c r="AG100" s="88"/>
      <c r="AH100" s="88"/>
    </row>
    <row r="101" spans="1:34" x14ac:dyDescent="0.15">
      <c r="A101" s="57" t="s">
        <v>41</v>
      </c>
      <c r="B101" s="58" t="s">
        <v>157</v>
      </c>
      <c r="C101" s="59">
        <v>2019</v>
      </c>
      <c r="D101" s="60" t="s">
        <v>166</v>
      </c>
      <c r="E101" s="57" t="s">
        <v>204</v>
      </c>
      <c r="F101" s="36" t="s">
        <v>205</v>
      </c>
      <c r="G101" s="57" t="s">
        <v>42</v>
      </c>
      <c r="H101" s="57" t="s">
        <v>160</v>
      </c>
      <c r="I101" s="57" t="s">
        <v>159</v>
      </c>
      <c r="J101" s="57" t="s">
        <v>38</v>
      </c>
      <c r="K101" s="57" t="s">
        <v>161</v>
      </c>
      <c r="L101" s="57">
        <v>1</v>
      </c>
      <c r="M101" s="57"/>
      <c r="N101" s="57">
        <v>1</v>
      </c>
      <c r="O101" s="36">
        <v>0.3</v>
      </c>
      <c r="P101" s="36">
        <v>0.35</v>
      </c>
      <c r="Q101" s="75">
        <f t="shared" si="3"/>
        <v>0.32499999999999996</v>
      </c>
      <c r="R101" s="36">
        <v>16.2</v>
      </c>
      <c r="S101" s="36">
        <v>122</v>
      </c>
      <c r="T101" s="62">
        <f t="shared" si="4"/>
        <v>27</v>
      </c>
      <c r="U101" s="57">
        <v>105</v>
      </c>
      <c r="V101" s="62">
        <f t="shared" si="5"/>
        <v>2835</v>
      </c>
      <c r="W101" s="57">
        <v>4</v>
      </c>
      <c r="X101" s="57" t="s">
        <v>46</v>
      </c>
      <c r="Y101" s="57" t="s">
        <v>55</v>
      </c>
      <c r="Z101" s="57" t="s">
        <v>69</v>
      </c>
      <c r="AA101" s="57" t="s">
        <v>47</v>
      </c>
      <c r="AB101" s="57" t="s">
        <v>185</v>
      </c>
      <c r="AC101" s="88"/>
      <c r="AD101" s="88"/>
      <c r="AE101" s="88"/>
      <c r="AF101" s="88"/>
      <c r="AG101" s="88"/>
      <c r="AH101" s="88"/>
    </row>
    <row r="102" spans="1:34" x14ac:dyDescent="0.15">
      <c r="A102" s="57" t="s">
        <v>41</v>
      </c>
      <c r="B102" s="58" t="s">
        <v>157</v>
      </c>
      <c r="C102" s="59">
        <v>2019</v>
      </c>
      <c r="D102" s="60" t="s">
        <v>166</v>
      </c>
      <c r="E102" s="57" t="s">
        <v>204</v>
      </c>
      <c r="F102" s="36" t="s">
        <v>205</v>
      </c>
      <c r="G102" s="57" t="s">
        <v>42</v>
      </c>
      <c r="H102" s="57" t="s">
        <v>160</v>
      </c>
      <c r="I102" s="57" t="s">
        <v>159</v>
      </c>
      <c r="J102" s="57" t="s">
        <v>38</v>
      </c>
      <c r="K102" s="57" t="s">
        <v>161</v>
      </c>
      <c r="L102" s="36">
        <v>2</v>
      </c>
      <c r="N102" s="57">
        <v>1</v>
      </c>
      <c r="O102" s="36">
        <v>0.35</v>
      </c>
      <c r="P102" s="36">
        <v>0.4</v>
      </c>
      <c r="Q102" s="75">
        <f t="shared" si="3"/>
        <v>0.375</v>
      </c>
      <c r="R102" s="36">
        <v>14.3</v>
      </c>
      <c r="S102" s="36">
        <v>120</v>
      </c>
      <c r="T102" s="62">
        <f t="shared" si="4"/>
        <v>30</v>
      </c>
      <c r="U102" s="57">
        <v>105</v>
      </c>
      <c r="V102" s="62">
        <f t="shared" si="5"/>
        <v>3150</v>
      </c>
      <c r="W102" s="57">
        <v>4</v>
      </c>
      <c r="X102" s="57" t="s">
        <v>46</v>
      </c>
      <c r="Y102" s="57" t="s">
        <v>55</v>
      </c>
      <c r="Z102" s="57" t="s">
        <v>69</v>
      </c>
      <c r="AA102" s="57" t="s">
        <v>47</v>
      </c>
      <c r="AB102" s="57" t="s">
        <v>185</v>
      </c>
      <c r="AC102" s="88"/>
      <c r="AD102" s="88"/>
      <c r="AE102" s="88"/>
      <c r="AF102" s="88"/>
      <c r="AG102" s="88"/>
      <c r="AH102" s="88"/>
    </row>
    <row r="103" spans="1:34" x14ac:dyDescent="0.15">
      <c r="A103" s="57" t="s">
        <v>41</v>
      </c>
      <c r="B103" s="58" t="s">
        <v>157</v>
      </c>
      <c r="C103" s="59">
        <v>2019</v>
      </c>
      <c r="D103" s="60" t="s">
        <v>166</v>
      </c>
      <c r="E103" s="57" t="s">
        <v>204</v>
      </c>
      <c r="F103" s="36" t="s">
        <v>205</v>
      </c>
      <c r="G103" s="57" t="s">
        <v>42</v>
      </c>
      <c r="H103" s="57" t="s">
        <v>160</v>
      </c>
      <c r="I103" s="57" t="s">
        <v>159</v>
      </c>
      <c r="J103" s="57" t="s">
        <v>38</v>
      </c>
      <c r="K103" s="57" t="s">
        <v>161</v>
      </c>
      <c r="L103" s="36">
        <v>3</v>
      </c>
      <c r="N103" s="57">
        <v>1</v>
      </c>
      <c r="O103" s="36">
        <v>0.5</v>
      </c>
      <c r="P103" s="36">
        <v>0.35</v>
      </c>
      <c r="Q103" s="75">
        <f t="shared" si="3"/>
        <v>0.42499999999999999</v>
      </c>
      <c r="R103" s="36">
        <v>15.2</v>
      </c>
      <c r="S103" s="36">
        <v>124</v>
      </c>
      <c r="T103" s="62">
        <f t="shared" si="4"/>
        <v>27</v>
      </c>
      <c r="U103" s="57">
        <v>105</v>
      </c>
      <c r="V103" s="62">
        <f t="shared" si="5"/>
        <v>2835</v>
      </c>
      <c r="W103" s="36">
        <v>4</v>
      </c>
      <c r="X103" s="57" t="s">
        <v>46</v>
      </c>
      <c r="Y103" s="57" t="s">
        <v>55</v>
      </c>
      <c r="Z103" s="57" t="s">
        <v>69</v>
      </c>
      <c r="AA103" s="57" t="s">
        <v>47</v>
      </c>
      <c r="AB103" s="57" t="s">
        <v>185</v>
      </c>
      <c r="AC103" s="88"/>
      <c r="AD103" s="88"/>
      <c r="AE103" s="88"/>
      <c r="AF103" s="88"/>
      <c r="AG103" s="88"/>
      <c r="AH103" s="88"/>
    </row>
    <row r="104" spans="1:34" x14ac:dyDescent="0.15">
      <c r="A104" s="57" t="s">
        <v>41</v>
      </c>
      <c r="B104" s="58" t="s">
        <v>157</v>
      </c>
      <c r="C104" s="59">
        <v>2019</v>
      </c>
      <c r="D104" s="60" t="s">
        <v>166</v>
      </c>
      <c r="E104" s="57" t="s">
        <v>204</v>
      </c>
      <c r="F104" s="36" t="s">
        <v>205</v>
      </c>
      <c r="G104" s="57" t="s">
        <v>42</v>
      </c>
      <c r="H104" s="57" t="s">
        <v>160</v>
      </c>
      <c r="I104" s="57" t="s">
        <v>159</v>
      </c>
      <c r="J104" s="57" t="s">
        <v>38</v>
      </c>
      <c r="K104" s="57" t="s">
        <v>161</v>
      </c>
      <c r="L104" s="57">
        <v>1</v>
      </c>
      <c r="M104" s="57"/>
      <c r="N104" s="57">
        <v>1</v>
      </c>
      <c r="O104" s="57">
        <v>0.5</v>
      </c>
      <c r="P104" s="57">
        <v>0.35</v>
      </c>
      <c r="Q104" s="75">
        <f t="shared" si="3"/>
        <v>0.42499999999999999</v>
      </c>
      <c r="R104" s="36">
        <v>14.3</v>
      </c>
      <c r="S104" s="36">
        <v>163</v>
      </c>
      <c r="T104" s="62">
        <f t="shared" si="4"/>
        <v>22</v>
      </c>
      <c r="U104" s="57">
        <v>192</v>
      </c>
      <c r="V104" s="62">
        <f t="shared" si="5"/>
        <v>4224</v>
      </c>
      <c r="W104" s="57">
        <v>1</v>
      </c>
      <c r="X104" s="57" t="s">
        <v>46</v>
      </c>
      <c r="Y104" s="57" t="s">
        <v>55</v>
      </c>
      <c r="Z104" s="57" t="s">
        <v>69</v>
      </c>
      <c r="AA104" s="57" t="s">
        <v>47</v>
      </c>
      <c r="AB104" s="57" t="s">
        <v>185</v>
      </c>
      <c r="AC104" s="88"/>
      <c r="AD104" s="88"/>
      <c r="AE104" s="88"/>
      <c r="AF104" s="88"/>
      <c r="AG104" s="88"/>
      <c r="AH104" s="88"/>
    </row>
    <row r="105" spans="1:34" x14ac:dyDescent="0.15">
      <c r="A105" s="57" t="s">
        <v>41</v>
      </c>
      <c r="B105" s="58" t="s">
        <v>157</v>
      </c>
      <c r="C105" s="59">
        <v>2019</v>
      </c>
      <c r="D105" s="60" t="s">
        <v>166</v>
      </c>
      <c r="E105" s="57" t="s">
        <v>204</v>
      </c>
      <c r="F105" s="36" t="s">
        <v>205</v>
      </c>
      <c r="G105" s="57" t="s">
        <v>42</v>
      </c>
      <c r="H105" s="57" t="s">
        <v>160</v>
      </c>
      <c r="I105" s="57" t="s">
        <v>159</v>
      </c>
      <c r="J105" s="57" t="s">
        <v>38</v>
      </c>
      <c r="K105" s="57" t="s">
        <v>161</v>
      </c>
      <c r="L105" s="36">
        <v>2</v>
      </c>
      <c r="N105" s="57">
        <v>1</v>
      </c>
      <c r="O105" s="57">
        <v>0.4</v>
      </c>
      <c r="P105" s="57">
        <v>0.45</v>
      </c>
      <c r="Q105" s="75">
        <f t="shared" si="3"/>
        <v>0.42500000000000004</v>
      </c>
      <c r="R105" s="36">
        <v>13.2</v>
      </c>
      <c r="S105" s="36">
        <v>154</v>
      </c>
      <c r="T105" s="62">
        <f t="shared" si="4"/>
        <v>22</v>
      </c>
      <c r="U105" s="57">
        <v>192</v>
      </c>
      <c r="V105" s="62">
        <f t="shared" si="5"/>
        <v>4224</v>
      </c>
      <c r="W105" s="36">
        <v>1</v>
      </c>
      <c r="X105" s="57" t="s">
        <v>46</v>
      </c>
      <c r="Y105" s="57" t="s">
        <v>55</v>
      </c>
      <c r="Z105" s="57" t="s">
        <v>69</v>
      </c>
      <c r="AA105" s="57" t="s">
        <v>47</v>
      </c>
      <c r="AB105" s="57" t="s">
        <v>185</v>
      </c>
      <c r="AC105" s="88"/>
      <c r="AD105" s="88"/>
      <c r="AE105" s="88"/>
      <c r="AF105" s="88"/>
      <c r="AG105" s="88"/>
      <c r="AH105" s="88"/>
    </row>
    <row r="106" spans="1:34" x14ac:dyDescent="0.15">
      <c r="A106" s="57" t="s">
        <v>41</v>
      </c>
      <c r="B106" s="58" t="s">
        <v>157</v>
      </c>
      <c r="C106" s="59">
        <v>2019</v>
      </c>
      <c r="D106" s="60" t="s">
        <v>166</v>
      </c>
      <c r="E106" s="57" t="s">
        <v>204</v>
      </c>
      <c r="F106" s="36" t="s">
        <v>205</v>
      </c>
      <c r="G106" s="57" t="s">
        <v>42</v>
      </c>
      <c r="H106" s="57" t="s">
        <v>160</v>
      </c>
      <c r="I106" s="57" t="s">
        <v>159</v>
      </c>
      <c r="J106" s="57" t="s">
        <v>38</v>
      </c>
      <c r="K106" s="57" t="s">
        <v>161</v>
      </c>
      <c r="L106" s="36">
        <v>3</v>
      </c>
      <c r="N106" s="57">
        <v>1</v>
      </c>
      <c r="O106" s="57">
        <v>0.45</v>
      </c>
      <c r="P106" s="57">
        <v>0.5</v>
      </c>
      <c r="Q106" s="89">
        <f t="shared" si="3"/>
        <v>0.47499999999999998</v>
      </c>
      <c r="R106" s="36">
        <v>14.3</v>
      </c>
      <c r="S106" s="36">
        <v>157</v>
      </c>
      <c r="T106" s="90">
        <f t="shared" si="4"/>
        <v>22</v>
      </c>
      <c r="U106" s="57">
        <v>192</v>
      </c>
      <c r="V106" s="62">
        <f t="shared" si="5"/>
        <v>4224</v>
      </c>
      <c r="W106" s="36">
        <v>1</v>
      </c>
      <c r="X106" s="57" t="s">
        <v>46</v>
      </c>
      <c r="Y106" s="57" t="s">
        <v>55</v>
      </c>
      <c r="Z106" s="57" t="s">
        <v>69</v>
      </c>
      <c r="AA106" s="57" t="s">
        <v>47</v>
      </c>
      <c r="AB106" s="57" t="s">
        <v>185</v>
      </c>
      <c r="AC106" s="88"/>
      <c r="AD106" s="88"/>
      <c r="AE106" s="88"/>
      <c r="AF106" s="88"/>
      <c r="AG106" s="88"/>
      <c r="AH106" s="88"/>
    </row>
    <row r="107" spans="1:34" x14ac:dyDescent="0.15">
      <c r="A107" s="57" t="s">
        <v>41</v>
      </c>
      <c r="B107" s="58" t="s">
        <v>157</v>
      </c>
      <c r="C107" s="59">
        <v>2019</v>
      </c>
      <c r="D107" s="60" t="s">
        <v>166</v>
      </c>
      <c r="E107" s="57" t="s">
        <v>204</v>
      </c>
      <c r="F107" s="36" t="s">
        <v>205</v>
      </c>
      <c r="G107" s="57" t="s">
        <v>42</v>
      </c>
      <c r="H107" s="57" t="s">
        <v>160</v>
      </c>
      <c r="I107" s="57" t="s">
        <v>159</v>
      </c>
      <c r="J107" s="57" t="s">
        <v>38</v>
      </c>
      <c r="K107" s="57" t="s">
        <v>161</v>
      </c>
      <c r="L107" s="57">
        <v>1</v>
      </c>
      <c r="M107" s="57"/>
      <c r="N107" s="57">
        <v>4</v>
      </c>
      <c r="O107" s="57">
        <v>0.35</v>
      </c>
      <c r="P107" s="57">
        <v>0.4</v>
      </c>
      <c r="Q107" s="89">
        <f t="shared" si="3"/>
        <v>0.375</v>
      </c>
      <c r="R107" s="36">
        <v>15.2</v>
      </c>
      <c r="S107" s="36">
        <v>119</v>
      </c>
      <c r="T107" s="90">
        <f t="shared" si="4"/>
        <v>30</v>
      </c>
      <c r="U107" s="57">
        <v>626</v>
      </c>
      <c r="V107" s="62">
        <f t="shared" si="5"/>
        <v>4695</v>
      </c>
      <c r="W107" s="57">
        <v>2</v>
      </c>
      <c r="X107" s="57" t="s">
        <v>46</v>
      </c>
      <c r="Y107" s="57" t="s">
        <v>55</v>
      </c>
      <c r="Z107" s="57" t="s">
        <v>69</v>
      </c>
      <c r="AA107" s="57" t="s">
        <v>47</v>
      </c>
      <c r="AB107" s="57" t="s">
        <v>185</v>
      </c>
      <c r="AC107" s="88"/>
      <c r="AD107" s="88"/>
      <c r="AE107" s="88"/>
      <c r="AF107" s="88"/>
      <c r="AG107" s="88"/>
      <c r="AH107" s="88"/>
    </row>
    <row r="108" spans="1:34" x14ac:dyDescent="0.15">
      <c r="A108" s="57" t="s">
        <v>41</v>
      </c>
      <c r="B108" s="58" t="s">
        <v>157</v>
      </c>
      <c r="C108" s="59">
        <v>2019</v>
      </c>
      <c r="D108" s="60" t="s">
        <v>166</v>
      </c>
      <c r="E108" s="57" t="s">
        <v>204</v>
      </c>
      <c r="F108" s="36" t="s">
        <v>205</v>
      </c>
      <c r="G108" s="57" t="s">
        <v>42</v>
      </c>
      <c r="H108" s="57" t="s">
        <v>160</v>
      </c>
      <c r="I108" s="57" t="s">
        <v>159</v>
      </c>
      <c r="J108" s="57" t="s">
        <v>38</v>
      </c>
      <c r="K108" s="57" t="s">
        <v>161</v>
      </c>
      <c r="L108" s="36">
        <v>2</v>
      </c>
      <c r="N108" s="57">
        <v>4</v>
      </c>
      <c r="O108" s="57">
        <v>0.35</v>
      </c>
      <c r="P108" s="57">
        <v>0.45</v>
      </c>
      <c r="Q108" s="89">
        <f t="shared" si="3"/>
        <v>0.4</v>
      </c>
      <c r="R108" s="36">
        <v>12</v>
      </c>
      <c r="S108" s="36">
        <v>121</v>
      </c>
      <c r="T108" s="90">
        <f t="shared" si="4"/>
        <v>27</v>
      </c>
      <c r="U108" s="57">
        <v>626</v>
      </c>
      <c r="V108" s="62">
        <f t="shared" si="5"/>
        <v>4225.5</v>
      </c>
      <c r="W108" s="36">
        <v>2</v>
      </c>
      <c r="X108" s="57" t="s">
        <v>46</v>
      </c>
      <c r="Y108" s="57" t="s">
        <v>55</v>
      </c>
      <c r="Z108" s="57" t="s">
        <v>69</v>
      </c>
      <c r="AA108" s="57" t="s">
        <v>47</v>
      </c>
      <c r="AB108" s="57" t="s">
        <v>185</v>
      </c>
      <c r="AC108" s="88"/>
      <c r="AD108" s="88"/>
      <c r="AE108" s="88"/>
      <c r="AF108" s="88"/>
      <c r="AG108" s="88"/>
      <c r="AH108" s="88"/>
    </row>
    <row r="109" spans="1:34" x14ac:dyDescent="0.15">
      <c r="A109" s="57" t="s">
        <v>41</v>
      </c>
      <c r="B109" s="58" t="s">
        <v>157</v>
      </c>
      <c r="C109" s="59">
        <v>2019</v>
      </c>
      <c r="D109" s="60" t="s">
        <v>166</v>
      </c>
      <c r="E109" s="57" t="s">
        <v>204</v>
      </c>
      <c r="F109" s="36" t="s">
        <v>205</v>
      </c>
      <c r="G109" s="57" t="s">
        <v>42</v>
      </c>
      <c r="H109" s="57" t="s">
        <v>160</v>
      </c>
      <c r="I109" s="57" t="s">
        <v>159</v>
      </c>
      <c r="J109" s="57" t="s">
        <v>38</v>
      </c>
      <c r="K109" s="57" t="s">
        <v>161</v>
      </c>
      <c r="L109" s="36">
        <v>3</v>
      </c>
      <c r="N109" s="57">
        <v>4</v>
      </c>
      <c r="O109" s="57">
        <v>0.3</v>
      </c>
      <c r="P109" s="57">
        <v>0.35</v>
      </c>
      <c r="Q109" s="89">
        <f t="shared" si="3"/>
        <v>0.32499999999999996</v>
      </c>
      <c r="R109" s="36">
        <v>14.9</v>
      </c>
      <c r="S109" s="36">
        <v>118</v>
      </c>
      <c r="T109" s="90">
        <f t="shared" si="4"/>
        <v>30</v>
      </c>
      <c r="U109" s="57">
        <v>626</v>
      </c>
      <c r="V109" s="90">
        <f t="shared" si="5"/>
        <v>4695</v>
      </c>
      <c r="W109" s="36">
        <v>2</v>
      </c>
      <c r="X109" s="57" t="s">
        <v>46</v>
      </c>
      <c r="Y109" s="57" t="s">
        <v>55</v>
      </c>
      <c r="Z109" s="57" t="s">
        <v>69</v>
      </c>
      <c r="AA109" s="57" t="s">
        <v>47</v>
      </c>
      <c r="AB109" s="57" t="s">
        <v>185</v>
      </c>
      <c r="AC109" s="88"/>
      <c r="AD109" s="88"/>
      <c r="AE109" s="88"/>
      <c r="AF109" s="88"/>
      <c r="AG109" s="88"/>
      <c r="AH109" s="88"/>
    </row>
    <row r="110" spans="1:34" s="57" customFormat="1" x14ac:dyDescent="0.15">
      <c r="A110" s="57" t="s">
        <v>41</v>
      </c>
      <c r="B110" s="58" t="s">
        <v>157</v>
      </c>
      <c r="C110" s="59">
        <v>2019</v>
      </c>
      <c r="D110" s="60" t="s">
        <v>166</v>
      </c>
      <c r="E110" s="57" t="s">
        <v>210</v>
      </c>
      <c r="F110" s="57" t="s">
        <v>211</v>
      </c>
      <c r="G110" s="57" t="s">
        <v>42</v>
      </c>
      <c r="H110" s="57" t="s">
        <v>160</v>
      </c>
      <c r="I110" s="57" t="s">
        <v>159</v>
      </c>
      <c r="J110" s="57" t="s">
        <v>38</v>
      </c>
      <c r="K110" s="57" t="s">
        <v>161</v>
      </c>
      <c r="L110" s="57">
        <v>1</v>
      </c>
      <c r="N110" s="57">
        <v>1</v>
      </c>
      <c r="O110" s="57">
        <v>0.6</v>
      </c>
      <c r="P110" s="57">
        <v>0.75</v>
      </c>
      <c r="Q110" s="89">
        <f t="shared" si="3"/>
        <v>0.67500000000000004</v>
      </c>
      <c r="R110" s="57">
        <v>15.8</v>
      </c>
      <c r="S110" s="57">
        <v>124</v>
      </c>
      <c r="T110" s="90">
        <f t="shared" si="4"/>
        <v>27</v>
      </c>
      <c r="U110" s="57">
        <v>137</v>
      </c>
      <c r="V110" s="90">
        <f t="shared" si="5"/>
        <v>3699</v>
      </c>
      <c r="W110" s="57">
        <v>3</v>
      </c>
      <c r="X110" s="57" t="s">
        <v>46</v>
      </c>
      <c r="Y110" s="57" t="s">
        <v>40</v>
      </c>
      <c r="Z110" s="57" t="s">
        <v>69</v>
      </c>
      <c r="AA110" s="57" t="s">
        <v>55</v>
      </c>
      <c r="AB110" s="57" t="s">
        <v>185</v>
      </c>
      <c r="AC110" s="91"/>
      <c r="AD110" s="91"/>
      <c r="AE110" s="91"/>
      <c r="AF110" s="91"/>
      <c r="AG110" s="91"/>
      <c r="AH110" s="91"/>
    </row>
    <row r="111" spans="1:34" s="57" customFormat="1" x14ac:dyDescent="0.15">
      <c r="A111" s="57" t="s">
        <v>41</v>
      </c>
      <c r="B111" s="58" t="s">
        <v>157</v>
      </c>
      <c r="C111" s="59">
        <v>2019</v>
      </c>
      <c r="D111" s="60" t="s">
        <v>166</v>
      </c>
      <c r="E111" s="57" t="s">
        <v>210</v>
      </c>
      <c r="F111" s="57" t="s">
        <v>211</v>
      </c>
      <c r="G111" s="57" t="s">
        <v>42</v>
      </c>
      <c r="H111" s="57" t="s">
        <v>160</v>
      </c>
      <c r="I111" s="57" t="s">
        <v>159</v>
      </c>
      <c r="J111" s="57" t="s">
        <v>38</v>
      </c>
      <c r="K111" s="57" t="s">
        <v>161</v>
      </c>
      <c r="L111" s="57">
        <v>2</v>
      </c>
      <c r="N111" s="57">
        <v>1</v>
      </c>
      <c r="O111" s="57">
        <v>0.75</v>
      </c>
      <c r="P111" s="57">
        <v>0.6</v>
      </c>
      <c r="Q111" s="89">
        <f t="shared" si="3"/>
        <v>0.67500000000000004</v>
      </c>
      <c r="R111" s="57">
        <v>16.3</v>
      </c>
      <c r="S111" s="57">
        <v>123</v>
      </c>
      <c r="T111" s="90">
        <f t="shared" si="4"/>
        <v>27</v>
      </c>
      <c r="U111" s="57">
        <v>137</v>
      </c>
      <c r="V111" s="90">
        <f t="shared" si="5"/>
        <v>3699</v>
      </c>
      <c r="W111" s="57">
        <v>3</v>
      </c>
      <c r="X111" s="57" t="s">
        <v>46</v>
      </c>
      <c r="Y111" s="57" t="s">
        <v>40</v>
      </c>
      <c r="Z111" s="57" t="s">
        <v>69</v>
      </c>
      <c r="AA111" s="57" t="s">
        <v>55</v>
      </c>
      <c r="AB111" s="57" t="s">
        <v>185</v>
      </c>
      <c r="AC111" s="91"/>
      <c r="AD111" s="91"/>
      <c r="AE111" s="91"/>
      <c r="AF111" s="91"/>
      <c r="AG111" s="91"/>
      <c r="AH111" s="91"/>
    </row>
    <row r="112" spans="1:34" s="57" customFormat="1" x14ac:dyDescent="0.15">
      <c r="A112" s="57" t="s">
        <v>41</v>
      </c>
      <c r="B112" s="58" t="s">
        <v>157</v>
      </c>
      <c r="C112" s="59">
        <v>2019</v>
      </c>
      <c r="D112" s="60" t="s">
        <v>166</v>
      </c>
      <c r="E112" s="57" t="s">
        <v>210</v>
      </c>
      <c r="F112" s="57" t="s">
        <v>211</v>
      </c>
      <c r="G112" s="57" t="s">
        <v>42</v>
      </c>
      <c r="H112" s="57" t="s">
        <v>160</v>
      </c>
      <c r="I112" s="57" t="s">
        <v>159</v>
      </c>
      <c r="J112" s="57" t="s">
        <v>38</v>
      </c>
      <c r="K112" s="57" t="s">
        <v>161</v>
      </c>
      <c r="L112" s="57">
        <v>3</v>
      </c>
      <c r="N112" s="57">
        <v>1</v>
      </c>
      <c r="O112" s="57">
        <v>0.6</v>
      </c>
      <c r="P112" s="57">
        <v>0.55000000000000004</v>
      </c>
      <c r="Q112" s="89">
        <f t="shared" si="3"/>
        <v>0.57499999999999996</v>
      </c>
      <c r="R112" s="57">
        <v>13.8</v>
      </c>
      <c r="S112" s="57">
        <v>127</v>
      </c>
      <c r="T112" s="90">
        <f t="shared" si="4"/>
        <v>27</v>
      </c>
      <c r="U112" s="57">
        <v>137</v>
      </c>
      <c r="V112" s="90">
        <f t="shared" si="5"/>
        <v>3699</v>
      </c>
      <c r="W112" s="57">
        <v>3</v>
      </c>
      <c r="X112" s="57" t="s">
        <v>46</v>
      </c>
      <c r="Y112" s="57" t="s">
        <v>40</v>
      </c>
      <c r="Z112" s="57" t="s">
        <v>69</v>
      </c>
      <c r="AA112" s="57" t="s">
        <v>55</v>
      </c>
      <c r="AB112" s="57" t="s">
        <v>185</v>
      </c>
      <c r="AC112" s="91"/>
      <c r="AD112" s="91"/>
      <c r="AE112" s="91"/>
      <c r="AF112" s="91"/>
      <c r="AG112" s="91"/>
      <c r="AH112" s="91"/>
    </row>
    <row r="113" spans="1:34" s="57" customFormat="1" x14ac:dyDescent="0.15">
      <c r="A113" s="57" t="s">
        <v>41</v>
      </c>
      <c r="B113" s="58" t="s">
        <v>157</v>
      </c>
      <c r="C113" s="59">
        <v>2019</v>
      </c>
      <c r="D113" s="60" t="s">
        <v>166</v>
      </c>
      <c r="E113" s="57" t="s">
        <v>210</v>
      </c>
      <c r="F113" s="57" t="s">
        <v>211</v>
      </c>
      <c r="G113" s="57" t="s">
        <v>42</v>
      </c>
      <c r="H113" s="57" t="s">
        <v>160</v>
      </c>
      <c r="I113" s="57" t="s">
        <v>159</v>
      </c>
      <c r="J113" s="57" t="s">
        <v>38</v>
      </c>
      <c r="K113" s="57" t="s">
        <v>161</v>
      </c>
      <c r="L113" s="57">
        <v>1</v>
      </c>
      <c r="N113" s="57">
        <v>4</v>
      </c>
      <c r="O113" s="57">
        <v>0.25</v>
      </c>
      <c r="P113" s="57">
        <v>0.3</v>
      </c>
      <c r="Q113" s="89">
        <f t="shared" si="3"/>
        <v>0.27500000000000002</v>
      </c>
      <c r="R113" s="57">
        <v>17.399999999999999</v>
      </c>
      <c r="S113" s="57">
        <v>120</v>
      </c>
      <c r="T113" s="90">
        <f t="shared" si="4"/>
        <v>30</v>
      </c>
      <c r="U113" s="57">
        <v>428</v>
      </c>
      <c r="V113" s="90">
        <f t="shared" si="5"/>
        <v>3210</v>
      </c>
      <c r="W113" s="57">
        <v>3</v>
      </c>
      <c r="X113" s="57" t="s">
        <v>46</v>
      </c>
      <c r="Y113" s="57" t="s">
        <v>40</v>
      </c>
      <c r="Z113" s="57" t="s">
        <v>69</v>
      </c>
      <c r="AA113" s="57" t="s">
        <v>55</v>
      </c>
      <c r="AB113" s="57" t="s">
        <v>185</v>
      </c>
      <c r="AC113" s="91"/>
      <c r="AD113" s="91"/>
      <c r="AE113" s="91"/>
      <c r="AF113" s="91"/>
      <c r="AG113" s="91"/>
      <c r="AH113" s="91"/>
    </row>
    <row r="114" spans="1:34" s="57" customFormat="1" x14ac:dyDescent="0.15">
      <c r="A114" s="57" t="s">
        <v>41</v>
      </c>
      <c r="B114" s="58" t="s">
        <v>157</v>
      </c>
      <c r="C114" s="59">
        <v>2019</v>
      </c>
      <c r="D114" s="60" t="s">
        <v>166</v>
      </c>
      <c r="E114" s="57" t="s">
        <v>210</v>
      </c>
      <c r="F114" s="57" t="s">
        <v>211</v>
      </c>
      <c r="G114" s="57" t="s">
        <v>42</v>
      </c>
      <c r="H114" s="57" t="s">
        <v>160</v>
      </c>
      <c r="I114" s="57" t="s">
        <v>159</v>
      </c>
      <c r="J114" s="57" t="s">
        <v>38</v>
      </c>
      <c r="K114" s="57" t="s">
        <v>161</v>
      </c>
      <c r="L114" s="57">
        <v>2</v>
      </c>
      <c r="N114" s="57">
        <v>4</v>
      </c>
      <c r="O114" s="57">
        <v>0.35</v>
      </c>
      <c r="P114" s="57">
        <v>0.3</v>
      </c>
      <c r="Q114" s="89">
        <f t="shared" si="3"/>
        <v>0.32499999999999996</v>
      </c>
      <c r="R114" s="57">
        <v>16.399999999999999</v>
      </c>
      <c r="S114" s="57">
        <v>123</v>
      </c>
      <c r="T114" s="90">
        <f t="shared" si="4"/>
        <v>27</v>
      </c>
      <c r="U114" s="57">
        <v>428</v>
      </c>
      <c r="V114" s="90">
        <f t="shared" si="5"/>
        <v>2889</v>
      </c>
      <c r="W114" s="57">
        <v>3</v>
      </c>
      <c r="X114" s="57" t="s">
        <v>46</v>
      </c>
      <c r="Y114" s="57" t="s">
        <v>40</v>
      </c>
      <c r="Z114" s="57" t="s">
        <v>69</v>
      </c>
      <c r="AA114" s="57" t="s">
        <v>55</v>
      </c>
      <c r="AB114" s="57" t="s">
        <v>185</v>
      </c>
      <c r="AC114" s="91"/>
      <c r="AD114" s="91"/>
      <c r="AE114" s="91"/>
      <c r="AF114" s="91"/>
      <c r="AG114" s="91"/>
      <c r="AH114" s="91"/>
    </row>
    <row r="115" spans="1:34" s="57" customFormat="1" x14ac:dyDescent="0.15">
      <c r="A115" s="57" t="s">
        <v>41</v>
      </c>
      <c r="B115" s="58" t="s">
        <v>157</v>
      </c>
      <c r="C115" s="59">
        <v>2019</v>
      </c>
      <c r="D115" s="60" t="s">
        <v>166</v>
      </c>
      <c r="E115" s="57" t="s">
        <v>210</v>
      </c>
      <c r="F115" s="57" t="s">
        <v>211</v>
      </c>
      <c r="G115" s="57" t="s">
        <v>42</v>
      </c>
      <c r="H115" s="57" t="s">
        <v>160</v>
      </c>
      <c r="I115" s="57" t="s">
        <v>159</v>
      </c>
      <c r="J115" s="57" t="s">
        <v>38</v>
      </c>
      <c r="K115" s="57" t="s">
        <v>161</v>
      </c>
      <c r="L115" s="57">
        <v>3</v>
      </c>
      <c r="N115" s="57">
        <v>4</v>
      </c>
      <c r="O115" s="57">
        <v>0.3</v>
      </c>
      <c r="P115" s="57">
        <v>0.35</v>
      </c>
      <c r="Q115" s="89">
        <f t="shared" si="3"/>
        <v>0.32499999999999996</v>
      </c>
      <c r="R115" s="57">
        <v>16.899999999999999</v>
      </c>
      <c r="S115" s="57">
        <v>122</v>
      </c>
      <c r="T115" s="90">
        <f t="shared" si="4"/>
        <v>27</v>
      </c>
      <c r="U115" s="57">
        <v>428</v>
      </c>
      <c r="V115" s="90">
        <f t="shared" si="5"/>
        <v>2889</v>
      </c>
      <c r="W115" s="57">
        <v>3</v>
      </c>
      <c r="X115" s="57" t="s">
        <v>46</v>
      </c>
      <c r="Y115" s="57" t="s">
        <v>40</v>
      </c>
      <c r="Z115" s="57" t="s">
        <v>69</v>
      </c>
      <c r="AA115" s="57" t="s">
        <v>55</v>
      </c>
      <c r="AB115" s="57" t="s">
        <v>185</v>
      </c>
      <c r="AC115" s="91"/>
      <c r="AD115" s="91"/>
      <c r="AE115" s="91"/>
      <c r="AF115" s="91"/>
      <c r="AG115" s="91"/>
      <c r="AH115" s="91"/>
    </row>
    <row r="116" spans="1:34" x14ac:dyDescent="0.15">
      <c r="K116" s="57"/>
      <c r="Q116" s="89" t="str">
        <f t="shared" si="3"/>
        <v/>
      </c>
      <c r="T116" s="90" t="str">
        <f t="shared" si="4"/>
        <v/>
      </c>
      <c r="V116" s="62" t="str">
        <f t="shared" si="5"/>
        <v/>
      </c>
      <c r="Y116" s="57"/>
    </row>
    <row r="117" spans="1:34" x14ac:dyDescent="0.15">
      <c r="K117" s="57"/>
      <c r="Q117" s="89" t="str">
        <f t="shared" si="3"/>
        <v/>
      </c>
      <c r="T117" s="90" t="str">
        <f t="shared" si="4"/>
        <v/>
      </c>
      <c r="V117" s="62" t="str">
        <f t="shared" si="5"/>
        <v/>
      </c>
      <c r="Y117" s="57"/>
    </row>
    <row r="118" spans="1:34" x14ac:dyDescent="0.15">
      <c r="K118" s="57"/>
      <c r="Q118" s="89" t="str">
        <f t="shared" si="3"/>
        <v/>
      </c>
      <c r="T118" s="90" t="str">
        <f t="shared" si="4"/>
        <v/>
      </c>
      <c r="V118" s="62" t="str">
        <f t="shared" si="5"/>
        <v/>
      </c>
      <c r="Y118" s="57"/>
    </row>
    <row r="119" spans="1:34" x14ac:dyDescent="0.15">
      <c r="K119" s="57"/>
      <c r="Q119" s="75" t="str">
        <f t="shared" si="3"/>
        <v/>
      </c>
      <c r="T119" s="62" t="str">
        <f t="shared" si="4"/>
        <v/>
      </c>
      <c r="V119" s="62" t="str">
        <f t="shared" si="5"/>
        <v/>
      </c>
      <c r="Y119" s="57"/>
    </row>
    <row r="120" spans="1:34" x14ac:dyDescent="0.15">
      <c r="K120" s="57"/>
      <c r="Q120" s="75" t="str">
        <f t="shared" si="3"/>
        <v/>
      </c>
      <c r="T120" s="62" t="str">
        <f t="shared" si="4"/>
        <v/>
      </c>
      <c r="V120" s="62" t="str">
        <f t="shared" si="5"/>
        <v/>
      </c>
      <c r="Y120" s="57"/>
    </row>
    <row r="121" spans="1:34" x14ac:dyDescent="0.15">
      <c r="K121" s="57"/>
      <c r="Q121" s="75" t="str">
        <f t="shared" si="3"/>
        <v/>
      </c>
      <c r="T121" s="62" t="str">
        <f t="shared" si="4"/>
        <v/>
      </c>
      <c r="V121" s="62" t="str">
        <f t="shared" si="5"/>
        <v/>
      </c>
      <c r="Y121" s="57"/>
    </row>
    <row r="122" spans="1:34" x14ac:dyDescent="0.15">
      <c r="K122" s="57"/>
      <c r="Q122" s="75" t="str">
        <f t="shared" si="3"/>
        <v/>
      </c>
      <c r="T122" s="62" t="str">
        <f t="shared" si="4"/>
        <v/>
      </c>
      <c r="V122" s="62" t="str">
        <f t="shared" si="5"/>
        <v/>
      </c>
      <c r="Y122" s="57"/>
    </row>
    <row r="123" spans="1:34" x14ac:dyDescent="0.15">
      <c r="K123" s="57"/>
      <c r="Q123" s="75" t="str">
        <f t="shared" si="3"/>
        <v/>
      </c>
      <c r="T123" s="62" t="str">
        <f t="shared" si="4"/>
        <v/>
      </c>
      <c r="V123" s="62" t="str">
        <f t="shared" si="5"/>
        <v/>
      </c>
      <c r="Y123" s="57"/>
    </row>
    <row r="124" spans="1:34" x14ac:dyDescent="0.15">
      <c r="K124" s="57"/>
      <c r="Q124" s="75" t="str">
        <f t="shared" si="3"/>
        <v/>
      </c>
      <c r="T124" s="62" t="str">
        <f t="shared" si="4"/>
        <v/>
      </c>
      <c r="V124" s="62" t="str">
        <f t="shared" si="5"/>
        <v/>
      </c>
      <c r="Y124" s="57"/>
    </row>
    <row r="125" spans="1:34" x14ac:dyDescent="0.15">
      <c r="K125" s="57"/>
      <c r="Q125" s="75" t="str">
        <f t="shared" si="3"/>
        <v/>
      </c>
      <c r="T125" s="62" t="str">
        <f t="shared" si="4"/>
        <v/>
      </c>
      <c r="V125" s="62" t="str">
        <f t="shared" si="5"/>
        <v/>
      </c>
      <c r="Y125" s="57"/>
    </row>
    <row r="126" spans="1:34" x14ac:dyDescent="0.15">
      <c r="K126" s="57"/>
      <c r="Q126" s="75" t="str">
        <f t="shared" si="3"/>
        <v/>
      </c>
      <c r="T126" s="62" t="str">
        <f t="shared" si="4"/>
        <v/>
      </c>
      <c r="V126" s="62" t="str">
        <f t="shared" si="5"/>
        <v/>
      </c>
      <c r="Y126" s="57"/>
    </row>
    <row r="127" spans="1:34" x14ac:dyDescent="0.15">
      <c r="K127" s="57"/>
      <c r="Q127" s="75" t="str">
        <f t="shared" si="3"/>
        <v/>
      </c>
      <c r="T127" s="62" t="str">
        <f t="shared" si="4"/>
        <v/>
      </c>
      <c r="V127" s="62" t="str">
        <f t="shared" si="5"/>
        <v/>
      </c>
      <c r="Y127" s="57"/>
    </row>
    <row r="128" spans="1:34" x14ac:dyDescent="0.15">
      <c r="K128" s="57"/>
      <c r="Q128" s="75" t="str">
        <f t="shared" si="3"/>
        <v/>
      </c>
      <c r="T128" s="62" t="str">
        <f t="shared" si="4"/>
        <v/>
      </c>
      <c r="V128" s="62" t="str">
        <f t="shared" si="5"/>
        <v/>
      </c>
      <c r="Y128" s="57"/>
    </row>
    <row r="129" spans="11:25" x14ac:dyDescent="0.15">
      <c r="K129" s="57"/>
      <c r="Q129" s="75" t="str">
        <f t="shared" si="3"/>
        <v/>
      </c>
      <c r="T129" s="62" t="str">
        <f t="shared" si="4"/>
        <v/>
      </c>
      <c r="V129" s="62" t="str">
        <f t="shared" si="5"/>
        <v/>
      </c>
      <c r="Y129" s="57"/>
    </row>
    <row r="130" spans="11:25" x14ac:dyDescent="0.15">
      <c r="K130" s="57"/>
      <c r="Q130" s="75" t="str">
        <f t="shared" ref="Q130:Q193" si="6">IF(OR(O130="",P130=""),"",AVERAGE(O130,P130))</f>
        <v/>
      </c>
      <c r="T130" s="62" t="str">
        <f t="shared" ref="T130:T193" si="7">IF(H130="","",IF(OR(H130="GREEN",H130="GK"),IF(S130&gt;=$AX$2,VLOOKUP(S130,$AX$2:$AY$10,2,1),""),IF(S130&gt;=$AZ$2,VLOOKUP(S130,$AZ$2:$BA$10,2,1),"")))</f>
        <v/>
      </c>
      <c r="V130" s="62" t="str">
        <f t="shared" ref="V130:V193" si="8">IF(OR(N130="",U130="",T130=""),"",U130/N130*T130)</f>
        <v/>
      </c>
      <c r="Y130" s="57"/>
    </row>
    <row r="131" spans="11:25" x14ac:dyDescent="0.15">
      <c r="K131" s="57"/>
      <c r="Q131" s="75" t="str">
        <f t="shared" si="6"/>
        <v/>
      </c>
      <c r="T131" s="62" t="str">
        <f t="shared" si="7"/>
        <v/>
      </c>
      <c r="V131" s="62" t="str">
        <f t="shared" si="8"/>
        <v/>
      </c>
      <c r="Y131" s="57"/>
    </row>
    <row r="132" spans="11:25" x14ac:dyDescent="0.15">
      <c r="K132" s="57"/>
      <c r="Q132" s="75" t="str">
        <f t="shared" si="6"/>
        <v/>
      </c>
      <c r="T132" s="62" t="str">
        <f t="shared" si="7"/>
        <v/>
      </c>
      <c r="V132" s="62" t="str">
        <f t="shared" si="8"/>
        <v/>
      </c>
      <c r="Y132" s="57"/>
    </row>
    <row r="133" spans="11:25" x14ac:dyDescent="0.15">
      <c r="K133" s="57"/>
      <c r="Q133" s="75" t="str">
        <f t="shared" si="6"/>
        <v/>
      </c>
      <c r="T133" s="62" t="str">
        <f t="shared" si="7"/>
        <v/>
      </c>
      <c r="V133" s="62" t="str">
        <f t="shared" si="8"/>
        <v/>
      </c>
      <c r="Y133" s="57"/>
    </row>
    <row r="134" spans="11:25" x14ac:dyDescent="0.15">
      <c r="K134" s="57"/>
      <c r="Q134" s="75" t="str">
        <f t="shared" si="6"/>
        <v/>
      </c>
      <c r="T134" s="62" t="str">
        <f t="shared" si="7"/>
        <v/>
      </c>
      <c r="V134" s="62" t="str">
        <f t="shared" si="8"/>
        <v/>
      </c>
      <c r="Y134" s="57"/>
    </row>
    <row r="135" spans="11:25" x14ac:dyDescent="0.15">
      <c r="K135" s="57"/>
      <c r="Q135" s="75" t="str">
        <f t="shared" si="6"/>
        <v/>
      </c>
      <c r="T135" s="62" t="str">
        <f t="shared" si="7"/>
        <v/>
      </c>
      <c r="V135" s="62" t="str">
        <f t="shared" si="8"/>
        <v/>
      </c>
      <c r="Y135" s="57"/>
    </row>
    <row r="136" spans="11:25" x14ac:dyDescent="0.15">
      <c r="K136" s="57"/>
      <c r="Q136" s="75" t="str">
        <f t="shared" si="6"/>
        <v/>
      </c>
      <c r="T136" s="62" t="str">
        <f t="shared" si="7"/>
        <v/>
      </c>
      <c r="V136" s="62" t="str">
        <f t="shared" si="8"/>
        <v/>
      </c>
      <c r="Y136" s="57"/>
    </row>
    <row r="137" spans="11:25" x14ac:dyDescent="0.15">
      <c r="K137" s="57"/>
      <c r="Q137" s="75" t="str">
        <f t="shared" si="6"/>
        <v/>
      </c>
      <c r="T137" s="62" t="str">
        <f t="shared" si="7"/>
        <v/>
      </c>
      <c r="V137" s="62" t="str">
        <f t="shared" si="8"/>
        <v/>
      </c>
      <c r="Y137" s="57"/>
    </row>
    <row r="138" spans="11:25" x14ac:dyDescent="0.15">
      <c r="K138" s="57"/>
      <c r="Q138" s="75" t="str">
        <f t="shared" si="6"/>
        <v/>
      </c>
      <c r="T138" s="62" t="str">
        <f t="shared" si="7"/>
        <v/>
      </c>
      <c r="V138" s="62" t="str">
        <f t="shared" si="8"/>
        <v/>
      </c>
      <c r="Y138" s="57"/>
    </row>
    <row r="139" spans="11:25" x14ac:dyDescent="0.15">
      <c r="K139" s="57"/>
      <c r="Q139" s="75" t="str">
        <f t="shared" si="6"/>
        <v/>
      </c>
      <c r="T139" s="62" t="str">
        <f t="shared" si="7"/>
        <v/>
      </c>
      <c r="V139" s="62" t="str">
        <f t="shared" si="8"/>
        <v/>
      </c>
      <c r="Y139" s="57"/>
    </row>
    <row r="140" spans="11:25" x14ac:dyDescent="0.15">
      <c r="K140" s="57"/>
      <c r="Q140" s="75" t="str">
        <f t="shared" si="6"/>
        <v/>
      </c>
      <c r="T140" s="62" t="str">
        <f t="shared" si="7"/>
        <v/>
      </c>
      <c r="V140" s="62" t="str">
        <f t="shared" si="8"/>
        <v/>
      </c>
      <c r="Y140" s="57"/>
    </row>
    <row r="141" spans="11:25" x14ac:dyDescent="0.15">
      <c r="K141" s="57"/>
      <c r="Q141" s="75" t="str">
        <f t="shared" si="6"/>
        <v/>
      </c>
      <c r="T141" s="62" t="str">
        <f t="shared" si="7"/>
        <v/>
      </c>
      <c r="V141" s="62" t="str">
        <f t="shared" si="8"/>
        <v/>
      </c>
      <c r="Y141" s="57"/>
    </row>
    <row r="142" spans="11:25" x14ac:dyDescent="0.15">
      <c r="K142" s="57"/>
      <c r="Q142" s="75" t="str">
        <f t="shared" si="6"/>
        <v/>
      </c>
      <c r="T142" s="62" t="str">
        <f t="shared" si="7"/>
        <v/>
      </c>
      <c r="V142" s="62" t="str">
        <f t="shared" si="8"/>
        <v/>
      </c>
      <c r="Y142" s="57"/>
    </row>
    <row r="143" spans="11:25" x14ac:dyDescent="0.15">
      <c r="K143" s="57"/>
      <c r="Q143" s="75" t="str">
        <f t="shared" si="6"/>
        <v/>
      </c>
      <c r="T143" s="62" t="str">
        <f t="shared" si="7"/>
        <v/>
      </c>
      <c r="V143" s="62" t="str">
        <f t="shared" si="8"/>
        <v/>
      </c>
      <c r="Y143" s="57"/>
    </row>
    <row r="144" spans="11:25" x14ac:dyDescent="0.15">
      <c r="K144" s="57"/>
      <c r="Q144" s="75" t="str">
        <f t="shared" si="6"/>
        <v/>
      </c>
      <c r="T144" s="62" t="str">
        <f t="shared" si="7"/>
        <v/>
      </c>
      <c r="V144" s="62" t="str">
        <f t="shared" si="8"/>
        <v/>
      </c>
      <c r="Y144" s="57"/>
    </row>
    <row r="145" spans="17:25" x14ac:dyDescent="0.15">
      <c r="Q145" s="75" t="str">
        <f t="shared" si="6"/>
        <v/>
      </c>
      <c r="T145" s="62" t="str">
        <f t="shared" si="7"/>
        <v/>
      </c>
      <c r="V145" s="62" t="str">
        <f t="shared" si="8"/>
        <v/>
      </c>
      <c r="Y145" s="57"/>
    </row>
    <row r="146" spans="17:25" x14ac:dyDescent="0.15">
      <c r="Q146" s="75" t="str">
        <f t="shared" si="6"/>
        <v/>
      </c>
      <c r="T146" s="62" t="str">
        <f t="shared" si="7"/>
        <v/>
      </c>
      <c r="V146" s="62" t="str">
        <f t="shared" si="8"/>
        <v/>
      </c>
    </row>
    <row r="147" spans="17:25" x14ac:dyDescent="0.15">
      <c r="Q147" s="75" t="str">
        <f t="shared" si="6"/>
        <v/>
      </c>
      <c r="T147" s="62" t="str">
        <f t="shared" si="7"/>
        <v/>
      </c>
      <c r="V147" s="62" t="str">
        <f t="shared" si="8"/>
        <v/>
      </c>
    </row>
    <row r="148" spans="17:25" x14ac:dyDescent="0.15">
      <c r="Q148" s="75" t="str">
        <f t="shared" si="6"/>
        <v/>
      </c>
      <c r="T148" s="62" t="str">
        <f t="shared" si="7"/>
        <v/>
      </c>
      <c r="V148" s="62" t="str">
        <f t="shared" si="8"/>
        <v/>
      </c>
    </row>
    <row r="149" spans="17:25" x14ac:dyDescent="0.15">
      <c r="Q149" s="75" t="str">
        <f t="shared" si="6"/>
        <v/>
      </c>
      <c r="T149" s="62" t="str">
        <f t="shared" si="7"/>
        <v/>
      </c>
      <c r="V149" s="62" t="str">
        <f t="shared" si="8"/>
        <v/>
      </c>
    </row>
    <row r="150" spans="17:25" x14ac:dyDescent="0.15">
      <c r="Q150" s="75" t="str">
        <f t="shared" si="6"/>
        <v/>
      </c>
      <c r="T150" s="62" t="str">
        <f t="shared" si="7"/>
        <v/>
      </c>
      <c r="V150" s="62" t="str">
        <f t="shared" si="8"/>
        <v/>
      </c>
    </row>
    <row r="151" spans="17:25" x14ac:dyDescent="0.15">
      <c r="Q151" s="75" t="str">
        <f t="shared" si="6"/>
        <v/>
      </c>
      <c r="T151" s="62" t="str">
        <f t="shared" si="7"/>
        <v/>
      </c>
      <c r="V151" s="62" t="str">
        <f t="shared" si="8"/>
        <v/>
      </c>
    </row>
    <row r="152" spans="17:25" x14ac:dyDescent="0.15">
      <c r="Q152" s="75" t="str">
        <f t="shared" si="6"/>
        <v/>
      </c>
      <c r="T152" s="62" t="str">
        <f t="shared" si="7"/>
        <v/>
      </c>
      <c r="V152" s="62" t="str">
        <f t="shared" si="8"/>
        <v/>
      </c>
    </row>
    <row r="153" spans="17:25" x14ac:dyDescent="0.15">
      <c r="Q153" s="75" t="str">
        <f t="shared" si="6"/>
        <v/>
      </c>
      <c r="T153" s="62" t="str">
        <f t="shared" si="7"/>
        <v/>
      </c>
      <c r="V153" s="62" t="str">
        <f t="shared" si="8"/>
        <v/>
      </c>
    </row>
    <row r="154" spans="17:25" x14ac:dyDescent="0.15">
      <c r="Q154" s="75" t="str">
        <f t="shared" si="6"/>
        <v/>
      </c>
      <c r="T154" s="62" t="str">
        <f t="shared" si="7"/>
        <v/>
      </c>
      <c r="V154" s="62" t="str">
        <f t="shared" si="8"/>
        <v/>
      </c>
    </row>
    <row r="155" spans="17:25" x14ac:dyDescent="0.15">
      <c r="Q155" s="75" t="str">
        <f t="shared" si="6"/>
        <v/>
      </c>
      <c r="T155" s="62" t="str">
        <f t="shared" si="7"/>
        <v/>
      </c>
      <c r="V155" s="62" t="str">
        <f t="shared" si="8"/>
        <v/>
      </c>
    </row>
    <row r="156" spans="17:25" x14ac:dyDescent="0.15">
      <c r="Q156" s="75" t="str">
        <f t="shared" si="6"/>
        <v/>
      </c>
      <c r="T156" s="62" t="str">
        <f t="shared" si="7"/>
        <v/>
      </c>
      <c r="V156" s="62" t="str">
        <f t="shared" si="8"/>
        <v/>
      </c>
    </row>
    <row r="157" spans="17:25" x14ac:dyDescent="0.15">
      <c r="Q157" s="75" t="str">
        <f t="shared" si="6"/>
        <v/>
      </c>
      <c r="T157" s="62" t="str">
        <f t="shared" si="7"/>
        <v/>
      </c>
      <c r="V157" s="62" t="str">
        <f t="shared" si="8"/>
        <v/>
      </c>
    </row>
    <row r="158" spans="17:25" x14ac:dyDescent="0.15">
      <c r="Q158" s="75" t="str">
        <f t="shared" si="6"/>
        <v/>
      </c>
      <c r="T158" s="62" t="str">
        <f t="shared" si="7"/>
        <v/>
      </c>
      <c r="V158" s="62" t="str">
        <f t="shared" si="8"/>
        <v/>
      </c>
    </row>
    <row r="159" spans="17:25" x14ac:dyDescent="0.15">
      <c r="Q159" s="75" t="str">
        <f t="shared" si="6"/>
        <v/>
      </c>
      <c r="T159" s="62" t="str">
        <f t="shared" si="7"/>
        <v/>
      </c>
      <c r="V159" s="62" t="str">
        <f t="shared" si="8"/>
        <v/>
      </c>
    </row>
    <row r="160" spans="17:25" x14ac:dyDescent="0.15">
      <c r="Q160" s="75" t="str">
        <f t="shared" si="6"/>
        <v/>
      </c>
      <c r="T160" s="62" t="str">
        <f t="shared" si="7"/>
        <v/>
      </c>
      <c r="V160" s="62" t="str">
        <f t="shared" si="8"/>
        <v/>
      </c>
    </row>
    <row r="161" spans="17:22" x14ac:dyDescent="0.15">
      <c r="Q161" s="75" t="str">
        <f t="shared" si="6"/>
        <v/>
      </c>
      <c r="T161" s="62" t="str">
        <f t="shared" si="7"/>
        <v/>
      </c>
      <c r="V161" s="62" t="str">
        <f t="shared" si="8"/>
        <v/>
      </c>
    </row>
    <row r="162" spans="17:22" x14ac:dyDescent="0.15">
      <c r="Q162" s="75" t="str">
        <f t="shared" si="6"/>
        <v/>
      </c>
      <c r="T162" s="62" t="str">
        <f t="shared" si="7"/>
        <v/>
      </c>
      <c r="V162" s="62" t="str">
        <f t="shared" si="8"/>
        <v/>
      </c>
    </row>
    <row r="163" spans="17:22" x14ac:dyDescent="0.15">
      <c r="Q163" s="75" t="str">
        <f t="shared" si="6"/>
        <v/>
      </c>
      <c r="T163" s="62" t="str">
        <f t="shared" si="7"/>
        <v/>
      </c>
      <c r="V163" s="62" t="str">
        <f t="shared" si="8"/>
        <v/>
      </c>
    </row>
    <row r="164" spans="17:22" x14ac:dyDescent="0.15">
      <c r="Q164" s="75" t="str">
        <f t="shared" si="6"/>
        <v/>
      </c>
      <c r="T164" s="62" t="str">
        <f t="shared" si="7"/>
        <v/>
      </c>
      <c r="V164" s="62" t="str">
        <f t="shared" si="8"/>
        <v/>
      </c>
    </row>
    <row r="165" spans="17:22" x14ac:dyDescent="0.15">
      <c r="Q165" s="75" t="str">
        <f t="shared" si="6"/>
        <v/>
      </c>
      <c r="T165" s="62" t="str">
        <f t="shared" si="7"/>
        <v/>
      </c>
      <c r="V165" s="62" t="str">
        <f t="shared" si="8"/>
        <v/>
      </c>
    </row>
    <row r="166" spans="17:22" x14ac:dyDescent="0.15">
      <c r="Q166" s="75" t="str">
        <f t="shared" si="6"/>
        <v/>
      </c>
      <c r="T166" s="62" t="str">
        <f t="shared" si="7"/>
        <v/>
      </c>
      <c r="V166" s="62" t="str">
        <f t="shared" si="8"/>
        <v/>
      </c>
    </row>
    <row r="167" spans="17:22" x14ac:dyDescent="0.15">
      <c r="Q167" s="75" t="str">
        <f t="shared" si="6"/>
        <v/>
      </c>
      <c r="T167" s="62" t="str">
        <f t="shared" si="7"/>
        <v/>
      </c>
      <c r="V167" s="62" t="str">
        <f t="shared" si="8"/>
        <v/>
      </c>
    </row>
    <row r="168" spans="17:22" x14ac:dyDescent="0.15">
      <c r="Q168" s="75" t="str">
        <f t="shared" si="6"/>
        <v/>
      </c>
      <c r="T168" s="62" t="str">
        <f t="shared" si="7"/>
        <v/>
      </c>
      <c r="V168" s="62" t="str">
        <f t="shared" si="8"/>
        <v/>
      </c>
    </row>
    <row r="169" spans="17:22" x14ac:dyDescent="0.15">
      <c r="Q169" s="75" t="str">
        <f t="shared" si="6"/>
        <v/>
      </c>
      <c r="T169" s="62" t="str">
        <f t="shared" si="7"/>
        <v/>
      </c>
      <c r="V169" s="62" t="str">
        <f t="shared" si="8"/>
        <v/>
      </c>
    </row>
    <row r="170" spans="17:22" x14ac:dyDescent="0.15">
      <c r="Q170" s="75" t="str">
        <f t="shared" si="6"/>
        <v/>
      </c>
      <c r="T170" s="62" t="str">
        <f t="shared" si="7"/>
        <v/>
      </c>
      <c r="V170" s="62" t="str">
        <f t="shared" si="8"/>
        <v/>
      </c>
    </row>
    <row r="171" spans="17:22" x14ac:dyDescent="0.15">
      <c r="Q171" s="75" t="str">
        <f t="shared" si="6"/>
        <v/>
      </c>
      <c r="T171" s="62" t="str">
        <f t="shared" si="7"/>
        <v/>
      </c>
      <c r="V171" s="62" t="str">
        <f t="shared" si="8"/>
        <v/>
      </c>
    </row>
    <row r="172" spans="17:22" x14ac:dyDescent="0.15">
      <c r="Q172" s="75" t="str">
        <f t="shared" si="6"/>
        <v/>
      </c>
      <c r="T172" s="62" t="str">
        <f t="shared" si="7"/>
        <v/>
      </c>
      <c r="V172" s="62" t="str">
        <f t="shared" si="8"/>
        <v/>
      </c>
    </row>
    <row r="173" spans="17:22" x14ac:dyDescent="0.15">
      <c r="Q173" s="75" t="str">
        <f t="shared" si="6"/>
        <v/>
      </c>
      <c r="T173" s="62" t="str">
        <f t="shared" si="7"/>
        <v/>
      </c>
      <c r="V173" s="62" t="str">
        <f t="shared" si="8"/>
        <v/>
      </c>
    </row>
    <row r="174" spans="17:22" x14ac:dyDescent="0.15">
      <c r="Q174" s="75" t="str">
        <f t="shared" si="6"/>
        <v/>
      </c>
      <c r="T174" s="62" t="str">
        <f t="shared" si="7"/>
        <v/>
      </c>
      <c r="V174" s="62" t="str">
        <f t="shared" si="8"/>
        <v/>
      </c>
    </row>
    <row r="175" spans="17:22" x14ac:dyDescent="0.15">
      <c r="Q175" s="75" t="str">
        <f t="shared" si="6"/>
        <v/>
      </c>
      <c r="T175" s="62" t="str">
        <f t="shared" si="7"/>
        <v/>
      </c>
      <c r="V175" s="62" t="str">
        <f t="shared" si="8"/>
        <v/>
      </c>
    </row>
    <row r="176" spans="17:22" x14ac:dyDescent="0.15">
      <c r="Q176" s="75" t="str">
        <f t="shared" si="6"/>
        <v/>
      </c>
      <c r="T176" s="62" t="str">
        <f t="shared" si="7"/>
        <v/>
      </c>
      <c r="V176" s="62" t="str">
        <f t="shared" si="8"/>
        <v/>
      </c>
    </row>
    <row r="177" spans="17:22" x14ac:dyDescent="0.15">
      <c r="Q177" s="75" t="str">
        <f t="shared" si="6"/>
        <v/>
      </c>
      <c r="T177" s="62" t="str">
        <f t="shared" si="7"/>
        <v/>
      </c>
      <c r="V177" s="62" t="str">
        <f t="shared" si="8"/>
        <v/>
      </c>
    </row>
    <row r="178" spans="17:22" x14ac:dyDescent="0.15">
      <c r="Q178" s="75" t="str">
        <f t="shared" si="6"/>
        <v/>
      </c>
      <c r="T178" s="62" t="str">
        <f t="shared" si="7"/>
        <v/>
      </c>
      <c r="V178" s="62" t="str">
        <f t="shared" si="8"/>
        <v/>
      </c>
    </row>
    <row r="179" spans="17:22" x14ac:dyDescent="0.15">
      <c r="Q179" s="75" t="str">
        <f t="shared" si="6"/>
        <v/>
      </c>
      <c r="T179" s="62" t="str">
        <f t="shared" si="7"/>
        <v/>
      </c>
      <c r="V179" s="62" t="str">
        <f t="shared" si="8"/>
        <v/>
      </c>
    </row>
    <row r="180" spans="17:22" x14ac:dyDescent="0.15">
      <c r="Q180" s="75" t="str">
        <f t="shared" si="6"/>
        <v/>
      </c>
      <c r="T180" s="62" t="str">
        <f t="shared" si="7"/>
        <v/>
      </c>
      <c r="V180" s="62" t="str">
        <f t="shared" si="8"/>
        <v/>
      </c>
    </row>
    <row r="181" spans="17:22" x14ac:dyDescent="0.15">
      <c r="Q181" s="75" t="str">
        <f t="shared" si="6"/>
        <v/>
      </c>
      <c r="T181" s="62" t="str">
        <f t="shared" si="7"/>
        <v/>
      </c>
      <c r="V181" s="62" t="str">
        <f t="shared" si="8"/>
        <v/>
      </c>
    </row>
    <row r="182" spans="17:22" x14ac:dyDescent="0.15">
      <c r="Q182" s="75" t="str">
        <f t="shared" si="6"/>
        <v/>
      </c>
      <c r="T182" s="62" t="str">
        <f t="shared" si="7"/>
        <v/>
      </c>
      <c r="V182" s="62" t="str">
        <f t="shared" si="8"/>
        <v/>
      </c>
    </row>
    <row r="183" spans="17:22" x14ac:dyDescent="0.15">
      <c r="Q183" s="75" t="str">
        <f t="shared" si="6"/>
        <v/>
      </c>
      <c r="T183" s="62" t="str">
        <f t="shared" si="7"/>
        <v/>
      </c>
      <c r="V183" s="62" t="str">
        <f t="shared" si="8"/>
        <v/>
      </c>
    </row>
    <row r="184" spans="17:22" x14ac:dyDescent="0.15">
      <c r="Q184" s="75" t="str">
        <f t="shared" si="6"/>
        <v/>
      </c>
      <c r="T184" s="62" t="str">
        <f t="shared" si="7"/>
        <v/>
      </c>
      <c r="V184" s="62" t="str">
        <f t="shared" si="8"/>
        <v/>
      </c>
    </row>
    <row r="185" spans="17:22" x14ac:dyDescent="0.15">
      <c r="Q185" s="75" t="str">
        <f t="shared" si="6"/>
        <v/>
      </c>
      <c r="T185" s="62" t="str">
        <f t="shared" si="7"/>
        <v/>
      </c>
      <c r="V185" s="62" t="str">
        <f t="shared" si="8"/>
        <v/>
      </c>
    </row>
    <row r="186" spans="17:22" x14ac:dyDescent="0.15">
      <c r="Q186" s="75" t="str">
        <f t="shared" si="6"/>
        <v/>
      </c>
      <c r="T186" s="62" t="str">
        <f t="shared" si="7"/>
        <v/>
      </c>
      <c r="V186" s="62" t="str">
        <f t="shared" si="8"/>
        <v/>
      </c>
    </row>
    <row r="187" spans="17:22" x14ac:dyDescent="0.15">
      <c r="Q187" s="75" t="str">
        <f t="shared" si="6"/>
        <v/>
      </c>
      <c r="T187" s="62" t="str">
        <f t="shared" si="7"/>
        <v/>
      </c>
      <c r="V187" s="62" t="str">
        <f t="shared" si="8"/>
        <v/>
      </c>
    </row>
    <row r="188" spans="17:22" x14ac:dyDescent="0.15">
      <c r="Q188" s="75" t="str">
        <f t="shared" si="6"/>
        <v/>
      </c>
      <c r="T188" s="62" t="str">
        <f t="shared" si="7"/>
        <v/>
      </c>
      <c r="V188" s="62" t="str">
        <f t="shared" si="8"/>
        <v/>
      </c>
    </row>
    <row r="189" spans="17:22" x14ac:dyDescent="0.15">
      <c r="Q189" s="75" t="str">
        <f t="shared" si="6"/>
        <v/>
      </c>
      <c r="T189" s="62" t="str">
        <f t="shared" si="7"/>
        <v/>
      </c>
      <c r="V189" s="62" t="str">
        <f t="shared" si="8"/>
        <v/>
      </c>
    </row>
    <row r="190" spans="17:22" x14ac:dyDescent="0.15">
      <c r="Q190" s="75" t="str">
        <f t="shared" si="6"/>
        <v/>
      </c>
      <c r="T190" s="62" t="str">
        <f t="shared" si="7"/>
        <v/>
      </c>
      <c r="V190" s="62" t="str">
        <f t="shared" si="8"/>
        <v/>
      </c>
    </row>
    <row r="191" spans="17:22" x14ac:dyDescent="0.15">
      <c r="Q191" s="75" t="str">
        <f t="shared" si="6"/>
        <v/>
      </c>
      <c r="T191" s="62" t="str">
        <f t="shared" si="7"/>
        <v/>
      </c>
      <c r="V191" s="62" t="str">
        <f t="shared" si="8"/>
        <v/>
      </c>
    </row>
    <row r="192" spans="17:22" x14ac:dyDescent="0.15">
      <c r="Q192" s="75" t="str">
        <f t="shared" si="6"/>
        <v/>
      </c>
      <c r="T192" s="62" t="str">
        <f t="shared" si="7"/>
        <v/>
      </c>
      <c r="V192" s="62" t="str">
        <f t="shared" si="8"/>
        <v/>
      </c>
    </row>
    <row r="193" spans="17:22" x14ac:dyDescent="0.15">
      <c r="Q193" s="75" t="str">
        <f t="shared" si="6"/>
        <v/>
      </c>
      <c r="T193" s="62" t="str">
        <f t="shared" si="7"/>
        <v/>
      </c>
      <c r="V193" s="62" t="str">
        <f t="shared" si="8"/>
        <v/>
      </c>
    </row>
    <row r="194" spans="17:22" x14ac:dyDescent="0.15">
      <c r="Q194" s="75" t="str">
        <f t="shared" ref="Q194:Q257" si="9">IF(OR(O194="",P194=""),"",AVERAGE(O194,P194))</f>
        <v/>
      </c>
      <c r="T194" s="62" t="str">
        <f t="shared" ref="T194:T257" si="10">IF(H194="","",IF(OR(H194="GREEN",H194="GK"),IF(S194&gt;=$AX$2,VLOOKUP(S194,$AX$2:$AY$10,2,1),""),IF(S194&gt;=$AZ$2,VLOOKUP(S194,$AZ$2:$BA$10,2,1),"")))</f>
        <v/>
      </c>
      <c r="V194" s="62" t="str">
        <f t="shared" ref="V194:V257" si="11">IF(OR(N194="",U194="",T194=""),"",U194/N194*T194)</f>
        <v/>
      </c>
    </row>
    <row r="195" spans="17:22" x14ac:dyDescent="0.15">
      <c r="Q195" s="75" t="str">
        <f t="shared" si="9"/>
        <v/>
      </c>
      <c r="T195" s="62" t="str">
        <f t="shared" si="10"/>
        <v/>
      </c>
      <c r="V195" s="62" t="str">
        <f t="shared" si="11"/>
        <v/>
      </c>
    </row>
    <row r="196" spans="17:22" x14ac:dyDescent="0.15">
      <c r="Q196" s="75" t="str">
        <f t="shared" si="9"/>
        <v/>
      </c>
      <c r="T196" s="62" t="str">
        <f t="shared" si="10"/>
        <v/>
      </c>
      <c r="V196" s="62" t="str">
        <f t="shared" si="11"/>
        <v/>
      </c>
    </row>
    <row r="197" spans="17:22" x14ac:dyDescent="0.15">
      <c r="Q197" s="75" t="str">
        <f t="shared" si="9"/>
        <v/>
      </c>
      <c r="T197" s="62" t="str">
        <f t="shared" si="10"/>
        <v/>
      </c>
      <c r="V197" s="62" t="str">
        <f t="shared" si="11"/>
        <v/>
      </c>
    </row>
    <row r="198" spans="17:22" x14ac:dyDescent="0.15">
      <c r="Q198" s="75" t="str">
        <f t="shared" si="9"/>
        <v/>
      </c>
      <c r="T198" s="62" t="str">
        <f t="shared" si="10"/>
        <v/>
      </c>
      <c r="V198" s="62" t="str">
        <f t="shared" si="11"/>
        <v/>
      </c>
    </row>
    <row r="199" spans="17:22" x14ac:dyDescent="0.15">
      <c r="Q199" s="75" t="str">
        <f t="shared" si="9"/>
        <v/>
      </c>
      <c r="T199" s="62" t="str">
        <f t="shared" si="10"/>
        <v/>
      </c>
      <c r="V199" s="62" t="str">
        <f t="shared" si="11"/>
        <v/>
      </c>
    </row>
    <row r="200" spans="17:22" x14ac:dyDescent="0.15">
      <c r="Q200" s="75" t="str">
        <f t="shared" si="9"/>
        <v/>
      </c>
      <c r="T200" s="62" t="str">
        <f t="shared" si="10"/>
        <v/>
      </c>
      <c r="V200" s="62" t="str">
        <f t="shared" si="11"/>
        <v/>
      </c>
    </row>
    <row r="201" spans="17:22" x14ac:dyDescent="0.15">
      <c r="Q201" s="75" t="str">
        <f t="shared" si="9"/>
        <v/>
      </c>
      <c r="T201" s="62" t="str">
        <f t="shared" si="10"/>
        <v/>
      </c>
      <c r="V201" s="62" t="str">
        <f t="shared" si="11"/>
        <v/>
      </c>
    </row>
    <row r="202" spans="17:22" x14ac:dyDescent="0.15">
      <c r="Q202" s="75" t="str">
        <f t="shared" si="9"/>
        <v/>
      </c>
      <c r="T202" s="62" t="str">
        <f t="shared" si="10"/>
        <v/>
      </c>
      <c r="V202" s="62" t="str">
        <f t="shared" si="11"/>
        <v/>
      </c>
    </row>
    <row r="203" spans="17:22" x14ac:dyDescent="0.15">
      <c r="Q203" s="75" t="str">
        <f t="shared" si="9"/>
        <v/>
      </c>
      <c r="T203" s="62" t="str">
        <f t="shared" si="10"/>
        <v/>
      </c>
      <c r="V203" s="62" t="str">
        <f t="shared" si="11"/>
        <v/>
      </c>
    </row>
    <row r="204" spans="17:22" x14ac:dyDescent="0.15">
      <c r="Q204" s="75" t="str">
        <f t="shared" si="9"/>
        <v/>
      </c>
      <c r="T204" s="62" t="str">
        <f t="shared" si="10"/>
        <v/>
      </c>
      <c r="V204" s="62" t="str">
        <f t="shared" si="11"/>
        <v/>
      </c>
    </row>
    <row r="205" spans="17:22" x14ac:dyDescent="0.15">
      <c r="Q205" s="75" t="str">
        <f t="shared" si="9"/>
        <v/>
      </c>
      <c r="T205" s="62" t="str">
        <f t="shared" si="10"/>
        <v/>
      </c>
      <c r="V205" s="62" t="str">
        <f t="shared" si="11"/>
        <v/>
      </c>
    </row>
    <row r="206" spans="17:22" x14ac:dyDescent="0.15">
      <c r="Q206" s="75" t="str">
        <f t="shared" si="9"/>
        <v/>
      </c>
      <c r="T206" s="62" t="str">
        <f t="shared" si="10"/>
        <v/>
      </c>
      <c r="V206" s="62" t="str">
        <f t="shared" si="11"/>
        <v/>
      </c>
    </row>
    <row r="207" spans="17:22" x14ac:dyDescent="0.15">
      <c r="Q207" s="75" t="str">
        <f t="shared" si="9"/>
        <v/>
      </c>
      <c r="T207" s="62" t="str">
        <f t="shared" si="10"/>
        <v/>
      </c>
      <c r="V207" s="62" t="str">
        <f t="shared" si="11"/>
        <v/>
      </c>
    </row>
    <row r="208" spans="17:22" x14ac:dyDescent="0.15">
      <c r="Q208" s="75" t="str">
        <f t="shared" si="9"/>
        <v/>
      </c>
      <c r="T208" s="62" t="str">
        <f t="shared" si="10"/>
        <v/>
      </c>
      <c r="V208" s="62" t="str">
        <f t="shared" si="11"/>
        <v/>
      </c>
    </row>
    <row r="209" spans="17:22" x14ac:dyDescent="0.15">
      <c r="Q209" s="75" t="str">
        <f t="shared" si="9"/>
        <v/>
      </c>
      <c r="T209" s="62" t="str">
        <f t="shared" si="10"/>
        <v/>
      </c>
      <c r="V209" s="62" t="str">
        <f t="shared" si="11"/>
        <v/>
      </c>
    </row>
    <row r="210" spans="17:22" x14ac:dyDescent="0.15">
      <c r="Q210" s="75" t="str">
        <f t="shared" si="9"/>
        <v/>
      </c>
      <c r="T210" s="62" t="str">
        <f t="shared" si="10"/>
        <v/>
      </c>
      <c r="V210" s="62" t="str">
        <f t="shared" si="11"/>
        <v/>
      </c>
    </row>
    <row r="211" spans="17:22" x14ac:dyDescent="0.15">
      <c r="Q211" s="75" t="str">
        <f t="shared" si="9"/>
        <v/>
      </c>
      <c r="T211" s="62" t="str">
        <f t="shared" si="10"/>
        <v/>
      </c>
      <c r="V211" s="62" t="str">
        <f t="shared" si="11"/>
        <v/>
      </c>
    </row>
    <row r="212" spans="17:22" x14ac:dyDescent="0.15">
      <c r="Q212" s="75" t="str">
        <f t="shared" si="9"/>
        <v/>
      </c>
      <c r="T212" s="62" t="str">
        <f t="shared" si="10"/>
        <v/>
      </c>
      <c r="V212" s="62" t="str">
        <f t="shared" si="11"/>
        <v/>
      </c>
    </row>
    <row r="213" spans="17:22" x14ac:dyDescent="0.15">
      <c r="Q213" s="75" t="str">
        <f t="shared" si="9"/>
        <v/>
      </c>
      <c r="T213" s="62" t="str">
        <f t="shared" si="10"/>
        <v/>
      </c>
      <c r="V213" s="62" t="str">
        <f t="shared" si="11"/>
        <v/>
      </c>
    </row>
    <row r="214" spans="17:22" x14ac:dyDescent="0.15">
      <c r="Q214" s="75" t="str">
        <f t="shared" si="9"/>
        <v/>
      </c>
      <c r="T214" s="62" t="str">
        <f t="shared" si="10"/>
        <v/>
      </c>
      <c r="V214" s="62" t="str">
        <f t="shared" si="11"/>
        <v/>
      </c>
    </row>
    <row r="215" spans="17:22" x14ac:dyDescent="0.15">
      <c r="Q215" s="75" t="str">
        <f t="shared" si="9"/>
        <v/>
      </c>
      <c r="T215" s="62" t="str">
        <f t="shared" si="10"/>
        <v/>
      </c>
      <c r="V215" s="62" t="str">
        <f t="shared" si="11"/>
        <v/>
      </c>
    </row>
    <row r="216" spans="17:22" x14ac:dyDescent="0.15">
      <c r="Q216" s="75" t="str">
        <f t="shared" si="9"/>
        <v/>
      </c>
      <c r="T216" s="62" t="str">
        <f t="shared" si="10"/>
        <v/>
      </c>
      <c r="V216" s="62" t="str">
        <f t="shared" si="11"/>
        <v/>
      </c>
    </row>
    <row r="217" spans="17:22" x14ac:dyDescent="0.15">
      <c r="Q217" s="75" t="str">
        <f t="shared" si="9"/>
        <v/>
      </c>
      <c r="T217" s="62" t="str">
        <f t="shared" si="10"/>
        <v/>
      </c>
      <c r="V217" s="62" t="str">
        <f t="shared" si="11"/>
        <v/>
      </c>
    </row>
    <row r="218" spans="17:22" x14ac:dyDescent="0.15">
      <c r="Q218" s="75" t="str">
        <f t="shared" si="9"/>
        <v/>
      </c>
      <c r="T218" s="62" t="str">
        <f t="shared" si="10"/>
        <v/>
      </c>
      <c r="V218" s="62" t="str">
        <f t="shared" si="11"/>
        <v/>
      </c>
    </row>
    <row r="219" spans="17:22" x14ac:dyDescent="0.15">
      <c r="Q219" s="75" t="str">
        <f t="shared" si="9"/>
        <v/>
      </c>
      <c r="T219" s="62" t="str">
        <f t="shared" si="10"/>
        <v/>
      </c>
      <c r="V219" s="62" t="str">
        <f t="shared" si="11"/>
        <v/>
      </c>
    </row>
    <row r="220" spans="17:22" x14ac:dyDescent="0.15">
      <c r="Q220" s="75" t="str">
        <f t="shared" si="9"/>
        <v/>
      </c>
      <c r="T220" s="62" t="str">
        <f t="shared" si="10"/>
        <v/>
      </c>
      <c r="V220" s="62" t="str">
        <f t="shared" si="11"/>
        <v/>
      </c>
    </row>
    <row r="221" spans="17:22" x14ac:dyDescent="0.15">
      <c r="Q221" s="75" t="str">
        <f t="shared" si="9"/>
        <v/>
      </c>
      <c r="T221" s="62" t="str">
        <f t="shared" si="10"/>
        <v/>
      </c>
      <c r="V221" s="62" t="str">
        <f t="shared" si="11"/>
        <v/>
      </c>
    </row>
    <row r="222" spans="17:22" x14ac:dyDescent="0.15">
      <c r="Q222" s="75" t="str">
        <f t="shared" si="9"/>
        <v/>
      </c>
      <c r="T222" s="62" t="str">
        <f t="shared" si="10"/>
        <v/>
      </c>
      <c r="V222" s="62" t="str">
        <f t="shared" si="11"/>
        <v/>
      </c>
    </row>
    <row r="223" spans="17:22" x14ac:dyDescent="0.15">
      <c r="Q223" s="75" t="str">
        <f t="shared" si="9"/>
        <v/>
      </c>
      <c r="T223" s="62" t="str">
        <f t="shared" si="10"/>
        <v/>
      </c>
      <c r="V223" s="62" t="str">
        <f t="shared" si="11"/>
        <v/>
      </c>
    </row>
    <row r="224" spans="17:22" x14ac:dyDescent="0.15">
      <c r="Q224" s="75" t="str">
        <f t="shared" si="9"/>
        <v/>
      </c>
      <c r="T224" s="62" t="str">
        <f t="shared" si="10"/>
        <v/>
      </c>
      <c r="V224" s="62" t="str">
        <f t="shared" si="11"/>
        <v/>
      </c>
    </row>
    <row r="225" spans="17:22" x14ac:dyDescent="0.15">
      <c r="Q225" s="75" t="str">
        <f t="shared" si="9"/>
        <v/>
      </c>
      <c r="T225" s="62" t="str">
        <f t="shared" si="10"/>
        <v/>
      </c>
      <c r="V225" s="62" t="str">
        <f t="shared" si="11"/>
        <v/>
      </c>
    </row>
    <row r="226" spans="17:22" x14ac:dyDescent="0.15">
      <c r="Q226" s="75" t="str">
        <f t="shared" si="9"/>
        <v/>
      </c>
      <c r="T226" s="62" t="str">
        <f t="shared" si="10"/>
        <v/>
      </c>
      <c r="V226" s="62" t="str">
        <f t="shared" si="11"/>
        <v/>
      </c>
    </row>
    <row r="227" spans="17:22" x14ac:dyDescent="0.15">
      <c r="Q227" s="75" t="str">
        <f t="shared" si="9"/>
        <v/>
      </c>
      <c r="T227" s="62" t="str">
        <f t="shared" si="10"/>
        <v/>
      </c>
      <c r="V227" s="62" t="str">
        <f t="shared" si="11"/>
        <v/>
      </c>
    </row>
    <row r="228" spans="17:22" x14ac:dyDescent="0.15">
      <c r="Q228" s="75" t="str">
        <f t="shared" si="9"/>
        <v/>
      </c>
      <c r="T228" s="62" t="str">
        <f t="shared" si="10"/>
        <v/>
      </c>
      <c r="V228" s="62" t="str">
        <f t="shared" si="11"/>
        <v/>
      </c>
    </row>
    <row r="229" spans="17:22" x14ac:dyDescent="0.15">
      <c r="Q229" s="75" t="str">
        <f t="shared" si="9"/>
        <v/>
      </c>
      <c r="T229" s="62" t="str">
        <f t="shared" si="10"/>
        <v/>
      </c>
      <c r="V229" s="62" t="str">
        <f t="shared" si="11"/>
        <v/>
      </c>
    </row>
    <row r="230" spans="17:22" x14ac:dyDescent="0.15">
      <c r="Q230" s="75" t="str">
        <f t="shared" si="9"/>
        <v/>
      </c>
      <c r="T230" s="62" t="str">
        <f t="shared" si="10"/>
        <v/>
      </c>
      <c r="V230" s="62" t="str">
        <f t="shared" si="11"/>
        <v/>
      </c>
    </row>
    <row r="231" spans="17:22" x14ac:dyDescent="0.15">
      <c r="Q231" s="75" t="str">
        <f t="shared" si="9"/>
        <v/>
      </c>
      <c r="T231" s="62" t="str">
        <f t="shared" si="10"/>
        <v/>
      </c>
      <c r="V231" s="62" t="str">
        <f t="shared" si="11"/>
        <v/>
      </c>
    </row>
    <row r="232" spans="17:22" x14ac:dyDescent="0.15">
      <c r="Q232" s="75" t="str">
        <f t="shared" si="9"/>
        <v/>
      </c>
      <c r="T232" s="62" t="str">
        <f t="shared" si="10"/>
        <v/>
      </c>
      <c r="V232" s="62" t="str">
        <f t="shared" si="11"/>
        <v/>
      </c>
    </row>
    <row r="233" spans="17:22" x14ac:dyDescent="0.15">
      <c r="Q233" s="75" t="str">
        <f t="shared" si="9"/>
        <v/>
      </c>
      <c r="T233" s="62" t="str">
        <f t="shared" si="10"/>
        <v/>
      </c>
      <c r="V233" s="62" t="str">
        <f t="shared" si="11"/>
        <v/>
      </c>
    </row>
    <row r="234" spans="17:22" x14ac:dyDescent="0.15">
      <c r="Q234" s="75" t="str">
        <f t="shared" si="9"/>
        <v/>
      </c>
      <c r="T234" s="62" t="str">
        <f t="shared" si="10"/>
        <v/>
      </c>
      <c r="V234" s="62" t="str">
        <f t="shared" si="11"/>
        <v/>
      </c>
    </row>
    <row r="235" spans="17:22" x14ac:dyDescent="0.15">
      <c r="Q235" s="75" t="str">
        <f t="shared" si="9"/>
        <v/>
      </c>
      <c r="T235" s="62" t="str">
        <f t="shared" si="10"/>
        <v/>
      </c>
      <c r="V235" s="62" t="str">
        <f t="shared" si="11"/>
        <v/>
      </c>
    </row>
    <row r="236" spans="17:22" x14ac:dyDescent="0.15">
      <c r="Q236" s="75" t="str">
        <f t="shared" si="9"/>
        <v/>
      </c>
      <c r="T236" s="62" t="str">
        <f t="shared" si="10"/>
        <v/>
      </c>
      <c r="V236" s="62" t="str">
        <f t="shared" si="11"/>
        <v/>
      </c>
    </row>
    <row r="237" spans="17:22" x14ac:dyDescent="0.15">
      <c r="Q237" s="75" t="str">
        <f t="shared" si="9"/>
        <v/>
      </c>
      <c r="T237" s="62" t="str">
        <f t="shared" si="10"/>
        <v/>
      </c>
      <c r="V237" s="62" t="str">
        <f t="shared" si="11"/>
        <v/>
      </c>
    </row>
    <row r="238" spans="17:22" x14ac:dyDescent="0.15">
      <c r="Q238" s="75" t="str">
        <f t="shared" si="9"/>
        <v/>
      </c>
      <c r="T238" s="62" t="str">
        <f t="shared" si="10"/>
        <v/>
      </c>
      <c r="V238" s="62" t="str">
        <f t="shared" si="11"/>
        <v/>
      </c>
    </row>
    <row r="239" spans="17:22" x14ac:dyDescent="0.15">
      <c r="Q239" s="75" t="str">
        <f t="shared" si="9"/>
        <v/>
      </c>
      <c r="T239" s="62" t="str">
        <f t="shared" si="10"/>
        <v/>
      </c>
      <c r="V239" s="62" t="str">
        <f t="shared" si="11"/>
        <v/>
      </c>
    </row>
    <row r="240" spans="17:22" x14ac:dyDescent="0.15">
      <c r="Q240" s="75" t="str">
        <f t="shared" si="9"/>
        <v/>
      </c>
      <c r="T240" s="62" t="str">
        <f t="shared" si="10"/>
        <v/>
      </c>
      <c r="V240" s="62" t="str">
        <f t="shared" si="11"/>
        <v/>
      </c>
    </row>
    <row r="241" spans="17:22" x14ac:dyDescent="0.15">
      <c r="Q241" s="75" t="str">
        <f t="shared" si="9"/>
        <v/>
      </c>
      <c r="T241" s="62" t="str">
        <f t="shared" si="10"/>
        <v/>
      </c>
      <c r="V241" s="62" t="str">
        <f t="shared" si="11"/>
        <v/>
      </c>
    </row>
    <row r="242" spans="17:22" x14ac:dyDescent="0.15">
      <c r="Q242" s="75" t="str">
        <f t="shared" si="9"/>
        <v/>
      </c>
      <c r="T242" s="62" t="str">
        <f t="shared" si="10"/>
        <v/>
      </c>
      <c r="V242" s="62" t="str">
        <f t="shared" si="11"/>
        <v/>
      </c>
    </row>
    <row r="243" spans="17:22" x14ac:dyDescent="0.15">
      <c r="Q243" s="75" t="str">
        <f t="shared" si="9"/>
        <v/>
      </c>
      <c r="T243" s="62" t="str">
        <f t="shared" si="10"/>
        <v/>
      </c>
      <c r="V243" s="62" t="str">
        <f t="shared" si="11"/>
        <v/>
      </c>
    </row>
    <row r="244" spans="17:22" x14ac:dyDescent="0.15">
      <c r="Q244" s="75" t="str">
        <f t="shared" si="9"/>
        <v/>
      </c>
      <c r="T244" s="62" t="str">
        <f t="shared" si="10"/>
        <v/>
      </c>
      <c r="V244" s="62" t="str">
        <f t="shared" si="11"/>
        <v/>
      </c>
    </row>
    <row r="245" spans="17:22" x14ac:dyDescent="0.15">
      <c r="Q245" s="75" t="str">
        <f t="shared" si="9"/>
        <v/>
      </c>
      <c r="T245" s="62" t="str">
        <f t="shared" si="10"/>
        <v/>
      </c>
      <c r="V245" s="62" t="str">
        <f t="shared" si="11"/>
        <v/>
      </c>
    </row>
    <row r="246" spans="17:22" x14ac:dyDescent="0.15">
      <c r="Q246" s="75" t="str">
        <f t="shared" si="9"/>
        <v/>
      </c>
      <c r="T246" s="62" t="str">
        <f t="shared" si="10"/>
        <v/>
      </c>
      <c r="V246" s="62" t="str">
        <f t="shared" si="11"/>
        <v/>
      </c>
    </row>
    <row r="247" spans="17:22" x14ac:dyDescent="0.15">
      <c r="Q247" s="75" t="str">
        <f t="shared" si="9"/>
        <v/>
      </c>
      <c r="T247" s="62" t="str">
        <f t="shared" si="10"/>
        <v/>
      </c>
      <c r="V247" s="62" t="str">
        <f t="shared" si="11"/>
        <v/>
      </c>
    </row>
    <row r="248" spans="17:22" x14ac:dyDescent="0.15">
      <c r="Q248" s="75" t="str">
        <f t="shared" si="9"/>
        <v/>
      </c>
      <c r="T248" s="62" t="str">
        <f t="shared" si="10"/>
        <v/>
      </c>
      <c r="V248" s="62" t="str">
        <f t="shared" si="11"/>
        <v/>
      </c>
    </row>
    <row r="249" spans="17:22" x14ac:dyDescent="0.15">
      <c r="Q249" s="75" t="str">
        <f t="shared" si="9"/>
        <v/>
      </c>
      <c r="T249" s="62" t="str">
        <f t="shared" si="10"/>
        <v/>
      </c>
      <c r="V249" s="62" t="str">
        <f t="shared" si="11"/>
        <v/>
      </c>
    </row>
    <row r="250" spans="17:22" x14ac:dyDescent="0.15">
      <c r="Q250" s="75" t="str">
        <f t="shared" si="9"/>
        <v/>
      </c>
      <c r="T250" s="62" t="str">
        <f t="shared" si="10"/>
        <v/>
      </c>
      <c r="V250" s="62" t="str">
        <f t="shared" si="11"/>
        <v/>
      </c>
    </row>
    <row r="251" spans="17:22" x14ac:dyDescent="0.15">
      <c r="Q251" s="75" t="str">
        <f t="shared" si="9"/>
        <v/>
      </c>
      <c r="T251" s="62" t="str">
        <f t="shared" si="10"/>
        <v/>
      </c>
      <c r="V251" s="62" t="str">
        <f t="shared" si="11"/>
        <v/>
      </c>
    </row>
    <row r="252" spans="17:22" x14ac:dyDescent="0.15">
      <c r="Q252" s="75" t="str">
        <f t="shared" si="9"/>
        <v/>
      </c>
      <c r="T252" s="62" t="str">
        <f t="shared" si="10"/>
        <v/>
      </c>
      <c r="V252" s="62" t="str">
        <f t="shared" si="11"/>
        <v/>
      </c>
    </row>
    <row r="253" spans="17:22" x14ac:dyDescent="0.15">
      <c r="Q253" s="75" t="str">
        <f t="shared" si="9"/>
        <v/>
      </c>
      <c r="T253" s="62" t="str">
        <f t="shared" si="10"/>
        <v/>
      </c>
      <c r="V253" s="62" t="str">
        <f t="shared" si="11"/>
        <v/>
      </c>
    </row>
    <row r="254" spans="17:22" x14ac:dyDescent="0.15">
      <c r="Q254" s="75" t="str">
        <f t="shared" si="9"/>
        <v/>
      </c>
      <c r="T254" s="62" t="str">
        <f t="shared" si="10"/>
        <v/>
      </c>
      <c r="V254" s="62" t="str">
        <f t="shared" si="11"/>
        <v/>
      </c>
    </row>
    <row r="255" spans="17:22" x14ac:dyDescent="0.15">
      <c r="Q255" s="75" t="str">
        <f t="shared" si="9"/>
        <v/>
      </c>
      <c r="T255" s="62" t="str">
        <f t="shared" si="10"/>
        <v/>
      </c>
      <c r="V255" s="62" t="str">
        <f t="shared" si="11"/>
        <v/>
      </c>
    </row>
    <row r="256" spans="17:22" x14ac:dyDescent="0.15">
      <c r="Q256" s="75" t="str">
        <f t="shared" si="9"/>
        <v/>
      </c>
      <c r="T256" s="62" t="str">
        <f t="shared" si="10"/>
        <v/>
      </c>
      <c r="V256" s="62" t="str">
        <f t="shared" si="11"/>
        <v/>
      </c>
    </row>
    <row r="257" spans="17:22" x14ac:dyDescent="0.15">
      <c r="Q257" s="75" t="str">
        <f t="shared" si="9"/>
        <v/>
      </c>
      <c r="T257" s="62" t="str">
        <f t="shared" si="10"/>
        <v/>
      </c>
      <c r="V257" s="62" t="str">
        <f t="shared" si="11"/>
        <v/>
      </c>
    </row>
    <row r="258" spans="17:22" x14ac:dyDescent="0.15">
      <c r="Q258" s="75" t="str">
        <f t="shared" ref="Q258:Q321" si="12">IF(OR(O258="",P258=""),"",AVERAGE(O258,P258))</f>
        <v/>
      </c>
      <c r="T258" s="62" t="str">
        <f t="shared" ref="T258:T321" si="13">IF(H258="","",IF(OR(H258="GREEN",H258="GK"),IF(S258&gt;=$AX$2,VLOOKUP(S258,$AX$2:$AY$10,2,1),""),IF(S258&gt;=$AZ$2,VLOOKUP(S258,$AZ$2:$BA$10,2,1),"")))</f>
        <v/>
      </c>
      <c r="V258" s="62" t="str">
        <f t="shared" ref="V258:V321" si="14">IF(OR(N258="",U258="",T258=""),"",U258/N258*T258)</f>
        <v/>
      </c>
    </row>
    <row r="259" spans="17:22" x14ac:dyDescent="0.15">
      <c r="Q259" s="75" t="str">
        <f t="shared" si="12"/>
        <v/>
      </c>
      <c r="T259" s="62" t="str">
        <f t="shared" si="13"/>
        <v/>
      </c>
      <c r="V259" s="62" t="str">
        <f t="shared" si="14"/>
        <v/>
      </c>
    </row>
    <row r="260" spans="17:22" x14ac:dyDescent="0.15">
      <c r="Q260" s="75" t="str">
        <f t="shared" si="12"/>
        <v/>
      </c>
      <c r="T260" s="62" t="str">
        <f t="shared" si="13"/>
        <v/>
      </c>
      <c r="V260" s="62" t="str">
        <f t="shared" si="14"/>
        <v/>
      </c>
    </row>
    <row r="261" spans="17:22" x14ac:dyDescent="0.15">
      <c r="Q261" s="75" t="str">
        <f t="shared" si="12"/>
        <v/>
      </c>
      <c r="T261" s="62" t="str">
        <f t="shared" si="13"/>
        <v/>
      </c>
      <c r="V261" s="62" t="str">
        <f t="shared" si="14"/>
        <v/>
      </c>
    </row>
    <row r="262" spans="17:22" x14ac:dyDescent="0.15">
      <c r="Q262" s="75" t="str">
        <f t="shared" si="12"/>
        <v/>
      </c>
      <c r="T262" s="62" t="str">
        <f t="shared" si="13"/>
        <v/>
      </c>
      <c r="V262" s="62" t="str">
        <f t="shared" si="14"/>
        <v/>
      </c>
    </row>
    <row r="263" spans="17:22" x14ac:dyDescent="0.15">
      <c r="Q263" s="75" t="str">
        <f t="shared" si="12"/>
        <v/>
      </c>
      <c r="T263" s="62" t="str">
        <f t="shared" si="13"/>
        <v/>
      </c>
      <c r="V263" s="62" t="str">
        <f t="shared" si="14"/>
        <v/>
      </c>
    </row>
    <row r="264" spans="17:22" x14ac:dyDescent="0.15">
      <c r="Q264" s="75" t="str">
        <f t="shared" si="12"/>
        <v/>
      </c>
      <c r="T264" s="62" t="str">
        <f t="shared" si="13"/>
        <v/>
      </c>
      <c r="V264" s="62" t="str">
        <f t="shared" si="14"/>
        <v/>
      </c>
    </row>
    <row r="265" spans="17:22" x14ac:dyDescent="0.15">
      <c r="Q265" s="75" t="str">
        <f t="shared" si="12"/>
        <v/>
      </c>
      <c r="T265" s="62" t="str">
        <f t="shared" si="13"/>
        <v/>
      </c>
      <c r="V265" s="62" t="str">
        <f t="shared" si="14"/>
        <v/>
      </c>
    </row>
    <row r="266" spans="17:22" x14ac:dyDescent="0.15">
      <c r="Q266" s="75" t="str">
        <f t="shared" si="12"/>
        <v/>
      </c>
      <c r="T266" s="62" t="str">
        <f t="shared" si="13"/>
        <v/>
      </c>
      <c r="V266" s="62" t="str">
        <f t="shared" si="14"/>
        <v/>
      </c>
    </row>
    <row r="267" spans="17:22" x14ac:dyDescent="0.15">
      <c r="Q267" s="75" t="str">
        <f t="shared" si="12"/>
        <v/>
      </c>
      <c r="T267" s="62" t="str">
        <f t="shared" si="13"/>
        <v/>
      </c>
      <c r="V267" s="62" t="str">
        <f t="shared" si="14"/>
        <v/>
      </c>
    </row>
    <row r="268" spans="17:22" x14ac:dyDescent="0.15">
      <c r="Q268" s="75" t="str">
        <f t="shared" si="12"/>
        <v/>
      </c>
      <c r="T268" s="62" t="str">
        <f t="shared" si="13"/>
        <v/>
      </c>
      <c r="V268" s="62" t="str">
        <f t="shared" si="14"/>
        <v/>
      </c>
    </row>
    <row r="269" spans="17:22" x14ac:dyDescent="0.15">
      <c r="Q269" s="75" t="str">
        <f t="shared" si="12"/>
        <v/>
      </c>
      <c r="T269" s="62" t="str">
        <f t="shared" si="13"/>
        <v/>
      </c>
      <c r="V269" s="62" t="str">
        <f t="shared" si="14"/>
        <v/>
      </c>
    </row>
    <row r="270" spans="17:22" x14ac:dyDescent="0.15">
      <c r="Q270" s="75" t="str">
        <f t="shared" si="12"/>
        <v/>
      </c>
      <c r="T270" s="62" t="str">
        <f t="shared" si="13"/>
        <v/>
      </c>
      <c r="V270" s="62" t="str">
        <f t="shared" si="14"/>
        <v/>
      </c>
    </row>
    <row r="271" spans="17:22" x14ac:dyDescent="0.15">
      <c r="Q271" s="75" t="str">
        <f t="shared" si="12"/>
        <v/>
      </c>
      <c r="T271" s="62" t="str">
        <f t="shared" si="13"/>
        <v/>
      </c>
      <c r="V271" s="62" t="str">
        <f t="shared" si="14"/>
        <v/>
      </c>
    </row>
    <row r="272" spans="17:22" x14ac:dyDescent="0.15">
      <c r="Q272" s="75" t="str">
        <f t="shared" si="12"/>
        <v/>
      </c>
      <c r="T272" s="62" t="str">
        <f t="shared" si="13"/>
        <v/>
      </c>
      <c r="V272" s="62" t="str">
        <f t="shared" si="14"/>
        <v/>
      </c>
    </row>
    <row r="273" spans="17:22" x14ac:dyDescent="0.15">
      <c r="Q273" s="75" t="str">
        <f t="shared" si="12"/>
        <v/>
      </c>
      <c r="T273" s="62" t="str">
        <f t="shared" si="13"/>
        <v/>
      </c>
      <c r="V273" s="62" t="str">
        <f t="shared" si="14"/>
        <v/>
      </c>
    </row>
    <row r="274" spans="17:22" x14ac:dyDescent="0.15">
      <c r="Q274" s="75" t="str">
        <f t="shared" si="12"/>
        <v/>
      </c>
      <c r="T274" s="62" t="str">
        <f t="shared" si="13"/>
        <v/>
      </c>
      <c r="V274" s="62" t="str">
        <f t="shared" si="14"/>
        <v/>
      </c>
    </row>
    <row r="275" spans="17:22" x14ac:dyDescent="0.15">
      <c r="Q275" s="75" t="str">
        <f t="shared" si="12"/>
        <v/>
      </c>
      <c r="T275" s="62" t="str">
        <f t="shared" si="13"/>
        <v/>
      </c>
      <c r="V275" s="62" t="str">
        <f t="shared" si="14"/>
        <v/>
      </c>
    </row>
    <row r="276" spans="17:22" x14ac:dyDescent="0.15">
      <c r="Q276" s="75" t="str">
        <f t="shared" si="12"/>
        <v/>
      </c>
      <c r="T276" s="62" t="str">
        <f t="shared" si="13"/>
        <v/>
      </c>
      <c r="V276" s="62" t="str">
        <f t="shared" si="14"/>
        <v/>
      </c>
    </row>
    <row r="277" spans="17:22" x14ac:dyDescent="0.15">
      <c r="Q277" s="75" t="str">
        <f t="shared" si="12"/>
        <v/>
      </c>
      <c r="T277" s="62" t="str">
        <f t="shared" si="13"/>
        <v/>
      </c>
      <c r="V277" s="62" t="str">
        <f t="shared" si="14"/>
        <v/>
      </c>
    </row>
    <row r="278" spans="17:22" x14ac:dyDescent="0.15">
      <c r="Q278" s="75" t="str">
        <f t="shared" si="12"/>
        <v/>
      </c>
      <c r="T278" s="62" t="str">
        <f t="shared" si="13"/>
        <v/>
      </c>
      <c r="V278" s="62" t="str">
        <f t="shared" si="14"/>
        <v/>
      </c>
    </row>
    <row r="279" spans="17:22" x14ac:dyDescent="0.15">
      <c r="Q279" s="75" t="str">
        <f t="shared" si="12"/>
        <v/>
      </c>
      <c r="T279" s="62" t="str">
        <f t="shared" si="13"/>
        <v/>
      </c>
      <c r="V279" s="62" t="str">
        <f t="shared" si="14"/>
        <v/>
      </c>
    </row>
    <row r="280" spans="17:22" x14ac:dyDescent="0.15">
      <c r="Q280" s="75" t="str">
        <f t="shared" si="12"/>
        <v/>
      </c>
      <c r="T280" s="62" t="str">
        <f t="shared" si="13"/>
        <v/>
      </c>
      <c r="V280" s="62" t="str">
        <f t="shared" si="14"/>
        <v/>
      </c>
    </row>
    <row r="281" spans="17:22" x14ac:dyDescent="0.15">
      <c r="Q281" s="75" t="str">
        <f t="shared" si="12"/>
        <v/>
      </c>
      <c r="T281" s="62" t="str">
        <f t="shared" si="13"/>
        <v/>
      </c>
      <c r="V281" s="62" t="str">
        <f t="shared" si="14"/>
        <v/>
      </c>
    </row>
    <row r="282" spans="17:22" x14ac:dyDescent="0.15">
      <c r="Q282" s="75" t="str">
        <f t="shared" si="12"/>
        <v/>
      </c>
      <c r="T282" s="62" t="str">
        <f t="shared" si="13"/>
        <v/>
      </c>
      <c r="V282" s="62" t="str">
        <f t="shared" si="14"/>
        <v/>
      </c>
    </row>
    <row r="283" spans="17:22" x14ac:dyDescent="0.15">
      <c r="Q283" s="75" t="str">
        <f t="shared" si="12"/>
        <v/>
      </c>
      <c r="T283" s="62" t="str">
        <f t="shared" si="13"/>
        <v/>
      </c>
      <c r="V283" s="62" t="str">
        <f t="shared" si="14"/>
        <v/>
      </c>
    </row>
    <row r="284" spans="17:22" x14ac:dyDescent="0.15">
      <c r="Q284" s="75" t="str">
        <f t="shared" si="12"/>
        <v/>
      </c>
      <c r="T284" s="62" t="str">
        <f t="shared" si="13"/>
        <v/>
      </c>
      <c r="V284" s="62" t="str">
        <f t="shared" si="14"/>
        <v/>
      </c>
    </row>
    <row r="285" spans="17:22" x14ac:dyDescent="0.15">
      <c r="Q285" s="75" t="str">
        <f t="shared" si="12"/>
        <v/>
      </c>
      <c r="T285" s="62" t="str">
        <f t="shared" si="13"/>
        <v/>
      </c>
      <c r="V285" s="62" t="str">
        <f t="shared" si="14"/>
        <v/>
      </c>
    </row>
    <row r="286" spans="17:22" x14ac:dyDescent="0.15">
      <c r="Q286" s="75" t="str">
        <f t="shared" si="12"/>
        <v/>
      </c>
      <c r="T286" s="62" t="str">
        <f t="shared" si="13"/>
        <v/>
      </c>
      <c r="V286" s="62" t="str">
        <f t="shared" si="14"/>
        <v/>
      </c>
    </row>
    <row r="287" spans="17:22" x14ac:dyDescent="0.15">
      <c r="Q287" s="75" t="str">
        <f t="shared" si="12"/>
        <v/>
      </c>
      <c r="T287" s="62" t="str">
        <f t="shared" si="13"/>
        <v/>
      </c>
      <c r="V287" s="62" t="str">
        <f t="shared" si="14"/>
        <v/>
      </c>
    </row>
    <row r="288" spans="17:22" x14ac:dyDescent="0.15">
      <c r="Q288" s="75" t="str">
        <f t="shared" si="12"/>
        <v/>
      </c>
      <c r="T288" s="62" t="str">
        <f t="shared" si="13"/>
        <v/>
      </c>
      <c r="V288" s="62" t="str">
        <f t="shared" si="14"/>
        <v/>
      </c>
    </row>
    <row r="289" spans="17:22" x14ac:dyDescent="0.15">
      <c r="Q289" s="75" t="str">
        <f t="shared" si="12"/>
        <v/>
      </c>
      <c r="T289" s="62" t="str">
        <f t="shared" si="13"/>
        <v/>
      </c>
      <c r="V289" s="62" t="str">
        <f t="shared" si="14"/>
        <v/>
      </c>
    </row>
    <row r="290" spans="17:22" x14ac:dyDescent="0.15">
      <c r="Q290" s="75" t="str">
        <f t="shared" si="12"/>
        <v/>
      </c>
      <c r="T290" s="62" t="str">
        <f t="shared" si="13"/>
        <v/>
      </c>
      <c r="V290" s="62" t="str">
        <f t="shared" si="14"/>
        <v/>
      </c>
    </row>
    <row r="291" spans="17:22" x14ac:dyDescent="0.15">
      <c r="Q291" s="75" t="str">
        <f t="shared" si="12"/>
        <v/>
      </c>
      <c r="T291" s="62" t="str">
        <f t="shared" si="13"/>
        <v/>
      </c>
      <c r="V291" s="62" t="str">
        <f t="shared" si="14"/>
        <v/>
      </c>
    </row>
    <row r="292" spans="17:22" x14ac:dyDescent="0.15">
      <c r="Q292" s="75" t="str">
        <f t="shared" si="12"/>
        <v/>
      </c>
      <c r="T292" s="62" t="str">
        <f t="shared" si="13"/>
        <v/>
      </c>
      <c r="V292" s="62" t="str">
        <f t="shared" si="14"/>
        <v/>
      </c>
    </row>
    <row r="293" spans="17:22" x14ac:dyDescent="0.15">
      <c r="Q293" s="75" t="str">
        <f t="shared" si="12"/>
        <v/>
      </c>
      <c r="T293" s="62" t="str">
        <f t="shared" si="13"/>
        <v/>
      </c>
      <c r="V293" s="62" t="str">
        <f t="shared" si="14"/>
        <v/>
      </c>
    </row>
    <row r="294" spans="17:22" x14ac:dyDescent="0.15">
      <c r="Q294" s="75" t="str">
        <f t="shared" si="12"/>
        <v/>
      </c>
      <c r="T294" s="62" t="str">
        <f t="shared" si="13"/>
        <v/>
      </c>
      <c r="V294" s="62" t="str">
        <f t="shared" si="14"/>
        <v/>
      </c>
    </row>
    <row r="295" spans="17:22" x14ac:dyDescent="0.15">
      <c r="Q295" s="75" t="str">
        <f t="shared" si="12"/>
        <v/>
      </c>
      <c r="T295" s="62" t="str">
        <f t="shared" si="13"/>
        <v/>
      </c>
      <c r="V295" s="62" t="str">
        <f t="shared" si="14"/>
        <v/>
      </c>
    </row>
    <row r="296" spans="17:22" x14ac:dyDescent="0.15">
      <c r="Q296" s="75" t="str">
        <f t="shared" si="12"/>
        <v/>
      </c>
      <c r="T296" s="62" t="str">
        <f t="shared" si="13"/>
        <v/>
      </c>
      <c r="V296" s="62" t="str">
        <f t="shared" si="14"/>
        <v/>
      </c>
    </row>
    <row r="297" spans="17:22" x14ac:dyDescent="0.15">
      <c r="Q297" s="75" t="str">
        <f t="shared" si="12"/>
        <v/>
      </c>
      <c r="T297" s="62" t="str">
        <f t="shared" si="13"/>
        <v/>
      </c>
      <c r="V297" s="62" t="str">
        <f t="shared" si="14"/>
        <v/>
      </c>
    </row>
    <row r="298" spans="17:22" x14ac:dyDescent="0.15">
      <c r="Q298" s="75" t="str">
        <f t="shared" si="12"/>
        <v/>
      </c>
      <c r="T298" s="62" t="str">
        <f t="shared" si="13"/>
        <v/>
      </c>
      <c r="V298" s="62" t="str">
        <f t="shared" si="14"/>
        <v/>
      </c>
    </row>
    <row r="299" spans="17:22" x14ac:dyDescent="0.15">
      <c r="Q299" s="75" t="str">
        <f t="shared" si="12"/>
        <v/>
      </c>
      <c r="T299" s="62" t="str">
        <f t="shared" si="13"/>
        <v/>
      </c>
      <c r="V299" s="62" t="str">
        <f t="shared" si="14"/>
        <v/>
      </c>
    </row>
    <row r="300" spans="17:22" x14ac:dyDescent="0.15">
      <c r="Q300" s="75" t="str">
        <f t="shared" si="12"/>
        <v/>
      </c>
      <c r="T300" s="62" t="str">
        <f t="shared" si="13"/>
        <v/>
      </c>
      <c r="V300" s="62" t="str">
        <f t="shared" si="14"/>
        <v/>
      </c>
    </row>
    <row r="301" spans="17:22" x14ac:dyDescent="0.15">
      <c r="Q301" s="75" t="str">
        <f t="shared" si="12"/>
        <v/>
      </c>
      <c r="T301" s="62" t="str">
        <f t="shared" si="13"/>
        <v/>
      </c>
      <c r="V301" s="62" t="str">
        <f t="shared" si="14"/>
        <v/>
      </c>
    </row>
    <row r="302" spans="17:22" x14ac:dyDescent="0.15">
      <c r="Q302" s="75" t="str">
        <f t="shared" si="12"/>
        <v/>
      </c>
      <c r="T302" s="62" t="str">
        <f t="shared" si="13"/>
        <v/>
      </c>
      <c r="V302" s="62" t="str">
        <f t="shared" si="14"/>
        <v/>
      </c>
    </row>
    <row r="303" spans="17:22" x14ac:dyDescent="0.15">
      <c r="Q303" s="75" t="str">
        <f t="shared" si="12"/>
        <v/>
      </c>
      <c r="T303" s="62" t="str">
        <f t="shared" si="13"/>
        <v/>
      </c>
      <c r="V303" s="62" t="str">
        <f t="shared" si="14"/>
        <v/>
      </c>
    </row>
    <row r="304" spans="17:22" x14ac:dyDescent="0.15">
      <c r="Q304" s="75" t="str">
        <f t="shared" si="12"/>
        <v/>
      </c>
      <c r="T304" s="62" t="str">
        <f t="shared" si="13"/>
        <v/>
      </c>
      <c r="V304" s="62" t="str">
        <f t="shared" si="14"/>
        <v/>
      </c>
    </row>
    <row r="305" spans="17:22" x14ac:dyDescent="0.15">
      <c r="Q305" s="75" t="str">
        <f t="shared" si="12"/>
        <v/>
      </c>
      <c r="T305" s="62" t="str">
        <f t="shared" si="13"/>
        <v/>
      </c>
      <c r="V305" s="62" t="str">
        <f t="shared" si="14"/>
        <v/>
      </c>
    </row>
    <row r="306" spans="17:22" x14ac:dyDescent="0.15">
      <c r="Q306" s="75" t="str">
        <f t="shared" si="12"/>
        <v/>
      </c>
      <c r="T306" s="62" t="str">
        <f t="shared" si="13"/>
        <v/>
      </c>
      <c r="V306" s="62" t="str">
        <f t="shared" si="14"/>
        <v/>
      </c>
    </row>
    <row r="307" spans="17:22" x14ac:dyDescent="0.15">
      <c r="Q307" s="75" t="str">
        <f t="shared" si="12"/>
        <v/>
      </c>
      <c r="T307" s="62" t="str">
        <f t="shared" si="13"/>
        <v/>
      </c>
      <c r="V307" s="62" t="str">
        <f t="shared" si="14"/>
        <v/>
      </c>
    </row>
    <row r="308" spans="17:22" x14ac:dyDescent="0.15">
      <c r="Q308" s="75" t="str">
        <f t="shared" si="12"/>
        <v/>
      </c>
      <c r="T308" s="62" t="str">
        <f t="shared" si="13"/>
        <v/>
      </c>
      <c r="V308" s="62" t="str">
        <f t="shared" si="14"/>
        <v/>
      </c>
    </row>
    <row r="309" spans="17:22" x14ac:dyDescent="0.15">
      <c r="Q309" s="75" t="str">
        <f t="shared" si="12"/>
        <v/>
      </c>
      <c r="T309" s="62" t="str">
        <f t="shared" si="13"/>
        <v/>
      </c>
      <c r="V309" s="62" t="str">
        <f t="shared" si="14"/>
        <v/>
      </c>
    </row>
    <row r="310" spans="17:22" x14ac:dyDescent="0.15">
      <c r="Q310" s="75" t="str">
        <f t="shared" si="12"/>
        <v/>
      </c>
      <c r="T310" s="62" t="str">
        <f t="shared" si="13"/>
        <v/>
      </c>
      <c r="V310" s="62" t="str">
        <f t="shared" si="14"/>
        <v/>
      </c>
    </row>
    <row r="311" spans="17:22" x14ac:dyDescent="0.15">
      <c r="Q311" s="75" t="str">
        <f t="shared" si="12"/>
        <v/>
      </c>
      <c r="T311" s="62" t="str">
        <f t="shared" si="13"/>
        <v/>
      </c>
      <c r="V311" s="62" t="str">
        <f t="shared" si="14"/>
        <v/>
      </c>
    </row>
    <row r="312" spans="17:22" x14ac:dyDescent="0.15">
      <c r="Q312" s="75" t="str">
        <f t="shared" si="12"/>
        <v/>
      </c>
      <c r="T312" s="62" t="str">
        <f t="shared" si="13"/>
        <v/>
      </c>
      <c r="V312" s="62" t="str">
        <f t="shared" si="14"/>
        <v/>
      </c>
    </row>
    <row r="313" spans="17:22" x14ac:dyDescent="0.15">
      <c r="Q313" s="75" t="str">
        <f t="shared" si="12"/>
        <v/>
      </c>
      <c r="T313" s="62" t="str">
        <f t="shared" si="13"/>
        <v/>
      </c>
      <c r="V313" s="62" t="str">
        <f t="shared" si="14"/>
        <v/>
      </c>
    </row>
    <row r="314" spans="17:22" x14ac:dyDescent="0.15">
      <c r="Q314" s="75" t="str">
        <f t="shared" si="12"/>
        <v/>
      </c>
      <c r="T314" s="62" t="str">
        <f t="shared" si="13"/>
        <v/>
      </c>
      <c r="V314" s="62" t="str">
        <f t="shared" si="14"/>
        <v/>
      </c>
    </row>
    <row r="315" spans="17:22" x14ac:dyDescent="0.15">
      <c r="Q315" s="75" t="str">
        <f t="shared" si="12"/>
        <v/>
      </c>
      <c r="T315" s="62" t="str">
        <f t="shared" si="13"/>
        <v/>
      </c>
      <c r="V315" s="62" t="str">
        <f t="shared" si="14"/>
        <v/>
      </c>
    </row>
    <row r="316" spans="17:22" x14ac:dyDescent="0.15">
      <c r="Q316" s="75" t="str">
        <f t="shared" si="12"/>
        <v/>
      </c>
      <c r="T316" s="62" t="str">
        <f t="shared" si="13"/>
        <v/>
      </c>
      <c r="V316" s="62" t="str">
        <f t="shared" si="14"/>
        <v/>
      </c>
    </row>
    <row r="317" spans="17:22" x14ac:dyDescent="0.15">
      <c r="Q317" s="75" t="str">
        <f t="shared" si="12"/>
        <v/>
      </c>
      <c r="T317" s="62" t="str">
        <f t="shared" si="13"/>
        <v/>
      </c>
      <c r="V317" s="62" t="str">
        <f t="shared" si="14"/>
        <v/>
      </c>
    </row>
    <row r="318" spans="17:22" x14ac:dyDescent="0.15">
      <c r="Q318" s="75" t="str">
        <f t="shared" si="12"/>
        <v/>
      </c>
      <c r="T318" s="62" t="str">
        <f t="shared" si="13"/>
        <v/>
      </c>
      <c r="V318" s="62" t="str">
        <f t="shared" si="14"/>
        <v/>
      </c>
    </row>
    <row r="319" spans="17:22" x14ac:dyDescent="0.15">
      <c r="Q319" s="75" t="str">
        <f t="shared" si="12"/>
        <v/>
      </c>
      <c r="T319" s="62" t="str">
        <f t="shared" si="13"/>
        <v/>
      </c>
      <c r="V319" s="62" t="str">
        <f t="shared" si="14"/>
        <v/>
      </c>
    </row>
    <row r="320" spans="17:22" x14ac:dyDescent="0.15">
      <c r="Q320" s="75" t="str">
        <f t="shared" si="12"/>
        <v/>
      </c>
      <c r="T320" s="62" t="str">
        <f t="shared" si="13"/>
        <v/>
      </c>
      <c r="V320" s="62" t="str">
        <f t="shared" si="14"/>
        <v/>
      </c>
    </row>
    <row r="321" spans="17:22" x14ac:dyDescent="0.15">
      <c r="Q321" s="75" t="str">
        <f t="shared" si="12"/>
        <v/>
      </c>
      <c r="T321" s="62" t="str">
        <f t="shared" si="13"/>
        <v/>
      </c>
      <c r="V321" s="62" t="str">
        <f t="shared" si="14"/>
        <v/>
      </c>
    </row>
    <row r="322" spans="17:22" x14ac:dyDescent="0.15">
      <c r="Q322" s="75" t="str">
        <f t="shared" ref="Q322:Q380" si="15">IF(OR(O322="",P322=""),"",AVERAGE(O322,P322))</f>
        <v/>
      </c>
      <c r="T322" s="62" t="str">
        <f t="shared" ref="T322:T380" si="16">IF(H322="","",IF(OR(H322="GREEN",H322="GK"),IF(S322&gt;=$AX$2,VLOOKUP(S322,$AX$2:$AY$10,2,1),""),IF(S322&gt;=$AZ$2,VLOOKUP(S322,$AZ$2:$BA$10,2,1),"")))</f>
        <v/>
      </c>
      <c r="V322" s="62" t="str">
        <f t="shared" ref="V322:V385" si="17">IF(OR(N322="",U322="",T322=""),"",U322/N322*T322)</f>
        <v/>
      </c>
    </row>
    <row r="323" spans="17:22" x14ac:dyDescent="0.15">
      <c r="Q323" s="75" t="str">
        <f t="shared" si="15"/>
        <v/>
      </c>
      <c r="T323" s="62" t="str">
        <f t="shared" si="16"/>
        <v/>
      </c>
      <c r="V323" s="62" t="str">
        <f t="shared" si="17"/>
        <v/>
      </c>
    </row>
    <row r="324" spans="17:22" x14ac:dyDescent="0.15">
      <c r="Q324" s="75" t="str">
        <f t="shared" si="15"/>
        <v/>
      </c>
      <c r="T324" s="62" t="str">
        <f t="shared" si="16"/>
        <v/>
      </c>
      <c r="V324" s="62" t="str">
        <f t="shared" si="17"/>
        <v/>
      </c>
    </row>
    <row r="325" spans="17:22" x14ac:dyDescent="0.15">
      <c r="Q325" s="75" t="str">
        <f t="shared" si="15"/>
        <v/>
      </c>
      <c r="T325" s="62" t="str">
        <f t="shared" si="16"/>
        <v/>
      </c>
      <c r="V325" s="62" t="str">
        <f t="shared" si="17"/>
        <v/>
      </c>
    </row>
    <row r="326" spans="17:22" x14ac:dyDescent="0.15">
      <c r="Q326" s="75" t="str">
        <f t="shared" si="15"/>
        <v/>
      </c>
      <c r="T326" s="62" t="str">
        <f t="shared" si="16"/>
        <v/>
      </c>
      <c r="V326" s="62" t="str">
        <f t="shared" si="17"/>
        <v/>
      </c>
    </row>
    <row r="327" spans="17:22" x14ac:dyDescent="0.15">
      <c r="Q327" s="75" t="str">
        <f t="shared" si="15"/>
        <v/>
      </c>
      <c r="T327" s="62" t="str">
        <f t="shared" si="16"/>
        <v/>
      </c>
      <c r="V327" s="62" t="str">
        <f t="shared" si="17"/>
        <v/>
      </c>
    </row>
    <row r="328" spans="17:22" x14ac:dyDescent="0.15">
      <c r="Q328" s="75" t="str">
        <f t="shared" si="15"/>
        <v/>
      </c>
      <c r="T328" s="62" t="str">
        <f t="shared" si="16"/>
        <v/>
      </c>
      <c r="V328" s="62" t="str">
        <f t="shared" si="17"/>
        <v/>
      </c>
    </row>
    <row r="329" spans="17:22" x14ac:dyDescent="0.15">
      <c r="Q329" s="75" t="str">
        <f t="shared" si="15"/>
        <v/>
      </c>
      <c r="T329" s="62" t="str">
        <f t="shared" si="16"/>
        <v/>
      </c>
      <c r="V329" s="62" t="str">
        <f t="shared" si="17"/>
        <v/>
      </c>
    </row>
    <row r="330" spans="17:22" x14ac:dyDescent="0.15">
      <c r="Q330" s="75" t="str">
        <f t="shared" si="15"/>
        <v/>
      </c>
      <c r="T330" s="62" t="str">
        <f t="shared" si="16"/>
        <v/>
      </c>
      <c r="V330" s="62" t="str">
        <f t="shared" si="17"/>
        <v/>
      </c>
    </row>
    <row r="331" spans="17:22" x14ac:dyDescent="0.15">
      <c r="Q331" s="75" t="str">
        <f t="shared" si="15"/>
        <v/>
      </c>
      <c r="T331" s="62" t="str">
        <f t="shared" si="16"/>
        <v/>
      </c>
      <c r="V331" s="62" t="str">
        <f t="shared" si="17"/>
        <v/>
      </c>
    </row>
    <row r="332" spans="17:22" x14ac:dyDescent="0.15">
      <c r="Q332" s="75" t="str">
        <f t="shared" si="15"/>
        <v/>
      </c>
      <c r="T332" s="62" t="str">
        <f t="shared" si="16"/>
        <v/>
      </c>
      <c r="V332" s="62" t="str">
        <f t="shared" si="17"/>
        <v/>
      </c>
    </row>
    <row r="333" spans="17:22" x14ac:dyDescent="0.15">
      <c r="Q333" s="75" t="str">
        <f t="shared" si="15"/>
        <v/>
      </c>
      <c r="T333" s="62" t="str">
        <f t="shared" si="16"/>
        <v/>
      </c>
      <c r="V333" s="62" t="str">
        <f t="shared" si="17"/>
        <v/>
      </c>
    </row>
    <row r="334" spans="17:22" x14ac:dyDescent="0.15">
      <c r="Q334" s="75" t="str">
        <f t="shared" si="15"/>
        <v/>
      </c>
      <c r="T334" s="62" t="str">
        <f t="shared" si="16"/>
        <v/>
      </c>
      <c r="V334" s="62" t="str">
        <f t="shared" si="17"/>
        <v/>
      </c>
    </row>
    <row r="335" spans="17:22" x14ac:dyDescent="0.15">
      <c r="Q335" s="75" t="str">
        <f t="shared" si="15"/>
        <v/>
      </c>
      <c r="T335" s="62" t="str">
        <f t="shared" si="16"/>
        <v/>
      </c>
      <c r="V335" s="62" t="str">
        <f t="shared" si="17"/>
        <v/>
      </c>
    </row>
    <row r="336" spans="17:22" x14ac:dyDescent="0.15">
      <c r="Q336" s="75" t="str">
        <f t="shared" si="15"/>
        <v/>
      </c>
      <c r="T336" s="62" t="str">
        <f t="shared" si="16"/>
        <v/>
      </c>
      <c r="V336" s="62" t="str">
        <f t="shared" si="17"/>
        <v/>
      </c>
    </row>
    <row r="337" spans="17:22" x14ac:dyDescent="0.15">
      <c r="Q337" s="75" t="str">
        <f t="shared" si="15"/>
        <v/>
      </c>
      <c r="T337" s="62" t="str">
        <f t="shared" si="16"/>
        <v/>
      </c>
      <c r="V337" s="62" t="str">
        <f t="shared" si="17"/>
        <v/>
      </c>
    </row>
    <row r="338" spans="17:22" x14ac:dyDescent="0.15">
      <c r="Q338" s="75" t="str">
        <f t="shared" si="15"/>
        <v/>
      </c>
      <c r="T338" s="62" t="str">
        <f t="shared" si="16"/>
        <v/>
      </c>
      <c r="V338" s="62" t="str">
        <f t="shared" si="17"/>
        <v/>
      </c>
    </row>
    <row r="339" spans="17:22" x14ac:dyDescent="0.15">
      <c r="Q339" s="75" t="str">
        <f t="shared" si="15"/>
        <v/>
      </c>
      <c r="T339" s="62" t="str">
        <f t="shared" si="16"/>
        <v/>
      </c>
      <c r="V339" s="62" t="str">
        <f t="shared" si="17"/>
        <v/>
      </c>
    </row>
    <row r="340" spans="17:22" x14ac:dyDescent="0.15">
      <c r="Q340" s="75" t="str">
        <f t="shared" si="15"/>
        <v/>
      </c>
      <c r="T340" s="62" t="str">
        <f t="shared" si="16"/>
        <v/>
      </c>
      <c r="V340" s="62" t="str">
        <f t="shared" si="17"/>
        <v/>
      </c>
    </row>
    <row r="341" spans="17:22" x14ac:dyDescent="0.15">
      <c r="Q341" s="75" t="str">
        <f t="shared" si="15"/>
        <v/>
      </c>
      <c r="T341" s="62" t="str">
        <f t="shared" si="16"/>
        <v/>
      </c>
      <c r="V341" s="62" t="str">
        <f t="shared" si="17"/>
        <v/>
      </c>
    </row>
    <row r="342" spans="17:22" x14ac:dyDescent="0.15">
      <c r="Q342" s="75" t="str">
        <f t="shared" si="15"/>
        <v/>
      </c>
      <c r="T342" s="62" t="str">
        <f t="shared" si="16"/>
        <v/>
      </c>
      <c r="V342" s="62" t="str">
        <f t="shared" si="17"/>
        <v/>
      </c>
    </row>
    <row r="343" spans="17:22" x14ac:dyDescent="0.15">
      <c r="Q343" s="75" t="str">
        <f t="shared" si="15"/>
        <v/>
      </c>
      <c r="T343" s="62" t="str">
        <f t="shared" si="16"/>
        <v/>
      </c>
      <c r="V343" s="62" t="str">
        <f t="shared" si="17"/>
        <v/>
      </c>
    </row>
    <row r="344" spans="17:22" x14ac:dyDescent="0.15">
      <c r="Q344" s="75" t="str">
        <f t="shared" si="15"/>
        <v/>
      </c>
      <c r="T344" s="62" t="str">
        <f t="shared" si="16"/>
        <v/>
      </c>
      <c r="V344" s="62" t="str">
        <f t="shared" si="17"/>
        <v/>
      </c>
    </row>
    <row r="345" spans="17:22" x14ac:dyDescent="0.15">
      <c r="T345" s="62" t="str">
        <f t="shared" si="16"/>
        <v/>
      </c>
      <c r="V345" s="62" t="str">
        <f t="shared" si="17"/>
        <v/>
      </c>
    </row>
    <row r="346" spans="17:22" x14ac:dyDescent="0.15">
      <c r="T346" s="62" t="str">
        <f t="shared" si="16"/>
        <v/>
      </c>
      <c r="V346" s="62" t="str">
        <f t="shared" si="17"/>
        <v/>
      </c>
    </row>
    <row r="347" spans="17:22" x14ac:dyDescent="0.15">
      <c r="T347" s="62" t="str">
        <f t="shared" si="16"/>
        <v/>
      </c>
      <c r="V347" s="62" t="str">
        <f t="shared" si="17"/>
        <v/>
      </c>
    </row>
    <row r="348" spans="17:22" x14ac:dyDescent="0.15">
      <c r="T348" s="62" t="str">
        <f t="shared" si="16"/>
        <v/>
      </c>
      <c r="V348" s="62" t="str">
        <f t="shared" si="17"/>
        <v/>
      </c>
    </row>
    <row r="349" spans="17:22" x14ac:dyDescent="0.15">
      <c r="T349" s="62" t="str">
        <f t="shared" si="16"/>
        <v/>
      </c>
      <c r="V349" s="62" t="str">
        <f t="shared" si="17"/>
        <v/>
      </c>
    </row>
    <row r="350" spans="17:22" x14ac:dyDescent="0.15">
      <c r="T350" s="62" t="str">
        <f t="shared" si="16"/>
        <v/>
      </c>
      <c r="V350" s="62" t="str">
        <f t="shared" si="17"/>
        <v/>
      </c>
    </row>
    <row r="351" spans="17:22" x14ac:dyDescent="0.15">
      <c r="T351" s="62" t="str">
        <f t="shared" si="16"/>
        <v/>
      </c>
      <c r="V351" s="62" t="str">
        <f t="shared" si="17"/>
        <v/>
      </c>
    </row>
    <row r="352" spans="17:22" x14ac:dyDescent="0.15">
      <c r="T352" s="62" t="str">
        <f t="shared" si="16"/>
        <v/>
      </c>
      <c r="V352" s="62" t="str">
        <f t="shared" si="17"/>
        <v/>
      </c>
    </row>
    <row r="353" spans="20:20" x14ac:dyDescent="0.15">
      <c r="T353" s="62" t="str">
        <f t="shared" si="16"/>
        <v/>
      </c>
    </row>
    <row r="354" spans="20:20" x14ac:dyDescent="0.15">
      <c r="T354" s="62" t="str">
        <f t="shared" si="16"/>
        <v/>
      </c>
    </row>
    <row r="355" spans="20:20" x14ac:dyDescent="0.15">
      <c r="T355" s="62" t="str">
        <f t="shared" si="16"/>
        <v/>
      </c>
    </row>
    <row r="356" spans="20:20" x14ac:dyDescent="0.15">
      <c r="T356" s="62" t="str">
        <f t="shared" si="16"/>
        <v/>
      </c>
    </row>
    <row r="357" spans="20:20" x14ac:dyDescent="0.15">
      <c r="T357" s="62" t="str">
        <f t="shared" si="16"/>
        <v/>
      </c>
    </row>
    <row r="358" spans="20:20" x14ac:dyDescent="0.15">
      <c r="T358" s="62" t="str">
        <f t="shared" si="16"/>
        <v/>
      </c>
    </row>
    <row r="359" spans="20:20" x14ac:dyDescent="0.15">
      <c r="T359" s="62" t="str">
        <f t="shared" si="16"/>
        <v/>
      </c>
    </row>
    <row r="360" spans="20:20" x14ac:dyDescent="0.15">
      <c r="T360" s="62" t="str">
        <f t="shared" si="16"/>
        <v/>
      </c>
    </row>
    <row r="361" spans="20:20" x14ac:dyDescent="0.15">
      <c r="T361" s="62" t="str">
        <f t="shared" si="16"/>
        <v/>
      </c>
    </row>
    <row r="362" spans="20:20" x14ac:dyDescent="0.15">
      <c r="T362" s="62" t="str">
        <f t="shared" si="16"/>
        <v/>
      </c>
    </row>
    <row r="363" spans="20:20" x14ac:dyDescent="0.15">
      <c r="T363" s="62" t="str">
        <f t="shared" si="16"/>
        <v/>
      </c>
    </row>
    <row r="364" spans="20:20" x14ac:dyDescent="0.15">
      <c r="T364" s="62" t="str">
        <f t="shared" si="16"/>
        <v/>
      </c>
    </row>
    <row r="365" spans="20:20" x14ac:dyDescent="0.15">
      <c r="T365" s="62" t="str">
        <f t="shared" si="16"/>
        <v/>
      </c>
    </row>
    <row r="366" spans="20:20" x14ac:dyDescent="0.15">
      <c r="T366" s="62" t="str">
        <f t="shared" si="16"/>
        <v/>
      </c>
    </row>
    <row r="367" spans="20:20" x14ac:dyDescent="0.15">
      <c r="T367" s="62" t="str">
        <f t="shared" si="16"/>
        <v/>
      </c>
    </row>
    <row r="368" spans="20:20" x14ac:dyDescent="0.15">
      <c r="T368" s="62" t="str">
        <f t="shared" si="16"/>
        <v/>
      </c>
    </row>
    <row r="369" spans="20:20" x14ac:dyDescent="0.15">
      <c r="T369" s="62" t="str">
        <f t="shared" si="16"/>
        <v/>
      </c>
    </row>
    <row r="370" spans="20:20" x14ac:dyDescent="0.15">
      <c r="T370" s="62" t="str">
        <f t="shared" si="16"/>
        <v/>
      </c>
    </row>
    <row r="371" spans="20:20" x14ac:dyDescent="0.15">
      <c r="T371" s="62" t="str">
        <f t="shared" si="16"/>
        <v/>
      </c>
    </row>
    <row r="372" spans="20:20" x14ac:dyDescent="0.15">
      <c r="T372" s="62" t="str">
        <f t="shared" si="16"/>
        <v/>
      </c>
    </row>
  </sheetData>
  <autoFilter ref="A1:BA372" xr:uid="{00000000-0009-0000-0000-000001000000}"/>
  <phoneticPr fontId="3"/>
  <dataValidations count="15">
    <dataValidation type="list" allowBlank="1" showInputMessage="1" showErrorMessage="1" sqref="F1:F1048576" xr:uid="{29C04692-13EA-425E-A467-4D29D7572FCA}">
      <formula1>$AH$2:$AH$11</formula1>
    </dataValidation>
    <dataValidation type="list" allowBlank="1" showInputMessage="1" showErrorMessage="1" sqref="E1:E1048576" xr:uid="{179B6FC7-82E0-4EEA-929E-3BCAFFC86323}">
      <formula1>$AG$2:$AG$11</formula1>
    </dataValidation>
    <dataValidation type="list" allowBlank="1" showInputMessage="1" showErrorMessage="1" sqref="Y116:AA328" xr:uid="{CCC48583-263E-4776-BCB2-DECEF1800234}">
      <formula1>$AV$2:$AV$16</formula1>
    </dataValidation>
    <dataValidation type="decimal" allowBlank="1" showInputMessage="1" showErrorMessage="1" error="硬度を正しく入力して下さい。" sqref="O2:P328" xr:uid="{9A5DAB01-4017-429C-AA2B-47380062AEF8}">
      <formula1>0</formula1>
      <formula2>7</formula2>
    </dataValidation>
    <dataValidation type="list" allowBlank="1" showInputMessage="1" showErrorMessage="1" sqref="X2:X328" xr:uid="{F194F649-04A5-4018-9535-522BE4FF72D5}">
      <formula1>$AT$2:$AT$3</formula1>
    </dataValidation>
    <dataValidation type="list" allowBlank="1" showInputMessage="1" showErrorMessage="1" sqref="K145:K328" xr:uid="{DC6EDF51-72D5-4C42-8CFA-B029380130E2}">
      <formula1>$AR$2:$AR$19</formula1>
    </dataValidation>
    <dataValidation type="list" allowBlank="1" showInputMessage="1" showErrorMessage="1" sqref="J47:J49" xr:uid="{B2574B35-2499-42C6-9706-45F450F3E018}">
      <formula1>$AP$2:$AP$25</formula1>
    </dataValidation>
    <dataValidation type="list" allowBlank="1" showInputMessage="1" showErrorMessage="1" sqref="G2:G328" xr:uid="{116453D3-E9FD-4360-8F55-4AC8338A9AF5}">
      <formula1>$AJ$2:$AJ$4</formula1>
    </dataValidation>
    <dataValidation type="list" allowBlank="1" showInputMessage="1" showErrorMessage="1" sqref="I2:I328" xr:uid="{9FA57A64-C373-45A2-AD01-370D113130C7}">
      <formula1>$AN$5:$AN$6</formula1>
    </dataValidation>
    <dataValidation type="list" allowBlank="1" showInputMessage="1" showErrorMessage="1" sqref="H2:H328" xr:uid="{266AE8E3-5598-481A-BA9A-9F4F425628DE}">
      <formula1>$AL$2:$AL$8</formula1>
    </dataValidation>
    <dataValidation allowBlank="1" showInputMessage="1" showErrorMessage="1" sqref="B2:B115" xr:uid="{27AF0318-79F0-4B38-95E4-5873D189B803}"/>
    <dataValidation type="list" allowBlank="1" showInputMessage="1" showErrorMessage="1" sqref="J2:J46 J50:J328" xr:uid="{74785A56-C47E-4914-A1C8-C731AD09E6DD}">
      <formula1>$AP$2:$AP$19</formula1>
    </dataValidation>
    <dataValidation type="list" allowBlank="1" showInputMessage="1" showErrorMessage="1" sqref="A2:A328" xr:uid="{D9853A0F-03B6-4023-8407-B92FE92A6759}">
      <formula1>$AE$2:$AE$16</formula1>
    </dataValidation>
    <dataValidation type="list" allowBlank="1" showInputMessage="1" showErrorMessage="1" sqref="Y2:AA115" xr:uid="{901F37C7-4263-4810-A2B0-F5CC15236B1D}">
      <formula1>$AV$2:$AV$23</formula1>
    </dataValidation>
    <dataValidation type="list" allowBlank="1" showInputMessage="1" showErrorMessage="1" sqref="K2:K144" xr:uid="{3433F14C-A8E8-4E55-AC54-C8639658488E}">
      <formula1>$AR$2:$AR$23</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577EF-2A9F-4E6D-B832-266FA91061A5}">
  <dimension ref="A1:BA450"/>
  <sheetViews>
    <sheetView zoomScale="85" zoomScaleNormal="85" workbookViewId="0">
      <selection activeCell="AB2" sqref="AB2"/>
    </sheetView>
  </sheetViews>
  <sheetFormatPr defaultRowHeight="13.5" x14ac:dyDescent="0.15"/>
  <cols>
    <col min="1" max="1" width="9.140625" style="53"/>
    <col min="2" max="2" width="9.140625" style="54"/>
    <col min="3" max="3" width="9.140625" style="53"/>
    <col min="4" max="4" width="10.42578125" style="53" bestFit="1" customWidth="1"/>
    <col min="5" max="13" width="9.140625" style="53"/>
    <col min="14" max="14" width="9.42578125" style="53" bestFit="1" customWidth="1"/>
    <col min="15" max="16" width="9.140625" style="53"/>
    <col min="17" max="17" width="9.140625" style="16"/>
    <col min="18" max="19" width="9.140625" style="53"/>
    <col min="20" max="20" width="9.140625" style="16"/>
    <col min="21" max="21" width="9.140625" style="53"/>
    <col min="22" max="22" width="9.140625" style="16"/>
    <col min="23" max="27" width="9.140625" style="53"/>
    <col min="28" max="28" width="9.140625" style="54"/>
    <col min="29" max="32" width="9.140625" style="53"/>
    <col min="33" max="33" width="15.85546875" style="53" bestFit="1" customWidth="1"/>
    <col min="34" max="34" width="11.42578125" style="53" bestFit="1" customWidth="1"/>
    <col min="35" max="259" width="9.140625" style="53"/>
    <col min="260" max="260" width="10.42578125" style="53" bestFit="1" customWidth="1"/>
    <col min="261" max="269" width="9.140625" style="53"/>
    <col min="270" max="270" width="9.42578125" style="53" bestFit="1" customWidth="1"/>
    <col min="271" max="288" width="9.140625" style="53"/>
    <col min="289" max="289" width="15.85546875" style="53" bestFit="1" customWidth="1"/>
    <col min="290" max="290" width="11.42578125" style="53" bestFit="1" customWidth="1"/>
    <col min="291" max="515" width="9.140625" style="53"/>
    <col min="516" max="516" width="10.42578125" style="53" bestFit="1" customWidth="1"/>
    <col min="517" max="525" width="9.140625" style="53"/>
    <col min="526" max="526" width="9.42578125" style="53" bestFit="1" customWidth="1"/>
    <col min="527" max="544" width="9.140625" style="53"/>
    <col min="545" max="545" width="15.85546875" style="53" bestFit="1" customWidth="1"/>
    <col min="546" max="546" width="11.42578125" style="53" bestFit="1" customWidth="1"/>
    <col min="547" max="771" width="9.140625" style="53"/>
    <col min="772" max="772" width="10.42578125" style="53" bestFit="1" customWidth="1"/>
    <col min="773" max="781" width="9.140625" style="53"/>
    <col min="782" max="782" width="9.42578125" style="53" bestFit="1" customWidth="1"/>
    <col min="783" max="800" width="9.140625" style="53"/>
    <col min="801" max="801" width="15.85546875" style="53" bestFit="1" customWidth="1"/>
    <col min="802" max="802" width="11.42578125" style="53" bestFit="1" customWidth="1"/>
    <col min="803" max="1027" width="9.140625" style="53"/>
    <col min="1028" max="1028" width="10.42578125" style="53" bestFit="1" customWidth="1"/>
    <col min="1029" max="1037" width="9.140625" style="53"/>
    <col min="1038" max="1038" width="9.42578125" style="53" bestFit="1" customWidth="1"/>
    <col min="1039" max="1056" width="9.140625" style="53"/>
    <col min="1057" max="1057" width="15.85546875" style="53" bestFit="1" customWidth="1"/>
    <col min="1058" max="1058" width="11.42578125" style="53" bestFit="1" customWidth="1"/>
    <col min="1059" max="1283" width="9.140625" style="53"/>
    <col min="1284" max="1284" width="10.42578125" style="53" bestFit="1" customWidth="1"/>
    <col min="1285" max="1293" width="9.140625" style="53"/>
    <col min="1294" max="1294" width="9.42578125" style="53" bestFit="1" customWidth="1"/>
    <col min="1295" max="1312" width="9.140625" style="53"/>
    <col min="1313" max="1313" width="15.85546875" style="53" bestFit="1" customWidth="1"/>
    <col min="1314" max="1314" width="11.42578125" style="53" bestFit="1" customWidth="1"/>
    <col min="1315" max="1539" width="9.140625" style="53"/>
    <col min="1540" max="1540" width="10.42578125" style="53" bestFit="1" customWidth="1"/>
    <col min="1541" max="1549" width="9.140625" style="53"/>
    <col min="1550" max="1550" width="9.42578125" style="53" bestFit="1" customWidth="1"/>
    <col min="1551" max="1568" width="9.140625" style="53"/>
    <col min="1569" max="1569" width="15.85546875" style="53" bestFit="1" customWidth="1"/>
    <col min="1570" max="1570" width="11.42578125" style="53" bestFit="1" customWidth="1"/>
    <col min="1571" max="1795" width="9.140625" style="53"/>
    <col min="1796" max="1796" width="10.42578125" style="53" bestFit="1" customWidth="1"/>
    <col min="1797" max="1805" width="9.140625" style="53"/>
    <col min="1806" max="1806" width="9.42578125" style="53" bestFit="1" customWidth="1"/>
    <col min="1807" max="1824" width="9.140625" style="53"/>
    <col min="1825" max="1825" width="15.85546875" style="53" bestFit="1" customWidth="1"/>
    <col min="1826" max="1826" width="11.42578125" style="53" bestFit="1" customWidth="1"/>
    <col min="1827" max="2051" width="9.140625" style="53"/>
    <col min="2052" max="2052" width="10.42578125" style="53" bestFit="1" customWidth="1"/>
    <col min="2053" max="2061" width="9.140625" style="53"/>
    <col min="2062" max="2062" width="9.42578125" style="53" bestFit="1" customWidth="1"/>
    <col min="2063" max="2080" width="9.140625" style="53"/>
    <col min="2081" max="2081" width="15.85546875" style="53" bestFit="1" customWidth="1"/>
    <col min="2082" max="2082" width="11.42578125" style="53" bestFit="1" customWidth="1"/>
    <col min="2083" max="2307" width="9.140625" style="53"/>
    <col min="2308" max="2308" width="10.42578125" style="53" bestFit="1" customWidth="1"/>
    <col min="2309" max="2317" width="9.140625" style="53"/>
    <col min="2318" max="2318" width="9.42578125" style="53" bestFit="1" customWidth="1"/>
    <col min="2319" max="2336" width="9.140625" style="53"/>
    <col min="2337" max="2337" width="15.85546875" style="53" bestFit="1" customWidth="1"/>
    <col min="2338" max="2338" width="11.42578125" style="53" bestFit="1" customWidth="1"/>
    <col min="2339" max="2563" width="9.140625" style="53"/>
    <col min="2564" max="2564" width="10.42578125" style="53" bestFit="1" customWidth="1"/>
    <col min="2565" max="2573" width="9.140625" style="53"/>
    <col min="2574" max="2574" width="9.42578125" style="53" bestFit="1" customWidth="1"/>
    <col min="2575" max="2592" width="9.140625" style="53"/>
    <col min="2593" max="2593" width="15.85546875" style="53" bestFit="1" customWidth="1"/>
    <col min="2594" max="2594" width="11.42578125" style="53" bestFit="1" customWidth="1"/>
    <col min="2595" max="2819" width="9.140625" style="53"/>
    <col min="2820" max="2820" width="10.42578125" style="53" bestFit="1" customWidth="1"/>
    <col min="2821" max="2829" width="9.140625" style="53"/>
    <col min="2830" max="2830" width="9.42578125" style="53" bestFit="1" customWidth="1"/>
    <col min="2831" max="2848" width="9.140625" style="53"/>
    <col min="2849" max="2849" width="15.85546875" style="53" bestFit="1" customWidth="1"/>
    <col min="2850" max="2850" width="11.42578125" style="53" bestFit="1" customWidth="1"/>
    <col min="2851" max="3075" width="9.140625" style="53"/>
    <col min="3076" max="3076" width="10.42578125" style="53" bestFit="1" customWidth="1"/>
    <col min="3077" max="3085" width="9.140625" style="53"/>
    <col min="3086" max="3086" width="9.42578125" style="53" bestFit="1" customWidth="1"/>
    <col min="3087" max="3104" width="9.140625" style="53"/>
    <col min="3105" max="3105" width="15.85546875" style="53" bestFit="1" customWidth="1"/>
    <col min="3106" max="3106" width="11.42578125" style="53" bestFit="1" customWidth="1"/>
    <col min="3107" max="3331" width="9.140625" style="53"/>
    <col min="3332" max="3332" width="10.42578125" style="53" bestFit="1" customWidth="1"/>
    <col min="3333" max="3341" width="9.140625" style="53"/>
    <col min="3342" max="3342" width="9.42578125" style="53" bestFit="1" customWidth="1"/>
    <col min="3343" max="3360" width="9.140625" style="53"/>
    <col min="3361" max="3361" width="15.85546875" style="53" bestFit="1" customWidth="1"/>
    <col min="3362" max="3362" width="11.42578125" style="53" bestFit="1" customWidth="1"/>
    <col min="3363" max="3587" width="9.140625" style="53"/>
    <col min="3588" max="3588" width="10.42578125" style="53" bestFit="1" customWidth="1"/>
    <col min="3589" max="3597" width="9.140625" style="53"/>
    <col min="3598" max="3598" width="9.42578125" style="53" bestFit="1" customWidth="1"/>
    <col min="3599" max="3616" width="9.140625" style="53"/>
    <col min="3617" max="3617" width="15.85546875" style="53" bestFit="1" customWidth="1"/>
    <col min="3618" max="3618" width="11.42578125" style="53" bestFit="1" customWidth="1"/>
    <col min="3619" max="3843" width="9.140625" style="53"/>
    <col min="3844" max="3844" width="10.42578125" style="53" bestFit="1" customWidth="1"/>
    <col min="3845" max="3853" width="9.140625" style="53"/>
    <col min="3854" max="3854" width="9.42578125" style="53" bestFit="1" customWidth="1"/>
    <col min="3855" max="3872" width="9.140625" style="53"/>
    <col min="3873" max="3873" width="15.85546875" style="53" bestFit="1" customWidth="1"/>
    <col min="3874" max="3874" width="11.42578125" style="53" bestFit="1" customWidth="1"/>
    <col min="3875" max="4099" width="9.140625" style="53"/>
    <col min="4100" max="4100" width="10.42578125" style="53" bestFit="1" customWidth="1"/>
    <col min="4101" max="4109" width="9.140625" style="53"/>
    <col min="4110" max="4110" width="9.42578125" style="53" bestFit="1" customWidth="1"/>
    <col min="4111" max="4128" width="9.140625" style="53"/>
    <col min="4129" max="4129" width="15.85546875" style="53" bestFit="1" customWidth="1"/>
    <col min="4130" max="4130" width="11.42578125" style="53" bestFit="1" customWidth="1"/>
    <col min="4131" max="4355" width="9.140625" style="53"/>
    <col min="4356" max="4356" width="10.42578125" style="53" bestFit="1" customWidth="1"/>
    <col min="4357" max="4365" width="9.140625" style="53"/>
    <col min="4366" max="4366" width="9.42578125" style="53" bestFit="1" customWidth="1"/>
    <col min="4367" max="4384" width="9.140625" style="53"/>
    <col min="4385" max="4385" width="15.85546875" style="53" bestFit="1" customWidth="1"/>
    <col min="4386" max="4386" width="11.42578125" style="53" bestFit="1" customWidth="1"/>
    <col min="4387" max="4611" width="9.140625" style="53"/>
    <col min="4612" max="4612" width="10.42578125" style="53" bestFit="1" customWidth="1"/>
    <col min="4613" max="4621" width="9.140625" style="53"/>
    <col min="4622" max="4622" width="9.42578125" style="53" bestFit="1" customWidth="1"/>
    <col min="4623" max="4640" width="9.140625" style="53"/>
    <col min="4641" max="4641" width="15.85546875" style="53" bestFit="1" customWidth="1"/>
    <col min="4642" max="4642" width="11.42578125" style="53" bestFit="1" customWidth="1"/>
    <col min="4643" max="4867" width="9.140625" style="53"/>
    <col min="4868" max="4868" width="10.42578125" style="53" bestFit="1" customWidth="1"/>
    <col min="4869" max="4877" width="9.140625" style="53"/>
    <col min="4878" max="4878" width="9.42578125" style="53" bestFit="1" customWidth="1"/>
    <col min="4879" max="4896" width="9.140625" style="53"/>
    <col min="4897" max="4897" width="15.85546875" style="53" bestFit="1" customWidth="1"/>
    <col min="4898" max="4898" width="11.42578125" style="53" bestFit="1" customWidth="1"/>
    <col min="4899" max="5123" width="9.140625" style="53"/>
    <col min="5124" max="5124" width="10.42578125" style="53" bestFit="1" customWidth="1"/>
    <col min="5125" max="5133" width="9.140625" style="53"/>
    <col min="5134" max="5134" width="9.42578125" style="53" bestFit="1" customWidth="1"/>
    <col min="5135" max="5152" width="9.140625" style="53"/>
    <col min="5153" max="5153" width="15.85546875" style="53" bestFit="1" customWidth="1"/>
    <col min="5154" max="5154" width="11.42578125" style="53" bestFit="1" customWidth="1"/>
    <col min="5155" max="5379" width="9.140625" style="53"/>
    <col min="5380" max="5380" width="10.42578125" style="53" bestFit="1" customWidth="1"/>
    <col min="5381" max="5389" width="9.140625" style="53"/>
    <col min="5390" max="5390" width="9.42578125" style="53" bestFit="1" customWidth="1"/>
    <col min="5391" max="5408" width="9.140625" style="53"/>
    <col min="5409" max="5409" width="15.85546875" style="53" bestFit="1" customWidth="1"/>
    <col min="5410" max="5410" width="11.42578125" style="53" bestFit="1" customWidth="1"/>
    <col min="5411" max="5635" width="9.140625" style="53"/>
    <col min="5636" max="5636" width="10.42578125" style="53" bestFit="1" customWidth="1"/>
    <col min="5637" max="5645" width="9.140625" style="53"/>
    <col min="5646" max="5646" width="9.42578125" style="53" bestFit="1" customWidth="1"/>
    <col min="5647" max="5664" width="9.140625" style="53"/>
    <col min="5665" max="5665" width="15.85546875" style="53" bestFit="1" customWidth="1"/>
    <col min="5666" max="5666" width="11.42578125" style="53" bestFit="1" customWidth="1"/>
    <col min="5667" max="5891" width="9.140625" style="53"/>
    <col min="5892" max="5892" width="10.42578125" style="53" bestFit="1" customWidth="1"/>
    <col min="5893" max="5901" width="9.140625" style="53"/>
    <col min="5902" max="5902" width="9.42578125" style="53" bestFit="1" customWidth="1"/>
    <col min="5903" max="5920" width="9.140625" style="53"/>
    <col min="5921" max="5921" width="15.85546875" style="53" bestFit="1" customWidth="1"/>
    <col min="5922" max="5922" width="11.42578125" style="53" bestFit="1" customWidth="1"/>
    <col min="5923" max="6147" width="9.140625" style="53"/>
    <col min="6148" max="6148" width="10.42578125" style="53" bestFit="1" customWidth="1"/>
    <col min="6149" max="6157" width="9.140625" style="53"/>
    <col min="6158" max="6158" width="9.42578125" style="53" bestFit="1" customWidth="1"/>
    <col min="6159" max="6176" width="9.140625" style="53"/>
    <col min="6177" max="6177" width="15.85546875" style="53" bestFit="1" customWidth="1"/>
    <col min="6178" max="6178" width="11.42578125" style="53" bestFit="1" customWidth="1"/>
    <col min="6179" max="6403" width="9.140625" style="53"/>
    <col min="6404" max="6404" width="10.42578125" style="53" bestFit="1" customWidth="1"/>
    <col min="6405" max="6413" width="9.140625" style="53"/>
    <col min="6414" max="6414" width="9.42578125" style="53" bestFit="1" customWidth="1"/>
    <col min="6415" max="6432" width="9.140625" style="53"/>
    <col min="6433" max="6433" width="15.85546875" style="53" bestFit="1" customWidth="1"/>
    <col min="6434" max="6434" width="11.42578125" style="53" bestFit="1" customWidth="1"/>
    <col min="6435" max="6659" width="9.140625" style="53"/>
    <col min="6660" max="6660" width="10.42578125" style="53" bestFit="1" customWidth="1"/>
    <col min="6661" max="6669" width="9.140625" style="53"/>
    <col min="6670" max="6670" width="9.42578125" style="53" bestFit="1" customWidth="1"/>
    <col min="6671" max="6688" width="9.140625" style="53"/>
    <col min="6689" max="6689" width="15.85546875" style="53" bestFit="1" customWidth="1"/>
    <col min="6690" max="6690" width="11.42578125" style="53" bestFit="1" customWidth="1"/>
    <col min="6691" max="6915" width="9.140625" style="53"/>
    <col min="6916" max="6916" width="10.42578125" style="53" bestFit="1" customWidth="1"/>
    <col min="6917" max="6925" width="9.140625" style="53"/>
    <col min="6926" max="6926" width="9.42578125" style="53" bestFit="1" customWidth="1"/>
    <col min="6927" max="6944" width="9.140625" style="53"/>
    <col min="6945" max="6945" width="15.85546875" style="53" bestFit="1" customWidth="1"/>
    <col min="6946" max="6946" width="11.42578125" style="53" bestFit="1" customWidth="1"/>
    <col min="6947" max="7171" width="9.140625" style="53"/>
    <col min="7172" max="7172" width="10.42578125" style="53" bestFit="1" customWidth="1"/>
    <col min="7173" max="7181" width="9.140625" style="53"/>
    <col min="7182" max="7182" width="9.42578125" style="53" bestFit="1" customWidth="1"/>
    <col min="7183" max="7200" width="9.140625" style="53"/>
    <col min="7201" max="7201" width="15.85546875" style="53" bestFit="1" customWidth="1"/>
    <col min="7202" max="7202" width="11.42578125" style="53" bestFit="1" customWidth="1"/>
    <col min="7203" max="7427" width="9.140625" style="53"/>
    <col min="7428" max="7428" width="10.42578125" style="53" bestFit="1" customWidth="1"/>
    <col min="7429" max="7437" width="9.140625" style="53"/>
    <col min="7438" max="7438" width="9.42578125" style="53" bestFit="1" customWidth="1"/>
    <col min="7439" max="7456" width="9.140625" style="53"/>
    <col min="7457" max="7457" width="15.85546875" style="53" bestFit="1" customWidth="1"/>
    <col min="7458" max="7458" width="11.42578125" style="53" bestFit="1" customWidth="1"/>
    <col min="7459" max="7683" width="9.140625" style="53"/>
    <col min="7684" max="7684" width="10.42578125" style="53" bestFit="1" customWidth="1"/>
    <col min="7685" max="7693" width="9.140625" style="53"/>
    <col min="7694" max="7694" width="9.42578125" style="53" bestFit="1" customWidth="1"/>
    <col min="7695" max="7712" width="9.140625" style="53"/>
    <col min="7713" max="7713" width="15.85546875" style="53" bestFit="1" customWidth="1"/>
    <col min="7714" max="7714" width="11.42578125" style="53" bestFit="1" customWidth="1"/>
    <col min="7715" max="7939" width="9.140625" style="53"/>
    <col min="7940" max="7940" width="10.42578125" style="53" bestFit="1" customWidth="1"/>
    <col min="7941" max="7949" width="9.140625" style="53"/>
    <col min="7950" max="7950" width="9.42578125" style="53" bestFit="1" customWidth="1"/>
    <col min="7951" max="7968" width="9.140625" style="53"/>
    <col min="7969" max="7969" width="15.85546875" style="53" bestFit="1" customWidth="1"/>
    <col min="7970" max="7970" width="11.42578125" style="53" bestFit="1" customWidth="1"/>
    <col min="7971" max="8195" width="9.140625" style="53"/>
    <col min="8196" max="8196" width="10.42578125" style="53" bestFit="1" customWidth="1"/>
    <col min="8197" max="8205" width="9.140625" style="53"/>
    <col min="8206" max="8206" width="9.42578125" style="53" bestFit="1" customWidth="1"/>
    <col min="8207" max="8224" width="9.140625" style="53"/>
    <col min="8225" max="8225" width="15.85546875" style="53" bestFit="1" customWidth="1"/>
    <col min="8226" max="8226" width="11.42578125" style="53" bestFit="1" customWidth="1"/>
    <col min="8227" max="8451" width="9.140625" style="53"/>
    <col min="8452" max="8452" width="10.42578125" style="53" bestFit="1" customWidth="1"/>
    <col min="8453" max="8461" width="9.140625" style="53"/>
    <col min="8462" max="8462" width="9.42578125" style="53" bestFit="1" customWidth="1"/>
    <col min="8463" max="8480" width="9.140625" style="53"/>
    <col min="8481" max="8481" width="15.85546875" style="53" bestFit="1" customWidth="1"/>
    <col min="8482" max="8482" width="11.42578125" style="53" bestFit="1" customWidth="1"/>
    <col min="8483" max="8707" width="9.140625" style="53"/>
    <col min="8708" max="8708" width="10.42578125" style="53" bestFit="1" customWidth="1"/>
    <col min="8709" max="8717" width="9.140625" style="53"/>
    <col min="8718" max="8718" width="9.42578125" style="53" bestFit="1" customWidth="1"/>
    <col min="8719" max="8736" width="9.140625" style="53"/>
    <col min="8737" max="8737" width="15.85546875" style="53" bestFit="1" customWidth="1"/>
    <col min="8738" max="8738" width="11.42578125" style="53" bestFit="1" customWidth="1"/>
    <col min="8739" max="8963" width="9.140625" style="53"/>
    <col min="8964" max="8964" width="10.42578125" style="53" bestFit="1" customWidth="1"/>
    <col min="8965" max="8973" width="9.140625" style="53"/>
    <col min="8974" max="8974" width="9.42578125" style="53" bestFit="1" customWidth="1"/>
    <col min="8975" max="8992" width="9.140625" style="53"/>
    <col min="8993" max="8993" width="15.85546875" style="53" bestFit="1" customWidth="1"/>
    <col min="8994" max="8994" width="11.42578125" style="53" bestFit="1" customWidth="1"/>
    <col min="8995" max="9219" width="9.140625" style="53"/>
    <col min="9220" max="9220" width="10.42578125" style="53" bestFit="1" customWidth="1"/>
    <col min="9221" max="9229" width="9.140625" style="53"/>
    <col min="9230" max="9230" width="9.42578125" style="53" bestFit="1" customWidth="1"/>
    <col min="9231" max="9248" width="9.140625" style="53"/>
    <col min="9249" max="9249" width="15.85546875" style="53" bestFit="1" customWidth="1"/>
    <col min="9250" max="9250" width="11.42578125" style="53" bestFit="1" customWidth="1"/>
    <col min="9251" max="9475" width="9.140625" style="53"/>
    <col min="9476" max="9476" width="10.42578125" style="53" bestFit="1" customWidth="1"/>
    <col min="9477" max="9485" width="9.140625" style="53"/>
    <col min="9486" max="9486" width="9.42578125" style="53" bestFit="1" customWidth="1"/>
    <col min="9487" max="9504" width="9.140625" style="53"/>
    <col min="9505" max="9505" width="15.85546875" style="53" bestFit="1" customWidth="1"/>
    <col min="9506" max="9506" width="11.42578125" style="53" bestFit="1" customWidth="1"/>
    <col min="9507" max="9731" width="9.140625" style="53"/>
    <col min="9732" max="9732" width="10.42578125" style="53" bestFit="1" customWidth="1"/>
    <col min="9733" max="9741" width="9.140625" style="53"/>
    <col min="9742" max="9742" width="9.42578125" style="53" bestFit="1" customWidth="1"/>
    <col min="9743" max="9760" width="9.140625" style="53"/>
    <col min="9761" max="9761" width="15.85546875" style="53" bestFit="1" customWidth="1"/>
    <col min="9762" max="9762" width="11.42578125" style="53" bestFit="1" customWidth="1"/>
    <col min="9763" max="9987" width="9.140625" style="53"/>
    <col min="9988" max="9988" width="10.42578125" style="53" bestFit="1" customWidth="1"/>
    <col min="9989" max="9997" width="9.140625" style="53"/>
    <col min="9998" max="9998" width="9.42578125" style="53" bestFit="1" customWidth="1"/>
    <col min="9999" max="10016" width="9.140625" style="53"/>
    <col min="10017" max="10017" width="15.85546875" style="53" bestFit="1" customWidth="1"/>
    <col min="10018" max="10018" width="11.42578125" style="53" bestFit="1" customWidth="1"/>
    <col min="10019" max="10243" width="9.140625" style="53"/>
    <col min="10244" max="10244" width="10.42578125" style="53" bestFit="1" customWidth="1"/>
    <col min="10245" max="10253" width="9.140625" style="53"/>
    <col min="10254" max="10254" width="9.42578125" style="53" bestFit="1" customWidth="1"/>
    <col min="10255" max="10272" width="9.140625" style="53"/>
    <col min="10273" max="10273" width="15.85546875" style="53" bestFit="1" customWidth="1"/>
    <col min="10274" max="10274" width="11.42578125" style="53" bestFit="1" customWidth="1"/>
    <col min="10275" max="10499" width="9.140625" style="53"/>
    <col min="10500" max="10500" width="10.42578125" style="53" bestFit="1" customWidth="1"/>
    <col min="10501" max="10509" width="9.140625" style="53"/>
    <col min="10510" max="10510" width="9.42578125" style="53" bestFit="1" customWidth="1"/>
    <col min="10511" max="10528" width="9.140625" style="53"/>
    <col min="10529" max="10529" width="15.85546875" style="53" bestFit="1" customWidth="1"/>
    <col min="10530" max="10530" width="11.42578125" style="53" bestFit="1" customWidth="1"/>
    <col min="10531" max="10755" width="9.140625" style="53"/>
    <col min="10756" max="10756" width="10.42578125" style="53" bestFit="1" customWidth="1"/>
    <col min="10757" max="10765" width="9.140625" style="53"/>
    <col min="10766" max="10766" width="9.42578125" style="53" bestFit="1" customWidth="1"/>
    <col min="10767" max="10784" width="9.140625" style="53"/>
    <col min="10785" max="10785" width="15.85546875" style="53" bestFit="1" customWidth="1"/>
    <col min="10786" max="10786" width="11.42578125" style="53" bestFit="1" customWidth="1"/>
    <col min="10787" max="11011" width="9.140625" style="53"/>
    <col min="11012" max="11012" width="10.42578125" style="53" bestFit="1" customWidth="1"/>
    <col min="11013" max="11021" width="9.140625" style="53"/>
    <col min="11022" max="11022" width="9.42578125" style="53" bestFit="1" customWidth="1"/>
    <col min="11023" max="11040" width="9.140625" style="53"/>
    <col min="11041" max="11041" width="15.85546875" style="53" bestFit="1" customWidth="1"/>
    <col min="11042" max="11042" width="11.42578125" style="53" bestFit="1" customWidth="1"/>
    <col min="11043" max="11267" width="9.140625" style="53"/>
    <col min="11268" max="11268" width="10.42578125" style="53" bestFit="1" customWidth="1"/>
    <col min="11269" max="11277" width="9.140625" style="53"/>
    <col min="11278" max="11278" width="9.42578125" style="53" bestFit="1" customWidth="1"/>
    <col min="11279" max="11296" width="9.140625" style="53"/>
    <col min="11297" max="11297" width="15.85546875" style="53" bestFit="1" customWidth="1"/>
    <col min="11298" max="11298" width="11.42578125" style="53" bestFit="1" customWidth="1"/>
    <col min="11299" max="11523" width="9.140625" style="53"/>
    <col min="11524" max="11524" width="10.42578125" style="53" bestFit="1" customWidth="1"/>
    <col min="11525" max="11533" width="9.140625" style="53"/>
    <col min="11534" max="11534" width="9.42578125" style="53" bestFit="1" customWidth="1"/>
    <col min="11535" max="11552" width="9.140625" style="53"/>
    <col min="11553" max="11553" width="15.85546875" style="53" bestFit="1" customWidth="1"/>
    <col min="11554" max="11554" width="11.42578125" style="53" bestFit="1" customWidth="1"/>
    <col min="11555" max="11779" width="9.140625" style="53"/>
    <col min="11780" max="11780" width="10.42578125" style="53" bestFit="1" customWidth="1"/>
    <col min="11781" max="11789" width="9.140625" style="53"/>
    <col min="11790" max="11790" width="9.42578125" style="53" bestFit="1" customWidth="1"/>
    <col min="11791" max="11808" width="9.140625" style="53"/>
    <col min="11809" max="11809" width="15.85546875" style="53" bestFit="1" customWidth="1"/>
    <col min="11810" max="11810" width="11.42578125" style="53" bestFit="1" customWidth="1"/>
    <col min="11811" max="12035" width="9.140625" style="53"/>
    <col min="12036" max="12036" width="10.42578125" style="53" bestFit="1" customWidth="1"/>
    <col min="12037" max="12045" width="9.140625" style="53"/>
    <col min="12046" max="12046" width="9.42578125" style="53" bestFit="1" customWidth="1"/>
    <col min="12047" max="12064" width="9.140625" style="53"/>
    <col min="12065" max="12065" width="15.85546875" style="53" bestFit="1" customWidth="1"/>
    <col min="12066" max="12066" width="11.42578125" style="53" bestFit="1" customWidth="1"/>
    <col min="12067" max="12291" width="9.140625" style="53"/>
    <col min="12292" max="12292" width="10.42578125" style="53" bestFit="1" customWidth="1"/>
    <col min="12293" max="12301" width="9.140625" style="53"/>
    <col min="12302" max="12302" width="9.42578125" style="53" bestFit="1" customWidth="1"/>
    <col min="12303" max="12320" width="9.140625" style="53"/>
    <col min="12321" max="12321" width="15.85546875" style="53" bestFit="1" customWidth="1"/>
    <col min="12322" max="12322" width="11.42578125" style="53" bestFit="1" customWidth="1"/>
    <col min="12323" max="12547" width="9.140625" style="53"/>
    <col min="12548" max="12548" width="10.42578125" style="53" bestFit="1" customWidth="1"/>
    <col min="12549" max="12557" width="9.140625" style="53"/>
    <col min="12558" max="12558" width="9.42578125" style="53" bestFit="1" customWidth="1"/>
    <col min="12559" max="12576" width="9.140625" style="53"/>
    <col min="12577" max="12577" width="15.85546875" style="53" bestFit="1" customWidth="1"/>
    <col min="12578" max="12578" width="11.42578125" style="53" bestFit="1" customWidth="1"/>
    <col min="12579" max="12803" width="9.140625" style="53"/>
    <col min="12804" max="12804" width="10.42578125" style="53" bestFit="1" customWidth="1"/>
    <col min="12805" max="12813" width="9.140625" style="53"/>
    <col min="12814" max="12814" width="9.42578125" style="53" bestFit="1" customWidth="1"/>
    <col min="12815" max="12832" width="9.140625" style="53"/>
    <col min="12833" max="12833" width="15.85546875" style="53" bestFit="1" customWidth="1"/>
    <col min="12834" max="12834" width="11.42578125" style="53" bestFit="1" customWidth="1"/>
    <col min="12835" max="13059" width="9.140625" style="53"/>
    <col min="13060" max="13060" width="10.42578125" style="53" bestFit="1" customWidth="1"/>
    <col min="13061" max="13069" width="9.140625" style="53"/>
    <col min="13070" max="13070" width="9.42578125" style="53" bestFit="1" customWidth="1"/>
    <col min="13071" max="13088" width="9.140625" style="53"/>
    <col min="13089" max="13089" width="15.85546875" style="53" bestFit="1" customWidth="1"/>
    <col min="13090" max="13090" width="11.42578125" style="53" bestFit="1" customWidth="1"/>
    <col min="13091" max="13315" width="9.140625" style="53"/>
    <col min="13316" max="13316" width="10.42578125" style="53" bestFit="1" customWidth="1"/>
    <col min="13317" max="13325" width="9.140625" style="53"/>
    <col min="13326" max="13326" width="9.42578125" style="53" bestFit="1" customWidth="1"/>
    <col min="13327" max="13344" width="9.140625" style="53"/>
    <col min="13345" max="13345" width="15.85546875" style="53" bestFit="1" customWidth="1"/>
    <col min="13346" max="13346" width="11.42578125" style="53" bestFit="1" customWidth="1"/>
    <col min="13347" max="13571" width="9.140625" style="53"/>
    <col min="13572" max="13572" width="10.42578125" style="53" bestFit="1" customWidth="1"/>
    <col min="13573" max="13581" width="9.140625" style="53"/>
    <col min="13582" max="13582" width="9.42578125" style="53" bestFit="1" customWidth="1"/>
    <col min="13583" max="13600" width="9.140625" style="53"/>
    <col min="13601" max="13601" width="15.85546875" style="53" bestFit="1" customWidth="1"/>
    <col min="13602" max="13602" width="11.42578125" style="53" bestFit="1" customWidth="1"/>
    <col min="13603" max="13827" width="9.140625" style="53"/>
    <col min="13828" max="13828" width="10.42578125" style="53" bestFit="1" customWidth="1"/>
    <col min="13829" max="13837" width="9.140625" style="53"/>
    <col min="13838" max="13838" width="9.42578125" style="53" bestFit="1" customWidth="1"/>
    <col min="13839" max="13856" width="9.140625" style="53"/>
    <col min="13857" max="13857" width="15.85546875" style="53" bestFit="1" customWidth="1"/>
    <col min="13858" max="13858" width="11.42578125" style="53" bestFit="1" customWidth="1"/>
    <col min="13859" max="14083" width="9.140625" style="53"/>
    <col min="14084" max="14084" width="10.42578125" style="53" bestFit="1" customWidth="1"/>
    <col min="14085" max="14093" width="9.140625" style="53"/>
    <col min="14094" max="14094" width="9.42578125" style="53" bestFit="1" customWidth="1"/>
    <col min="14095" max="14112" width="9.140625" style="53"/>
    <col min="14113" max="14113" width="15.85546875" style="53" bestFit="1" customWidth="1"/>
    <col min="14114" max="14114" width="11.42578125" style="53" bestFit="1" customWidth="1"/>
    <col min="14115" max="14339" width="9.140625" style="53"/>
    <col min="14340" max="14340" width="10.42578125" style="53" bestFit="1" customWidth="1"/>
    <col min="14341" max="14349" width="9.140625" style="53"/>
    <col min="14350" max="14350" width="9.42578125" style="53" bestFit="1" customWidth="1"/>
    <col min="14351" max="14368" width="9.140625" style="53"/>
    <col min="14369" max="14369" width="15.85546875" style="53" bestFit="1" customWidth="1"/>
    <col min="14370" max="14370" width="11.42578125" style="53" bestFit="1" customWidth="1"/>
    <col min="14371" max="14595" width="9.140625" style="53"/>
    <col min="14596" max="14596" width="10.42578125" style="53" bestFit="1" customWidth="1"/>
    <col min="14597" max="14605" width="9.140625" style="53"/>
    <col min="14606" max="14606" width="9.42578125" style="53" bestFit="1" customWidth="1"/>
    <col min="14607" max="14624" width="9.140625" style="53"/>
    <col min="14625" max="14625" width="15.85546875" style="53" bestFit="1" customWidth="1"/>
    <col min="14626" max="14626" width="11.42578125" style="53" bestFit="1" customWidth="1"/>
    <col min="14627" max="14851" width="9.140625" style="53"/>
    <col min="14852" max="14852" width="10.42578125" style="53" bestFit="1" customWidth="1"/>
    <col min="14853" max="14861" width="9.140625" style="53"/>
    <col min="14862" max="14862" width="9.42578125" style="53" bestFit="1" customWidth="1"/>
    <col min="14863" max="14880" width="9.140625" style="53"/>
    <col min="14881" max="14881" width="15.85546875" style="53" bestFit="1" customWidth="1"/>
    <col min="14882" max="14882" width="11.42578125" style="53" bestFit="1" customWidth="1"/>
    <col min="14883" max="15107" width="9.140625" style="53"/>
    <col min="15108" max="15108" width="10.42578125" style="53" bestFit="1" customWidth="1"/>
    <col min="15109" max="15117" width="9.140625" style="53"/>
    <col min="15118" max="15118" width="9.42578125" style="53" bestFit="1" customWidth="1"/>
    <col min="15119" max="15136" width="9.140625" style="53"/>
    <col min="15137" max="15137" width="15.85546875" style="53" bestFit="1" customWidth="1"/>
    <col min="15138" max="15138" width="11.42578125" style="53" bestFit="1" customWidth="1"/>
    <col min="15139" max="15363" width="9.140625" style="53"/>
    <col min="15364" max="15364" width="10.42578125" style="53" bestFit="1" customWidth="1"/>
    <col min="15365" max="15373" width="9.140625" style="53"/>
    <col min="15374" max="15374" width="9.42578125" style="53" bestFit="1" customWidth="1"/>
    <col min="15375" max="15392" width="9.140625" style="53"/>
    <col min="15393" max="15393" width="15.85546875" style="53" bestFit="1" customWidth="1"/>
    <col min="15394" max="15394" width="11.42578125" style="53" bestFit="1" customWidth="1"/>
    <col min="15395" max="15619" width="9.140625" style="53"/>
    <col min="15620" max="15620" width="10.42578125" style="53" bestFit="1" customWidth="1"/>
    <col min="15621" max="15629" width="9.140625" style="53"/>
    <col min="15630" max="15630" width="9.42578125" style="53" bestFit="1" customWidth="1"/>
    <col min="15631" max="15648" width="9.140625" style="53"/>
    <col min="15649" max="15649" width="15.85546875" style="53" bestFit="1" customWidth="1"/>
    <col min="15650" max="15650" width="11.42578125" style="53" bestFit="1" customWidth="1"/>
    <col min="15651" max="15875" width="9.140625" style="53"/>
    <col min="15876" max="15876" width="10.42578125" style="53" bestFit="1" customWidth="1"/>
    <col min="15877" max="15885" width="9.140625" style="53"/>
    <col min="15886" max="15886" width="9.42578125" style="53" bestFit="1" customWidth="1"/>
    <col min="15887" max="15904" width="9.140625" style="53"/>
    <col min="15905" max="15905" width="15.85546875" style="53" bestFit="1" customWidth="1"/>
    <col min="15906" max="15906" width="11.42578125" style="53" bestFit="1" customWidth="1"/>
    <col min="15907" max="16131" width="9.140625" style="53"/>
    <col min="16132" max="16132" width="10.42578125" style="53" bestFit="1" customWidth="1"/>
    <col min="16133" max="16141" width="9.140625" style="53"/>
    <col min="16142" max="16142" width="9.42578125" style="53" bestFit="1" customWidth="1"/>
    <col min="16143" max="16160" width="9.140625" style="53"/>
    <col min="16161" max="16161" width="15.85546875" style="53" bestFit="1" customWidth="1"/>
    <col min="16162" max="16162" width="11.42578125" style="53" bestFit="1" customWidth="1"/>
    <col min="16163" max="16384" width="9.140625" style="53"/>
  </cols>
  <sheetData>
    <row r="1" spans="1:53" ht="45" x14ac:dyDescent="0.15">
      <c r="A1" s="93" t="s">
        <v>0</v>
      </c>
      <c r="B1" s="1" t="s">
        <v>1</v>
      </c>
      <c r="C1" s="1" t="s">
        <v>2</v>
      </c>
      <c r="D1" s="2" t="s">
        <v>3</v>
      </c>
      <c r="E1" s="94" t="s">
        <v>4</v>
      </c>
      <c r="F1" s="94" t="s">
        <v>5</v>
      </c>
      <c r="G1" s="94" t="s">
        <v>6</v>
      </c>
      <c r="H1" s="94" t="s">
        <v>7</v>
      </c>
      <c r="I1" s="94" t="s">
        <v>8</v>
      </c>
      <c r="J1" s="94" t="s">
        <v>9</v>
      </c>
      <c r="K1" s="94" t="s">
        <v>10</v>
      </c>
      <c r="L1" s="2" t="s">
        <v>11</v>
      </c>
      <c r="M1" s="2" t="s">
        <v>12</v>
      </c>
      <c r="N1" s="2" t="s">
        <v>13</v>
      </c>
      <c r="O1" s="2" t="s">
        <v>14</v>
      </c>
      <c r="P1" s="2" t="s">
        <v>15</v>
      </c>
      <c r="Q1" s="3" t="s">
        <v>16</v>
      </c>
      <c r="R1" s="2" t="s">
        <v>17</v>
      </c>
      <c r="S1" s="2" t="s">
        <v>18</v>
      </c>
      <c r="T1" s="3" t="s">
        <v>19</v>
      </c>
      <c r="U1" s="4" t="s">
        <v>108</v>
      </c>
      <c r="V1" s="5" t="s">
        <v>20</v>
      </c>
      <c r="W1" s="2" t="s">
        <v>21</v>
      </c>
      <c r="X1" s="94" t="s">
        <v>22</v>
      </c>
      <c r="Y1" s="94" t="s">
        <v>23</v>
      </c>
      <c r="Z1" s="94" t="s">
        <v>24</v>
      </c>
      <c r="AA1" s="95"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54" customFormat="1" x14ac:dyDescent="0.15">
      <c r="A2" s="57" t="s">
        <v>56</v>
      </c>
      <c r="B2" s="57" t="s">
        <v>232</v>
      </c>
      <c r="C2" s="54">
        <v>2019</v>
      </c>
      <c r="D2" s="96" t="s">
        <v>233</v>
      </c>
      <c r="E2" s="54" t="s">
        <v>234</v>
      </c>
      <c r="F2" s="54" t="s">
        <v>235</v>
      </c>
      <c r="G2" s="57" t="s">
        <v>42</v>
      </c>
      <c r="H2" s="54" t="s">
        <v>160</v>
      </c>
      <c r="I2" s="57" t="s">
        <v>198</v>
      </c>
      <c r="J2" s="54" t="s">
        <v>38</v>
      </c>
      <c r="K2" s="54" t="s">
        <v>161</v>
      </c>
      <c r="L2" s="54">
        <v>1</v>
      </c>
      <c r="N2" s="53">
        <v>1</v>
      </c>
      <c r="O2" s="54">
        <v>0.65</v>
      </c>
      <c r="P2" s="53">
        <v>0.65</v>
      </c>
      <c r="Q2" s="97">
        <f t="shared" ref="Q2:Q52" si="0">IF(OR(O2="",P2=""),"",AVERAGE(O2,P2))</f>
        <v>0.65</v>
      </c>
      <c r="R2" s="54">
        <v>16.600000000000001</v>
      </c>
      <c r="S2" s="53">
        <v>148</v>
      </c>
      <c r="T2" s="16">
        <f t="shared" ref="T2:T52" si="1">IF(H2="","",IF(OR(H2="GREEN",H2="GK"),IF(S2&gt;=$AX$2,VLOOKUP(S2,$AX$2:$AY$10,2,1),""),IF(S2&gt;=$AZ$2,VLOOKUP(S2,$AZ$2:$BA$10,2,1),"")))</f>
        <v>22</v>
      </c>
      <c r="U2" s="54">
        <v>183</v>
      </c>
      <c r="V2" s="16">
        <f t="shared" ref="V2:V52" si="2">IF(OR(N2="",U2="",T2=""),"",U2/N2*T2)</f>
        <v>4026</v>
      </c>
      <c r="W2" s="54">
        <v>8</v>
      </c>
      <c r="X2" s="57" t="s">
        <v>46</v>
      </c>
      <c r="Y2" s="57" t="s">
        <v>55</v>
      </c>
      <c r="Z2" s="54" t="s">
        <v>47</v>
      </c>
      <c r="AA2" s="57" t="s">
        <v>40</v>
      </c>
      <c r="AB2" s="149" t="s">
        <v>285</v>
      </c>
      <c r="AE2" s="17" t="s">
        <v>35</v>
      </c>
      <c r="AG2" s="30" t="s">
        <v>236</v>
      </c>
      <c r="AH2" s="98" t="s">
        <v>237</v>
      </c>
      <c r="AJ2" s="18" t="s">
        <v>36</v>
      </c>
      <c r="AL2" s="18" t="s">
        <v>127</v>
      </c>
      <c r="AN2" s="18" t="s">
        <v>37</v>
      </c>
      <c r="AP2" s="18" t="s">
        <v>38</v>
      </c>
      <c r="AR2" s="18" t="s">
        <v>120</v>
      </c>
      <c r="AT2" s="18" t="s">
        <v>39</v>
      </c>
      <c r="AV2" s="18" t="s">
        <v>40</v>
      </c>
      <c r="AX2" s="19">
        <v>1</v>
      </c>
      <c r="AY2" s="20">
        <v>50</v>
      </c>
      <c r="AZ2" s="20">
        <v>1</v>
      </c>
      <c r="BA2" s="21">
        <v>50</v>
      </c>
    </row>
    <row r="3" spans="1:53" x14ac:dyDescent="0.15">
      <c r="A3" s="57" t="s">
        <v>56</v>
      </c>
      <c r="B3" s="57" t="s">
        <v>232</v>
      </c>
      <c r="C3" s="54">
        <v>2019</v>
      </c>
      <c r="D3" s="96" t="s">
        <v>233</v>
      </c>
      <c r="E3" s="54" t="s">
        <v>234</v>
      </c>
      <c r="F3" s="54" t="s">
        <v>235</v>
      </c>
      <c r="G3" s="57" t="s">
        <v>42</v>
      </c>
      <c r="H3" s="54" t="s">
        <v>160</v>
      </c>
      <c r="I3" s="57" t="s">
        <v>198</v>
      </c>
      <c r="J3" s="54" t="s">
        <v>38</v>
      </c>
      <c r="K3" s="54" t="s">
        <v>161</v>
      </c>
      <c r="L3" s="53">
        <v>2</v>
      </c>
      <c r="N3" s="53">
        <v>1</v>
      </c>
      <c r="O3" s="53">
        <v>0.75</v>
      </c>
      <c r="P3" s="53">
        <v>0.75</v>
      </c>
      <c r="Q3" s="97">
        <f t="shared" si="0"/>
        <v>0.75</v>
      </c>
      <c r="R3" s="53">
        <v>16.399999999999999</v>
      </c>
      <c r="S3" s="53">
        <v>139</v>
      </c>
      <c r="T3" s="16">
        <f t="shared" si="1"/>
        <v>22</v>
      </c>
      <c r="U3" s="53">
        <v>183</v>
      </c>
      <c r="V3" s="16">
        <f t="shared" si="2"/>
        <v>4026</v>
      </c>
      <c r="W3" s="53">
        <v>8</v>
      </c>
      <c r="X3" s="57" t="s">
        <v>46</v>
      </c>
      <c r="Y3" s="57" t="s">
        <v>55</v>
      </c>
      <c r="Z3" s="54" t="s">
        <v>47</v>
      </c>
      <c r="AA3" s="57" t="s">
        <v>40</v>
      </c>
      <c r="AB3" s="149" t="s">
        <v>285</v>
      </c>
      <c r="AE3" s="22" t="s">
        <v>41</v>
      </c>
      <c r="AG3" s="30" t="s">
        <v>238</v>
      </c>
      <c r="AH3" s="98" t="s">
        <v>235</v>
      </c>
      <c r="AJ3" s="23" t="s">
        <v>42</v>
      </c>
      <c r="AL3" s="23" t="s">
        <v>128</v>
      </c>
      <c r="AN3" s="23" t="s">
        <v>43</v>
      </c>
      <c r="AP3" s="23" t="s">
        <v>44</v>
      </c>
      <c r="AR3" s="41" t="s">
        <v>45</v>
      </c>
      <c r="AT3" s="23" t="s">
        <v>46</v>
      </c>
      <c r="AV3" s="23" t="s">
        <v>47</v>
      </c>
      <c r="AX3" s="24">
        <v>72</v>
      </c>
      <c r="AY3" s="25">
        <v>46</v>
      </c>
      <c r="AZ3" s="25">
        <v>71</v>
      </c>
      <c r="BA3" s="26">
        <v>42</v>
      </c>
    </row>
    <row r="4" spans="1:53" x14ac:dyDescent="0.15">
      <c r="A4" s="57" t="s">
        <v>56</v>
      </c>
      <c r="B4" s="57" t="s">
        <v>232</v>
      </c>
      <c r="C4" s="54">
        <v>2019</v>
      </c>
      <c r="D4" s="96" t="s">
        <v>233</v>
      </c>
      <c r="E4" s="54" t="s">
        <v>234</v>
      </c>
      <c r="F4" s="54" t="s">
        <v>235</v>
      </c>
      <c r="G4" s="57" t="s">
        <v>42</v>
      </c>
      <c r="H4" s="54" t="s">
        <v>160</v>
      </c>
      <c r="I4" s="57" t="s">
        <v>198</v>
      </c>
      <c r="J4" s="54" t="s">
        <v>38</v>
      </c>
      <c r="K4" s="54" t="s">
        <v>161</v>
      </c>
      <c r="L4" s="53">
        <v>3</v>
      </c>
      <c r="N4" s="53">
        <v>1</v>
      </c>
      <c r="O4" s="53">
        <v>0.6</v>
      </c>
      <c r="P4" s="53">
        <v>0.6</v>
      </c>
      <c r="Q4" s="97">
        <f t="shared" si="0"/>
        <v>0.6</v>
      </c>
      <c r="R4" s="53">
        <v>16.3</v>
      </c>
      <c r="S4" s="53">
        <v>138</v>
      </c>
      <c r="T4" s="16">
        <f t="shared" si="1"/>
        <v>22</v>
      </c>
      <c r="U4" s="53">
        <v>183</v>
      </c>
      <c r="V4" s="16">
        <f t="shared" si="2"/>
        <v>4026</v>
      </c>
      <c r="W4" s="53">
        <v>8</v>
      </c>
      <c r="X4" s="57" t="s">
        <v>46</v>
      </c>
      <c r="Y4" s="57" t="s">
        <v>55</v>
      </c>
      <c r="Z4" s="54" t="s">
        <v>47</v>
      </c>
      <c r="AA4" s="57" t="s">
        <v>40</v>
      </c>
      <c r="AB4" s="149" t="s">
        <v>285</v>
      </c>
      <c r="AE4" s="22" t="s">
        <v>34</v>
      </c>
      <c r="AG4" s="30" t="s">
        <v>239</v>
      </c>
      <c r="AH4" s="98" t="s">
        <v>240</v>
      </c>
      <c r="AJ4" s="27" t="s">
        <v>48</v>
      </c>
      <c r="AL4" s="27" t="s">
        <v>241</v>
      </c>
      <c r="AN4" s="28" t="s">
        <v>49</v>
      </c>
      <c r="AP4" s="23" t="s">
        <v>93</v>
      </c>
      <c r="AR4" s="41" t="s">
        <v>121</v>
      </c>
      <c r="AT4" s="28"/>
      <c r="AV4" s="23" t="s">
        <v>50</v>
      </c>
      <c r="AX4" s="24">
        <v>75</v>
      </c>
      <c r="AY4" s="25">
        <v>42</v>
      </c>
      <c r="AZ4" s="25">
        <v>76</v>
      </c>
      <c r="BA4" s="26">
        <v>39</v>
      </c>
    </row>
    <row r="5" spans="1:53" x14ac:dyDescent="0.15">
      <c r="A5" s="57" t="s">
        <v>56</v>
      </c>
      <c r="B5" s="57" t="s">
        <v>232</v>
      </c>
      <c r="C5" s="54">
        <v>2019</v>
      </c>
      <c r="D5" s="96" t="s">
        <v>233</v>
      </c>
      <c r="E5" s="54" t="s">
        <v>242</v>
      </c>
      <c r="F5" s="54" t="s">
        <v>235</v>
      </c>
      <c r="G5" s="57" t="s">
        <v>42</v>
      </c>
      <c r="H5" s="54" t="s">
        <v>160</v>
      </c>
      <c r="I5" s="57" t="s">
        <v>159</v>
      </c>
      <c r="J5" s="54" t="s">
        <v>38</v>
      </c>
      <c r="K5" s="54" t="s">
        <v>161</v>
      </c>
      <c r="L5" s="53">
        <v>1</v>
      </c>
      <c r="N5" s="53">
        <v>1</v>
      </c>
      <c r="O5" s="53">
        <v>0.6</v>
      </c>
      <c r="P5" s="53">
        <v>0.6</v>
      </c>
      <c r="Q5" s="97">
        <f t="shared" si="0"/>
        <v>0.6</v>
      </c>
      <c r="R5" s="53">
        <v>17.7</v>
      </c>
      <c r="S5" s="53">
        <v>169</v>
      </c>
      <c r="T5" s="16">
        <f t="shared" si="1"/>
        <v>22</v>
      </c>
      <c r="U5" s="53">
        <v>127</v>
      </c>
      <c r="V5" s="16">
        <f t="shared" si="2"/>
        <v>2794</v>
      </c>
      <c r="W5" s="53">
        <v>8</v>
      </c>
      <c r="X5" s="57" t="s">
        <v>46</v>
      </c>
      <c r="Y5" s="57" t="s">
        <v>55</v>
      </c>
      <c r="Z5" s="54" t="s">
        <v>47</v>
      </c>
      <c r="AA5" s="57" t="s">
        <v>90</v>
      </c>
      <c r="AB5" s="149" t="s">
        <v>285</v>
      </c>
      <c r="AE5" s="22" t="s">
        <v>51</v>
      </c>
      <c r="AG5" s="30" t="s">
        <v>243</v>
      </c>
      <c r="AH5" s="98" t="s">
        <v>244</v>
      </c>
      <c r="AJ5" s="28"/>
      <c r="AL5" s="29" t="s">
        <v>66</v>
      </c>
      <c r="AN5" s="29" t="s">
        <v>52</v>
      </c>
      <c r="AP5" s="23" t="s">
        <v>245</v>
      </c>
      <c r="AR5" s="41" t="s">
        <v>54</v>
      </c>
      <c r="AV5" s="23" t="s">
        <v>55</v>
      </c>
      <c r="AX5" s="24">
        <v>84</v>
      </c>
      <c r="AY5" s="25">
        <v>39</v>
      </c>
      <c r="AZ5" s="25">
        <v>84</v>
      </c>
      <c r="BA5" s="26">
        <v>36</v>
      </c>
    </row>
    <row r="6" spans="1:53" x14ac:dyDescent="0.15">
      <c r="A6" s="57" t="s">
        <v>56</v>
      </c>
      <c r="B6" s="57" t="s">
        <v>232</v>
      </c>
      <c r="C6" s="54">
        <v>2019</v>
      </c>
      <c r="D6" s="96" t="s">
        <v>233</v>
      </c>
      <c r="E6" s="54" t="s">
        <v>242</v>
      </c>
      <c r="F6" s="54" t="s">
        <v>235</v>
      </c>
      <c r="G6" s="57" t="s">
        <v>42</v>
      </c>
      <c r="H6" s="54" t="s">
        <v>160</v>
      </c>
      <c r="I6" s="57" t="s">
        <v>159</v>
      </c>
      <c r="J6" s="54" t="s">
        <v>38</v>
      </c>
      <c r="K6" s="54" t="s">
        <v>161</v>
      </c>
      <c r="L6" s="53">
        <v>2</v>
      </c>
      <c r="N6" s="53">
        <v>1</v>
      </c>
      <c r="O6" s="53">
        <v>0.6</v>
      </c>
      <c r="P6" s="53">
        <v>0.6</v>
      </c>
      <c r="Q6" s="97">
        <f t="shared" si="0"/>
        <v>0.6</v>
      </c>
      <c r="R6" s="53">
        <v>17.3</v>
      </c>
      <c r="S6" s="53">
        <v>158</v>
      </c>
      <c r="T6" s="16">
        <f t="shared" si="1"/>
        <v>22</v>
      </c>
      <c r="U6" s="53">
        <v>127</v>
      </c>
      <c r="V6" s="16">
        <f t="shared" si="2"/>
        <v>2794</v>
      </c>
      <c r="W6" s="53">
        <v>8</v>
      </c>
      <c r="X6" s="57" t="s">
        <v>46</v>
      </c>
      <c r="Y6" s="57" t="s">
        <v>55</v>
      </c>
      <c r="Z6" s="54" t="s">
        <v>47</v>
      </c>
      <c r="AA6" s="57" t="s">
        <v>90</v>
      </c>
      <c r="AB6" s="149" t="s">
        <v>285</v>
      </c>
      <c r="AE6" s="22" t="s">
        <v>56</v>
      </c>
      <c r="AG6" s="30" t="s">
        <v>246</v>
      </c>
      <c r="AH6" s="98" t="s">
        <v>244</v>
      </c>
      <c r="AL6" s="29" t="s">
        <v>99</v>
      </c>
      <c r="AN6" s="29" t="s">
        <v>57</v>
      </c>
      <c r="AP6" s="23" t="s">
        <v>53</v>
      </c>
      <c r="AR6" s="41" t="s">
        <v>59</v>
      </c>
      <c r="AV6" s="23" t="s">
        <v>60</v>
      </c>
      <c r="AX6" s="24">
        <v>97</v>
      </c>
      <c r="AY6" s="25">
        <v>36</v>
      </c>
      <c r="AZ6" s="25">
        <v>99</v>
      </c>
      <c r="BA6" s="26">
        <v>33</v>
      </c>
    </row>
    <row r="7" spans="1:53" x14ac:dyDescent="0.15">
      <c r="A7" s="57" t="s">
        <v>56</v>
      </c>
      <c r="B7" s="57" t="s">
        <v>232</v>
      </c>
      <c r="C7" s="54">
        <v>2019</v>
      </c>
      <c r="D7" s="96" t="s">
        <v>233</v>
      </c>
      <c r="E7" s="54" t="s">
        <v>242</v>
      </c>
      <c r="F7" s="54" t="s">
        <v>235</v>
      </c>
      <c r="G7" s="57" t="s">
        <v>42</v>
      </c>
      <c r="H7" s="54" t="s">
        <v>160</v>
      </c>
      <c r="I7" s="57" t="s">
        <v>159</v>
      </c>
      <c r="J7" s="54" t="s">
        <v>38</v>
      </c>
      <c r="K7" s="54" t="s">
        <v>161</v>
      </c>
      <c r="L7" s="53">
        <v>3</v>
      </c>
      <c r="N7" s="53">
        <v>1</v>
      </c>
      <c r="O7" s="53">
        <v>0.55000000000000004</v>
      </c>
      <c r="P7" s="53">
        <v>0.6</v>
      </c>
      <c r="Q7" s="97">
        <f t="shared" si="0"/>
        <v>0.57499999999999996</v>
      </c>
      <c r="R7" s="36">
        <v>17.3</v>
      </c>
      <c r="S7" s="53">
        <v>174</v>
      </c>
      <c r="T7" s="16">
        <f t="shared" si="1"/>
        <v>22</v>
      </c>
      <c r="U7" s="53">
        <v>127</v>
      </c>
      <c r="V7" s="16">
        <f t="shared" si="2"/>
        <v>2794</v>
      </c>
      <c r="W7" s="53">
        <v>8</v>
      </c>
      <c r="X7" s="57" t="s">
        <v>46</v>
      </c>
      <c r="Y7" s="57" t="s">
        <v>55</v>
      </c>
      <c r="Z7" s="54" t="s">
        <v>47</v>
      </c>
      <c r="AA7" s="57" t="s">
        <v>90</v>
      </c>
      <c r="AB7" s="149" t="s">
        <v>285</v>
      </c>
      <c r="AE7" s="22" t="s">
        <v>61</v>
      </c>
      <c r="AG7" s="30" t="s">
        <v>247</v>
      </c>
      <c r="AH7" s="98" t="s">
        <v>248</v>
      </c>
      <c r="AL7" s="99" t="s">
        <v>109</v>
      </c>
      <c r="AP7" s="23" t="s">
        <v>58</v>
      </c>
      <c r="AR7" s="30" t="s">
        <v>122</v>
      </c>
      <c r="AV7" s="23" t="s">
        <v>64</v>
      </c>
      <c r="AX7" s="24">
        <v>109</v>
      </c>
      <c r="AY7" s="25">
        <v>33</v>
      </c>
      <c r="AZ7" s="25">
        <v>113</v>
      </c>
      <c r="BA7" s="26">
        <v>30</v>
      </c>
    </row>
    <row r="8" spans="1:53" x14ac:dyDescent="0.15">
      <c r="A8" s="57" t="s">
        <v>56</v>
      </c>
      <c r="B8" s="57" t="s">
        <v>232</v>
      </c>
      <c r="C8" s="54">
        <v>2019</v>
      </c>
      <c r="D8" s="96" t="s">
        <v>233</v>
      </c>
      <c r="E8" s="54" t="s">
        <v>162</v>
      </c>
      <c r="F8" s="54" t="s">
        <v>249</v>
      </c>
      <c r="G8" s="57" t="s">
        <v>42</v>
      </c>
      <c r="H8" s="54" t="s">
        <v>127</v>
      </c>
      <c r="I8" s="57" t="s">
        <v>159</v>
      </c>
      <c r="J8" s="54" t="s">
        <v>53</v>
      </c>
      <c r="K8" s="54" t="s">
        <v>54</v>
      </c>
      <c r="L8" s="53">
        <v>1</v>
      </c>
      <c r="N8" s="53">
        <v>1</v>
      </c>
      <c r="O8" s="53">
        <v>0.9</v>
      </c>
      <c r="P8" s="53">
        <v>1</v>
      </c>
      <c r="Q8" s="97">
        <f t="shared" si="0"/>
        <v>0.95</v>
      </c>
      <c r="R8" s="53">
        <v>13.2</v>
      </c>
      <c r="S8" s="53">
        <v>98</v>
      </c>
      <c r="T8" s="16">
        <f t="shared" si="1"/>
        <v>36</v>
      </c>
      <c r="U8" s="53">
        <v>106</v>
      </c>
      <c r="V8" s="16">
        <f t="shared" si="2"/>
        <v>3816</v>
      </c>
      <c r="W8" s="53">
        <v>1</v>
      </c>
      <c r="X8" s="57" t="s">
        <v>46</v>
      </c>
      <c r="Y8" s="57" t="s">
        <v>78</v>
      </c>
      <c r="Z8" s="54" t="s">
        <v>55</v>
      </c>
      <c r="AA8" s="57" t="s">
        <v>47</v>
      </c>
      <c r="AB8" s="149" t="s">
        <v>285</v>
      </c>
      <c r="AE8" s="22" t="s">
        <v>59</v>
      </c>
      <c r="AG8" s="30" t="s">
        <v>250</v>
      </c>
      <c r="AH8" s="98" t="s">
        <v>248</v>
      </c>
      <c r="AL8" s="99" t="s">
        <v>134</v>
      </c>
      <c r="AP8" s="23" t="s">
        <v>62</v>
      </c>
      <c r="AR8" s="41" t="s">
        <v>81</v>
      </c>
      <c r="AV8" s="23" t="s">
        <v>97</v>
      </c>
      <c r="AX8" s="24">
        <v>119</v>
      </c>
      <c r="AY8" s="25">
        <v>30</v>
      </c>
      <c r="AZ8" s="25">
        <v>121</v>
      </c>
      <c r="BA8" s="26">
        <v>27</v>
      </c>
    </row>
    <row r="9" spans="1:53" x14ac:dyDescent="0.15">
      <c r="A9" s="57" t="s">
        <v>56</v>
      </c>
      <c r="B9" s="57" t="s">
        <v>232</v>
      </c>
      <c r="C9" s="54">
        <v>2019</v>
      </c>
      <c r="D9" s="96" t="s">
        <v>233</v>
      </c>
      <c r="E9" s="54" t="s">
        <v>162</v>
      </c>
      <c r="F9" s="54" t="s">
        <v>249</v>
      </c>
      <c r="G9" s="57" t="s">
        <v>42</v>
      </c>
      <c r="H9" s="54" t="s">
        <v>127</v>
      </c>
      <c r="I9" s="57" t="s">
        <v>159</v>
      </c>
      <c r="J9" s="54" t="s">
        <v>53</v>
      </c>
      <c r="K9" s="54" t="s">
        <v>54</v>
      </c>
      <c r="L9" s="53">
        <v>2</v>
      </c>
      <c r="N9" s="53">
        <v>1</v>
      </c>
      <c r="O9" s="53">
        <v>0.5</v>
      </c>
      <c r="P9" s="53">
        <v>0.5</v>
      </c>
      <c r="Q9" s="97">
        <f t="shared" si="0"/>
        <v>0.5</v>
      </c>
      <c r="R9" s="53">
        <v>11.2</v>
      </c>
      <c r="S9" s="53">
        <v>103</v>
      </c>
      <c r="T9" s="16">
        <f t="shared" si="1"/>
        <v>33</v>
      </c>
      <c r="U9" s="53">
        <v>106</v>
      </c>
      <c r="V9" s="16">
        <f t="shared" si="2"/>
        <v>3498</v>
      </c>
      <c r="W9" s="53">
        <v>1</v>
      </c>
      <c r="X9" s="57" t="s">
        <v>46</v>
      </c>
      <c r="Y9" s="57" t="s">
        <v>78</v>
      </c>
      <c r="Z9" s="54" t="s">
        <v>55</v>
      </c>
      <c r="AA9" s="57" t="s">
        <v>47</v>
      </c>
      <c r="AB9" s="149" t="s">
        <v>285</v>
      </c>
      <c r="AE9" s="22" t="s">
        <v>98</v>
      </c>
      <c r="AG9" s="30" t="s">
        <v>234</v>
      </c>
      <c r="AH9" s="30" t="s">
        <v>235</v>
      </c>
      <c r="AL9" s="29"/>
      <c r="AP9" s="23" t="s">
        <v>95</v>
      </c>
      <c r="AR9" s="30" t="s">
        <v>89</v>
      </c>
      <c r="AV9" s="23" t="s">
        <v>102</v>
      </c>
      <c r="AX9" s="24">
        <v>128</v>
      </c>
      <c r="AY9" s="25">
        <v>27</v>
      </c>
      <c r="AZ9" s="25">
        <v>129</v>
      </c>
      <c r="BA9" s="26">
        <v>25</v>
      </c>
    </row>
    <row r="10" spans="1:53" x14ac:dyDescent="0.15">
      <c r="A10" s="57" t="s">
        <v>56</v>
      </c>
      <c r="B10" s="57" t="s">
        <v>232</v>
      </c>
      <c r="C10" s="54">
        <v>2019</v>
      </c>
      <c r="D10" s="96" t="s">
        <v>233</v>
      </c>
      <c r="E10" s="54" t="s">
        <v>162</v>
      </c>
      <c r="F10" s="54" t="s">
        <v>249</v>
      </c>
      <c r="G10" s="57" t="s">
        <v>42</v>
      </c>
      <c r="H10" s="54" t="s">
        <v>127</v>
      </c>
      <c r="I10" s="57" t="s">
        <v>159</v>
      </c>
      <c r="J10" s="54" t="s">
        <v>53</v>
      </c>
      <c r="K10" s="54" t="s">
        <v>54</v>
      </c>
      <c r="L10" s="53">
        <v>3</v>
      </c>
      <c r="N10" s="53">
        <v>1</v>
      </c>
      <c r="O10" s="53">
        <v>0.9</v>
      </c>
      <c r="P10" s="53">
        <v>0.75</v>
      </c>
      <c r="Q10" s="97">
        <f t="shared" si="0"/>
        <v>0.82499999999999996</v>
      </c>
      <c r="R10" s="36">
        <v>12</v>
      </c>
      <c r="S10" s="53">
        <v>102</v>
      </c>
      <c r="T10" s="16">
        <f t="shared" si="1"/>
        <v>33</v>
      </c>
      <c r="U10" s="53">
        <v>106</v>
      </c>
      <c r="V10" s="16">
        <f t="shared" si="2"/>
        <v>3498</v>
      </c>
      <c r="W10" s="53">
        <v>1</v>
      </c>
      <c r="X10" s="57" t="s">
        <v>46</v>
      </c>
      <c r="Y10" s="57" t="s">
        <v>78</v>
      </c>
      <c r="Z10" s="54" t="s">
        <v>55</v>
      </c>
      <c r="AA10" s="57" t="s">
        <v>47</v>
      </c>
      <c r="AB10" s="149" t="s">
        <v>285</v>
      </c>
      <c r="AE10" s="22" t="s">
        <v>103</v>
      </c>
      <c r="AG10" s="30" t="s">
        <v>247</v>
      </c>
      <c r="AH10" s="98" t="s">
        <v>244</v>
      </c>
      <c r="AL10" s="99"/>
      <c r="AP10" s="23" t="s">
        <v>100</v>
      </c>
      <c r="AR10" s="30" t="s">
        <v>123</v>
      </c>
      <c r="AV10" s="23" t="s">
        <v>106</v>
      </c>
      <c r="AX10" s="24">
        <v>138</v>
      </c>
      <c r="AY10" s="25">
        <v>25</v>
      </c>
      <c r="AZ10" s="25">
        <v>138</v>
      </c>
      <c r="BA10" s="26">
        <v>22</v>
      </c>
    </row>
    <row r="11" spans="1:53" x14ac:dyDescent="0.15">
      <c r="A11" s="57" t="s">
        <v>56</v>
      </c>
      <c r="B11" s="57" t="s">
        <v>232</v>
      </c>
      <c r="C11" s="54">
        <v>2019</v>
      </c>
      <c r="D11" s="96" t="s">
        <v>233</v>
      </c>
      <c r="E11" s="54" t="s">
        <v>162</v>
      </c>
      <c r="F11" s="54" t="s">
        <v>249</v>
      </c>
      <c r="G11" s="57" t="s">
        <v>42</v>
      </c>
      <c r="H11" s="54" t="s">
        <v>165</v>
      </c>
      <c r="I11" s="57" t="s">
        <v>159</v>
      </c>
      <c r="J11" s="54" t="s">
        <v>38</v>
      </c>
      <c r="K11" s="54" t="s">
        <v>161</v>
      </c>
      <c r="L11" s="53">
        <v>1</v>
      </c>
      <c r="N11" s="53">
        <v>1</v>
      </c>
      <c r="O11" s="53">
        <v>0.95</v>
      </c>
      <c r="P11" s="53">
        <v>1.05</v>
      </c>
      <c r="Q11" s="97">
        <f t="shared" si="0"/>
        <v>1</v>
      </c>
      <c r="R11" s="53">
        <v>13.9</v>
      </c>
      <c r="S11" s="53">
        <v>115</v>
      </c>
      <c r="T11" s="16">
        <f t="shared" si="1"/>
        <v>30</v>
      </c>
      <c r="U11" s="53">
        <v>106</v>
      </c>
      <c r="V11" s="16">
        <f t="shared" si="2"/>
        <v>3180</v>
      </c>
      <c r="W11" s="53">
        <v>4</v>
      </c>
      <c r="X11" s="57" t="s">
        <v>46</v>
      </c>
      <c r="Y11" s="57" t="s">
        <v>78</v>
      </c>
      <c r="Z11" s="54" t="s">
        <v>55</v>
      </c>
      <c r="AA11" s="57" t="s">
        <v>47</v>
      </c>
      <c r="AB11" s="149" t="s">
        <v>285</v>
      </c>
      <c r="AE11" s="22" t="s">
        <v>65</v>
      </c>
      <c r="AG11" s="30" t="s">
        <v>246</v>
      </c>
      <c r="AH11" s="98" t="s">
        <v>244</v>
      </c>
      <c r="AJ11" s="99"/>
      <c r="AP11" s="23" t="s">
        <v>104</v>
      </c>
      <c r="AR11" s="30" t="s">
        <v>87</v>
      </c>
      <c r="AV11" s="23" t="s">
        <v>69</v>
      </c>
    </row>
    <row r="12" spans="1:53" x14ac:dyDescent="0.15">
      <c r="A12" s="57" t="s">
        <v>56</v>
      </c>
      <c r="B12" s="57" t="s">
        <v>232</v>
      </c>
      <c r="C12" s="54">
        <v>2019</v>
      </c>
      <c r="D12" s="96" t="s">
        <v>233</v>
      </c>
      <c r="E12" s="54" t="s">
        <v>162</v>
      </c>
      <c r="F12" s="54" t="s">
        <v>249</v>
      </c>
      <c r="G12" s="57" t="s">
        <v>42</v>
      </c>
      <c r="H12" s="54" t="s">
        <v>165</v>
      </c>
      <c r="I12" s="57" t="s">
        <v>159</v>
      </c>
      <c r="J12" s="54" t="s">
        <v>38</v>
      </c>
      <c r="K12" s="54" t="s">
        <v>161</v>
      </c>
      <c r="L12" s="53">
        <v>2</v>
      </c>
      <c r="N12" s="53">
        <v>1</v>
      </c>
      <c r="O12" s="53">
        <v>1</v>
      </c>
      <c r="P12" s="53">
        <v>1.05</v>
      </c>
      <c r="Q12" s="97">
        <f t="shared" si="0"/>
        <v>1.0249999999999999</v>
      </c>
      <c r="R12" s="53">
        <v>13.4</v>
      </c>
      <c r="S12" s="53">
        <v>111</v>
      </c>
      <c r="T12" s="16">
        <f t="shared" si="1"/>
        <v>33</v>
      </c>
      <c r="U12" s="53">
        <v>106</v>
      </c>
      <c r="V12" s="16">
        <f t="shared" si="2"/>
        <v>3498</v>
      </c>
      <c r="W12" s="53">
        <v>4</v>
      </c>
      <c r="X12" s="57" t="s">
        <v>46</v>
      </c>
      <c r="Y12" s="57" t="s">
        <v>78</v>
      </c>
      <c r="Z12" s="54" t="s">
        <v>55</v>
      </c>
      <c r="AA12" s="57" t="s">
        <v>47</v>
      </c>
      <c r="AB12" s="149" t="s">
        <v>285</v>
      </c>
      <c r="AE12" s="22" t="s">
        <v>70</v>
      </c>
      <c r="AG12" s="30" t="s">
        <v>238</v>
      </c>
      <c r="AH12" s="98" t="s">
        <v>244</v>
      </c>
      <c r="AJ12" s="99"/>
      <c r="AP12" s="23" t="s">
        <v>67</v>
      </c>
      <c r="AR12" s="30" t="s">
        <v>124</v>
      </c>
      <c r="AV12" s="23" t="s">
        <v>72</v>
      </c>
    </row>
    <row r="13" spans="1:53" x14ac:dyDescent="0.15">
      <c r="A13" s="57" t="s">
        <v>56</v>
      </c>
      <c r="B13" s="57" t="s">
        <v>232</v>
      </c>
      <c r="C13" s="54">
        <v>2019</v>
      </c>
      <c r="D13" s="96" t="s">
        <v>233</v>
      </c>
      <c r="E13" s="54" t="s">
        <v>162</v>
      </c>
      <c r="F13" s="54" t="s">
        <v>249</v>
      </c>
      <c r="G13" s="57" t="s">
        <v>42</v>
      </c>
      <c r="H13" s="54" t="s">
        <v>165</v>
      </c>
      <c r="I13" s="57" t="s">
        <v>159</v>
      </c>
      <c r="J13" s="54" t="s">
        <v>38</v>
      </c>
      <c r="K13" s="54" t="s">
        <v>161</v>
      </c>
      <c r="L13" s="53">
        <v>3</v>
      </c>
      <c r="N13" s="53">
        <v>1</v>
      </c>
      <c r="O13" s="53">
        <v>1.25</v>
      </c>
      <c r="P13" s="53">
        <v>1.1499999999999999</v>
      </c>
      <c r="Q13" s="97">
        <f t="shared" si="0"/>
        <v>1.2</v>
      </c>
      <c r="R13" s="36">
        <v>12.3</v>
      </c>
      <c r="S13" s="53">
        <v>109</v>
      </c>
      <c r="T13" s="16">
        <f t="shared" si="1"/>
        <v>33</v>
      </c>
      <c r="U13" s="53">
        <v>106</v>
      </c>
      <c r="V13" s="16">
        <f t="shared" si="2"/>
        <v>3498</v>
      </c>
      <c r="W13" s="53">
        <v>4</v>
      </c>
      <c r="X13" s="57" t="s">
        <v>46</v>
      </c>
      <c r="Y13" s="57" t="s">
        <v>78</v>
      </c>
      <c r="Z13" s="54" t="s">
        <v>55</v>
      </c>
      <c r="AA13" s="57" t="s">
        <v>47</v>
      </c>
      <c r="AB13" s="149" t="s">
        <v>285</v>
      </c>
      <c r="AE13" s="22" t="s">
        <v>73</v>
      </c>
      <c r="AP13" s="23" t="s">
        <v>71</v>
      </c>
      <c r="AR13" s="30" t="s">
        <v>103</v>
      </c>
      <c r="AV13" s="23" t="s">
        <v>75</v>
      </c>
    </row>
    <row r="14" spans="1:53" x14ac:dyDescent="0.15">
      <c r="A14" s="57" t="s">
        <v>56</v>
      </c>
      <c r="B14" s="57" t="s">
        <v>232</v>
      </c>
      <c r="C14" s="54">
        <v>2019</v>
      </c>
      <c r="D14" s="96" t="s">
        <v>233</v>
      </c>
      <c r="E14" s="54" t="s">
        <v>162</v>
      </c>
      <c r="F14" s="54" t="s">
        <v>249</v>
      </c>
      <c r="G14" s="57" t="s">
        <v>42</v>
      </c>
      <c r="H14" s="54" t="s">
        <v>160</v>
      </c>
      <c r="I14" s="57" t="s">
        <v>159</v>
      </c>
      <c r="J14" s="54" t="s">
        <v>38</v>
      </c>
      <c r="K14" s="54" t="s">
        <v>161</v>
      </c>
      <c r="L14" s="53">
        <v>1</v>
      </c>
      <c r="N14" s="53">
        <v>1</v>
      </c>
      <c r="O14" s="53">
        <v>0.95</v>
      </c>
      <c r="P14" s="53">
        <v>0.9</v>
      </c>
      <c r="Q14" s="97">
        <f t="shared" si="0"/>
        <v>0.92500000000000004</v>
      </c>
      <c r="R14" s="53">
        <v>16.100000000000001</v>
      </c>
      <c r="S14" s="53">
        <v>126</v>
      </c>
      <c r="T14" s="16">
        <f t="shared" si="1"/>
        <v>27</v>
      </c>
      <c r="U14" s="53">
        <v>106</v>
      </c>
      <c r="V14" s="16">
        <f t="shared" si="2"/>
        <v>2862</v>
      </c>
      <c r="W14" s="53">
        <v>4</v>
      </c>
      <c r="X14" s="57" t="s">
        <v>46</v>
      </c>
      <c r="Y14" s="57" t="s">
        <v>78</v>
      </c>
      <c r="Z14" s="54" t="s">
        <v>55</v>
      </c>
      <c r="AA14" s="57" t="s">
        <v>47</v>
      </c>
      <c r="AB14" s="149" t="s">
        <v>285</v>
      </c>
      <c r="AE14" s="22" t="s">
        <v>76</v>
      </c>
      <c r="AP14" s="23" t="s">
        <v>74</v>
      </c>
      <c r="AR14" s="30" t="s">
        <v>125</v>
      </c>
      <c r="AV14" s="23" t="s">
        <v>78</v>
      </c>
    </row>
    <row r="15" spans="1:53" x14ac:dyDescent="0.15">
      <c r="A15" s="57" t="s">
        <v>56</v>
      </c>
      <c r="B15" s="57" t="s">
        <v>232</v>
      </c>
      <c r="C15" s="54">
        <v>2019</v>
      </c>
      <c r="D15" s="96" t="s">
        <v>233</v>
      </c>
      <c r="E15" s="54" t="s">
        <v>162</v>
      </c>
      <c r="F15" s="54" t="s">
        <v>249</v>
      </c>
      <c r="G15" s="57" t="s">
        <v>42</v>
      </c>
      <c r="H15" s="54" t="s">
        <v>160</v>
      </c>
      <c r="I15" s="57" t="s">
        <v>159</v>
      </c>
      <c r="J15" s="54" t="s">
        <v>38</v>
      </c>
      <c r="K15" s="54" t="s">
        <v>161</v>
      </c>
      <c r="L15" s="53">
        <v>2</v>
      </c>
      <c r="N15" s="53">
        <v>1</v>
      </c>
      <c r="O15" s="53">
        <v>0.75</v>
      </c>
      <c r="P15" s="53">
        <v>0.75</v>
      </c>
      <c r="Q15" s="97">
        <f t="shared" si="0"/>
        <v>0.75</v>
      </c>
      <c r="R15" s="53">
        <v>14.9</v>
      </c>
      <c r="S15" s="53">
        <v>124</v>
      </c>
      <c r="T15" s="16">
        <f t="shared" si="1"/>
        <v>27</v>
      </c>
      <c r="U15" s="53">
        <v>106</v>
      </c>
      <c r="V15" s="16">
        <f t="shared" si="2"/>
        <v>2862</v>
      </c>
      <c r="W15" s="53">
        <v>4</v>
      </c>
      <c r="X15" s="57" t="s">
        <v>46</v>
      </c>
      <c r="Y15" s="57" t="s">
        <v>78</v>
      </c>
      <c r="Z15" s="54" t="s">
        <v>55</v>
      </c>
      <c r="AA15" s="57" t="s">
        <v>47</v>
      </c>
      <c r="AB15" s="149" t="s">
        <v>285</v>
      </c>
      <c r="AE15" s="22" t="s">
        <v>79</v>
      </c>
      <c r="AP15" s="23" t="s">
        <v>77</v>
      </c>
      <c r="AR15" s="30" t="s">
        <v>94</v>
      </c>
      <c r="AV15" s="23" t="s">
        <v>107</v>
      </c>
    </row>
    <row r="16" spans="1:53" x14ac:dyDescent="0.15">
      <c r="A16" s="57" t="s">
        <v>56</v>
      </c>
      <c r="B16" s="57" t="s">
        <v>232</v>
      </c>
      <c r="C16" s="54">
        <v>2019</v>
      </c>
      <c r="D16" s="96" t="s">
        <v>233</v>
      </c>
      <c r="E16" s="54" t="s">
        <v>162</v>
      </c>
      <c r="F16" s="54" t="s">
        <v>249</v>
      </c>
      <c r="G16" s="57" t="s">
        <v>42</v>
      </c>
      <c r="H16" s="54" t="s">
        <v>160</v>
      </c>
      <c r="I16" s="57" t="s">
        <v>159</v>
      </c>
      <c r="J16" s="54" t="s">
        <v>38</v>
      </c>
      <c r="K16" s="54" t="s">
        <v>161</v>
      </c>
      <c r="L16" s="53">
        <v>3</v>
      </c>
      <c r="N16" s="53">
        <v>1</v>
      </c>
      <c r="O16" s="53">
        <v>0.75</v>
      </c>
      <c r="P16" s="53">
        <v>0.75</v>
      </c>
      <c r="Q16" s="97">
        <f t="shared" si="0"/>
        <v>0.75</v>
      </c>
      <c r="R16" s="36">
        <v>15.2</v>
      </c>
      <c r="S16" s="53">
        <v>124</v>
      </c>
      <c r="T16" s="16">
        <f t="shared" si="1"/>
        <v>27</v>
      </c>
      <c r="U16" s="53">
        <v>106</v>
      </c>
      <c r="V16" s="16">
        <f t="shared" si="2"/>
        <v>2862</v>
      </c>
      <c r="W16" s="53">
        <v>4</v>
      </c>
      <c r="X16" s="57" t="s">
        <v>46</v>
      </c>
      <c r="Y16" s="57" t="s">
        <v>78</v>
      </c>
      <c r="Z16" s="54" t="s">
        <v>55</v>
      </c>
      <c r="AA16" s="57" t="s">
        <v>47</v>
      </c>
      <c r="AB16" s="149" t="s">
        <v>285</v>
      </c>
      <c r="AE16" s="22" t="s">
        <v>82</v>
      </c>
      <c r="AP16" s="23" t="s">
        <v>80</v>
      </c>
      <c r="AR16" s="41" t="s">
        <v>63</v>
      </c>
      <c r="AV16" s="23" t="s">
        <v>84</v>
      </c>
    </row>
    <row r="17" spans="1:48" x14ac:dyDescent="0.15">
      <c r="A17" s="57" t="s">
        <v>56</v>
      </c>
      <c r="B17" s="57" t="s">
        <v>232</v>
      </c>
      <c r="C17" s="54">
        <v>2019</v>
      </c>
      <c r="D17" s="96" t="s">
        <v>233</v>
      </c>
      <c r="E17" s="54" t="s">
        <v>251</v>
      </c>
      <c r="F17" s="54" t="s">
        <v>252</v>
      </c>
      <c r="G17" s="57" t="s">
        <v>42</v>
      </c>
      <c r="H17" s="54" t="s">
        <v>165</v>
      </c>
      <c r="I17" s="57" t="s">
        <v>159</v>
      </c>
      <c r="J17" s="54" t="s">
        <v>38</v>
      </c>
      <c r="K17" s="54" t="s">
        <v>161</v>
      </c>
      <c r="L17" s="53">
        <v>1</v>
      </c>
      <c r="N17" s="53">
        <v>5</v>
      </c>
      <c r="O17" s="53">
        <v>0.6</v>
      </c>
      <c r="P17" s="53">
        <v>0.65</v>
      </c>
      <c r="Q17" s="97">
        <f t="shared" si="0"/>
        <v>0.625</v>
      </c>
      <c r="R17" s="53">
        <v>14.4</v>
      </c>
      <c r="S17" s="53">
        <v>94</v>
      </c>
      <c r="T17" s="16">
        <f t="shared" si="1"/>
        <v>36</v>
      </c>
      <c r="U17" s="53">
        <v>430</v>
      </c>
      <c r="V17" s="16">
        <f t="shared" si="2"/>
        <v>3096</v>
      </c>
      <c r="W17" s="53">
        <v>2</v>
      </c>
      <c r="X17" s="57" t="s">
        <v>46</v>
      </c>
      <c r="Y17" s="57" t="s">
        <v>55</v>
      </c>
      <c r="Z17" s="54" t="s">
        <v>47</v>
      </c>
      <c r="AA17" s="57" t="s">
        <v>78</v>
      </c>
      <c r="AB17" s="149" t="s">
        <v>285</v>
      </c>
      <c r="AE17" s="22" t="s">
        <v>85</v>
      </c>
      <c r="AP17" s="43" t="s">
        <v>110</v>
      </c>
      <c r="AR17" s="41" t="s">
        <v>96</v>
      </c>
      <c r="AV17" s="23" t="s">
        <v>86</v>
      </c>
    </row>
    <row r="18" spans="1:48" x14ac:dyDescent="0.15">
      <c r="A18" s="57" t="s">
        <v>56</v>
      </c>
      <c r="B18" s="57" t="s">
        <v>232</v>
      </c>
      <c r="C18" s="54">
        <v>2019</v>
      </c>
      <c r="D18" s="96" t="s">
        <v>233</v>
      </c>
      <c r="E18" s="54" t="s">
        <v>251</v>
      </c>
      <c r="F18" s="54" t="s">
        <v>252</v>
      </c>
      <c r="G18" s="57" t="s">
        <v>42</v>
      </c>
      <c r="H18" s="54" t="s">
        <v>165</v>
      </c>
      <c r="I18" s="57" t="s">
        <v>159</v>
      </c>
      <c r="J18" s="54" t="s">
        <v>38</v>
      </c>
      <c r="K18" s="54" t="s">
        <v>161</v>
      </c>
      <c r="L18" s="53">
        <v>2</v>
      </c>
      <c r="N18" s="53">
        <v>5</v>
      </c>
      <c r="O18" s="53">
        <v>0.75</v>
      </c>
      <c r="P18" s="53">
        <v>0.8</v>
      </c>
      <c r="Q18" s="97">
        <f t="shared" si="0"/>
        <v>0.77500000000000002</v>
      </c>
      <c r="R18" s="53">
        <v>11.2</v>
      </c>
      <c r="S18" s="53">
        <v>84</v>
      </c>
      <c r="T18" s="16">
        <f t="shared" si="1"/>
        <v>36</v>
      </c>
      <c r="U18" s="53">
        <v>430</v>
      </c>
      <c r="V18" s="16">
        <f t="shared" si="2"/>
        <v>3096</v>
      </c>
      <c r="W18" s="53">
        <v>2</v>
      </c>
      <c r="X18" s="57" t="s">
        <v>46</v>
      </c>
      <c r="Y18" s="57" t="s">
        <v>55</v>
      </c>
      <c r="Z18" s="54" t="s">
        <v>47</v>
      </c>
      <c r="AA18" s="57" t="s">
        <v>78</v>
      </c>
      <c r="AB18" s="149" t="s">
        <v>285</v>
      </c>
      <c r="AE18" s="22" t="s">
        <v>87</v>
      </c>
      <c r="AP18" s="43" t="s">
        <v>111</v>
      </c>
      <c r="AR18" s="41" t="s">
        <v>101</v>
      </c>
      <c r="AV18" s="23" t="s">
        <v>88</v>
      </c>
    </row>
    <row r="19" spans="1:48" x14ac:dyDescent="0.15">
      <c r="A19" s="57" t="s">
        <v>56</v>
      </c>
      <c r="B19" s="57" t="s">
        <v>232</v>
      </c>
      <c r="C19" s="54">
        <v>2019</v>
      </c>
      <c r="D19" s="96" t="s">
        <v>233</v>
      </c>
      <c r="E19" s="54" t="s">
        <v>251</v>
      </c>
      <c r="F19" s="54" t="s">
        <v>252</v>
      </c>
      <c r="G19" s="57" t="s">
        <v>42</v>
      </c>
      <c r="H19" s="54" t="s">
        <v>165</v>
      </c>
      <c r="I19" s="57" t="s">
        <v>159</v>
      </c>
      <c r="J19" s="54" t="s">
        <v>38</v>
      </c>
      <c r="K19" s="54" t="s">
        <v>161</v>
      </c>
      <c r="L19" s="53">
        <v>3</v>
      </c>
      <c r="N19" s="53">
        <v>5</v>
      </c>
      <c r="O19" s="53">
        <v>0.8</v>
      </c>
      <c r="P19" s="53">
        <v>0.75</v>
      </c>
      <c r="Q19" s="97">
        <f t="shared" si="0"/>
        <v>0.77500000000000002</v>
      </c>
      <c r="R19" s="53">
        <v>14.9</v>
      </c>
      <c r="S19" s="53">
        <v>104</v>
      </c>
      <c r="T19" s="16">
        <f t="shared" si="1"/>
        <v>33</v>
      </c>
      <c r="U19" s="53">
        <v>430</v>
      </c>
      <c r="V19" s="16">
        <f t="shared" si="2"/>
        <v>2838</v>
      </c>
      <c r="W19" s="53">
        <v>2</v>
      </c>
      <c r="X19" s="57" t="s">
        <v>46</v>
      </c>
      <c r="Y19" s="57" t="s">
        <v>55</v>
      </c>
      <c r="Z19" s="54" t="s">
        <v>47</v>
      </c>
      <c r="AA19" s="57" t="s">
        <v>78</v>
      </c>
      <c r="AB19" s="149" t="s">
        <v>285</v>
      </c>
      <c r="AE19" s="35" t="s">
        <v>89</v>
      </c>
      <c r="AP19" s="43" t="s">
        <v>112</v>
      </c>
      <c r="AR19" s="30" t="s">
        <v>126</v>
      </c>
      <c r="AV19" s="23" t="s">
        <v>90</v>
      </c>
    </row>
    <row r="20" spans="1:48" x14ac:dyDescent="0.15">
      <c r="A20" s="57" t="s">
        <v>56</v>
      </c>
      <c r="B20" s="57" t="s">
        <v>232</v>
      </c>
      <c r="C20" s="54">
        <v>2019</v>
      </c>
      <c r="D20" s="96" t="s">
        <v>233</v>
      </c>
      <c r="E20" s="54" t="s">
        <v>251</v>
      </c>
      <c r="F20" s="54" t="s">
        <v>252</v>
      </c>
      <c r="G20" s="57" t="s">
        <v>42</v>
      </c>
      <c r="H20" s="54" t="s">
        <v>160</v>
      </c>
      <c r="I20" s="57" t="s">
        <v>159</v>
      </c>
      <c r="J20" s="54" t="s">
        <v>38</v>
      </c>
      <c r="K20" s="54" t="s">
        <v>161</v>
      </c>
      <c r="L20" s="53">
        <v>1</v>
      </c>
      <c r="N20" s="53">
        <v>5</v>
      </c>
      <c r="O20" s="53">
        <v>0.65</v>
      </c>
      <c r="P20" s="53">
        <v>0.6</v>
      </c>
      <c r="Q20" s="97">
        <f t="shared" si="0"/>
        <v>0.625</v>
      </c>
      <c r="R20" s="53">
        <v>16.600000000000001</v>
      </c>
      <c r="S20" s="53">
        <v>107</v>
      </c>
      <c r="T20" s="16">
        <f t="shared" si="1"/>
        <v>33</v>
      </c>
      <c r="U20" s="53">
        <v>645</v>
      </c>
      <c r="V20" s="16">
        <f t="shared" si="2"/>
        <v>4257</v>
      </c>
      <c r="W20" s="53">
        <v>4</v>
      </c>
      <c r="X20" s="57" t="s">
        <v>46</v>
      </c>
      <c r="Y20" s="57" t="s">
        <v>55</v>
      </c>
      <c r="Z20" s="54" t="s">
        <v>47</v>
      </c>
      <c r="AA20" s="57" t="s">
        <v>78</v>
      </c>
      <c r="AB20" s="149" t="s">
        <v>285</v>
      </c>
      <c r="AP20" s="43" t="s">
        <v>113</v>
      </c>
      <c r="AR20" s="41" t="s">
        <v>105</v>
      </c>
      <c r="AV20" s="27" t="s">
        <v>135</v>
      </c>
    </row>
    <row r="21" spans="1:48" x14ac:dyDescent="0.15">
      <c r="A21" s="57" t="s">
        <v>56</v>
      </c>
      <c r="B21" s="57" t="s">
        <v>232</v>
      </c>
      <c r="C21" s="54">
        <v>2019</v>
      </c>
      <c r="D21" s="96" t="s">
        <v>233</v>
      </c>
      <c r="E21" s="54" t="s">
        <v>251</v>
      </c>
      <c r="F21" s="54" t="s">
        <v>252</v>
      </c>
      <c r="G21" s="57" t="s">
        <v>42</v>
      </c>
      <c r="H21" s="54" t="s">
        <v>160</v>
      </c>
      <c r="I21" s="57" t="s">
        <v>159</v>
      </c>
      <c r="J21" s="54" t="s">
        <v>38</v>
      </c>
      <c r="K21" s="54" t="s">
        <v>161</v>
      </c>
      <c r="L21" s="53">
        <v>2</v>
      </c>
      <c r="N21" s="53">
        <v>5</v>
      </c>
      <c r="O21" s="53">
        <v>0.6</v>
      </c>
      <c r="P21" s="53">
        <v>0.5</v>
      </c>
      <c r="Q21" s="97">
        <f t="shared" si="0"/>
        <v>0.55000000000000004</v>
      </c>
      <c r="R21" s="53">
        <v>16.7</v>
      </c>
      <c r="S21" s="53">
        <v>108</v>
      </c>
      <c r="T21" s="16">
        <f t="shared" si="1"/>
        <v>33</v>
      </c>
      <c r="U21" s="53">
        <v>645</v>
      </c>
      <c r="V21" s="16">
        <f t="shared" si="2"/>
        <v>4257</v>
      </c>
      <c r="W21" s="53">
        <v>4</v>
      </c>
      <c r="X21" s="57" t="s">
        <v>46</v>
      </c>
      <c r="Y21" s="57" t="s">
        <v>55</v>
      </c>
      <c r="Z21" s="54" t="s">
        <v>47</v>
      </c>
      <c r="AA21" s="57" t="s">
        <v>78</v>
      </c>
      <c r="AB21" s="149" t="s">
        <v>285</v>
      </c>
      <c r="AP21" s="43" t="s">
        <v>114</v>
      </c>
      <c r="AR21" s="41" t="s">
        <v>68</v>
      </c>
      <c r="AV21" s="28" t="s">
        <v>253</v>
      </c>
    </row>
    <row r="22" spans="1:48" x14ac:dyDescent="0.15">
      <c r="A22" s="57" t="s">
        <v>56</v>
      </c>
      <c r="B22" s="57" t="s">
        <v>232</v>
      </c>
      <c r="C22" s="54">
        <v>2019</v>
      </c>
      <c r="D22" s="96" t="s">
        <v>233</v>
      </c>
      <c r="E22" s="54" t="s">
        <v>251</v>
      </c>
      <c r="F22" s="54" t="s">
        <v>252</v>
      </c>
      <c r="G22" s="57" t="s">
        <v>42</v>
      </c>
      <c r="H22" s="54" t="s">
        <v>160</v>
      </c>
      <c r="I22" s="57" t="s">
        <v>159</v>
      </c>
      <c r="J22" s="54" t="s">
        <v>38</v>
      </c>
      <c r="K22" s="54" t="s">
        <v>161</v>
      </c>
      <c r="L22" s="53">
        <v>3</v>
      </c>
      <c r="N22" s="53">
        <v>5</v>
      </c>
      <c r="O22" s="53">
        <v>0.65</v>
      </c>
      <c r="P22" s="53">
        <v>0.65</v>
      </c>
      <c r="Q22" s="97">
        <f t="shared" si="0"/>
        <v>0.65</v>
      </c>
      <c r="R22" s="53">
        <v>17.8</v>
      </c>
      <c r="S22" s="53">
        <v>110</v>
      </c>
      <c r="T22" s="16">
        <f t="shared" si="1"/>
        <v>33</v>
      </c>
      <c r="U22" s="53">
        <v>645</v>
      </c>
      <c r="V22" s="16">
        <f t="shared" si="2"/>
        <v>4257</v>
      </c>
      <c r="W22" s="53">
        <v>4</v>
      </c>
      <c r="X22" s="57" t="s">
        <v>46</v>
      </c>
      <c r="Y22" s="57" t="s">
        <v>55</v>
      </c>
      <c r="Z22" s="54" t="s">
        <v>47</v>
      </c>
      <c r="AA22" s="57" t="s">
        <v>78</v>
      </c>
      <c r="AB22" s="149" t="s">
        <v>285</v>
      </c>
      <c r="AP22" s="43" t="s">
        <v>115</v>
      </c>
      <c r="AR22" s="41" t="s">
        <v>83</v>
      </c>
    </row>
    <row r="23" spans="1:48" x14ac:dyDescent="0.15">
      <c r="A23" s="57" t="s">
        <v>56</v>
      </c>
      <c r="B23" s="57" t="s">
        <v>232</v>
      </c>
      <c r="C23" s="54">
        <v>2019</v>
      </c>
      <c r="D23" s="96" t="s">
        <v>233</v>
      </c>
      <c r="E23" s="54" t="s">
        <v>254</v>
      </c>
      <c r="F23" s="54" t="s">
        <v>249</v>
      </c>
      <c r="G23" s="57" t="s">
        <v>42</v>
      </c>
      <c r="H23" s="54" t="s">
        <v>127</v>
      </c>
      <c r="I23" s="57" t="s">
        <v>198</v>
      </c>
      <c r="J23" s="54" t="s">
        <v>80</v>
      </c>
      <c r="K23" s="54" t="s">
        <v>63</v>
      </c>
      <c r="L23" s="53">
        <v>1</v>
      </c>
      <c r="N23" s="53">
        <v>1</v>
      </c>
      <c r="O23" s="53">
        <v>0.7</v>
      </c>
      <c r="P23" s="53">
        <v>0.75</v>
      </c>
      <c r="Q23" s="97">
        <f t="shared" si="0"/>
        <v>0.72499999999999998</v>
      </c>
      <c r="R23" s="53">
        <v>14.2</v>
      </c>
      <c r="S23" s="53">
        <v>101</v>
      </c>
      <c r="T23" s="16">
        <f t="shared" si="1"/>
        <v>33</v>
      </c>
      <c r="U23" s="53">
        <v>83</v>
      </c>
      <c r="V23" s="16">
        <f t="shared" si="2"/>
        <v>2739</v>
      </c>
      <c r="W23" s="53">
        <v>4</v>
      </c>
      <c r="X23" s="57" t="s">
        <v>39</v>
      </c>
      <c r="Y23" s="57" t="s">
        <v>55</v>
      </c>
      <c r="Z23" s="54" t="s">
        <v>47</v>
      </c>
      <c r="AA23" s="57" t="s">
        <v>78</v>
      </c>
      <c r="AB23" s="149" t="s">
        <v>285</v>
      </c>
      <c r="AP23" s="43" t="s">
        <v>137</v>
      </c>
      <c r="AR23" s="41" t="s">
        <v>61</v>
      </c>
    </row>
    <row r="24" spans="1:48" x14ac:dyDescent="0.15">
      <c r="A24" s="57" t="s">
        <v>56</v>
      </c>
      <c r="B24" s="57" t="s">
        <v>232</v>
      </c>
      <c r="C24" s="54">
        <v>2019</v>
      </c>
      <c r="D24" s="96" t="s">
        <v>233</v>
      </c>
      <c r="E24" s="54" t="s">
        <v>254</v>
      </c>
      <c r="F24" s="54" t="s">
        <v>249</v>
      </c>
      <c r="G24" s="57" t="s">
        <v>42</v>
      </c>
      <c r="H24" s="54" t="s">
        <v>127</v>
      </c>
      <c r="I24" s="57" t="s">
        <v>198</v>
      </c>
      <c r="J24" s="54" t="s">
        <v>80</v>
      </c>
      <c r="K24" s="54" t="s">
        <v>63</v>
      </c>
      <c r="L24" s="53">
        <v>2</v>
      </c>
      <c r="N24" s="53">
        <v>1</v>
      </c>
      <c r="O24" s="53">
        <v>0.75</v>
      </c>
      <c r="P24" s="53">
        <v>0.75</v>
      </c>
      <c r="Q24" s="97">
        <f t="shared" si="0"/>
        <v>0.75</v>
      </c>
      <c r="R24" s="53">
        <v>12.8</v>
      </c>
      <c r="S24" s="53">
        <v>101</v>
      </c>
      <c r="T24" s="16">
        <f t="shared" si="1"/>
        <v>33</v>
      </c>
      <c r="U24" s="53">
        <v>83</v>
      </c>
      <c r="V24" s="16">
        <f t="shared" si="2"/>
        <v>2739</v>
      </c>
      <c r="W24" s="53">
        <v>4</v>
      </c>
      <c r="X24" s="57" t="s">
        <v>39</v>
      </c>
      <c r="Y24" s="57" t="s">
        <v>55</v>
      </c>
      <c r="Z24" s="54" t="s">
        <v>47</v>
      </c>
      <c r="AA24" s="57" t="s">
        <v>78</v>
      </c>
      <c r="AB24" s="149" t="s">
        <v>285</v>
      </c>
      <c r="AP24" s="43" t="s">
        <v>138</v>
      </c>
      <c r="AR24" s="41" t="s">
        <v>91</v>
      </c>
    </row>
    <row r="25" spans="1:48" x14ac:dyDescent="0.15">
      <c r="A25" s="57" t="s">
        <v>56</v>
      </c>
      <c r="B25" s="57" t="s">
        <v>232</v>
      </c>
      <c r="C25" s="54">
        <v>2019</v>
      </c>
      <c r="D25" s="96" t="s">
        <v>233</v>
      </c>
      <c r="E25" s="54" t="s">
        <v>254</v>
      </c>
      <c r="F25" s="54" t="s">
        <v>249</v>
      </c>
      <c r="G25" s="57" t="s">
        <v>42</v>
      </c>
      <c r="H25" s="54" t="s">
        <v>127</v>
      </c>
      <c r="I25" s="57" t="s">
        <v>198</v>
      </c>
      <c r="J25" s="54" t="s">
        <v>80</v>
      </c>
      <c r="K25" s="54" t="s">
        <v>63</v>
      </c>
      <c r="L25" s="53">
        <v>3</v>
      </c>
      <c r="N25" s="53">
        <v>1</v>
      </c>
      <c r="O25" s="53">
        <v>0.75</v>
      </c>
      <c r="P25" s="53">
        <v>0.75</v>
      </c>
      <c r="Q25" s="97">
        <f t="shared" si="0"/>
        <v>0.75</v>
      </c>
      <c r="R25" s="53">
        <v>12.2</v>
      </c>
      <c r="S25" s="53">
        <v>108</v>
      </c>
      <c r="T25" s="16">
        <f t="shared" si="1"/>
        <v>33</v>
      </c>
      <c r="U25" s="53">
        <v>83</v>
      </c>
      <c r="V25" s="16">
        <f t="shared" si="2"/>
        <v>2739</v>
      </c>
      <c r="W25" s="53">
        <v>4</v>
      </c>
      <c r="X25" s="57" t="s">
        <v>39</v>
      </c>
      <c r="Y25" s="57" t="s">
        <v>55</v>
      </c>
      <c r="Z25" s="54" t="s">
        <v>47</v>
      </c>
      <c r="AA25" s="57" t="s">
        <v>78</v>
      </c>
      <c r="AB25" s="149" t="s">
        <v>285</v>
      </c>
      <c r="AP25" s="43" t="s">
        <v>116</v>
      </c>
      <c r="AR25" s="42" t="s">
        <v>92</v>
      </c>
    </row>
    <row r="26" spans="1:48" x14ac:dyDescent="0.15">
      <c r="A26" s="57" t="s">
        <v>56</v>
      </c>
      <c r="B26" s="57" t="s">
        <v>232</v>
      </c>
      <c r="C26" s="54">
        <v>2019</v>
      </c>
      <c r="D26" s="96" t="s">
        <v>233</v>
      </c>
      <c r="E26" s="54" t="s">
        <v>254</v>
      </c>
      <c r="F26" s="54" t="s">
        <v>249</v>
      </c>
      <c r="G26" s="57" t="s">
        <v>42</v>
      </c>
      <c r="H26" s="54" t="s">
        <v>160</v>
      </c>
      <c r="I26" s="57" t="s">
        <v>159</v>
      </c>
      <c r="J26" s="54" t="s">
        <v>38</v>
      </c>
      <c r="K26" s="54" t="s">
        <v>161</v>
      </c>
      <c r="L26" s="53">
        <v>1</v>
      </c>
      <c r="N26" s="53">
        <v>4</v>
      </c>
      <c r="O26" s="53">
        <v>0.6</v>
      </c>
      <c r="P26" s="53">
        <v>0.6</v>
      </c>
      <c r="Q26" s="16">
        <f t="shared" si="0"/>
        <v>0.6</v>
      </c>
      <c r="R26" s="53">
        <v>12.7</v>
      </c>
      <c r="S26" s="53">
        <v>102</v>
      </c>
      <c r="T26" s="16">
        <f t="shared" si="1"/>
        <v>33</v>
      </c>
      <c r="U26" s="53">
        <v>418</v>
      </c>
      <c r="V26" s="16">
        <f t="shared" si="2"/>
        <v>3448.5</v>
      </c>
      <c r="W26" s="53">
        <v>4</v>
      </c>
      <c r="X26" s="57" t="s">
        <v>39</v>
      </c>
      <c r="Y26" s="57" t="s">
        <v>55</v>
      </c>
      <c r="Z26" s="54" t="s">
        <v>47</v>
      </c>
      <c r="AA26" s="57" t="s">
        <v>78</v>
      </c>
      <c r="AB26" s="149" t="s">
        <v>285</v>
      </c>
      <c r="AP26" s="43" t="s">
        <v>117</v>
      </c>
      <c r="AR26" s="53" t="s">
        <v>153</v>
      </c>
    </row>
    <row r="27" spans="1:48" x14ac:dyDescent="0.15">
      <c r="A27" s="57" t="s">
        <v>56</v>
      </c>
      <c r="B27" s="57" t="s">
        <v>232</v>
      </c>
      <c r="C27" s="54">
        <v>2019</v>
      </c>
      <c r="D27" s="96" t="s">
        <v>233</v>
      </c>
      <c r="E27" s="54" t="s">
        <v>254</v>
      </c>
      <c r="F27" s="54" t="s">
        <v>249</v>
      </c>
      <c r="G27" s="57" t="s">
        <v>42</v>
      </c>
      <c r="H27" s="54" t="s">
        <v>160</v>
      </c>
      <c r="I27" s="57" t="s">
        <v>159</v>
      </c>
      <c r="J27" s="54" t="s">
        <v>38</v>
      </c>
      <c r="K27" s="54" t="s">
        <v>161</v>
      </c>
      <c r="L27" s="53">
        <v>2</v>
      </c>
      <c r="N27" s="53">
        <v>4</v>
      </c>
      <c r="O27" s="53">
        <v>0.55000000000000004</v>
      </c>
      <c r="P27" s="53">
        <v>0.6</v>
      </c>
      <c r="Q27" s="16">
        <f t="shared" si="0"/>
        <v>0.57499999999999996</v>
      </c>
      <c r="R27" s="53">
        <v>13.1</v>
      </c>
      <c r="S27" s="53">
        <v>99</v>
      </c>
      <c r="T27" s="16">
        <f t="shared" si="1"/>
        <v>33</v>
      </c>
      <c r="U27" s="53">
        <v>418</v>
      </c>
      <c r="V27" s="16">
        <f t="shared" si="2"/>
        <v>3448.5</v>
      </c>
      <c r="W27" s="53">
        <v>4</v>
      </c>
      <c r="X27" s="57" t="s">
        <v>39</v>
      </c>
      <c r="Y27" s="57" t="s">
        <v>55</v>
      </c>
      <c r="Z27" s="54" t="s">
        <v>47</v>
      </c>
      <c r="AA27" s="57" t="s">
        <v>78</v>
      </c>
      <c r="AB27" s="149" t="s">
        <v>285</v>
      </c>
      <c r="AP27" s="43" t="s">
        <v>118</v>
      </c>
    </row>
    <row r="28" spans="1:48" x14ac:dyDescent="0.15">
      <c r="A28" s="57" t="s">
        <v>56</v>
      </c>
      <c r="B28" s="57" t="s">
        <v>232</v>
      </c>
      <c r="C28" s="54">
        <v>2019</v>
      </c>
      <c r="D28" s="96" t="s">
        <v>233</v>
      </c>
      <c r="E28" s="54" t="s">
        <v>254</v>
      </c>
      <c r="F28" s="54" t="s">
        <v>249</v>
      </c>
      <c r="G28" s="57" t="s">
        <v>42</v>
      </c>
      <c r="H28" s="54" t="s">
        <v>160</v>
      </c>
      <c r="I28" s="57" t="s">
        <v>159</v>
      </c>
      <c r="J28" s="54" t="s">
        <v>38</v>
      </c>
      <c r="K28" s="54" t="s">
        <v>161</v>
      </c>
      <c r="L28" s="53">
        <v>3</v>
      </c>
      <c r="N28" s="53">
        <v>4</v>
      </c>
      <c r="O28" s="53">
        <v>0.6</v>
      </c>
      <c r="P28" s="53">
        <v>0.55000000000000004</v>
      </c>
      <c r="Q28" s="16">
        <f t="shared" si="0"/>
        <v>0.57499999999999996</v>
      </c>
      <c r="R28" s="53">
        <v>16.600000000000001</v>
      </c>
      <c r="S28" s="53">
        <v>103</v>
      </c>
      <c r="T28" s="16">
        <f t="shared" si="1"/>
        <v>33</v>
      </c>
      <c r="U28" s="53">
        <v>418</v>
      </c>
      <c r="V28" s="16">
        <f t="shared" si="2"/>
        <v>3448.5</v>
      </c>
      <c r="W28" s="53">
        <v>4</v>
      </c>
      <c r="X28" s="57" t="s">
        <v>39</v>
      </c>
      <c r="Y28" s="57" t="s">
        <v>55</v>
      </c>
      <c r="Z28" s="54" t="s">
        <v>47</v>
      </c>
      <c r="AA28" s="57" t="s">
        <v>78</v>
      </c>
      <c r="AB28" s="149" t="s">
        <v>285</v>
      </c>
    </row>
    <row r="29" spans="1:48" x14ac:dyDescent="0.15">
      <c r="A29" s="57" t="s">
        <v>56</v>
      </c>
      <c r="B29" s="57" t="s">
        <v>232</v>
      </c>
      <c r="C29" s="54">
        <v>2019</v>
      </c>
      <c r="D29" s="96" t="s">
        <v>233</v>
      </c>
      <c r="E29" s="54" t="s">
        <v>162</v>
      </c>
      <c r="F29" s="54" t="s">
        <v>248</v>
      </c>
      <c r="G29" s="57" t="s">
        <v>42</v>
      </c>
      <c r="H29" s="54" t="s">
        <v>127</v>
      </c>
      <c r="I29" s="57" t="s">
        <v>159</v>
      </c>
      <c r="J29" s="54" t="s">
        <v>53</v>
      </c>
      <c r="K29" s="54" t="s">
        <v>54</v>
      </c>
      <c r="L29" s="53">
        <v>1</v>
      </c>
      <c r="N29" s="53">
        <v>1</v>
      </c>
      <c r="O29" s="53">
        <v>0.75</v>
      </c>
      <c r="P29" s="53">
        <v>0.85</v>
      </c>
      <c r="Q29" s="16">
        <f t="shared" si="0"/>
        <v>0.8</v>
      </c>
      <c r="R29" s="53">
        <v>14.4</v>
      </c>
      <c r="S29" s="53">
        <v>108</v>
      </c>
      <c r="T29" s="16">
        <f t="shared" si="1"/>
        <v>33</v>
      </c>
      <c r="U29" s="53">
        <v>106</v>
      </c>
      <c r="V29" s="16">
        <f t="shared" si="2"/>
        <v>3498</v>
      </c>
      <c r="W29" s="53">
        <v>2</v>
      </c>
      <c r="X29" s="57" t="s">
        <v>46</v>
      </c>
      <c r="Y29" s="57" t="s">
        <v>47</v>
      </c>
      <c r="Z29" s="54" t="s">
        <v>78</v>
      </c>
      <c r="AA29" s="57" t="s">
        <v>55</v>
      </c>
      <c r="AB29" s="149" t="s">
        <v>285</v>
      </c>
    </row>
    <row r="30" spans="1:48" x14ac:dyDescent="0.15">
      <c r="A30" s="57" t="s">
        <v>56</v>
      </c>
      <c r="B30" s="57" t="s">
        <v>232</v>
      </c>
      <c r="C30" s="54">
        <v>2019</v>
      </c>
      <c r="D30" s="96" t="s">
        <v>233</v>
      </c>
      <c r="E30" s="54" t="s">
        <v>162</v>
      </c>
      <c r="F30" s="54" t="s">
        <v>248</v>
      </c>
      <c r="G30" s="57" t="s">
        <v>42</v>
      </c>
      <c r="H30" s="54" t="s">
        <v>127</v>
      </c>
      <c r="I30" s="57" t="s">
        <v>159</v>
      </c>
      <c r="J30" s="54" t="s">
        <v>53</v>
      </c>
      <c r="K30" s="54" t="s">
        <v>54</v>
      </c>
      <c r="L30" s="53">
        <v>2</v>
      </c>
      <c r="N30" s="53">
        <v>1</v>
      </c>
      <c r="O30" s="53">
        <v>1.05</v>
      </c>
      <c r="P30" s="53">
        <v>1</v>
      </c>
      <c r="Q30" s="16">
        <f t="shared" si="0"/>
        <v>1.0249999999999999</v>
      </c>
      <c r="R30" s="53">
        <v>12.2</v>
      </c>
      <c r="S30" s="53">
        <v>112</v>
      </c>
      <c r="T30" s="16">
        <f t="shared" si="1"/>
        <v>33</v>
      </c>
      <c r="U30" s="53">
        <v>106</v>
      </c>
      <c r="V30" s="16">
        <f t="shared" si="2"/>
        <v>3498</v>
      </c>
      <c r="W30" s="53">
        <v>2</v>
      </c>
      <c r="X30" s="57" t="s">
        <v>46</v>
      </c>
      <c r="Y30" s="57" t="s">
        <v>47</v>
      </c>
      <c r="Z30" s="54" t="s">
        <v>78</v>
      </c>
      <c r="AA30" s="57" t="s">
        <v>55</v>
      </c>
      <c r="AB30" s="149" t="s">
        <v>285</v>
      </c>
    </row>
    <row r="31" spans="1:48" x14ac:dyDescent="0.15">
      <c r="A31" s="57" t="s">
        <v>56</v>
      </c>
      <c r="B31" s="57" t="s">
        <v>232</v>
      </c>
      <c r="C31" s="54">
        <v>2019</v>
      </c>
      <c r="D31" s="96" t="s">
        <v>233</v>
      </c>
      <c r="E31" s="54" t="s">
        <v>162</v>
      </c>
      <c r="F31" s="54" t="s">
        <v>248</v>
      </c>
      <c r="G31" s="57" t="s">
        <v>42</v>
      </c>
      <c r="H31" s="54" t="s">
        <v>127</v>
      </c>
      <c r="I31" s="57" t="s">
        <v>159</v>
      </c>
      <c r="J31" s="54" t="s">
        <v>53</v>
      </c>
      <c r="K31" s="54" t="s">
        <v>54</v>
      </c>
      <c r="L31" s="53">
        <v>3</v>
      </c>
      <c r="N31" s="53">
        <v>1</v>
      </c>
      <c r="O31" s="53">
        <v>1.05</v>
      </c>
      <c r="P31" s="53">
        <v>1.05</v>
      </c>
      <c r="Q31" s="16">
        <f t="shared" si="0"/>
        <v>1.05</v>
      </c>
      <c r="R31" s="53">
        <v>13.1</v>
      </c>
      <c r="S31" s="53">
        <v>95</v>
      </c>
      <c r="T31" s="16">
        <f t="shared" si="1"/>
        <v>36</v>
      </c>
      <c r="U31" s="53">
        <v>106</v>
      </c>
      <c r="V31" s="16">
        <f t="shared" si="2"/>
        <v>3816</v>
      </c>
      <c r="W31" s="53">
        <v>2</v>
      </c>
      <c r="X31" s="57" t="s">
        <v>46</v>
      </c>
      <c r="Y31" s="57" t="s">
        <v>47</v>
      </c>
      <c r="Z31" s="54" t="s">
        <v>78</v>
      </c>
      <c r="AA31" s="57" t="s">
        <v>55</v>
      </c>
      <c r="AB31" s="149" t="s">
        <v>285</v>
      </c>
    </row>
    <row r="32" spans="1:48" x14ac:dyDescent="0.15">
      <c r="A32" s="57" t="s">
        <v>56</v>
      </c>
      <c r="B32" s="57" t="s">
        <v>232</v>
      </c>
      <c r="C32" s="54">
        <v>2019</v>
      </c>
      <c r="D32" s="96" t="s">
        <v>233</v>
      </c>
      <c r="E32" s="54" t="s">
        <v>162</v>
      </c>
      <c r="F32" s="54" t="s">
        <v>248</v>
      </c>
      <c r="G32" s="57" t="s">
        <v>42</v>
      </c>
      <c r="H32" s="54" t="s">
        <v>160</v>
      </c>
      <c r="I32" s="57" t="s">
        <v>159</v>
      </c>
      <c r="J32" s="54" t="s">
        <v>38</v>
      </c>
      <c r="K32" s="54" t="s">
        <v>161</v>
      </c>
      <c r="L32" s="53">
        <v>1</v>
      </c>
      <c r="N32" s="53">
        <v>1</v>
      </c>
      <c r="O32" s="53">
        <v>0.85</v>
      </c>
      <c r="P32" s="53">
        <v>0.8</v>
      </c>
      <c r="Q32" s="16">
        <f t="shared" si="0"/>
        <v>0.82499999999999996</v>
      </c>
      <c r="R32" s="53">
        <v>15.9</v>
      </c>
      <c r="S32" s="53">
        <v>119</v>
      </c>
      <c r="T32" s="16">
        <f t="shared" si="1"/>
        <v>30</v>
      </c>
      <c r="U32" s="53">
        <v>106</v>
      </c>
      <c r="V32" s="16">
        <f t="shared" si="2"/>
        <v>3180</v>
      </c>
      <c r="W32" s="53">
        <v>4</v>
      </c>
      <c r="X32" s="57" t="s">
        <v>46</v>
      </c>
      <c r="Y32" s="57" t="s">
        <v>47</v>
      </c>
      <c r="Z32" s="54" t="s">
        <v>78</v>
      </c>
      <c r="AA32" s="57" t="s">
        <v>55</v>
      </c>
      <c r="AB32" s="149" t="s">
        <v>285</v>
      </c>
    </row>
    <row r="33" spans="1:28" x14ac:dyDescent="0.15">
      <c r="A33" s="57" t="s">
        <v>56</v>
      </c>
      <c r="B33" s="57" t="s">
        <v>232</v>
      </c>
      <c r="C33" s="54">
        <v>2019</v>
      </c>
      <c r="D33" s="96" t="s">
        <v>233</v>
      </c>
      <c r="E33" s="54" t="s">
        <v>162</v>
      </c>
      <c r="F33" s="54" t="s">
        <v>248</v>
      </c>
      <c r="G33" s="57" t="s">
        <v>42</v>
      </c>
      <c r="H33" s="54" t="s">
        <v>160</v>
      </c>
      <c r="I33" s="57" t="s">
        <v>159</v>
      </c>
      <c r="J33" s="54" t="s">
        <v>38</v>
      </c>
      <c r="K33" s="54" t="s">
        <v>161</v>
      </c>
      <c r="L33" s="53">
        <v>2</v>
      </c>
      <c r="N33" s="53">
        <v>1</v>
      </c>
      <c r="O33" s="53">
        <v>1.05</v>
      </c>
      <c r="P33" s="53">
        <v>1</v>
      </c>
      <c r="Q33" s="16">
        <f t="shared" si="0"/>
        <v>1.0249999999999999</v>
      </c>
      <c r="R33" s="53">
        <v>15.6</v>
      </c>
      <c r="S33" s="53">
        <v>119</v>
      </c>
      <c r="T33" s="16">
        <f t="shared" si="1"/>
        <v>30</v>
      </c>
      <c r="U33" s="53">
        <v>106</v>
      </c>
      <c r="V33" s="16">
        <f t="shared" si="2"/>
        <v>3180</v>
      </c>
      <c r="W33" s="53">
        <v>4</v>
      </c>
      <c r="X33" s="57" t="s">
        <v>46</v>
      </c>
      <c r="Y33" s="57" t="s">
        <v>47</v>
      </c>
      <c r="Z33" s="54" t="s">
        <v>78</v>
      </c>
      <c r="AA33" s="57" t="s">
        <v>55</v>
      </c>
      <c r="AB33" s="149" t="s">
        <v>285</v>
      </c>
    </row>
    <row r="34" spans="1:28" x14ac:dyDescent="0.15">
      <c r="A34" s="57" t="s">
        <v>56</v>
      </c>
      <c r="B34" s="57" t="s">
        <v>232</v>
      </c>
      <c r="C34" s="54">
        <v>2019</v>
      </c>
      <c r="D34" s="96" t="s">
        <v>233</v>
      </c>
      <c r="E34" s="54" t="s">
        <v>162</v>
      </c>
      <c r="F34" s="54" t="s">
        <v>248</v>
      </c>
      <c r="G34" s="57" t="s">
        <v>42</v>
      </c>
      <c r="H34" s="54" t="s">
        <v>160</v>
      </c>
      <c r="I34" s="57" t="s">
        <v>159</v>
      </c>
      <c r="J34" s="54" t="s">
        <v>38</v>
      </c>
      <c r="K34" s="54" t="s">
        <v>161</v>
      </c>
      <c r="L34" s="53">
        <v>3</v>
      </c>
      <c r="N34" s="53">
        <v>1</v>
      </c>
      <c r="O34" s="53">
        <v>0.8</v>
      </c>
      <c r="P34" s="53">
        <v>0.8</v>
      </c>
      <c r="Q34" s="16">
        <f t="shared" si="0"/>
        <v>0.8</v>
      </c>
      <c r="R34" s="53">
        <v>16</v>
      </c>
      <c r="S34" s="53">
        <v>118</v>
      </c>
      <c r="T34" s="16">
        <f t="shared" si="1"/>
        <v>30</v>
      </c>
      <c r="U34" s="53">
        <v>106</v>
      </c>
      <c r="V34" s="16">
        <f t="shared" si="2"/>
        <v>3180</v>
      </c>
      <c r="W34" s="53">
        <v>4</v>
      </c>
      <c r="X34" s="57" t="s">
        <v>46</v>
      </c>
      <c r="Y34" s="57" t="s">
        <v>47</v>
      </c>
      <c r="Z34" s="54" t="s">
        <v>78</v>
      </c>
      <c r="AA34" s="57" t="s">
        <v>55</v>
      </c>
      <c r="AB34" s="149" t="s">
        <v>285</v>
      </c>
    </row>
    <row r="35" spans="1:28" x14ac:dyDescent="0.15">
      <c r="A35" s="57" t="s">
        <v>56</v>
      </c>
      <c r="B35" s="57" t="s">
        <v>232</v>
      </c>
      <c r="C35" s="54">
        <v>2019</v>
      </c>
      <c r="D35" s="96" t="s">
        <v>233</v>
      </c>
      <c r="E35" s="54" t="s">
        <v>255</v>
      </c>
      <c r="F35" s="54" t="s">
        <v>248</v>
      </c>
      <c r="G35" s="57" t="s">
        <v>42</v>
      </c>
      <c r="H35" s="54" t="s">
        <v>165</v>
      </c>
      <c r="I35" s="57" t="s">
        <v>159</v>
      </c>
      <c r="J35" s="54" t="s">
        <v>38</v>
      </c>
      <c r="K35" s="54" t="s">
        <v>161</v>
      </c>
      <c r="L35" s="53">
        <v>1</v>
      </c>
      <c r="N35" s="53">
        <v>1</v>
      </c>
      <c r="O35" s="53">
        <v>0.85</v>
      </c>
      <c r="P35" s="53">
        <v>0.85</v>
      </c>
      <c r="Q35" s="16">
        <f t="shared" si="0"/>
        <v>0.85</v>
      </c>
      <c r="R35" s="53">
        <v>14.5</v>
      </c>
      <c r="S35" s="53">
        <v>125</v>
      </c>
      <c r="T35" s="16">
        <f t="shared" si="1"/>
        <v>27</v>
      </c>
      <c r="U35" s="53">
        <v>149</v>
      </c>
      <c r="V35" s="16">
        <f t="shared" si="2"/>
        <v>4023</v>
      </c>
      <c r="W35" s="53">
        <v>1</v>
      </c>
      <c r="X35" s="57" t="s">
        <v>39</v>
      </c>
      <c r="Y35" s="57" t="s">
        <v>40</v>
      </c>
      <c r="Z35" s="54" t="s">
        <v>47</v>
      </c>
      <c r="AA35" s="57" t="s">
        <v>69</v>
      </c>
      <c r="AB35" s="149" t="s">
        <v>285</v>
      </c>
    </row>
    <row r="36" spans="1:28" x14ac:dyDescent="0.15">
      <c r="A36" s="57" t="s">
        <v>56</v>
      </c>
      <c r="B36" s="57" t="s">
        <v>232</v>
      </c>
      <c r="C36" s="54">
        <v>2019</v>
      </c>
      <c r="D36" s="96" t="s">
        <v>233</v>
      </c>
      <c r="E36" s="54" t="s">
        <v>255</v>
      </c>
      <c r="F36" s="54" t="s">
        <v>248</v>
      </c>
      <c r="G36" s="57" t="s">
        <v>42</v>
      </c>
      <c r="H36" s="54" t="s">
        <v>165</v>
      </c>
      <c r="I36" s="57" t="s">
        <v>159</v>
      </c>
      <c r="J36" s="54" t="s">
        <v>38</v>
      </c>
      <c r="K36" s="54" t="s">
        <v>161</v>
      </c>
      <c r="L36" s="53">
        <v>2</v>
      </c>
      <c r="N36" s="53">
        <v>1</v>
      </c>
      <c r="O36" s="53">
        <v>0.7</v>
      </c>
      <c r="P36" s="53">
        <v>0.8</v>
      </c>
      <c r="Q36" s="16">
        <f t="shared" si="0"/>
        <v>0.75</v>
      </c>
      <c r="R36" s="53">
        <v>14.9</v>
      </c>
      <c r="S36" s="53">
        <v>131</v>
      </c>
      <c r="T36" s="16">
        <f t="shared" si="1"/>
        <v>25</v>
      </c>
      <c r="U36" s="53">
        <v>149</v>
      </c>
      <c r="V36" s="16">
        <f t="shared" si="2"/>
        <v>3725</v>
      </c>
      <c r="W36" s="53">
        <v>1</v>
      </c>
      <c r="X36" s="57" t="s">
        <v>39</v>
      </c>
      <c r="Y36" s="57" t="s">
        <v>40</v>
      </c>
      <c r="Z36" s="54" t="s">
        <v>47</v>
      </c>
      <c r="AA36" s="57" t="s">
        <v>69</v>
      </c>
      <c r="AB36" s="149" t="s">
        <v>285</v>
      </c>
    </row>
    <row r="37" spans="1:28" x14ac:dyDescent="0.15">
      <c r="A37" s="57" t="s">
        <v>56</v>
      </c>
      <c r="B37" s="57" t="s">
        <v>232</v>
      </c>
      <c r="C37" s="54">
        <v>2019</v>
      </c>
      <c r="D37" s="96" t="s">
        <v>233</v>
      </c>
      <c r="E37" s="54" t="s">
        <v>255</v>
      </c>
      <c r="F37" s="54" t="s">
        <v>248</v>
      </c>
      <c r="G37" s="57" t="s">
        <v>42</v>
      </c>
      <c r="H37" s="54" t="s">
        <v>165</v>
      </c>
      <c r="I37" s="57" t="s">
        <v>159</v>
      </c>
      <c r="J37" s="54" t="s">
        <v>38</v>
      </c>
      <c r="K37" s="54" t="s">
        <v>161</v>
      </c>
      <c r="L37" s="53">
        <v>3</v>
      </c>
      <c r="N37" s="53">
        <v>1</v>
      </c>
      <c r="O37" s="53">
        <v>0.55000000000000004</v>
      </c>
      <c r="P37" s="53">
        <v>0.5</v>
      </c>
      <c r="Q37" s="16">
        <f t="shared" si="0"/>
        <v>0.52500000000000002</v>
      </c>
      <c r="R37" s="53">
        <v>14.8</v>
      </c>
      <c r="S37" s="53">
        <v>130</v>
      </c>
      <c r="T37" s="16">
        <f t="shared" si="1"/>
        <v>25</v>
      </c>
      <c r="U37" s="53">
        <v>149</v>
      </c>
      <c r="V37" s="16">
        <f t="shared" si="2"/>
        <v>3725</v>
      </c>
      <c r="W37" s="53">
        <v>1</v>
      </c>
      <c r="X37" s="57" t="s">
        <v>39</v>
      </c>
      <c r="Y37" s="57" t="s">
        <v>40</v>
      </c>
      <c r="Z37" s="54" t="s">
        <v>47</v>
      </c>
      <c r="AA37" s="57" t="s">
        <v>69</v>
      </c>
      <c r="AB37" s="149" t="s">
        <v>285</v>
      </c>
    </row>
    <row r="38" spans="1:28" x14ac:dyDescent="0.15">
      <c r="A38" s="57" t="s">
        <v>56</v>
      </c>
      <c r="B38" s="57" t="s">
        <v>232</v>
      </c>
      <c r="C38" s="54">
        <v>2019</v>
      </c>
      <c r="D38" s="96" t="s">
        <v>233</v>
      </c>
      <c r="E38" s="54" t="s">
        <v>255</v>
      </c>
      <c r="F38" s="54" t="s">
        <v>248</v>
      </c>
      <c r="G38" s="57" t="s">
        <v>42</v>
      </c>
      <c r="H38" s="54" t="s">
        <v>160</v>
      </c>
      <c r="I38" s="57" t="s">
        <v>159</v>
      </c>
      <c r="J38" s="54" t="s">
        <v>38</v>
      </c>
      <c r="K38" s="54" t="s">
        <v>161</v>
      </c>
      <c r="L38" s="53">
        <v>1</v>
      </c>
      <c r="N38" s="53">
        <v>1</v>
      </c>
      <c r="O38" s="53">
        <v>0.6</v>
      </c>
      <c r="P38" s="53">
        <v>0.65</v>
      </c>
      <c r="Q38" s="16">
        <f t="shared" si="0"/>
        <v>0.625</v>
      </c>
      <c r="R38" s="53">
        <v>16.899999999999999</v>
      </c>
      <c r="S38" s="53">
        <v>138</v>
      </c>
      <c r="T38" s="16">
        <f t="shared" si="1"/>
        <v>22</v>
      </c>
      <c r="U38" s="53">
        <v>150</v>
      </c>
      <c r="V38" s="16">
        <f t="shared" si="2"/>
        <v>3300</v>
      </c>
      <c r="W38" s="53">
        <v>1</v>
      </c>
      <c r="X38" s="57" t="s">
        <v>39</v>
      </c>
      <c r="Y38" s="57" t="s">
        <v>40</v>
      </c>
      <c r="Z38" s="54" t="s">
        <v>47</v>
      </c>
      <c r="AA38" s="57" t="s">
        <v>69</v>
      </c>
      <c r="AB38" s="149" t="s">
        <v>285</v>
      </c>
    </row>
    <row r="39" spans="1:28" x14ac:dyDescent="0.15">
      <c r="A39" s="57" t="s">
        <v>56</v>
      </c>
      <c r="B39" s="57" t="s">
        <v>232</v>
      </c>
      <c r="C39" s="54">
        <v>2019</v>
      </c>
      <c r="D39" s="96" t="s">
        <v>233</v>
      </c>
      <c r="E39" s="54" t="s">
        <v>255</v>
      </c>
      <c r="F39" s="54" t="s">
        <v>248</v>
      </c>
      <c r="G39" s="57" t="s">
        <v>42</v>
      </c>
      <c r="H39" s="54" t="s">
        <v>160</v>
      </c>
      <c r="I39" s="57" t="s">
        <v>159</v>
      </c>
      <c r="J39" s="54" t="s">
        <v>38</v>
      </c>
      <c r="K39" s="54" t="s">
        <v>161</v>
      </c>
      <c r="L39" s="53">
        <v>2</v>
      </c>
      <c r="N39" s="53">
        <v>1</v>
      </c>
      <c r="O39" s="53">
        <v>0.7</v>
      </c>
      <c r="P39" s="53">
        <v>0.7</v>
      </c>
      <c r="Q39" s="16">
        <f t="shared" si="0"/>
        <v>0.7</v>
      </c>
      <c r="R39" s="53">
        <v>18</v>
      </c>
      <c r="S39" s="53">
        <v>131</v>
      </c>
      <c r="T39" s="16">
        <f t="shared" si="1"/>
        <v>25</v>
      </c>
      <c r="U39" s="53">
        <v>150</v>
      </c>
      <c r="V39" s="16">
        <f t="shared" si="2"/>
        <v>3750</v>
      </c>
      <c r="W39" s="53">
        <v>1</v>
      </c>
      <c r="X39" s="57" t="s">
        <v>39</v>
      </c>
      <c r="Y39" s="57" t="s">
        <v>40</v>
      </c>
      <c r="Z39" s="54" t="s">
        <v>47</v>
      </c>
      <c r="AA39" s="57" t="s">
        <v>69</v>
      </c>
      <c r="AB39" s="149" t="s">
        <v>285</v>
      </c>
    </row>
    <row r="40" spans="1:28" x14ac:dyDescent="0.15">
      <c r="A40" s="57" t="s">
        <v>56</v>
      </c>
      <c r="B40" s="57" t="s">
        <v>232</v>
      </c>
      <c r="C40" s="54">
        <v>2019</v>
      </c>
      <c r="D40" s="96" t="s">
        <v>233</v>
      </c>
      <c r="E40" s="54" t="s">
        <v>255</v>
      </c>
      <c r="F40" s="54" t="s">
        <v>248</v>
      </c>
      <c r="G40" s="57" t="s">
        <v>42</v>
      </c>
      <c r="H40" s="54" t="s">
        <v>160</v>
      </c>
      <c r="I40" s="57" t="s">
        <v>159</v>
      </c>
      <c r="J40" s="54" t="s">
        <v>38</v>
      </c>
      <c r="K40" s="54" t="s">
        <v>161</v>
      </c>
      <c r="L40" s="53">
        <v>3</v>
      </c>
      <c r="N40" s="53">
        <v>1</v>
      </c>
      <c r="O40" s="53">
        <v>0.55000000000000004</v>
      </c>
      <c r="P40" s="53">
        <v>0.55000000000000004</v>
      </c>
      <c r="Q40" s="16">
        <f t="shared" si="0"/>
        <v>0.55000000000000004</v>
      </c>
      <c r="R40" s="53">
        <v>16.2</v>
      </c>
      <c r="S40" s="53">
        <v>131</v>
      </c>
      <c r="T40" s="16">
        <f t="shared" si="1"/>
        <v>25</v>
      </c>
      <c r="U40" s="53">
        <v>150</v>
      </c>
      <c r="V40" s="16">
        <f t="shared" si="2"/>
        <v>3750</v>
      </c>
      <c r="W40" s="53">
        <v>1</v>
      </c>
      <c r="X40" s="57" t="s">
        <v>39</v>
      </c>
      <c r="Y40" s="57" t="s">
        <v>40</v>
      </c>
      <c r="Z40" s="54" t="s">
        <v>47</v>
      </c>
      <c r="AA40" s="57" t="s">
        <v>69</v>
      </c>
      <c r="AB40" s="149" t="s">
        <v>285</v>
      </c>
    </row>
    <row r="41" spans="1:28" x14ac:dyDescent="0.15">
      <c r="A41" s="57" t="s">
        <v>56</v>
      </c>
      <c r="B41" s="57" t="s">
        <v>232</v>
      </c>
      <c r="C41" s="54">
        <v>2019</v>
      </c>
      <c r="D41" s="96" t="s">
        <v>233</v>
      </c>
      <c r="E41" s="54" t="s">
        <v>256</v>
      </c>
      <c r="F41" s="54" t="s">
        <v>237</v>
      </c>
      <c r="G41" s="57" t="s">
        <v>42</v>
      </c>
      <c r="H41" s="54" t="s">
        <v>160</v>
      </c>
      <c r="I41" s="57" t="s">
        <v>159</v>
      </c>
      <c r="J41" s="54" t="s">
        <v>38</v>
      </c>
      <c r="K41" s="54" t="s">
        <v>161</v>
      </c>
      <c r="L41" s="53">
        <v>1</v>
      </c>
      <c r="N41" s="53">
        <v>4</v>
      </c>
      <c r="O41" s="53">
        <v>0.65</v>
      </c>
      <c r="P41" s="53">
        <v>0.6</v>
      </c>
      <c r="Q41" s="16">
        <f t="shared" si="0"/>
        <v>0.625</v>
      </c>
      <c r="R41" s="53">
        <v>15.7</v>
      </c>
      <c r="S41" s="53">
        <v>93</v>
      </c>
      <c r="T41" s="16">
        <f t="shared" si="1"/>
        <v>36</v>
      </c>
      <c r="U41" s="53">
        <v>342</v>
      </c>
      <c r="V41" s="16">
        <f t="shared" si="2"/>
        <v>3078</v>
      </c>
      <c r="W41" s="53">
        <v>2</v>
      </c>
      <c r="X41" s="57" t="s">
        <v>39</v>
      </c>
      <c r="Y41" s="57" t="s">
        <v>47</v>
      </c>
      <c r="Z41" s="53" t="s">
        <v>55</v>
      </c>
      <c r="AA41" s="57" t="s">
        <v>90</v>
      </c>
      <c r="AB41" s="149" t="s">
        <v>285</v>
      </c>
    </row>
    <row r="42" spans="1:28" x14ac:dyDescent="0.15">
      <c r="A42" s="57" t="s">
        <v>56</v>
      </c>
      <c r="B42" s="57" t="s">
        <v>232</v>
      </c>
      <c r="C42" s="54">
        <v>2019</v>
      </c>
      <c r="D42" s="96" t="s">
        <v>233</v>
      </c>
      <c r="E42" s="54" t="s">
        <v>256</v>
      </c>
      <c r="F42" s="54" t="s">
        <v>237</v>
      </c>
      <c r="G42" s="57" t="s">
        <v>42</v>
      </c>
      <c r="H42" s="54" t="s">
        <v>160</v>
      </c>
      <c r="I42" s="57" t="s">
        <v>159</v>
      </c>
      <c r="J42" s="54" t="s">
        <v>38</v>
      </c>
      <c r="K42" s="54" t="s">
        <v>161</v>
      </c>
      <c r="L42" s="53">
        <v>2</v>
      </c>
      <c r="N42" s="53">
        <v>4</v>
      </c>
      <c r="O42" s="53">
        <v>0.6</v>
      </c>
      <c r="P42" s="53">
        <v>0.6</v>
      </c>
      <c r="Q42" s="16">
        <f t="shared" si="0"/>
        <v>0.6</v>
      </c>
      <c r="R42" s="53">
        <v>17</v>
      </c>
      <c r="S42" s="53">
        <v>95</v>
      </c>
      <c r="T42" s="16">
        <f t="shared" si="1"/>
        <v>36</v>
      </c>
      <c r="U42" s="53">
        <v>342</v>
      </c>
      <c r="V42" s="16">
        <f t="shared" si="2"/>
        <v>3078</v>
      </c>
      <c r="W42" s="53">
        <v>2</v>
      </c>
      <c r="X42" s="57" t="s">
        <v>39</v>
      </c>
      <c r="Y42" s="57" t="s">
        <v>47</v>
      </c>
      <c r="Z42" s="53" t="s">
        <v>55</v>
      </c>
      <c r="AA42" s="57" t="s">
        <v>90</v>
      </c>
      <c r="AB42" s="149" t="s">
        <v>285</v>
      </c>
    </row>
    <row r="43" spans="1:28" x14ac:dyDescent="0.15">
      <c r="A43" s="57" t="s">
        <v>56</v>
      </c>
      <c r="B43" s="57" t="s">
        <v>232</v>
      </c>
      <c r="C43" s="54">
        <v>2019</v>
      </c>
      <c r="D43" s="96" t="s">
        <v>233</v>
      </c>
      <c r="E43" s="54" t="s">
        <v>256</v>
      </c>
      <c r="F43" s="54" t="s">
        <v>237</v>
      </c>
      <c r="G43" s="57" t="s">
        <v>42</v>
      </c>
      <c r="H43" s="54" t="s">
        <v>160</v>
      </c>
      <c r="I43" s="57" t="s">
        <v>159</v>
      </c>
      <c r="J43" s="54" t="s">
        <v>38</v>
      </c>
      <c r="K43" s="54" t="s">
        <v>161</v>
      </c>
      <c r="L43" s="53">
        <v>3</v>
      </c>
      <c r="N43" s="53">
        <v>4</v>
      </c>
      <c r="O43" s="53">
        <v>0.6</v>
      </c>
      <c r="P43" s="53">
        <v>0.6</v>
      </c>
      <c r="Q43" s="16">
        <f t="shared" si="0"/>
        <v>0.6</v>
      </c>
      <c r="R43" s="53">
        <v>16.600000000000001</v>
      </c>
      <c r="S43" s="53">
        <v>102</v>
      </c>
      <c r="T43" s="16">
        <f t="shared" si="1"/>
        <v>33</v>
      </c>
      <c r="U43" s="53">
        <v>342</v>
      </c>
      <c r="V43" s="16">
        <f t="shared" si="2"/>
        <v>2821.5</v>
      </c>
      <c r="W43" s="53">
        <v>2</v>
      </c>
      <c r="X43" s="57" t="s">
        <v>39</v>
      </c>
      <c r="Y43" s="57" t="s">
        <v>47</v>
      </c>
      <c r="Z43" s="53" t="s">
        <v>55</v>
      </c>
      <c r="AA43" s="57" t="s">
        <v>90</v>
      </c>
      <c r="AB43" s="149" t="s">
        <v>285</v>
      </c>
    </row>
    <row r="44" spans="1:28" x14ac:dyDescent="0.15">
      <c r="A44" s="57" t="s">
        <v>56</v>
      </c>
      <c r="B44" s="57" t="s">
        <v>232</v>
      </c>
      <c r="C44" s="54">
        <v>2019</v>
      </c>
      <c r="D44" s="96" t="s">
        <v>233</v>
      </c>
      <c r="E44" s="54" t="s">
        <v>242</v>
      </c>
      <c r="F44" s="54" t="s">
        <v>249</v>
      </c>
      <c r="G44" s="57" t="s">
        <v>42</v>
      </c>
      <c r="H44" s="54" t="s">
        <v>160</v>
      </c>
      <c r="I44" s="57" t="s">
        <v>159</v>
      </c>
      <c r="J44" s="54" t="s">
        <v>38</v>
      </c>
      <c r="K44" s="54" t="s">
        <v>161</v>
      </c>
      <c r="L44" s="53">
        <v>1</v>
      </c>
      <c r="N44" s="53">
        <v>1</v>
      </c>
      <c r="O44" s="53">
        <v>0.7</v>
      </c>
      <c r="P44" s="53">
        <v>0.75</v>
      </c>
      <c r="Q44" s="16">
        <f t="shared" si="0"/>
        <v>0.72499999999999998</v>
      </c>
      <c r="R44" s="53">
        <v>15</v>
      </c>
      <c r="S44" s="53">
        <v>131</v>
      </c>
      <c r="T44" s="16">
        <f t="shared" si="1"/>
        <v>25</v>
      </c>
      <c r="U44" s="53">
        <v>117</v>
      </c>
      <c r="V44" s="16">
        <f t="shared" si="2"/>
        <v>2925</v>
      </c>
      <c r="W44" s="53">
        <v>8</v>
      </c>
      <c r="X44" s="57" t="s">
        <v>46</v>
      </c>
      <c r="Y44" s="57" t="s">
        <v>55</v>
      </c>
      <c r="Z44" s="53" t="s">
        <v>47</v>
      </c>
      <c r="AA44" s="57" t="s">
        <v>40</v>
      </c>
      <c r="AB44" s="149" t="s">
        <v>285</v>
      </c>
    </row>
    <row r="45" spans="1:28" x14ac:dyDescent="0.15">
      <c r="A45" s="57" t="s">
        <v>56</v>
      </c>
      <c r="B45" s="57" t="s">
        <v>232</v>
      </c>
      <c r="C45" s="54">
        <v>2019</v>
      </c>
      <c r="D45" s="96" t="s">
        <v>233</v>
      </c>
      <c r="E45" s="54" t="s">
        <v>242</v>
      </c>
      <c r="F45" s="54" t="s">
        <v>249</v>
      </c>
      <c r="G45" s="57" t="s">
        <v>42</v>
      </c>
      <c r="H45" s="54" t="s">
        <v>160</v>
      </c>
      <c r="I45" s="57" t="s">
        <v>159</v>
      </c>
      <c r="J45" s="54" t="s">
        <v>38</v>
      </c>
      <c r="K45" s="54" t="s">
        <v>161</v>
      </c>
      <c r="L45" s="53">
        <v>2</v>
      </c>
      <c r="N45" s="53">
        <v>1</v>
      </c>
      <c r="O45" s="53">
        <v>0.7</v>
      </c>
      <c r="P45" s="53">
        <v>0.7</v>
      </c>
      <c r="Q45" s="16">
        <f t="shared" si="0"/>
        <v>0.7</v>
      </c>
      <c r="R45" s="53">
        <v>18.2</v>
      </c>
      <c r="S45" s="53">
        <v>133</v>
      </c>
      <c r="T45" s="16">
        <f t="shared" si="1"/>
        <v>25</v>
      </c>
      <c r="U45" s="53">
        <v>117</v>
      </c>
      <c r="V45" s="16">
        <f t="shared" si="2"/>
        <v>2925</v>
      </c>
      <c r="W45" s="53">
        <v>8</v>
      </c>
      <c r="X45" s="57" t="s">
        <v>46</v>
      </c>
      <c r="Y45" s="57" t="s">
        <v>55</v>
      </c>
      <c r="Z45" s="53" t="s">
        <v>47</v>
      </c>
      <c r="AA45" s="57" t="s">
        <v>40</v>
      </c>
      <c r="AB45" s="149" t="s">
        <v>285</v>
      </c>
    </row>
    <row r="46" spans="1:28" x14ac:dyDescent="0.15">
      <c r="A46" s="57" t="s">
        <v>56</v>
      </c>
      <c r="B46" s="57" t="s">
        <v>232</v>
      </c>
      <c r="C46" s="54">
        <v>2019</v>
      </c>
      <c r="D46" s="96" t="s">
        <v>233</v>
      </c>
      <c r="E46" s="54" t="s">
        <v>242</v>
      </c>
      <c r="F46" s="54" t="s">
        <v>249</v>
      </c>
      <c r="G46" s="57" t="s">
        <v>42</v>
      </c>
      <c r="H46" s="54" t="s">
        <v>160</v>
      </c>
      <c r="I46" s="57" t="s">
        <v>159</v>
      </c>
      <c r="J46" s="54" t="s">
        <v>38</v>
      </c>
      <c r="K46" s="54" t="s">
        <v>161</v>
      </c>
      <c r="L46" s="53">
        <v>3</v>
      </c>
      <c r="N46" s="53">
        <v>1</v>
      </c>
      <c r="O46" s="53">
        <v>0.5</v>
      </c>
      <c r="P46" s="53">
        <v>0.5</v>
      </c>
      <c r="Q46" s="16">
        <f t="shared" si="0"/>
        <v>0.5</v>
      </c>
      <c r="R46" s="53">
        <v>16</v>
      </c>
      <c r="S46" s="53">
        <v>138</v>
      </c>
      <c r="T46" s="16">
        <f t="shared" si="1"/>
        <v>22</v>
      </c>
      <c r="U46" s="53">
        <v>117</v>
      </c>
      <c r="V46" s="16">
        <f t="shared" si="2"/>
        <v>2574</v>
      </c>
      <c r="W46" s="53">
        <v>8</v>
      </c>
      <c r="X46" s="57" t="s">
        <v>46</v>
      </c>
      <c r="Y46" s="57" t="s">
        <v>55</v>
      </c>
      <c r="Z46" s="53" t="s">
        <v>47</v>
      </c>
      <c r="AA46" s="57" t="s">
        <v>40</v>
      </c>
      <c r="AB46" s="149" t="s">
        <v>285</v>
      </c>
    </row>
    <row r="47" spans="1:28" x14ac:dyDescent="0.15">
      <c r="A47" s="57" t="s">
        <v>56</v>
      </c>
      <c r="B47" s="57" t="s">
        <v>232</v>
      </c>
      <c r="C47" s="54">
        <v>2019</v>
      </c>
      <c r="D47" s="96" t="s">
        <v>233</v>
      </c>
      <c r="E47" s="54" t="s">
        <v>257</v>
      </c>
      <c r="F47" s="54" t="s">
        <v>249</v>
      </c>
      <c r="G47" s="57" t="s">
        <v>42</v>
      </c>
      <c r="H47" s="54" t="s">
        <v>160</v>
      </c>
      <c r="I47" s="57" t="s">
        <v>159</v>
      </c>
      <c r="J47" s="54" t="s">
        <v>38</v>
      </c>
      <c r="K47" s="54" t="s">
        <v>161</v>
      </c>
      <c r="L47" s="53">
        <v>1</v>
      </c>
      <c r="N47" s="53">
        <v>5</v>
      </c>
      <c r="O47" s="53">
        <v>0.7</v>
      </c>
      <c r="P47" s="53">
        <v>0.7</v>
      </c>
      <c r="Q47" s="16">
        <f t="shared" si="0"/>
        <v>0.7</v>
      </c>
      <c r="R47" s="53">
        <v>16.3</v>
      </c>
      <c r="S47" s="53">
        <v>103</v>
      </c>
      <c r="T47" s="16">
        <f t="shared" si="1"/>
        <v>33</v>
      </c>
      <c r="U47" s="53">
        <v>646</v>
      </c>
      <c r="V47" s="16">
        <f t="shared" si="2"/>
        <v>4263.5999999999995</v>
      </c>
      <c r="W47" s="53">
        <v>8</v>
      </c>
      <c r="X47" s="57" t="s">
        <v>46</v>
      </c>
      <c r="Y47" s="57" t="s">
        <v>55</v>
      </c>
      <c r="Z47" s="53" t="s">
        <v>47</v>
      </c>
      <c r="AA47" s="57" t="s">
        <v>78</v>
      </c>
      <c r="AB47" s="149" t="s">
        <v>285</v>
      </c>
    </row>
    <row r="48" spans="1:28" x14ac:dyDescent="0.15">
      <c r="A48" s="57" t="s">
        <v>56</v>
      </c>
      <c r="B48" s="57" t="s">
        <v>232</v>
      </c>
      <c r="C48" s="54">
        <v>2019</v>
      </c>
      <c r="D48" s="96" t="s">
        <v>233</v>
      </c>
      <c r="E48" s="54" t="s">
        <v>257</v>
      </c>
      <c r="F48" s="54" t="s">
        <v>249</v>
      </c>
      <c r="G48" s="57" t="s">
        <v>42</v>
      </c>
      <c r="H48" s="54" t="s">
        <v>160</v>
      </c>
      <c r="I48" s="57" t="s">
        <v>159</v>
      </c>
      <c r="J48" s="54" t="s">
        <v>38</v>
      </c>
      <c r="K48" s="54" t="s">
        <v>161</v>
      </c>
      <c r="L48" s="53">
        <v>2</v>
      </c>
      <c r="N48" s="53">
        <v>5</v>
      </c>
      <c r="O48" s="53">
        <v>0.7</v>
      </c>
      <c r="P48" s="53">
        <v>0.75</v>
      </c>
      <c r="Q48" s="16">
        <f t="shared" si="0"/>
        <v>0.72499999999999998</v>
      </c>
      <c r="R48" s="53">
        <v>16.100000000000001</v>
      </c>
      <c r="S48" s="53">
        <v>109</v>
      </c>
      <c r="T48" s="16">
        <f t="shared" si="1"/>
        <v>33</v>
      </c>
      <c r="U48" s="53">
        <v>646</v>
      </c>
      <c r="V48" s="16">
        <f t="shared" si="2"/>
        <v>4263.5999999999995</v>
      </c>
      <c r="W48" s="53">
        <v>8</v>
      </c>
      <c r="X48" s="57" t="s">
        <v>46</v>
      </c>
      <c r="Y48" s="57" t="s">
        <v>55</v>
      </c>
      <c r="Z48" s="53" t="s">
        <v>47</v>
      </c>
      <c r="AA48" s="57" t="s">
        <v>78</v>
      </c>
      <c r="AB48" s="149" t="s">
        <v>285</v>
      </c>
    </row>
    <row r="49" spans="1:28" x14ac:dyDescent="0.15">
      <c r="A49" s="57" t="s">
        <v>56</v>
      </c>
      <c r="B49" s="57" t="s">
        <v>232</v>
      </c>
      <c r="C49" s="54">
        <v>2019</v>
      </c>
      <c r="D49" s="96" t="s">
        <v>233</v>
      </c>
      <c r="E49" s="54" t="s">
        <v>257</v>
      </c>
      <c r="F49" s="54" t="s">
        <v>249</v>
      </c>
      <c r="G49" s="57" t="s">
        <v>42</v>
      </c>
      <c r="H49" s="54" t="s">
        <v>160</v>
      </c>
      <c r="I49" s="57" t="s">
        <v>159</v>
      </c>
      <c r="J49" s="54" t="s">
        <v>38</v>
      </c>
      <c r="K49" s="54" t="s">
        <v>161</v>
      </c>
      <c r="L49" s="53">
        <v>3</v>
      </c>
      <c r="N49" s="53">
        <v>5</v>
      </c>
      <c r="O49" s="53">
        <v>0.75</v>
      </c>
      <c r="P49" s="53">
        <v>0.7</v>
      </c>
      <c r="Q49" s="16">
        <f t="shared" si="0"/>
        <v>0.72499999999999998</v>
      </c>
      <c r="R49" s="53">
        <v>14.8</v>
      </c>
      <c r="S49" s="53">
        <v>108</v>
      </c>
      <c r="T49" s="16">
        <f t="shared" si="1"/>
        <v>33</v>
      </c>
      <c r="U49" s="53">
        <v>646</v>
      </c>
      <c r="V49" s="16">
        <f t="shared" si="2"/>
        <v>4263.5999999999995</v>
      </c>
      <c r="W49" s="53">
        <v>8</v>
      </c>
      <c r="X49" s="57" t="s">
        <v>46</v>
      </c>
      <c r="Y49" s="57" t="s">
        <v>55</v>
      </c>
      <c r="Z49" s="53" t="s">
        <v>47</v>
      </c>
      <c r="AA49" s="57" t="s">
        <v>78</v>
      </c>
      <c r="AB49" s="149" t="s">
        <v>285</v>
      </c>
    </row>
    <row r="50" spans="1:28" x14ac:dyDescent="0.15">
      <c r="A50" s="57" t="s">
        <v>56</v>
      </c>
      <c r="B50" s="57" t="s">
        <v>232</v>
      </c>
      <c r="C50" s="54">
        <v>2019</v>
      </c>
      <c r="D50" s="96" t="s">
        <v>233</v>
      </c>
      <c r="E50" s="54" t="s">
        <v>257</v>
      </c>
      <c r="F50" s="54" t="s">
        <v>249</v>
      </c>
      <c r="G50" s="57" t="s">
        <v>42</v>
      </c>
      <c r="H50" s="54" t="s">
        <v>165</v>
      </c>
      <c r="I50" s="57" t="s">
        <v>159</v>
      </c>
      <c r="J50" s="54" t="s">
        <v>38</v>
      </c>
      <c r="K50" s="54" t="s">
        <v>161</v>
      </c>
      <c r="L50" s="53">
        <v>1</v>
      </c>
      <c r="N50" s="53">
        <v>5</v>
      </c>
      <c r="O50" s="53">
        <v>0.7</v>
      </c>
      <c r="P50" s="53">
        <v>0.7</v>
      </c>
      <c r="Q50" s="16">
        <f t="shared" si="0"/>
        <v>0.7</v>
      </c>
      <c r="R50" s="53">
        <v>15</v>
      </c>
      <c r="S50" s="53">
        <v>95</v>
      </c>
      <c r="T50" s="16">
        <f t="shared" si="1"/>
        <v>36</v>
      </c>
      <c r="U50" s="53">
        <v>430</v>
      </c>
      <c r="V50" s="16">
        <f t="shared" si="2"/>
        <v>3096</v>
      </c>
      <c r="W50" s="53">
        <v>6</v>
      </c>
      <c r="X50" s="57" t="s">
        <v>46</v>
      </c>
      <c r="Y50" s="57" t="s">
        <v>55</v>
      </c>
      <c r="Z50" s="53" t="s">
        <v>47</v>
      </c>
      <c r="AA50" s="57" t="s">
        <v>78</v>
      </c>
      <c r="AB50" s="149" t="s">
        <v>285</v>
      </c>
    </row>
    <row r="51" spans="1:28" x14ac:dyDescent="0.15">
      <c r="A51" s="57" t="s">
        <v>56</v>
      </c>
      <c r="B51" s="57" t="s">
        <v>232</v>
      </c>
      <c r="C51" s="54">
        <v>2019</v>
      </c>
      <c r="D51" s="96" t="s">
        <v>233</v>
      </c>
      <c r="E51" s="54" t="s">
        <v>257</v>
      </c>
      <c r="F51" s="54" t="s">
        <v>249</v>
      </c>
      <c r="G51" s="57" t="s">
        <v>42</v>
      </c>
      <c r="H51" s="54" t="s">
        <v>165</v>
      </c>
      <c r="I51" s="57" t="s">
        <v>159</v>
      </c>
      <c r="J51" s="54" t="s">
        <v>38</v>
      </c>
      <c r="K51" s="54" t="s">
        <v>161</v>
      </c>
      <c r="L51" s="53">
        <v>2</v>
      </c>
      <c r="N51" s="53">
        <v>5</v>
      </c>
      <c r="O51" s="53">
        <v>0.65</v>
      </c>
      <c r="P51" s="53">
        <v>0.7</v>
      </c>
      <c r="Q51" s="16">
        <f t="shared" si="0"/>
        <v>0.67500000000000004</v>
      </c>
      <c r="R51" s="53">
        <v>14.7</v>
      </c>
      <c r="S51" s="53">
        <v>84</v>
      </c>
      <c r="T51" s="16">
        <f t="shared" si="1"/>
        <v>36</v>
      </c>
      <c r="U51" s="53">
        <v>430</v>
      </c>
      <c r="V51" s="16">
        <f t="shared" si="2"/>
        <v>3096</v>
      </c>
      <c r="W51" s="53">
        <v>6</v>
      </c>
      <c r="X51" s="57" t="s">
        <v>46</v>
      </c>
      <c r="Y51" s="57" t="s">
        <v>55</v>
      </c>
      <c r="Z51" s="53" t="s">
        <v>47</v>
      </c>
      <c r="AA51" s="57" t="s">
        <v>78</v>
      </c>
      <c r="AB51" s="149" t="s">
        <v>285</v>
      </c>
    </row>
    <row r="52" spans="1:28" x14ac:dyDescent="0.15">
      <c r="A52" s="57" t="s">
        <v>56</v>
      </c>
      <c r="B52" s="57" t="s">
        <v>232</v>
      </c>
      <c r="C52" s="54">
        <v>2019</v>
      </c>
      <c r="D52" s="96" t="s">
        <v>233</v>
      </c>
      <c r="E52" s="54" t="s">
        <v>257</v>
      </c>
      <c r="F52" s="54" t="s">
        <v>249</v>
      </c>
      <c r="G52" s="57" t="s">
        <v>42</v>
      </c>
      <c r="H52" s="54" t="s">
        <v>165</v>
      </c>
      <c r="I52" s="57" t="s">
        <v>159</v>
      </c>
      <c r="J52" s="54" t="s">
        <v>38</v>
      </c>
      <c r="K52" s="54" t="s">
        <v>161</v>
      </c>
      <c r="L52" s="53">
        <v>3</v>
      </c>
      <c r="N52" s="53">
        <v>5</v>
      </c>
      <c r="O52" s="53">
        <v>0.7</v>
      </c>
      <c r="P52" s="53">
        <v>0.7</v>
      </c>
      <c r="Q52" s="16">
        <f t="shared" si="0"/>
        <v>0.7</v>
      </c>
      <c r="R52" s="53">
        <v>14.7</v>
      </c>
      <c r="S52" s="53">
        <v>87</v>
      </c>
      <c r="T52" s="16">
        <f t="shared" si="1"/>
        <v>36</v>
      </c>
      <c r="U52" s="53">
        <v>430</v>
      </c>
      <c r="V52" s="16">
        <f t="shared" si="2"/>
        <v>3096</v>
      </c>
      <c r="W52" s="53">
        <v>6</v>
      </c>
      <c r="X52" s="57" t="s">
        <v>46</v>
      </c>
      <c r="Y52" s="57" t="s">
        <v>55</v>
      </c>
      <c r="Z52" s="53" t="s">
        <v>47</v>
      </c>
      <c r="AA52" s="57" t="s">
        <v>78</v>
      </c>
      <c r="AB52" s="149" t="s">
        <v>285</v>
      </c>
    </row>
    <row r="53" spans="1:28" x14ac:dyDescent="0.15">
      <c r="A53" s="57"/>
      <c r="B53" s="57"/>
      <c r="C53" s="54"/>
      <c r="D53" s="96"/>
      <c r="E53" s="54"/>
      <c r="F53" s="54"/>
      <c r="G53" s="57"/>
      <c r="H53" s="54"/>
      <c r="I53" s="57"/>
      <c r="J53" s="54"/>
      <c r="K53" s="54"/>
      <c r="X53" s="57"/>
      <c r="Y53" s="57"/>
      <c r="AA53" s="57"/>
    </row>
    <row r="54" spans="1:28" x14ac:dyDescent="0.15">
      <c r="A54" s="57"/>
      <c r="B54" s="57"/>
      <c r="C54" s="54"/>
      <c r="D54" s="96"/>
      <c r="E54" s="54"/>
      <c r="F54" s="54"/>
      <c r="G54" s="57"/>
      <c r="H54" s="54"/>
      <c r="I54" s="57"/>
      <c r="J54" s="54"/>
      <c r="K54" s="54"/>
      <c r="X54" s="57"/>
      <c r="Y54" s="57"/>
      <c r="AA54" s="57"/>
    </row>
    <row r="55" spans="1:28" x14ac:dyDescent="0.15">
      <c r="A55" s="57"/>
      <c r="B55" s="57"/>
      <c r="C55" s="54"/>
      <c r="D55" s="96"/>
      <c r="E55" s="54"/>
      <c r="F55" s="54"/>
      <c r="G55" s="57"/>
      <c r="H55" s="54"/>
      <c r="I55" s="57"/>
      <c r="J55" s="54"/>
      <c r="K55" s="54"/>
      <c r="X55" s="57"/>
      <c r="Y55" s="57"/>
      <c r="AA55" s="57"/>
    </row>
    <row r="56" spans="1:28" x14ac:dyDescent="0.15">
      <c r="A56" s="57"/>
      <c r="B56" s="57"/>
      <c r="C56" s="54"/>
      <c r="D56" s="96"/>
      <c r="E56" s="54"/>
      <c r="F56" s="54"/>
      <c r="G56" s="57"/>
      <c r="H56" s="54"/>
      <c r="I56" s="57"/>
      <c r="J56" s="54"/>
      <c r="K56" s="54"/>
      <c r="X56" s="57"/>
      <c r="Y56" s="57"/>
      <c r="AA56" s="57"/>
    </row>
    <row r="57" spans="1:28" x14ac:dyDescent="0.15">
      <c r="A57" s="57"/>
      <c r="B57" s="57"/>
      <c r="C57" s="54"/>
      <c r="D57" s="96"/>
      <c r="E57" s="54"/>
      <c r="F57" s="54"/>
      <c r="G57" s="57"/>
      <c r="H57" s="54"/>
      <c r="I57" s="57"/>
      <c r="J57" s="54"/>
      <c r="K57" s="54"/>
      <c r="X57" s="57"/>
      <c r="Y57" s="57"/>
      <c r="AA57" s="57"/>
    </row>
    <row r="58" spans="1:28" x14ac:dyDescent="0.15">
      <c r="A58" s="57"/>
      <c r="B58" s="57"/>
      <c r="C58" s="54"/>
      <c r="D58" s="96"/>
      <c r="E58" s="54"/>
      <c r="F58" s="54"/>
      <c r="G58" s="57"/>
      <c r="H58" s="54"/>
      <c r="I58" s="57"/>
      <c r="J58" s="54"/>
      <c r="K58" s="54"/>
      <c r="X58" s="57"/>
      <c r="Y58" s="57"/>
      <c r="AA58" s="57"/>
    </row>
    <row r="59" spans="1:28" x14ac:dyDescent="0.15">
      <c r="A59" s="57"/>
      <c r="B59" s="57"/>
      <c r="C59" s="54"/>
      <c r="D59" s="96"/>
      <c r="E59" s="54"/>
      <c r="F59" s="54"/>
      <c r="G59" s="57"/>
      <c r="H59" s="54"/>
      <c r="I59" s="57"/>
      <c r="J59" s="54"/>
      <c r="K59" s="54"/>
      <c r="X59" s="57"/>
      <c r="Y59" s="57"/>
      <c r="AA59" s="57"/>
    </row>
    <row r="60" spans="1:28" x14ac:dyDescent="0.15">
      <c r="A60" s="57"/>
      <c r="B60" s="57"/>
      <c r="C60" s="54"/>
      <c r="D60" s="96"/>
      <c r="E60" s="54"/>
      <c r="F60" s="54"/>
      <c r="G60" s="57"/>
      <c r="H60" s="54"/>
      <c r="I60" s="57"/>
      <c r="J60" s="54"/>
      <c r="K60" s="54"/>
      <c r="X60" s="57"/>
      <c r="Y60" s="57"/>
      <c r="AA60" s="57"/>
    </row>
    <row r="61" spans="1:28" x14ac:dyDescent="0.15">
      <c r="A61" s="57"/>
      <c r="B61" s="57"/>
      <c r="C61" s="54"/>
      <c r="D61" s="96"/>
      <c r="E61" s="54"/>
      <c r="F61" s="54"/>
      <c r="G61" s="57"/>
      <c r="H61" s="54"/>
      <c r="I61" s="57"/>
      <c r="J61" s="54"/>
      <c r="K61" s="54"/>
      <c r="X61" s="57"/>
      <c r="Y61" s="57"/>
      <c r="AA61" s="57"/>
    </row>
    <row r="62" spans="1:28" x14ac:dyDescent="0.15">
      <c r="A62" s="57"/>
      <c r="B62" s="57"/>
      <c r="C62" s="54"/>
      <c r="D62" s="96"/>
      <c r="E62" s="54"/>
      <c r="F62" s="54"/>
      <c r="G62" s="57"/>
      <c r="H62" s="54"/>
      <c r="I62" s="57"/>
      <c r="J62" s="54"/>
      <c r="K62" s="54"/>
      <c r="X62" s="57"/>
      <c r="Y62" s="57"/>
      <c r="AA62" s="57"/>
    </row>
    <row r="63" spans="1:28" x14ac:dyDescent="0.15">
      <c r="A63" s="57"/>
      <c r="B63" s="57"/>
      <c r="C63" s="54"/>
      <c r="D63" s="96"/>
      <c r="E63" s="54"/>
      <c r="F63" s="54"/>
      <c r="G63" s="57"/>
      <c r="H63" s="54"/>
      <c r="I63" s="57"/>
      <c r="J63" s="54"/>
      <c r="K63" s="54"/>
      <c r="X63" s="57"/>
      <c r="Y63" s="57"/>
      <c r="AA63" s="57"/>
    </row>
    <row r="64" spans="1:28" x14ac:dyDescent="0.15">
      <c r="A64" s="57"/>
      <c r="B64" s="57"/>
      <c r="C64" s="54"/>
      <c r="D64" s="96"/>
      <c r="E64" s="54"/>
      <c r="F64" s="54"/>
      <c r="G64" s="57"/>
      <c r="H64" s="54"/>
      <c r="I64" s="57"/>
      <c r="J64" s="54"/>
      <c r="K64" s="54"/>
      <c r="X64" s="57"/>
      <c r="Y64" s="57"/>
      <c r="AA64" s="57"/>
    </row>
    <row r="65" spans="1:27" x14ac:dyDescent="0.15">
      <c r="A65" s="57"/>
      <c r="B65" s="57"/>
      <c r="C65" s="54"/>
      <c r="D65" s="96"/>
      <c r="E65" s="54"/>
      <c r="F65" s="54"/>
      <c r="G65" s="57"/>
      <c r="H65" s="54"/>
      <c r="I65" s="57"/>
      <c r="J65" s="54"/>
      <c r="K65" s="54"/>
      <c r="X65" s="57"/>
      <c r="Y65" s="57"/>
      <c r="AA65" s="57"/>
    </row>
    <row r="66" spans="1:27" x14ac:dyDescent="0.15">
      <c r="A66" s="57"/>
      <c r="B66" s="57"/>
      <c r="C66" s="54"/>
      <c r="D66" s="96"/>
      <c r="E66" s="54"/>
      <c r="F66" s="54"/>
      <c r="G66" s="57"/>
      <c r="H66" s="54"/>
      <c r="I66" s="57"/>
      <c r="J66" s="54"/>
      <c r="K66" s="54"/>
      <c r="X66" s="57"/>
      <c r="Y66" s="57"/>
      <c r="AA66" s="57"/>
    </row>
    <row r="67" spans="1:27" x14ac:dyDescent="0.15">
      <c r="A67" s="57"/>
      <c r="B67" s="57"/>
      <c r="C67" s="54"/>
      <c r="D67" s="96"/>
      <c r="E67" s="54"/>
      <c r="F67" s="54"/>
      <c r="G67" s="57"/>
      <c r="H67" s="54"/>
      <c r="I67" s="57"/>
      <c r="J67" s="54"/>
      <c r="K67" s="54"/>
      <c r="X67" s="57"/>
      <c r="Y67" s="57"/>
      <c r="AA67" s="57"/>
    </row>
    <row r="68" spans="1:27" x14ac:dyDescent="0.15">
      <c r="A68" s="57"/>
      <c r="B68" s="57"/>
      <c r="C68" s="54"/>
      <c r="D68" s="96"/>
      <c r="E68" s="54"/>
      <c r="F68" s="54"/>
      <c r="G68" s="57"/>
      <c r="H68" s="54"/>
      <c r="I68" s="57"/>
      <c r="J68" s="54"/>
      <c r="K68" s="54"/>
      <c r="X68" s="57"/>
      <c r="Y68" s="57"/>
      <c r="AA68" s="57"/>
    </row>
    <row r="69" spans="1:27" x14ac:dyDescent="0.15">
      <c r="A69" s="57"/>
      <c r="B69" s="57"/>
      <c r="C69" s="54"/>
      <c r="D69" s="96"/>
      <c r="E69" s="54"/>
      <c r="F69" s="54"/>
      <c r="G69" s="57"/>
      <c r="H69" s="54"/>
      <c r="I69" s="57"/>
      <c r="J69" s="54"/>
      <c r="K69" s="54"/>
      <c r="X69" s="57"/>
      <c r="Y69" s="57"/>
      <c r="AA69" s="57"/>
    </row>
    <row r="70" spans="1:27" x14ac:dyDescent="0.15">
      <c r="A70" s="57"/>
      <c r="B70" s="57"/>
      <c r="C70" s="54"/>
      <c r="D70" s="96"/>
      <c r="E70" s="54"/>
      <c r="F70" s="54"/>
      <c r="G70" s="57"/>
      <c r="H70" s="54"/>
      <c r="I70" s="57"/>
      <c r="J70" s="54"/>
      <c r="K70" s="54"/>
      <c r="X70" s="57"/>
      <c r="Y70" s="57"/>
      <c r="AA70" s="57"/>
    </row>
    <row r="71" spans="1:27" x14ac:dyDescent="0.15">
      <c r="A71" s="57"/>
      <c r="B71" s="57"/>
      <c r="C71" s="54"/>
      <c r="D71" s="96"/>
      <c r="E71" s="54"/>
      <c r="F71" s="54"/>
      <c r="G71" s="57"/>
      <c r="H71" s="54"/>
      <c r="I71" s="57"/>
      <c r="J71" s="54"/>
      <c r="K71" s="54"/>
      <c r="X71" s="57"/>
      <c r="Y71" s="57"/>
      <c r="AA71" s="57"/>
    </row>
    <row r="72" spans="1:27" x14ac:dyDescent="0.15">
      <c r="A72" s="57"/>
      <c r="B72" s="57"/>
      <c r="C72" s="54"/>
      <c r="D72" s="96"/>
      <c r="E72" s="54"/>
      <c r="F72" s="54"/>
      <c r="G72" s="57"/>
      <c r="H72" s="54"/>
      <c r="I72" s="57"/>
      <c r="J72" s="54"/>
      <c r="K72" s="54"/>
      <c r="X72" s="57"/>
      <c r="Y72" s="57"/>
      <c r="AA72" s="57"/>
    </row>
    <row r="73" spans="1:27" x14ac:dyDescent="0.15">
      <c r="A73" s="57"/>
      <c r="B73" s="57"/>
      <c r="C73" s="54"/>
      <c r="D73" s="96"/>
      <c r="E73" s="54"/>
      <c r="F73" s="54"/>
      <c r="G73" s="57"/>
      <c r="H73" s="54"/>
      <c r="I73" s="57"/>
      <c r="J73" s="54"/>
      <c r="K73" s="54"/>
      <c r="X73" s="57"/>
      <c r="Y73" s="57"/>
      <c r="AA73" s="57"/>
    </row>
    <row r="74" spans="1:27" x14ac:dyDescent="0.15">
      <c r="A74" s="57"/>
      <c r="B74" s="57"/>
      <c r="C74" s="54"/>
      <c r="D74" s="96"/>
      <c r="E74" s="54"/>
      <c r="F74" s="54"/>
      <c r="G74" s="57"/>
      <c r="H74" s="54"/>
      <c r="I74" s="57"/>
      <c r="J74" s="54"/>
      <c r="K74" s="54"/>
      <c r="X74" s="57"/>
      <c r="Y74" s="57"/>
      <c r="AA74" s="57"/>
    </row>
    <row r="75" spans="1:27" x14ac:dyDescent="0.15">
      <c r="A75" s="57"/>
      <c r="B75" s="57"/>
      <c r="C75" s="54"/>
      <c r="D75" s="96"/>
      <c r="E75" s="54"/>
      <c r="F75" s="54"/>
      <c r="G75" s="57"/>
      <c r="H75" s="54"/>
      <c r="I75" s="57"/>
      <c r="J75" s="54"/>
      <c r="K75" s="54"/>
      <c r="X75" s="57"/>
      <c r="Y75" s="57"/>
      <c r="AA75" s="57"/>
    </row>
    <row r="76" spans="1:27" x14ac:dyDescent="0.15">
      <c r="A76" s="57"/>
      <c r="B76" s="57"/>
      <c r="C76" s="54"/>
      <c r="D76" s="96"/>
      <c r="E76" s="54"/>
      <c r="F76" s="54"/>
      <c r="G76" s="57"/>
      <c r="H76" s="54"/>
      <c r="I76" s="57"/>
      <c r="J76" s="54"/>
      <c r="K76" s="54"/>
      <c r="X76" s="57"/>
      <c r="Y76" s="57"/>
      <c r="AA76" s="57"/>
    </row>
    <row r="77" spans="1:27" x14ac:dyDescent="0.15">
      <c r="A77" s="57"/>
      <c r="B77" s="57"/>
      <c r="C77" s="54"/>
      <c r="D77" s="96"/>
      <c r="E77" s="54"/>
      <c r="F77" s="54"/>
      <c r="G77" s="57"/>
      <c r="H77" s="54"/>
      <c r="I77" s="57"/>
      <c r="J77" s="54"/>
      <c r="K77" s="54"/>
      <c r="X77" s="57"/>
      <c r="Y77" s="57"/>
      <c r="AA77" s="57"/>
    </row>
    <row r="78" spans="1:27" x14ac:dyDescent="0.15">
      <c r="A78" s="57"/>
      <c r="B78" s="57"/>
      <c r="C78" s="54"/>
      <c r="D78" s="96"/>
      <c r="E78" s="54"/>
      <c r="F78" s="54"/>
      <c r="G78" s="57"/>
      <c r="H78" s="54"/>
      <c r="I78" s="57"/>
      <c r="J78" s="54"/>
      <c r="K78" s="54"/>
      <c r="X78" s="57"/>
      <c r="Y78" s="57"/>
      <c r="AA78" s="57"/>
    </row>
    <row r="79" spans="1:27" x14ac:dyDescent="0.15">
      <c r="A79" s="57"/>
      <c r="B79" s="57"/>
      <c r="C79" s="54"/>
      <c r="D79" s="96"/>
      <c r="E79" s="54"/>
      <c r="F79" s="54"/>
      <c r="G79" s="57"/>
      <c r="H79" s="54"/>
      <c r="I79" s="57"/>
      <c r="J79" s="54"/>
      <c r="K79" s="54"/>
      <c r="X79" s="57"/>
      <c r="Y79" s="57"/>
      <c r="AA79" s="57"/>
    </row>
    <row r="80" spans="1:27" x14ac:dyDescent="0.15">
      <c r="A80" s="57"/>
      <c r="B80" s="57"/>
      <c r="C80" s="54"/>
      <c r="D80" s="96"/>
      <c r="E80" s="54"/>
      <c r="F80" s="54"/>
      <c r="G80" s="57"/>
      <c r="H80" s="54"/>
      <c r="I80" s="57"/>
      <c r="J80" s="54"/>
      <c r="K80" s="54"/>
      <c r="X80" s="57"/>
      <c r="Y80" s="57"/>
      <c r="AA80" s="57"/>
    </row>
    <row r="81" spans="1:27" x14ac:dyDescent="0.15">
      <c r="A81" s="57"/>
      <c r="B81" s="57"/>
      <c r="C81" s="54"/>
      <c r="D81" s="96"/>
      <c r="E81" s="54"/>
      <c r="F81" s="54"/>
      <c r="G81" s="57"/>
      <c r="H81" s="54"/>
      <c r="I81" s="57"/>
      <c r="J81" s="54"/>
      <c r="K81" s="54"/>
      <c r="X81" s="57"/>
      <c r="Y81" s="57"/>
      <c r="AA81" s="57"/>
    </row>
    <row r="82" spans="1:27" x14ac:dyDescent="0.15">
      <c r="A82" s="57"/>
      <c r="B82" s="57"/>
      <c r="C82" s="54"/>
      <c r="D82" s="96"/>
      <c r="E82" s="54"/>
      <c r="F82" s="54"/>
      <c r="G82" s="57"/>
      <c r="H82" s="54"/>
      <c r="I82" s="57"/>
      <c r="J82" s="54"/>
      <c r="K82" s="54"/>
      <c r="X82" s="57"/>
      <c r="Y82" s="57"/>
      <c r="AA82" s="57"/>
    </row>
    <row r="83" spans="1:27" x14ac:dyDescent="0.15">
      <c r="E83" s="54"/>
      <c r="F83" s="54"/>
      <c r="G83" s="57"/>
      <c r="H83" s="54"/>
      <c r="I83" s="57"/>
      <c r="J83" s="54"/>
      <c r="K83" s="54"/>
      <c r="X83" s="57"/>
      <c r="Y83" s="57"/>
      <c r="AA83" s="57"/>
    </row>
    <row r="84" spans="1:27" x14ac:dyDescent="0.15">
      <c r="E84" s="54"/>
      <c r="F84" s="54"/>
      <c r="G84" s="57"/>
      <c r="H84" s="54"/>
      <c r="I84" s="57"/>
      <c r="J84" s="54"/>
      <c r="K84" s="54"/>
      <c r="X84" s="57"/>
      <c r="Y84" s="57"/>
      <c r="AA84" s="57"/>
    </row>
    <row r="85" spans="1:27" x14ac:dyDescent="0.15">
      <c r="E85" s="54"/>
      <c r="F85" s="54"/>
      <c r="G85" s="57"/>
      <c r="H85" s="54"/>
      <c r="I85" s="57"/>
      <c r="J85" s="54"/>
      <c r="K85" s="54"/>
      <c r="X85" s="57"/>
      <c r="Y85" s="57"/>
      <c r="AA85" s="57"/>
    </row>
    <row r="86" spans="1:27" x14ac:dyDescent="0.15">
      <c r="J86" s="54"/>
      <c r="K86" s="54"/>
    </row>
    <row r="87" spans="1:27" x14ac:dyDescent="0.15">
      <c r="J87" s="54"/>
      <c r="K87" s="54"/>
    </row>
    <row r="88" spans="1:27" x14ac:dyDescent="0.15">
      <c r="J88" s="54"/>
      <c r="K88" s="54"/>
    </row>
    <row r="89" spans="1:27" x14ac:dyDescent="0.15">
      <c r="J89" s="54"/>
      <c r="K89" s="54"/>
    </row>
    <row r="90" spans="1:27" x14ac:dyDescent="0.15">
      <c r="J90" s="54"/>
      <c r="K90" s="54"/>
    </row>
    <row r="91" spans="1:27" x14ac:dyDescent="0.15">
      <c r="J91" s="54"/>
      <c r="K91" s="54"/>
    </row>
    <row r="92" spans="1:27" x14ac:dyDescent="0.15">
      <c r="J92" s="54"/>
      <c r="K92" s="54"/>
    </row>
    <row r="93" spans="1:27" x14ac:dyDescent="0.15">
      <c r="J93" s="54"/>
      <c r="K93" s="54"/>
    </row>
    <row r="94" spans="1:27" x14ac:dyDescent="0.15">
      <c r="J94" s="54"/>
      <c r="K94" s="54"/>
    </row>
    <row r="95" spans="1:27" x14ac:dyDescent="0.15">
      <c r="J95" s="54"/>
      <c r="K95" s="54"/>
    </row>
    <row r="96" spans="1:27" x14ac:dyDescent="0.15">
      <c r="J96" s="54"/>
      <c r="K96" s="54"/>
    </row>
    <row r="97" spans="10:11" x14ac:dyDescent="0.15">
      <c r="J97" s="54"/>
      <c r="K97" s="54"/>
    </row>
    <row r="98" spans="10:11" x14ac:dyDescent="0.15">
      <c r="J98" s="54"/>
      <c r="K98" s="54"/>
    </row>
    <row r="99" spans="10:11" x14ac:dyDescent="0.15">
      <c r="J99" s="54"/>
      <c r="K99" s="54"/>
    </row>
    <row r="100" spans="10:11" x14ac:dyDescent="0.15">
      <c r="J100" s="54"/>
      <c r="K100" s="54"/>
    </row>
    <row r="101" spans="10:11" x14ac:dyDescent="0.15">
      <c r="K101" s="54"/>
    </row>
    <row r="102" spans="10:11" x14ac:dyDescent="0.15">
      <c r="K102" s="54"/>
    </row>
    <row r="103" spans="10:11" x14ac:dyDescent="0.15">
      <c r="K103" s="54"/>
    </row>
    <row r="104" spans="10:11" x14ac:dyDescent="0.15">
      <c r="K104" s="54"/>
    </row>
    <row r="105" spans="10:11" x14ac:dyDescent="0.15">
      <c r="K105" s="54"/>
    </row>
    <row r="106" spans="10:11" x14ac:dyDescent="0.15">
      <c r="K106" s="54"/>
    </row>
    <row r="107" spans="10:11" x14ac:dyDescent="0.15">
      <c r="K107" s="54"/>
    </row>
    <row r="108" spans="10:11" x14ac:dyDescent="0.15">
      <c r="K108" s="54"/>
    </row>
    <row r="109" spans="10:11" x14ac:dyDescent="0.15">
      <c r="K109" s="54"/>
    </row>
    <row r="110" spans="10:11" x14ac:dyDescent="0.15">
      <c r="K110" s="54"/>
    </row>
    <row r="111" spans="10:11" x14ac:dyDescent="0.15">
      <c r="K111" s="54"/>
    </row>
    <row r="112" spans="10:11" x14ac:dyDescent="0.15">
      <c r="K112" s="54"/>
    </row>
    <row r="113" spans="11:11" x14ac:dyDescent="0.15">
      <c r="K113" s="54"/>
    </row>
    <row r="114" spans="11:11" x14ac:dyDescent="0.15">
      <c r="K114" s="54"/>
    </row>
    <row r="115" spans="11:11" x14ac:dyDescent="0.15">
      <c r="K115" s="54"/>
    </row>
    <row r="116" spans="11:11" x14ac:dyDescent="0.15">
      <c r="K116" s="54"/>
    </row>
    <row r="117" spans="11:11" x14ac:dyDescent="0.15">
      <c r="K117" s="54"/>
    </row>
    <row r="118" spans="11:11" x14ac:dyDescent="0.15">
      <c r="K118" s="54"/>
    </row>
    <row r="119" spans="11:11" x14ac:dyDescent="0.15">
      <c r="K119" s="54"/>
    </row>
    <row r="120" spans="11:11" x14ac:dyDescent="0.15">
      <c r="K120" s="54"/>
    </row>
    <row r="121" spans="11:11" x14ac:dyDescent="0.15">
      <c r="K121" s="54"/>
    </row>
    <row r="122" spans="11:11" x14ac:dyDescent="0.15">
      <c r="K122" s="54"/>
    </row>
    <row r="123" spans="11:11" x14ac:dyDescent="0.15">
      <c r="K123" s="54"/>
    </row>
    <row r="124" spans="11:11" x14ac:dyDescent="0.15">
      <c r="K124" s="54"/>
    </row>
    <row r="125" spans="11:11" x14ac:dyDescent="0.15">
      <c r="K125" s="54"/>
    </row>
    <row r="126" spans="11:11" x14ac:dyDescent="0.15">
      <c r="K126" s="54"/>
    </row>
    <row r="127" spans="11:11" x14ac:dyDescent="0.15">
      <c r="K127" s="54"/>
    </row>
    <row r="128" spans="11:11"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sheetData>
  <autoFilter ref="A1:BA52" xr:uid="{00000000-0009-0000-0000-000002000000}"/>
  <phoneticPr fontId="3"/>
  <dataValidations count="18">
    <dataValidation type="list" allowBlank="1" showInputMessage="1" showErrorMessage="1" sqref="K2:K450" xr:uid="{E9629036-BBAC-4085-A5A5-167ED2BFD14A}">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4025A811-E6CE-4699-8B06-EFF552BE6A9D}">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56FDFCEB-82EA-4786-B03C-5E0FD8A3E557}">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598DAD96-D5C0-4935-B544-419E40EFF820}">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FC20717F-46C0-4AEA-BEE5-7E961ACF66C4}">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59E65B5C-CF28-4DE0-BC2B-46D76C3F4D5B}"/>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8E698EB2-DA59-4CB0-AC6C-FB892E4BCF1D}">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4C5A2F9A-FB6E-45A5-9027-220908D4A508}">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9B0A29A0-FDA2-4BB6-91D3-59011E20DC5D}">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B2F9E264-EF0A-4893-A54D-1212B9F2877A}">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9CFDA3A2-0F67-4310-A52E-094B457FB43B}">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4E11D3A1-F39C-44C4-8A06-EF90E881C422}">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9AF28461-DCF6-4CE9-8396-4F8AE7D71472}">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59588254-7F3B-4240-9400-7F956EE6254C}">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0B2772E9-1556-4166-BD06-ADCD5430F18D}">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xr:uid="{94A61F34-572F-4292-9D07-CAAF5F2EF253}">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79AF9300-850C-464F-905E-A3905B017C17}">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A05E8549-31A5-4961-9E63-F5AB7E984DED}">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DB22-690C-49C7-BB1A-5653CCAD971F}">
  <dimension ref="A1:BA732"/>
  <sheetViews>
    <sheetView zoomScale="70" zoomScaleNormal="70" workbookViewId="0">
      <selection activeCell="AF60" sqref="AF60"/>
    </sheetView>
  </sheetViews>
  <sheetFormatPr defaultColWidth="9" defaultRowHeight="13.5" x14ac:dyDescent="0.15"/>
  <cols>
    <col min="1" max="3" width="9" style="109"/>
    <col min="4" max="4" width="10.42578125" style="109" customWidth="1"/>
    <col min="5" max="16" width="9" style="109"/>
    <col min="17" max="17" width="9" style="144"/>
    <col min="18" max="18" width="9" style="109"/>
    <col min="19" max="19" width="9.42578125" style="109" customWidth="1"/>
    <col min="20" max="20" width="9" style="144"/>
    <col min="21" max="21" width="9" style="109"/>
    <col min="22" max="22" width="9" style="144"/>
    <col min="23" max="23" width="10.42578125" style="109" customWidth="1"/>
    <col min="24" max="32" width="9" style="109"/>
    <col min="33" max="33" width="19.5703125" style="109" customWidth="1"/>
    <col min="34" max="34" width="9.42578125" style="109" customWidth="1"/>
    <col min="35" max="259" width="9" style="109"/>
    <col min="260" max="260" width="10.42578125" style="109" customWidth="1"/>
    <col min="261" max="274" width="9" style="109"/>
    <col min="275" max="275" width="9.42578125" style="109" customWidth="1"/>
    <col min="276" max="278" width="9" style="109"/>
    <col min="279" max="279" width="10.42578125" style="109" customWidth="1"/>
    <col min="280" max="515" width="9" style="109"/>
    <col min="516" max="516" width="10.42578125" style="109" customWidth="1"/>
    <col min="517" max="530" width="9" style="109"/>
    <col min="531" max="531" width="9.42578125" style="109" customWidth="1"/>
    <col min="532" max="534" width="9" style="109"/>
    <col min="535" max="535" width="10.42578125" style="109" customWidth="1"/>
    <col min="536" max="771" width="9" style="109"/>
    <col min="772" max="772" width="10.42578125" style="109" customWidth="1"/>
    <col min="773" max="786" width="9" style="109"/>
    <col min="787" max="787" width="9.42578125" style="109" customWidth="1"/>
    <col min="788" max="790" width="9" style="109"/>
    <col min="791" max="791" width="10.42578125" style="109" customWidth="1"/>
    <col min="792" max="1027" width="9" style="109"/>
    <col min="1028" max="1028" width="10.42578125" style="109" customWidth="1"/>
    <col min="1029" max="1042" width="9" style="109"/>
    <col min="1043" max="1043" width="9.42578125" style="109" customWidth="1"/>
    <col min="1044" max="1046" width="9" style="109"/>
    <col min="1047" max="1047" width="10.42578125" style="109" customWidth="1"/>
    <col min="1048" max="1283" width="9" style="109"/>
    <col min="1284" max="1284" width="10.42578125" style="109" customWidth="1"/>
    <col min="1285" max="1298" width="9" style="109"/>
    <col min="1299" max="1299" width="9.42578125" style="109" customWidth="1"/>
    <col min="1300" max="1302" width="9" style="109"/>
    <col min="1303" max="1303" width="10.42578125" style="109" customWidth="1"/>
    <col min="1304" max="1539" width="9" style="109"/>
    <col min="1540" max="1540" width="10.42578125" style="109" customWidth="1"/>
    <col min="1541" max="1554" width="9" style="109"/>
    <col min="1555" max="1555" width="9.42578125" style="109" customWidth="1"/>
    <col min="1556" max="1558" width="9" style="109"/>
    <col min="1559" max="1559" width="10.42578125" style="109" customWidth="1"/>
    <col min="1560" max="1795" width="9" style="109"/>
    <col min="1796" max="1796" width="10.42578125" style="109" customWidth="1"/>
    <col min="1797" max="1810" width="9" style="109"/>
    <col min="1811" max="1811" width="9.42578125" style="109" customWidth="1"/>
    <col min="1812" max="1814" width="9" style="109"/>
    <col min="1815" max="1815" width="10.42578125" style="109" customWidth="1"/>
    <col min="1816" max="2051" width="9" style="109"/>
    <col min="2052" max="2052" width="10.42578125" style="109" customWidth="1"/>
    <col min="2053" max="2066" width="9" style="109"/>
    <col min="2067" max="2067" width="9.42578125" style="109" customWidth="1"/>
    <col min="2068" max="2070" width="9" style="109"/>
    <col min="2071" max="2071" width="10.42578125" style="109" customWidth="1"/>
    <col min="2072" max="2307" width="9" style="109"/>
    <col min="2308" max="2308" width="10.42578125" style="109" customWidth="1"/>
    <col min="2309" max="2322" width="9" style="109"/>
    <col min="2323" max="2323" width="9.42578125" style="109" customWidth="1"/>
    <col min="2324" max="2326" width="9" style="109"/>
    <col min="2327" max="2327" width="10.42578125" style="109" customWidth="1"/>
    <col min="2328" max="2563" width="9" style="109"/>
    <col min="2564" max="2564" width="10.42578125" style="109" customWidth="1"/>
    <col min="2565" max="2578" width="9" style="109"/>
    <col min="2579" max="2579" width="9.42578125" style="109" customWidth="1"/>
    <col min="2580" max="2582" width="9" style="109"/>
    <col min="2583" max="2583" width="10.42578125" style="109" customWidth="1"/>
    <col min="2584" max="2819" width="9" style="109"/>
    <col min="2820" max="2820" width="10.42578125" style="109" customWidth="1"/>
    <col min="2821" max="2834" width="9" style="109"/>
    <col min="2835" max="2835" width="9.42578125" style="109" customWidth="1"/>
    <col min="2836" max="2838" width="9" style="109"/>
    <col min="2839" max="2839" width="10.42578125" style="109" customWidth="1"/>
    <col min="2840" max="3075" width="9" style="109"/>
    <col min="3076" max="3076" width="10.42578125" style="109" customWidth="1"/>
    <col min="3077" max="3090" width="9" style="109"/>
    <col min="3091" max="3091" width="9.42578125" style="109" customWidth="1"/>
    <col min="3092" max="3094" width="9" style="109"/>
    <col min="3095" max="3095" width="10.42578125" style="109" customWidth="1"/>
    <col min="3096" max="3331" width="9" style="109"/>
    <col min="3332" max="3332" width="10.42578125" style="109" customWidth="1"/>
    <col min="3333" max="3346" width="9" style="109"/>
    <col min="3347" max="3347" width="9.42578125" style="109" customWidth="1"/>
    <col min="3348" max="3350" width="9" style="109"/>
    <col min="3351" max="3351" width="10.42578125" style="109" customWidth="1"/>
    <col min="3352" max="3587" width="9" style="109"/>
    <col min="3588" max="3588" width="10.42578125" style="109" customWidth="1"/>
    <col min="3589" max="3602" width="9" style="109"/>
    <col min="3603" max="3603" width="9.42578125" style="109" customWidth="1"/>
    <col min="3604" max="3606" width="9" style="109"/>
    <col min="3607" max="3607" width="10.42578125" style="109" customWidth="1"/>
    <col min="3608" max="3843" width="9" style="109"/>
    <col min="3844" max="3844" width="10.42578125" style="109" customWidth="1"/>
    <col min="3845" max="3858" width="9" style="109"/>
    <col min="3859" max="3859" width="9.42578125" style="109" customWidth="1"/>
    <col min="3860" max="3862" width="9" style="109"/>
    <col min="3863" max="3863" width="10.42578125" style="109" customWidth="1"/>
    <col min="3864" max="4099" width="9" style="109"/>
    <col min="4100" max="4100" width="10.42578125" style="109" customWidth="1"/>
    <col min="4101" max="4114" width="9" style="109"/>
    <col min="4115" max="4115" width="9.42578125" style="109" customWidth="1"/>
    <col min="4116" max="4118" width="9" style="109"/>
    <col min="4119" max="4119" width="10.42578125" style="109" customWidth="1"/>
    <col min="4120" max="4355" width="9" style="109"/>
    <col min="4356" max="4356" width="10.42578125" style="109" customWidth="1"/>
    <col min="4357" max="4370" width="9" style="109"/>
    <col min="4371" max="4371" width="9.42578125" style="109" customWidth="1"/>
    <col min="4372" max="4374" width="9" style="109"/>
    <col min="4375" max="4375" width="10.42578125" style="109" customWidth="1"/>
    <col min="4376" max="4611" width="9" style="109"/>
    <col min="4612" max="4612" width="10.42578125" style="109" customWidth="1"/>
    <col min="4613" max="4626" width="9" style="109"/>
    <col min="4627" max="4627" width="9.42578125" style="109" customWidth="1"/>
    <col min="4628" max="4630" width="9" style="109"/>
    <col min="4631" max="4631" width="10.42578125" style="109" customWidth="1"/>
    <col min="4632" max="4867" width="9" style="109"/>
    <col min="4868" max="4868" width="10.42578125" style="109" customWidth="1"/>
    <col min="4869" max="4882" width="9" style="109"/>
    <col min="4883" max="4883" width="9.42578125" style="109" customWidth="1"/>
    <col min="4884" max="4886" width="9" style="109"/>
    <col min="4887" max="4887" width="10.42578125" style="109" customWidth="1"/>
    <col min="4888" max="5123" width="9" style="109"/>
    <col min="5124" max="5124" width="10.42578125" style="109" customWidth="1"/>
    <col min="5125" max="5138" width="9" style="109"/>
    <col min="5139" max="5139" width="9.42578125" style="109" customWidth="1"/>
    <col min="5140" max="5142" width="9" style="109"/>
    <col min="5143" max="5143" width="10.42578125" style="109" customWidth="1"/>
    <col min="5144" max="5379" width="9" style="109"/>
    <col min="5380" max="5380" width="10.42578125" style="109" customWidth="1"/>
    <col min="5381" max="5394" width="9" style="109"/>
    <col min="5395" max="5395" width="9.42578125" style="109" customWidth="1"/>
    <col min="5396" max="5398" width="9" style="109"/>
    <col min="5399" max="5399" width="10.42578125" style="109" customWidth="1"/>
    <col min="5400" max="5635" width="9" style="109"/>
    <col min="5636" max="5636" width="10.42578125" style="109" customWidth="1"/>
    <col min="5637" max="5650" width="9" style="109"/>
    <col min="5651" max="5651" width="9.42578125" style="109" customWidth="1"/>
    <col min="5652" max="5654" width="9" style="109"/>
    <col min="5655" max="5655" width="10.42578125" style="109" customWidth="1"/>
    <col min="5656" max="5891" width="9" style="109"/>
    <col min="5892" max="5892" width="10.42578125" style="109" customWidth="1"/>
    <col min="5893" max="5906" width="9" style="109"/>
    <col min="5907" max="5907" width="9.42578125" style="109" customWidth="1"/>
    <col min="5908" max="5910" width="9" style="109"/>
    <col min="5911" max="5911" width="10.42578125" style="109" customWidth="1"/>
    <col min="5912" max="6147" width="9" style="109"/>
    <col min="6148" max="6148" width="10.42578125" style="109" customWidth="1"/>
    <col min="6149" max="6162" width="9" style="109"/>
    <col min="6163" max="6163" width="9.42578125" style="109" customWidth="1"/>
    <col min="6164" max="6166" width="9" style="109"/>
    <col min="6167" max="6167" width="10.42578125" style="109" customWidth="1"/>
    <col min="6168" max="6403" width="9" style="109"/>
    <col min="6404" max="6404" width="10.42578125" style="109" customWidth="1"/>
    <col min="6405" max="6418" width="9" style="109"/>
    <col min="6419" max="6419" width="9.42578125" style="109" customWidth="1"/>
    <col min="6420" max="6422" width="9" style="109"/>
    <col min="6423" max="6423" width="10.42578125" style="109" customWidth="1"/>
    <col min="6424" max="6659" width="9" style="109"/>
    <col min="6660" max="6660" width="10.42578125" style="109" customWidth="1"/>
    <col min="6661" max="6674" width="9" style="109"/>
    <col min="6675" max="6675" width="9.42578125" style="109" customWidth="1"/>
    <col min="6676" max="6678" width="9" style="109"/>
    <col min="6679" max="6679" width="10.42578125" style="109" customWidth="1"/>
    <col min="6680" max="6915" width="9" style="109"/>
    <col min="6916" max="6916" width="10.42578125" style="109" customWidth="1"/>
    <col min="6917" max="6930" width="9" style="109"/>
    <col min="6931" max="6931" width="9.42578125" style="109" customWidth="1"/>
    <col min="6932" max="6934" width="9" style="109"/>
    <col min="6935" max="6935" width="10.42578125" style="109" customWidth="1"/>
    <col min="6936" max="7171" width="9" style="109"/>
    <col min="7172" max="7172" width="10.42578125" style="109" customWidth="1"/>
    <col min="7173" max="7186" width="9" style="109"/>
    <col min="7187" max="7187" width="9.42578125" style="109" customWidth="1"/>
    <col min="7188" max="7190" width="9" style="109"/>
    <col min="7191" max="7191" width="10.42578125" style="109" customWidth="1"/>
    <col min="7192" max="7427" width="9" style="109"/>
    <col min="7428" max="7428" width="10.42578125" style="109" customWidth="1"/>
    <col min="7429" max="7442" width="9" style="109"/>
    <col min="7443" max="7443" width="9.42578125" style="109" customWidth="1"/>
    <col min="7444" max="7446" width="9" style="109"/>
    <col min="7447" max="7447" width="10.42578125" style="109" customWidth="1"/>
    <col min="7448" max="7683" width="9" style="109"/>
    <col min="7684" max="7684" width="10.42578125" style="109" customWidth="1"/>
    <col min="7685" max="7698" width="9" style="109"/>
    <col min="7699" max="7699" width="9.42578125" style="109" customWidth="1"/>
    <col min="7700" max="7702" width="9" style="109"/>
    <col min="7703" max="7703" width="10.42578125" style="109" customWidth="1"/>
    <col min="7704" max="7939" width="9" style="109"/>
    <col min="7940" max="7940" width="10.42578125" style="109" customWidth="1"/>
    <col min="7941" max="7954" width="9" style="109"/>
    <col min="7955" max="7955" width="9.42578125" style="109" customWidth="1"/>
    <col min="7956" max="7958" width="9" style="109"/>
    <col min="7959" max="7959" width="10.42578125" style="109" customWidth="1"/>
    <col min="7960" max="8195" width="9" style="109"/>
    <col min="8196" max="8196" width="10.42578125" style="109" customWidth="1"/>
    <col min="8197" max="8210" width="9" style="109"/>
    <col min="8211" max="8211" width="9.42578125" style="109" customWidth="1"/>
    <col min="8212" max="8214" width="9" style="109"/>
    <col min="8215" max="8215" width="10.42578125" style="109" customWidth="1"/>
    <col min="8216" max="8451" width="9" style="109"/>
    <col min="8452" max="8452" width="10.42578125" style="109" customWidth="1"/>
    <col min="8453" max="8466" width="9" style="109"/>
    <col min="8467" max="8467" width="9.42578125" style="109" customWidth="1"/>
    <col min="8468" max="8470" width="9" style="109"/>
    <col min="8471" max="8471" width="10.42578125" style="109" customWidth="1"/>
    <col min="8472" max="8707" width="9" style="109"/>
    <col min="8708" max="8708" width="10.42578125" style="109" customWidth="1"/>
    <col min="8709" max="8722" width="9" style="109"/>
    <col min="8723" max="8723" width="9.42578125" style="109" customWidth="1"/>
    <col min="8724" max="8726" width="9" style="109"/>
    <col min="8727" max="8727" width="10.42578125" style="109" customWidth="1"/>
    <col min="8728" max="8963" width="9" style="109"/>
    <col min="8964" max="8964" width="10.42578125" style="109" customWidth="1"/>
    <col min="8965" max="8978" width="9" style="109"/>
    <col min="8979" max="8979" width="9.42578125" style="109" customWidth="1"/>
    <col min="8980" max="8982" width="9" style="109"/>
    <col min="8983" max="8983" width="10.42578125" style="109" customWidth="1"/>
    <col min="8984" max="9219" width="9" style="109"/>
    <col min="9220" max="9220" width="10.42578125" style="109" customWidth="1"/>
    <col min="9221" max="9234" width="9" style="109"/>
    <col min="9235" max="9235" width="9.42578125" style="109" customWidth="1"/>
    <col min="9236" max="9238" width="9" style="109"/>
    <col min="9239" max="9239" width="10.42578125" style="109" customWidth="1"/>
    <col min="9240" max="9475" width="9" style="109"/>
    <col min="9476" max="9476" width="10.42578125" style="109" customWidth="1"/>
    <col min="9477" max="9490" width="9" style="109"/>
    <col min="9491" max="9491" width="9.42578125" style="109" customWidth="1"/>
    <col min="9492" max="9494" width="9" style="109"/>
    <col min="9495" max="9495" width="10.42578125" style="109" customWidth="1"/>
    <col min="9496" max="9731" width="9" style="109"/>
    <col min="9732" max="9732" width="10.42578125" style="109" customWidth="1"/>
    <col min="9733" max="9746" width="9" style="109"/>
    <col min="9747" max="9747" width="9.42578125" style="109" customWidth="1"/>
    <col min="9748" max="9750" width="9" style="109"/>
    <col min="9751" max="9751" width="10.42578125" style="109" customWidth="1"/>
    <col min="9752" max="9987" width="9" style="109"/>
    <col min="9988" max="9988" width="10.42578125" style="109" customWidth="1"/>
    <col min="9989" max="10002" width="9" style="109"/>
    <col min="10003" max="10003" width="9.42578125" style="109" customWidth="1"/>
    <col min="10004" max="10006" width="9" style="109"/>
    <col min="10007" max="10007" width="10.42578125" style="109" customWidth="1"/>
    <col min="10008" max="10243" width="9" style="109"/>
    <col min="10244" max="10244" width="10.42578125" style="109" customWidth="1"/>
    <col min="10245" max="10258" width="9" style="109"/>
    <col min="10259" max="10259" width="9.42578125" style="109" customWidth="1"/>
    <col min="10260" max="10262" width="9" style="109"/>
    <col min="10263" max="10263" width="10.42578125" style="109" customWidth="1"/>
    <col min="10264" max="10499" width="9" style="109"/>
    <col min="10500" max="10500" width="10.42578125" style="109" customWidth="1"/>
    <col min="10501" max="10514" width="9" style="109"/>
    <col min="10515" max="10515" width="9.42578125" style="109" customWidth="1"/>
    <col min="10516" max="10518" width="9" style="109"/>
    <col min="10519" max="10519" width="10.42578125" style="109" customWidth="1"/>
    <col min="10520" max="10755" width="9" style="109"/>
    <col min="10756" max="10756" width="10.42578125" style="109" customWidth="1"/>
    <col min="10757" max="10770" width="9" style="109"/>
    <col min="10771" max="10771" width="9.42578125" style="109" customWidth="1"/>
    <col min="10772" max="10774" width="9" style="109"/>
    <col min="10775" max="10775" width="10.42578125" style="109" customWidth="1"/>
    <col min="10776" max="11011" width="9" style="109"/>
    <col min="11012" max="11012" width="10.42578125" style="109" customWidth="1"/>
    <col min="11013" max="11026" width="9" style="109"/>
    <col min="11027" max="11027" width="9.42578125" style="109" customWidth="1"/>
    <col min="11028" max="11030" width="9" style="109"/>
    <col min="11031" max="11031" width="10.42578125" style="109" customWidth="1"/>
    <col min="11032" max="11267" width="9" style="109"/>
    <col min="11268" max="11268" width="10.42578125" style="109" customWidth="1"/>
    <col min="11269" max="11282" width="9" style="109"/>
    <col min="11283" max="11283" width="9.42578125" style="109" customWidth="1"/>
    <col min="11284" max="11286" width="9" style="109"/>
    <col min="11287" max="11287" width="10.42578125" style="109" customWidth="1"/>
    <col min="11288" max="11523" width="9" style="109"/>
    <col min="11524" max="11524" width="10.42578125" style="109" customWidth="1"/>
    <col min="11525" max="11538" width="9" style="109"/>
    <col min="11539" max="11539" width="9.42578125" style="109" customWidth="1"/>
    <col min="11540" max="11542" width="9" style="109"/>
    <col min="11543" max="11543" width="10.42578125" style="109" customWidth="1"/>
    <col min="11544" max="11779" width="9" style="109"/>
    <col min="11780" max="11780" width="10.42578125" style="109" customWidth="1"/>
    <col min="11781" max="11794" width="9" style="109"/>
    <col min="11795" max="11795" width="9.42578125" style="109" customWidth="1"/>
    <col min="11796" max="11798" width="9" style="109"/>
    <col min="11799" max="11799" width="10.42578125" style="109" customWidth="1"/>
    <col min="11800" max="12035" width="9" style="109"/>
    <col min="12036" max="12036" width="10.42578125" style="109" customWidth="1"/>
    <col min="12037" max="12050" width="9" style="109"/>
    <col min="12051" max="12051" width="9.42578125" style="109" customWidth="1"/>
    <col min="12052" max="12054" width="9" style="109"/>
    <col min="12055" max="12055" width="10.42578125" style="109" customWidth="1"/>
    <col min="12056" max="12291" width="9" style="109"/>
    <col min="12292" max="12292" width="10.42578125" style="109" customWidth="1"/>
    <col min="12293" max="12306" width="9" style="109"/>
    <col min="12307" max="12307" width="9.42578125" style="109" customWidth="1"/>
    <col min="12308" max="12310" width="9" style="109"/>
    <col min="12311" max="12311" width="10.42578125" style="109" customWidth="1"/>
    <col min="12312" max="12547" width="9" style="109"/>
    <col min="12548" max="12548" width="10.42578125" style="109" customWidth="1"/>
    <col min="12549" max="12562" width="9" style="109"/>
    <col min="12563" max="12563" width="9.42578125" style="109" customWidth="1"/>
    <col min="12564" max="12566" width="9" style="109"/>
    <col min="12567" max="12567" width="10.42578125" style="109" customWidth="1"/>
    <col min="12568" max="12803" width="9" style="109"/>
    <col min="12804" max="12804" width="10.42578125" style="109" customWidth="1"/>
    <col min="12805" max="12818" width="9" style="109"/>
    <col min="12819" max="12819" width="9.42578125" style="109" customWidth="1"/>
    <col min="12820" max="12822" width="9" style="109"/>
    <col min="12823" max="12823" width="10.42578125" style="109" customWidth="1"/>
    <col min="12824" max="13059" width="9" style="109"/>
    <col min="13060" max="13060" width="10.42578125" style="109" customWidth="1"/>
    <col min="13061" max="13074" width="9" style="109"/>
    <col min="13075" max="13075" width="9.42578125" style="109" customWidth="1"/>
    <col min="13076" max="13078" width="9" style="109"/>
    <col min="13079" max="13079" width="10.42578125" style="109" customWidth="1"/>
    <col min="13080" max="13315" width="9" style="109"/>
    <col min="13316" max="13316" width="10.42578125" style="109" customWidth="1"/>
    <col min="13317" max="13330" width="9" style="109"/>
    <col min="13331" max="13331" width="9.42578125" style="109" customWidth="1"/>
    <col min="13332" max="13334" width="9" style="109"/>
    <col min="13335" max="13335" width="10.42578125" style="109" customWidth="1"/>
    <col min="13336" max="13571" width="9" style="109"/>
    <col min="13572" max="13572" width="10.42578125" style="109" customWidth="1"/>
    <col min="13573" max="13586" width="9" style="109"/>
    <col min="13587" max="13587" width="9.42578125" style="109" customWidth="1"/>
    <col min="13588" max="13590" width="9" style="109"/>
    <col min="13591" max="13591" width="10.42578125" style="109" customWidth="1"/>
    <col min="13592" max="13827" width="9" style="109"/>
    <col min="13828" max="13828" width="10.42578125" style="109" customWidth="1"/>
    <col min="13829" max="13842" width="9" style="109"/>
    <col min="13843" max="13843" width="9.42578125" style="109" customWidth="1"/>
    <col min="13844" max="13846" width="9" style="109"/>
    <col min="13847" max="13847" width="10.42578125" style="109" customWidth="1"/>
    <col min="13848" max="14083" width="9" style="109"/>
    <col min="14084" max="14084" width="10.42578125" style="109" customWidth="1"/>
    <col min="14085" max="14098" width="9" style="109"/>
    <col min="14099" max="14099" width="9.42578125" style="109" customWidth="1"/>
    <col min="14100" max="14102" width="9" style="109"/>
    <col min="14103" max="14103" width="10.42578125" style="109" customWidth="1"/>
    <col min="14104" max="14339" width="9" style="109"/>
    <col min="14340" max="14340" width="10.42578125" style="109" customWidth="1"/>
    <col min="14341" max="14354" width="9" style="109"/>
    <col min="14355" max="14355" width="9.42578125" style="109" customWidth="1"/>
    <col min="14356" max="14358" width="9" style="109"/>
    <col min="14359" max="14359" width="10.42578125" style="109" customWidth="1"/>
    <col min="14360" max="14595" width="9" style="109"/>
    <col min="14596" max="14596" width="10.42578125" style="109" customWidth="1"/>
    <col min="14597" max="14610" width="9" style="109"/>
    <col min="14611" max="14611" width="9.42578125" style="109" customWidth="1"/>
    <col min="14612" max="14614" width="9" style="109"/>
    <col min="14615" max="14615" width="10.42578125" style="109" customWidth="1"/>
    <col min="14616" max="14851" width="9" style="109"/>
    <col min="14852" max="14852" width="10.42578125" style="109" customWidth="1"/>
    <col min="14853" max="14866" width="9" style="109"/>
    <col min="14867" max="14867" width="9.42578125" style="109" customWidth="1"/>
    <col min="14868" max="14870" width="9" style="109"/>
    <col min="14871" max="14871" width="10.42578125" style="109" customWidth="1"/>
    <col min="14872" max="15107" width="9" style="109"/>
    <col min="15108" max="15108" width="10.42578125" style="109" customWidth="1"/>
    <col min="15109" max="15122" width="9" style="109"/>
    <col min="15123" max="15123" width="9.42578125" style="109" customWidth="1"/>
    <col min="15124" max="15126" width="9" style="109"/>
    <col min="15127" max="15127" width="10.42578125" style="109" customWidth="1"/>
    <col min="15128" max="15363" width="9" style="109"/>
    <col min="15364" max="15364" width="10.42578125" style="109" customWidth="1"/>
    <col min="15365" max="15378" width="9" style="109"/>
    <col min="15379" max="15379" width="9.42578125" style="109" customWidth="1"/>
    <col min="15380" max="15382" width="9" style="109"/>
    <col min="15383" max="15383" width="10.42578125" style="109" customWidth="1"/>
    <col min="15384" max="15619" width="9" style="109"/>
    <col min="15620" max="15620" width="10.42578125" style="109" customWidth="1"/>
    <col min="15621" max="15634" width="9" style="109"/>
    <col min="15635" max="15635" width="9.42578125" style="109" customWidth="1"/>
    <col min="15636" max="15638" width="9" style="109"/>
    <col min="15639" max="15639" width="10.42578125" style="109" customWidth="1"/>
    <col min="15640" max="15875" width="9" style="109"/>
    <col min="15876" max="15876" width="10.42578125" style="109" customWidth="1"/>
    <col min="15877" max="15890" width="9" style="109"/>
    <col min="15891" max="15891" width="9.42578125" style="109" customWidth="1"/>
    <col min="15892" max="15894" width="9" style="109"/>
    <col min="15895" max="15895" width="10.42578125" style="109" customWidth="1"/>
    <col min="15896" max="16131" width="9" style="109"/>
    <col min="16132" max="16132" width="10.42578125" style="109" customWidth="1"/>
    <col min="16133" max="16146" width="9" style="109"/>
    <col min="16147" max="16147" width="9.42578125" style="109" customWidth="1"/>
    <col min="16148" max="16150" width="9" style="109"/>
    <col min="16151" max="16151" width="10.42578125" style="109" customWidth="1"/>
    <col min="16152" max="16384" width="9" style="109"/>
  </cols>
  <sheetData>
    <row r="1" spans="1:53" ht="45" x14ac:dyDescent="0.15">
      <c r="A1" s="100" t="s">
        <v>0</v>
      </c>
      <c r="B1" s="101" t="s">
        <v>168</v>
      </c>
      <c r="C1" s="101" t="s">
        <v>169</v>
      </c>
      <c r="D1" s="102" t="s">
        <v>3</v>
      </c>
      <c r="E1" s="103" t="s">
        <v>4</v>
      </c>
      <c r="F1" s="103" t="s">
        <v>5</v>
      </c>
      <c r="G1" s="103" t="s">
        <v>6</v>
      </c>
      <c r="H1" s="103" t="s">
        <v>7</v>
      </c>
      <c r="I1" s="103" t="s">
        <v>8</v>
      </c>
      <c r="J1" s="103" t="s">
        <v>9</v>
      </c>
      <c r="K1" s="103" t="s">
        <v>10</v>
      </c>
      <c r="L1" s="102" t="s">
        <v>170</v>
      </c>
      <c r="M1" s="102" t="s">
        <v>171</v>
      </c>
      <c r="N1" s="102" t="s">
        <v>13</v>
      </c>
      <c r="O1" s="102" t="s">
        <v>172</v>
      </c>
      <c r="P1" s="102" t="s">
        <v>173</v>
      </c>
      <c r="Q1" s="104" t="s">
        <v>174</v>
      </c>
      <c r="R1" s="102" t="s">
        <v>175</v>
      </c>
      <c r="S1" s="102" t="s">
        <v>176</v>
      </c>
      <c r="T1" s="104" t="s">
        <v>19</v>
      </c>
      <c r="U1" s="105" t="s">
        <v>108</v>
      </c>
      <c r="V1" s="106" t="s">
        <v>20</v>
      </c>
      <c r="W1" s="102" t="s">
        <v>177</v>
      </c>
      <c r="X1" s="103" t="s">
        <v>22</v>
      </c>
      <c r="Y1" s="103" t="s">
        <v>23</v>
      </c>
      <c r="Z1" s="103" t="s">
        <v>24</v>
      </c>
      <c r="AA1" s="107" t="s">
        <v>25</v>
      </c>
      <c r="AB1" s="108" t="s">
        <v>178</v>
      </c>
      <c r="AE1" s="110" t="s">
        <v>0</v>
      </c>
      <c r="AF1" s="111"/>
      <c r="AG1" s="110" t="s">
        <v>4</v>
      </c>
      <c r="AH1" s="110" t="s">
        <v>5</v>
      </c>
      <c r="AI1" s="111"/>
      <c r="AJ1" s="110" t="s">
        <v>6</v>
      </c>
      <c r="AK1" s="111"/>
      <c r="AL1" s="112" t="s">
        <v>7</v>
      </c>
      <c r="AM1" s="111"/>
      <c r="AN1" s="112" t="s">
        <v>8</v>
      </c>
      <c r="AO1" s="111"/>
      <c r="AP1" s="112" t="s">
        <v>27</v>
      </c>
      <c r="AQ1" s="111"/>
      <c r="AR1" s="112" t="s">
        <v>10</v>
      </c>
      <c r="AS1" s="111"/>
      <c r="AT1" s="113" t="s">
        <v>179</v>
      </c>
      <c r="AU1" s="111"/>
      <c r="AV1" s="112" t="s">
        <v>29</v>
      </c>
      <c r="AX1" s="114" t="s">
        <v>258</v>
      </c>
      <c r="AY1" s="115" t="s">
        <v>181</v>
      </c>
      <c r="AZ1" s="115" t="s">
        <v>259</v>
      </c>
      <c r="BA1" s="116" t="s">
        <v>183</v>
      </c>
    </row>
    <row r="2" spans="1:53" s="117" customFormat="1" x14ac:dyDescent="0.15">
      <c r="A2" s="117" t="s">
        <v>51</v>
      </c>
      <c r="B2" s="117" t="s">
        <v>157</v>
      </c>
      <c r="C2" s="117">
        <v>2019</v>
      </c>
      <c r="D2" s="118" t="s">
        <v>260</v>
      </c>
      <c r="E2" s="117" t="s">
        <v>261</v>
      </c>
      <c r="F2" s="117" t="s">
        <v>262</v>
      </c>
      <c r="G2" s="117" t="s">
        <v>42</v>
      </c>
      <c r="H2" s="117" t="s">
        <v>165</v>
      </c>
      <c r="I2" s="117" t="s">
        <v>159</v>
      </c>
      <c r="J2" s="117" t="s">
        <v>38</v>
      </c>
      <c r="K2" s="117" t="s">
        <v>161</v>
      </c>
      <c r="L2" s="117">
        <v>1</v>
      </c>
      <c r="N2" s="117">
        <v>1</v>
      </c>
      <c r="O2" s="117">
        <v>0.95</v>
      </c>
      <c r="P2" s="117">
        <v>1</v>
      </c>
      <c r="Q2" s="119">
        <f t="shared" ref="Q2:Q65" si="0">IF(OR(O2="",P2=""),"",AVERAGE(O2,P2))</f>
        <v>0.97499999999999998</v>
      </c>
      <c r="R2" s="117">
        <v>14.8</v>
      </c>
      <c r="S2" s="117">
        <v>130</v>
      </c>
      <c r="T2" s="120">
        <f t="shared" ref="T2:T65" si="1">IF(H2="","",IF(OR(H2="GREEN",H2="GK"),IF(S2&gt;=$AX$2,VLOOKUP(S2,$AX$2:$AY$12,2,1),""),IF(S2&gt;=$AZ$2,VLOOKUP(S2,$AZ$2:$BA$12,2,1),"")))</f>
        <v>25</v>
      </c>
      <c r="U2" s="117">
        <v>98</v>
      </c>
      <c r="V2" s="121">
        <f t="shared" ref="V2:V65" si="2">IF(OR(N2="",U2="",T2=""),"",U2/N2*T2)</f>
        <v>2450</v>
      </c>
      <c r="W2" s="117">
        <v>6</v>
      </c>
      <c r="X2" s="117" t="s">
        <v>46</v>
      </c>
      <c r="Y2" s="117" t="s">
        <v>69</v>
      </c>
      <c r="Z2" s="117" t="s">
        <v>97</v>
      </c>
      <c r="AA2" s="117" t="s">
        <v>47</v>
      </c>
      <c r="AB2" s="149" t="s">
        <v>285</v>
      </c>
      <c r="AE2" s="122" t="s">
        <v>35</v>
      </c>
      <c r="AG2" s="123" t="s">
        <v>210</v>
      </c>
      <c r="AH2" s="123" t="s">
        <v>263</v>
      </c>
      <c r="AJ2" s="123" t="s">
        <v>36</v>
      </c>
      <c r="AL2" s="123" t="s">
        <v>186</v>
      </c>
      <c r="AN2" s="123" t="s">
        <v>37</v>
      </c>
      <c r="AP2" s="123" t="s">
        <v>38</v>
      </c>
      <c r="AR2" s="123" t="s">
        <v>161</v>
      </c>
      <c r="AT2" s="123" t="s">
        <v>39</v>
      </c>
      <c r="AV2" s="123" t="s">
        <v>40</v>
      </c>
      <c r="AX2" s="124">
        <v>1</v>
      </c>
      <c r="AY2" s="125">
        <v>50</v>
      </c>
      <c r="AZ2" s="125">
        <v>1</v>
      </c>
      <c r="BA2" s="126">
        <v>50</v>
      </c>
    </row>
    <row r="3" spans="1:53" s="127" customFormat="1" x14ac:dyDescent="0.15">
      <c r="A3" s="117" t="s">
        <v>51</v>
      </c>
      <c r="B3" s="117" t="s">
        <v>157</v>
      </c>
      <c r="C3" s="117">
        <v>2019</v>
      </c>
      <c r="D3" s="118" t="s">
        <v>260</v>
      </c>
      <c r="E3" s="117" t="s">
        <v>261</v>
      </c>
      <c r="F3" s="117" t="s">
        <v>262</v>
      </c>
      <c r="G3" s="117" t="s">
        <v>42</v>
      </c>
      <c r="H3" s="117" t="s">
        <v>165</v>
      </c>
      <c r="I3" s="117" t="s">
        <v>159</v>
      </c>
      <c r="J3" s="117" t="s">
        <v>38</v>
      </c>
      <c r="K3" s="117" t="s">
        <v>161</v>
      </c>
      <c r="L3" s="117">
        <v>2</v>
      </c>
      <c r="M3" s="117"/>
      <c r="N3" s="117">
        <v>1</v>
      </c>
      <c r="O3" s="117">
        <v>1.05</v>
      </c>
      <c r="P3" s="117">
        <v>1.1000000000000001</v>
      </c>
      <c r="Q3" s="119">
        <f t="shared" si="0"/>
        <v>1.0750000000000002</v>
      </c>
      <c r="R3" s="117">
        <v>14.1</v>
      </c>
      <c r="S3" s="117">
        <v>128</v>
      </c>
      <c r="T3" s="120">
        <f t="shared" si="1"/>
        <v>27</v>
      </c>
      <c r="U3" s="117">
        <v>98</v>
      </c>
      <c r="V3" s="121">
        <f t="shared" si="2"/>
        <v>2646</v>
      </c>
      <c r="W3" s="117">
        <v>6</v>
      </c>
      <c r="X3" s="117" t="s">
        <v>46</v>
      </c>
      <c r="Y3" s="117" t="s">
        <v>69</v>
      </c>
      <c r="Z3" s="117" t="s">
        <v>97</v>
      </c>
      <c r="AA3" s="117" t="s">
        <v>47</v>
      </c>
      <c r="AB3" s="149" t="s">
        <v>285</v>
      </c>
      <c r="AE3" s="128" t="s">
        <v>41</v>
      </c>
      <c r="AG3" s="123" t="s">
        <v>264</v>
      </c>
      <c r="AH3" s="123" t="s">
        <v>265</v>
      </c>
      <c r="AJ3" s="129" t="s">
        <v>42</v>
      </c>
      <c r="AL3" s="129" t="s">
        <v>188</v>
      </c>
      <c r="AN3" s="129" t="s">
        <v>43</v>
      </c>
      <c r="AP3" s="129" t="s">
        <v>44</v>
      </c>
      <c r="AR3" s="130" t="s">
        <v>45</v>
      </c>
      <c r="AT3" s="129" t="s">
        <v>46</v>
      </c>
      <c r="AV3" s="129" t="s">
        <v>47</v>
      </c>
      <c r="AX3" s="131">
        <v>72</v>
      </c>
      <c r="AY3" s="132">
        <v>46</v>
      </c>
      <c r="AZ3" s="132">
        <v>71</v>
      </c>
      <c r="BA3" s="133">
        <v>42</v>
      </c>
    </row>
    <row r="4" spans="1:53" s="127" customFormat="1" x14ac:dyDescent="0.15">
      <c r="A4" s="117" t="s">
        <v>51</v>
      </c>
      <c r="B4" s="117" t="s">
        <v>157</v>
      </c>
      <c r="C4" s="117">
        <v>2019</v>
      </c>
      <c r="D4" s="118" t="s">
        <v>260</v>
      </c>
      <c r="E4" s="117" t="s">
        <v>261</v>
      </c>
      <c r="F4" s="117" t="s">
        <v>262</v>
      </c>
      <c r="G4" s="117" t="s">
        <v>42</v>
      </c>
      <c r="H4" s="117" t="s">
        <v>165</v>
      </c>
      <c r="I4" s="117" t="s">
        <v>159</v>
      </c>
      <c r="J4" s="117" t="s">
        <v>38</v>
      </c>
      <c r="K4" s="117" t="s">
        <v>161</v>
      </c>
      <c r="L4" s="117">
        <v>3</v>
      </c>
      <c r="M4" s="117"/>
      <c r="N4" s="117">
        <v>1</v>
      </c>
      <c r="O4" s="117">
        <v>0.9</v>
      </c>
      <c r="P4" s="117">
        <v>1.05</v>
      </c>
      <c r="Q4" s="119">
        <f t="shared" si="0"/>
        <v>0.97500000000000009</v>
      </c>
      <c r="R4" s="117">
        <v>15.3</v>
      </c>
      <c r="S4" s="117">
        <v>135</v>
      </c>
      <c r="T4" s="120">
        <f t="shared" si="1"/>
        <v>25</v>
      </c>
      <c r="U4" s="117">
        <v>98</v>
      </c>
      <c r="V4" s="121">
        <f t="shared" si="2"/>
        <v>2450</v>
      </c>
      <c r="W4" s="117">
        <v>6</v>
      </c>
      <c r="X4" s="117" t="s">
        <v>46</v>
      </c>
      <c r="Y4" s="117" t="s">
        <v>69</v>
      </c>
      <c r="Z4" s="117" t="s">
        <v>97</v>
      </c>
      <c r="AA4" s="117" t="s">
        <v>47</v>
      </c>
      <c r="AB4" s="149" t="s">
        <v>285</v>
      </c>
      <c r="AE4" s="128" t="s">
        <v>34</v>
      </c>
      <c r="AG4" s="123" t="s">
        <v>266</v>
      </c>
      <c r="AH4" s="123" t="s">
        <v>267</v>
      </c>
      <c r="AJ4" s="134" t="s">
        <v>48</v>
      </c>
      <c r="AL4" s="134" t="s">
        <v>190</v>
      </c>
      <c r="AN4" s="135" t="s">
        <v>191</v>
      </c>
      <c r="AP4" s="129" t="s">
        <v>192</v>
      </c>
      <c r="AR4" s="130" t="s">
        <v>193</v>
      </c>
      <c r="AT4" s="135"/>
      <c r="AV4" s="129" t="s">
        <v>50</v>
      </c>
      <c r="AX4" s="131">
        <v>75</v>
      </c>
      <c r="AY4" s="132">
        <v>42</v>
      </c>
      <c r="AZ4" s="132">
        <v>76</v>
      </c>
      <c r="BA4" s="133">
        <v>39</v>
      </c>
    </row>
    <row r="5" spans="1:53" s="127" customFormat="1" x14ac:dyDescent="0.15">
      <c r="A5" s="117" t="s">
        <v>51</v>
      </c>
      <c r="B5" s="117" t="s">
        <v>157</v>
      </c>
      <c r="C5" s="117">
        <v>2019</v>
      </c>
      <c r="D5" s="118" t="s">
        <v>260</v>
      </c>
      <c r="E5" s="117" t="s">
        <v>261</v>
      </c>
      <c r="F5" s="117" t="s">
        <v>262</v>
      </c>
      <c r="G5" s="117" t="s">
        <v>42</v>
      </c>
      <c r="H5" s="117" t="s">
        <v>160</v>
      </c>
      <c r="I5" s="117" t="s">
        <v>159</v>
      </c>
      <c r="J5" s="117" t="s">
        <v>38</v>
      </c>
      <c r="K5" s="117" t="s">
        <v>161</v>
      </c>
      <c r="L5" s="117">
        <v>1</v>
      </c>
      <c r="M5" s="117"/>
      <c r="N5" s="117">
        <v>1</v>
      </c>
      <c r="O5" s="117">
        <v>0.9</v>
      </c>
      <c r="P5" s="117">
        <v>0.9</v>
      </c>
      <c r="Q5" s="119">
        <f t="shared" si="0"/>
        <v>0.9</v>
      </c>
      <c r="R5" s="117">
        <v>16.3</v>
      </c>
      <c r="S5" s="117">
        <v>132</v>
      </c>
      <c r="T5" s="120">
        <f t="shared" si="1"/>
        <v>25</v>
      </c>
      <c r="U5" s="117">
        <v>138</v>
      </c>
      <c r="V5" s="121">
        <f t="shared" si="2"/>
        <v>3450</v>
      </c>
      <c r="W5" s="117">
        <v>6</v>
      </c>
      <c r="X5" s="117" t="s">
        <v>46</v>
      </c>
      <c r="Y5" s="117" t="s">
        <v>69</v>
      </c>
      <c r="Z5" s="117" t="s">
        <v>97</v>
      </c>
      <c r="AA5" s="117" t="s">
        <v>47</v>
      </c>
      <c r="AB5" s="149" t="s">
        <v>285</v>
      </c>
      <c r="AE5" s="128" t="s">
        <v>51</v>
      </c>
      <c r="AG5" s="123" t="s">
        <v>268</v>
      </c>
      <c r="AH5" s="123" t="s">
        <v>262</v>
      </c>
      <c r="AJ5" s="135"/>
      <c r="AL5" s="136" t="s">
        <v>165</v>
      </c>
      <c r="AN5" s="136" t="s">
        <v>159</v>
      </c>
      <c r="AP5" s="129" t="s">
        <v>195</v>
      </c>
      <c r="AR5" s="130" t="s">
        <v>54</v>
      </c>
      <c r="AV5" s="129" t="s">
        <v>55</v>
      </c>
      <c r="AX5" s="131">
        <v>84</v>
      </c>
      <c r="AY5" s="132">
        <v>39</v>
      </c>
      <c r="AZ5" s="132">
        <v>84</v>
      </c>
      <c r="BA5" s="133">
        <v>36</v>
      </c>
    </row>
    <row r="6" spans="1:53" s="127" customFormat="1" x14ac:dyDescent="0.15">
      <c r="A6" s="117" t="s">
        <v>51</v>
      </c>
      <c r="B6" s="117" t="s">
        <v>157</v>
      </c>
      <c r="C6" s="117">
        <v>2019</v>
      </c>
      <c r="D6" s="118" t="s">
        <v>260</v>
      </c>
      <c r="E6" s="117" t="s">
        <v>261</v>
      </c>
      <c r="F6" s="117" t="s">
        <v>262</v>
      </c>
      <c r="G6" s="117" t="s">
        <v>42</v>
      </c>
      <c r="H6" s="117" t="s">
        <v>160</v>
      </c>
      <c r="I6" s="117" t="s">
        <v>159</v>
      </c>
      <c r="J6" s="117" t="s">
        <v>38</v>
      </c>
      <c r="K6" s="117" t="s">
        <v>161</v>
      </c>
      <c r="L6" s="117">
        <v>2</v>
      </c>
      <c r="M6" s="117"/>
      <c r="N6" s="117">
        <v>1</v>
      </c>
      <c r="O6" s="117">
        <v>0.85</v>
      </c>
      <c r="P6" s="117">
        <v>0.95</v>
      </c>
      <c r="Q6" s="119">
        <f t="shared" si="0"/>
        <v>0.89999999999999991</v>
      </c>
      <c r="R6" s="117">
        <v>16.5</v>
      </c>
      <c r="S6" s="117">
        <v>136</v>
      </c>
      <c r="T6" s="120">
        <f t="shared" si="1"/>
        <v>25</v>
      </c>
      <c r="U6" s="117">
        <v>138</v>
      </c>
      <c r="V6" s="121">
        <f t="shared" si="2"/>
        <v>3450</v>
      </c>
      <c r="W6" s="117">
        <v>6</v>
      </c>
      <c r="X6" s="117" t="s">
        <v>46</v>
      </c>
      <c r="Y6" s="117" t="s">
        <v>69</v>
      </c>
      <c r="Z6" s="117" t="s">
        <v>97</v>
      </c>
      <c r="AA6" s="117" t="s">
        <v>47</v>
      </c>
      <c r="AB6" s="149" t="s">
        <v>285</v>
      </c>
      <c r="AE6" s="128" t="s">
        <v>56</v>
      </c>
      <c r="AG6" s="123" t="s">
        <v>269</v>
      </c>
      <c r="AH6" s="123" t="s">
        <v>270</v>
      </c>
      <c r="AL6" s="136" t="s">
        <v>197</v>
      </c>
      <c r="AN6" s="136" t="s">
        <v>198</v>
      </c>
      <c r="AP6" s="129" t="s">
        <v>53</v>
      </c>
      <c r="AR6" s="130" t="s">
        <v>59</v>
      </c>
      <c r="AV6" s="129" t="s">
        <v>60</v>
      </c>
      <c r="AX6" s="131">
        <v>97</v>
      </c>
      <c r="AY6" s="132">
        <v>36</v>
      </c>
      <c r="AZ6" s="132">
        <v>99</v>
      </c>
      <c r="BA6" s="133">
        <v>33</v>
      </c>
    </row>
    <row r="7" spans="1:53" s="127" customFormat="1" x14ac:dyDescent="0.15">
      <c r="A7" s="117" t="s">
        <v>51</v>
      </c>
      <c r="B7" s="117" t="s">
        <v>157</v>
      </c>
      <c r="C7" s="117">
        <v>2019</v>
      </c>
      <c r="D7" s="118" t="s">
        <v>260</v>
      </c>
      <c r="E7" s="117" t="s">
        <v>261</v>
      </c>
      <c r="F7" s="117" t="s">
        <v>262</v>
      </c>
      <c r="G7" s="117" t="s">
        <v>42</v>
      </c>
      <c r="H7" s="117" t="s">
        <v>160</v>
      </c>
      <c r="I7" s="117" t="s">
        <v>159</v>
      </c>
      <c r="J7" s="117" t="s">
        <v>38</v>
      </c>
      <c r="K7" s="117" t="s">
        <v>161</v>
      </c>
      <c r="L7" s="117">
        <v>3</v>
      </c>
      <c r="M7" s="117"/>
      <c r="N7" s="117">
        <v>1</v>
      </c>
      <c r="O7" s="117">
        <v>0.95</v>
      </c>
      <c r="P7" s="117">
        <v>1</v>
      </c>
      <c r="Q7" s="119">
        <f t="shared" si="0"/>
        <v>0.97499999999999998</v>
      </c>
      <c r="R7" s="117">
        <v>16.2</v>
      </c>
      <c r="S7" s="117">
        <v>136</v>
      </c>
      <c r="T7" s="120">
        <f t="shared" si="1"/>
        <v>25</v>
      </c>
      <c r="U7" s="117">
        <v>138</v>
      </c>
      <c r="V7" s="121">
        <f t="shared" si="2"/>
        <v>3450</v>
      </c>
      <c r="W7" s="117">
        <v>6</v>
      </c>
      <c r="X7" s="117" t="s">
        <v>46</v>
      </c>
      <c r="Y7" s="117" t="s">
        <v>69</v>
      </c>
      <c r="Z7" s="117" t="s">
        <v>97</v>
      </c>
      <c r="AA7" s="117" t="s">
        <v>47</v>
      </c>
      <c r="AB7" s="149" t="s">
        <v>285</v>
      </c>
      <c r="AE7" s="128" t="s">
        <v>61</v>
      </c>
      <c r="AG7" s="123" t="s">
        <v>271</v>
      </c>
      <c r="AH7" s="123" t="s">
        <v>263</v>
      </c>
      <c r="AL7" s="127" t="s">
        <v>164</v>
      </c>
      <c r="AP7" s="129" t="s">
        <v>58</v>
      </c>
      <c r="AR7" s="130" t="s">
        <v>200</v>
      </c>
      <c r="AV7" s="129" t="s">
        <v>64</v>
      </c>
      <c r="AX7" s="131">
        <v>109</v>
      </c>
      <c r="AY7" s="132">
        <v>33</v>
      </c>
      <c r="AZ7" s="132">
        <v>113</v>
      </c>
      <c r="BA7" s="133">
        <v>30</v>
      </c>
    </row>
    <row r="8" spans="1:53" s="127" customFormat="1" x14ac:dyDescent="0.15">
      <c r="A8" s="117" t="s">
        <v>51</v>
      </c>
      <c r="B8" s="117" t="s">
        <v>157</v>
      </c>
      <c r="C8" s="117">
        <v>2019</v>
      </c>
      <c r="D8" s="118" t="s">
        <v>260</v>
      </c>
      <c r="E8" s="117" t="s">
        <v>264</v>
      </c>
      <c r="F8" s="117" t="s">
        <v>265</v>
      </c>
      <c r="G8" s="117" t="s">
        <v>36</v>
      </c>
      <c r="H8" s="117" t="s">
        <v>160</v>
      </c>
      <c r="I8" s="117" t="s">
        <v>159</v>
      </c>
      <c r="J8" s="117" t="s">
        <v>38</v>
      </c>
      <c r="K8" s="117" t="s">
        <v>161</v>
      </c>
      <c r="L8" s="117">
        <v>1</v>
      </c>
      <c r="M8" s="117"/>
      <c r="N8" s="117">
        <v>1</v>
      </c>
      <c r="O8" s="117">
        <v>0.75</v>
      </c>
      <c r="P8" s="117">
        <v>0.65</v>
      </c>
      <c r="Q8" s="119">
        <f t="shared" si="0"/>
        <v>0.7</v>
      </c>
      <c r="R8" s="117">
        <v>17.8</v>
      </c>
      <c r="S8" s="117">
        <v>134</v>
      </c>
      <c r="T8" s="120">
        <f t="shared" si="1"/>
        <v>25</v>
      </c>
      <c r="U8" s="117">
        <v>138</v>
      </c>
      <c r="V8" s="121">
        <f t="shared" si="2"/>
        <v>3450</v>
      </c>
      <c r="W8" s="117">
        <v>8</v>
      </c>
      <c r="X8" s="117" t="s">
        <v>46</v>
      </c>
      <c r="Y8" s="117" t="s">
        <v>47</v>
      </c>
      <c r="Z8" s="117" t="s">
        <v>69</v>
      </c>
      <c r="AA8" s="117" t="s">
        <v>55</v>
      </c>
      <c r="AB8" s="149" t="s">
        <v>285</v>
      </c>
      <c r="AE8" s="128" t="s">
        <v>59</v>
      </c>
      <c r="AG8" s="123" t="s">
        <v>272</v>
      </c>
      <c r="AH8" s="123" t="s">
        <v>273</v>
      </c>
      <c r="AL8" s="127" t="s">
        <v>160</v>
      </c>
      <c r="AP8" s="129" t="s">
        <v>62</v>
      </c>
      <c r="AR8" s="130" t="s">
        <v>81</v>
      </c>
      <c r="AV8" s="129" t="s">
        <v>97</v>
      </c>
      <c r="AX8" s="131">
        <v>119</v>
      </c>
      <c r="AY8" s="132">
        <v>30</v>
      </c>
      <c r="AZ8" s="132">
        <v>121</v>
      </c>
      <c r="BA8" s="133">
        <v>27</v>
      </c>
    </row>
    <row r="9" spans="1:53" s="127" customFormat="1" x14ac:dyDescent="0.15">
      <c r="A9" s="117" t="s">
        <v>51</v>
      </c>
      <c r="B9" s="117" t="s">
        <v>157</v>
      </c>
      <c r="C9" s="117">
        <v>2019</v>
      </c>
      <c r="D9" s="118" t="s">
        <v>260</v>
      </c>
      <c r="E9" s="117" t="s">
        <v>264</v>
      </c>
      <c r="F9" s="117" t="s">
        <v>265</v>
      </c>
      <c r="G9" s="117" t="s">
        <v>36</v>
      </c>
      <c r="H9" s="117" t="s">
        <v>160</v>
      </c>
      <c r="I9" s="117" t="s">
        <v>159</v>
      </c>
      <c r="J9" s="117" t="s">
        <v>38</v>
      </c>
      <c r="K9" s="117" t="s">
        <v>161</v>
      </c>
      <c r="L9" s="117">
        <v>2</v>
      </c>
      <c r="M9" s="117"/>
      <c r="N9" s="117">
        <v>1</v>
      </c>
      <c r="O9" s="117">
        <v>0.8</v>
      </c>
      <c r="P9" s="117">
        <v>0.75</v>
      </c>
      <c r="Q9" s="119">
        <f t="shared" si="0"/>
        <v>0.77500000000000002</v>
      </c>
      <c r="R9" s="117">
        <v>16.899999999999999</v>
      </c>
      <c r="S9" s="117">
        <v>134</v>
      </c>
      <c r="T9" s="120">
        <f t="shared" si="1"/>
        <v>25</v>
      </c>
      <c r="U9" s="117">
        <v>138</v>
      </c>
      <c r="V9" s="121">
        <f t="shared" si="2"/>
        <v>3450</v>
      </c>
      <c r="W9" s="117">
        <v>8</v>
      </c>
      <c r="X9" s="117" t="s">
        <v>46</v>
      </c>
      <c r="Y9" s="117" t="s">
        <v>47</v>
      </c>
      <c r="Z9" s="117" t="s">
        <v>69</v>
      </c>
      <c r="AA9" s="117" t="s">
        <v>55</v>
      </c>
      <c r="AB9" s="149" t="s">
        <v>285</v>
      </c>
      <c r="AE9" s="128" t="s">
        <v>203</v>
      </c>
      <c r="AG9" s="123" t="s">
        <v>274</v>
      </c>
      <c r="AH9" s="123" t="s">
        <v>262</v>
      </c>
      <c r="AL9" s="136"/>
      <c r="AP9" s="129" t="s">
        <v>95</v>
      </c>
      <c r="AR9" s="130" t="s">
        <v>206</v>
      </c>
      <c r="AV9" s="129" t="s">
        <v>102</v>
      </c>
      <c r="AX9" s="131">
        <v>128</v>
      </c>
      <c r="AY9" s="132">
        <v>27</v>
      </c>
      <c r="AZ9" s="132">
        <v>129</v>
      </c>
      <c r="BA9" s="133">
        <v>25</v>
      </c>
    </row>
    <row r="10" spans="1:53" s="127" customFormat="1" x14ac:dyDescent="0.15">
      <c r="A10" s="117" t="s">
        <v>51</v>
      </c>
      <c r="B10" s="117" t="s">
        <v>157</v>
      </c>
      <c r="C10" s="117">
        <v>2019</v>
      </c>
      <c r="D10" s="118" t="s">
        <v>260</v>
      </c>
      <c r="E10" s="117" t="s">
        <v>264</v>
      </c>
      <c r="F10" s="117" t="s">
        <v>265</v>
      </c>
      <c r="G10" s="117" t="s">
        <v>36</v>
      </c>
      <c r="H10" s="117" t="s">
        <v>160</v>
      </c>
      <c r="I10" s="117" t="s">
        <v>159</v>
      </c>
      <c r="J10" s="117" t="s">
        <v>38</v>
      </c>
      <c r="K10" s="117" t="s">
        <v>161</v>
      </c>
      <c r="L10" s="117">
        <v>3</v>
      </c>
      <c r="M10" s="117"/>
      <c r="N10" s="117">
        <v>1</v>
      </c>
      <c r="O10" s="117">
        <v>0.7</v>
      </c>
      <c r="P10" s="117">
        <v>0.6</v>
      </c>
      <c r="Q10" s="119">
        <f t="shared" si="0"/>
        <v>0.64999999999999991</v>
      </c>
      <c r="R10" s="117">
        <v>17.5</v>
      </c>
      <c r="S10" s="117">
        <v>132</v>
      </c>
      <c r="T10" s="120">
        <f t="shared" si="1"/>
        <v>25</v>
      </c>
      <c r="U10" s="117">
        <v>138</v>
      </c>
      <c r="V10" s="121">
        <f t="shared" si="2"/>
        <v>3450</v>
      </c>
      <c r="W10" s="117">
        <v>8</v>
      </c>
      <c r="X10" s="117" t="s">
        <v>46</v>
      </c>
      <c r="Y10" s="117" t="s">
        <v>47</v>
      </c>
      <c r="Z10" s="117" t="s">
        <v>69</v>
      </c>
      <c r="AA10" s="117" t="s">
        <v>55</v>
      </c>
      <c r="AB10" s="149" t="s">
        <v>285</v>
      </c>
      <c r="AE10" s="128" t="s">
        <v>207</v>
      </c>
      <c r="AG10" s="123" t="s">
        <v>261</v>
      </c>
      <c r="AH10" s="129" t="s">
        <v>262</v>
      </c>
      <c r="AP10" s="129" t="s">
        <v>100</v>
      </c>
      <c r="AR10" s="130" t="s">
        <v>209</v>
      </c>
      <c r="AV10" s="129" t="s">
        <v>106</v>
      </c>
      <c r="AX10" s="131">
        <v>138</v>
      </c>
      <c r="AY10" s="132">
        <v>25</v>
      </c>
      <c r="AZ10" s="132">
        <v>138</v>
      </c>
      <c r="BA10" s="133">
        <v>22</v>
      </c>
    </row>
    <row r="11" spans="1:53" s="127" customFormat="1" x14ac:dyDescent="0.15">
      <c r="A11" s="117" t="s">
        <v>51</v>
      </c>
      <c r="B11" s="117" t="s">
        <v>157</v>
      </c>
      <c r="C11" s="117">
        <v>2019</v>
      </c>
      <c r="D11" s="118" t="s">
        <v>260</v>
      </c>
      <c r="E11" s="117" t="s">
        <v>139</v>
      </c>
      <c r="F11" s="117" t="s">
        <v>275</v>
      </c>
      <c r="G11" s="117" t="s">
        <v>42</v>
      </c>
      <c r="H11" s="117" t="s">
        <v>186</v>
      </c>
      <c r="I11" s="117" t="s">
        <v>159</v>
      </c>
      <c r="J11" s="117" t="s">
        <v>53</v>
      </c>
      <c r="K11" s="117" t="s">
        <v>54</v>
      </c>
      <c r="L11" s="117">
        <v>1</v>
      </c>
      <c r="M11" s="117"/>
      <c r="N11" s="117">
        <v>1</v>
      </c>
      <c r="O11" s="117">
        <v>0.9</v>
      </c>
      <c r="P11" s="117">
        <v>0.85</v>
      </c>
      <c r="Q11" s="119">
        <f t="shared" si="0"/>
        <v>0.875</v>
      </c>
      <c r="R11" s="117">
        <v>15.7</v>
      </c>
      <c r="S11" s="117">
        <v>116</v>
      </c>
      <c r="T11" s="120">
        <f t="shared" si="1"/>
        <v>30</v>
      </c>
      <c r="U11" s="117">
        <v>98</v>
      </c>
      <c r="V11" s="121">
        <f t="shared" si="2"/>
        <v>2940</v>
      </c>
      <c r="W11" s="117">
        <v>23</v>
      </c>
      <c r="X11" s="117" t="s">
        <v>46</v>
      </c>
      <c r="Y11" s="117" t="s">
        <v>55</v>
      </c>
      <c r="Z11" s="117" t="s">
        <v>69</v>
      </c>
      <c r="AA11" s="117" t="s">
        <v>40</v>
      </c>
      <c r="AB11" s="149" t="s">
        <v>285</v>
      </c>
      <c r="AE11" s="128" t="s">
        <v>68</v>
      </c>
      <c r="AG11" s="123" t="s">
        <v>139</v>
      </c>
      <c r="AH11" s="129" t="s">
        <v>275</v>
      </c>
      <c r="AP11" s="129" t="s">
        <v>104</v>
      </c>
      <c r="AR11" s="130" t="s">
        <v>212</v>
      </c>
      <c r="AV11" s="129" t="s">
        <v>69</v>
      </c>
      <c r="AX11" s="131">
        <v>151</v>
      </c>
      <c r="AY11" s="132">
        <v>22</v>
      </c>
      <c r="AZ11" s="132">
        <v>152</v>
      </c>
      <c r="BA11" s="133">
        <v>18</v>
      </c>
    </row>
    <row r="12" spans="1:53" s="127" customFormat="1" x14ac:dyDescent="0.15">
      <c r="A12" s="117" t="s">
        <v>51</v>
      </c>
      <c r="B12" s="117" t="s">
        <v>157</v>
      </c>
      <c r="C12" s="117">
        <v>2019</v>
      </c>
      <c r="D12" s="118" t="s">
        <v>260</v>
      </c>
      <c r="E12" s="117" t="s">
        <v>139</v>
      </c>
      <c r="F12" s="117" t="s">
        <v>275</v>
      </c>
      <c r="G12" s="117" t="s">
        <v>42</v>
      </c>
      <c r="H12" s="117" t="s">
        <v>186</v>
      </c>
      <c r="I12" s="117" t="s">
        <v>159</v>
      </c>
      <c r="J12" s="117" t="s">
        <v>53</v>
      </c>
      <c r="K12" s="117" t="s">
        <v>54</v>
      </c>
      <c r="L12" s="117">
        <v>2</v>
      </c>
      <c r="M12" s="117"/>
      <c r="N12" s="117">
        <v>1</v>
      </c>
      <c r="O12" s="117">
        <v>0.8</v>
      </c>
      <c r="P12" s="117">
        <v>0.95</v>
      </c>
      <c r="Q12" s="119">
        <f t="shared" si="0"/>
        <v>0.875</v>
      </c>
      <c r="R12" s="117">
        <v>15.6</v>
      </c>
      <c r="S12" s="117">
        <v>118</v>
      </c>
      <c r="T12" s="120">
        <f t="shared" si="1"/>
        <v>30</v>
      </c>
      <c r="U12" s="117">
        <v>98</v>
      </c>
      <c r="V12" s="121">
        <f t="shared" si="2"/>
        <v>2940</v>
      </c>
      <c r="W12" s="117">
        <v>23</v>
      </c>
      <c r="X12" s="117" t="s">
        <v>46</v>
      </c>
      <c r="Y12" s="117" t="s">
        <v>55</v>
      </c>
      <c r="Z12" s="117" t="s">
        <v>69</v>
      </c>
      <c r="AA12" s="117" t="s">
        <v>40</v>
      </c>
      <c r="AB12" s="149" t="s">
        <v>285</v>
      </c>
      <c r="AE12" s="128" t="s">
        <v>213</v>
      </c>
      <c r="AG12" s="129"/>
      <c r="AH12" s="129"/>
      <c r="AP12" s="129" t="s">
        <v>67</v>
      </c>
      <c r="AR12" s="130" t="s">
        <v>214</v>
      </c>
      <c r="AV12" s="129" t="s">
        <v>72</v>
      </c>
      <c r="AX12" s="137">
        <v>180</v>
      </c>
      <c r="AY12" s="138">
        <v>18</v>
      </c>
      <c r="AZ12" s="138">
        <v>181</v>
      </c>
      <c r="BA12" s="139">
        <v>16</v>
      </c>
    </row>
    <row r="13" spans="1:53" s="127" customFormat="1" x14ac:dyDescent="0.15">
      <c r="A13" s="117" t="s">
        <v>51</v>
      </c>
      <c r="B13" s="117" t="s">
        <v>157</v>
      </c>
      <c r="C13" s="117">
        <v>2019</v>
      </c>
      <c r="D13" s="118" t="s">
        <v>260</v>
      </c>
      <c r="E13" s="117" t="s">
        <v>139</v>
      </c>
      <c r="F13" s="117" t="s">
        <v>275</v>
      </c>
      <c r="G13" s="117" t="s">
        <v>42</v>
      </c>
      <c r="H13" s="117" t="s">
        <v>186</v>
      </c>
      <c r="I13" s="117" t="s">
        <v>159</v>
      </c>
      <c r="J13" s="117" t="s">
        <v>53</v>
      </c>
      <c r="K13" s="117" t="s">
        <v>54</v>
      </c>
      <c r="L13" s="117">
        <v>3</v>
      </c>
      <c r="M13" s="117"/>
      <c r="N13" s="117">
        <v>1</v>
      </c>
      <c r="O13" s="117">
        <v>0.8</v>
      </c>
      <c r="P13" s="117">
        <v>0.8</v>
      </c>
      <c r="Q13" s="119">
        <f t="shared" si="0"/>
        <v>0.8</v>
      </c>
      <c r="R13" s="117">
        <v>16</v>
      </c>
      <c r="S13" s="117">
        <v>126</v>
      </c>
      <c r="T13" s="120">
        <f t="shared" si="1"/>
        <v>27</v>
      </c>
      <c r="U13" s="117">
        <v>98</v>
      </c>
      <c r="V13" s="121">
        <f t="shared" si="2"/>
        <v>2646</v>
      </c>
      <c r="W13" s="117">
        <v>23</v>
      </c>
      <c r="X13" s="117" t="s">
        <v>46</v>
      </c>
      <c r="Y13" s="117" t="s">
        <v>55</v>
      </c>
      <c r="Z13" s="117" t="s">
        <v>69</v>
      </c>
      <c r="AA13" s="117" t="s">
        <v>40</v>
      </c>
      <c r="AB13" s="149" t="s">
        <v>285</v>
      </c>
      <c r="AE13" s="128" t="s">
        <v>215</v>
      </c>
      <c r="AG13" s="129"/>
      <c r="AH13" s="129"/>
      <c r="AP13" s="129" t="s">
        <v>71</v>
      </c>
      <c r="AR13" s="130" t="s">
        <v>207</v>
      </c>
      <c r="AV13" s="129" t="s">
        <v>75</v>
      </c>
    </row>
    <row r="14" spans="1:53" s="127" customFormat="1" x14ac:dyDescent="0.15">
      <c r="A14" s="117" t="s">
        <v>51</v>
      </c>
      <c r="B14" s="117" t="s">
        <v>157</v>
      </c>
      <c r="C14" s="117">
        <v>2019</v>
      </c>
      <c r="D14" s="118" t="s">
        <v>260</v>
      </c>
      <c r="E14" s="117" t="s">
        <v>139</v>
      </c>
      <c r="F14" s="117" t="s">
        <v>275</v>
      </c>
      <c r="G14" s="117" t="s">
        <v>42</v>
      </c>
      <c r="H14" s="117" t="s">
        <v>160</v>
      </c>
      <c r="I14" s="117" t="s">
        <v>159</v>
      </c>
      <c r="J14" s="117" t="s">
        <v>38</v>
      </c>
      <c r="K14" s="117" t="s">
        <v>161</v>
      </c>
      <c r="L14" s="117">
        <v>1</v>
      </c>
      <c r="M14" s="117"/>
      <c r="N14" s="117">
        <v>1</v>
      </c>
      <c r="O14" s="117">
        <v>0.7</v>
      </c>
      <c r="P14" s="117">
        <v>0.6</v>
      </c>
      <c r="Q14" s="119">
        <f t="shared" si="0"/>
        <v>0.64999999999999991</v>
      </c>
      <c r="R14" s="117">
        <v>15.9</v>
      </c>
      <c r="S14" s="117">
        <v>116</v>
      </c>
      <c r="T14" s="120">
        <f t="shared" si="1"/>
        <v>30</v>
      </c>
      <c r="U14" s="117">
        <v>98</v>
      </c>
      <c r="V14" s="121">
        <f t="shared" si="2"/>
        <v>2940</v>
      </c>
      <c r="W14" s="117">
        <v>23</v>
      </c>
      <c r="X14" s="117" t="s">
        <v>46</v>
      </c>
      <c r="Y14" s="117" t="s">
        <v>55</v>
      </c>
      <c r="Z14" s="117" t="s">
        <v>69</v>
      </c>
      <c r="AA14" s="117" t="s">
        <v>40</v>
      </c>
      <c r="AB14" s="149" t="s">
        <v>285</v>
      </c>
      <c r="AE14" s="128" t="s">
        <v>96</v>
      </c>
      <c r="AG14" s="129"/>
      <c r="AH14" s="129"/>
      <c r="AP14" s="129" t="s">
        <v>74</v>
      </c>
      <c r="AR14" s="130" t="s">
        <v>216</v>
      </c>
      <c r="AV14" s="129" t="s">
        <v>78</v>
      </c>
    </row>
    <row r="15" spans="1:53" s="127" customFormat="1" x14ac:dyDescent="0.15">
      <c r="A15" s="117" t="s">
        <v>51</v>
      </c>
      <c r="B15" s="117" t="s">
        <v>157</v>
      </c>
      <c r="C15" s="117">
        <v>2019</v>
      </c>
      <c r="D15" s="118" t="s">
        <v>260</v>
      </c>
      <c r="E15" s="117" t="s">
        <v>139</v>
      </c>
      <c r="F15" s="117" t="s">
        <v>275</v>
      </c>
      <c r="G15" s="117" t="s">
        <v>42</v>
      </c>
      <c r="H15" s="117" t="s">
        <v>160</v>
      </c>
      <c r="I15" s="117" t="s">
        <v>159</v>
      </c>
      <c r="J15" s="117" t="s">
        <v>38</v>
      </c>
      <c r="K15" s="117" t="s">
        <v>161</v>
      </c>
      <c r="L15" s="117">
        <v>2</v>
      </c>
      <c r="M15" s="117"/>
      <c r="N15" s="117">
        <v>1</v>
      </c>
      <c r="O15" s="117">
        <v>0.6</v>
      </c>
      <c r="P15" s="117">
        <v>0.55000000000000004</v>
      </c>
      <c r="Q15" s="119">
        <f t="shared" si="0"/>
        <v>0.57499999999999996</v>
      </c>
      <c r="R15" s="117">
        <v>15.4</v>
      </c>
      <c r="S15" s="117">
        <v>110</v>
      </c>
      <c r="T15" s="120">
        <f t="shared" si="1"/>
        <v>33</v>
      </c>
      <c r="U15" s="117">
        <v>98</v>
      </c>
      <c r="V15" s="121">
        <f t="shared" si="2"/>
        <v>3234</v>
      </c>
      <c r="W15" s="117">
        <v>23</v>
      </c>
      <c r="X15" s="117" t="s">
        <v>46</v>
      </c>
      <c r="Y15" s="117" t="s">
        <v>55</v>
      </c>
      <c r="Z15" s="117" t="s">
        <v>69</v>
      </c>
      <c r="AA15" s="117" t="s">
        <v>40</v>
      </c>
      <c r="AB15" s="149" t="s">
        <v>285</v>
      </c>
      <c r="AE15" s="128" t="s">
        <v>217</v>
      </c>
      <c r="AG15" s="129"/>
      <c r="AH15" s="129"/>
      <c r="AP15" s="129" t="s">
        <v>77</v>
      </c>
      <c r="AR15" s="130" t="s">
        <v>80</v>
      </c>
      <c r="AV15" s="129" t="s">
        <v>107</v>
      </c>
    </row>
    <row r="16" spans="1:53" s="127" customFormat="1" x14ac:dyDescent="0.15">
      <c r="A16" s="117" t="s">
        <v>51</v>
      </c>
      <c r="B16" s="117" t="s">
        <v>157</v>
      </c>
      <c r="C16" s="117">
        <v>2019</v>
      </c>
      <c r="D16" s="118" t="s">
        <v>260</v>
      </c>
      <c r="E16" s="117" t="s">
        <v>139</v>
      </c>
      <c r="F16" s="117" t="s">
        <v>275</v>
      </c>
      <c r="G16" s="117" t="s">
        <v>42</v>
      </c>
      <c r="H16" s="117" t="s">
        <v>160</v>
      </c>
      <c r="I16" s="117" t="s">
        <v>159</v>
      </c>
      <c r="J16" s="117" t="s">
        <v>38</v>
      </c>
      <c r="K16" s="117" t="s">
        <v>161</v>
      </c>
      <c r="L16" s="117">
        <v>3</v>
      </c>
      <c r="M16" s="117"/>
      <c r="N16" s="117">
        <v>1</v>
      </c>
      <c r="O16" s="117">
        <v>0.5</v>
      </c>
      <c r="P16" s="117">
        <v>0.65</v>
      </c>
      <c r="Q16" s="119">
        <f t="shared" si="0"/>
        <v>0.57499999999999996</v>
      </c>
      <c r="R16" s="117">
        <v>15.8</v>
      </c>
      <c r="S16" s="117">
        <v>110</v>
      </c>
      <c r="T16" s="120">
        <f t="shared" si="1"/>
        <v>33</v>
      </c>
      <c r="U16" s="117">
        <v>98</v>
      </c>
      <c r="V16" s="121">
        <f t="shared" si="2"/>
        <v>3234</v>
      </c>
      <c r="W16" s="117">
        <v>23</v>
      </c>
      <c r="X16" s="117" t="s">
        <v>46</v>
      </c>
      <c r="Y16" s="117" t="s">
        <v>55</v>
      </c>
      <c r="Z16" s="117" t="s">
        <v>69</v>
      </c>
      <c r="AA16" s="117" t="s">
        <v>40</v>
      </c>
      <c r="AB16" s="149" t="s">
        <v>285</v>
      </c>
      <c r="AE16" s="128" t="s">
        <v>218</v>
      </c>
      <c r="AG16" s="135"/>
      <c r="AH16" s="135"/>
      <c r="AP16" s="129" t="s">
        <v>80</v>
      </c>
      <c r="AR16" s="130" t="s">
        <v>63</v>
      </c>
      <c r="AV16" s="129" t="s">
        <v>84</v>
      </c>
    </row>
    <row r="17" spans="1:48" s="127" customFormat="1" x14ac:dyDescent="0.15">
      <c r="A17" s="117" t="s">
        <v>51</v>
      </c>
      <c r="B17" s="117" t="s">
        <v>157</v>
      </c>
      <c r="C17" s="117">
        <v>2019</v>
      </c>
      <c r="D17" s="118" t="s">
        <v>260</v>
      </c>
      <c r="E17" s="117" t="s">
        <v>269</v>
      </c>
      <c r="F17" s="117" t="s">
        <v>265</v>
      </c>
      <c r="G17" s="117" t="s">
        <v>36</v>
      </c>
      <c r="H17" s="117" t="s">
        <v>165</v>
      </c>
      <c r="I17" s="117" t="s">
        <v>159</v>
      </c>
      <c r="J17" s="117" t="s">
        <v>38</v>
      </c>
      <c r="K17" s="117" t="s">
        <v>161</v>
      </c>
      <c r="L17" s="117">
        <v>1</v>
      </c>
      <c r="M17" s="117"/>
      <c r="N17" s="117">
        <v>1</v>
      </c>
      <c r="O17" s="117">
        <v>0.75</v>
      </c>
      <c r="P17" s="117">
        <v>0.9</v>
      </c>
      <c r="Q17" s="119">
        <f t="shared" si="0"/>
        <v>0.82499999999999996</v>
      </c>
      <c r="R17" s="117">
        <v>15.4</v>
      </c>
      <c r="S17" s="117">
        <v>142</v>
      </c>
      <c r="T17" s="120">
        <f t="shared" si="1"/>
        <v>22</v>
      </c>
      <c r="U17" s="117">
        <v>128</v>
      </c>
      <c r="V17" s="121">
        <f t="shared" si="2"/>
        <v>2816</v>
      </c>
      <c r="W17" s="117">
        <v>8</v>
      </c>
      <c r="X17" s="117" t="s">
        <v>46</v>
      </c>
      <c r="Y17" s="117" t="s">
        <v>47</v>
      </c>
      <c r="Z17" s="117" t="s">
        <v>69</v>
      </c>
      <c r="AA17" s="117" t="s">
        <v>55</v>
      </c>
      <c r="AB17" s="149" t="s">
        <v>285</v>
      </c>
      <c r="AE17" s="128" t="s">
        <v>219</v>
      </c>
      <c r="AP17" s="140" t="s">
        <v>220</v>
      </c>
      <c r="AR17" s="130" t="s">
        <v>96</v>
      </c>
      <c r="AV17" s="129" t="s">
        <v>86</v>
      </c>
    </row>
    <row r="18" spans="1:48" s="127" customFormat="1" x14ac:dyDescent="0.15">
      <c r="A18" s="117" t="s">
        <v>51</v>
      </c>
      <c r="B18" s="117" t="s">
        <v>157</v>
      </c>
      <c r="C18" s="117">
        <v>2019</v>
      </c>
      <c r="D18" s="118" t="s">
        <v>260</v>
      </c>
      <c r="E18" s="117" t="s">
        <v>269</v>
      </c>
      <c r="F18" s="117" t="s">
        <v>265</v>
      </c>
      <c r="G18" s="117" t="s">
        <v>36</v>
      </c>
      <c r="H18" s="117" t="s">
        <v>165</v>
      </c>
      <c r="I18" s="117" t="s">
        <v>159</v>
      </c>
      <c r="J18" s="117" t="s">
        <v>38</v>
      </c>
      <c r="K18" s="117" t="s">
        <v>161</v>
      </c>
      <c r="L18" s="117">
        <v>2</v>
      </c>
      <c r="M18" s="117"/>
      <c r="N18" s="117">
        <v>1</v>
      </c>
      <c r="O18" s="117">
        <v>0.85</v>
      </c>
      <c r="P18" s="117">
        <v>0.75</v>
      </c>
      <c r="Q18" s="119">
        <f>IF(OR(O18="",P18=""),"",AVERAGE(O18,P18))</f>
        <v>0.8</v>
      </c>
      <c r="R18" s="117">
        <v>15.5</v>
      </c>
      <c r="S18" s="117">
        <v>146</v>
      </c>
      <c r="T18" s="120">
        <f t="shared" si="1"/>
        <v>22</v>
      </c>
      <c r="U18" s="117">
        <v>128</v>
      </c>
      <c r="V18" s="121">
        <f t="shared" si="2"/>
        <v>2816</v>
      </c>
      <c r="W18" s="117">
        <v>8</v>
      </c>
      <c r="X18" s="117" t="s">
        <v>46</v>
      </c>
      <c r="Y18" s="117" t="s">
        <v>47</v>
      </c>
      <c r="Z18" s="117" t="s">
        <v>69</v>
      </c>
      <c r="AA18" s="117" t="s">
        <v>55</v>
      </c>
      <c r="AB18" s="149" t="s">
        <v>285</v>
      </c>
      <c r="AE18" s="128" t="s">
        <v>212</v>
      </c>
      <c r="AP18" s="140" t="s">
        <v>221</v>
      </c>
      <c r="AR18" s="130" t="s">
        <v>101</v>
      </c>
      <c r="AV18" s="129" t="s">
        <v>88</v>
      </c>
    </row>
    <row r="19" spans="1:48" s="127" customFormat="1" x14ac:dyDescent="0.15">
      <c r="A19" s="117" t="s">
        <v>51</v>
      </c>
      <c r="B19" s="117" t="s">
        <v>157</v>
      </c>
      <c r="C19" s="117">
        <v>2019</v>
      </c>
      <c r="D19" s="118" t="s">
        <v>260</v>
      </c>
      <c r="E19" s="117" t="s">
        <v>269</v>
      </c>
      <c r="F19" s="117" t="s">
        <v>265</v>
      </c>
      <c r="G19" s="117" t="s">
        <v>36</v>
      </c>
      <c r="H19" s="117" t="s">
        <v>165</v>
      </c>
      <c r="I19" s="117" t="s">
        <v>159</v>
      </c>
      <c r="J19" s="117" t="s">
        <v>38</v>
      </c>
      <c r="K19" s="117" t="s">
        <v>161</v>
      </c>
      <c r="L19" s="117">
        <v>3</v>
      </c>
      <c r="M19" s="117"/>
      <c r="N19" s="117">
        <v>1</v>
      </c>
      <c r="O19" s="117">
        <v>0.8</v>
      </c>
      <c r="P19" s="117">
        <v>0.8</v>
      </c>
      <c r="Q19" s="119">
        <f t="shared" si="0"/>
        <v>0.8</v>
      </c>
      <c r="R19" s="117">
        <v>15.7</v>
      </c>
      <c r="S19" s="117">
        <v>144</v>
      </c>
      <c r="T19" s="120">
        <f t="shared" si="1"/>
        <v>22</v>
      </c>
      <c r="U19" s="117">
        <v>128</v>
      </c>
      <c r="V19" s="121">
        <f t="shared" si="2"/>
        <v>2816</v>
      </c>
      <c r="W19" s="117">
        <v>8</v>
      </c>
      <c r="X19" s="117" t="s">
        <v>46</v>
      </c>
      <c r="Y19" s="117" t="s">
        <v>47</v>
      </c>
      <c r="Z19" s="117" t="s">
        <v>69</v>
      </c>
      <c r="AA19" s="117" t="s">
        <v>55</v>
      </c>
      <c r="AB19" s="149" t="s">
        <v>285</v>
      </c>
      <c r="AE19" s="141" t="s">
        <v>206</v>
      </c>
      <c r="AP19" s="140" t="s">
        <v>222</v>
      </c>
      <c r="AR19" s="130" t="s">
        <v>223</v>
      </c>
      <c r="AV19" s="129" t="s">
        <v>90</v>
      </c>
    </row>
    <row r="20" spans="1:48" s="127" customFormat="1" x14ac:dyDescent="0.15">
      <c r="A20" s="117" t="s">
        <v>51</v>
      </c>
      <c r="B20" s="117" t="s">
        <v>157</v>
      </c>
      <c r="C20" s="117">
        <v>2019</v>
      </c>
      <c r="D20" s="118" t="s">
        <v>260</v>
      </c>
      <c r="E20" s="117" t="s">
        <v>269</v>
      </c>
      <c r="F20" s="117" t="s">
        <v>265</v>
      </c>
      <c r="G20" s="117" t="s">
        <v>36</v>
      </c>
      <c r="H20" s="117" t="s">
        <v>160</v>
      </c>
      <c r="I20" s="117" t="s">
        <v>159</v>
      </c>
      <c r="J20" s="117" t="s">
        <v>38</v>
      </c>
      <c r="K20" s="117" t="s">
        <v>161</v>
      </c>
      <c r="L20" s="117">
        <v>1</v>
      </c>
      <c r="M20" s="117"/>
      <c r="N20" s="117">
        <v>1</v>
      </c>
      <c r="O20" s="117">
        <v>0.7</v>
      </c>
      <c r="P20" s="117">
        <v>0.75</v>
      </c>
      <c r="Q20" s="119">
        <f t="shared" si="0"/>
        <v>0.72499999999999998</v>
      </c>
      <c r="R20" s="117">
        <v>17.600000000000001</v>
      </c>
      <c r="S20" s="117">
        <v>146</v>
      </c>
      <c r="T20" s="120">
        <f t="shared" si="1"/>
        <v>22</v>
      </c>
      <c r="U20" s="117">
        <v>128</v>
      </c>
      <c r="V20" s="121">
        <f t="shared" si="2"/>
        <v>2816</v>
      </c>
      <c r="W20" s="117">
        <v>8</v>
      </c>
      <c r="X20" s="117" t="s">
        <v>46</v>
      </c>
      <c r="Y20" s="117" t="s">
        <v>47</v>
      </c>
      <c r="Z20" s="117" t="s">
        <v>69</v>
      </c>
      <c r="AA20" s="117" t="s">
        <v>55</v>
      </c>
      <c r="AB20" s="149" t="s">
        <v>285</v>
      </c>
      <c r="AE20" s="141"/>
      <c r="AP20" s="140" t="s">
        <v>224</v>
      </c>
      <c r="AR20" s="130" t="s">
        <v>105</v>
      </c>
      <c r="AV20" s="134" t="s">
        <v>225</v>
      </c>
    </row>
    <row r="21" spans="1:48" s="127" customFormat="1" x14ac:dyDescent="0.15">
      <c r="A21" s="117" t="s">
        <v>51</v>
      </c>
      <c r="B21" s="117" t="s">
        <v>157</v>
      </c>
      <c r="C21" s="117">
        <v>2019</v>
      </c>
      <c r="D21" s="118" t="s">
        <v>260</v>
      </c>
      <c r="E21" s="117" t="s">
        <v>269</v>
      </c>
      <c r="F21" s="117" t="s">
        <v>265</v>
      </c>
      <c r="G21" s="117" t="s">
        <v>36</v>
      </c>
      <c r="H21" s="117" t="s">
        <v>160</v>
      </c>
      <c r="I21" s="117" t="s">
        <v>159</v>
      </c>
      <c r="J21" s="117" t="s">
        <v>38</v>
      </c>
      <c r="K21" s="117" t="s">
        <v>161</v>
      </c>
      <c r="L21" s="117">
        <v>2</v>
      </c>
      <c r="M21" s="117"/>
      <c r="N21" s="117">
        <v>1</v>
      </c>
      <c r="O21" s="117">
        <v>0.6</v>
      </c>
      <c r="P21" s="117">
        <v>0.6</v>
      </c>
      <c r="Q21" s="119">
        <f t="shared" si="0"/>
        <v>0.6</v>
      </c>
      <c r="R21" s="117">
        <v>16.8</v>
      </c>
      <c r="S21" s="117">
        <v>140</v>
      </c>
      <c r="T21" s="120">
        <f t="shared" si="1"/>
        <v>22</v>
      </c>
      <c r="U21" s="117">
        <v>128</v>
      </c>
      <c r="V21" s="121">
        <f t="shared" si="2"/>
        <v>2816</v>
      </c>
      <c r="W21" s="117">
        <v>8</v>
      </c>
      <c r="X21" s="117" t="s">
        <v>46</v>
      </c>
      <c r="Y21" s="117" t="s">
        <v>47</v>
      </c>
      <c r="Z21" s="117" t="s">
        <v>69</v>
      </c>
      <c r="AA21" s="117" t="s">
        <v>55</v>
      </c>
      <c r="AB21" s="149" t="s">
        <v>285</v>
      </c>
      <c r="AE21" s="135"/>
      <c r="AP21" s="140" t="s">
        <v>226</v>
      </c>
      <c r="AR21" s="130" t="s">
        <v>68</v>
      </c>
      <c r="AV21" s="134" t="s">
        <v>227</v>
      </c>
    </row>
    <row r="22" spans="1:48" s="127" customFormat="1" x14ac:dyDescent="0.15">
      <c r="A22" s="117" t="s">
        <v>51</v>
      </c>
      <c r="B22" s="117" t="s">
        <v>157</v>
      </c>
      <c r="C22" s="117">
        <v>2019</v>
      </c>
      <c r="D22" s="118" t="s">
        <v>260</v>
      </c>
      <c r="E22" s="117" t="s">
        <v>269</v>
      </c>
      <c r="F22" s="117" t="s">
        <v>265</v>
      </c>
      <c r="G22" s="117" t="s">
        <v>36</v>
      </c>
      <c r="H22" s="117" t="s">
        <v>160</v>
      </c>
      <c r="I22" s="117" t="s">
        <v>159</v>
      </c>
      <c r="J22" s="117" t="s">
        <v>38</v>
      </c>
      <c r="K22" s="117" t="s">
        <v>161</v>
      </c>
      <c r="L22" s="117">
        <v>3</v>
      </c>
      <c r="M22" s="117"/>
      <c r="N22" s="117">
        <v>1</v>
      </c>
      <c r="O22" s="117">
        <v>0.55000000000000004</v>
      </c>
      <c r="P22" s="117">
        <v>0.65</v>
      </c>
      <c r="Q22" s="119">
        <f t="shared" si="0"/>
        <v>0.60000000000000009</v>
      </c>
      <c r="R22" s="117">
        <v>16.5</v>
      </c>
      <c r="S22" s="117">
        <v>138</v>
      </c>
      <c r="T22" s="120">
        <f t="shared" si="1"/>
        <v>22</v>
      </c>
      <c r="U22" s="117">
        <v>128</v>
      </c>
      <c r="V22" s="121">
        <f t="shared" si="2"/>
        <v>2816</v>
      </c>
      <c r="W22" s="117">
        <v>8</v>
      </c>
      <c r="X22" s="117" t="s">
        <v>46</v>
      </c>
      <c r="Y22" s="117" t="s">
        <v>47</v>
      </c>
      <c r="Z22" s="117" t="s">
        <v>69</v>
      </c>
      <c r="AA22" s="117" t="s">
        <v>55</v>
      </c>
      <c r="AB22" s="149" t="s">
        <v>285</v>
      </c>
      <c r="AP22" s="140" t="s">
        <v>228</v>
      </c>
      <c r="AR22" s="130" t="s">
        <v>83</v>
      </c>
      <c r="AV22" s="134"/>
    </row>
    <row r="23" spans="1:48" s="127" customFormat="1" x14ac:dyDescent="0.15">
      <c r="A23" s="117" t="s">
        <v>51</v>
      </c>
      <c r="B23" s="117" t="s">
        <v>157</v>
      </c>
      <c r="C23" s="117">
        <v>2019</v>
      </c>
      <c r="D23" s="118" t="s">
        <v>260</v>
      </c>
      <c r="E23" s="117" t="s">
        <v>210</v>
      </c>
      <c r="F23" s="117" t="s">
        <v>263</v>
      </c>
      <c r="G23" s="117" t="s">
        <v>42</v>
      </c>
      <c r="H23" s="117" t="s">
        <v>165</v>
      </c>
      <c r="I23" s="117" t="s">
        <v>159</v>
      </c>
      <c r="J23" s="117" t="s">
        <v>38</v>
      </c>
      <c r="K23" s="117" t="s">
        <v>161</v>
      </c>
      <c r="L23" s="117">
        <v>1</v>
      </c>
      <c r="M23" s="117"/>
      <c r="N23" s="117">
        <v>1</v>
      </c>
      <c r="O23" s="117">
        <v>0.6</v>
      </c>
      <c r="P23" s="117">
        <v>0.6</v>
      </c>
      <c r="Q23" s="119">
        <f t="shared" si="0"/>
        <v>0.6</v>
      </c>
      <c r="R23" s="117">
        <v>16.3</v>
      </c>
      <c r="S23" s="117">
        <v>120</v>
      </c>
      <c r="T23" s="120">
        <f t="shared" si="1"/>
        <v>30</v>
      </c>
      <c r="U23" s="117">
        <v>127</v>
      </c>
      <c r="V23" s="121">
        <f t="shared" si="2"/>
        <v>3810</v>
      </c>
      <c r="W23" s="117">
        <v>28</v>
      </c>
      <c r="X23" s="117" t="s">
        <v>46</v>
      </c>
      <c r="Y23" s="117" t="s">
        <v>55</v>
      </c>
      <c r="Z23" s="117" t="s">
        <v>69</v>
      </c>
      <c r="AA23" s="117" t="s">
        <v>40</v>
      </c>
      <c r="AB23" s="149" t="s">
        <v>285</v>
      </c>
      <c r="AP23" s="140" t="s">
        <v>276</v>
      </c>
      <c r="AR23" s="130" t="s">
        <v>61</v>
      </c>
    </row>
    <row r="24" spans="1:48" s="127" customFormat="1" x14ac:dyDescent="0.15">
      <c r="A24" s="117" t="s">
        <v>51</v>
      </c>
      <c r="B24" s="117" t="s">
        <v>157</v>
      </c>
      <c r="C24" s="117">
        <v>2019</v>
      </c>
      <c r="D24" s="118" t="s">
        <v>260</v>
      </c>
      <c r="E24" s="117" t="s">
        <v>210</v>
      </c>
      <c r="F24" s="117" t="s">
        <v>263</v>
      </c>
      <c r="G24" s="117" t="s">
        <v>42</v>
      </c>
      <c r="H24" s="117" t="s">
        <v>165</v>
      </c>
      <c r="I24" s="117" t="s">
        <v>159</v>
      </c>
      <c r="J24" s="117" t="s">
        <v>38</v>
      </c>
      <c r="K24" s="117" t="s">
        <v>161</v>
      </c>
      <c r="L24" s="117">
        <v>2</v>
      </c>
      <c r="M24" s="117"/>
      <c r="N24" s="117">
        <v>1</v>
      </c>
      <c r="O24" s="117">
        <v>0.65</v>
      </c>
      <c r="P24" s="117">
        <v>0.75</v>
      </c>
      <c r="Q24" s="119">
        <f t="shared" si="0"/>
        <v>0.7</v>
      </c>
      <c r="R24" s="117">
        <v>16.7</v>
      </c>
      <c r="S24" s="117">
        <v>130</v>
      </c>
      <c r="T24" s="120">
        <f t="shared" si="1"/>
        <v>25</v>
      </c>
      <c r="U24" s="117">
        <v>127</v>
      </c>
      <c r="V24" s="121">
        <f t="shared" si="2"/>
        <v>3175</v>
      </c>
      <c r="W24" s="117">
        <v>28</v>
      </c>
      <c r="X24" s="117" t="s">
        <v>46</v>
      </c>
      <c r="Y24" s="117" t="s">
        <v>55</v>
      </c>
      <c r="Z24" s="117" t="s">
        <v>69</v>
      </c>
      <c r="AA24" s="117" t="s">
        <v>40</v>
      </c>
      <c r="AB24" s="149" t="s">
        <v>285</v>
      </c>
      <c r="AP24" s="140" t="s">
        <v>277</v>
      </c>
      <c r="AR24" s="130" t="s">
        <v>91</v>
      </c>
    </row>
    <row r="25" spans="1:48" s="127" customFormat="1" x14ac:dyDescent="0.15">
      <c r="A25" s="117" t="s">
        <v>51</v>
      </c>
      <c r="B25" s="117" t="s">
        <v>157</v>
      </c>
      <c r="C25" s="117">
        <v>2019</v>
      </c>
      <c r="D25" s="118" t="s">
        <v>260</v>
      </c>
      <c r="E25" s="117" t="s">
        <v>210</v>
      </c>
      <c r="F25" s="117" t="s">
        <v>263</v>
      </c>
      <c r="G25" s="117" t="s">
        <v>42</v>
      </c>
      <c r="H25" s="117" t="s">
        <v>165</v>
      </c>
      <c r="I25" s="117" t="s">
        <v>159</v>
      </c>
      <c r="J25" s="117" t="s">
        <v>38</v>
      </c>
      <c r="K25" s="117" t="s">
        <v>161</v>
      </c>
      <c r="L25" s="117">
        <v>3</v>
      </c>
      <c r="M25" s="117"/>
      <c r="N25" s="117">
        <v>1</v>
      </c>
      <c r="O25" s="117">
        <v>0.7</v>
      </c>
      <c r="P25" s="117">
        <v>0.65</v>
      </c>
      <c r="Q25" s="119">
        <f t="shared" si="0"/>
        <v>0.67500000000000004</v>
      </c>
      <c r="R25" s="117">
        <v>16.5</v>
      </c>
      <c r="S25" s="117">
        <v>124</v>
      </c>
      <c r="T25" s="120">
        <f t="shared" si="1"/>
        <v>27</v>
      </c>
      <c r="U25" s="117">
        <v>127</v>
      </c>
      <c r="V25" s="121">
        <f t="shared" si="2"/>
        <v>3429</v>
      </c>
      <c r="W25" s="117">
        <v>28</v>
      </c>
      <c r="X25" s="117" t="s">
        <v>46</v>
      </c>
      <c r="Y25" s="117" t="s">
        <v>55</v>
      </c>
      <c r="Z25" s="117" t="s">
        <v>69</v>
      </c>
      <c r="AA25" s="117" t="s">
        <v>40</v>
      </c>
      <c r="AB25" s="149" t="s">
        <v>285</v>
      </c>
      <c r="AP25" s="140" t="s">
        <v>278</v>
      </c>
      <c r="AR25" s="140" t="s">
        <v>51</v>
      </c>
    </row>
    <row r="26" spans="1:48" s="127" customFormat="1" x14ac:dyDescent="0.15">
      <c r="A26" s="117" t="s">
        <v>51</v>
      </c>
      <c r="B26" s="117" t="s">
        <v>157</v>
      </c>
      <c r="C26" s="117">
        <v>2019</v>
      </c>
      <c r="D26" s="118" t="s">
        <v>260</v>
      </c>
      <c r="E26" s="117" t="s">
        <v>210</v>
      </c>
      <c r="F26" s="117" t="s">
        <v>263</v>
      </c>
      <c r="G26" s="117" t="s">
        <v>42</v>
      </c>
      <c r="H26" s="117" t="s">
        <v>160</v>
      </c>
      <c r="I26" s="117" t="s">
        <v>159</v>
      </c>
      <c r="J26" s="117" t="s">
        <v>38</v>
      </c>
      <c r="K26" s="117" t="s">
        <v>161</v>
      </c>
      <c r="L26" s="117">
        <v>1</v>
      </c>
      <c r="M26" s="117"/>
      <c r="N26" s="117">
        <v>1</v>
      </c>
      <c r="O26" s="117">
        <v>0.75</v>
      </c>
      <c r="P26" s="117">
        <v>0.7</v>
      </c>
      <c r="Q26" s="119">
        <f t="shared" si="0"/>
        <v>0.72499999999999998</v>
      </c>
      <c r="R26" s="117">
        <v>17.7</v>
      </c>
      <c r="S26" s="117">
        <v>148</v>
      </c>
      <c r="T26" s="120">
        <f t="shared" si="1"/>
        <v>22</v>
      </c>
      <c r="U26" s="117">
        <v>127</v>
      </c>
      <c r="V26" s="121">
        <f t="shared" si="2"/>
        <v>2794</v>
      </c>
      <c r="W26" s="117">
        <v>28</v>
      </c>
      <c r="X26" s="117" t="s">
        <v>46</v>
      </c>
      <c r="Y26" s="117" t="s">
        <v>55</v>
      </c>
      <c r="Z26" s="117" t="s">
        <v>69</v>
      </c>
      <c r="AA26" s="117" t="s">
        <v>40</v>
      </c>
      <c r="AB26" s="149" t="s">
        <v>285</v>
      </c>
      <c r="AP26" s="140" t="s">
        <v>229</v>
      </c>
      <c r="AR26" s="127" t="s">
        <v>230</v>
      </c>
    </row>
    <row r="27" spans="1:48" s="127" customFormat="1" x14ac:dyDescent="0.15">
      <c r="A27" s="117" t="s">
        <v>51</v>
      </c>
      <c r="B27" s="117" t="s">
        <v>157</v>
      </c>
      <c r="C27" s="117">
        <v>2019</v>
      </c>
      <c r="D27" s="118" t="s">
        <v>260</v>
      </c>
      <c r="E27" s="117" t="s">
        <v>210</v>
      </c>
      <c r="F27" s="117" t="s">
        <v>263</v>
      </c>
      <c r="G27" s="117" t="s">
        <v>42</v>
      </c>
      <c r="H27" s="117" t="s">
        <v>160</v>
      </c>
      <c r="I27" s="117" t="s">
        <v>159</v>
      </c>
      <c r="J27" s="117" t="s">
        <v>38</v>
      </c>
      <c r="K27" s="117" t="s">
        <v>161</v>
      </c>
      <c r="L27" s="117">
        <v>2</v>
      </c>
      <c r="M27" s="117"/>
      <c r="N27" s="117">
        <v>1</v>
      </c>
      <c r="O27" s="117">
        <v>0.75</v>
      </c>
      <c r="P27" s="117">
        <v>0.75</v>
      </c>
      <c r="Q27" s="119">
        <f t="shared" si="0"/>
        <v>0.75</v>
      </c>
      <c r="R27" s="117">
        <v>18.2</v>
      </c>
      <c r="S27" s="117">
        <v>150</v>
      </c>
      <c r="T27" s="120">
        <f t="shared" si="1"/>
        <v>22</v>
      </c>
      <c r="U27" s="117">
        <v>127</v>
      </c>
      <c r="V27" s="121">
        <f t="shared" si="2"/>
        <v>2794</v>
      </c>
      <c r="W27" s="117">
        <v>28</v>
      </c>
      <c r="X27" s="117" t="s">
        <v>46</v>
      </c>
      <c r="Y27" s="117" t="s">
        <v>55</v>
      </c>
      <c r="Z27" s="117" t="s">
        <v>69</v>
      </c>
      <c r="AA27" s="117" t="s">
        <v>40</v>
      </c>
      <c r="AB27" s="149" t="s">
        <v>285</v>
      </c>
      <c r="AP27" s="140" t="s">
        <v>231</v>
      </c>
    </row>
    <row r="28" spans="1:48" s="127" customFormat="1" x14ac:dyDescent="0.15">
      <c r="A28" s="117" t="s">
        <v>51</v>
      </c>
      <c r="B28" s="117" t="s">
        <v>157</v>
      </c>
      <c r="C28" s="117">
        <v>2019</v>
      </c>
      <c r="D28" s="118" t="s">
        <v>260</v>
      </c>
      <c r="E28" s="117" t="s">
        <v>210</v>
      </c>
      <c r="F28" s="117" t="s">
        <v>263</v>
      </c>
      <c r="G28" s="117" t="s">
        <v>42</v>
      </c>
      <c r="H28" s="117" t="s">
        <v>160</v>
      </c>
      <c r="I28" s="117" t="s">
        <v>159</v>
      </c>
      <c r="J28" s="117" t="s">
        <v>38</v>
      </c>
      <c r="K28" s="117" t="s">
        <v>161</v>
      </c>
      <c r="L28" s="117">
        <v>3</v>
      </c>
      <c r="M28" s="117"/>
      <c r="N28" s="117">
        <v>1</v>
      </c>
      <c r="O28" s="117">
        <v>0.65</v>
      </c>
      <c r="P28" s="117">
        <v>0.7</v>
      </c>
      <c r="Q28" s="119">
        <f t="shared" si="0"/>
        <v>0.67500000000000004</v>
      </c>
      <c r="R28" s="117">
        <v>17.899999999999999</v>
      </c>
      <c r="S28" s="117">
        <v>146</v>
      </c>
      <c r="T28" s="120">
        <f t="shared" si="1"/>
        <v>22</v>
      </c>
      <c r="U28" s="117">
        <v>127</v>
      </c>
      <c r="V28" s="121">
        <f t="shared" si="2"/>
        <v>2794</v>
      </c>
      <c r="W28" s="117">
        <v>28</v>
      </c>
      <c r="X28" s="117" t="s">
        <v>46</v>
      </c>
      <c r="Y28" s="117" t="s">
        <v>55</v>
      </c>
      <c r="Z28" s="117" t="s">
        <v>69</v>
      </c>
      <c r="AA28" s="117" t="s">
        <v>40</v>
      </c>
      <c r="AB28" s="149" t="s">
        <v>285</v>
      </c>
    </row>
    <row r="29" spans="1:48" s="127" customFormat="1" x14ac:dyDescent="0.15">
      <c r="A29" s="117" t="s">
        <v>51</v>
      </c>
      <c r="B29" s="117" t="s">
        <v>157</v>
      </c>
      <c r="C29" s="117">
        <v>2019</v>
      </c>
      <c r="D29" s="118" t="s">
        <v>260</v>
      </c>
      <c r="E29" s="117" t="s">
        <v>271</v>
      </c>
      <c r="F29" s="117" t="s">
        <v>263</v>
      </c>
      <c r="G29" s="117" t="s">
        <v>42</v>
      </c>
      <c r="H29" s="117" t="s">
        <v>165</v>
      </c>
      <c r="I29" s="117" t="s">
        <v>159</v>
      </c>
      <c r="J29" s="117" t="s">
        <v>38</v>
      </c>
      <c r="K29" s="117" t="s">
        <v>161</v>
      </c>
      <c r="L29" s="117">
        <v>1</v>
      </c>
      <c r="M29" s="117"/>
      <c r="N29" s="117">
        <v>1</v>
      </c>
      <c r="O29" s="117">
        <v>0.6</v>
      </c>
      <c r="P29" s="117">
        <v>0.5</v>
      </c>
      <c r="Q29" s="119">
        <f t="shared" si="0"/>
        <v>0.55000000000000004</v>
      </c>
      <c r="R29" s="117">
        <v>16.5</v>
      </c>
      <c r="S29" s="117">
        <v>146</v>
      </c>
      <c r="T29" s="120">
        <f t="shared" si="1"/>
        <v>22</v>
      </c>
      <c r="U29" s="117">
        <v>138</v>
      </c>
      <c r="V29" s="121">
        <f t="shared" si="2"/>
        <v>3036</v>
      </c>
      <c r="W29" s="117">
        <v>18</v>
      </c>
      <c r="X29" s="117" t="s">
        <v>46</v>
      </c>
      <c r="Y29" s="117" t="s">
        <v>55</v>
      </c>
      <c r="Z29" s="117" t="s">
        <v>69</v>
      </c>
      <c r="AA29" s="117" t="s">
        <v>78</v>
      </c>
      <c r="AB29" s="149" t="s">
        <v>285</v>
      </c>
    </row>
    <row r="30" spans="1:48" s="127" customFormat="1" x14ac:dyDescent="0.15">
      <c r="A30" s="117" t="s">
        <v>51</v>
      </c>
      <c r="B30" s="117" t="s">
        <v>157</v>
      </c>
      <c r="C30" s="117">
        <v>2019</v>
      </c>
      <c r="D30" s="118" t="s">
        <v>260</v>
      </c>
      <c r="E30" s="117" t="s">
        <v>271</v>
      </c>
      <c r="F30" s="117" t="s">
        <v>263</v>
      </c>
      <c r="G30" s="117" t="s">
        <v>42</v>
      </c>
      <c r="H30" s="117" t="s">
        <v>165</v>
      </c>
      <c r="I30" s="117" t="s">
        <v>159</v>
      </c>
      <c r="J30" s="117" t="s">
        <v>38</v>
      </c>
      <c r="K30" s="117" t="s">
        <v>161</v>
      </c>
      <c r="L30" s="117">
        <v>2</v>
      </c>
      <c r="M30" s="117"/>
      <c r="N30" s="117">
        <v>1</v>
      </c>
      <c r="O30" s="117">
        <v>0.55000000000000004</v>
      </c>
      <c r="P30" s="117">
        <v>0.55000000000000004</v>
      </c>
      <c r="Q30" s="119">
        <f t="shared" si="0"/>
        <v>0.55000000000000004</v>
      </c>
      <c r="R30" s="117">
        <v>16.2</v>
      </c>
      <c r="S30" s="117">
        <v>144</v>
      </c>
      <c r="T30" s="120">
        <f t="shared" si="1"/>
        <v>22</v>
      </c>
      <c r="U30" s="117">
        <v>138</v>
      </c>
      <c r="V30" s="121">
        <f t="shared" si="2"/>
        <v>3036</v>
      </c>
      <c r="W30" s="117">
        <v>18</v>
      </c>
      <c r="X30" s="117" t="s">
        <v>46</v>
      </c>
      <c r="Y30" s="117" t="s">
        <v>55</v>
      </c>
      <c r="Z30" s="117" t="s">
        <v>69</v>
      </c>
      <c r="AA30" s="117" t="s">
        <v>78</v>
      </c>
      <c r="AB30" s="149" t="s">
        <v>285</v>
      </c>
    </row>
    <row r="31" spans="1:48" s="127" customFormat="1" x14ac:dyDescent="0.15">
      <c r="A31" s="117" t="s">
        <v>51</v>
      </c>
      <c r="B31" s="117" t="s">
        <v>157</v>
      </c>
      <c r="C31" s="117">
        <v>2019</v>
      </c>
      <c r="D31" s="118" t="s">
        <v>260</v>
      </c>
      <c r="E31" s="117" t="s">
        <v>271</v>
      </c>
      <c r="F31" s="117" t="s">
        <v>263</v>
      </c>
      <c r="G31" s="117" t="s">
        <v>42</v>
      </c>
      <c r="H31" s="117" t="s">
        <v>165</v>
      </c>
      <c r="I31" s="117" t="s">
        <v>159</v>
      </c>
      <c r="J31" s="117" t="s">
        <v>38</v>
      </c>
      <c r="K31" s="117" t="s">
        <v>161</v>
      </c>
      <c r="L31" s="117">
        <v>3</v>
      </c>
      <c r="M31" s="117"/>
      <c r="N31" s="117">
        <v>1</v>
      </c>
      <c r="O31" s="117">
        <v>0.65</v>
      </c>
      <c r="P31" s="117">
        <v>0.6</v>
      </c>
      <c r="Q31" s="119">
        <f t="shared" si="0"/>
        <v>0.625</v>
      </c>
      <c r="R31" s="117">
        <v>16.8</v>
      </c>
      <c r="S31" s="117">
        <v>146</v>
      </c>
      <c r="T31" s="120">
        <f t="shared" si="1"/>
        <v>22</v>
      </c>
      <c r="U31" s="117">
        <v>138</v>
      </c>
      <c r="V31" s="121">
        <f t="shared" si="2"/>
        <v>3036</v>
      </c>
      <c r="W31" s="117">
        <v>18</v>
      </c>
      <c r="X31" s="117" t="s">
        <v>46</v>
      </c>
      <c r="Y31" s="117" t="s">
        <v>55</v>
      </c>
      <c r="Z31" s="117" t="s">
        <v>69</v>
      </c>
      <c r="AA31" s="117" t="s">
        <v>78</v>
      </c>
      <c r="AB31" s="149" t="s">
        <v>285</v>
      </c>
    </row>
    <row r="32" spans="1:48" s="127" customFormat="1" x14ac:dyDescent="0.15">
      <c r="A32" s="117" t="s">
        <v>51</v>
      </c>
      <c r="B32" s="117" t="s">
        <v>157</v>
      </c>
      <c r="C32" s="117">
        <v>2019</v>
      </c>
      <c r="D32" s="118" t="s">
        <v>260</v>
      </c>
      <c r="E32" s="117" t="s">
        <v>271</v>
      </c>
      <c r="F32" s="117" t="s">
        <v>263</v>
      </c>
      <c r="G32" s="117" t="s">
        <v>42</v>
      </c>
      <c r="H32" s="117" t="s">
        <v>160</v>
      </c>
      <c r="I32" s="117" t="s">
        <v>159</v>
      </c>
      <c r="J32" s="117" t="s">
        <v>38</v>
      </c>
      <c r="K32" s="117" t="s">
        <v>161</v>
      </c>
      <c r="L32" s="117">
        <v>1</v>
      </c>
      <c r="M32" s="117"/>
      <c r="N32" s="117">
        <v>1</v>
      </c>
      <c r="O32" s="117">
        <v>0.75</v>
      </c>
      <c r="P32" s="117">
        <v>0.8</v>
      </c>
      <c r="Q32" s="119">
        <f t="shared" si="0"/>
        <v>0.77500000000000002</v>
      </c>
      <c r="R32" s="117">
        <v>18.5</v>
      </c>
      <c r="S32" s="117">
        <v>170</v>
      </c>
      <c r="T32" s="120">
        <f t="shared" si="1"/>
        <v>18</v>
      </c>
      <c r="U32" s="117">
        <v>138</v>
      </c>
      <c r="V32" s="121">
        <f t="shared" si="2"/>
        <v>2484</v>
      </c>
      <c r="W32" s="117">
        <v>18</v>
      </c>
      <c r="X32" s="117" t="s">
        <v>46</v>
      </c>
      <c r="Y32" s="117" t="s">
        <v>55</v>
      </c>
      <c r="Z32" s="117" t="s">
        <v>69</v>
      </c>
      <c r="AA32" s="117" t="s">
        <v>78</v>
      </c>
      <c r="AB32" s="149" t="s">
        <v>285</v>
      </c>
    </row>
    <row r="33" spans="1:28" s="127" customFormat="1" x14ac:dyDescent="0.15">
      <c r="A33" s="117" t="s">
        <v>51</v>
      </c>
      <c r="B33" s="117" t="s">
        <v>157</v>
      </c>
      <c r="C33" s="117">
        <v>2019</v>
      </c>
      <c r="D33" s="118" t="s">
        <v>260</v>
      </c>
      <c r="E33" s="117" t="s">
        <v>271</v>
      </c>
      <c r="F33" s="117" t="s">
        <v>263</v>
      </c>
      <c r="G33" s="117" t="s">
        <v>42</v>
      </c>
      <c r="H33" s="117" t="s">
        <v>160</v>
      </c>
      <c r="I33" s="117" t="s">
        <v>159</v>
      </c>
      <c r="J33" s="117" t="s">
        <v>38</v>
      </c>
      <c r="K33" s="117" t="s">
        <v>161</v>
      </c>
      <c r="L33" s="117">
        <v>2</v>
      </c>
      <c r="M33" s="117"/>
      <c r="N33" s="117">
        <v>1</v>
      </c>
      <c r="O33" s="117">
        <v>0.7</v>
      </c>
      <c r="P33" s="117">
        <v>0.6</v>
      </c>
      <c r="Q33" s="119">
        <f t="shared" si="0"/>
        <v>0.64999999999999991</v>
      </c>
      <c r="R33" s="117">
        <v>17.399999999999999</v>
      </c>
      <c r="S33" s="117">
        <v>166</v>
      </c>
      <c r="T33" s="120">
        <f t="shared" si="1"/>
        <v>18</v>
      </c>
      <c r="U33" s="117">
        <v>138</v>
      </c>
      <c r="V33" s="121">
        <f t="shared" si="2"/>
        <v>2484</v>
      </c>
      <c r="W33" s="117">
        <v>18</v>
      </c>
      <c r="X33" s="117" t="s">
        <v>46</v>
      </c>
      <c r="Y33" s="117" t="s">
        <v>55</v>
      </c>
      <c r="Z33" s="117" t="s">
        <v>69</v>
      </c>
      <c r="AA33" s="117" t="s">
        <v>78</v>
      </c>
      <c r="AB33" s="149" t="s">
        <v>285</v>
      </c>
    </row>
    <row r="34" spans="1:28" s="127" customFormat="1" x14ac:dyDescent="0.15">
      <c r="A34" s="117" t="s">
        <v>51</v>
      </c>
      <c r="B34" s="117" t="s">
        <v>157</v>
      </c>
      <c r="C34" s="117">
        <v>2019</v>
      </c>
      <c r="D34" s="118" t="s">
        <v>260</v>
      </c>
      <c r="E34" s="117" t="s">
        <v>271</v>
      </c>
      <c r="F34" s="117" t="s">
        <v>263</v>
      </c>
      <c r="G34" s="117" t="s">
        <v>42</v>
      </c>
      <c r="H34" s="117" t="s">
        <v>160</v>
      </c>
      <c r="I34" s="117" t="s">
        <v>159</v>
      </c>
      <c r="J34" s="117" t="s">
        <v>38</v>
      </c>
      <c r="K34" s="117" t="s">
        <v>161</v>
      </c>
      <c r="L34" s="117">
        <v>3</v>
      </c>
      <c r="M34" s="117"/>
      <c r="N34" s="117">
        <v>1</v>
      </c>
      <c r="O34" s="117">
        <v>0.7</v>
      </c>
      <c r="P34" s="117">
        <v>0.65</v>
      </c>
      <c r="Q34" s="119">
        <f t="shared" si="0"/>
        <v>0.67500000000000004</v>
      </c>
      <c r="R34" s="117">
        <v>17.600000000000001</v>
      </c>
      <c r="S34" s="117">
        <v>164</v>
      </c>
      <c r="T34" s="120">
        <f t="shared" si="1"/>
        <v>18</v>
      </c>
      <c r="U34" s="117">
        <v>138</v>
      </c>
      <c r="V34" s="121">
        <f t="shared" si="2"/>
        <v>2484</v>
      </c>
      <c r="W34" s="117">
        <v>18</v>
      </c>
      <c r="X34" s="117" t="s">
        <v>46</v>
      </c>
      <c r="Y34" s="117" t="s">
        <v>55</v>
      </c>
      <c r="Z34" s="117" t="s">
        <v>69</v>
      </c>
      <c r="AA34" s="117" t="s">
        <v>78</v>
      </c>
      <c r="AB34" s="149" t="s">
        <v>285</v>
      </c>
    </row>
    <row r="35" spans="1:28" s="127" customFormat="1" x14ac:dyDescent="0.15">
      <c r="A35" s="117" t="s">
        <v>51</v>
      </c>
      <c r="B35" s="117" t="s">
        <v>157</v>
      </c>
      <c r="C35" s="117">
        <v>2019</v>
      </c>
      <c r="D35" s="118" t="s">
        <v>260</v>
      </c>
      <c r="E35" s="117" t="s">
        <v>266</v>
      </c>
      <c r="F35" s="117" t="s">
        <v>267</v>
      </c>
      <c r="G35" s="117" t="s">
        <v>42</v>
      </c>
      <c r="H35" s="117" t="s">
        <v>165</v>
      </c>
      <c r="I35" s="117" t="s">
        <v>159</v>
      </c>
      <c r="J35" s="117" t="s">
        <v>38</v>
      </c>
      <c r="K35" s="117" t="s">
        <v>161</v>
      </c>
      <c r="L35" s="117">
        <v>1</v>
      </c>
      <c r="M35" s="117"/>
      <c r="N35" s="117">
        <v>1</v>
      </c>
      <c r="O35" s="117">
        <v>0.75</v>
      </c>
      <c r="P35" s="117">
        <v>0.85</v>
      </c>
      <c r="Q35" s="119">
        <f t="shared" si="0"/>
        <v>0.8</v>
      </c>
      <c r="R35" s="117">
        <v>15.6</v>
      </c>
      <c r="S35" s="117">
        <v>130</v>
      </c>
      <c r="T35" s="120">
        <f t="shared" si="1"/>
        <v>25</v>
      </c>
      <c r="U35" s="117">
        <v>128</v>
      </c>
      <c r="V35" s="121">
        <f t="shared" si="2"/>
        <v>3200</v>
      </c>
      <c r="W35" s="117">
        <v>12</v>
      </c>
      <c r="X35" s="117" t="s">
        <v>46</v>
      </c>
      <c r="Y35" s="117" t="s">
        <v>69</v>
      </c>
      <c r="Z35" s="117" t="s">
        <v>55</v>
      </c>
      <c r="AA35" s="117" t="s">
        <v>78</v>
      </c>
      <c r="AB35" s="149" t="s">
        <v>285</v>
      </c>
    </row>
    <row r="36" spans="1:28" s="127" customFormat="1" x14ac:dyDescent="0.15">
      <c r="A36" s="117" t="s">
        <v>51</v>
      </c>
      <c r="B36" s="117" t="s">
        <v>157</v>
      </c>
      <c r="C36" s="117">
        <v>2019</v>
      </c>
      <c r="D36" s="118" t="s">
        <v>260</v>
      </c>
      <c r="E36" s="117" t="s">
        <v>266</v>
      </c>
      <c r="F36" s="117" t="s">
        <v>267</v>
      </c>
      <c r="G36" s="117" t="s">
        <v>42</v>
      </c>
      <c r="H36" s="117" t="s">
        <v>165</v>
      </c>
      <c r="I36" s="117" t="s">
        <v>159</v>
      </c>
      <c r="J36" s="117" t="s">
        <v>38</v>
      </c>
      <c r="K36" s="117" t="s">
        <v>161</v>
      </c>
      <c r="L36" s="117">
        <v>2</v>
      </c>
      <c r="M36" s="117"/>
      <c r="N36" s="117">
        <v>1</v>
      </c>
      <c r="O36" s="117">
        <v>0.8</v>
      </c>
      <c r="P36" s="117">
        <v>0.7</v>
      </c>
      <c r="Q36" s="119">
        <f t="shared" si="0"/>
        <v>0.75</v>
      </c>
      <c r="R36" s="117">
        <v>15.9</v>
      </c>
      <c r="S36" s="117">
        <v>130</v>
      </c>
      <c r="T36" s="120">
        <f t="shared" si="1"/>
        <v>25</v>
      </c>
      <c r="U36" s="117">
        <v>128</v>
      </c>
      <c r="V36" s="121">
        <f t="shared" si="2"/>
        <v>3200</v>
      </c>
      <c r="W36" s="117">
        <v>12</v>
      </c>
      <c r="X36" s="117" t="s">
        <v>46</v>
      </c>
      <c r="Y36" s="117" t="s">
        <v>69</v>
      </c>
      <c r="Z36" s="117" t="s">
        <v>55</v>
      </c>
      <c r="AA36" s="117" t="s">
        <v>78</v>
      </c>
      <c r="AB36" s="149" t="s">
        <v>285</v>
      </c>
    </row>
    <row r="37" spans="1:28" s="127" customFormat="1" x14ac:dyDescent="0.15">
      <c r="A37" s="117" t="s">
        <v>51</v>
      </c>
      <c r="B37" s="117" t="s">
        <v>157</v>
      </c>
      <c r="C37" s="117">
        <v>2019</v>
      </c>
      <c r="D37" s="118" t="s">
        <v>260</v>
      </c>
      <c r="E37" s="117" t="s">
        <v>266</v>
      </c>
      <c r="F37" s="117" t="s">
        <v>267</v>
      </c>
      <c r="G37" s="117" t="s">
        <v>42</v>
      </c>
      <c r="H37" s="117" t="s">
        <v>165</v>
      </c>
      <c r="I37" s="117" t="s">
        <v>159</v>
      </c>
      <c r="J37" s="117" t="s">
        <v>38</v>
      </c>
      <c r="K37" s="117" t="s">
        <v>161</v>
      </c>
      <c r="L37" s="117">
        <v>3</v>
      </c>
      <c r="M37" s="117"/>
      <c r="N37" s="117">
        <v>1</v>
      </c>
      <c r="O37" s="117">
        <v>0.75</v>
      </c>
      <c r="P37" s="117">
        <v>0.7</v>
      </c>
      <c r="Q37" s="119">
        <f t="shared" si="0"/>
        <v>0.72499999999999998</v>
      </c>
      <c r="R37" s="117">
        <v>16</v>
      </c>
      <c r="S37" s="117">
        <v>138</v>
      </c>
      <c r="T37" s="120">
        <f t="shared" si="1"/>
        <v>22</v>
      </c>
      <c r="U37" s="117">
        <v>128</v>
      </c>
      <c r="V37" s="121">
        <f t="shared" si="2"/>
        <v>2816</v>
      </c>
      <c r="W37" s="117">
        <v>12</v>
      </c>
      <c r="X37" s="117" t="s">
        <v>46</v>
      </c>
      <c r="Y37" s="117" t="s">
        <v>69</v>
      </c>
      <c r="Z37" s="117" t="s">
        <v>55</v>
      </c>
      <c r="AA37" s="117" t="s">
        <v>78</v>
      </c>
      <c r="AB37" s="149" t="s">
        <v>285</v>
      </c>
    </row>
    <row r="38" spans="1:28" s="127" customFormat="1" x14ac:dyDescent="0.15">
      <c r="A38" s="117" t="s">
        <v>51</v>
      </c>
      <c r="B38" s="117" t="s">
        <v>157</v>
      </c>
      <c r="C38" s="117">
        <v>2019</v>
      </c>
      <c r="D38" s="118" t="s">
        <v>260</v>
      </c>
      <c r="E38" s="117" t="s">
        <v>266</v>
      </c>
      <c r="F38" s="117" t="s">
        <v>267</v>
      </c>
      <c r="G38" s="117" t="s">
        <v>42</v>
      </c>
      <c r="H38" s="117" t="s">
        <v>160</v>
      </c>
      <c r="I38" s="117" t="s">
        <v>159</v>
      </c>
      <c r="J38" s="117" t="s">
        <v>38</v>
      </c>
      <c r="K38" s="117" t="s">
        <v>161</v>
      </c>
      <c r="L38" s="117">
        <v>1</v>
      </c>
      <c r="M38" s="117"/>
      <c r="N38" s="117">
        <v>1</v>
      </c>
      <c r="O38" s="117">
        <v>0.55000000000000004</v>
      </c>
      <c r="P38" s="117">
        <v>0.6</v>
      </c>
      <c r="Q38" s="119">
        <f t="shared" si="0"/>
        <v>0.57499999999999996</v>
      </c>
      <c r="R38" s="117">
        <v>16.600000000000001</v>
      </c>
      <c r="S38" s="117">
        <v>132</v>
      </c>
      <c r="T38" s="120">
        <f t="shared" si="1"/>
        <v>25</v>
      </c>
      <c r="U38" s="117">
        <v>128</v>
      </c>
      <c r="V38" s="121">
        <f t="shared" si="2"/>
        <v>3200</v>
      </c>
      <c r="W38" s="117">
        <v>12</v>
      </c>
      <c r="X38" s="117" t="s">
        <v>46</v>
      </c>
      <c r="Y38" s="117" t="s">
        <v>69</v>
      </c>
      <c r="Z38" s="117" t="s">
        <v>55</v>
      </c>
      <c r="AA38" s="117" t="s">
        <v>78</v>
      </c>
      <c r="AB38" s="149" t="s">
        <v>285</v>
      </c>
    </row>
    <row r="39" spans="1:28" s="127" customFormat="1" x14ac:dyDescent="0.15">
      <c r="A39" s="117" t="s">
        <v>51</v>
      </c>
      <c r="B39" s="117" t="s">
        <v>157</v>
      </c>
      <c r="C39" s="117">
        <v>2019</v>
      </c>
      <c r="D39" s="118" t="s">
        <v>260</v>
      </c>
      <c r="E39" s="117" t="s">
        <v>266</v>
      </c>
      <c r="F39" s="117" t="s">
        <v>267</v>
      </c>
      <c r="G39" s="117" t="s">
        <v>42</v>
      </c>
      <c r="H39" s="117" t="s">
        <v>160</v>
      </c>
      <c r="I39" s="117" t="s">
        <v>159</v>
      </c>
      <c r="J39" s="117" t="s">
        <v>38</v>
      </c>
      <c r="K39" s="117" t="s">
        <v>161</v>
      </c>
      <c r="L39" s="117">
        <v>2</v>
      </c>
      <c r="M39" s="117"/>
      <c r="N39" s="117">
        <v>1</v>
      </c>
      <c r="O39" s="117">
        <v>0.65</v>
      </c>
      <c r="P39" s="117">
        <v>0.65</v>
      </c>
      <c r="Q39" s="119">
        <f t="shared" si="0"/>
        <v>0.65</v>
      </c>
      <c r="R39" s="117">
        <v>16.8</v>
      </c>
      <c r="S39" s="117">
        <v>136</v>
      </c>
      <c r="T39" s="120">
        <f t="shared" si="1"/>
        <v>25</v>
      </c>
      <c r="U39" s="117">
        <v>128</v>
      </c>
      <c r="V39" s="121">
        <f t="shared" si="2"/>
        <v>3200</v>
      </c>
      <c r="W39" s="117">
        <v>12</v>
      </c>
      <c r="X39" s="117" t="s">
        <v>46</v>
      </c>
      <c r="Y39" s="117" t="s">
        <v>69</v>
      </c>
      <c r="Z39" s="117" t="s">
        <v>55</v>
      </c>
      <c r="AA39" s="117" t="s">
        <v>78</v>
      </c>
      <c r="AB39" s="149" t="s">
        <v>285</v>
      </c>
    </row>
    <row r="40" spans="1:28" s="127" customFormat="1" x14ac:dyDescent="0.15">
      <c r="A40" s="117" t="s">
        <v>51</v>
      </c>
      <c r="B40" s="117" t="s">
        <v>157</v>
      </c>
      <c r="C40" s="117">
        <v>2019</v>
      </c>
      <c r="D40" s="118" t="s">
        <v>260</v>
      </c>
      <c r="E40" s="117" t="s">
        <v>266</v>
      </c>
      <c r="F40" s="117" t="s">
        <v>267</v>
      </c>
      <c r="G40" s="117" t="s">
        <v>42</v>
      </c>
      <c r="H40" s="117" t="s">
        <v>160</v>
      </c>
      <c r="I40" s="117" t="s">
        <v>159</v>
      </c>
      <c r="J40" s="117" t="s">
        <v>38</v>
      </c>
      <c r="K40" s="117" t="s">
        <v>161</v>
      </c>
      <c r="L40" s="117">
        <v>3</v>
      </c>
      <c r="M40" s="117"/>
      <c r="N40" s="117">
        <v>1</v>
      </c>
      <c r="O40" s="117">
        <v>0.7</v>
      </c>
      <c r="P40" s="117">
        <v>0.7</v>
      </c>
      <c r="Q40" s="119">
        <f t="shared" si="0"/>
        <v>0.7</v>
      </c>
      <c r="R40" s="117">
        <v>16.100000000000001</v>
      </c>
      <c r="S40" s="117">
        <v>128</v>
      </c>
      <c r="T40" s="120">
        <f t="shared" si="1"/>
        <v>27</v>
      </c>
      <c r="U40" s="117">
        <v>128</v>
      </c>
      <c r="V40" s="121">
        <f t="shared" si="2"/>
        <v>3456</v>
      </c>
      <c r="W40" s="117">
        <v>12</v>
      </c>
      <c r="X40" s="117" t="s">
        <v>46</v>
      </c>
      <c r="Y40" s="117" t="s">
        <v>69</v>
      </c>
      <c r="Z40" s="117" t="s">
        <v>55</v>
      </c>
      <c r="AA40" s="117" t="s">
        <v>78</v>
      </c>
      <c r="AB40" s="149" t="s">
        <v>285</v>
      </c>
    </row>
    <row r="41" spans="1:28" s="127" customFormat="1" x14ac:dyDescent="0.15">
      <c r="A41" s="117" t="s">
        <v>51</v>
      </c>
      <c r="B41" s="117" t="s">
        <v>157</v>
      </c>
      <c r="C41" s="117">
        <v>2019</v>
      </c>
      <c r="D41" s="118" t="s">
        <v>260</v>
      </c>
      <c r="E41" s="117" t="s">
        <v>268</v>
      </c>
      <c r="F41" s="117" t="s">
        <v>262</v>
      </c>
      <c r="G41" s="117" t="s">
        <v>36</v>
      </c>
      <c r="H41" s="117" t="s">
        <v>165</v>
      </c>
      <c r="I41" s="117" t="s">
        <v>159</v>
      </c>
      <c r="J41" s="117" t="s">
        <v>38</v>
      </c>
      <c r="K41" s="117" t="s">
        <v>161</v>
      </c>
      <c r="L41" s="117">
        <v>1</v>
      </c>
      <c r="M41" s="117"/>
      <c r="N41" s="117">
        <v>3</v>
      </c>
      <c r="O41" s="117">
        <v>1.05</v>
      </c>
      <c r="P41" s="117">
        <v>1.1000000000000001</v>
      </c>
      <c r="Q41" s="119">
        <f t="shared" si="0"/>
        <v>1.0750000000000002</v>
      </c>
      <c r="R41" s="117">
        <v>15.3</v>
      </c>
      <c r="S41" s="117">
        <v>134</v>
      </c>
      <c r="T41" s="120">
        <f t="shared" si="1"/>
        <v>25</v>
      </c>
      <c r="U41" s="117">
        <v>380</v>
      </c>
      <c r="V41" s="121">
        <f t="shared" si="2"/>
        <v>3166.666666666667</v>
      </c>
      <c r="W41" s="117">
        <v>8</v>
      </c>
      <c r="X41" s="117" t="s">
        <v>46</v>
      </c>
      <c r="Y41" s="117" t="s">
        <v>55</v>
      </c>
      <c r="Z41" s="117" t="s">
        <v>69</v>
      </c>
      <c r="AA41" s="117" t="s">
        <v>40</v>
      </c>
      <c r="AB41" s="149" t="s">
        <v>285</v>
      </c>
    </row>
    <row r="42" spans="1:28" s="127" customFormat="1" x14ac:dyDescent="0.15">
      <c r="A42" s="117" t="s">
        <v>51</v>
      </c>
      <c r="B42" s="117" t="s">
        <v>157</v>
      </c>
      <c r="C42" s="117">
        <v>2019</v>
      </c>
      <c r="D42" s="118" t="s">
        <v>260</v>
      </c>
      <c r="E42" s="117" t="s">
        <v>268</v>
      </c>
      <c r="F42" s="117" t="s">
        <v>262</v>
      </c>
      <c r="G42" s="117" t="s">
        <v>36</v>
      </c>
      <c r="H42" s="117" t="s">
        <v>165</v>
      </c>
      <c r="I42" s="117" t="s">
        <v>159</v>
      </c>
      <c r="J42" s="117" t="s">
        <v>38</v>
      </c>
      <c r="K42" s="117" t="s">
        <v>161</v>
      </c>
      <c r="L42" s="117">
        <v>2</v>
      </c>
      <c r="M42" s="117"/>
      <c r="N42" s="117">
        <v>3</v>
      </c>
      <c r="O42" s="117">
        <v>0.95</v>
      </c>
      <c r="P42" s="117">
        <v>1</v>
      </c>
      <c r="Q42" s="119">
        <f t="shared" si="0"/>
        <v>0.97499999999999998</v>
      </c>
      <c r="R42" s="117">
        <v>14</v>
      </c>
      <c r="S42" s="117">
        <v>126</v>
      </c>
      <c r="T42" s="120">
        <f t="shared" si="1"/>
        <v>27</v>
      </c>
      <c r="U42" s="117">
        <v>380</v>
      </c>
      <c r="V42" s="121">
        <f t="shared" si="2"/>
        <v>3420</v>
      </c>
      <c r="W42" s="117">
        <v>8</v>
      </c>
      <c r="X42" s="117" t="s">
        <v>46</v>
      </c>
      <c r="Y42" s="117" t="s">
        <v>55</v>
      </c>
      <c r="Z42" s="117" t="s">
        <v>69</v>
      </c>
      <c r="AA42" s="117" t="s">
        <v>40</v>
      </c>
      <c r="AB42" s="149" t="s">
        <v>285</v>
      </c>
    </row>
    <row r="43" spans="1:28" s="127" customFormat="1" x14ac:dyDescent="0.15">
      <c r="A43" s="117" t="s">
        <v>51</v>
      </c>
      <c r="B43" s="117" t="s">
        <v>157</v>
      </c>
      <c r="C43" s="117">
        <v>2019</v>
      </c>
      <c r="D43" s="118" t="s">
        <v>260</v>
      </c>
      <c r="E43" s="117" t="s">
        <v>268</v>
      </c>
      <c r="F43" s="117" t="s">
        <v>262</v>
      </c>
      <c r="G43" s="117" t="s">
        <v>36</v>
      </c>
      <c r="H43" s="117" t="s">
        <v>165</v>
      </c>
      <c r="I43" s="117" t="s">
        <v>159</v>
      </c>
      <c r="J43" s="117" t="s">
        <v>38</v>
      </c>
      <c r="K43" s="117" t="s">
        <v>161</v>
      </c>
      <c r="L43" s="117">
        <v>3</v>
      </c>
      <c r="M43" s="117"/>
      <c r="N43" s="117">
        <v>3</v>
      </c>
      <c r="O43" s="117">
        <v>1</v>
      </c>
      <c r="P43" s="117">
        <v>0.9</v>
      </c>
      <c r="Q43" s="119">
        <f t="shared" si="0"/>
        <v>0.95</v>
      </c>
      <c r="R43" s="117">
        <v>15.8</v>
      </c>
      <c r="S43" s="117">
        <v>134</v>
      </c>
      <c r="T43" s="120">
        <f t="shared" si="1"/>
        <v>25</v>
      </c>
      <c r="U43" s="117">
        <v>380</v>
      </c>
      <c r="V43" s="121">
        <f t="shared" si="2"/>
        <v>3166.666666666667</v>
      </c>
      <c r="W43" s="117">
        <v>8</v>
      </c>
      <c r="X43" s="117" t="s">
        <v>46</v>
      </c>
      <c r="Y43" s="117" t="s">
        <v>55</v>
      </c>
      <c r="Z43" s="117" t="s">
        <v>69</v>
      </c>
      <c r="AA43" s="117" t="s">
        <v>40</v>
      </c>
      <c r="AB43" s="149" t="s">
        <v>285</v>
      </c>
    </row>
    <row r="44" spans="1:28" s="127" customFormat="1" x14ac:dyDescent="0.15">
      <c r="A44" s="117" t="s">
        <v>51</v>
      </c>
      <c r="B44" s="117" t="s">
        <v>157</v>
      </c>
      <c r="C44" s="117">
        <v>2019</v>
      </c>
      <c r="D44" s="118" t="s">
        <v>260</v>
      </c>
      <c r="E44" s="117" t="s">
        <v>268</v>
      </c>
      <c r="F44" s="117" t="s">
        <v>262</v>
      </c>
      <c r="G44" s="117" t="s">
        <v>36</v>
      </c>
      <c r="H44" s="117" t="s">
        <v>160</v>
      </c>
      <c r="I44" s="117" t="s">
        <v>159</v>
      </c>
      <c r="J44" s="117" t="s">
        <v>38</v>
      </c>
      <c r="K44" s="117" t="s">
        <v>161</v>
      </c>
      <c r="L44" s="117">
        <v>1</v>
      </c>
      <c r="M44" s="117"/>
      <c r="N44" s="117">
        <v>3</v>
      </c>
      <c r="O44" s="117">
        <v>0.75</v>
      </c>
      <c r="P44" s="117">
        <v>0.75</v>
      </c>
      <c r="Q44" s="119">
        <f t="shared" si="0"/>
        <v>0.75</v>
      </c>
      <c r="R44" s="117">
        <v>16.8</v>
      </c>
      <c r="S44" s="117">
        <v>154</v>
      </c>
      <c r="T44" s="120">
        <f t="shared" si="1"/>
        <v>18</v>
      </c>
      <c r="U44" s="117">
        <v>398</v>
      </c>
      <c r="V44" s="121">
        <f t="shared" si="2"/>
        <v>2388</v>
      </c>
      <c r="W44" s="117">
        <v>8</v>
      </c>
      <c r="X44" s="117" t="s">
        <v>46</v>
      </c>
      <c r="Y44" s="117" t="s">
        <v>55</v>
      </c>
      <c r="Z44" s="117" t="s">
        <v>69</v>
      </c>
      <c r="AA44" s="117" t="s">
        <v>40</v>
      </c>
      <c r="AB44" s="149" t="s">
        <v>285</v>
      </c>
    </row>
    <row r="45" spans="1:28" s="127" customFormat="1" x14ac:dyDescent="0.15">
      <c r="A45" s="117" t="s">
        <v>51</v>
      </c>
      <c r="B45" s="117" t="s">
        <v>157</v>
      </c>
      <c r="C45" s="117">
        <v>2019</v>
      </c>
      <c r="D45" s="118" t="s">
        <v>260</v>
      </c>
      <c r="E45" s="117" t="s">
        <v>268</v>
      </c>
      <c r="F45" s="117" t="s">
        <v>262</v>
      </c>
      <c r="G45" s="117" t="s">
        <v>36</v>
      </c>
      <c r="H45" s="117" t="s">
        <v>160</v>
      </c>
      <c r="I45" s="117" t="s">
        <v>159</v>
      </c>
      <c r="J45" s="117" t="s">
        <v>38</v>
      </c>
      <c r="K45" s="117" t="s">
        <v>161</v>
      </c>
      <c r="L45" s="117">
        <v>2</v>
      </c>
      <c r="M45" s="117"/>
      <c r="N45" s="117">
        <v>3</v>
      </c>
      <c r="O45" s="117">
        <v>0.8</v>
      </c>
      <c r="P45" s="117">
        <v>0.7</v>
      </c>
      <c r="Q45" s="119">
        <f t="shared" si="0"/>
        <v>0.75</v>
      </c>
      <c r="R45" s="117">
        <v>16.5</v>
      </c>
      <c r="S45" s="117">
        <v>156</v>
      </c>
      <c r="T45" s="120">
        <f t="shared" si="1"/>
        <v>18</v>
      </c>
      <c r="U45" s="117">
        <v>398</v>
      </c>
      <c r="V45" s="121">
        <f t="shared" si="2"/>
        <v>2388</v>
      </c>
      <c r="W45" s="117">
        <v>8</v>
      </c>
      <c r="X45" s="117" t="s">
        <v>46</v>
      </c>
      <c r="Y45" s="117" t="s">
        <v>55</v>
      </c>
      <c r="Z45" s="117" t="s">
        <v>69</v>
      </c>
      <c r="AA45" s="117" t="s">
        <v>40</v>
      </c>
      <c r="AB45" s="149" t="s">
        <v>285</v>
      </c>
    </row>
    <row r="46" spans="1:28" s="127" customFormat="1" x14ac:dyDescent="0.15">
      <c r="A46" s="117" t="s">
        <v>51</v>
      </c>
      <c r="B46" s="117" t="s">
        <v>157</v>
      </c>
      <c r="C46" s="117">
        <v>2019</v>
      </c>
      <c r="D46" s="118" t="s">
        <v>260</v>
      </c>
      <c r="E46" s="117" t="s">
        <v>268</v>
      </c>
      <c r="F46" s="117" t="s">
        <v>262</v>
      </c>
      <c r="G46" s="117" t="s">
        <v>36</v>
      </c>
      <c r="H46" s="117" t="s">
        <v>160</v>
      </c>
      <c r="I46" s="117" t="s">
        <v>159</v>
      </c>
      <c r="J46" s="117" t="s">
        <v>38</v>
      </c>
      <c r="K46" s="117" t="s">
        <v>161</v>
      </c>
      <c r="L46" s="117">
        <v>3</v>
      </c>
      <c r="M46" s="117"/>
      <c r="N46" s="117">
        <v>3</v>
      </c>
      <c r="O46" s="117">
        <v>0.8</v>
      </c>
      <c r="P46" s="117">
        <v>0.75</v>
      </c>
      <c r="Q46" s="119">
        <f t="shared" si="0"/>
        <v>0.77500000000000002</v>
      </c>
      <c r="R46" s="117">
        <v>17.600000000000001</v>
      </c>
      <c r="S46" s="117">
        <v>174</v>
      </c>
      <c r="T46" s="120">
        <f t="shared" si="1"/>
        <v>18</v>
      </c>
      <c r="U46" s="117">
        <v>398</v>
      </c>
      <c r="V46" s="121">
        <f t="shared" si="2"/>
        <v>2388</v>
      </c>
      <c r="W46" s="117">
        <v>8</v>
      </c>
      <c r="X46" s="117" t="s">
        <v>46</v>
      </c>
      <c r="Y46" s="117" t="s">
        <v>55</v>
      </c>
      <c r="Z46" s="117" t="s">
        <v>69</v>
      </c>
      <c r="AA46" s="117" t="s">
        <v>40</v>
      </c>
      <c r="AB46" s="149" t="s">
        <v>285</v>
      </c>
    </row>
    <row r="47" spans="1:28" s="127" customFormat="1" x14ac:dyDescent="0.15">
      <c r="A47" s="117" t="s">
        <v>51</v>
      </c>
      <c r="B47" s="117" t="s">
        <v>157</v>
      </c>
      <c r="C47" s="117">
        <v>2019</v>
      </c>
      <c r="D47" s="118" t="s">
        <v>260</v>
      </c>
      <c r="E47" s="117" t="s">
        <v>272</v>
      </c>
      <c r="F47" s="117" t="s">
        <v>262</v>
      </c>
      <c r="G47" s="117" t="s">
        <v>36</v>
      </c>
      <c r="H47" s="117" t="s">
        <v>165</v>
      </c>
      <c r="I47" s="117" t="s">
        <v>159</v>
      </c>
      <c r="J47" s="117" t="s">
        <v>38</v>
      </c>
      <c r="K47" s="117" t="s">
        <v>161</v>
      </c>
      <c r="L47" s="117">
        <v>1</v>
      </c>
      <c r="M47" s="117"/>
      <c r="N47" s="117">
        <v>3</v>
      </c>
      <c r="O47" s="117">
        <v>0.8</v>
      </c>
      <c r="P47" s="117">
        <v>0.8</v>
      </c>
      <c r="Q47" s="119">
        <f t="shared" si="0"/>
        <v>0.8</v>
      </c>
      <c r="R47" s="117">
        <v>15.1</v>
      </c>
      <c r="S47" s="117">
        <v>146</v>
      </c>
      <c r="T47" s="120">
        <f t="shared" si="1"/>
        <v>22</v>
      </c>
      <c r="U47" s="117">
        <v>380</v>
      </c>
      <c r="V47" s="121">
        <f t="shared" si="2"/>
        <v>2786.666666666667</v>
      </c>
      <c r="W47" s="117">
        <v>16</v>
      </c>
      <c r="X47" s="117" t="s">
        <v>46</v>
      </c>
      <c r="Y47" s="117" t="s">
        <v>55</v>
      </c>
      <c r="Z47" s="117" t="s">
        <v>90</v>
      </c>
      <c r="AA47" s="117" t="s">
        <v>40</v>
      </c>
      <c r="AB47" s="149" t="s">
        <v>285</v>
      </c>
    </row>
    <row r="48" spans="1:28" s="127" customFormat="1" x14ac:dyDescent="0.15">
      <c r="A48" s="117" t="s">
        <v>51</v>
      </c>
      <c r="B48" s="117" t="s">
        <v>157</v>
      </c>
      <c r="C48" s="117">
        <v>2019</v>
      </c>
      <c r="D48" s="118" t="s">
        <v>260</v>
      </c>
      <c r="E48" s="117" t="s">
        <v>272</v>
      </c>
      <c r="F48" s="117" t="s">
        <v>273</v>
      </c>
      <c r="G48" s="117" t="s">
        <v>36</v>
      </c>
      <c r="H48" s="117" t="s">
        <v>165</v>
      </c>
      <c r="I48" s="117" t="s">
        <v>159</v>
      </c>
      <c r="J48" s="117" t="s">
        <v>38</v>
      </c>
      <c r="K48" s="117" t="s">
        <v>161</v>
      </c>
      <c r="L48" s="117">
        <v>2</v>
      </c>
      <c r="M48" s="117"/>
      <c r="N48" s="117">
        <v>3</v>
      </c>
      <c r="O48" s="117">
        <v>0.7</v>
      </c>
      <c r="P48" s="117">
        <v>0.75</v>
      </c>
      <c r="Q48" s="119">
        <f t="shared" si="0"/>
        <v>0.72499999999999998</v>
      </c>
      <c r="R48" s="117">
        <v>14.6</v>
      </c>
      <c r="S48" s="117">
        <v>140</v>
      </c>
      <c r="T48" s="120">
        <f t="shared" si="1"/>
        <v>22</v>
      </c>
      <c r="U48" s="117">
        <v>380</v>
      </c>
      <c r="V48" s="121">
        <f t="shared" si="2"/>
        <v>2786.666666666667</v>
      </c>
      <c r="W48" s="117">
        <v>16</v>
      </c>
      <c r="X48" s="117" t="s">
        <v>46</v>
      </c>
      <c r="Y48" s="117" t="s">
        <v>55</v>
      </c>
      <c r="Z48" s="117" t="s">
        <v>90</v>
      </c>
      <c r="AA48" s="117" t="s">
        <v>40</v>
      </c>
      <c r="AB48" s="149" t="s">
        <v>285</v>
      </c>
    </row>
    <row r="49" spans="1:28" s="127" customFormat="1" x14ac:dyDescent="0.15">
      <c r="A49" s="117" t="s">
        <v>51</v>
      </c>
      <c r="B49" s="117" t="s">
        <v>157</v>
      </c>
      <c r="C49" s="117">
        <v>2019</v>
      </c>
      <c r="D49" s="118" t="s">
        <v>260</v>
      </c>
      <c r="E49" s="117" t="s">
        <v>272</v>
      </c>
      <c r="F49" s="117" t="s">
        <v>273</v>
      </c>
      <c r="G49" s="117" t="s">
        <v>36</v>
      </c>
      <c r="H49" s="117" t="s">
        <v>165</v>
      </c>
      <c r="I49" s="117" t="s">
        <v>159</v>
      </c>
      <c r="J49" s="117" t="s">
        <v>38</v>
      </c>
      <c r="K49" s="117" t="s">
        <v>161</v>
      </c>
      <c r="L49" s="117">
        <v>3</v>
      </c>
      <c r="M49" s="117"/>
      <c r="N49" s="117">
        <v>3</v>
      </c>
      <c r="O49" s="117">
        <v>0.75</v>
      </c>
      <c r="P49" s="117">
        <v>0.65</v>
      </c>
      <c r="Q49" s="119">
        <f t="shared" si="0"/>
        <v>0.7</v>
      </c>
      <c r="R49" s="117">
        <v>16.2</v>
      </c>
      <c r="S49" s="117">
        <v>154</v>
      </c>
      <c r="T49" s="120">
        <f t="shared" si="1"/>
        <v>18</v>
      </c>
      <c r="U49" s="117">
        <v>380</v>
      </c>
      <c r="V49" s="121">
        <f t="shared" si="2"/>
        <v>2280</v>
      </c>
      <c r="W49" s="117">
        <v>16</v>
      </c>
      <c r="X49" s="117" t="s">
        <v>46</v>
      </c>
      <c r="Y49" s="117" t="s">
        <v>55</v>
      </c>
      <c r="Z49" s="117" t="s">
        <v>90</v>
      </c>
      <c r="AA49" s="117" t="s">
        <v>40</v>
      </c>
      <c r="AB49" s="149" t="s">
        <v>285</v>
      </c>
    </row>
    <row r="50" spans="1:28" s="127" customFormat="1" x14ac:dyDescent="0.15">
      <c r="A50" s="117" t="s">
        <v>51</v>
      </c>
      <c r="B50" s="117" t="s">
        <v>157</v>
      </c>
      <c r="C50" s="117">
        <v>2019</v>
      </c>
      <c r="D50" s="118" t="s">
        <v>260</v>
      </c>
      <c r="E50" s="117" t="s">
        <v>272</v>
      </c>
      <c r="F50" s="117" t="s">
        <v>273</v>
      </c>
      <c r="G50" s="117" t="s">
        <v>36</v>
      </c>
      <c r="H50" s="117" t="s">
        <v>160</v>
      </c>
      <c r="I50" s="117" t="s">
        <v>159</v>
      </c>
      <c r="J50" s="117" t="s">
        <v>38</v>
      </c>
      <c r="K50" s="117" t="s">
        <v>161</v>
      </c>
      <c r="L50" s="117">
        <v>1</v>
      </c>
      <c r="M50" s="117"/>
      <c r="N50" s="117">
        <v>3</v>
      </c>
      <c r="O50" s="117">
        <v>0.55000000000000004</v>
      </c>
      <c r="P50" s="117">
        <v>0.65</v>
      </c>
      <c r="Q50" s="119">
        <f t="shared" si="0"/>
        <v>0.60000000000000009</v>
      </c>
      <c r="R50" s="117">
        <v>18.100000000000001</v>
      </c>
      <c r="S50" s="117">
        <v>140</v>
      </c>
      <c r="T50" s="120">
        <f t="shared" si="1"/>
        <v>22</v>
      </c>
      <c r="U50" s="117">
        <v>380</v>
      </c>
      <c r="V50" s="121">
        <f t="shared" si="2"/>
        <v>2786.666666666667</v>
      </c>
      <c r="W50" s="117">
        <v>16</v>
      </c>
      <c r="X50" s="117" t="s">
        <v>46</v>
      </c>
      <c r="Y50" s="117" t="s">
        <v>55</v>
      </c>
      <c r="Z50" s="117" t="s">
        <v>90</v>
      </c>
      <c r="AA50" s="117" t="s">
        <v>40</v>
      </c>
      <c r="AB50" s="149" t="s">
        <v>285</v>
      </c>
    </row>
    <row r="51" spans="1:28" s="127" customFormat="1" x14ac:dyDescent="0.15">
      <c r="A51" s="117" t="s">
        <v>51</v>
      </c>
      <c r="B51" s="117" t="s">
        <v>157</v>
      </c>
      <c r="C51" s="117">
        <v>2019</v>
      </c>
      <c r="D51" s="118" t="s">
        <v>260</v>
      </c>
      <c r="E51" s="117" t="s">
        <v>272</v>
      </c>
      <c r="F51" s="117" t="s">
        <v>273</v>
      </c>
      <c r="G51" s="117" t="s">
        <v>36</v>
      </c>
      <c r="H51" s="117" t="s">
        <v>160</v>
      </c>
      <c r="I51" s="117" t="s">
        <v>159</v>
      </c>
      <c r="J51" s="117" t="s">
        <v>38</v>
      </c>
      <c r="K51" s="117" t="s">
        <v>161</v>
      </c>
      <c r="L51" s="117">
        <v>2</v>
      </c>
      <c r="M51" s="117"/>
      <c r="N51" s="117">
        <v>3</v>
      </c>
      <c r="O51" s="117">
        <v>0.6</v>
      </c>
      <c r="P51" s="117">
        <v>0.6</v>
      </c>
      <c r="Q51" s="119">
        <f t="shared" si="0"/>
        <v>0.6</v>
      </c>
      <c r="R51" s="117">
        <v>17.899999999999999</v>
      </c>
      <c r="S51" s="117">
        <v>146</v>
      </c>
      <c r="T51" s="120">
        <f t="shared" si="1"/>
        <v>22</v>
      </c>
      <c r="U51" s="117">
        <v>380</v>
      </c>
      <c r="V51" s="121">
        <f t="shared" si="2"/>
        <v>2786.666666666667</v>
      </c>
      <c r="W51" s="117">
        <v>16</v>
      </c>
      <c r="X51" s="117" t="s">
        <v>46</v>
      </c>
      <c r="Y51" s="117" t="s">
        <v>55</v>
      </c>
      <c r="Z51" s="117" t="s">
        <v>90</v>
      </c>
      <c r="AA51" s="117" t="s">
        <v>40</v>
      </c>
      <c r="AB51" s="149" t="s">
        <v>285</v>
      </c>
    </row>
    <row r="52" spans="1:28" s="127" customFormat="1" x14ac:dyDescent="0.15">
      <c r="A52" s="117" t="s">
        <v>51</v>
      </c>
      <c r="B52" s="117" t="s">
        <v>157</v>
      </c>
      <c r="C52" s="117">
        <v>2019</v>
      </c>
      <c r="D52" s="118" t="s">
        <v>260</v>
      </c>
      <c r="E52" s="117" t="s">
        <v>272</v>
      </c>
      <c r="F52" s="117" t="s">
        <v>273</v>
      </c>
      <c r="G52" s="117" t="s">
        <v>36</v>
      </c>
      <c r="H52" s="117" t="s">
        <v>160</v>
      </c>
      <c r="I52" s="117" t="s">
        <v>159</v>
      </c>
      <c r="J52" s="117" t="s">
        <v>38</v>
      </c>
      <c r="K52" s="117" t="s">
        <v>161</v>
      </c>
      <c r="L52" s="117">
        <v>3</v>
      </c>
      <c r="M52" s="117"/>
      <c r="N52" s="117">
        <v>3</v>
      </c>
      <c r="O52" s="117">
        <v>0.65</v>
      </c>
      <c r="P52" s="117">
        <v>0.7</v>
      </c>
      <c r="Q52" s="119">
        <f t="shared" si="0"/>
        <v>0.67500000000000004</v>
      </c>
      <c r="R52" s="117">
        <v>18.399999999999999</v>
      </c>
      <c r="S52" s="117">
        <v>144</v>
      </c>
      <c r="T52" s="120">
        <f t="shared" si="1"/>
        <v>22</v>
      </c>
      <c r="U52" s="117">
        <v>380</v>
      </c>
      <c r="V52" s="121">
        <f t="shared" si="2"/>
        <v>2786.666666666667</v>
      </c>
      <c r="W52" s="117">
        <v>16</v>
      </c>
      <c r="X52" s="117" t="s">
        <v>46</v>
      </c>
      <c r="Y52" s="117" t="s">
        <v>55</v>
      </c>
      <c r="Z52" s="117" t="s">
        <v>90</v>
      </c>
      <c r="AA52" s="117" t="s">
        <v>40</v>
      </c>
      <c r="AB52" s="149" t="s">
        <v>285</v>
      </c>
    </row>
    <row r="53" spans="1:28" s="127" customFormat="1" x14ac:dyDescent="0.15">
      <c r="A53" s="117" t="s">
        <v>51</v>
      </c>
      <c r="B53" s="117" t="s">
        <v>157</v>
      </c>
      <c r="C53" s="117">
        <v>2019</v>
      </c>
      <c r="D53" s="118" t="s">
        <v>260</v>
      </c>
      <c r="E53" s="117" t="s">
        <v>274</v>
      </c>
      <c r="F53" s="117" t="s">
        <v>262</v>
      </c>
      <c r="G53" s="117" t="s">
        <v>42</v>
      </c>
      <c r="H53" s="117" t="s">
        <v>165</v>
      </c>
      <c r="I53" s="117" t="s">
        <v>159</v>
      </c>
      <c r="J53" s="117" t="s">
        <v>38</v>
      </c>
      <c r="K53" s="117" t="s">
        <v>161</v>
      </c>
      <c r="L53" s="117">
        <v>1</v>
      </c>
      <c r="M53" s="117"/>
      <c r="N53" s="117">
        <v>1</v>
      </c>
      <c r="O53" s="117">
        <v>0.75</v>
      </c>
      <c r="P53" s="117">
        <v>0.65</v>
      </c>
      <c r="Q53" s="119">
        <f t="shared" si="0"/>
        <v>0.7</v>
      </c>
      <c r="R53" s="117">
        <v>16.600000000000001</v>
      </c>
      <c r="S53" s="117">
        <v>124</v>
      </c>
      <c r="T53" s="120">
        <f t="shared" si="1"/>
        <v>27</v>
      </c>
      <c r="U53" s="117">
        <v>98</v>
      </c>
      <c r="V53" s="121">
        <f t="shared" si="2"/>
        <v>2646</v>
      </c>
      <c r="W53" s="117">
        <v>7</v>
      </c>
      <c r="X53" s="117" t="s">
        <v>46</v>
      </c>
      <c r="Y53" s="117" t="s">
        <v>84</v>
      </c>
      <c r="Z53" s="117" t="s">
        <v>69</v>
      </c>
      <c r="AA53" s="117" t="s">
        <v>55</v>
      </c>
      <c r="AB53" s="149" t="s">
        <v>285</v>
      </c>
    </row>
    <row r="54" spans="1:28" s="127" customFormat="1" x14ac:dyDescent="0.15">
      <c r="A54" s="117" t="s">
        <v>51</v>
      </c>
      <c r="B54" s="117" t="s">
        <v>157</v>
      </c>
      <c r="C54" s="117">
        <v>2019</v>
      </c>
      <c r="D54" s="118" t="s">
        <v>260</v>
      </c>
      <c r="E54" s="117" t="s">
        <v>274</v>
      </c>
      <c r="F54" s="117" t="s">
        <v>262</v>
      </c>
      <c r="G54" s="117" t="s">
        <v>42</v>
      </c>
      <c r="H54" s="117" t="s">
        <v>165</v>
      </c>
      <c r="I54" s="117" t="s">
        <v>159</v>
      </c>
      <c r="J54" s="117" t="s">
        <v>38</v>
      </c>
      <c r="K54" s="117" t="s">
        <v>161</v>
      </c>
      <c r="L54" s="117">
        <v>2</v>
      </c>
      <c r="M54" s="117"/>
      <c r="N54" s="117">
        <v>1</v>
      </c>
      <c r="O54" s="117">
        <v>0.7</v>
      </c>
      <c r="P54" s="117">
        <v>0.7</v>
      </c>
      <c r="Q54" s="119">
        <f t="shared" si="0"/>
        <v>0.7</v>
      </c>
      <c r="R54" s="117">
        <v>16.3</v>
      </c>
      <c r="S54" s="117">
        <v>124</v>
      </c>
      <c r="T54" s="120">
        <f t="shared" si="1"/>
        <v>27</v>
      </c>
      <c r="U54" s="117">
        <v>98</v>
      </c>
      <c r="V54" s="121">
        <f t="shared" si="2"/>
        <v>2646</v>
      </c>
      <c r="W54" s="117">
        <v>7</v>
      </c>
      <c r="X54" s="117" t="s">
        <v>46</v>
      </c>
      <c r="Y54" s="117" t="s">
        <v>84</v>
      </c>
      <c r="Z54" s="117" t="s">
        <v>69</v>
      </c>
      <c r="AA54" s="117" t="s">
        <v>55</v>
      </c>
      <c r="AB54" s="149" t="s">
        <v>285</v>
      </c>
    </row>
    <row r="55" spans="1:28" s="127" customFormat="1" x14ac:dyDescent="0.15">
      <c r="A55" s="117" t="s">
        <v>51</v>
      </c>
      <c r="B55" s="117" t="s">
        <v>157</v>
      </c>
      <c r="C55" s="117">
        <v>2019</v>
      </c>
      <c r="D55" s="118" t="s">
        <v>260</v>
      </c>
      <c r="E55" s="117" t="s">
        <v>274</v>
      </c>
      <c r="F55" s="117" t="s">
        <v>262</v>
      </c>
      <c r="G55" s="117" t="s">
        <v>42</v>
      </c>
      <c r="H55" s="117" t="s">
        <v>165</v>
      </c>
      <c r="I55" s="117" t="s">
        <v>159</v>
      </c>
      <c r="J55" s="117" t="s">
        <v>38</v>
      </c>
      <c r="K55" s="117" t="s">
        <v>161</v>
      </c>
      <c r="L55" s="117">
        <v>3</v>
      </c>
      <c r="M55" s="117"/>
      <c r="N55" s="117">
        <v>1</v>
      </c>
      <c r="O55" s="117">
        <v>0.75</v>
      </c>
      <c r="P55" s="117">
        <v>0.8</v>
      </c>
      <c r="Q55" s="119">
        <f t="shared" si="0"/>
        <v>0.77500000000000002</v>
      </c>
      <c r="R55" s="117">
        <v>15.7</v>
      </c>
      <c r="S55" s="117">
        <v>118</v>
      </c>
      <c r="T55" s="120">
        <f t="shared" si="1"/>
        <v>30</v>
      </c>
      <c r="U55" s="117">
        <v>98</v>
      </c>
      <c r="V55" s="121">
        <f t="shared" si="2"/>
        <v>2940</v>
      </c>
      <c r="W55" s="117">
        <v>7</v>
      </c>
      <c r="X55" s="117" t="s">
        <v>46</v>
      </c>
      <c r="Y55" s="117" t="s">
        <v>84</v>
      </c>
      <c r="Z55" s="117" t="s">
        <v>69</v>
      </c>
      <c r="AA55" s="117" t="s">
        <v>55</v>
      </c>
      <c r="AB55" s="149" t="s">
        <v>285</v>
      </c>
    </row>
    <row r="56" spans="1:28" s="127" customFormat="1" x14ac:dyDescent="0.15">
      <c r="A56" s="117" t="s">
        <v>51</v>
      </c>
      <c r="B56" s="117" t="s">
        <v>157</v>
      </c>
      <c r="C56" s="117">
        <v>2019</v>
      </c>
      <c r="D56" s="118" t="s">
        <v>260</v>
      </c>
      <c r="E56" s="117" t="s">
        <v>274</v>
      </c>
      <c r="F56" s="117" t="s">
        <v>262</v>
      </c>
      <c r="G56" s="117" t="s">
        <v>42</v>
      </c>
      <c r="H56" s="117" t="s">
        <v>160</v>
      </c>
      <c r="I56" s="117" t="s">
        <v>159</v>
      </c>
      <c r="J56" s="117" t="s">
        <v>38</v>
      </c>
      <c r="K56" s="117" t="s">
        <v>161</v>
      </c>
      <c r="L56" s="117">
        <v>1</v>
      </c>
      <c r="M56" s="117"/>
      <c r="N56" s="117">
        <v>1</v>
      </c>
      <c r="O56" s="117">
        <v>0.7</v>
      </c>
      <c r="P56" s="117">
        <v>0.7</v>
      </c>
      <c r="Q56" s="119">
        <f t="shared" si="0"/>
        <v>0.7</v>
      </c>
      <c r="R56" s="117">
        <v>17.5</v>
      </c>
      <c r="S56" s="117">
        <v>130</v>
      </c>
      <c r="T56" s="120">
        <f t="shared" si="1"/>
        <v>25</v>
      </c>
      <c r="U56" s="117">
        <v>98</v>
      </c>
      <c r="V56" s="121">
        <f t="shared" si="2"/>
        <v>2450</v>
      </c>
      <c r="W56" s="117">
        <v>7</v>
      </c>
      <c r="X56" s="117" t="s">
        <v>46</v>
      </c>
      <c r="Y56" s="117" t="s">
        <v>84</v>
      </c>
      <c r="Z56" s="117" t="s">
        <v>69</v>
      </c>
      <c r="AA56" s="117" t="s">
        <v>55</v>
      </c>
      <c r="AB56" s="149" t="s">
        <v>285</v>
      </c>
    </row>
    <row r="57" spans="1:28" s="127" customFormat="1" x14ac:dyDescent="0.15">
      <c r="A57" s="117" t="s">
        <v>51</v>
      </c>
      <c r="B57" s="117" t="s">
        <v>157</v>
      </c>
      <c r="C57" s="117">
        <v>2019</v>
      </c>
      <c r="D57" s="118" t="s">
        <v>260</v>
      </c>
      <c r="E57" s="117" t="s">
        <v>274</v>
      </c>
      <c r="F57" s="117" t="s">
        <v>262</v>
      </c>
      <c r="G57" s="117" t="s">
        <v>42</v>
      </c>
      <c r="H57" s="117" t="s">
        <v>160</v>
      </c>
      <c r="I57" s="117" t="s">
        <v>159</v>
      </c>
      <c r="J57" s="117" t="s">
        <v>38</v>
      </c>
      <c r="K57" s="117" t="s">
        <v>161</v>
      </c>
      <c r="L57" s="117">
        <v>2</v>
      </c>
      <c r="M57" s="117"/>
      <c r="N57" s="117">
        <v>1</v>
      </c>
      <c r="O57" s="117">
        <v>0.55000000000000004</v>
      </c>
      <c r="P57" s="117">
        <v>0.5</v>
      </c>
      <c r="Q57" s="119">
        <f t="shared" si="0"/>
        <v>0.52500000000000002</v>
      </c>
      <c r="R57" s="117">
        <v>16.600000000000001</v>
      </c>
      <c r="S57" s="117">
        <v>120</v>
      </c>
      <c r="T57" s="120">
        <f t="shared" si="1"/>
        <v>30</v>
      </c>
      <c r="U57" s="117">
        <v>98</v>
      </c>
      <c r="V57" s="121">
        <f t="shared" si="2"/>
        <v>2940</v>
      </c>
      <c r="W57" s="117">
        <v>7</v>
      </c>
      <c r="X57" s="117" t="s">
        <v>46</v>
      </c>
      <c r="Y57" s="117" t="s">
        <v>84</v>
      </c>
      <c r="Z57" s="117" t="s">
        <v>69</v>
      </c>
      <c r="AA57" s="117" t="s">
        <v>55</v>
      </c>
      <c r="AB57" s="149" t="s">
        <v>285</v>
      </c>
    </row>
    <row r="58" spans="1:28" s="127" customFormat="1" x14ac:dyDescent="0.15">
      <c r="A58" s="117" t="s">
        <v>51</v>
      </c>
      <c r="B58" s="117" t="s">
        <v>157</v>
      </c>
      <c r="C58" s="117">
        <v>2019</v>
      </c>
      <c r="D58" s="118" t="s">
        <v>260</v>
      </c>
      <c r="E58" s="117" t="s">
        <v>274</v>
      </c>
      <c r="F58" s="117" t="s">
        <v>262</v>
      </c>
      <c r="G58" s="117" t="s">
        <v>42</v>
      </c>
      <c r="H58" s="117" t="s">
        <v>160</v>
      </c>
      <c r="I58" s="117" t="s">
        <v>159</v>
      </c>
      <c r="J58" s="117" t="s">
        <v>38</v>
      </c>
      <c r="K58" s="117" t="s">
        <v>161</v>
      </c>
      <c r="L58" s="117">
        <v>3</v>
      </c>
      <c r="M58" s="117"/>
      <c r="N58" s="117">
        <v>1</v>
      </c>
      <c r="O58" s="117">
        <v>0.6</v>
      </c>
      <c r="P58" s="117">
        <v>0.65</v>
      </c>
      <c r="Q58" s="119">
        <f t="shared" si="0"/>
        <v>0.625</v>
      </c>
      <c r="R58" s="117">
        <v>17.2</v>
      </c>
      <c r="S58" s="117">
        <v>126</v>
      </c>
      <c r="T58" s="120">
        <f t="shared" si="1"/>
        <v>27</v>
      </c>
      <c r="U58" s="117">
        <v>98</v>
      </c>
      <c r="V58" s="121">
        <f t="shared" si="2"/>
        <v>2646</v>
      </c>
      <c r="W58" s="117">
        <v>7</v>
      </c>
      <c r="X58" s="117" t="s">
        <v>46</v>
      </c>
      <c r="Y58" s="117" t="s">
        <v>84</v>
      </c>
      <c r="Z58" s="117" t="s">
        <v>69</v>
      </c>
      <c r="AA58" s="117" t="s">
        <v>55</v>
      </c>
      <c r="AB58" s="149" t="s">
        <v>285</v>
      </c>
    </row>
    <row r="59" spans="1:28" s="127" customFormat="1" x14ac:dyDescent="0.15">
      <c r="A59" s="117"/>
      <c r="B59" s="117"/>
      <c r="C59" s="117"/>
      <c r="D59" s="118"/>
      <c r="E59" s="117"/>
      <c r="F59" s="117"/>
      <c r="G59" s="117"/>
      <c r="H59" s="117"/>
      <c r="I59" s="117"/>
      <c r="J59" s="117"/>
      <c r="K59" s="117"/>
      <c r="N59" s="117"/>
      <c r="Q59" s="119" t="str">
        <f t="shared" si="0"/>
        <v/>
      </c>
      <c r="T59" s="120" t="str">
        <f t="shared" si="1"/>
        <v/>
      </c>
      <c r="U59" s="117"/>
      <c r="V59" s="121" t="str">
        <f t="shared" si="2"/>
        <v/>
      </c>
      <c r="W59" s="117"/>
      <c r="X59" s="117"/>
      <c r="Y59" s="117"/>
      <c r="Z59" s="117"/>
      <c r="AA59" s="117"/>
      <c r="AB59" s="117"/>
    </row>
    <row r="60" spans="1:28" s="127" customFormat="1" x14ac:dyDescent="0.15">
      <c r="A60" s="117"/>
      <c r="B60" s="117"/>
      <c r="C60" s="117"/>
      <c r="D60" s="118"/>
      <c r="E60" s="117"/>
      <c r="F60" s="117"/>
      <c r="G60" s="117"/>
      <c r="H60" s="117"/>
      <c r="I60" s="117"/>
      <c r="J60" s="117"/>
      <c r="K60" s="117"/>
      <c r="N60" s="117"/>
      <c r="Q60" s="119" t="str">
        <f t="shared" si="0"/>
        <v/>
      </c>
      <c r="T60" s="120" t="str">
        <f t="shared" si="1"/>
        <v/>
      </c>
      <c r="U60" s="117"/>
      <c r="V60" s="121" t="str">
        <f t="shared" si="2"/>
        <v/>
      </c>
      <c r="W60" s="117"/>
      <c r="X60" s="117"/>
      <c r="Y60" s="117"/>
      <c r="Z60" s="117"/>
      <c r="AA60" s="117"/>
      <c r="AB60" s="117"/>
    </row>
    <row r="61" spans="1:28" s="127" customFormat="1" x14ac:dyDescent="0.15">
      <c r="A61" s="117"/>
      <c r="B61" s="117"/>
      <c r="C61" s="117"/>
      <c r="D61" s="118"/>
      <c r="E61" s="117"/>
      <c r="F61" s="117"/>
      <c r="G61" s="117"/>
      <c r="H61" s="117"/>
      <c r="I61" s="117"/>
      <c r="J61" s="117"/>
      <c r="K61" s="117"/>
      <c r="N61" s="117"/>
      <c r="Q61" s="119" t="str">
        <f t="shared" si="0"/>
        <v/>
      </c>
      <c r="T61" s="120" t="str">
        <f t="shared" si="1"/>
        <v/>
      </c>
      <c r="U61" s="117"/>
      <c r="V61" s="121" t="str">
        <f t="shared" si="2"/>
        <v/>
      </c>
      <c r="W61" s="117"/>
      <c r="X61" s="117"/>
      <c r="Y61" s="117"/>
      <c r="Z61" s="117"/>
      <c r="AA61" s="117"/>
      <c r="AB61" s="117"/>
    </row>
    <row r="62" spans="1:28" s="127" customFormat="1" x14ac:dyDescent="0.15">
      <c r="A62" s="117"/>
      <c r="B62" s="117"/>
      <c r="C62" s="117"/>
      <c r="D62" s="118"/>
      <c r="E62" s="117"/>
      <c r="F62" s="117"/>
      <c r="G62" s="117"/>
      <c r="H62" s="117"/>
      <c r="I62" s="117"/>
      <c r="J62" s="117"/>
      <c r="K62" s="117"/>
      <c r="N62" s="117"/>
      <c r="Q62" s="119" t="str">
        <f t="shared" si="0"/>
        <v/>
      </c>
      <c r="T62" s="120" t="str">
        <f t="shared" si="1"/>
        <v/>
      </c>
      <c r="U62" s="117"/>
      <c r="V62" s="121" t="str">
        <f t="shared" si="2"/>
        <v/>
      </c>
      <c r="W62" s="117"/>
      <c r="X62" s="117"/>
      <c r="Y62" s="117"/>
      <c r="Z62" s="117"/>
      <c r="AA62" s="117"/>
      <c r="AB62" s="117"/>
    </row>
    <row r="63" spans="1:28" s="127" customFormat="1" x14ac:dyDescent="0.15">
      <c r="A63" s="117"/>
      <c r="B63" s="117"/>
      <c r="C63" s="117"/>
      <c r="D63" s="118"/>
      <c r="E63" s="117"/>
      <c r="F63" s="117"/>
      <c r="G63" s="117"/>
      <c r="H63" s="117"/>
      <c r="I63" s="117"/>
      <c r="J63" s="117"/>
      <c r="K63" s="117"/>
      <c r="N63" s="117"/>
      <c r="Q63" s="119" t="str">
        <f t="shared" si="0"/>
        <v/>
      </c>
      <c r="T63" s="120" t="str">
        <f t="shared" si="1"/>
        <v/>
      </c>
      <c r="U63" s="117"/>
      <c r="V63" s="121" t="str">
        <f t="shared" si="2"/>
        <v/>
      </c>
      <c r="W63" s="117"/>
      <c r="X63" s="117"/>
      <c r="Y63" s="117"/>
      <c r="Z63" s="117"/>
      <c r="AA63" s="117"/>
      <c r="AB63" s="117"/>
    </row>
    <row r="64" spans="1:28" s="127" customFormat="1" x14ac:dyDescent="0.15">
      <c r="A64" s="117"/>
      <c r="B64" s="117"/>
      <c r="C64" s="117"/>
      <c r="D64" s="118"/>
      <c r="E64" s="117"/>
      <c r="F64" s="117"/>
      <c r="G64" s="117"/>
      <c r="H64" s="117"/>
      <c r="I64" s="117"/>
      <c r="J64" s="117"/>
      <c r="K64" s="117"/>
      <c r="N64" s="117"/>
      <c r="Q64" s="119" t="str">
        <f t="shared" si="0"/>
        <v/>
      </c>
      <c r="T64" s="120" t="str">
        <f t="shared" si="1"/>
        <v/>
      </c>
      <c r="U64" s="117"/>
      <c r="V64" s="121" t="str">
        <f t="shared" si="2"/>
        <v/>
      </c>
      <c r="W64" s="117"/>
      <c r="X64" s="117"/>
      <c r="Y64" s="117"/>
      <c r="Z64" s="117"/>
      <c r="AA64" s="117"/>
      <c r="AB64" s="117"/>
    </row>
    <row r="65" spans="1:28" s="127" customFormat="1" x14ac:dyDescent="0.15">
      <c r="A65" s="117"/>
      <c r="B65" s="117"/>
      <c r="C65" s="117"/>
      <c r="D65" s="118"/>
      <c r="E65" s="117"/>
      <c r="F65" s="117"/>
      <c r="G65" s="117"/>
      <c r="H65" s="117"/>
      <c r="I65" s="117"/>
      <c r="J65" s="117"/>
      <c r="K65" s="117"/>
      <c r="N65" s="117"/>
      <c r="Q65" s="120" t="str">
        <f t="shared" si="0"/>
        <v/>
      </c>
      <c r="T65" s="120" t="str">
        <f t="shared" si="1"/>
        <v/>
      </c>
      <c r="U65" s="117"/>
      <c r="V65" s="120" t="str">
        <f t="shared" si="2"/>
        <v/>
      </c>
      <c r="W65" s="117"/>
      <c r="X65" s="117"/>
      <c r="Y65" s="117"/>
      <c r="Z65" s="117"/>
      <c r="AA65" s="117"/>
      <c r="AB65" s="117"/>
    </row>
    <row r="66" spans="1:28" x14ac:dyDescent="0.15">
      <c r="A66" s="117"/>
      <c r="B66" s="117"/>
      <c r="C66" s="142"/>
      <c r="D66" s="143"/>
      <c r="E66" s="117"/>
      <c r="F66" s="117"/>
      <c r="G66" s="142"/>
      <c r="H66" s="142"/>
      <c r="I66" s="142"/>
      <c r="J66" s="142"/>
      <c r="K66" s="117"/>
      <c r="N66" s="142"/>
      <c r="Q66" s="144" t="str">
        <f t="shared" ref="Q66:Q85" si="3">IF(OR(O66="",P66=""),"",AVERAGE(O66,P66))</f>
        <v/>
      </c>
      <c r="T66" s="144" t="str">
        <f t="shared" ref="T66:T85" si="4">IF(H66="","",IF(OR(H66="GREEN",H66="GK"),IF(S66&gt;=$AX$2,VLOOKUP(S66,$AX$2:$AY$12,2,1),""),IF(S66&gt;=$AZ$2,VLOOKUP(S66,$AZ$2:$BA$12,2,1),"")))</f>
        <v/>
      </c>
      <c r="U66" s="142"/>
      <c r="V66" s="144" t="str">
        <f t="shared" ref="V66:V85" si="5">IF(OR(N66="",U66="",T66=""),"",U66/N66*T66)</f>
        <v/>
      </c>
      <c r="W66" s="142"/>
      <c r="X66" s="142"/>
      <c r="Y66" s="142"/>
      <c r="Z66" s="142"/>
      <c r="AA66" s="142"/>
      <c r="AB66" s="117"/>
    </row>
    <row r="67" spans="1:28" x14ac:dyDescent="0.15">
      <c r="A67" s="117"/>
      <c r="B67" s="117"/>
      <c r="C67" s="142"/>
      <c r="D67" s="143"/>
      <c r="E67" s="117"/>
      <c r="F67" s="117"/>
      <c r="G67" s="142"/>
      <c r="H67" s="142"/>
      <c r="I67" s="142"/>
      <c r="J67" s="142"/>
      <c r="K67" s="117"/>
      <c r="N67" s="142"/>
      <c r="O67" s="127"/>
      <c r="Q67" s="144" t="str">
        <f t="shared" si="3"/>
        <v/>
      </c>
      <c r="T67" s="144" t="str">
        <f t="shared" si="4"/>
        <v/>
      </c>
      <c r="U67" s="142"/>
      <c r="V67" s="144" t="str">
        <f t="shared" si="5"/>
        <v/>
      </c>
      <c r="W67" s="142"/>
      <c r="X67" s="142"/>
      <c r="Y67" s="142"/>
      <c r="Z67" s="142"/>
      <c r="AA67" s="142"/>
      <c r="AB67" s="117"/>
    </row>
    <row r="68" spans="1:28" x14ac:dyDescent="0.15">
      <c r="A68" s="117"/>
      <c r="B68" s="117"/>
      <c r="C68" s="142"/>
      <c r="D68" s="143"/>
      <c r="E68" s="117"/>
      <c r="F68" s="117"/>
      <c r="G68" s="142"/>
      <c r="H68" s="142"/>
      <c r="I68" s="142"/>
      <c r="J68" s="142"/>
      <c r="K68" s="117"/>
      <c r="N68" s="142"/>
      <c r="Q68" s="144" t="str">
        <f t="shared" si="3"/>
        <v/>
      </c>
      <c r="T68" s="144" t="str">
        <f t="shared" si="4"/>
        <v/>
      </c>
      <c r="V68" s="144" t="str">
        <f t="shared" si="5"/>
        <v/>
      </c>
      <c r="W68" s="142"/>
      <c r="X68" s="142"/>
      <c r="Y68" s="142"/>
      <c r="Z68" s="142"/>
      <c r="AA68" s="142"/>
      <c r="AB68" s="117"/>
    </row>
    <row r="69" spans="1:28" x14ac:dyDescent="0.15">
      <c r="A69" s="117"/>
      <c r="B69" s="117"/>
      <c r="C69" s="142"/>
      <c r="D69" s="143"/>
      <c r="E69" s="117"/>
      <c r="F69" s="117"/>
      <c r="G69" s="142"/>
      <c r="H69" s="142"/>
      <c r="I69" s="142"/>
      <c r="J69" s="142"/>
      <c r="K69" s="117"/>
      <c r="N69" s="142"/>
      <c r="O69" s="127"/>
      <c r="Q69" s="144" t="str">
        <f t="shared" si="3"/>
        <v/>
      </c>
      <c r="T69" s="144" t="str">
        <f t="shared" si="4"/>
        <v/>
      </c>
      <c r="V69" s="144" t="str">
        <f t="shared" si="5"/>
        <v/>
      </c>
      <c r="W69" s="142"/>
      <c r="X69" s="142"/>
      <c r="Y69" s="142"/>
      <c r="Z69" s="142"/>
      <c r="AA69" s="142"/>
      <c r="AB69" s="117"/>
    </row>
    <row r="70" spans="1:28" x14ac:dyDescent="0.15">
      <c r="A70" s="117"/>
      <c r="B70" s="117"/>
      <c r="C70" s="142"/>
      <c r="D70" s="143"/>
      <c r="E70" s="117"/>
      <c r="F70" s="117"/>
      <c r="G70" s="142"/>
      <c r="H70" s="142"/>
      <c r="I70" s="142"/>
      <c r="J70" s="142"/>
      <c r="K70" s="117"/>
      <c r="N70" s="142"/>
      <c r="Q70" s="144" t="str">
        <f t="shared" si="3"/>
        <v/>
      </c>
      <c r="T70" s="144" t="str">
        <f t="shared" si="4"/>
        <v/>
      </c>
      <c r="V70" s="144" t="str">
        <f t="shared" si="5"/>
        <v/>
      </c>
      <c r="W70" s="142"/>
      <c r="X70" s="142"/>
      <c r="Y70" s="142"/>
      <c r="Z70" s="142"/>
      <c r="AA70" s="142"/>
      <c r="AB70" s="117"/>
    </row>
    <row r="71" spans="1:28" x14ac:dyDescent="0.15">
      <c r="A71" s="117"/>
      <c r="B71" s="117"/>
      <c r="C71" s="142"/>
      <c r="D71" s="143"/>
      <c r="E71" s="117"/>
      <c r="F71" s="117"/>
      <c r="G71" s="142"/>
      <c r="H71" s="142"/>
      <c r="I71" s="142"/>
      <c r="J71" s="142"/>
      <c r="K71" s="117"/>
      <c r="N71" s="142"/>
      <c r="Q71" s="144" t="str">
        <f t="shared" si="3"/>
        <v/>
      </c>
      <c r="T71" s="144" t="str">
        <f t="shared" si="4"/>
        <v/>
      </c>
      <c r="V71" s="144" t="str">
        <f t="shared" si="5"/>
        <v/>
      </c>
      <c r="W71" s="142"/>
      <c r="X71" s="142"/>
      <c r="Y71" s="142"/>
      <c r="Z71" s="142"/>
      <c r="AA71" s="142"/>
      <c r="AB71" s="117"/>
    </row>
    <row r="72" spans="1:28" x14ac:dyDescent="0.15">
      <c r="A72" s="117"/>
      <c r="B72" s="117"/>
      <c r="C72" s="142"/>
      <c r="D72" s="143"/>
      <c r="E72" s="117"/>
      <c r="F72" s="117"/>
      <c r="G72" s="142"/>
      <c r="H72" s="142"/>
      <c r="I72" s="142"/>
      <c r="J72" s="142"/>
      <c r="K72" s="117"/>
      <c r="N72" s="142"/>
      <c r="Q72" s="144" t="str">
        <f t="shared" si="3"/>
        <v/>
      </c>
      <c r="T72" s="144" t="str">
        <f t="shared" si="4"/>
        <v/>
      </c>
      <c r="V72" s="144" t="str">
        <f t="shared" si="5"/>
        <v/>
      </c>
      <c r="W72" s="142"/>
      <c r="X72" s="142"/>
      <c r="Y72" s="142"/>
      <c r="Z72" s="142"/>
      <c r="AA72" s="142"/>
      <c r="AB72" s="117"/>
    </row>
    <row r="73" spans="1:28" x14ac:dyDescent="0.15">
      <c r="A73" s="117"/>
      <c r="B73" s="117"/>
      <c r="C73" s="142"/>
      <c r="D73" s="143"/>
      <c r="E73" s="117"/>
      <c r="F73" s="117"/>
      <c r="G73" s="142"/>
      <c r="H73" s="142"/>
      <c r="I73" s="142"/>
      <c r="J73" s="142"/>
      <c r="K73" s="117"/>
      <c r="N73" s="142"/>
      <c r="P73" s="127"/>
      <c r="Q73" s="144" t="str">
        <f t="shared" si="3"/>
        <v/>
      </c>
      <c r="T73" s="144" t="str">
        <f t="shared" si="4"/>
        <v/>
      </c>
      <c r="V73" s="144" t="str">
        <f t="shared" si="5"/>
        <v/>
      </c>
      <c r="W73" s="142"/>
      <c r="X73" s="142"/>
      <c r="Y73" s="142"/>
      <c r="Z73" s="142"/>
      <c r="AA73" s="142"/>
      <c r="AB73" s="117"/>
    </row>
    <row r="74" spans="1:28" x14ac:dyDescent="0.15">
      <c r="A74" s="117"/>
      <c r="B74" s="117"/>
      <c r="C74" s="142"/>
      <c r="D74" s="143"/>
      <c r="E74" s="117"/>
      <c r="F74" s="117"/>
      <c r="G74" s="142"/>
      <c r="H74" s="142"/>
      <c r="I74" s="142"/>
      <c r="J74" s="142"/>
      <c r="K74" s="117"/>
      <c r="N74" s="142"/>
      <c r="Q74" s="144" t="str">
        <f t="shared" si="3"/>
        <v/>
      </c>
      <c r="T74" s="144" t="str">
        <f t="shared" si="4"/>
        <v/>
      </c>
      <c r="V74" s="144" t="str">
        <f t="shared" si="5"/>
        <v/>
      </c>
      <c r="W74" s="142"/>
      <c r="X74" s="142"/>
      <c r="Y74" s="142"/>
      <c r="Z74" s="142"/>
      <c r="AA74" s="142"/>
      <c r="AB74" s="117"/>
    </row>
    <row r="75" spans="1:28" x14ac:dyDescent="0.15">
      <c r="A75" s="117"/>
      <c r="B75" s="117"/>
      <c r="C75" s="142"/>
      <c r="D75" s="143"/>
      <c r="E75" s="117"/>
      <c r="F75" s="117"/>
      <c r="G75" s="142"/>
      <c r="H75" s="142"/>
      <c r="I75" s="142"/>
      <c r="J75" s="142"/>
      <c r="K75" s="117"/>
      <c r="N75" s="142"/>
      <c r="Q75" s="144" t="str">
        <f t="shared" si="3"/>
        <v/>
      </c>
      <c r="T75" s="144" t="str">
        <f t="shared" si="4"/>
        <v/>
      </c>
      <c r="V75" s="144" t="str">
        <f t="shared" si="5"/>
        <v/>
      </c>
      <c r="W75" s="142"/>
      <c r="X75" s="142"/>
      <c r="Y75" s="142"/>
      <c r="Z75" s="142"/>
      <c r="AA75" s="142"/>
      <c r="AB75" s="117"/>
    </row>
    <row r="76" spans="1:28" x14ac:dyDescent="0.15">
      <c r="A76" s="117"/>
      <c r="B76" s="117"/>
      <c r="C76" s="142"/>
      <c r="D76" s="143"/>
      <c r="E76" s="117"/>
      <c r="F76" s="117"/>
      <c r="G76" s="142"/>
      <c r="H76" s="142"/>
      <c r="I76" s="142"/>
      <c r="J76" s="142"/>
      <c r="K76" s="117"/>
      <c r="N76" s="142"/>
      <c r="Q76" s="144" t="str">
        <f t="shared" si="3"/>
        <v/>
      </c>
      <c r="T76" s="144" t="str">
        <f t="shared" si="4"/>
        <v/>
      </c>
      <c r="V76" s="144" t="str">
        <f t="shared" si="5"/>
        <v/>
      </c>
      <c r="W76" s="142"/>
      <c r="X76" s="142"/>
      <c r="Y76" s="142"/>
      <c r="Z76" s="142"/>
      <c r="AA76" s="142"/>
      <c r="AB76" s="117"/>
    </row>
    <row r="77" spans="1:28" x14ac:dyDescent="0.15">
      <c r="A77" s="117"/>
      <c r="B77" s="117"/>
      <c r="C77" s="142"/>
      <c r="D77" s="143"/>
      <c r="E77" s="117"/>
      <c r="F77" s="117"/>
      <c r="G77" s="142"/>
      <c r="H77" s="142"/>
      <c r="I77" s="142"/>
      <c r="J77" s="142"/>
      <c r="K77" s="117"/>
      <c r="N77" s="142"/>
      <c r="Q77" s="144" t="str">
        <f t="shared" si="3"/>
        <v/>
      </c>
      <c r="T77" s="144" t="str">
        <f t="shared" si="4"/>
        <v/>
      </c>
      <c r="V77" s="144" t="str">
        <f t="shared" si="5"/>
        <v/>
      </c>
      <c r="W77" s="142"/>
      <c r="X77" s="142"/>
      <c r="Y77" s="142"/>
      <c r="Z77" s="142"/>
      <c r="AA77" s="142"/>
      <c r="AB77" s="117"/>
    </row>
    <row r="78" spans="1:28" x14ac:dyDescent="0.15">
      <c r="A78" s="117"/>
      <c r="B78" s="117"/>
      <c r="C78" s="142"/>
      <c r="D78" s="143"/>
      <c r="E78" s="117"/>
      <c r="F78" s="117"/>
      <c r="G78" s="142"/>
      <c r="H78" s="142"/>
      <c r="I78" s="142"/>
      <c r="J78" s="142"/>
      <c r="K78" s="117"/>
      <c r="N78" s="142"/>
      <c r="Q78" s="144" t="str">
        <f t="shared" si="3"/>
        <v/>
      </c>
      <c r="T78" s="144" t="str">
        <f t="shared" si="4"/>
        <v/>
      </c>
      <c r="V78" s="144" t="str">
        <f t="shared" si="5"/>
        <v/>
      </c>
      <c r="W78" s="142"/>
      <c r="X78" s="142"/>
      <c r="Y78" s="142"/>
      <c r="Z78" s="142"/>
      <c r="AA78" s="142"/>
      <c r="AB78" s="117"/>
    </row>
    <row r="79" spans="1:28" x14ac:dyDescent="0.15">
      <c r="A79" s="117"/>
      <c r="B79" s="117"/>
      <c r="C79" s="142"/>
      <c r="D79" s="143"/>
      <c r="E79" s="117"/>
      <c r="F79" s="117"/>
      <c r="G79" s="142"/>
      <c r="H79" s="142"/>
      <c r="I79" s="142"/>
      <c r="J79" s="142"/>
      <c r="K79" s="117"/>
      <c r="N79" s="142"/>
      <c r="Q79" s="144" t="str">
        <f t="shared" si="3"/>
        <v/>
      </c>
      <c r="R79" s="127"/>
      <c r="T79" s="144" t="str">
        <f t="shared" si="4"/>
        <v/>
      </c>
      <c r="V79" s="144" t="str">
        <f t="shared" si="5"/>
        <v/>
      </c>
      <c r="W79" s="142"/>
      <c r="X79" s="142"/>
      <c r="Y79" s="142"/>
      <c r="Z79" s="142"/>
      <c r="AA79" s="142"/>
      <c r="AB79" s="117"/>
    </row>
    <row r="80" spans="1:28" x14ac:dyDescent="0.15">
      <c r="A80" s="117"/>
      <c r="B80" s="117"/>
      <c r="C80" s="142"/>
      <c r="D80" s="143"/>
      <c r="E80" s="117"/>
      <c r="F80" s="117"/>
      <c r="G80" s="142"/>
      <c r="H80" s="142"/>
      <c r="I80" s="142"/>
      <c r="J80" s="142"/>
      <c r="K80" s="117"/>
      <c r="N80" s="142"/>
      <c r="Q80" s="144" t="str">
        <f t="shared" si="3"/>
        <v/>
      </c>
      <c r="T80" s="144" t="str">
        <f t="shared" si="4"/>
        <v/>
      </c>
      <c r="V80" s="144" t="str">
        <f t="shared" si="5"/>
        <v/>
      </c>
      <c r="W80" s="142"/>
      <c r="X80" s="142"/>
      <c r="Y80" s="142"/>
      <c r="Z80" s="142"/>
      <c r="AA80" s="142"/>
      <c r="AB80" s="117"/>
    </row>
    <row r="81" spans="1:28" x14ac:dyDescent="0.15">
      <c r="A81" s="117"/>
      <c r="B81" s="117"/>
      <c r="C81" s="142"/>
      <c r="D81" s="143"/>
      <c r="E81" s="117"/>
      <c r="F81" s="117"/>
      <c r="G81" s="142"/>
      <c r="H81" s="142"/>
      <c r="I81" s="142"/>
      <c r="J81" s="142"/>
      <c r="K81" s="117"/>
      <c r="N81" s="142"/>
      <c r="Q81" s="144" t="str">
        <f t="shared" si="3"/>
        <v/>
      </c>
      <c r="T81" s="144" t="str">
        <f t="shared" si="4"/>
        <v/>
      </c>
      <c r="V81" s="144" t="str">
        <f t="shared" si="5"/>
        <v/>
      </c>
      <c r="W81" s="142"/>
      <c r="X81" s="142"/>
      <c r="Y81" s="142"/>
      <c r="Z81" s="142"/>
      <c r="AA81" s="142"/>
      <c r="AB81" s="117"/>
    </row>
    <row r="82" spans="1:28" x14ac:dyDescent="0.15">
      <c r="A82" s="117"/>
      <c r="B82" s="117"/>
      <c r="C82" s="142"/>
      <c r="D82" s="143"/>
      <c r="E82" s="117"/>
      <c r="F82" s="117"/>
      <c r="G82" s="142"/>
      <c r="H82" s="142"/>
      <c r="I82" s="142"/>
      <c r="J82" s="142"/>
      <c r="K82" s="117"/>
      <c r="N82" s="142"/>
      <c r="Q82" s="144" t="str">
        <f t="shared" si="3"/>
        <v/>
      </c>
      <c r="T82" s="144" t="str">
        <f t="shared" si="4"/>
        <v/>
      </c>
      <c r="V82" s="144" t="str">
        <f t="shared" si="5"/>
        <v/>
      </c>
      <c r="W82" s="142"/>
      <c r="X82" s="142"/>
      <c r="Y82" s="142"/>
      <c r="Z82" s="142"/>
      <c r="AA82" s="142"/>
      <c r="AB82" s="117"/>
    </row>
    <row r="83" spans="1:28" x14ac:dyDescent="0.15">
      <c r="A83" s="117"/>
      <c r="B83" s="117"/>
      <c r="C83" s="142"/>
      <c r="D83" s="143"/>
      <c r="E83" s="117"/>
      <c r="F83" s="117"/>
      <c r="G83" s="142"/>
      <c r="H83" s="142"/>
      <c r="I83" s="142"/>
      <c r="J83" s="142"/>
      <c r="K83" s="117"/>
      <c r="N83" s="142"/>
      <c r="Q83" s="144" t="str">
        <f t="shared" si="3"/>
        <v/>
      </c>
      <c r="T83" s="144" t="str">
        <f t="shared" si="4"/>
        <v/>
      </c>
      <c r="V83" s="144" t="str">
        <f t="shared" si="5"/>
        <v/>
      </c>
      <c r="W83" s="142"/>
      <c r="X83" s="142"/>
      <c r="Y83" s="142"/>
      <c r="Z83" s="142"/>
      <c r="AA83" s="142"/>
      <c r="AB83" s="117"/>
    </row>
    <row r="84" spans="1:28" x14ac:dyDescent="0.15">
      <c r="A84" s="117"/>
      <c r="B84" s="117"/>
      <c r="C84" s="142"/>
      <c r="D84" s="143"/>
      <c r="E84" s="117"/>
      <c r="F84" s="117"/>
      <c r="G84" s="142"/>
      <c r="H84" s="142"/>
      <c r="I84" s="142"/>
      <c r="J84" s="142"/>
      <c r="K84" s="117"/>
      <c r="N84" s="142"/>
      <c r="Q84" s="144" t="str">
        <f t="shared" si="3"/>
        <v/>
      </c>
      <c r="T84" s="144" t="str">
        <f t="shared" si="4"/>
        <v/>
      </c>
      <c r="V84" s="144" t="str">
        <f t="shared" si="5"/>
        <v/>
      </c>
      <c r="W84" s="142"/>
      <c r="X84" s="142"/>
      <c r="Y84" s="142"/>
      <c r="Z84" s="142"/>
      <c r="AA84" s="142"/>
      <c r="AB84" s="117"/>
    </row>
    <row r="85" spans="1:28" x14ac:dyDescent="0.15">
      <c r="A85" s="117"/>
      <c r="B85" s="117"/>
      <c r="C85" s="142"/>
      <c r="D85" s="143"/>
      <c r="E85" s="117"/>
      <c r="F85" s="117"/>
      <c r="G85" s="142"/>
      <c r="H85" s="142"/>
      <c r="I85" s="142"/>
      <c r="J85" s="142"/>
      <c r="K85" s="117"/>
      <c r="N85" s="142"/>
      <c r="Q85" s="144" t="str">
        <f t="shared" si="3"/>
        <v/>
      </c>
      <c r="T85" s="144" t="str">
        <f t="shared" si="4"/>
        <v/>
      </c>
      <c r="V85" s="144" t="str">
        <f t="shared" si="5"/>
        <v/>
      </c>
      <c r="W85" s="142"/>
      <c r="X85" s="142"/>
      <c r="Y85" s="142"/>
      <c r="Z85" s="142"/>
      <c r="AA85" s="142"/>
      <c r="AB85" s="117"/>
    </row>
    <row r="86" spans="1:28" x14ac:dyDescent="0.15">
      <c r="A86" s="117"/>
      <c r="B86" s="117"/>
      <c r="C86" s="142"/>
      <c r="D86" s="143"/>
      <c r="E86" s="117"/>
      <c r="F86" s="117"/>
      <c r="G86" s="142"/>
      <c r="H86" s="142"/>
      <c r="I86" s="142"/>
      <c r="J86" s="142"/>
      <c r="K86" s="117"/>
      <c r="N86" s="142"/>
      <c r="W86" s="142"/>
      <c r="X86" s="142"/>
      <c r="Y86" s="142"/>
      <c r="Z86" s="142"/>
      <c r="AA86" s="142"/>
      <c r="AB86" s="117"/>
    </row>
    <row r="87" spans="1:28" x14ac:dyDescent="0.15">
      <c r="A87" s="117"/>
      <c r="B87" s="117"/>
      <c r="C87" s="142"/>
      <c r="D87" s="143"/>
      <c r="E87" s="117"/>
      <c r="F87" s="117"/>
      <c r="G87" s="142"/>
      <c r="H87" s="142"/>
      <c r="I87" s="142"/>
      <c r="J87" s="142"/>
      <c r="K87" s="117"/>
      <c r="N87" s="142"/>
      <c r="W87" s="142"/>
      <c r="X87" s="142"/>
      <c r="Y87" s="142"/>
      <c r="Z87" s="142"/>
      <c r="AA87" s="142"/>
      <c r="AB87" s="117"/>
    </row>
    <row r="88" spans="1:28" x14ac:dyDescent="0.15">
      <c r="A88" s="117"/>
      <c r="B88" s="117"/>
      <c r="C88" s="142"/>
      <c r="D88" s="143"/>
      <c r="E88" s="117"/>
      <c r="F88" s="117"/>
      <c r="G88" s="142"/>
      <c r="H88" s="142"/>
      <c r="I88" s="142"/>
      <c r="J88" s="142"/>
      <c r="K88" s="117"/>
      <c r="N88" s="142"/>
      <c r="W88" s="142"/>
      <c r="X88" s="142"/>
      <c r="Y88" s="142"/>
      <c r="Z88" s="142"/>
      <c r="AA88" s="142"/>
      <c r="AB88" s="117"/>
    </row>
    <row r="89" spans="1:28" x14ac:dyDescent="0.15">
      <c r="A89" s="117"/>
      <c r="B89" s="117"/>
      <c r="C89" s="142"/>
      <c r="D89" s="143"/>
      <c r="E89" s="117"/>
      <c r="F89" s="117"/>
      <c r="G89" s="142"/>
      <c r="H89" s="142"/>
      <c r="I89" s="142"/>
      <c r="J89" s="142"/>
      <c r="K89" s="117"/>
      <c r="N89" s="142"/>
      <c r="W89" s="142"/>
      <c r="X89" s="142"/>
      <c r="Y89" s="142"/>
      <c r="Z89" s="142"/>
      <c r="AA89" s="142"/>
      <c r="AB89" s="117"/>
    </row>
    <row r="90" spans="1:28" x14ac:dyDescent="0.15">
      <c r="A90" s="117"/>
      <c r="B90" s="117"/>
      <c r="C90" s="142"/>
      <c r="D90" s="143"/>
      <c r="E90" s="117"/>
      <c r="F90" s="117"/>
      <c r="G90" s="142"/>
      <c r="H90" s="142"/>
      <c r="I90" s="142"/>
      <c r="J90" s="142"/>
      <c r="K90" s="142"/>
      <c r="N90" s="142"/>
      <c r="W90" s="142"/>
      <c r="X90" s="142"/>
      <c r="Y90" s="142"/>
      <c r="Z90" s="142"/>
      <c r="AA90" s="142"/>
      <c r="AB90" s="117"/>
    </row>
    <row r="91" spans="1:28" x14ac:dyDescent="0.15">
      <c r="A91" s="117"/>
      <c r="B91" s="117"/>
      <c r="C91" s="142"/>
      <c r="D91" s="143"/>
      <c r="E91" s="117"/>
      <c r="F91" s="117"/>
      <c r="G91" s="142"/>
      <c r="H91" s="142"/>
      <c r="I91" s="142"/>
      <c r="J91" s="142"/>
      <c r="K91" s="142"/>
      <c r="N91" s="142"/>
      <c r="W91" s="142"/>
      <c r="X91" s="142"/>
      <c r="Y91" s="142"/>
      <c r="Z91" s="142"/>
      <c r="AA91" s="142"/>
      <c r="AB91" s="117"/>
    </row>
    <row r="92" spans="1:28" x14ac:dyDescent="0.15">
      <c r="E92" s="117"/>
      <c r="F92" s="117"/>
    </row>
    <row r="93" spans="1:28" x14ac:dyDescent="0.15">
      <c r="E93" s="117"/>
      <c r="F93" s="117"/>
    </row>
    <row r="94" spans="1:28" x14ac:dyDescent="0.15">
      <c r="E94" s="117"/>
      <c r="F94" s="117"/>
    </row>
    <row r="95" spans="1:28" x14ac:dyDescent="0.15">
      <c r="E95" s="117"/>
      <c r="F95" s="117"/>
    </row>
    <row r="96" spans="1:28" x14ac:dyDescent="0.15">
      <c r="E96" s="117"/>
      <c r="F96" s="117"/>
    </row>
    <row r="97" spans="5:6" x14ac:dyDescent="0.15">
      <c r="E97" s="117"/>
      <c r="F97" s="117"/>
    </row>
    <row r="98" spans="5:6" x14ac:dyDescent="0.15">
      <c r="E98" s="117"/>
      <c r="F98" s="117"/>
    </row>
    <row r="99" spans="5:6" x14ac:dyDescent="0.15">
      <c r="E99" s="117"/>
      <c r="F99" s="117"/>
    </row>
    <row r="100" spans="5:6" x14ac:dyDescent="0.15">
      <c r="E100" s="117"/>
      <c r="F100" s="117"/>
    </row>
    <row r="101" spans="5:6" x14ac:dyDescent="0.15">
      <c r="E101" s="117"/>
      <c r="F101" s="117"/>
    </row>
    <row r="102" spans="5:6" x14ac:dyDescent="0.15">
      <c r="E102" s="117"/>
      <c r="F102" s="117"/>
    </row>
    <row r="103" spans="5:6" x14ac:dyDescent="0.15">
      <c r="E103" s="117"/>
      <c r="F103" s="117"/>
    </row>
    <row r="104" spans="5:6" x14ac:dyDescent="0.15">
      <c r="E104" s="117"/>
      <c r="F104" s="117"/>
    </row>
    <row r="105" spans="5:6" x14ac:dyDescent="0.15">
      <c r="E105" s="117"/>
      <c r="F105" s="117"/>
    </row>
    <row r="106" spans="5:6" x14ac:dyDescent="0.15">
      <c r="E106" s="117"/>
      <c r="F106" s="117"/>
    </row>
    <row r="107" spans="5:6" x14ac:dyDescent="0.15">
      <c r="E107" s="117"/>
      <c r="F107" s="117"/>
    </row>
    <row r="108" spans="5:6" x14ac:dyDescent="0.15">
      <c r="E108" s="117"/>
      <c r="F108" s="117"/>
    </row>
    <row r="109" spans="5:6" x14ac:dyDescent="0.15">
      <c r="E109" s="117"/>
      <c r="F109" s="117"/>
    </row>
    <row r="110" spans="5:6" x14ac:dyDescent="0.15">
      <c r="E110" s="117"/>
      <c r="F110" s="117"/>
    </row>
    <row r="111" spans="5:6" x14ac:dyDescent="0.15">
      <c r="E111" s="117"/>
      <c r="F111" s="117"/>
    </row>
    <row r="112" spans="5:6" x14ac:dyDescent="0.15">
      <c r="E112" s="117"/>
      <c r="F112" s="117"/>
    </row>
    <row r="113" spans="5:6" x14ac:dyDescent="0.15">
      <c r="E113" s="117"/>
      <c r="F113" s="117"/>
    </row>
    <row r="114" spans="5:6" x14ac:dyDescent="0.15">
      <c r="E114" s="117"/>
      <c r="F114" s="117"/>
    </row>
    <row r="115" spans="5:6" x14ac:dyDescent="0.15">
      <c r="E115" s="117"/>
      <c r="F115" s="117"/>
    </row>
    <row r="116" spans="5:6" x14ac:dyDescent="0.15">
      <c r="E116" s="117"/>
      <c r="F116" s="117"/>
    </row>
    <row r="117" spans="5:6" x14ac:dyDescent="0.15">
      <c r="E117" s="117"/>
      <c r="F117" s="117"/>
    </row>
    <row r="118" spans="5:6" x14ac:dyDescent="0.15">
      <c r="E118" s="117"/>
      <c r="F118" s="117"/>
    </row>
    <row r="119" spans="5:6" x14ac:dyDescent="0.15">
      <c r="E119" s="117"/>
      <c r="F119" s="117"/>
    </row>
    <row r="120" spans="5:6" x14ac:dyDescent="0.15">
      <c r="E120" s="117"/>
      <c r="F120" s="117"/>
    </row>
    <row r="121" spans="5:6" x14ac:dyDescent="0.15">
      <c r="E121" s="117"/>
      <c r="F121" s="117"/>
    </row>
    <row r="122" spans="5:6" x14ac:dyDescent="0.15">
      <c r="E122" s="117"/>
      <c r="F122" s="117"/>
    </row>
    <row r="123" spans="5:6" x14ac:dyDescent="0.15">
      <c r="E123" s="117"/>
      <c r="F123" s="117"/>
    </row>
    <row r="124" spans="5:6" x14ac:dyDescent="0.15">
      <c r="E124" s="117"/>
      <c r="F124" s="117"/>
    </row>
    <row r="125" spans="5:6" x14ac:dyDescent="0.15">
      <c r="E125" s="117"/>
      <c r="F125" s="117"/>
    </row>
    <row r="126" spans="5:6" x14ac:dyDescent="0.15">
      <c r="E126" s="117"/>
      <c r="F126" s="117"/>
    </row>
    <row r="127" spans="5:6" x14ac:dyDescent="0.15">
      <c r="E127" s="117"/>
      <c r="F127" s="117"/>
    </row>
    <row r="128" spans="5:6" x14ac:dyDescent="0.15">
      <c r="E128" s="117"/>
      <c r="F128" s="117"/>
    </row>
    <row r="129" spans="5:6" x14ac:dyDescent="0.15">
      <c r="E129" s="117"/>
      <c r="F129" s="117"/>
    </row>
    <row r="130" spans="5:6" x14ac:dyDescent="0.15">
      <c r="E130" s="117"/>
      <c r="F130" s="117"/>
    </row>
    <row r="131" spans="5:6" x14ac:dyDescent="0.15">
      <c r="E131" s="117"/>
      <c r="F131" s="117"/>
    </row>
    <row r="132" spans="5:6" x14ac:dyDescent="0.15">
      <c r="E132" s="117"/>
      <c r="F132" s="117"/>
    </row>
    <row r="133" spans="5:6" x14ac:dyDescent="0.15">
      <c r="E133" s="117"/>
      <c r="F133" s="117"/>
    </row>
    <row r="134" spans="5:6" x14ac:dyDescent="0.15">
      <c r="E134" s="117"/>
      <c r="F134" s="117"/>
    </row>
    <row r="135" spans="5:6" x14ac:dyDescent="0.15">
      <c r="E135" s="117"/>
      <c r="F135" s="117"/>
    </row>
    <row r="136" spans="5:6" x14ac:dyDescent="0.15">
      <c r="E136" s="117"/>
      <c r="F136" s="117"/>
    </row>
    <row r="137" spans="5:6" x14ac:dyDescent="0.15">
      <c r="E137" s="117"/>
      <c r="F137" s="117"/>
    </row>
    <row r="138" spans="5:6" x14ac:dyDescent="0.15">
      <c r="E138" s="117"/>
      <c r="F138" s="117"/>
    </row>
    <row r="139" spans="5:6" x14ac:dyDescent="0.15">
      <c r="E139" s="117"/>
      <c r="F139" s="117"/>
    </row>
    <row r="140" spans="5:6" x14ac:dyDescent="0.15">
      <c r="E140" s="117"/>
      <c r="F140" s="117"/>
    </row>
    <row r="141" spans="5:6" x14ac:dyDescent="0.15">
      <c r="E141" s="117"/>
      <c r="F141" s="117"/>
    </row>
    <row r="142" spans="5:6" x14ac:dyDescent="0.15">
      <c r="E142" s="117"/>
      <c r="F142" s="117"/>
    </row>
    <row r="143" spans="5:6" x14ac:dyDescent="0.15">
      <c r="E143" s="117"/>
      <c r="F143" s="117"/>
    </row>
    <row r="144" spans="5:6" x14ac:dyDescent="0.15">
      <c r="E144" s="117"/>
      <c r="F144" s="117"/>
    </row>
    <row r="145" spans="5:6" x14ac:dyDescent="0.15">
      <c r="E145" s="117"/>
      <c r="F145" s="117"/>
    </row>
    <row r="146" spans="5:6" x14ac:dyDescent="0.15">
      <c r="E146" s="117"/>
      <c r="F146" s="117"/>
    </row>
    <row r="147" spans="5:6" x14ac:dyDescent="0.15">
      <c r="E147" s="117"/>
      <c r="F147" s="117"/>
    </row>
    <row r="148" spans="5:6" x14ac:dyDescent="0.15">
      <c r="E148" s="117"/>
      <c r="F148" s="117"/>
    </row>
    <row r="149" spans="5:6" x14ac:dyDescent="0.15">
      <c r="E149" s="117"/>
      <c r="F149" s="117"/>
    </row>
    <row r="150" spans="5:6" x14ac:dyDescent="0.15">
      <c r="E150" s="117"/>
      <c r="F150" s="117"/>
    </row>
    <row r="151" spans="5:6" x14ac:dyDescent="0.15">
      <c r="E151" s="117"/>
      <c r="F151" s="117"/>
    </row>
    <row r="152" spans="5:6" x14ac:dyDescent="0.15">
      <c r="E152" s="117"/>
      <c r="F152" s="117"/>
    </row>
    <row r="153" spans="5:6" x14ac:dyDescent="0.15">
      <c r="E153" s="117"/>
      <c r="F153" s="117"/>
    </row>
    <row r="154" spans="5:6" x14ac:dyDescent="0.15">
      <c r="E154" s="117"/>
      <c r="F154" s="117"/>
    </row>
    <row r="155" spans="5:6" x14ac:dyDescent="0.15">
      <c r="E155" s="117"/>
      <c r="F155" s="117"/>
    </row>
    <row r="156" spans="5:6" x14ac:dyDescent="0.15">
      <c r="E156" s="117"/>
      <c r="F156" s="117"/>
    </row>
    <row r="157" spans="5:6" x14ac:dyDescent="0.15">
      <c r="E157" s="117"/>
      <c r="F157" s="117"/>
    </row>
    <row r="158" spans="5:6" x14ac:dyDescent="0.15">
      <c r="E158" s="117"/>
      <c r="F158" s="117"/>
    </row>
    <row r="159" spans="5:6" x14ac:dyDescent="0.15">
      <c r="E159" s="117"/>
      <c r="F159" s="117"/>
    </row>
    <row r="160" spans="5:6" x14ac:dyDescent="0.15">
      <c r="E160" s="117"/>
      <c r="F160" s="117"/>
    </row>
    <row r="161" spans="5:6" x14ac:dyDescent="0.15">
      <c r="E161" s="117"/>
      <c r="F161" s="117"/>
    </row>
    <row r="162" spans="5:6" x14ac:dyDescent="0.15">
      <c r="E162" s="117"/>
      <c r="F162" s="117"/>
    </row>
    <row r="163" spans="5:6" x14ac:dyDescent="0.15">
      <c r="E163" s="117"/>
      <c r="F163" s="117"/>
    </row>
    <row r="164" spans="5:6" x14ac:dyDescent="0.15">
      <c r="E164" s="117"/>
      <c r="F164" s="117"/>
    </row>
    <row r="165" spans="5:6" x14ac:dyDescent="0.15">
      <c r="E165" s="117"/>
      <c r="F165" s="117"/>
    </row>
    <row r="166" spans="5:6" x14ac:dyDescent="0.15">
      <c r="E166" s="117"/>
      <c r="F166" s="117"/>
    </row>
    <row r="167" spans="5:6" x14ac:dyDescent="0.15">
      <c r="E167" s="117"/>
      <c r="F167" s="117"/>
    </row>
    <row r="168" spans="5:6" x14ac:dyDescent="0.15">
      <c r="E168" s="117"/>
      <c r="F168" s="117"/>
    </row>
    <row r="169" spans="5:6" x14ac:dyDescent="0.15">
      <c r="E169" s="117"/>
      <c r="F169" s="117"/>
    </row>
    <row r="170" spans="5:6" x14ac:dyDescent="0.15">
      <c r="E170" s="117"/>
      <c r="F170" s="117"/>
    </row>
    <row r="171" spans="5:6" x14ac:dyDescent="0.15">
      <c r="E171" s="117"/>
      <c r="F171" s="117"/>
    </row>
    <row r="172" spans="5:6" x14ac:dyDescent="0.15">
      <c r="E172" s="117"/>
      <c r="F172" s="117"/>
    </row>
    <row r="173" spans="5:6" x14ac:dyDescent="0.15">
      <c r="E173" s="117"/>
      <c r="F173" s="117"/>
    </row>
    <row r="174" spans="5:6" x14ac:dyDescent="0.15">
      <c r="E174" s="117"/>
      <c r="F174" s="117"/>
    </row>
    <row r="175" spans="5:6" x14ac:dyDescent="0.15">
      <c r="E175" s="117"/>
      <c r="F175" s="117"/>
    </row>
    <row r="176" spans="5:6" x14ac:dyDescent="0.15">
      <c r="E176" s="117"/>
      <c r="F176" s="117"/>
    </row>
    <row r="177" spans="5:6" x14ac:dyDescent="0.15">
      <c r="E177" s="117"/>
      <c r="F177" s="117"/>
    </row>
    <row r="178" spans="5:6" x14ac:dyDescent="0.15">
      <c r="E178" s="117"/>
      <c r="F178" s="117"/>
    </row>
    <row r="179" spans="5:6" x14ac:dyDescent="0.15">
      <c r="E179" s="117"/>
      <c r="F179" s="117"/>
    </row>
    <row r="180" spans="5:6" x14ac:dyDescent="0.15">
      <c r="E180" s="117"/>
      <c r="F180" s="117"/>
    </row>
    <row r="181" spans="5:6" x14ac:dyDescent="0.15">
      <c r="E181" s="117"/>
      <c r="F181" s="117"/>
    </row>
    <row r="182" spans="5:6" x14ac:dyDescent="0.15">
      <c r="E182" s="117"/>
      <c r="F182" s="117"/>
    </row>
    <row r="183" spans="5:6" x14ac:dyDescent="0.15">
      <c r="E183" s="117"/>
      <c r="F183" s="117"/>
    </row>
    <row r="184" spans="5:6" x14ac:dyDescent="0.15">
      <c r="E184" s="117"/>
      <c r="F184" s="117"/>
    </row>
    <row r="185" spans="5:6" x14ac:dyDescent="0.15">
      <c r="E185" s="117"/>
      <c r="F185" s="117"/>
    </row>
    <row r="186" spans="5:6" x14ac:dyDescent="0.15">
      <c r="E186" s="117"/>
      <c r="F186" s="117"/>
    </row>
    <row r="187" spans="5:6" x14ac:dyDescent="0.15">
      <c r="E187" s="117"/>
      <c r="F187" s="117"/>
    </row>
    <row r="188" spans="5:6" x14ac:dyDescent="0.15">
      <c r="E188" s="117"/>
      <c r="F188" s="117"/>
    </row>
    <row r="189" spans="5:6" x14ac:dyDescent="0.15">
      <c r="E189" s="117"/>
      <c r="F189" s="117"/>
    </row>
    <row r="190" spans="5:6" x14ac:dyDescent="0.15">
      <c r="E190" s="117"/>
      <c r="F190" s="117"/>
    </row>
    <row r="191" spans="5:6" x14ac:dyDescent="0.15">
      <c r="E191" s="117"/>
      <c r="F191" s="117"/>
    </row>
    <row r="192" spans="5:6" x14ac:dyDescent="0.15">
      <c r="E192" s="117"/>
      <c r="F192" s="117"/>
    </row>
    <row r="193" spans="5:6" x14ac:dyDescent="0.15">
      <c r="E193" s="117"/>
      <c r="F193" s="117"/>
    </row>
    <row r="194" spans="5:6" x14ac:dyDescent="0.15">
      <c r="E194" s="117"/>
      <c r="F194" s="117"/>
    </row>
    <row r="195" spans="5:6" x14ac:dyDescent="0.15">
      <c r="E195" s="117"/>
      <c r="F195" s="117"/>
    </row>
    <row r="196" spans="5:6" x14ac:dyDescent="0.15">
      <c r="E196" s="117"/>
      <c r="F196" s="117"/>
    </row>
    <row r="197" spans="5:6" x14ac:dyDescent="0.15">
      <c r="E197" s="117"/>
      <c r="F197" s="117"/>
    </row>
    <row r="198" spans="5:6" x14ac:dyDescent="0.15">
      <c r="E198" s="117"/>
      <c r="F198" s="117"/>
    </row>
    <row r="199" spans="5:6" x14ac:dyDescent="0.15">
      <c r="E199" s="117"/>
      <c r="F199" s="117"/>
    </row>
    <row r="200" spans="5:6" x14ac:dyDescent="0.15">
      <c r="E200" s="117"/>
      <c r="F200" s="117"/>
    </row>
    <row r="201" spans="5:6" x14ac:dyDescent="0.15">
      <c r="E201" s="117"/>
      <c r="F201" s="117"/>
    </row>
    <row r="202" spans="5:6" x14ac:dyDescent="0.15">
      <c r="E202" s="117"/>
      <c r="F202" s="117"/>
    </row>
    <row r="203" spans="5:6" x14ac:dyDescent="0.15">
      <c r="E203" s="117"/>
      <c r="F203" s="117"/>
    </row>
    <row r="204" spans="5:6" x14ac:dyDescent="0.15">
      <c r="E204" s="117"/>
      <c r="F204" s="117"/>
    </row>
    <row r="205" spans="5:6" x14ac:dyDescent="0.15">
      <c r="E205" s="117"/>
      <c r="F205" s="117"/>
    </row>
    <row r="206" spans="5:6" x14ac:dyDescent="0.15">
      <c r="E206" s="117"/>
      <c r="F206" s="117"/>
    </row>
    <row r="207" spans="5:6" x14ac:dyDescent="0.15">
      <c r="E207" s="117"/>
      <c r="F207" s="117"/>
    </row>
    <row r="208" spans="5:6" x14ac:dyDescent="0.15">
      <c r="E208" s="117"/>
      <c r="F208" s="117"/>
    </row>
    <row r="209" spans="5:6" x14ac:dyDescent="0.15">
      <c r="E209" s="117"/>
      <c r="F209" s="117"/>
    </row>
    <row r="210" spans="5:6" x14ac:dyDescent="0.15">
      <c r="E210" s="117"/>
      <c r="F210" s="117"/>
    </row>
    <row r="211" spans="5:6" x14ac:dyDescent="0.15">
      <c r="E211" s="117"/>
      <c r="F211" s="117"/>
    </row>
    <row r="212" spans="5:6" x14ac:dyDescent="0.15">
      <c r="E212" s="117"/>
      <c r="F212" s="117"/>
    </row>
    <row r="213" spans="5:6" x14ac:dyDescent="0.15">
      <c r="E213" s="117"/>
      <c r="F213" s="117"/>
    </row>
    <row r="214" spans="5:6" x14ac:dyDescent="0.15">
      <c r="E214" s="117"/>
      <c r="F214" s="117"/>
    </row>
    <row r="215" spans="5:6" x14ac:dyDescent="0.15">
      <c r="E215" s="117"/>
      <c r="F215" s="117"/>
    </row>
    <row r="216" spans="5:6" x14ac:dyDescent="0.15">
      <c r="E216" s="117"/>
      <c r="F216" s="117"/>
    </row>
    <row r="217" spans="5:6" x14ac:dyDescent="0.15">
      <c r="E217" s="117"/>
      <c r="F217" s="117"/>
    </row>
    <row r="218" spans="5:6" x14ac:dyDescent="0.15">
      <c r="E218" s="117"/>
      <c r="F218" s="117"/>
    </row>
    <row r="219" spans="5:6" x14ac:dyDescent="0.15">
      <c r="E219" s="117"/>
      <c r="F219" s="117"/>
    </row>
    <row r="220" spans="5:6" x14ac:dyDescent="0.15">
      <c r="E220" s="117"/>
      <c r="F220" s="117"/>
    </row>
    <row r="221" spans="5:6" x14ac:dyDescent="0.15">
      <c r="E221" s="117"/>
      <c r="F221" s="117"/>
    </row>
    <row r="222" spans="5:6" x14ac:dyDescent="0.15">
      <c r="E222" s="117"/>
      <c r="F222" s="117"/>
    </row>
    <row r="223" spans="5:6" x14ac:dyDescent="0.15">
      <c r="E223" s="117"/>
      <c r="F223" s="117"/>
    </row>
    <row r="224" spans="5:6" x14ac:dyDescent="0.15">
      <c r="E224" s="117"/>
      <c r="F224" s="117"/>
    </row>
    <row r="225" spans="5:6" x14ac:dyDescent="0.15">
      <c r="E225" s="117"/>
      <c r="F225" s="117"/>
    </row>
    <row r="226" spans="5:6" x14ac:dyDescent="0.15">
      <c r="E226" s="117"/>
      <c r="F226" s="117"/>
    </row>
    <row r="227" spans="5:6" x14ac:dyDescent="0.15">
      <c r="E227" s="117"/>
      <c r="F227" s="117"/>
    </row>
    <row r="228" spans="5:6" x14ac:dyDescent="0.15">
      <c r="E228" s="117"/>
      <c r="F228" s="117"/>
    </row>
    <row r="229" spans="5:6" x14ac:dyDescent="0.15">
      <c r="E229" s="117"/>
      <c r="F229" s="117"/>
    </row>
    <row r="230" spans="5:6" x14ac:dyDescent="0.15">
      <c r="E230" s="117"/>
      <c r="F230" s="117"/>
    </row>
    <row r="231" spans="5:6" x14ac:dyDescent="0.15">
      <c r="E231" s="117"/>
      <c r="F231" s="117"/>
    </row>
    <row r="232" spans="5:6" x14ac:dyDescent="0.15">
      <c r="E232" s="117"/>
      <c r="F232" s="117"/>
    </row>
    <row r="233" spans="5:6" x14ac:dyDescent="0.15">
      <c r="E233" s="117"/>
      <c r="F233" s="117"/>
    </row>
    <row r="234" spans="5:6" x14ac:dyDescent="0.15">
      <c r="E234" s="117"/>
      <c r="F234" s="117"/>
    </row>
    <row r="235" spans="5:6" x14ac:dyDescent="0.15">
      <c r="E235" s="117"/>
      <c r="F235" s="117"/>
    </row>
    <row r="236" spans="5:6" x14ac:dyDescent="0.15">
      <c r="E236" s="117"/>
      <c r="F236" s="117"/>
    </row>
    <row r="237" spans="5:6" x14ac:dyDescent="0.15">
      <c r="E237" s="117"/>
      <c r="F237" s="117"/>
    </row>
    <row r="238" spans="5:6" x14ac:dyDescent="0.15">
      <c r="E238" s="117"/>
      <c r="F238" s="117"/>
    </row>
    <row r="239" spans="5:6" x14ac:dyDescent="0.15">
      <c r="E239" s="117"/>
      <c r="F239" s="117"/>
    </row>
    <row r="240" spans="5:6" x14ac:dyDescent="0.15">
      <c r="E240" s="117"/>
      <c r="F240" s="117"/>
    </row>
    <row r="241" spans="5:6" x14ac:dyDescent="0.15">
      <c r="E241" s="117"/>
      <c r="F241" s="117"/>
    </row>
    <row r="242" spans="5:6" x14ac:dyDescent="0.15">
      <c r="E242" s="117"/>
      <c r="F242" s="117"/>
    </row>
    <row r="243" spans="5:6" x14ac:dyDescent="0.15">
      <c r="E243" s="117"/>
      <c r="F243" s="117"/>
    </row>
    <row r="244" spans="5:6" x14ac:dyDescent="0.15">
      <c r="E244" s="117"/>
      <c r="F244" s="117"/>
    </row>
    <row r="245" spans="5:6" x14ac:dyDescent="0.15">
      <c r="E245" s="117"/>
      <c r="F245" s="117"/>
    </row>
    <row r="246" spans="5:6" x14ac:dyDescent="0.15">
      <c r="E246" s="117"/>
      <c r="F246" s="117"/>
    </row>
    <row r="247" spans="5:6" x14ac:dyDescent="0.15">
      <c r="E247" s="117"/>
      <c r="F247" s="117"/>
    </row>
    <row r="248" spans="5:6" x14ac:dyDescent="0.15">
      <c r="E248" s="117"/>
      <c r="F248" s="117"/>
    </row>
    <row r="249" spans="5:6" x14ac:dyDescent="0.15">
      <c r="E249" s="117"/>
      <c r="F249" s="117"/>
    </row>
    <row r="250" spans="5:6" x14ac:dyDescent="0.15">
      <c r="E250" s="117"/>
      <c r="F250" s="117"/>
    </row>
    <row r="251" spans="5:6" x14ac:dyDescent="0.15">
      <c r="E251" s="117"/>
      <c r="F251" s="117"/>
    </row>
    <row r="252" spans="5:6" x14ac:dyDescent="0.15">
      <c r="E252" s="117"/>
      <c r="F252" s="117"/>
    </row>
    <row r="253" spans="5:6" x14ac:dyDescent="0.15">
      <c r="E253" s="117"/>
      <c r="F253" s="117"/>
    </row>
    <row r="254" spans="5:6" x14ac:dyDescent="0.15">
      <c r="E254" s="117"/>
      <c r="F254" s="117"/>
    </row>
    <row r="255" spans="5:6" x14ac:dyDescent="0.15">
      <c r="E255" s="117"/>
      <c r="F255" s="117"/>
    </row>
    <row r="256" spans="5:6" x14ac:dyDescent="0.15">
      <c r="E256" s="117"/>
      <c r="F256" s="117"/>
    </row>
    <row r="257" spans="5:6" x14ac:dyDescent="0.15">
      <c r="E257" s="117"/>
      <c r="F257" s="117"/>
    </row>
    <row r="258" spans="5:6" x14ac:dyDescent="0.15">
      <c r="E258" s="117"/>
      <c r="F258" s="117"/>
    </row>
    <row r="259" spans="5:6" x14ac:dyDescent="0.15">
      <c r="E259" s="117"/>
      <c r="F259" s="117"/>
    </row>
    <row r="260" spans="5:6" x14ac:dyDescent="0.15">
      <c r="E260" s="117"/>
      <c r="F260" s="117"/>
    </row>
    <row r="261" spans="5:6" x14ac:dyDescent="0.15">
      <c r="E261" s="117"/>
      <c r="F261" s="117"/>
    </row>
    <row r="262" spans="5:6" x14ac:dyDescent="0.15">
      <c r="E262" s="117"/>
      <c r="F262" s="117"/>
    </row>
    <row r="263" spans="5:6" x14ac:dyDescent="0.15">
      <c r="E263" s="117"/>
      <c r="F263" s="117"/>
    </row>
    <row r="264" spans="5:6" x14ac:dyDescent="0.15">
      <c r="E264" s="117"/>
      <c r="F264" s="117"/>
    </row>
    <row r="265" spans="5:6" x14ac:dyDescent="0.15">
      <c r="E265" s="117"/>
      <c r="F265" s="117"/>
    </row>
    <row r="266" spans="5:6" x14ac:dyDescent="0.15">
      <c r="E266" s="117"/>
      <c r="F266" s="117"/>
    </row>
    <row r="267" spans="5:6" x14ac:dyDescent="0.15">
      <c r="E267" s="117"/>
      <c r="F267" s="117"/>
    </row>
    <row r="268" spans="5:6" x14ac:dyDescent="0.15">
      <c r="E268" s="117"/>
      <c r="F268" s="117"/>
    </row>
    <row r="269" spans="5:6" x14ac:dyDescent="0.15">
      <c r="E269" s="117"/>
      <c r="F269" s="117"/>
    </row>
    <row r="270" spans="5:6" x14ac:dyDescent="0.15">
      <c r="E270" s="117"/>
      <c r="F270" s="117"/>
    </row>
    <row r="271" spans="5:6" x14ac:dyDescent="0.15">
      <c r="E271" s="117"/>
      <c r="F271" s="117"/>
    </row>
    <row r="272" spans="5:6" x14ac:dyDescent="0.15">
      <c r="E272" s="117"/>
      <c r="F272" s="117"/>
    </row>
    <row r="273" spans="5:6" x14ac:dyDescent="0.15">
      <c r="E273" s="117"/>
      <c r="F273" s="117"/>
    </row>
    <row r="274" spans="5:6" x14ac:dyDescent="0.15">
      <c r="E274" s="117"/>
      <c r="F274" s="117"/>
    </row>
    <row r="275" spans="5:6" x14ac:dyDescent="0.15">
      <c r="E275" s="117"/>
      <c r="F275" s="117"/>
    </row>
    <row r="276" spans="5:6" x14ac:dyDescent="0.15">
      <c r="E276" s="117"/>
      <c r="F276" s="117"/>
    </row>
    <row r="277" spans="5:6" x14ac:dyDescent="0.15">
      <c r="E277" s="117"/>
      <c r="F277" s="117"/>
    </row>
    <row r="278" spans="5:6" x14ac:dyDescent="0.15">
      <c r="E278" s="117"/>
      <c r="F278" s="117"/>
    </row>
    <row r="279" spans="5:6" x14ac:dyDescent="0.15">
      <c r="E279" s="117"/>
      <c r="F279" s="117"/>
    </row>
    <row r="280" spans="5:6" x14ac:dyDescent="0.15">
      <c r="E280" s="117"/>
      <c r="F280" s="117"/>
    </row>
    <row r="281" spans="5:6" x14ac:dyDescent="0.15">
      <c r="E281" s="117"/>
      <c r="F281" s="117"/>
    </row>
    <row r="282" spans="5:6" x14ac:dyDescent="0.15">
      <c r="E282" s="117"/>
      <c r="F282" s="117"/>
    </row>
    <row r="283" spans="5:6" x14ac:dyDescent="0.15">
      <c r="E283" s="117"/>
      <c r="F283" s="117"/>
    </row>
    <row r="284" spans="5:6" x14ac:dyDescent="0.15">
      <c r="E284" s="117"/>
      <c r="F284" s="117"/>
    </row>
    <row r="285" spans="5:6" x14ac:dyDescent="0.15">
      <c r="E285" s="117"/>
      <c r="F285" s="117"/>
    </row>
    <row r="286" spans="5:6" x14ac:dyDescent="0.15">
      <c r="E286" s="117"/>
      <c r="F286" s="117"/>
    </row>
    <row r="287" spans="5:6" x14ac:dyDescent="0.15">
      <c r="E287" s="117"/>
      <c r="F287" s="117"/>
    </row>
    <row r="288" spans="5:6" x14ac:dyDescent="0.15">
      <c r="E288" s="117"/>
      <c r="F288" s="117"/>
    </row>
    <row r="289" spans="5:6" x14ac:dyDescent="0.15">
      <c r="E289" s="117"/>
      <c r="F289" s="117"/>
    </row>
    <row r="290" spans="5:6" x14ac:dyDescent="0.15">
      <c r="E290" s="117"/>
      <c r="F290" s="117"/>
    </row>
    <row r="291" spans="5:6" x14ac:dyDescent="0.15">
      <c r="E291" s="117"/>
      <c r="F291" s="117"/>
    </row>
    <row r="292" spans="5:6" x14ac:dyDescent="0.15">
      <c r="E292" s="117"/>
      <c r="F292" s="117"/>
    </row>
    <row r="293" spans="5:6" x14ac:dyDescent="0.15">
      <c r="E293" s="117"/>
      <c r="F293" s="117"/>
    </row>
    <row r="294" spans="5:6" x14ac:dyDescent="0.15">
      <c r="E294" s="117"/>
      <c r="F294" s="117"/>
    </row>
    <row r="295" spans="5:6" x14ac:dyDescent="0.15">
      <c r="E295" s="117"/>
      <c r="F295" s="117"/>
    </row>
    <row r="296" spans="5:6" x14ac:dyDescent="0.15">
      <c r="E296" s="117"/>
      <c r="F296" s="117"/>
    </row>
    <row r="297" spans="5:6" x14ac:dyDescent="0.15">
      <c r="E297" s="117"/>
      <c r="F297" s="117"/>
    </row>
    <row r="298" spans="5:6" x14ac:dyDescent="0.15">
      <c r="E298" s="117"/>
      <c r="F298" s="117"/>
    </row>
    <row r="299" spans="5:6" x14ac:dyDescent="0.15">
      <c r="E299" s="117"/>
      <c r="F299" s="117"/>
    </row>
    <row r="300" spans="5:6" x14ac:dyDescent="0.15">
      <c r="E300" s="117"/>
      <c r="F300" s="117"/>
    </row>
    <row r="301" spans="5:6" x14ac:dyDescent="0.15">
      <c r="E301" s="117"/>
      <c r="F301" s="117"/>
    </row>
    <row r="302" spans="5:6" x14ac:dyDescent="0.15">
      <c r="E302" s="117"/>
      <c r="F302" s="117"/>
    </row>
    <row r="303" spans="5:6" x14ac:dyDescent="0.15">
      <c r="E303" s="117"/>
      <c r="F303" s="117"/>
    </row>
    <row r="304" spans="5:6" x14ac:dyDescent="0.15">
      <c r="E304" s="117"/>
      <c r="F304" s="117"/>
    </row>
    <row r="305" spans="5:6" x14ac:dyDescent="0.15">
      <c r="E305" s="117"/>
      <c r="F305" s="117"/>
    </row>
    <row r="306" spans="5:6" x14ac:dyDescent="0.15">
      <c r="E306" s="117"/>
      <c r="F306" s="117"/>
    </row>
    <row r="307" spans="5:6" x14ac:dyDescent="0.15">
      <c r="E307" s="117"/>
      <c r="F307" s="117"/>
    </row>
    <row r="308" spans="5:6" x14ac:dyDescent="0.15">
      <c r="E308" s="117"/>
      <c r="F308" s="117"/>
    </row>
    <row r="309" spans="5:6" x14ac:dyDescent="0.15">
      <c r="E309" s="117"/>
      <c r="F309" s="117"/>
    </row>
    <row r="310" spans="5:6" x14ac:dyDescent="0.15">
      <c r="E310" s="117"/>
      <c r="F310" s="117"/>
    </row>
    <row r="311" spans="5:6" x14ac:dyDescent="0.15">
      <c r="E311" s="117"/>
      <c r="F311" s="117"/>
    </row>
    <row r="312" spans="5:6" x14ac:dyDescent="0.15">
      <c r="E312" s="117"/>
      <c r="F312" s="117"/>
    </row>
    <row r="313" spans="5:6" x14ac:dyDescent="0.15">
      <c r="E313" s="117"/>
      <c r="F313" s="117"/>
    </row>
    <row r="314" spans="5:6" x14ac:dyDescent="0.15">
      <c r="E314" s="117"/>
      <c r="F314" s="117"/>
    </row>
    <row r="315" spans="5:6" x14ac:dyDescent="0.15">
      <c r="E315" s="117"/>
      <c r="F315" s="117"/>
    </row>
    <row r="316" spans="5:6" x14ac:dyDescent="0.15">
      <c r="E316" s="117"/>
      <c r="F316" s="117"/>
    </row>
    <row r="317" spans="5:6" x14ac:dyDescent="0.15">
      <c r="E317" s="117"/>
      <c r="F317" s="117"/>
    </row>
    <row r="318" spans="5:6" x14ac:dyDescent="0.15">
      <c r="E318" s="117"/>
      <c r="F318" s="117"/>
    </row>
    <row r="319" spans="5:6" x14ac:dyDescent="0.15">
      <c r="E319" s="117"/>
      <c r="F319" s="117"/>
    </row>
    <row r="320" spans="5:6" x14ac:dyDescent="0.15">
      <c r="E320" s="117"/>
      <c r="F320" s="117"/>
    </row>
    <row r="321" spans="5:6" x14ac:dyDescent="0.15">
      <c r="E321" s="117"/>
      <c r="F321" s="117"/>
    </row>
    <row r="322" spans="5:6" x14ac:dyDescent="0.15">
      <c r="E322" s="117"/>
      <c r="F322" s="117"/>
    </row>
    <row r="323" spans="5:6" x14ac:dyDescent="0.15">
      <c r="E323" s="117"/>
      <c r="F323" s="117"/>
    </row>
    <row r="324" spans="5:6" x14ac:dyDescent="0.15">
      <c r="E324" s="117"/>
      <c r="F324" s="117"/>
    </row>
    <row r="325" spans="5:6" x14ac:dyDescent="0.15">
      <c r="E325" s="117"/>
      <c r="F325" s="117"/>
    </row>
    <row r="326" spans="5:6" x14ac:dyDescent="0.15">
      <c r="E326" s="117"/>
      <c r="F326" s="117"/>
    </row>
    <row r="327" spans="5:6" x14ac:dyDescent="0.15">
      <c r="E327" s="117"/>
      <c r="F327" s="117"/>
    </row>
    <row r="328" spans="5:6" x14ac:dyDescent="0.15">
      <c r="E328" s="117"/>
      <c r="F328" s="117"/>
    </row>
    <row r="329" spans="5:6" x14ac:dyDescent="0.15">
      <c r="E329" s="117"/>
      <c r="F329" s="117"/>
    </row>
    <row r="330" spans="5:6" x14ac:dyDescent="0.15">
      <c r="E330" s="117"/>
      <c r="F330" s="117"/>
    </row>
    <row r="331" spans="5:6" x14ac:dyDescent="0.15">
      <c r="E331" s="117"/>
      <c r="F331" s="117"/>
    </row>
    <row r="332" spans="5:6" x14ac:dyDescent="0.15">
      <c r="E332" s="117"/>
      <c r="F332" s="117"/>
    </row>
    <row r="333" spans="5:6" x14ac:dyDescent="0.15">
      <c r="E333" s="117"/>
      <c r="F333" s="117"/>
    </row>
    <row r="334" spans="5:6" x14ac:dyDescent="0.15">
      <c r="E334" s="117"/>
      <c r="F334" s="117"/>
    </row>
    <row r="335" spans="5:6" x14ac:dyDescent="0.15">
      <c r="E335" s="117"/>
      <c r="F335" s="117"/>
    </row>
    <row r="336" spans="5:6" x14ac:dyDescent="0.15">
      <c r="E336" s="117"/>
      <c r="F336" s="117"/>
    </row>
    <row r="337" spans="5:6" x14ac:dyDescent="0.15">
      <c r="E337" s="117"/>
      <c r="F337" s="117"/>
    </row>
    <row r="338" spans="5:6" x14ac:dyDescent="0.15">
      <c r="E338" s="117"/>
      <c r="F338" s="117"/>
    </row>
    <row r="339" spans="5:6" x14ac:dyDescent="0.15">
      <c r="E339" s="117"/>
      <c r="F339" s="117"/>
    </row>
    <row r="340" spans="5:6" x14ac:dyDescent="0.15">
      <c r="E340" s="117"/>
      <c r="F340" s="117"/>
    </row>
    <row r="341" spans="5:6" x14ac:dyDescent="0.15">
      <c r="E341" s="117"/>
      <c r="F341" s="117"/>
    </row>
    <row r="342" spans="5:6" x14ac:dyDescent="0.15">
      <c r="E342" s="117"/>
      <c r="F342" s="117"/>
    </row>
    <row r="343" spans="5:6" x14ac:dyDescent="0.15">
      <c r="E343" s="117"/>
      <c r="F343" s="117"/>
    </row>
    <row r="344" spans="5:6" x14ac:dyDescent="0.15">
      <c r="E344" s="117"/>
      <c r="F344" s="117"/>
    </row>
    <row r="345" spans="5:6" x14ac:dyDescent="0.15">
      <c r="E345" s="117"/>
      <c r="F345" s="117"/>
    </row>
    <row r="346" spans="5:6" x14ac:dyDescent="0.15">
      <c r="E346" s="117"/>
      <c r="F346" s="117"/>
    </row>
    <row r="347" spans="5:6" x14ac:dyDescent="0.15">
      <c r="E347" s="117"/>
      <c r="F347" s="117"/>
    </row>
    <row r="348" spans="5:6" x14ac:dyDescent="0.15">
      <c r="E348" s="117"/>
      <c r="F348" s="117"/>
    </row>
    <row r="349" spans="5:6" x14ac:dyDescent="0.15">
      <c r="E349" s="117"/>
      <c r="F349" s="117"/>
    </row>
    <row r="350" spans="5:6" x14ac:dyDescent="0.15">
      <c r="E350" s="117"/>
      <c r="F350" s="117"/>
    </row>
    <row r="351" spans="5:6" x14ac:dyDescent="0.15">
      <c r="E351" s="117"/>
      <c r="F351" s="117"/>
    </row>
    <row r="352" spans="5:6" x14ac:dyDescent="0.15">
      <c r="E352" s="117"/>
      <c r="F352" s="117"/>
    </row>
    <row r="353" spans="5:6" x14ac:dyDescent="0.15">
      <c r="E353" s="117"/>
      <c r="F353" s="117"/>
    </row>
    <row r="354" spans="5:6" x14ac:dyDescent="0.15">
      <c r="E354" s="117"/>
      <c r="F354" s="117"/>
    </row>
    <row r="355" spans="5:6" x14ac:dyDescent="0.15">
      <c r="E355" s="117"/>
      <c r="F355" s="117"/>
    </row>
    <row r="356" spans="5:6" x14ac:dyDescent="0.15">
      <c r="E356" s="117"/>
      <c r="F356" s="117"/>
    </row>
    <row r="357" spans="5:6" x14ac:dyDescent="0.15">
      <c r="E357" s="117"/>
      <c r="F357" s="117"/>
    </row>
    <row r="358" spans="5:6" x14ac:dyDescent="0.15">
      <c r="E358" s="117"/>
      <c r="F358" s="117"/>
    </row>
    <row r="359" spans="5:6" x14ac:dyDescent="0.15">
      <c r="E359" s="117"/>
      <c r="F359" s="117"/>
    </row>
    <row r="360" spans="5:6" x14ac:dyDescent="0.15">
      <c r="E360" s="117"/>
      <c r="F360" s="117"/>
    </row>
    <row r="361" spans="5:6" x14ac:dyDescent="0.15">
      <c r="E361" s="117"/>
      <c r="F361" s="117"/>
    </row>
    <row r="362" spans="5:6" x14ac:dyDescent="0.15">
      <c r="E362" s="117"/>
      <c r="F362" s="117"/>
    </row>
    <row r="363" spans="5:6" x14ac:dyDescent="0.15">
      <c r="E363" s="117"/>
      <c r="F363" s="117"/>
    </row>
    <row r="364" spans="5:6" x14ac:dyDescent="0.15">
      <c r="E364" s="117"/>
      <c r="F364" s="117"/>
    </row>
    <row r="365" spans="5:6" x14ac:dyDescent="0.15">
      <c r="E365" s="117"/>
      <c r="F365" s="117"/>
    </row>
    <row r="366" spans="5:6" x14ac:dyDescent="0.15">
      <c r="E366" s="117"/>
      <c r="F366" s="117"/>
    </row>
    <row r="367" spans="5:6" x14ac:dyDescent="0.15">
      <c r="E367" s="117"/>
      <c r="F367" s="117"/>
    </row>
    <row r="368" spans="5:6" x14ac:dyDescent="0.15">
      <c r="E368" s="117"/>
      <c r="F368" s="117"/>
    </row>
    <row r="369" spans="5:6" x14ac:dyDescent="0.15">
      <c r="E369" s="117"/>
      <c r="F369" s="117"/>
    </row>
    <row r="370" spans="5:6" x14ac:dyDescent="0.15">
      <c r="E370" s="117"/>
      <c r="F370" s="117"/>
    </row>
    <row r="371" spans="5:6" x14ac:dyDescent="0.15">
      <c r="E371" s="117"/>
      <c r="F371" s="117"/>
    </row>
    <row r="372" spans="5:6" x14ac:dyDescent="0.15">
      <c r="E372" s="117"/>
      <c r="F372" s="117"/>
    </row>
    <row r="373" spans="5:6" x14ac:dyDescent="0.15">
      <c r="E373" s="117"/>
      <c r="F373" s="117"/>
    </row>
    <row r="374" spans="5:6" x14ac:dyDescent="0.15">
      <c r="E374" s="117"/>
      <c r="F374" s="117"/>
    </row>
    <row r="375" spans="5:6" x14ac:dyDescent="0.15">
      <c r="E375" s="117"/>
      <c r="F375" s="117"/>
    </row>
    <row r="376" spans="5:6" x14ac:dyDescent="0.15">
      <c r="E376" s="117"/>
      <c r="F376" s="117"/>
    </row>
    <row r="377" spans="5:6" x14ac:dyDescent="0.15">
      <c r="E377" s="117"/>
      <c r="F377" s="117"/>
    </row>
    <row r="378" spans="5:6" x14ac:dyDescent="0.15">
      <c r="E378" s="117"/>
      <c r="F378" s="117"/>
    </row>
    <row r="379" spans="5:6" x14ac:dyDescent="0.15">
      <c r="E379" s="117"/>
      <c r="F379" s="117"/>
    </row>
    <row r="380" spans="5:6" x14ac:dyDescent="0.15">
      <c r="E380" s="117"/>
      <c r="F380" s="117"/>
    </row>
    <row r="381" spans="5:6" x14ac:dyDescent="0.15">
      <c r="E381" s="117"/>
      <c r="F381" s="117"/>
    </row>
    <row r="382" spans="5:6" x14ac:dyDescent="0.15">
      <c r="E382" s="117"/>
      <c r="F382" s="117"/>
    </row>
    <row r="383" spans="5:6" x14ac:dyDescent="0.15">
      <c r="E383" s="117"/>
      <c r="F383" s="117"/>
    </row>
    <row r="384" spans="5:6" x14ac:dyDescent="0.15">
      <c r="E384" s="117"/>
      <c r="F384" s="117"/>
    </row>
    <row r="385" spans="5:6" x14ac:dyDescent="0.15">
      <c r="E385" s="117"/>
      <c r="F385" s="117"/>
    </row>
    <row r="386" spans="5:6" x14ac:dyDescent="0.15">
      <c r="E386" s="117"/>
      <c r="F386" s="117"/>
    </row>
    <row r="387" spans="5:6" x14ac:dyDescent="0.15">
      <c r="E387" s="117"/>
      <c r="F387" s="117"/>
    </row>
    <row r="388" spans="5:6" x14ac:dyDescent="0.15">
      <c r="E388" s="117"/>
      <c r="F388" s="117"/>
    </row>
    <row r="389" spans="5:6" x14ac:dyDescent="0.15">
      <c r="E389" s="117"/>
      <c r="F389" s="117"/>
    </row>
    <row r="390" spans="5:6" x14ac:dyDescent="0.15">
      <c r="E390" s="117"/>
      <c r="F390" s="117"/>
    </row>
    <row r="391" spans="5:6" x14ac:dyDescent="0.15">
      <c r="E391" s="117"/>
      <c r="F391" s="117"/>
    </row>
    <row r="392" spans="5:6" x14ac:dyDescent="0.15">
      <c r="E392" s="117"/>
      <c r="F392" s="117"/>
    </row>
    <row r="393" spans="5:6" x14ac:dyDescent="0.15">
      <c r="E393" s="117"/>
      <c r="F393" s="117"/>
    </row>
    <row r="394" spans="5:6" x14ac:dyDescent="0.15">
      <c r="E394" s="117"/>
      <c r="F394" s="117"/>
    </row>
    <row r="395" spans="5:6" x14ac:dyDescent="0.15">
      <c r="E395" s="117"/>
      <c r="F395" s="117"/>
    </row>
    <row r="396" spans="5:6" x14ac:dyDescent="0.15">
      <c r="E396" s="117"/>
      <c r="F396" s="117"/>
    </row>
    <row r="397" spans="5:6" x14ac:dyDescent="0.15">
      <c r="E397" s="117"/>
      <c r="F397" s="117"/>
    </row>
    <row r="398" spans="5:6" x14ac:dyDescent="0.15">
      <c r="E398" s="117"/>
      <c r="F398" s="117"/>
    </row>
    <row r="399" spans="5:6" x14ac:dyDescent="0.15">
      <c r="E399" s="117"/>
      <c r="F399" s="117"/>
    </row>
    <row r="400" spans="5:6" x14ac:dyDescent="0.15">
      <c r="E400" s="117"/>
      <c r="F400" s="117"/>
    </row>
    <row r="401" spans="5:6" x14ac:dyDescent="0.15">
      <c r="E401" s="117"/>
      <c r="F401" s="117"/>
    </row>
    <row r="402" spans="5:6" x14ac:dyDescent="0.15">
      <c r="E402" s="117"/>
      <c r="F402" s="117"/>
    </row>
    <row r="403" spans="5:6" x14ac:dyDescent="0.15">
      <c r="E403" s="117"/>
      <c r="F403" s="117"/>
    </row>
    <row r="404" spans="5:6" x14ac:dyDescent="0.15">
      <c r="E404" s="117"/>
      <c r="F404" s="117"/>
    </row>
    <row r="405" spans="5:6" x14ac:dyDescent="0.15">
      <c r="E405" s="117"/>
      <c r="F405" s="117"/>
    </row>
    <row r="406" spans="5:6" x14ac:dyDescent="0.15">
      <c r="E406" s="117"/>
      <c r="F406" s="117"/>
    </row>
    <row r="407" spans="5:6" x14ac:dyDescent="0.15">
      <c r="E407" s="117"/>
      <c r="F407" s="117"/>
    </row>
    <row r="408" spans="5:6" x14ac:dyDescent="0.15">
      <c r="E408" s="117"/>
      <c r="F408" s="117"/>
    </row>
    <row r="409" spans="5:6" x14ac:dyDescent="0.15">
      <c r="E409" s="117"/>
      <c r="F409" s="117"/>
    </row>
    <row r="410" spans="5:6" x14ac:dyDescent="0.15">
      <c r="E410" s="117"/>
      <c r="F410" s="117"/>
    </row>
    <row r="411" spans="5:6" x14ac:dyDescent="0.15">
      <c r="E411" s="117"/>
      <c r="F411" s="117"/>
    </row>
    <row r="412" spans="5:6" x14ac:dyDescent="0.15">
      <c r="E412" s="117"/>
      <c r="F412" s="117"/>
    </row>
    <row r="413" spans="5:6" x14ac:dyDescent="0.15">
      <c r="E413" s="117"/>
      <c r="F413" s="117"/>
    </row>
    <row r="414" spans="5:6" x14ac:dyDescent="0.15">
      <c r="E414" s="117"/>
      <c r="F414" s="117"/>
    </row>
    <row r="415" spans="5:6" x14ac:dyDescent="0.15">
      <c r="E415" s="117"/>
      <c r="F415" s="117"/>
    </row>
    <row r="416" spans="5:6" x14ac:dyDescent="0.15">
      <c r="E416" s="117"/>
      <c r="F416" s="117"/>
    </row>
    <row r="417" spans="5:6" x14ac:dyDescent="0.15">
      <c r="E417" s="117"/>
      <c r="F417" s="117"/>
    </row>
    <row r="418" spans="5:6" x14ac:dyDescent="0.15">
      <c r="E418" s="117"/>
      <c r="F418" s="117"/>
    </row>
    <row r="419" spans="5:6" x14ac:dyDescent="0.15">
      <c r="E419" s="117"/>
      <c r="F419" s="117"/>
    </row>
    <row r="420" spans="5:6" x14ac:dyDescent="0.15">
      <c r="E420" s="117"/>
      <c r="F420" s="117"/>
    </row>
    <row r="421" spans="5:6" x14ac:dyDescent="0.15">
      <c r="E421" s="117"/>
      <c r="F421" s="117"/>
    </row>
    <row r="422" spans="5:6" x14ac:dyDescent="0.15">
      <c r="E422" s="117"/>
      <c r="F422" s="117"/>
    </row>
    <row r="423" spans="5:6" x14ac:dyDescent="0.15">
      <c r="E423" s="117"/>
      <c r="F423" s="117"/>
    </row>
    <row r="424" spans="5:6" x14ac:dyDescent="0.15">
      <c r="E424" s="117"/>
      <c r="F424" s="117"/>
    </row>
    <row r="425" spans="5:6" x14ac:dyDescent="0.15">
      <c r="E425" s="117"/>
      <c r="F425" s="117"/>
    </row>
    <row r="426" spans="5:6" x14ac:dyDescent="0.15">
      <c r="E426" s="117"/>
      <c r="F426" s="117"/>
    </row>
    <row r="427" spans="5:6" x14ac:dyDescent="0.15">
      <c r="E427" s="117"/>
      <c r="F427" s="117"/>
    </row>
    <row r="428" spans="5:6" x14ac:dyDescent="0.15">
      <c r="E428" s="117"/>
      <c r="F428" s="117"/>
    </row>
    <row r="429" spans="5:6" x14ac:dyDescent="0.15">
      <c r="E429" s="117"/>
      <c r="F429" s="117"/>
    </row>
    <row r="430" spans="5:6" x14ac:dyDescent="0.15">
      <c r="E430" s="117"/>
      <c r="F430" s="117"/>
    </row>
    <row r="431" spans="5:6" x14ac:dyDescent="0.15">
      <c r="E431" s="117"/>
      <c r="F431" s="117"/>
    </row>
    <row r="432" spans="5:6" x14ac:dyDescent="0.15">
      <c r="E432" s="117"/>
      <c r="F432" s="117"/>
    </row>
    <row r="433" spans="5:6" x14ac:dyDescent="0.15">
      <c r="E433" s="117"/>
      <c r="F433" s="117"/>
    </row>
    <row r="434" spans="5:6" x14ac:dyDescent="0.15">
      <c r="E434" s="117"/>
      <c r="F434" s="117"/>
    </row>
    <row r="435" spans="5:6" x14ac:dyDescent="0.15">
      <c r="E435" s="117"/>
      <c r="F435" s="117"/>
    </row>
    <row r="436" spans="5:6" x14ac:dyDescent="0.15">
      <c r="E436" s="117"/>
      <c r="F436" s="117"/>
    </row>
    <row r="437" spans="5:6" x14ac:dyDescent="0.15">
      <c r="E437" s="117"/>
      <c r="F437" s="117"/>
    </row>
    <row r="438" spans="5:6" x14ac:dyDescent="0.15">
      <c r="E438" s="117"/>
      <c r="F438" s="117"/>
    </row>
    <row r="439" spans="5:6" x14ac:dyDescent="0.15">
      <c r="E439" s="117"/>
      <c r="F439" s="117"/>
    </row>
    <row r="440" spans="5:6" x14ac:dyDescent="0.15">
      <c r="E440" s="117"/>
      <c r="F440" s="117"/>
    </row>
    <row r="441" spans="5:6" x14ac:dyDescent="0.15">
      <c r="E441" s="117"/>
      <c r="F441" s="117"/>
    </row>
    <row r="442" spans="5:6" x14ac:dyDescent="0.15">
      <c r="E442" s="117"/>
      <c r="F442" s="117"/>
    </row>
    <row r="443" spans="5:6" x14ac:dyDescent="0.15">
      <c r="E443" s="117"/>
      <c r="F443" s="117"/>
    </row>
    <row r="444" spans="5:6" x14ac:dyDescent="0.15">
      <c r="E444" s="117"/>
      <c r="F444" s="117"/>
    </row>
    <row r="445" spans="5:6" x14ac:dyDescent="0.15">
      <c r="E445" s="117"/>
      <c r="F445" s="117"/>
    </row>
    <row r="446" spans="5:6" x14ac:dyDescent="0.15">
      <c r="E446" s="117"/>
      <c r="F446" s="117"/>
    </row>
    <row r="447" spans="5:6" x14ac:dyDescent="0.15">
      <c r="E447" s="117"/>
      <c r="F447" s="117"/>
    </row>
    <row r="448" spans="5:6" x14ac:dyDescent="0.15">
      <c r="E448" s="117"/>
      <c r="F448" s="117"/>
    </row>
    <row r="449" spans="5:6" x14ac:dyDescent="0.15">
      <c r="E449" s="117"/>
      <c r="F449" s="117"/>
    </row>
    <row r="450" spans="5:6" x14ac:dyDescent="0.15">
      <c r="E450" s="117"/>
      <c r="F450" s="117"/>
    </row>
    <row r="451" spans="5:6" x14ac:dyDescent="0.15">
      <c r="E451" s="117"/>
      <c r="F451" s="117"/>
    </row>
    <row r="452" spans="5:6" x14ac:dyDescent="0.15">
      <c r="E452" s="117"/>
      <c r="F452" s="117"/>
    </row>
    <row r="453" spans="5:6" x14ac:dyDescent="0.15">
      <c r="E453" s="117"/>
      <c r="F453" s="117"/>
    </row>
    <row r="454" spans="5:6" x14ac:dyDescent="0.15">
      <c r="E454" s="117"/>
      <c r="F454" s="117"/>
    </row>
    <row r="455" spans="5:6" x14ac:dyDescent="0.15">
      <c r="E455" s="117"/>
      <c r="F455" s="117"/>
    </row>
    <row r="456" spans="5:6" x14ac:dyDescent="0.15">
      <c r="E456" s="117"/>
      <c r="F456" s="117"/>
    </row>
    <row r="457" spans="5:6" x14ac:dyDescent="0.15">
      <c r="E457" s="117"/>
      <c r="F457" s="117"/>
    </row>
    <row r="458" spans="5:6" x14ac:dyDescent="0.15">
      <c r="E458" s="117"/>
      <c r="F458" s="117"/>
    </row>
    <row r="459" spans="5:6" x14ac:dyDescent="0.15">
      <c r="E459" s="117"/>
      <c r="F459" s="117"/>
    </row>
    <row r="460" spans="5:6" x14ac:dyDescent="0.15">
      <c r="E460" s="117"/>
      <c r="F460" s="117"/>
    </row>
    <row r="461" spans="5:6" x14ac:dyDescent="0.15">
      <c r="E461" s="117"/>
      <c r="F461" s="117"/>
    </row>
    <row r="462" spans="5:6" x14ac:dyDescent="0.15">
      <c r="E462" s="117"/>
      <c r="F462" s="117"/>
    </row>
    <row r="463" spans="5:6" x14ac:dyDescent="0.15">
      <c r="E463" s="117"/>
      <c r="F463" s="117"/>
    </row>
    <row r="464" spans="5:6" x14ac:dyDescent="0.15">
      <c r="E464" s="117"/>
      <c r="F464" s="117"/>
    </row>
    <row r="465" spans="5:6" x14ac:dyDescent="0.15">
      <c r="E465" s="117"/>
      <c r="F465" s="117"/>
    </row>
    <row r="466" spans="5:6" x14ac:dyDescent="0.15">
      <c r="E466" s="117"/>
      <c r="F466" s="117"/>
    </row>
    <row r="467" spans="5:6" x14ac:dyDescent="0.15">
      <c r="E467" s="117"/>
      <c r="F467" s="117"/>
    </row>
    <row r="468" spans="5:6" x14ac:dyDescent="0.15">
      <c r="E468" s="117"/>
      <c r="F468" s="117"/>
    </row>
    <row r="469" spans="5:6" x14ac:dyDescent="0.15">
      <c r="E469" s="117"/>
      <c r="F469" s="117"/>
    </row>
    <row r="470" spans="5:6" x14ac:dyDescent="0.15">
      <c r="E470" s="117"/>
      <c r="F470" s="117"/>
    </row>
    <row r="471" spans="5:6" x14ac:dyDescent="0.15">
      <c r="E471" s="117"/>
      <c r="F471" s="117"/>
    </row>
    <row r="472" spans="5:6" x14ac:dyDescent="0.15">
      <c r="E472" s="117"/>
      <c r="F472" s="117"/>
    </row>
    <row r="473" spans="5:6" x14ac:dyDescent="0.15">
      <c r="E473" s="117"/>
      <c r="F473" s="117"/>
    </row>
    <row r="474" spans="5:6" x14ac:dyDescent="0.15">
      <c r="E474" s="117"/>
      <c r="F474" s="117"/>
    </row>
    <row r="475" spans="5:6" x14ac:dyDescent="0.15">
      <c r="E475" s="117"/>
      <c r="F475" s="117"/>
    </row>
    <row r="476" spans="5:6" x14ac:dyDescent="0.15">
      <c r="E476" s="117"/>
      <c r="F476" s="117"/>
    </row>
    <row r="477" spans="5:6" x14ac:dyDescent="0.15">
      <c r="E477" s="117"/>
      <c r="F477" s="117"/>
    </row>
    <row r="478" spans="5:6" x14ac:dyDescent="0.15">
      <c r="E478" s="117"/>
      <c r="F478" s="117"/>
    </row>
    <row r="479" spans="5:6" x14ac:dyDescent="0.15">
      <c r="E479" s="117"/>
      <c r="F479" s="117"/>
    </row>
    <row r="480" spans="5:6" x14ac:dyDescent="0.15">
      <c r="E480" s="117"/>
      <c r="F480" s="117"/>
    </row>
    <row r="481" spans="5:6" x14ac:dyDescent="0.15">
      <c r="E481" s="117"/>
      <c r="F481" s="117"/>
    </row>
    <row r="482" spans="5:6" x14ac:dyDescent="0.15">
      <c r="E482" s="117"/>
      <c r="F482" s="117"/>
    </row>
    <row r="483" spans="5:6" x14ac:dyDescent="0.15">
      <c r="E483" s="117"/>
      <c r="F483" s="117"/>
    </row>
    <row r="484" spans="5:6" x14ac:dyDescent="0.15">
      <c r="E484" s="117"/>
      <c r="F484" s="117"/>
    </row>
    <row r="485" spans="5:6" x14ac:dyDescent="0.15">
      <c r="E485" s="117"/>
      <c r="F485" s="117"/>
    </row>
    <row r="486" spans="5:6" x14ac:dyDescent="0.15">
      <c r="E486" s="117"/>
      <c r="F486" s="117"/>
    </row>
    <row r="487" spans="5:6" x14ac:dyDescent="0.15">
      <c r="E487" s="117"/>
      <c r="F487" s="117"/>
    </row>
    <row r="488" spans="5:6" x14ac:dyDescent="0.15">
      <c r="E488" s="117"/>
      <c r="F488" s="117"/>
    </row>
    <row r="489" spans="5:6" x14ac:dyDescent="0.15">
      <c r="E489" s="117"/>
      <c r="F489" s="117"/>
    </row>
    <row r="490" spans="5:6" x14ac:dyDescent="0.15">
      <c r="E490" s="117"/>
      <c r="F490" s="117"/>
    </row>
    <row r="491" spans="5:6" x14ac:dyDescent="0.15">
      <c r="E491" s="117"/>
      <c r="F491" s="117"/>
    </row>
    <row r="492" spans="5:6" x14ac:dyDescent="0.15">
      <c r="E492" s="117"/>
      <c r="F492" s="117"/>
    </row>
    <row r="493" spans="5:6" x14ac:dyDescent="0.15">
      <c r="E493" s="117"/>
      <c r="F493" s="117"/>
    </row>
    <row r="494" spans="5:6" x14ac:dyDescent="0.15">
      <c r="E494" s="117"/>
      <c r="F494" s="117"/>
    </row>
    <row r="495" spans="5:6" x14ac:dyDescent="0.15">
      <c r="E495" s="117"/>
      <c r="F495" s="117"/>
    </row>
    <row r="496" spans="5:6" x14ac:dyDescent="0.15">
      <c r="E496" s="117"/>
      <c r="F496" s="117"/>
    </row>
    <row r="497" spans="5:6" x14ac:dyDescent="0.15">
      <c r="E497" s="117"/>
      <c r="F497" s="117"/>
    </row>
    <row r="498" spans="5:6" x14ac:dyDescent="0.15">
      <c r="E498" s="117"/>
      <c r="F498" s="117"/>
    </row>
    <row r="499" spans="5:6" x14ac:dyDescent="0.15">
      <c r="E499" s="117"/>
      <c r="F499" s="117"/>
    </row>
    <row r="500" spans="5:6" x14ac:dyDescent="0.15">
      <c r="E500" s="117"/>
      <c r="F500" s="117"/>
    </row>
    <row r="501" spans="5:6" x14ac:dyDescent="0.15">
      <c r="E501" s="117"/>
      <c r="F501" s="117"/>
    </row>
    <row r="502" spans="5:6" x14ac:dyDescent="0.15">
      <c r="E502" s="117"/>
      <c r="F502" s="117"/>
    </row>
    <row r="503" spans="5:6" x14ac:dyDescent="0.15">
      <c r="E503" s="117"/>
      <c r="F503" s="117"/>
    </row>
    <row r="504" spans="5:6" x14ac:dyDescent="0.15">
      <c r="E504" s="117"/>
      <c r="F504" s="117"/>
    </row>
    <row r="505" spans="5:6" x14ac:dyDescent="0.15">
      <c r="E505" s="117"/>
      <c r="F505" s="117"/>
    </row>
    <row r="506" spans="5:6" x14ac:dyDescent="0.15">
      <c r="E506" s="117"/>
      <c r="F506" s="117"/>
    </row>
    <row r="507" spans="5:6" x14ac:dyDescent="0.15">
      <c r="E507" s="117"/>
      <c r="F507" s="117"/>
    </row>
    <row r="508" spans="5:6" x14ac:dyDescent="0.15">
      <c r="E508" s="117"/>
      <c r="F508" s="117"/>
    </row>
    <row r="509" spans="5:6" x14ac:dyDescent="0.15">
      <c r="E509" s="117"/>
      <c r="F509" s="117"/>
    </row>
    <row r="510" spans="5:6" x14ac:dyDescent="0.15">
      <c r="E510" s="117"/>
      <c r="F510" s="117"/>
    </row>
    <row r="511" spans="5:6" x14ac:dyDescent="0.15">
      <c r="E511" s="117"/>
      <c r="F511" s="117"/>
    </row>
    <row r="512" spans="5:6" x14ac:dyDescent="0.15">
      <c r="E512" s="117"/>
      <c r="F512" s="117"/>
    </row>
    <row r="513" spans="5:6" x14ac:dyDescent="0.15">
      <c r="E513" s="117"/>
      <c r="F513" s="117"/>
    </row>
    <row r="514" spans="5:6" x14ac:dyDescent="0.15">
      <c r="E514" s="117"/>
      <c r="F514" s="117"/>
    </row>
    <row r="515" spans="5:6" x14ac:dyDescent="0.15">
      <c r="E515" s="117"/>
      <c r="F515" s="117"/>
    </row>
    <row r="516" spans="5:6" x14ac:dyDescent="0.15">
      <c r="E516" s="117"/>
      <c r="F516" s="117"/>
    </row>
    <row r="517" spans="5:6" x14ac:dyDescent="0.15">
      <c r="E517" s="117"/>
      <c r="F517" s="117"/>
    </row>
    <row r="518" spans="5:6" x14ac:dyDescent="0.15">
      <c r="E518" s="117"/>
      <c r="F518" s="117"/>
    </row>
    <row r="519" spans="5:6" x14ac:dyDescent="0.15">
      <c r="E519" s="117"/>
      <c r="F519" s="117"/>
    </row>
    <row r="520" spans="5:6" x14ac:dyDescent="0.15">
      <c r="E520" s="117"/>
      <c r="F520" s="117"/>
    </row>
    <row r="521" spans="5:6" x14ac:dyDescent="0.15">
      <c r="E521" s="117"/>
      <c r="F521" s="117"/>
    </row>
    <row r="522" spans="5:6" x14ac:dyDescent="0.15">
      <c r="E522" s="117"/>
      <c r="F522" s="117"/>
    </row>
    <row r="523" spans="5:6" x14ac:dyDescent="0.15">
      <c r="E523" s="117"/>
      <c r="F523" s="117"/>
    </row>
    <row r="524" spans="5:6" x14ac:dyDescent="0.15">
      <c r="E524" s="117"/>
      <c r="F524" s="117"/>
    </row>
    <row r="525" spans="5:6" x14ac:dyDescent="0.15">
      <c r="E525" s="117"/>
      <c r="F525" s="117"/>
    </row>
    <row r="526" spans="5:6" x14ac:dyDescent="0.15">
      <c r="E526" s="117"/>
      <c r="F526" s="117"/>
    </row>
    <row r="527" spans="5:6" x14ac:dyDescent="0.15">
      <c r="E527" s="117"/>
      <c r="F527" s="117"/>
    </row>
    <row r="528" spans="5:6" x14ac:dyDescent="0.15">
      <c r="E528" s="117"/>
      <c r="F528" s="117"/>
    </row>
    <row r="529" spans="5:6" x14ac:dyDescent="0.15">
      <c r="E529" s="117"/>
      <c r="F529" s="117"/>
    </row>
    <row r="530" spans="5:6" x14ac:dyDescent="0.15">
      <c r="E530" s="117"/>
      <c r="F530" s="117"/>
    </row>
    <row r="531" spans="5:6" x14ac:dyDescent="0.15">
      <c r="E531" s="117"/>
      <c r="F531" s="117"/>
    </row>
    <row r="532" spans="5:6" x14ac:dyDescent="0.15">
      <c r="E532" s="117"/>
      <c r="F532" s="117"/>
    </row>
    <row r="533" spans="5:6" x14ac:dyDescent="0.15">
      <c r="E533" s="117"/>
      <c r="F533" s="117"/>
    </row>
    <row r="534" spans="5:6" x14ac:dyDescent="0.15">
      <c r="E534" s="117"/>
      <c r="F534" s="117"/>
    </row>
    <row r="535" spans="5:6" x14ac:dyDescent="0.15">
      <c r="E535" s="117"/>
      <c r="F535" s="117"/>
    </row>
    <row r="536" spans="5:6" x14ac:dyDescent="0.15">
      <c r="E536" s="117"/>
      <c r="F536" s="117"/>
    </row>
    <row r="537" spans="5:6" x14ac:dyDescent="0.15">
      <c r="E537" s="117"/>
      <c r="F537" s="117"/>
    </row>
    <row r="538" spans="5:6" x14ac:dyDescent="0.15">
      <c r="E538" s="117"/>
      <c r="F538" s="117"/>
    </row>
    <row r="539" spans="5:6" x14ac:dyDescent="0.15">
      <c r="E539" s="117"/>
      <c r="F539" s="117"/>
    </row>
    <row r="540" spans="5:6" x14ac:dyDescent="0.15">
      <c r="E540" s="117"/>
      <c r="F540" s="117"/>
    </row>
    <row r="541" spans="5:6" x14ac:dyDescent="0.15">
      <c r="E541" s="117"/>
      <c r="F541" s="117"/>
    </row>
    <row r="542" spans="5:6" x14ac:dyDescent="0.15">
      <c r="E542" s="117"/>
      <c r="F542" s="117"/>
    </row>
    <row r="543" spans="5:6" x14ac:dyDescent="0.15">
      <c r="E543" s="117"/>
      <c r="F543" s="117"/>
    </row>
    <row r="544" spans="5:6" x14ac:dyDescent="0.15">
      <c r="E544" s="117"/>
      <c r="F544" s="117"/>
    </row>
    <row r="545" spans="5:6" x14ac:dyDescent="0.15">
      <c r="E545" s="117"/>
      <c r="F545" s="117"/>
    </row>
    <row r="546" spans="5:6" x14ac:dyDescent="0.15">
      <c r="E546" s="117"/>
      <c r="F546" s="117"/>
    </row>
    <row r="547" spans="5:6" x14ac:dyDescent="0.15">
      <c r="E547" s="117"/>
      <c r="F547" s="117"/>
    </row>
    <row r="548" spans="5:6" x14ac:dyDescent="0.15">
      <c r="E548" s="117"/>
      <c r="F548" s="117"/>
    </row>
    <row r="549" spans="5:6" x14ac:dyDescent="0.15">
      <c r="E549" s="117"/>
      <c r="F549" s="117"/>
    </row>
    <row r="550" spans="5:6" x14ac:dyDescent="0.15">
      <c r="E550" s="117"/>
      <c r="F550" s="117"/>
    </row>
    <row r="551" spans="5:6" x14ac:dyDescent="0.15">
      <c r="E551" s="117"/>
      <c r="F551" s="117"/>
    </row>
    <row r="552" spans="5:6" x14ac:dyDescent="0.15">
      <c r="E552" s="117"/>
      <c r="F552" s="117"/>
    </row>
    <row r="553" spans="5:6" x14ac:dyDescent="0.15">
      <c r="E553" s="117"/>
      <c r="F553" s="117"/>
    </row>
    <row r="554" spans="5:6" x14ac:dyDescent="0.15">
      <c r="E554" s="117"/>
      <c r="F554" s="117"/>
    </row>
    <row r="555" spans="5:6" x14ac:dyDescent="0.15">
      <c r="E555" s="117"/>
      <c r="F555" s="117"/>
    </row>
    <row r="556" spans="5:6" x14ac:dyDescent="0.15">
      <c r="E556" s="117"/>
      <c r="F556" s="117"/>
    </row>
    <row r="557" spans="5:6" x14ac:dyDescent="0.15">
      <c r="E557" s="117"/>
      <c r="F557" s="117"/>
    </row>
    <row r="558" spans="5:6" x14ac:dyDescent="0.15">
      <c r="E558" s="117"/>
      <c r="F558" s="117"/>
    </row>
    <row r="559" spans="5:6" x14ac:dyDescent="0.15">
      <c r="E559" s="117"/>
      <c r="F559" s="117"/>
    </row>
    <row r="560" spans="5:6" x14ac:dyDescent="0.15">
      <c r="E560" s="117"/>
      <c r="F560" s="117"/>
    </row>
    <row r="561" spans="5:6" x14ac:dyDescent="0.15">
      <c r="E561" s="117"/>
      <c r="F561" s="117"/>
    </row>
    <row r="562" spans="5:6" x14ac:dyDescent="0.15">
      <c r="E562" s="117"/>
      <c r="F562" s="117"/>
    </row>
    <row r="563" spans="5:6" x14ac:dyDescent="0.15">
      <c r="E563" s="117"/>
      <c r="F563" s="117"/>
    </row>
    <row r="564" spans="5:6" x14ac:dyDescent="0.15">
      <c r="E564" s="117"/>
      <c r="F564" s="117"/>
    </row>
    <row r="565" spans="5:6" x14ac:dyDescent="0.15">
      <c r="E565" s="117"/>
      <c r="F565" s="117"/>
    </row>
    <row r="566" spans="5:6" x14ac:dyDescent="0.15">
      <c r="E566" s="117"/>
      <c r="F566" s="117"/>
    </row>
    <row r="567" spans="5:6" x14ac:dyDescent="0.15">
      <c r="E567" s="117"/>
      <c r="F567" s="117"/>
    </row>
    <row r="568" spans="5:6" x14ac:dyDescent="0.15">
      <c r="E568" s="117"/>
      <c r="F568" s="117"/>
    </row>
    <row r="569" spans="5:6" x14ac:dyDescent="0.15">
      <c r="E569" s="117"/>
      <c r="F569" s="117"/>
    </row>
    <row r="570" spans="5:6" x14ac:dyDescent="0.15">
      <c r="E570" s="117"/>
      <c r="F570" s="117"/>
    </row>
    <row r="571" spans="5:6" x14ac:dyDescent="0.15">
      <c r="E571" s="117"/>
      <c r="F571" s="117"/>
    </row>
    <row r="572" spans="5:6" x14ac:dyDescent="0.15">
      <c r="E572" s="117"/>
      <c r="F572" s="117"/>
    </row>
    <row r="573" spans="5:6" x14ac:dyDescent="0.15">
      <c r="E573" s="117"/>
      <c r="F573" s="117"/>
    </row>
    <row r="574" spans="5:6" x14ac:dyDescent="0.15">
      <c r="E574" s="117"/>
      <c r="F574" s="117"/>
    </row>
    <row r="575" spans="5:6" x14ac:dyDescent="0.15">
      <c r="E575" s="117"/>
      <c r="F575" s="117"/>
    </row>
    <row r="576" spans="5:6" x14ac:dyDescent="0.15">
      <c r="E576" s="117"/>
      <c r="F576" s="117"/>
    </row>
    <row r="577" spans="5:6" x14ac:dyDescent="0.15">
      <c r="E577" s="117"/>
      <c r="F577" s="117"/>
    </row>
    <row r="578" spans="5:6" x14ac:dyDescent="0.15">
      <c r="E578" s="117"/>
      <c r="F578" s="117"/>
    </row>
    <row r="579" spans="5:6" x14ac:dyDescent="0.15">
      <c r="E579" s="117"/>
      <c r="F579" s="117"/>
    </row>
    <row r="580" spans="5:6" x14ac:dyDescent="0.15">
      <c r="E580" s="117"/>
      <c r="F580" s="117"/>
    </row>
    <row r="581" spans="5:6" x14ac:dyDescent="0.15">
      <c r="E581" s="117"/>
      <c r="F581" s="117"/>
    </row>
    <row r="582" spans="5:6" x14ac:dyDescent="0.15">
      <c r="E582" s="117"/>
      <c r="F582" s="117"/>
    </row>
    <row r="583" spans="5:6" x14ac:dyDescent="0.15">
      <c r="E583" s="117"/>
      <c r="F583" s="117"/>
    </row>
    <row r="584" spans="5:6" x14ac:dyDescent="0.15">
      <c r="E584" s="117"/>
      <c r="F584" s="117"/>
    </row>
    <row r="585" spans="5:6" x14ac:dyDescent="0.15">
      <c r="E585" s="117"/>
      <c r="F585" s="117"/>
    </row>
    <row r="586" spans="5:6" x14ac:dyDescent="0.15">
      <c r="E586" s="117"/>
      <c r="F586" s="117"/>
    </row>
    <row r="587" spans="5:6" x14ac:dyDescent="0.15">
      <c r="E587" s="117"/>
      <c r="F587" s="117"/>
    </row>
    <row r="588" spans="5:6" x14ac:dyDescent="0.15">
      <c r="E588" s="117"/>
      <c r="F588" s="117"/>
    </row>
    <row r="589" spans="5:6" x14ac:dyDescent="0.15">
      <c r="E589" s="117"/>
      <c r="F589" s="117"/>
    </row>
    <row r="590" spans="5:6" x14ac:dyDescent="0.15">
      <c r="E590" s="117"/>
      <c r="F590" s="117"/>
    </row>
    <row r="591" spans="5:6" x14ac:dyDescent="0.15">
      <c r="E591" s="117"/>
      <c r="F591" s="117"/>
    </row>
    <row r="592" spans="5:6" x14ac:dyDescent="0.15">
      <c r="E592" s="117"/>
      <c r="F592" s="117"/>
    </row>
    <row r="593" spans="5:6" x14ac:dyDescent="0.15">
      <c r="E593" s="117"/>
      <c r="F593" s="117"/>
    </row>
    <row r="594" spans="5:6" x14ac:dyDescent="0.15">
      <c r="E594" s="117"/>
      <c r="F594" s="117"/>
    </row>
    <row r="595" spans="5:6" x14ac:dyDescent="0.15">
      <c r="E595" s="117"/>
      <c r="F595" s="117"/>
    </row>
    <row r="596" spans="5:6" x14ac:dyDescent="0.15">
      <c r="E596" s="117"/>
      <c r="F596" s="117"/>
    </row>
    <row r="597" spans="5:6" x14ac:dyDescent="0.15">
      <c r="E597" s="117"/>
      <c r="F597" s="117"/>
    </row>
    <row r="598" spans="5:6" x14ac:dyDescent="0.15">
      <c r="E598" s="117"/>
      <c r="F598" s="117"/>
    </row>
    <row r="599" spans="5:6" x14ac:dyDescent="0.15">
      <c r="E599" s="117"/>
      <c r="F599" s="117"/>
    </row>
    <row r="600" spans="5:6" x14ac:dyDescent="0.15">
      <c r="E600" s="117"/>
      <c r="F600" s="117"/>
    </row>
    <row r="601" spans="5:6" x14ac:dyDescent="0.15">
      <c r="E601" s="117"/>
      <c r="F601" s="117"/>
    </row>
    <row r="602" spans="5:6" x14ac:dyDescent="0.15">
      <c r="E602" s="117"/>
      <c r="F602" s="117"/>
    </row>
    <row r="603" spans="5:6" x14ac:dyDescent="0.15">
      <c r="E603" s="117"/>
      <c r="F603" s="117"/>
    </row>
    <row r="604" spans="5:6" x14ac:dyDescent="0.15">
      <c r="E604" s="117"/>
      <c r="F604" s="117"/>
    </row>
    <row r="605" spans="5:6" x14ac:dyDescent="0.15">
      <c r="E605" s="117"/>
      <c r="F605" s="117"/>
    </row>
    <row r="606" spans="5:6" x14ac:dyDescent="0.15">
      <c r="E606" s="117"/>
      <c r="F606" s="117"/>
    </row>
    <row r="607" spans="5:6" x14ac:dyDescent="0.15">
      <c r="E607" s="117"/>
      <c r="F607" s="117"/>
    </row>
    <row r="608" spans="5:6" x14ac:dyDescent="0.15">
      <c r="E608" s="117"/>
      <c r="F608" s="117"/>
    </row>
    <row r="609" spans="5:6" x14ac:dyDescent="0.15">
      <c r="E609" s="117"/>
      <c r="F609" s="117"/>
    </row>
    <row r="610" spans="5:6" x14ac:dyDescent="0.15">
      <c r="E610" s="117"/>
      <c r="F610" s="117"/>
    </row>
    <row r="611" spans="5:6" x14ac:dyDescent="0.15">
      <c r="E611" s="117"/>
      <c r="F611" s="117"/>
    </row>
    <row r="612" spans="5:6" x14ac:dyDescent="0.15">
      <c r="E612" s="117"/>
      <c r="F612" s="117"/>
    </row>
    <row r="613" spans="5:6" x14ac:dyDescent="0.15">
      <c r="E613" s="117"/>
      <c r="F613" s="117"/>
    </row>
    <row r="614" spans="5:6" x14ac:dyDescent="0.15">
      <c r="E614" s="117"/>
      <c r="F614" s="117"/>
    </row>
    <row r="615" spans="5:6" x14ac:dyDescent="0.15">
      <c r="E615" s="117"/>
      <c r="F615" s="117"/>
    </row>
    <row r="616" spans="5:6" x14ac:dyDescent="0.15">
      <c r="E616" s="117"/>
      <c r="F616" s="117"/>
    </row>
    <row r="617" spans="5:6" x14ac:dyDescent="0.15">
      <c r="E617" s="117"/>
      <c r="F617" s="117"/>
    </row>
    <row r="618" spans="5:6" x14ac:dyDescent="0.15">
      <c r="E618" s="117"/>
      <c r="F618" s="117"/>
    </row>
    <row r="619" spans="5:6" x14ac:dyDescent="0.15">
      <c r="E619" s="117"/>
      <c r="F619" s="117"/>
    </row>
    <row r="620" spans="5:6" x14ac:dyDescent="0.15">
      <c r="E620" s="117"/>
      <c r="F620" s="117"/>
    </row>
    <row r="621" spans="5:6" x14ac:dyDescent="0.15">
      <c r="E621" s="117"/>
      <c r="F621" s="117"/>
    </row>
    <row r="622" spans="5:6" x14ac:dyDescent="0.15">
      <c r="E622" s="117"/>
      <c r="F622" s="117"/>
    </row>
    <row r="623" spans="5:6" x14ac:dyDescent="0.15">
      <c r="E623" s="117"/>
      <c r="F623" s="117"/>
    </row>
    <row r="624" spans="5:6" x14ac:dyDescent="0.15">
      <c r="E624" s="117"/>
      <c r="F624" s="117"/>
    </row>
    <row r="625" spans="5:6" x14ac:dyDescent="0.15">
      <c r="E625" s="117"/>
      <c r="F625" s="117"/>
    </row>
    <row r="626" spans="5:6" x14ac:dyDescent="0.15">
      <c r="E626" s="117"/>
      <c r="F626" s="117"/>
    </row>
    <row r="627" spans="5:6" x14ac:dyDescent="0.15">
      <c r="E627" s="117"/>
      <c r="F627" s="117"/>
    </row>
    <row r="628" spans="5:6" x14ac:dyDescent="0.15">
      <c r="E628" s="117"/>
      <c r="F628" s="117"/>
    </row>
    <row r="629" spans="5:6" x14ac:dyDescent="0.15">
      <c r="E629" s="117"/>
      <c r="F629" s="117"/>
    </row>
    <row r="630" spans="5:6" x14ac:dyDescent="0.15">
      <c r="E630" s="117"/>
      <c r="F630" s="117"/>
    </row>
    <row r="631" spans="5:6" x14ac:dyDescent="0.15">
      <c r="E631" s="117"/>
      <c r="F631" s="117"/>
    </row>
    <row r="632" spans="5:6" x14ac:dyDescent="0.15">
      <c r="E632" s="117"/>
      <c r="F632" s="117"/>
    </row>
    <row r="633" spans="5:6" x14ac:dyDescent="0.15">
      <c r="E633" s="117"/>
      <c r="F633" s="117"/>
    </row>
    <row r="634" spans="5:6" x14ac:dyDescent="0.15">
      <c r="E634" s="117"/>
      <c r="F634" s="117"/>
    </row>
    <row r="635" spans="5:6" x14ac:dyDescent="0.15">
      <c r="E635" s="117"/>
      <c r="F635" s="117"/>
    </row>
    <row r="636" spans="5:6" x14ac:dyDescent="0.15">
      <c r="E636" s="117"/>
      <c r="F636" s="117"/>
    </row>
    <row r="637" spans="5:6" x14ac:dyDescent="0.15">
      <c r="E637" s="117"/>
      <c r="F637" s="117"/>
    </row>
    <row r="638" spans="5:6" x14ac:dyDescent="0.15">
      <c r="E638" s="117"/>
      <c r="F638" s="117"/>
    </row>
    <row r="639" spans="5:6" x14ac:dyDescent="0.15">
      <c r="E639" s="117"/>
      <c r="F639" s="117"/>
    </row>
    <row r="640" spans="5:6" x14ac:dyDescent="0.15">
      <c r="E640" s="117"/>
      <c r="F640" s="117"/>
    </row>
    <row r="641" spans="5:6" x14ac:dyDescent="0.15">
      <c r="E641" s="117"/>
      <c r="F641" s="117"/>
    </row>
    <row r="642" spans="5:6" x14ac:dyDescent="0.15">
      <c r="E642" s="117"/>
      <c r="F642" s="117"/>
    </row>
    <row r="643" spans="5:6" x14ac:dyDescent="0.15">
      <c r="E643" s="117"/>
      <c r="F643" s="117"/>
    </row>
    <row r="644" spans="5:6" x14ac:dyDescent="0.15">
      <c r="E644" s="117"/>
      <c r="F644" s="117"/>
    </row>
    <row r="645" spans="5:6" x14ac:dyDescent="0.15">
      <c r="E645" s="117"/>
      <c r="F645" s="117"/>
    </row>
    <row r="646" spans="5:6" x14ac:dyDescent="0.15">
      <c r="E646" s="117"/>
      <c r="F646" s="117"/>
    </row>
    <row r="647" spans="5:6" x14ac:dyDescent="0.15">
      <c r="E647" s="117"/>
      <c r="F647" s="117"/>
    </row>
    <row r="648" spans="5:6" x14ac:dyDescent="0.15">
      <c r="E648" s="117"/>
      <c r="F648" s="117"/>
    </row>
    <row r="649" spans="5:6" x14ac:dyDescent="0.15">
      <c r="E649" s="117"/>
      <c r="F649" s="117"/>
    </row>
    <row r="650" spans="5:6" x14ac:dyDescent="0.15">
      <c r="E650" s="117"/>
      <c r="F650" s="117"/>
    </row>
    <row r="651" spans="5:6" x14ac:dyDescent="0.15">
      <c r="E651" s="117"/>
      <c r="F651" s="117"/>
    </row>
    <row r="652" spans="5:6" x14ac:dyDescent="0.15">
      <c r="E652" s="117"/>
      <c r="F652" s="117"/>
    </row>
    <row r="653" spans="5:6" x14ac:dyDescent="0.15">
      <c r="E653" s="117"/>
      <c r="F653" s="117"/>
    </row>
    <row r="654" spans="5:6" x14ac:dyDescent="0.15">
      <c r="E654" s="117"/>
      <c r="F654" s="117"/>
    </row>
    <row r="655" spans="5:6" x14ac:dyDescent="0.15">
      <c r="E655" s="117"/>
      <c r="F655" s="117"/>
    </row>
    <row r="656" spans="5:6" x14ac:dyDescent="0.15">
      <c r="E656" s="117"/>
      <c r="F656" s="117"/>
    </row>
    <row r="657" spans="5:6" x14ac:dyDescent="0.15">
      <c r="E657" s="117"/>
      <c r="F657" s="117"/>
    </row>
    <row r="658" spans="5:6" x14ac:dyDescent="0.15">
      <c r="E658" s="117"/>
      <c r="F658" s="117"/>
    </row>
    <row r="659" spans="5:6" x14ac:dyDescent="0.15">
      <c r="E659" s="117"/>
      <c r="F659" s="117"/>
    </row>
    <row r="660" spans="5:6" x14ac:dyDescent="0.15">
      <c r="E660" s="117"/>
      <c r="F660" s="117"/>
    </row>
    <row r="661" spans="5:6" x14ac:dyDescent="0.15">
      <c r="E661" s="117"/>
      <c r="F661" s="117"/>
    </row>
    <row r="662" spans="5:6" x14ac:dyDescent="0.15">
      <c r="E662" s="117"/>
      <c r="F662" s="117"/>
    </row>
    <row r="663" spans="5:6" x14ac:dyDescent="0.15">
      <c r="E663" s="117"/>
      <c r="F663" s="117"/>
    </row>
    <row r="664" spans="5:6" x14ac:dyDescent="0.15">
      <c r="E664" s="117"/>
      <c r="F664" s="117"/>
    </row>
    <row r="665" spans="5:6" x14ac:dyDescent="0.15">
      <c r="E665" s="117"/>
      <c r="F665" s="117"/>
    </row>
    <row r="666" spans="5:6" x14ac:dyDescent="0.15">
      <c r="E666" s="117"/>
      <c r="F666" s="117"/>
    </row>
    <row r="667" spans="5:6" x14ac:dyDescent="0.15">
      <c r="E667" s="117"/>
      <c r="F667" s="117"/>
    </row>
    <row r="668" spans="5:6" x14ac:dyDescent="0.15">
      <c r="E668" s="117"/>
      <c r="F668" s="117"/>
    </row>
    <row r="669" spans="5:6" x14ac:dyDescent="0.15">
      <c r="E669" s="117"/>
      <c r="F669" s="117"/>
    </row>
    <row r="670" spans="5:6" x14ac:dyDescent="0.15">
      <c r="E670" s="117"/>
      <c r="F670" s="117"/>
    </row>
    <row r="671" spans="5:6" x14ac:dyDescent="0.15">
      <c r="E671" s="117"/>
      <c r="F671" s="117"/>
    </row>
    <row r="672" spans="5:6" x14ac:dyDescent="0.15">
      <c r="E672" s="117"/>
      <c r="F672" s="117"/>
    </row>
    <row r="673" spans="5:6" x14ac:dyDescent="0.15">
      <c r="E673" s="117"/>
      <c r="F673" s="117"/>
    </row>
    <row r="674" spans="5:6" x14ac:dyDescent="0.15">
      <c r="E674" s="117"/>
      <c r="F674" s="117"/>
    </row>
    <row r="675" spans="5:6" x14ac:dyDescent="0.15">
      <c r="E675" s="117"/>
      <c r="F675" s="117"/>
    </row>
    <row r="676" spans="5:6" x14ac:dyDescent="0.15">
      <c r="E676" s="117"/>
      <c r="F676" s="117"/>
    </row>
    <row r="677" spans="5:6" x14ac:dyDescent="0.15">
      <c r="E677" s="117"/>
      <c r="F677" s="117"/>
    </row>
    <row r="678" spans="5:6" x14ac:dyDescent="0.15">
      <c r="E678" s="117"/>
      <c r="F678" s="117"/>
    </row>
    <row r="679" spans="5:6" x14ac:dyDescent="0.15">
      <c r="E679" s="117"/>
      <c r="F679" s="117"/>
    </row>
    <row r="680" spans="5:6" x14ac:dyDescent="0.15">
      <c r="E680" s="117"/>
      <c r="F680" s="117"/>
    </row>
    <row r="681" spans="5:6" x14ac:dyDescent="0.15">
      <c r="E681" s="117"/>
      <c r="F681" s="117"/>
    </row>
    <row r="682" spans="5:6" x14ac:dyDescent="0.15">
      <c r="E682" s="117"/>
      <c r="F682" s="117"/>
    </row>
    <row r="683" spans="5:6" x14ac:dyDescent="0.15">
      <c r="E683" s="117"/>
      <c r="F683" s="117"/>
    </row>
    <row r="684" spans="5:6" x14ac:dyDescent="0.15">
      <c r="E684" s="117"/>
      <c r="F684" s="117"/>
    </row>
    <row r="685" spans="5:6" x14ac:dyDescent="0.15">
      <c r="E685" s="117"/>
      <c r="F685" s="117"/>
    </row>
    <row r="686" spans="5:6" x14ac:dyDescent="0.15">
      <c r="E686" s="117"/>
      <c r="F686" s="117"/>
    </row>
    <row r="687" spans="5:6" x14ac:dyDescent="0.15">
      <c r="E687" s="117"/>
      <c r="F687" s="117"/>
    </row>
    <row r="688" spans="5:6" x14ac:dyDescent="0.15">
      <c r="E688" s="117"/>
      <c r="F688" s="117"/>
    </row>
    <row r="689" spans="5:6" x14ac:dyDescent="0.15">
      <c r="E689" s="117"/>
      <c r="F689" s="117"/>
    </row>
    <row r="690" spans="5:6" x14ac:dyDescent="0.15">
      <c r="E690" s="117"/>
      <c r="F690" s="117"/>
    </row>
    <row r="691" spans="5:6" x14ac:dyDescent="0.15">
      <c r="E691" s="117"/>
      <c r="F691" s="117"/>
    </row>
    <row r="692" spans="5:6" x14ac:dyDescent="0.15">
      <c r="E692" s="117"/>
      <c r="F692" s="117"/>
    </row>
    <row r="693" spans="5:6" x14ac:dyDescent="0.15">
      <c r="E693" s="117"/>
      <c r="F693" s="117"/>
    </row>
    <row r="694" spans="5:6" x14ac:dyDescent="0.15">
      <c r="E694" s="117"/>
      <c r="F694" s="117"/>
    </row>
    <row r="695" spans="5:6" x14ac:dyDescent="0.15">
      <c r="E695" s="117"/>
      <c r="F695" s="117"/>
    </row>
    <row r="696" spans="5:6" x14ac:dyDescent="0.15">
      <c r="E696" s="117"/>
      <c r="F696" s="117"/>
    </row>
    <row r="697" spans="5:6" x14ac:dyDescent="0.15">
      <c r="E697" s="117"/>
      <c r="F697" s="117"/>
    </row>
    <row r="698" spans="5:6" x14ac:dyDescent="0.15">
      <c r="E698" s="117"/>
      <c r="F698" s="117"/>
    </row>
    <row r="699" spans="5:6" x14ac:dyDescent="0.15">
      <c r="E699" s="117"/>
      <c r="F699" s="117"/>
    </row>
    <row r="700" spans="5:6" x14ac:dyDescent="0.15">
      <c r="E700" s="117"/>
      <c r="F700" s="117"/>
    </row>
    <row r="701" spans="5:6" x14ac:dyDescent="0.15">
      <c r="E701" s="117"/>
      <c r="F701" s="117"/>
    </row>
    <row r="702" spans="5:6" x14ac:dyDescent="0.15">
      <c r="E702" s="117"/>
      <c r="F702" s="117"/>
    </row>
    <row r="703" spans="5:6" x14ac:dyDescent="0.15">
      <c r="E703" s="117"/>
      <c r="F703" s="117"/>
    </row>
    <row r="704" spans="5:6" x14ac:dyDescent="0.15">
      <c r="E704" s="117"/>
      <c r="F704" s="117"/>
    </row>
    <row r="705" spans="5:6" x14ac:dyDescent="0.15">
      <c r="E705" s="117"/>
      <c r="F705" s="117"/>
    </row>
    <row r="706" spans="5:6" x14ac:dyDescent="0.15">
      <c r="E706" s="117"/>
      <c r="F706" s="117"/>
    </row>
    <row r="707" spans="5:6" x14ac:dyDescent="0.15">
      <c r="E707" s="117"/>
      <c r="F707" s="117"/>
    </row>
    <row r="708" spans="5:6" x14ac:dyDescent="0.15">
      <c r="E708" s="117"/>
      <c r="F708" s="117"/>
    </row>
    <row r="709" spans="5:6" x14ac:dyDescent="0.15">
      <c r="E709" s="117"/>
      <c r="F709" s="117"/>
    </row>
    <row r="710" spans="5:6" x14ac:dyDescent="0.15">
      <c r="E710" s="117"/>
      <c r="F710" s="117"/>
    </row>
    <row r="711" spans="5:6" x14ac:dyDescent="0.15">
      <c r="E711" s="117"/>
      <c r="F711" s="117"/>
    </row>
    <row r="712" spans="5:6" x14ac:dyDescent="0.15">
      <c r="E712" s="117"/>
      <c r="F712" s="117"/>
    </row>
    <row r="713" spans="5:6" x14ac:dyDescent="0.15">
      <c r="E713" s="117"/>
      <c r="F713" s="117"/>
    </row>
    <row r="714" spans="5:6" x14ac:dyDescent="0.15">
      <c r="E714" s="117"/>
      <c r="F714" s="117"/>
    </row>
    <row r="715" spans="5:6" x14ac:dyDescent="0.15">
      <c r="E715" s="117"/>
      <c r="F715" s="117"/>
    </row>
    <row r="716" spans="5:6" x14ac:dyDescent="0.15">
      <c r="E716" s="117"/>
      <c r="F716" s="117"/>
    </row>
    <row r="717" spans="5:6" x14ac:dyDescent="0.15">
      <c r="E717" s="117"/>
      <c r="F717" s="117"/>
    </row>
    <row r="718" spans="5:6" x14ac:dyDescent="0.15">
      <c r="E718" s="117"/>
      <c r="F718" s="117"/>
    </row>
    <row r="719" spans="5:6" x14ac:dyDescent="0.15">
      <c r="E719" s="117"/>
      <c r="F719" s="117"/>
    </row>
    <row r="720" spans="5:6" x14ac:dyDescent="0.15">
      <c r="E720" s="117"/>
      <c r="F720" s="117"/>
    </row>
    <row r="721" spans="5:6" x14ac:dyDescent="0.15">
      <c r="E721" s="117"/>
      <c r="F721" s="117"/>
    </row>
    <row r="722" spans="5:6" x14ac:dyDescent="0.15">
      <c r="E722" s="117"/>
      <c r="F722" s="117"/>
    </row>
    <row r="723" spans="5:6" x14ac:dyDescent="0.15">
      <c r="E723" s="117"/>
      <c r="F723" s="117"/>
    </row>
    <row r="724" spans="5:6" x14ac:dyDescent="0.15">
      <c r="E724" s="117"/>
      <c r="F724" s="117"/>
    </row>
    <row r="725" spans="5:6" x14ac:dyDescent="0.15">
      <c r="E725" s="117"/>
      <c r="F725" s="117"/>
    </row>
    <row r="726" spans="5:6" x14ac:dyDescent="0.15">
      <c r="E726" s="117"/>
      <c r="F726" s="117"/>
    </row>
    <row r="727" spans="5:6" x14ac:dyDescent="0.15">
      <c r="E727" s="117"/>
      <c r="F727" s="117"/>
    </row>
    <row r="728" spans="5:6" x14ac:dyDescent="0.15">
      <c r="E728" s="117"/>
      <c r="F728" s="117"/>
    </row>
    <row r="729" spans="5:6" x14ac:dyDescent="0.15">
      <c r="E729" s="117"/>
      <c r="F729" s="117"/>
    </row>
    <row r="730" spans="5:6" x14ac:dyDescent="0.15">
      <c r="E730" s="117"/>
      <c r="F730" s="117"/>
    </row>
    <row r="731" spans="5:6" x14ac:dyDescent="0.15">
      <c r="E731" s="117"/>
      <c r="F731" s="117"/>
    </row>
    <row r="732" spans="5:6" x14ac:dyDescent="0.15">
      <c r="E732" s="117"/>
    </row>
  </sheetData>
  <autoFilter ref="A1:BA85" xr:uid="{00000000-0009-0000-0000-000000000000}"/>
  <phoneticPr fontId="3"/>
  <dataValidations count="15">
    <dataValidation type="decimal" allowBlank="1" showInputMessage="1" showErrorMessage="1" error="硬度を正しく入力して下さい。" sqref="O2:P500" xr:uid="{800E4FB9-7FB5-43CD-BA93-531CF608E968}">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47A6DEA2-B017-453E-AB44-D6277BCDE908}">
      <formula1>$AV$2:$AV$20</formula1>
    </dataValidation>
    <dataValidation type="list" allowBlank="1" showInputMessage="1" showErrorMessage="1" sqref="Y2:AA500" xr:uid="{57793020-2512-41E4-8163-AEE20ACBBCB2}">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9DEEA730-F565-4B00-8824-32F530667566}">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5BE9CB92-8FE8-4980-9750-8736A46D7F2D}">
      <formula1>$AN$5:$AN$6</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08FEAD48-35DA-4E47-8973-84A4CEB33267}">
      <formula1>$AP$2:$AP$27</formula1>
    </dataValidation>
    <dataValidation type="list" allowBlank="1" showInputMessage="1" showErrorMessage="1" sqref="H2:H500" xr:uid="{F765BE82-7112-4077-BA56-6106019605FD}">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D648006C-D3E7-4327-AA25-D3B2BDE16EC6}">
      <formula1>$AH$2:$AH$11</formula1>
    </dataValidation>
    <dataValidation type="list" allowBlank="1" showInputMessage="1" showErrorMessage="1" sqref="K2:K89" xr:uid="{4E8AFA05-D0E8-4F6D-95A7-BAC92100F337}">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30CCAC02-CC52-4EBE-8D5F-BFC34DAEBE7E}">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825D599B-3EBA-4159-9D63-E2299375F3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E242542F-0A5D-4742-87BF-72CDD9B8AA8C}">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F9EFCA52-34D9-4083-8B7C-F770295C285E}">
      <formula1>$AL$4:$AL$12</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1EC97C8F-76AD-4334-967C-4675B2291A3F}">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40D6BCE8-8AD6-455D-B877-8E90A014A95D}">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81454-6A8A-48DB-A631-7E2C873F776E}">
  <sheetPr>
    <pageSetUpPr fitToPage="1"/>
  </sheetPr>
  <dimension ref="A1:BA120"/>
  <sheetViews>
    <sheetView zoomScale="80" zoomScaleNormal="80" workbookViewId="0">
      <selection activeCell="AB43" sqref="AB43"/>
    </sheetView>
  </sheetViews>
  <sheetFormatPr defaultRowHeight="13.5" x14ac:dyDescent="0.15"/>
  <cols>
    <col min="1" max="3" width="9" style="53" customWidth="1"/>
    <col min="4" max="4" width="10.42578125" style="53" customWidth="1"/>
    <col min="5" max="5" width="11.28515625" style="53" bestFit="1" customWidth="1"/>
    <col min="6" max="7" width="9.140625" style="53"/>
    <col min="8" max="10" width="9" style="53" customWidth="1"/>
    <col min="11" max="11" width="11.42578125" style="53" customWidth="1"/>
    <col min="12" max="16" width="9" style="53" customWidth="1"/>
    <col min="17" max="17" width="9" style="16" customWidth="1"/>
    <col min="18" max="18" width="9.140625" style="53"/>
    <col min="19" max="19" width="9.42578125" style="53" bestFit="1" customWidth="1"/>
    <col min="20" max="20" width="9" style="16" customWidth="1"/>
    <col min="21" max="21" width="9.140625" style="53"/>
    <col min="22" max="22" width="9" style="16" customWidth="1"/>
    <col min="23" max="28" width="9.140625" style="53"/>
    <col min="29" max="29" width="26.42578125" style="53" customWidth="1"/>
    <col min="30" max="32" width="9.140625" style="53"/>
    <col min="33" max="33" width="15.7109375" style="53" bestFit="1" customWidth="1"/>
    <col min="34" max="34" width="15" style="53" bestFit="1" customWidth="1"/>
    <col min="35" max="256" width="9.140625" style="53"/>
    <col min="257" max="259" width="9" style="53" customWidth="1"/>
    <col min="260" max="260" width="10.42578125" style="53" customWidth="1"/>
    <col min="261" max="261" width="11.28515625" style="53" bestFit="1" customWidth="1"/>
    <col min="262" max="263" width="9.140625" style="53"/>
    <col min="264" max="273" width="9" style="53" customWidth="1"/>
    <col min="274" max="274" width="9.140625" style="53"/>
    <col min="275" max="275" width="9.42578125" style="53" bestFit="1" customWidth="1"/>
    <col min="276" max="276" width="9" style="53" customWidth="1"/>
    <col min="277" max="277" width="9.140625" style="53"/>
    <col min="278" max="278" width="9" style="53" customWidth="1"/>
    <col min="279" max="284" width="9.140625" style="53"/>
    <col min="285" max="285" width="26.42578125" style="53" customWidth="1"/>
    <col min="286" max="288" width="9.140625" style="53"/>
    <col min="289" max="289" width="14.7109375" style="53" bestFit="1" customWidth="1"/>
    <col min="290" max="512" width="9.140625" style="53"/>
    <col min="513" max="515" width="9" style="53" customWidth="1"/>
    <col min="516" max="516" width="10.42578125" style="53" customWidth="1"/>
    <col min="517" max="517" width="11.28515625" style="53" bestFit="1" customWidth="1"/>
    <col min="518" max="519" width="9.140625" style="53"/>
    <col min="520" max="529" width="9" style="53" customWidth="1"/>
    <col min="530" max="530" width="9.140625" style="53"/>
    <col min="531" max="531" width="9.42578125" style="53" bestFit="1" customWidth="1"/>
    <col min="532" max="532" width="9" style="53" customWidth="1"/>
    <col min="533" max="533" width="9.140625" style="53"/>
    <col min="534" max="534" width="9" style="53" customWidth="1"/>
    <col min="535" max="540" width="9.140625" style="53"/>
    <col min="541" max="541" width="26.42578125" style="53" customWidth="1"/>
    <col min="542" max="544" width="9.140625" style="53"/>
    <col min="545" max="545" width="14.7109375" style="53" bestFit="1" customWidth="1"/>
    <col min="546" max="768" width="9.140625" style="53"/>
    <col min="769" max="771" width="9" style="53" customWidth="1"/>
    <col min="772" max="772" width="10.42578125" style="53" customWidth="1"/>
    <col min="773" max="773" width="11.28515625" style="53" bestFit="1" customWidth="1"/>
    <col min="774" max="775" width="9.140625" style="53"/>
    <col min="776" max="785" width="9" style="53" customWidth="1"/>
    <col min="786" max="786" width="9.140625" style="53"/>
    <col min="787" max="787" width="9.42578125" style="53" bestFit="1" customWidth="1"/>
    <col min="788" max="788" width="9" style="53" customWidth="1"/>
    <col min="789" max="789" width="9.140625" style="53"/>
    <col min="790" max="790" width="9" style="53" customWidth="1"/>
    <col min="791" max="796" width="9.140625" style="53"/>
    <col min="797" max="797" width="26.42578125" style="53" customWidth="1"/>
    <col min="798" max="800" width="9.140625" style="53"/>
    <col min="801" max="801" width="14.7109375" style="53" bestFit="1" customWidth="1"/>
    <col min="802" max="1024" width="9.140625" style="53"/>
    <col min="1025" max="1027" width="9" style="53" customWidth="1"/>
    <col min="1028" max="1028" width="10.42578125" style="53" customWidth="1"/>
    <col min="1029" max="1029" width="11.28515625" style="53" bestFit="1" customWidth="1"/>
    <col min="1030" max="1031" width="9.140625" style="53"/>
    <col min="1032" max="1041" width="9" style="53" customWidth="1"/>
    <col min="1042" max="1042" width="9.140625" style="53"/>
    <col min="1043" max="1043" width="9.42578125" style="53" bestFit="1" customWidth="1"/>
    <col min="1044" max="1044" width="9" style="53" customWidth="1"/>
    <col min="1045" max="1045" width="9.140625" style="53"/>
    <col min="1046" max="1046" width="9" style="53" customWidth="1"/>
    <col min="1047" max="1052" width="9.140625" style="53"/>
    <col min="1053" max="1053" width="26.42578125" style="53" customWidth="1"/>
    <col min="1054" max="1056" width="9.140625" style="53"/>
    <col min="1057" max="1057" width="14.7109375" style="53" bestFit="1" customWidth="1"/>
    <col min="1058" max="1280" width="9.140625" style="53"/>
    <col min="1281" max="1283" width="9" style="53" customWidth="1"/>
    <col min="1284" max="1284" width="10.42578125" style="53" customWidth="1"/>
    <col min="1285" max="1285" width="11.28515625" style="53" bestFit="1" customWidth="1"/>
    <col min="1286" max="1287" width="9.140625" style="53"/>
    <col min="1288" max="1297" width="9" style="53" customWidth="1"/>
    <col min="1298" max="1298" width="9.140625" style="53"/>
    <col min="1299" max="1299" width="9.42578125" style="53" bestFit="1" customWidth="1"/>
    <col min="1300" max="1300" width="9" style="53" customWidth="1"/>
    <col min="1301" max="1301" width="9.140625" style="53"/>
    <col min="1302" max="1302" width="9" style="53" customWidth="1"/>
    <col min="1303" max="1308" width="9.140625" style="53"/>
    <col min="1309" max="1309" width="26.42578125" style="53" customWidth="1"/>
    <col min="1310" max="1312" width="9.140625" style="53"/>
    <col min="1313" max="1313" width="14.7109375" style="53" bestFit="1" customWidth="1"/>
    <col min="1314" max="1536" width="9.140625" style="53"/>
    <col min="1537" max="1539" width="9" style="53" customWidth="1"/>
    <col min="1540" max="1540" width="10.42578125" style="53" customWidth="1"/>
    <col min="1541" max="1541" width="11.28515625" style="53" bestFit="1" customWidth="1"/>
    <col min="1542" max="1543" width="9.140625" style="53"/>
    <col min="1544" max="1553" width="9" style="53" customWidth="1"/>
    <col min="1554" max="1554" width="9.140625" style="53"/>
    <col min="1555" max="1555" width="9.42578125" style="53" bestFit="1" customWidth="1"/>
    <col min="1556" max="1556" width="9" style="53" customWidth="1"/>
    <col min="1557" max="1557" width="9.140625" style="53"/>
    <col min="1558" max="1558" width="9" style="53" customWidth="1"/>
    <col min="1559" max="1564" width="9.140625" style="53"/>
    <col min="1565" max="1565" width="26.42578125" style="53" customWidth="1"/>
    <col min="1566" max="1568" width="9.140625" style="53"/>
    <col min="1569" max="1569" width="14.7109375" style="53" bestFit="1" customWidth="1"/>
    <col min="1570" max="1792" width="9.140625" style="53"/>
    <col min="1793" max="1795" width="9" style="53" customWidth="1"/>
    <col min="1796" max="1796" width="10.42578125" style="53" customWidth="1"/>
    <col min="1797" max="1797" width="11.28515625" style="53" bestFit="1" customWidth="1"/>
    <col min="1798" max="1799" width="9.140625" style="53"/>
    <col min="1800" max="1809" width="9" style="53" customWidth="1"/>
    <col min="1810" max="1810" width="9.140625" style="53"/>
    <col min="1811" max="1811" width="9.42578125" style="53" bestFit="1" customWidth="1"/>
    <col min="1812" max="1812" width="9" style="53" customWidth="1"/>
    <col min="1813" max="1813" width="9.140625" style="53"/>
    <col min="1814" max="1814" width="9" style="53" customWidth="1"/>
    <col min="1815" max="1820" width="9.140625" style="53"/>
    <col min="1821" max="1821" width="26.42578125" style="53" customWidth="1"/>
    <col min="1822" max="1824" width="9.140625" style="53"/>
    <col min="1825" max="1825" width="14.7109375" style="53" bestFit="1" customWidth="1"/>
    <col min="1826" max="2048" width="9.140625" style="53"/>
    <col min="2049" max="2051" width="9" style="53" customWidth="1"/>
    <col min="2052" max="2052" width="10.42578125" style="53" customWidth="1"/>
    <col min="2053" max="2053" width="11.28515625" style="53" bestFit="1" customWidth="1"/>
    <col min="2054" max="2055" width="9.140625" style="53"/>
    <col min="2056" max="2065" width="9" style="53" customWidth="1"/>
    <col min="2066" max="2066" width="9.140625" style="53"/>
    <col min="2067" max="2067" width="9.42578125" style="53" bestFit="1" customWidth="1"/>
    <col min="2068" max="2068" width="9" style="53" customWidth="1"/>
    <col min="2069" max="2069" width="9.140625" style="53"/>
    <col min="2070" max="2070" width="9" style="53" customWidth="1"/>
    <col min="2071" max="2076" width="9.140625" style="53"/>
    <col min="2077" max="2077" width="26.42578125" style="53" customWidth="1"/>
    <col min="2078" max="2080" width="9.140625" style="53"/>
    <col min="2081" max="2081" width="14.7109375" style="53" bestFit="1" customWidth="1"/>
    <col min="2082" max="2304" width="9.140625" style="53"/>
    <col min="2305" max="2307" width="9" style="53" customWidth="1"/>
    <col min="2308" max="2308" width="10.42578125" style="53" customWidth="1"/>
    <col min="2309" max="2309" width="11.28515625" style="53" bestFit="1" customWidth="1"/>
    <col min="2310" max="2311" width="9.140625" style="53"/>
    <col min="2312" max="2321" width="9" style="53" customWidth="1"/>
    <col min="2322" max="2322" width="9.140625" style="53"/>
    <col min="2323" max="2323" width="9.42578125" style="53" bestFit="1" customWidth="1"/>
    <col min="2324" max="2324" width="9" style="53" customWidth="1"/>
    <col min="2325" max="2325" width="9.140625" style="53"/>
    <col min="2326" max="2326" width="9" style="53" customWidth="1"/>
    <col min="2327" max="2332" width="9.140625" style="53"/>
    <col min="2333" max="2333" width="26.42578125" style="53" customWidth="1"/>
    <col min="2334" max="2336" width="9.140625" style="53"/>
    <col min="2337" max="2337" width="14.7109375" style="53" bestFit="1" customWidth="1"/>
    <col min="2338" max="2560" width="9.140625" style="53"/>
    <col min="2561" max="2563" width="9" style="53" customWidth="1"/>
    <col min="2564" max="2564" width="10.42578125" style="53" customWidth="1"/>
    <col min="2565" max="2565" width="11.28515625" style="53" bestFit="1" customWidth="1"/>
    <col min="2566" max="2567" width="9.140625" style="53"/>
    <col min="2568" max="2577" width="9" style="53" customWidth="1"/>
    <col min="2578" max="2578" width="9.140625" style="53"/>
    <col min="2579" max="2579" width="9.42578125" style="53" bestFit="1" customWidth="1"/>
    <col min="2580" max="2580" width="9" style="53" customWidth="1"/>
    <col min="2581" max="2581" width="9.140625" style="53"/>
    <col min="2582" max="2582" width="9" style="53" customWidth="1"/>
    <col min="2583" max="2588" width="9.140625" style="53"/>
    <col min="2589" max="2589" width="26.42578125" style="53" customWidth="1"/>
    <col min="2590" max="2592" width="9.140625" style="53"/>
    <col min="2593" max="2593" width="14.7109375" style="53" bestFit="1" customWidth="1"/>
    <col min="2594" max="2816" width="9.140625" style="53"/>
    <col min="2817" max="2819" width="9" style="53" customWidth="1"/>
    <col min="2820" max="2820" width="10.42578125" style="53" customWidth="1"/>
    <col min="2821" max="2821" width="11.28515625" style="53" bestFit="1" customWidth="1"/>
    <col min="2822" max="2823" width="9.140625" style="53"/>
    <col min="2824" max="2833" width="9" style="53" customWidth="1"/>
    <col min="2834" max="2834" width="9.140625" style="53"/>
    <col min="2835" max="2835" width="9.42578125" style="53" bestFit="1" customWidth="1"/>
    <col min="2836" max="2836" width="9" style="53" customWidth="1"/>
    <col min="2837" max="2837" width="9.140625" style="53"/>
    <col min="2838" max="2838" width="9" style="53" customWidth="1"/>
    <col min="2839" max="2844" width="9.140625" style="53"/>
    <col min="2845" max="2845" width="26.42578125" style="53" customWidth="1"/>
    <col min="2846" max="2848" width="9.140625" style="53"/>
    <col min="2849" max="2849" width="14.7109375" style="53" bestFit="1" customWidth="1"/>
    <col min="2850" max="3072" width="9.140625" style="53"/>
    <col min="3073" max="3075" width="9" style="53" customWidth="1"/>
    <col min="3076" max="3076" width="10.42578125" style="53" customWidth="1"/>
    <col min="3077" max="3077" width="11.28515625" style="53" bestFit="1" customWidth="1"/>
    <col min="3078" max="3079" width="9.140625" style="53"/>
    <col min="3080" max="3089" width="9" style="53" customWidth="1"/>
    <col min="3090" max="3090" width="9.140625" style="53"/>
    <col min="3091" max="3091" width="9.42578125" style="53" bestFit="1" customWidth="1"/>
    <col min="3092" max="3092" width="9" style="53" customWidth="1"/>
    <col min="3093" max="3093" width="9.140625" style="53"/>
    <col min="3094" max="3094" width="9" style="53" customWidth="1"/>
    <col min="3095" max="3100" width="9.140625" style="53"/>
    <col min="3101" max="3101" width="26.42578125" style="53" customWidth="1"/>
    <col min="3102" max="3104" width="9.140625" style="53"/>
    <col min="3105" max="3105" width="14.7109375" style="53" bestFit="1" customWidth="1"/>
    <col min="3106" max="3328" width="9.140625" style="53"/>
    <col min="3329" max="3331" width="9" style="53" customWidth="1"/>
    <col min="3332" max="3332" width="10.42578125" style="53" customWidth="1"/>
    <col min="3333" max="3333" width="11.28515625" style="53" bestFit="1" customWidth="1"/>
    <col min="3334" max="3335" width="9.140625" style="53"/>
    <col min="3336" max="3345" width="9" style="53" customWidth="1"/>
    <col min="3346" max="3346" width="9.140625" style="53"/>
    <col min="3347" max="3347" width="9.42578125" style="53" bestFit="1" customWidth="1"/>
    <col min="3348" max="3348" width="9" style="53" customWidth="1"/>
    <col min="3349" max="3349" width="9.140625" style="53"/>
    <col min="3350" max="3350" width="9" style="53" customWidth="1"/>
    <col min="3351" max="3356" width="9.140625" style="53"/>
    <col min="3357" max="3357" width="26.42578125" style="53" customWidth="1"/>
    <col min="3358" max="3360" width="9.140625" style="53"/>
    <col min="3361" max="3361" width="14.7109375" style="53" bestFit="1" customWidth="1"/>
    <col min="3362" max="3584" width="9.140625" style="53"/>
    <col min="3585" max="3587" width="9" style="53" customWidth="1"/>
    <col min="3588" max="3588" width="10.42578125" style="53" customWidth="1"/>
    <col min="3589" max="3589" width="11.28515625" style="53" bestFit="1" customWidth="1"/>
    <col min="3590" max="3591" width="9.140625" style="53"/>
    <col min="3592" max="3601" width="9" style="53" customWidth="1"/>
    <col min="3602" max="3602" width="9.140625" style="53"/>
    <col min="3603" max="3603" width="9.42578125" style="53" bestFit="1" customWidth="1"/>
    <col min="3604" max="3604" width="9" style="53" customWidth="1"/>
    <col min="3605" max="3605" width="9.140625" style="53"/>
    <col min="3606" max="3606" width="9" style="53" customWidth="1"/>
    <col min="3607" max="3612" width="9.140625" style="53"/>
    <col min="3613" max="3613" width="26.42578125" style="53" customWidth="1"/>
    <col min="3614" max="3616" width="9.140625" style="53"/>
    <col min="3617" max="3617" width="14.7109375" style="53" bestFit="1" customWidth="1"/>
    <col min="3618" max="3840" width="9.140625" style="53"/>
    <col min="3841" max="3843" width="9" style="53" customWidth="1"/>
    <col min="3844" max="3844" width="10.42578125" style="53" customWidth="1"/>
    <col min="3845" max="3845" width="11.28515625" style="53" bestFit="1" customWidth="1"/>
    <col min="3846" max="3847" width="9.140625" style="53"/>
    <col min="3848" max="3857" width="9" style="53" customWidth="1"/>
    <col min="3858" max="3858" width="9.140625" style="53"/>
    <col min="3859" max="3859" width="9.42578125" style="53" bestFit="1" customWidth="1"/>
    <col min="3860" max="3860" width="9" style="53" customWidth="1"/>
    <col min="3861" max="3861" width="9.140625" style="53"/>
    <col min="3862" max="3862" width="9" style="53" customWidth="1"/>
    <col min="3863" max="3868" width="9.140625" style="53"/>
    <col min="3869" max="3869" width="26.42578125" style="53" customWidth="1"/>
    <col min="3870" max="3872" width="9.140625" style="53"/>
    <col min="3873" max="3873" width="14.7109375" style="53" bestFit="1" customWidth="1"/>
    <col min="3874" max="4096" width="9.140625" style="53"/>
    <col min="4097" max="4099" width="9" style="53" customWidth="1"/>
    <col min="4100" max="4100" width="10.42578125" style="53" customWidth="1"/>
    <col min="4101" max="4101" width="11.28515625" style="53" bestFit="1" customWidth="1"/>
    <col min="4102" max="4103" width="9.140625" style="53"/>
    <col min="4104" max="4113" width="9" style="53" customWidth="1"/>
    <col min="4114" max="4114" width="9.140625" style="53"/>
    <col min="4115" max="4115" width="9.42578125" style="53" bestFit="1" customWidth="1"/>
    <col min="4116" max="4116" width="9" style="53" customWidth="1"/>
    <col min="4117" max="4117" width="9.140625" style="53"/>
    <col min="4118" max="4118" width="9" style="53" customWidth="1"/>
    <col min="4119" max="4124" width="9.140625" style="53"/>
    <col min="4125" max="4125" width="26.42578125" style="53" customWidth="1"/>
    <col min="4126" max="4128" width="9.140625" style="53"/>
    <col min="4129" max="4129" width="14.7109375" style="53" bestFit="1" customWidth="1"/>
    <col min="4130" max="4352" width="9.140625" style="53"/>
    <col min="4353" max="4355" width="9" style="53" customWidth="1"/>
    <col min="4356" max="4356" width="10.42578125" style="53" customWidth="1"/>
    <col min="4357" max="4357" width="11.28515625" style="53" bestFit="1" customWidth="1"/>
    <col min="4358" max="4359" width="9.140625" style="53"/>
    <col min="4360" max="4369" width="9" style="53" customWidth="1"/>
    <col min="4370" max="4370" width="9.140625" style="53"/>
    <col min="4371" max="4371" width="9.42578125" style="53" bestFit="1" customWidth="1"/>
    <col min="4372" max="4372" width="9" style="53" customWidth="1"/>
    <col min="4373" max="4373" width="9.140625" style="53"/>
    <col min="4374" max="4374" width="9" style="53" customWidth="1"/>
    <col min="4375" max="4380" width="9.140625" style="53"/>
    <col min="4381" max="4381" width="26.42578125" style="53" customWidth="1"/>
    <col min="4382" max="4384" width="9.140625" style="53"/>
    <col min="4385" max="4385" width="14.7109375" style="53" bestFit="1" customWidth="1"/>
    <col min="4386" max="4608" width="9.140625" style="53"/>
    <col min="4609" max="4611" width="9" style="53" customWidth="1"/>
    <col min="4612" max="4612" width="10.42578125" style="53" customWidth="1"/>
    <col min="4613" max="4613" width="11.28515625" style="53" bestFit="1" customWidth="1"/>
    <col min="4614" max="4615" width="9.140625" style="53"/>
    <col min="4616" max="4625" width="9" style="53" customWidth="1"/>
    <col min="4626" max="4626" width="9.140625" style="53"/>
    <col min="4627" max="4627" width="9.42578125" style="53" bestFit="1" customWidth="1"/>
    <col min="4628" max="4628" width="9" style="53" customWidth="1"/>
    <col min="4629" max="4629" width="9.140625" style="53"/>
    <col min="4630" max="4630" width="9" style="53" customWidth="1"/>
    <col min="4631" max="4636" width="9.140625" style="53"/>
    <col min="4637" max="4637" width="26.42578125" style="53" customWidth="1"/>
    <col min="4638" max="4640" width="9.140625" style="53"/>
    <col min="4641" max="4641" width="14.7109375" style="53" bestFit="1" customWidth="1"/>
    <col min="4642" max="4864" width="9.140625" style="53"/>
    <col min="4865" max="4867" width="9" style="53" customWidth="1"/>
    <col min="4868" max="4868" width="10.42578125" style="53" customWidth="1"/>
    <col min="4869" max="4869" width="11.28515625" style="53" bestFit="1" customWidth="1"/>
    <col min="4870" max="4871" width="9.140625" style="53"/>
    <col min="4872" max="4881" width="9" style="53" customWidth="1"/>
    <col min="4882" max="4882" width="9.140625" style="53"/>
    <col min="4883" max="4883" width="9.42578125" style="53" bestFit="1" customWidth="1"/>
    <col min="4884" max="4884" width="9" style="53" customWidth="1"/>
    <col min="4885" max="4885" width="9.140625" style="53"/>
    <col min="4886" max="4886" width="9" style="53" customWidth="1"/>
    <col min="4887" max="4892" width="9.140625" style="53"/>
    <col min="4893" max="4893" width="26.42578125" style="53" customWidth="1"/>
    <col min="4894" max="4896" width="9.140625" style="53"/>
    <col min="4897" max="4897" width="14.7109375" style="53" bestFit="1" customWidth="1"/>
    <col min="4898" max="5120" width="9.140625" style="53"/>
    <col min="5121" max="5123" width="9" style="53" customWidth="1"/>
    <col min="5124" max="5124" width="10.42578125" style="53" customWidth="1"/>
    <col min="5125" max="5125" width="11.28515625" style="53" bestFit="1" customWidth="1"/>
    <col min="5126" max="5127" width="9.140625" style="53"/>
    <col min="5128" max="5137" width="9" style="53" customWidth="1"/>
    <col min="5138" max="5138" width="9.140625" style="53"/>
    <col min="5139" max="5139" width="9.42578125" style="53" bestFit="1" customWidth="1"/>
    <col min="5140" max="5140" width="9" style="53" customWidth="1"/>
    <col min="5141" max="5141" width="9.140625" style="53"/>
    <col min="5142" max="5142" width="9" style="53" customWidth="1"/>
    <col min="5143" max="5148" width="9.140625" style="53"/>
    <col min="5149" max="5149" width="26.42578125" style="53" customWidth="1"/>
    <col min="5150" max="5152" width="9.140625" style="53"/>
    <col min="5153" max="5153" width="14.7109375" style="53" bestFit="1" customWidth="1"/>
    <col min="5154" max="5376" width="9.140625" style="53"/>
    <col min="5377" max="5379" width="9" style="53" customWidth="1"/>
    <col min="5380" max="5380" width="10.42578125" style="53" customWidth="1"/>
    <col min="5381" max="5381" width="11.28515625" style="53" bestFit="1" customWidth="1"/>
    <col min="5382" max="5383" width="9.140625" style="53"/>
    <col min="5384" max="5393" width="9" style="53" customWidth="1"/>
    <col min="5394" max="5394" width="9.140625" style="53"/>
    <col min="5395" max="5395" width="9.42578125" style="53" bestFit="1" customWidth="1"/>
    <col min="5396" max="5396" width="9" style="53" customWidth="1"/>
    <col min="5397" max="5397" width="9.140625" style="53"/>
    <col min="5398" max="5398" width="9" style="53" customWidth="1"/>
    <col min="5399" max="5404" width="9.140625" style="53"/>
    <col min="5405" max="5405" width="26.42578125" style="53" customWidth="1"/>
    <col min="5406" max="5408" width="9.140625" style="53"/>
    <col min="5409" max="5409" width="14.7109375" style="53" bestFit="1" customWidth="1"/>
    <col min="5410" max="5632" width="9.140625" style="53"/>
    <col min="5633" max="5635" width="9" style="53" customWidth="1"/>
    <col min="5636" max="5636" width="10.42578125" style="53" customWidth="1"/>
    <col min="5637" max="5637" width="11.28515625" style="53" bestFit="1" customWidth="1"/>
    <col min="5638" max="5639" width="9.140625" style="53"/>
    <col min="5640" max="5649" width="9" style="53" customWidth="1"/>
    <col min="5650" max="5650" width="9.140625" style="53"/>
    <col min="5651" max="5651" width="9.42578125" style="53" bestFit="1" customWidth="1"/>
    <col min="5652" max="5652" width="9" style="53" customWidth="1"/>
    <col min="5653" max="5653" width="9.140625" style="53"/>
    <col min="5654" max="5654" width="9" style="53" customWidth="1"/>
    <col min="5655" max="5660" width="9.140625" style="53"/>
    <col min="5661" max="5661" width="26.42578125" style="53" customWidth="1"/>
    <col min="5662" max="5664" width="9.140625" style="53"/>
    <col min="5665" max="5665" width="14.7109375" style="53" bestFit="1" customWidth="1"/>
    <col min="5666" max="5888" width="9.140625" style="53"/>
    <col min="5889" max="5891" width="9" style="53" customWidth="1"/>
    <col min="5892" max="5892" width="10.42578125" style="53" customWidth="1"/>
    <col min="5893" max="5893" width="11.28515625" style="53" bestFit="1" customWidth="1"/>
    <col min="5894" max="5895" width="9.140625" style="53"/>
    <col min="5896" max="5905" width="9" style="53" customWidth="1"/>
    <col min="5906" max="5906" width="9.140625" style="53"/>
    <col min="5907" max="5907" width="9.42578125" style="53" bestFit="1" customWidth="1"/>
    <col min="5908" max="5908" width="9" style="53" customWidth="1"/>
    <col min="5909" max="5909" width="9.140625" style="53"/>
    <col min="5910" max="5910" width="9" style="53" customWidth="1"/>
    <col min="5911" max="5916" width="9.140625" style="53"/>
    <col min="5917" max="5917" width="26.42578125" style="53" customWidth="1"/>
    <col min="5918" max="5920" width="9.140625" style="53"/>
    <col min="5921" max="5921" width="14.7109375" style="53" bestFit="1" customWidth="1"/>
    <col min="5922" max="6144" width="9.140625" style="53"/>
    <col min="6145" max="6147" width="9" style="53" customWidth="1"/>
    <col min="6148" max="6148" width="10.42578125" style="53" customWidth="1"/>
    <col min="6149" max="6149" width="11.28515625" style="53" bestFit="1" customWidth="1"/>
    <col min="6150" max="6151" width="9.140625" style="53"/>
    <col min="6152" max="6161" width="9" style="53" customWidth="1"/>
    <col min="6162" max="6162" width="9.140625" style="53"/>
    <col min="6163" max="6163" width="9.42578125" style="53" bestFit="1" customWidth="1"/>
    <col min="6164" max="6164" width="9" style="53" customWidth="1"/>
    <col min="6165" max="6165" width="9.140625" style="53"/>
    <col min="6166" max="6166" width="9" style="53" customWidth="1"/>
    <col min="6167" max="6172" width="9.140625" style="53"/>
    <col min="6173" max="6173" width="26.42578125" style="53" customWidth="1"/>
    <col min="6174" max="6176" width="9.140625" style="53"/>
    <col min="6177" max="6177" width="14.7109375" style="53" bestFit="1" customWidth="1"/>
    <col min="6178" max="6400" width="9.140625" style="53"/>
    <col min="6401" max="6403" width="9" style="53" customWidth="1"/>
    <col min="6404" max="6404" width="10.42578125" style="53" customWidth="1"/>
    <col min="6405" max="6405" width="11.28515625" style="53" bestFit="1" customWidth="1"/>
    <col min="6406" max="6407" width="9.140625" style="53"/>
    <col min="6408" max="6417" width="9" style="53" customWidth="1"/>
    <col min="6418" max="6418" width="9.140625" style="53"/>
    <col min="6419" max="6419" width="9.42578125" style="53" bestFit="1" customWidth="1"/>
    <col min="6420" max="6420" width="9" style="53" customWidth="1"/>
    <col min="6421" max="6421" width="9.140625" style="53"/>
    <col min="6422" max="6422" width="9" style="53" customWidth="1"/>
    <col min="6423" max="6428" width="9.140625" style="53"/>
    <col min="6429" max="6429" width="26.42578125" style="53" customWidth="1"/>
    <col min="6430" max="6432" width="9.140625" style="53"/>
    <col min="6433" max="6433" width="14.7109375" style="53" bestFit="1" customWidth="1"/>
    <col min="6434" max="6656" width="9.140625" style="53"/>
    <col min="6657" max="6659" width="9" style="53" customWidth="1"/>
    <col min="6660" max="6660" width="10.42578125" style="53" customWidth="1"/>
    <col min="6661" max="6661" width="11.28515625" style="53" bestFit="1" customWidth="1"/>
    <col min="6662" max="6663" width="9.140625" style="53"/>
    <col min="6664" max="6673" width="9" style="53" customWidth="1"/>
    <col min="6674" max="6674" width="9.140625" style="53"/>
    <col min="6675" max="6675" width="9.42578125" style="53" bestFit="1" customWidth="1"/>
    <col min="6676" max="6676" width="9" style="53" customWidth="1"/>
    <col min="6677" max="6677" width="9.140625" style="53"/>
    <col min="6678" max="6678" width="9" style="53" customWidth="1"/>
    <col min="6679" max="6684" width="9.140625" style="53"/>
    <col min="6685" max="6685" width="26.42578125" style="53" customWidth="1"/>
    <col min="6686" max="6688" width="9.140625" style="53"/>
    <col min="6689" max="6689" width="14.7109375" style="53" bestFit="1" customWidth="1"/>
    <col min="6690" max="6912" width="9.140625" style="53"/>
    <col min="6913" max="6915" width="9" style="53" customWidth="1"/>
    <col min="6916" max="6916" width="10.42578125" style="53" customWidth="1"/>
    <col min="6917" max="6917" width="11.28515625" style="53" bestFit="1" customWidth="1"/>
    <col min="6918" max="6919" width="9.140625" style="53"/>
    <col min="6920" max="6929" width="9" style="53" customWidth="1"/>
    <col min="6930" max="6930" width="9.140625" style="53"/>
    <col min="6931" max="6931" width="9.42578125" style="53" bestFit="1" customWidth="1"/>
    <col min="6932" max="6932" width="9" style="53" customWidth="1"/>
    <col min="6933" max="6933" width="9.140625" style="53"/>
    <col min="6934" max="6934" width="9" style="53" customWidth="1"/>
    <col min="6935" max="6940" width="9.140625" style="53"/>
    <col min="6941" max="6941" width="26.42578125" style="53" customWidth="1"/>
    <col min="6942" max="6944" width="9.140625" style="53"/>
    <col min="6945" max="6945" width="14.7109375" style="53" bestFit="1" customWidth="1"/>
    <col min="6946" max="7168" width="9.140625" style="53"/>
    <col min="7169" max="7171" width="9" style="53" customWidth="1"/>
    <col min="7172" max="7172" width="10.42578125" style="53" customWidth="1"/>
    <col min="7173" max="7173" width="11.28515625" style="53" bestFit="1" customWidth="1"/>
    <col min="7174" max="7175" width="9.140625" style="53"/>
    <col min="7176" max="7185" width="9" style="53" customWidth="1"/>
    <col min="7186" max="7186" width="9.140625" style="53"/>
    <col min="7187" max="7187" width="9.42578125" style="53" bestFit="1" customWidth="1"/>
    <col min="7188" max="7188" width="9" style="53" customWidth="1"/>
    <col min="7189" max="7189" width="9.140625" style="53"/>
    <col min="7190" max="7190" width="9" style="53" customWidth="1"/>
    <col min="7191" max="7196" width="9.140625" style="53"/>
    <col min="7197" max="7197" width="26.42578125" style="53" customWidth="1"/>
    <col min="7198" max="7200" width="9.140625" style="53"/>
    <col min="7201" max="7201" width="14.7109375" style="53" bestFit="1" customWidth="1"/>
    <col min="7202" max="7424" width="9.140625" style="53"/>
    <col min="7425" max="7427" width="9" style="53" customWidth="1"/>
    <col min="7428" max="7428" width="10.42578125" style="53" customWidth="1"/>
    <col min="7429" max="7429" width="11.28515625" style="53" bestFit="1" customWidth="1"/>
    <col min="7430" max="7431" width="9.140625" style="53"/>
    <col min="7432" max="7441" width="9" style="53" customWidth="1"/>
    <col min="7442" max="7442" width="9.140625" style="53"/>
    <col min="7443" max="7443" width="9.42578125" style="53" bestFit="1" customWidth="1"/>
    <col min="7444" max="7444" width="9" style="53" customWidth="1"/>
    <col min="7445" max="7445" width="9.140625" style="53"/>
    <col min="7446" max="7446" width="9" style="53" customWidth="1"/>
    <col min="7447" max="7452" width="9.140625" style="53"/>
    <col min="7453" max="7453" width="26.42578125" style="53" customWidth="1"/>
    <col min="7454" max="7456" width="9.140625" style="53"/>
    <col min="7457" max="7457" width="14.7109375" style="53" bestFit="1" customWidth="1"/>
    <col min="7458" max="7680" width="9.140625" style="53"/>
    <col min="7681" max="7683" width="9" style="53" customWidth="1"/>
    <col min="7684" max="7684" width="10.42578125" style="53" customWidth="1"/>
    <col min="7685" max="7685" width="11.28515625" style="53" bestFit="1" customWidth="1"/>
    <col min="7686" max="7687" width="9.140625" style="53"/>
    <col min="7688" max="7697" width="9" style="53" customWidth="1"/>
    <col min="7698" max="7698" width="9.140625" style="53"/>
    <col min="7699" max="7699" width="9.42578125" style="53" bestFit="1" customWidth="1"/>
    <col min="7700" max="7700" width="9" style="53" customWidth="1"/>
    <col min="7701" max="7701" width="9.140625" style="53"/>
    <col min="7702" max="7702" width="9" style="53" customWidth="1"/>
    <col min="7703" max="7708" width="9.140625" style="53"/>
    <col min="7709" max="7709" width="26.42578125" style="53" customWidth="1"/>
    <col min="7710" max="7712" width="9.140625" style="53"/>
    <col min="7713" max="7713" width="14.7109375" style="53" bestFit="1" customWidth="1"/>
    <col min="7714" max="7936" width="9.140625" style="53"/>
    <col min="7937" max="7939" width="9" style="53" customWidth="1"/>
    <col min="7940" max="7940" width="10.42578125" style="53" customWidth="1"/>
    <col min="7941" max="7941" width="11.28515625" style="53" bestFit="1" customWidth="1"/>
    <col min="7942" max="7943" width="9.140625" style="53"/>
    <col min="7944" max="7953" width="9" style="53" customWidth="1"/>
    <col min="7954" max="7954" width="9.140625" style="53"/>
    <col min="7955" max="7955" width="9.42578125" style="53" bestFit="1" customWidth="1"/>
    <col min="7956" max="7956" width="9" style="53" customWidth="1"/>
    <col min="7957" max="7957" width="9.140625" style="53"/>
    <col min="7958" max="7958" width="9" style="53" customWidth="1"/>
    <col min="7959" max="7964" width="9.140625" style="53"/>
    <col min="7965" max="7965" width="26.42578125" style="53" customWidth="1"/>
    <col min="7966" max="7968" width="9.140625" style="53"/>
    <col min="7969" max="7969" width="14.7109375" style="53" bestFit="1" customWidth="1"/>
    <col min="7970" max="8192" width="9.140625" style="53"/>
    <col min="8193" max="8195" width="9" style="53" customWidth="1"/>
    <col min="8196" max="8196" width="10.42578125" style="53" customWidth="1"/>
    <col min="8197" max="8197" width="11.28515625" style="53" bestFit="1" customWidth="1"/>
    <col min="8198" max="8199" width="9.140625" style="53"/>
    <col min="8200" max="8209" width="9" style="53" customWidth="1"/>
    <col min="8210" max="8210" width="9.140625" style="53"/>
    <col min="8211" max="8211" width="9.42578125" style="53" bestFit="1" customWidth="1"/>
    <col min="8212" max="8212" width="9" style="53" customWidth="1"/>
    <col min="8213" max="8213" width="9.140625" style="53"/>
    <col min="8214" max="8214" width="9" style="53" customWidth="1"/>
    <col min="8215" max="8220" width="9.140625" style="53"/>
    <col min="8221" max="8221" width="26.42578125" style="53" customWidth="1"/>
    <col min="8222" max="8224" width="9.140625" style="53"/>
    <col min="8225" max="8225" width="14.7109375" style="53" bestFit="1" customWidth="1"/>
    <col min="8226" max="8448" width="9.140625" style="53"/>
    <col min="8449" max="8451" width="9" style="53" customWidth="1"/>
    <col min="8452" max="8452" width="10.42578125" style="53" customWidth="1"/>
    <col min="8453" max="8453" width="11.28515625" style="53" bestFit="1" customWidth="1"/>
    <col min="8454" max="8455" width="9.140625" style="53"/>
    <col min="8456" max="8465" width="9" style="53" customWidth="1"/>
    <col min="8466" max="8466" width="9.140625" style="53"/>
    <col min="8467" max="8467" width="9.42578125" style="53" bestFit="1" customWidth="1"/>
    <col min="8468" max="8468" width="9" style="53" customWidth="1"/>
    <col min="8469" max="8469" width="9.140625" style="53"/>
    <col min="8470" max="8470" width="9" style="53" customWidth="1"/>
    <col min="8471" max="8476" width="9.140625" style="53"/>
    <col min="8477" max="8477" width="26.42578125" style="53" customWidth="1"/>
    <col min="8478" max="8480" width="9.140625" style="53"/>
    <col min="8481" max="8481" width="14.7109375" style="53" bestFit="1" customWidth="1"/>
    <col min="8482" max="8704" width="9.140625" style="53"/>
    <col min="8705" max="8707" width="9" style="53" customWidth="1"/>
    <col min="8708" max="8708" width="10.42578125" style="53" customWidth="1"/>
    <col min="8709" max="8709" width="11.28515625" style="53" bestFit="1" customWidth="1"/>
    <col min="8710" max="8711" width="9.140625" style="53"/>
    <col min="8712" max="8721" width="9" style="53" customWidth="1"/>
    <col min="8722" max="8722" width="9.140625" style="53"/>
    <col min="8723" max="8723" width="9.42578125" style="53" bestFit="1" customWidth="1"/>
    <col min="8724" max="8724" width="9" style="53" customWidth="1"/>
    <col min="8725" max="8725" width="9.140625" style="53"/>
    <col min="8726" max="8726" width="9" style="53" customWidth="1"/>
    <col min="8727" max="8732" width="9.140625" style="53"/>
    <col min="8733" max="8733" width="26.42578125" style="53" customWidth="1"/>
    <col min="8734" max="8736" width="9.140625" style="53"/>
    <col min="8737" max="8737" width="14.7109375" style="53" bestFit="1" customWidth="1"/>
    <col min="8738" max="8960" width="9.140625" style="53"/>
    <col min="8961" max="8963" width="9" style="53" customWidth="1"/>
    <col min="8964" max="8964" width="10.42578125" style="53" customWidth="1"/>
    <col min="8965" max="8965" width="11.28515625" style="53" bestFit="1" customWidth="1"/>
    <col min="8966" max="8967" width="9.140625" style="53"/>
    <col min="8968" max="8977" width="9" style="53" customWidth="1"/>
    <col min="8978" max="8978" width="9.140625" style="53"/>
    <col min="8979" max="8979" width="9.42578125" style="53" bestFit="1" customWidth="1"/>
    <col min="8980" max="8980" width="9" style="53" customWidth="1"/>
    <col min="8981" max="8981" width="9.140625" style="53"/>
    <col min="8982" max="8982" width="9" style="53" customWidth="1"/>
    <col min="8983" max="8988" width="9.140625" style="53"/>
    <col min="8989" max="8989" width="26.42578125" style="53" customWidth="1"/>
    <col min="8990" max="8992" width="9.140625" style="53"/>
    <col min="8993" max="8993" width="14.7109375" style="53" bestFit="1" customWidth="1"/>
    <col min="8994" max="9216" width="9.140625" style="53"/>
    <col min="9217" max="9219" width="9" style="53" customWidth="1"/>
    <col min="9220" max="9220" width="10.42578125" style="53" customWidth="1"/>
    <col min="9221" max="9221" width="11.28515625" style="53" bestFit="1" customWidth="1"/>
    <col min="9222" max="9223" width="9.140625" style="53"/>
    <col min="9224" max="9233" width="9" style="53" customWidth="1"/>
    <col min="9234" max="9234" width="9.140625" style="53"/>
    <col min="9235" max="9235" width="9.42578125" style="53" bestFit="1" customWidth="1"/>
    <col min="9236" max="9236" width="9" style="53" customWidth="1"/>
    <col min="9237" max="9237" width="9.140625" style="53"/>
    <col min="9238" max="9238" width="9" style="53" customWidth="1"/>
    <col min="9239" max="9244" width="9.140625" style="53"/>
    <col min="9245" max="9245" width="26.42578125" style="53" customWidth="1"/>
    <col min="9246" max="9248" width="9.140625" style="53"/>
    <col min="9249" max="9249" width="14.7109375" style="53" bestFit="1" customWidth="1"/>
    <col min="9250" max="9472" width="9.140625" style="53"/>
    <col min="9473" max="9475" width="9" style="53" customWidth="1"/>
    <col min="9476" max="9476" width="10.42578125" style="53" customWidth="1"/>
    <col min="9477" max="9477" width="11.28515625" style="53" bestFit="1" customWidth="1"/>
    <col min="9478" max="9479" width="9.140625" style="53"/>
    <col min="9480" max="9489" width="9" style="53" customWidth="1"/>
    <col min="9490" max="9490" width="9.140625" style="53"/>
    <col min="9491" max="9491" width="9.42578125" style="53" bestFit="1" customWidth="1"/>
    <col min="9492" max="9492" width="9" style="53" customWidth="1"/>
    <col min="9493" max="9493" width="9.140625" style="53"/>
    <col min="9494" max="9494" width="9" style="53" customWidth="1"/>
    <col min="9495" max="9500" width="9.140625" style="53"/>
    <col min="9501" max="9501" width="26.42578125" style="53" customWidth="1"/>
    <col min="9502" max="9504" width="9.140625" style="53"/>
    <col min="9505" max="9505" width="14.7109375" style="53" bestFit="1" customWidth="1"/>
    <col min="9506" max="9728" width="9.140625" style="53"/>
    <col min="9729" max="9731" width="9" style="53" customWidth="1"/>
    <col min="9732" max="9732" width="10.42578125" style="53" customWidth="1"/>
    <col min="9733" max="9733" width="11.28515625" style="53" bestFit="1" customWidth="1"/>
    <col min="9734" max="9735" width="9.140625" style="53"/>
    <col min="9736" max="9745" width="9" style="53" customWidth="1"/>
    <col min="9746" max="9746" width="9.140625" style="53"/>
    <col min="9747" max="9747" width="9.42578125" style="53" bestFit="1" customWidth="1"/>
    <col min="9748" max="9748" width="9" style="53" customWidth="1"/>
    <col min="9749" max="9749" width="9.140625" style="53"/>
    <col min="9750" max="9750" width="9" style="53" customWidth="1"/>
    <col min="9751" max="9756" width="9.140625" style="53"/>
    <col min="9757" max="9757" width="26.42578125" style="53" customWidth="1"/>
    <col min="9758" max="9760" width="9.140625" style="53"/>
    <col min="9761" max="9761" width="14.7109375" style="53" bestFit="1" customWidth="1"/>
    <col min="9762" max="9984" width="9.140625" style="53"/>
    <col min="9985" max="9987" width="9" style="53" customWidth="1"/>
    <col min="9988" max="9988" width="10.42578125" style="53" customWidth="1"/>
    <col min="9989" max="9989" width="11.28515625" style="53" bestFit="1" customWidth="1"/>
    <col min="9990" max="9991" width="9.140625" style="53"/>
    <col min="9992" max="10001" width="9" style="53" customWidth="1"/>
    <col min="10002" max="10002" width="9.140625" style="53"/>
    <col min="10003" max="10003" width="9.42578125" style="53" bestFit="1" customWidth="1"/>
    <col min="10004" max="10004" width="9" style="53" customWidth="1"/>
    <col min="10005" max="10005" width="9.140625" style="53"/>
    <col min="10006" max="10006" width="9" style="53" customWidth="1"/>
    <col min="10007" max="10012" width="9.140625" style="53"/>
    <col min="10013" max="10013" width="26.42578125" style="53" customWidth="1"/>
    <col min="10014" max="10016" width="9.140625" style="53"/>
    <col min="10017" max="10017" width="14.7109375" style="53" bestFit="1" customWidth="1"/>
    <col min="10018" max="10240" width="9.140625" style="53"/>
    <col min="10241" max="10243" width="9" style="53" customWidth="1"/>
    <col min="10244" max="10244" width="10.42578125" style="53" customWidth="1"/>
    <col min="10245" max="10245" width="11.28515625" style="53" bestFit="1" customWidth="1"/>
    <col min="10246" max="10247" width="9.140625" style="53"/>
    <col min="10248" max="10257" width="9" style="53" customWidth="1"/>
    <col min="10258" max="10258" width="9.140625" style="53"/>
    <col min="10259" max="10259" width="9.42578125" style="53" bestFit="1" customWidth="1"/>
    <col min="10260" max="10260" width="9" style="53" customWidth="1"/>
    <col min="10261" max="10261" width="9.140625" style="53"/>
    <col min="10262" max="10262" width="9" style="53" customWidth="1"/>
    <col min="10263" max="10268" width="9.140625" style="53"/>
    <col min="10269" max="10269" width="26.42578125" style="53" customWidth="1"/>
    <col min="10270" max="10272" width="9.140625" style="53"/>
    <col min="10273" max="10273" width="14.7109375" style="53" bestFit="1" customWidth="1"/>
    <col min="10274" max="10496" width="9.140625" style="53"/>
    <col min="10497" max="10499" width="9" style="53" customWidth="1"/>
    <col min="10500" max="10500" width="10.42578125" style="53" customWidth="1"/>
    <col min="10501" max="10501" width="11.28515625" style="53" bestFit="1" customWidth="1"/>
    <col min="10502" max="10503" width="9.140625" style="53"/>
    <col min="10504" max="10513" width="9" style="53" customWidth="1"/>
    <col min="10514" max="10514" width="9.140625" style="53"/>
    <col min="10515" max="10515" width="9.42578125" style="53" bestFit="1" customWidth="1"/>
    <col min="10516" max="10516" width="9" style="53" customWidth="1"/>
    <col min="10517" max="10517" width="9.140625" style="53"/>
    <col min="10518" max="10518" width="9" style="53" customWidth="1"/>
    <col min="10519" max="10524" width="9.140625" style="53"/>
    <col min="10525" max="10525" width="26.42578125" style="53" customWidth="1"/>
    <col min="10526" max="10528" width="9.140625" style="53"/>
    <col min="10529" max="10529" width="14.7109375" style="53" bestFit="1" customWidth="1"/>
    <col min="10530" max="10752" width="9.140625" style="53"/>
    <col min="10753" max="10755" width="9" style="53" customWidth="1"/>
    <col min="10756" max="10756" width="10.42578125" style="53" customWidth="1"/>
    <col min="10757" max="10757" width="11.28515625" style="53" bestFit="1" customWidth="1"/>
    <col min="10758" max="10759" width="9.140625" style="53"/>
    <col min="10760" max="10769" width="9" style="53" customWidth="1"/>
    <col min="10770" max="10770" width="9.140625" style="53"/>
    <col min="10771" max="10771" width="9.42578125" style="53" bestFit="1" customWidth="1"/>
    <col min="10772" max="10772" width="9" style="53" customWidth="1"/>
    <col min="10773" max="10773" width="9.140625" style="53"/>
    <col min="10774" max="10774" width="9" style="53" customWidth="1"/>
    <col min="10775" max="10780" width="9.140625" style="53"/>
    <col min="10781" max="10781" width="26.42578125" style="53" customWidth="1"/>
    <col min="10782" max="10784" width="9.140625" style="53"/>
    <col min="10785" max="10785" width="14.7109375" style="53" bestFit="1" customWidth="1"/>
    <col min="10786" max="11008" width="9.140625" style="53"/>
    <col min="11009" max="11011" width="9" style="53" customWidth="1"/>
    <col min="11012" max="11012" width="10.42578125" style="53" customWidth="1"/>
    <col min="11013" max="11013" width="11.28515625" style="53" bestFit="1" customWidth="1"/>
    <col min="11014" max="11015" width="9.140625" style="53"/>
    <col min="11016" max="11025" width="9" style="53" customWidth="1"/>
    <col min="11026" max="11026" width="9.140625" style="53"/>
    <col min="11027" max="11027" width="9.42578125" style="53" bestFit="1" customWidth="1"/>
    <col min="11028" max="11028" width="9" style="53" customWidth="1"/>
    <col min="11029" max="11029" width="9.140625" style="53"/>
    <col min="11030" max="11030" width="9" style="53" customWidth="1"/>
    <col min="11031" max="11036" width="9.140625" style="53"/>
    <col min="11037" max="11037" width="26.42578125" style="53" customWidth="1"/>
    <col min="11038" max="11040" width="9.140625" style="53"/>
    <col min="11041" max="11041" width="14.7109375" style="53" bestFit="1" customWidth="1"/>
    <col min="11042" max="11264" width="9.140625" style="53"/>
    <col min="11265" max="11267" width="9" style="53" customWidth="1"/>
    <col min="11268" max="11268" width="10.42578125" style="53" customWidth="1"/>
    <col min="11269" max="11269" width="11.28515625" style="53" bestFit="1" customWidth="1"/>
    <col min="11270" max="11271" width="9.140625" style="53"/>
    <col min="11272" max="11281" width="9" style="53" customWidth="1"/>
    <col min="11282" max="11282" width="9.140625" style="53"/>
    <col min="11283" max="11283" width="9.42578125" style="53" bestFit="1" customWidth="1"/>
    <col min="11284" max="11284" width="9" style="53" customWidth="1"/>
    <col min="11285" max="11285" width="9.140625" style="53"/>
    <col min="11286" max="11286" width="9" style="53" customWidth="1"/>
    <col min="11287" max="11292" width="9.140625" style="53"/>
    <col min="11293" max="11293" width="26.42578125" style="53" customWidth="1"/>
    <col min="11294" max="11296" width="9.140625" style="53"/>
    <col min="11297" max="11297" width="14.7109375" style="53" bestFit="1" customWidth="1"/>
    <col min="11298" max="11520" width="9.140625" style="53"/>
    <col min="11521" max="11523" width="9" style="53" customWidth="1"/>
    <col min="11524" max="11524" width="10.42578125" style="53" customWidth="1"/>
    <col min="11525" max="11525" width="11.28515625" style="53" bestFit="1" customWidth="1"/>
    <col min="11526" max="11527" width="9.140625" style="53"/>
    <col min="11528" max="11537" width="9" style="53" customWidth="1"/>
    <col min="11538" max="11538" width="9.140625" style="53"/>
    <col min="11539" max="11539" width="9.42578125" style="53" bestFit="1" customWidth="1"/>
    <col min="11540" max="11540" width="9" style="53" customWidth="1"/>
    <col min="11541" max="11541" width="9.140625" style="53"/>
    <col min="11542" max="11542" width="9" style="53" customWidth="1"/>
    <col min="11543" max="11548" width="9.140625" style="53"/>
    <col min="11549" max="11549" width="26.42578125" style="53" customWidth="1"/>
    <col min="11550" max="11552" width="9.140625" style="53"/>
    <col min="11553" max="11553" width="14.7109375" style="53" bestFit="1" customWidth="1"/>
    <col min="11554" max="11776" width="9.140625" style="53"/>
    <col min="11777" max="11779" width="9" style="53" customWidth="1"/>
    <col min="11780" max="11780" width="10.42578125" style="53" customWidth="1"/>
    <col min="11781" max="11781" width="11.28515625" style="53" bestFit="1" customWidth="1"/>
    <col min="11782" max="11783" width="9.140625" style="53"/>
    <col min="11784" max="11793" width="9" style="53" customWidth="1"/>
    <col min="11794" max="11794" width="9.140625" style="53"/>
    <col min="11795" max="11795" width="9.42578125" style="53" bestFit="1" customWidth="1"/>
    <col min="11796" max="11796" width="9" style="53" customWidth="1"/>
    <col min="11797" max="11797" width="9.140625" style="53"/>
    <col min="11798" max="11798" width="9" style="53" customWidth="1"/>
    <col min="11799" max="11804" width="9.140625" style="53"/>
    <col min="11805" max="11805" width="26.42578125" style="53" customWidth="1"/>
    <col min="11806" max="11808" width="9.140625" style="53"/>
    <col min="11809" max="11809" width="14.7109375" style="53" bestFit="1" customWidth="1"/>
    <col min="11810" max="12032" width="9.140625" style="53"/>
    <col min="12033" max="12035" width="9" style="53" customWidth="1"/>
    <col min="12036" max="12036" width="10.42578125" style="53" customWidth="1"/>
    <col min="12037" max="12037" width="11.28515625" style="53" bestFit="1" customWidth="1"/>
    <col min="12038" max="12039" width="9.140625" style="53"/>
    <col min="12040" max="12049" width="9" style="53" customWidth="1"/>
    <col min="12050" max="12050" width="9.140625" style="53"/>
    <col min="12051" max="12051" width="9.42578125" style="53" bestFit="1" customWidth="1"/>
    <col min="12052" max="12052" width="9" style="53" customWidth="1"/>
    <col min="12053" max="12053" width="9.140625" style="53"/>
    <col min="12054" max="12054" width="9" style="53" customWidth="1"/>
    <col min="12055" max="12060" width="9.140625" style="53"/>
    <col min="12061" max="12061" width="26.42578125" style="53" customWidth="1"/>
    <col min="12062" max="12064" width="9.140625" style="53"/>
    <col min="12065" max="12065" width="14.7109375" style="53" bestFit="1" customWidth="1"/>
    <col min="12066" max="12288" width="9.140625" style="53"/>
    <col min="12289" max="12291" width="9" style="53" customWidth="1"/>
    <col min="12292" max="12292" width="10.42578125" style="53" customWidth="1"/>
    <col min="12293" max="12293" width="11.28515625" style="53" bestFit="1" customWidth="1"/>
    <col min="12294" max="12295" width="9.140625" style="53"/>
    <col min="12296" max="12305" width="9" style="53" customWidth="1"/>
    <col min="12306" max="12306" width="9.140625" style="53"/>
    <col min="12307" max="12307" width="9.42578125" style="53" bestFit="1" customWidth="1"/>
    <col min="12308" max="12308" width="9" style="53" customWidth="1"/>
    <col min="12309" max="12309" width="9.140625" style="53"/>
    <col min="12310" max="12310" width="9" style="53" customWidth="1"/>
    <col min="12311" max="12316" width="9.140625" style="53"/>
    <col min="12317" max="12317" width="26.42578125" style="53" customWidth="1"/>
    <col min="12318" max="12320" width="9.140625" style="53"/>
    <col min="12321" max="12321" width="14.7109375" style="53" bestFit="1" customWidth="1"/>
    <col min="12322" max="12544" width="9.140625" style="53"/>
    <col min="12545" max="12547" width="9" style="53" customWidth="1"/>
    <col min="12548" max="12548" width="10.42578125" style="53" customWidth="1"/>
    <col min="12549" max="12549" width="11.28515625" style="53" bestFit="1" customWidth="1"/>
    <col min="12550" max="12551" width="9.140625" style="53"/>
    <col min="12552" max="12561" width="9" style="53" customWidth="1"/>
    <col min="12562" max="12562" width="9.140625" style="53"/>
    <col min="12563" max="12563" width="9.42578125" style="53" bestFit="1" customWidth="1"/>
    <col min="12564" max="12564" width="9" style="53" customWidth="1"/>
    <col min="12565" max="12565" width="9.140625" style="53"/>
    <col min="12566" max="12566" width="9" style="53" customWidth="1"/>
    <col min="12567" max="12572" width="9.140625" style="53"/>
    <col min="12573" max="12573" width="26.42578125" style="53" customWidth="1"/>
    <col min="12574" max="12576" width="9.140625" style="53"/>
    <col min="12577" max="12577" width="14.7109375" style="53" bestFit="1" customWidth="1"/>
    <col min="12578" max="12800" width="9.140625" style="53"/>
    <col min="12801" max="12803" width="9" style="53" customWidth="1"/>
    <col min="12804" max="12804" width="10.42578125" style="53" customWidth="1"/>
    <col min="12805" max="12805" width="11.28515625" style="53" bestFit="1" customWidth="1"/>
    <col min="12806" max="12807" width="9.140625" style="53"/>
    <col min="12808" max="12817" width="9" style="53" customWidth="1"/>
    <col min="12818" max="12818" width="9.140625" style="53"/>
    <col min="12819" max="12819" width="9.42578125" style="53" bestFit="1" customWidth="1"/>
    <col min="12820" max="12820" width="9" style="53" customWidth="1"/>
    <col min="12821" max="12821" width="9.140625" style="53"/>
    <col min="12822" max="12822" width="9" style="53" customWidth="1"/>
    <col min="12823" max="12828" width="9.140625" style="53"/>
    <col min="12829" max="12829" width="26.42578125" style="53" customWidth="1"/>
    <col min="12830" max="12832" width="9.140625" style="53"/>
    <col min="12833" max="12833" width="14.7109375" style="53" bestFit="1" customWidth="1"/>
    <col min="12834" max="13056" width="9.140625" style="53"/>
    <col min="13057" max="13059" width="9" style="53" customWidth="1"/>
    <col min="13060" max="13060" width="10.42578125" style="53" customWidth="1"/>
    <col min="13061" max="13061" width="11.28515625" style="53" bestFit="1" customWidth="1"/>
    <col min="13062" max="13063" width="9.140625" style="53"/>
    <col min="13064" max="13073" width="9" style="53" customWidth="1"/>
    <col min="13074" max="13074" width="9.140625" style="53"/>
    <col min="13075" max="13075" width="9.42578125" style="53" bestFit="1" customWidth="1"/>
    <col min="13076" max="13076" width="9" style="53" customWidth="1"/>
    <col min="13077" max="13077" width="9.140625" style="53"/>
    <col min="13078" max="13078" width="9" style="53" customWidth="1"/>
    <col min="13079" max="13084" width="9.140625" style="53"/>
    <col min="13085" max="13085" width="26.42578125" style="53" customWidth="1"/>
    <col min="13086" max="13088" width="9.140625" style="53"/>
    <col min="13089" max="13089" width="14.7109375" style="53" bestFit="1" customWidth="1"/>
    <col min="13090" max="13312" width="9.140625" style="53"/>
    <col min="13313" max="13315" width="9" style="53" customWidth="1"/>
    <col min="13316" max="13316" width="10.42578125" style="53" customWidth="1"/>
    <col min="13317" max="13317" width="11.28515625" style="53" bestFit="1" customWidth="1"/>
    <col min="13318" max="13319" width="9.140625" style="53"/>
    <col min="13320" max="13329" width="9" style="53" customWidth="1"/>
    <col min="13330" max="13330" width="9.140625" style="53"/>
    <col min="13331" max="13331" width="9.42578125" style="53" bestFit="1" customWidth="1"/>
    <col min="13332" max="13332" width="9" style="53" customWidth="1"/>
    <col min="13333" max="13333" width="9.140625" style="53"/>
    <col min="13334" max="13334" width="9" style="53" customWidth="1"/>
    <col min="13335" max="13340" width="9.140625" style="53"/>
    <col min="13341" max="13341" width="26.42578125" style="53" customWidth="1"/>
    <col min="13342" max="13344" width="9.140625" style="53"/>
    <col min="13345" max="13345" width="14.7109375" style="53" bestFit="1" customWidth="1"/>
    <col min="13346" max="13568" width="9.140625" style="53"/>
    <col min="13569" max="13571" width="9" style="53" customWidth="1"/>
    <col min="13572" max="13572" width="10.42578125" style="53" customWidth="1"/>
    <col min="13573" max="13573" width="11.28515625" style="53" bestFit="1" customWidth="1"/>
    <col min="13574" max="13575" width="9.140625" style="53"/>
    <col min="13576" max="13585" width="9" style="53" customWidth="1"/>
    <col min="13586" max="13586" width="9.140625" style="53"/>
    <col min="13587" max="13587" width="9.42578125" style="53" bestFit="1" customWidth="1"/>
    <col min="13588" max="13588" width="9" style="53" customWidth="1"/>
    <col min="13589" max="13589" width="9.140625" style="53"/>
    <col min="13590" max="13590" width="9" style="53" customWidth="1"/>
    <col min="13591" max="13596" width="9.140625" style="53"/>
    <col min="13597" max="13597" width="26.42578125" style="53" customWidth="1"/>
    <col min="13598" max="13600" width="9.140625" style="53"/>
    <col min="13601" max="13601" width="14.7109375" style="53" bestFit="1" customWidth="1"/>
    <col min="13602" max="13824" width="9.140625" style="53"/>
    <col min="13825" max="13827" width="9" style="53" customWidth="1"/>
    <col min="13828" max="13828" width="10.42578125" style="53" customWidth="1"/>
    <col min="13829" max="13829" width="11.28515625" style="53" bestFit="1" customWidth="1"/>
    <col min="13830" max="13831" width="9.140625" style="53"/>
    <col min="13832" max="13841" width="9" style="53" customWidth="1"/>
    <col min="13842" max="13842" width="9.140625" style="53"/>
    <col min="13843" max="13843" width="9.42578125" style="53" bestFit="1" customWidth="1"/>
    <col min="13844" max="13844" width="9" style="53" customWidth="1"/>
    <col min="13845" max="13845" width="9.140625" style="53"/>
    <col min="13846" max="13846" width="9" style="53" customWidth="1"/>
    <col min="13847" max="13852" width="9.140625" style="53"/>
    <col min="13853" max="13853" width="26.42578125" style="53" customWidth="1"/>
    <col min="13854" max="13856" width="9.140625" style="53"/>
    <col min="13857" max="13857" width="14.7109375" style="53" bestFit="1" customWidth="1"/>
    <col min="13858" max="14080" width="9.140625" style="53"/>
    <col min="14081" max="14083" width="9" style="53" customWidth="1"/>
    <col min="14084" max="14084" width="10.42578125" style="53" customWidth="1"/>
    <col min="14085" max="14085" width="11.28515625" style="53" bestFit="1" customWidth="1"/>
    <col min="14086" max="14087" width="9.140625" style="53"/>
    <col min="14088" max="14097" width="9" style="53" customWidth="1"/>
    <col min="14098" max="14098" width="9.140625" style="53"/>
    <col min="14099" max="14099" width="9.42578125" style="53" bestFit="1" customWidth="1"/>
    <col min="14100" max="14100" width="9" style="53" customWidth="1"/>
    <col min="14101" max="14101" width="9.140625" style="53"/>
    <col min="14102" max="14102" width="9" style="53" customWidth="1"/>
    <col min="14103" max="14108" width="9.140625" style="53"/>
    <col min="14109" max="14109" width="26.42578125" style="53" customWidth="1"/>
    <col min="14110" max="14112" width="9.140625" style="53"/>
    <col min="14113" max="14113" width="14.7109375" style="53" bestFit="1" customWidth="1"/>
    <col min="14114" max="14336" width="9.140625" style="53"/>
    <col min="14337" max="14339" width="9" style="53" customWidth="1"/>
    <col min="14340" max="14340" width="10.42578125" style="53" customWidth="1"/>
    <col min="14341" max="14341" width="11.28515625" style="53" bestFit="1" customWidth="1"/>
    <col min="14342" max="14343" width="9.140625" style="53"/>
    <col min="14344" max="14353" width="9" style="53" customWidth="1"/>
    <col min="14354" max="14354" width="9.140625" style="53"/>
    <col min="14355" max="14355" width="9.42578125" style="53" bestFit="1" customWidth="1"/>
    <col min="14356" max="14356" width="9" style="53" customWidth="1"/>
    <col min="14357" max="14357" width="9.140625" style="53"/>
    <col min="14358" max="14358" width="9" style="53" customWidth="1"/>
    <col min="14359" max="14364" width="9.140625" style="53"/>
    <col min="14365" max="14365" width="26.42578125" style="53" customWidth="1"/>
    <col min="14366" max="14368" width="9.140625" style="53"/>
    <col min="14369" max="14369" width="14.7109375" style="53" bestFit="1" customWidth="1"/>
    <col min="14370" max="14592" width="9.140625" style="53"/>
    <col min="14593" max="14595" width="9" style="53" customWidth="1"/>
    <col min="14596" max="14596" width="10.42578125" style="53" customWidth="1"/>
    <col min="14597" max="14597" width="11.28515625" style="53" bestFit="1" customWidth="1"/>
    <col min="14598" max="14599" width="9.140625" style="53"/>
    <col min="14600" max="14609" width="9" style="53" customWidth="1"/>
    <col min="14610" max="14610" width="9.140625" style="53"/>
    <col min="14611" max="14611" width="9.42578125" style="53" bestFit="1" customWidth="1"/>
    <col min="14612" max="14612" width="9" style="53" customWidth="1"/>
    <col min="14613" max="14613" width="9.140625" style="53"/>
    <col min="14614" max="14614" width="9" style="53" customWidth="1"/>
    <col min="14615" max="14620" width="9.140625" style="53"/>
    <col min="14621" max="14621" width="26.42578125" style="53" customWidth="1"/>
    <col min="14622" max="14624" width="9.140625" style="53"/>
    <col min="14625" max="14625" width="14.7109375" style="53" bestFit="1" customWidth="1"/>
    <col min="14626" max="14848" width="9.140625" style="53"/>
    <col min="14849" max="14851" width="9" style="53" customWidth="1"/>
    <col min="14852" max="14852" width="10.42578125" style="53" customWidth="1"/>
    <col min="14853" max="14853" width="11.28515625" style="53" bestFit="1" customWidth="1"/>
    <col min="14854" max="14855" width="9.140625" style="53"/>
    <col min="14856" max="14865" width="9" style="53" customWidth="1"/>
    <col min="14866" max="14866" width="9.140625" style="53"/>
    <col min="14867" max="14867" width="9.42578125" style="53" bestFit="1" customWidth="1"/>
    <col min="14868" max="14868" width="9" style="53" customWidth="1"/>
    <col min="14869" max="14869" width="9.140625" style="53"/>
    <col min="14870" max="14870" width="9" style="53" customWidth="1"/>
    <col min="14871" max="14876" width="9.140625" style="53"/>
    <col min="14877" max="14877" width="26.42578125" style="53" customWidth="1"/>
    <col min="14878" max="14880" width="9.140625" style="53"/>
    <col min="14881" max="14881" width="14.7109375" style="53" bestFit="1" customWidth="1"/>
    <col min="14882" max="15104" width="9.140625" style="53"/>
    <col min="15105" max="15107" width="9" style="53" customWidth="1"/>
    <col min="15108" max="15108" width="10.42578125" style="53" customWidth="1"/>
    <col min="15109" max="15109" width="11.28515625" style="53" bestFit="1" customWidth="1"/>
    <col min="15110" max="15111" width="9.140625" style="53"/>
    <col min="15112" max="15121" width="9" style="53" customWidth="1"/>
    <col min="15122" max="15122" width="9.140625" style="53"/>
    <col min="15123" max="15123" width="9.42578125" style="53" bestFit="1" customWidth="1"/>
    <col min="15124" max="15124" width="9" style="53" customWidth="1"/>
    <col min="15125" max="15125" width="9.140625" style="53"/>
    <col min="15126" max="15126" width="9" style="53" customWidth="1"/>
    <col min="15127" max="15132" width="9.140625" style="53"/>
    <col min="15133" max="15133" width="26.42578125" style="53" customWidth="1"/>
    <col min="15134" max="15136" width="9.140625" style="53"/>
    <col min="15137" max="15137" width="14.7109375" style="53" bestFit="1" customWidth="1"/>
    <col min="15138" max="15360" width="9.140625" style="53"/>
    <col min="15361" max="15363" width="9" style="53" customWidth="1"/>
    <col min="15364" max="15364" width="10.42578125" style="53" customWidth="1"/>
    <col min="15365" max="15365" width="11.28515625" style="53" bestFit="1" customWidth="1"/>
    <col min="15366" max="15367" width="9.140625" style="53"/>
    <col min="15368" max="15377" width="9" style="53" customWidth="1"/>
    <col min="15378" max="15378" width="9.140625" style="53"/>
    <col min="15379" max="15379" width="9.42578125" style="53" bestFit="1" customWidth="1"/>
    <col min="15380" max="15380" width="9" style="53" customWidth="1"/>
    <col min="15381" max="15381" width="9.140625" style="53"/>
    <col min="15382" max="15382" width="9" style="53" customWidth="1"/>
    <col min="15383" max="15388" width="9.140625" style="53"/>
    <col min="15389" max="15389" width="26.42578125" style="53" customWidth="1"/>
    <col min="15390" max="15392" width="9.140625" style="53"/>
    <col min="15393" max="15393" width="14.7109375" style="53" bestFit="1" customWidth="1"/>
    <col min="15394" max="15616" width="9.140625" style="53"/>
    <col min="15617" max="15619" width="9" style="53" customWidth="1"/>
    <col min="15620" max="15620" width="10.42578125" style="53" customWidth="1"/>
    <col min="15621" max="15621" width="11.28515625" style="53" bestFit="1" customWidth="1"/>
    <col min="15622" max="15623" width="9.140625" style="53"/>
    <col min="15624" max="15633" width="9" style="53" customWidth="1"/>
    <col min="15634" max="15634" width="9.140625" style="53"/>
    <col min="15635" max="15635" width="9.42578125" style="53" bestFit="1" customWidth="1"/>
    <col min="15636" max="15636" width="9" style="53" customWidth="1"/>
    <col min="15637" max="15637" width="9.140625" style="53"/>
    <col min="15638" max="15638" width="9" style="53" customWidth="1"/>
    <col min="15639" max="15644" width="9.140625" style="53"/>
    <col min="15645" max="15645" width="26.42578125" style="53" customWidth="1"/>
    <col min="15646" max="15648" width="9.140625" style="53"/>
    <col min="15649" max="15649" width="14.7109375" style="53" bestFit="1" customWidth="1"/>
    <col min="15650" max="15872" width="9.140625" style="53"/>
    <col min="15873" max="15875" width="9" style="53" customWidth="1"/>
    <col min="15876" max="15876" width="10.42578125" style="53" customWidth="1"/>
    <col min="15877" max="15877" width="11.28515625" style="53" bestFit="1" customWidth="1"/>
    <col min="15878" max="15879" width="9.140625" style="53"/>
    <col min="15880" max="15889" width="9" style="53" customWidth="1"/>
    <col min="15890" max="15890" width="9.140625" style="53"/>
    <col min="15891" max="15891" width="9.42578125" style="53" bestFit="1" customWidth="1"/>
    <col min="15892" max="15892" width="9" style="53" customWidth="1"/>
    <col min="15893" max="15893" width="9.140625" style="53"/>
    <col min="15894" max="15894" width="9" style="53" customWidth="1"/>
    <col min="15895" max="15900" width="9.140625" style="53"/>
    <col min="15901" max="15901" width="26.42578125" style="53" customWidth="1"/>
    <col min="15902" max="15904" width="9.140625" style="53"/>
    <col min="15905" max="15905" width="14.7109375" style="53" bestFit="1" customWidth="1"/>
    <col min="15906" max="16128" width="9.140625" style="53"/>
    <col min="16129" max="16131" width="9" style="53" customWidth="1"/>
    <col min="16132" max="16132" width="10.42578125" style="53" customWidth="1"/>
    <col min="16133" max="16133" width="11.28515625" style="53" bestFit="1" customWidth="1"/>
    <col min="16134" max="16135" width="9.140625" style="53"/>
    <col min="16136" max="16145" width="9" style="53" customWidth="1"/>
    <col min="16146" max="16146" width="9.140625" style="53"/>
    <col min="16147" max="16147" width="9.42578125" style="53" bestFit="1" customWidth="1"/>
    <col min="16148" max="16148" width="9" style="53" customWidth="1"/>
    <col min="16149" max="16149" width="9.140625" style="53"/>
    <col min="16150" max="16150" width="9" style="53" customWidth="1"/>
    <col min="16151" max="16156" width="9.140625" style="53"/>
    <col min="16157" max="16157" width="26.42578125" style="53" customWidth="1"/>
    <col min="16158" max="16160" width="9.140625" style="53"/>
    <col min="16161" max="16161" width="14.7109375" style="53" bestFit="1" customWidth="1"/>
    <col min="16162" max="16384" width="9.140625" style="53"/>
  </cols>
  <sheetData>
    <row r="1" spans="1:53" ht="44.25" customHeight="1" x14ac:dyDescent="0.15">
      <c r="A1" s="145" t="s">
        <v>279</v>
      </c>
      <c r="B1" s="1" t="s">
        <v>1</v>
      </c>
      <c r="C1" s="1" t="s">
        <v>2</v>
      </c>
      <c r="D1" s="2" t="s">
        <v>3</v>
      </c>
      <c r="E1" s="2" t="s">
        <v>280</v>
      </c>
      <c r="F1" s="2" t="s">
        <v>5</v>
      </c>
      <c r="G1" s="2" t="s">
        <v>6</v>
      </c>
      <c r="H1" s="2" t="s">
        <v>281</v>
      </c>
      <c r="I1" s="2" t="s">
        <v>8</v>
      </c>
      <c r="J1" s="2" t="s">
        <v>9</v>
      </c>
      <c r="K1" s="2" t="s">
        <v>10</v>
      </c>
      <c r="L1" s="2" t="s">
        <v>11</v>
      </c>
      <c r="M1" s="2" t="s">
        <v>12</v>
      </c>
      <c r="N1" s="2" t="s">
        <v>13</v>
      </c>
      <c r="O1" s="2" t="s">
        <v>14</v>
      </c>
      <c r="P1" s="2" t="s">
        <v>15</v>
      </c>
      <c r="Q1" s="3" t="s">
        <v>16</v>
      </c>
      <c r="R1" s="2" t="s">
        <v>17</v>
      </c>
      <c r="S1" s="2" t="s">
        <v>18</v>
      </c>
      <c r="T1" s="3" t="s">
        <v>19</v>
      </c>
      <c r="U1" s="4" t="s">
        <v>108</v>
      </c>
      <c r="V1" s="5" t="s">
        <v>20</v>
      </c>
      <c r="W1" s="2" t="s">
        <v>21</v>
      </c>
      <c r="X1" s="2" t="s">
        <v>22</v>
      </c>
      <c r="Y1" s="2" t="s">
        <v>23</v>
      </c>
      <c r="Z1" s="2" t="s">
        <v>24</v>
      </c>
      <c r="AA1" s="146" t="s">
        <v>25</v>
      </c>
      <c r="AB1" s="147" t="s">
        <v>26</v>
      </c>
      <c r="AC1" s="148"/>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6" customFormat="1" x14ac:dyDescent="0.15">
      <c r="A2" s="149" t="s">
        <v>61</v>
      </c>
      <c r="B2" s="149" t="s">
        <v>232</v>
      </c>
      <c r="C2" s="149">
        <v>2019</v>
      </c>
      <c r="D2" s="150" t="s">
        <v>282</v>
      </c>
      <c r="E2" s="149" t="s">
        <v>283</v>
      </c>
      <c r="F2" s="149" t="s">
        <v>284</v>
      </c>
      <c r="G2" s="149" t="s">
        <v>42</v>
      </c>
      <c r="H2" s="151" t="s">
        <v>160</v>
      </c>
      <c r="I2" s="151" t="s">
        <v>159</v>
      </c>
      <c r="J2" s="149" t="s">
        <v>38</v>
      </c>
      <c r="K2" s="151" t="s">
        <v>161</v>
      </c>
      <c r="L2" s="151">
        <v>1</v>
      </c>
      <c r="M2" s="151"/>
      <c r="N2" s="151">
        <v>3</v>
      </c>
      <c r="O2" s="151">
        <v>0.5</v>
      </c>
      <c r="P2" s="151">
        <v>0.5</v>
      </c>
      <c r="Q2" s="152">
        <f t="shared" ref="Q2:Q65" si="0">IF(OR(O2="",P2=""),"",AVERAGE(O2,P2))</f>
        <v>0.5</v>
      </c>
      <c r="R2" s="151">
        <v>18.600000000000001</v>
      </c>
      <c r="S2" s="151">
        <v>146</v>
      </c>
      <c r="T2" s="153">
        <f t="shared" ref="T2:T65" si="1">IF(H2="","",IF(OR(H2="GREEN",H2="GK"),IF(S2&gt;=$AX$2,VLOOKUP(S2,$AX$2:$AY$15,2,1),""),IF(S2&gt;=$AZ$2,VLOOKUP(S2,$AZ$2:$BA$15,2,1),"")))</f>
        <v>22</v>
      </c>
      <c r="U2" s="151">
        <v>458</v>
      </c>
      <c r="V2" s="154">
        <f t="shared" ref="V2:V65" si="2">IF(OR(N2="",U2="",T2=""),"",U2/N2*T2)</f>
        <v>3358.6666666666665</v>
      </c>
      <c r="W2" s="151">
        <v>4</v>
      </c>
      <c r="X2" s="149" t="s">
        <v>46</v>
      </c>
      <c r="Y2" s="151" t="s">
        <v>47</v>
      </c>
      <c r="Z2" s="151" t="s">
        <v>69</v>
      </c>
      <c r="AA2" s="151" t="s">
        <v>97</v>
      </c>
      <c r="AB2" s="149" t="s">
        <v>285</v>
      </c>
      <c r="AC2" s="155"/>
      <c r="AE2" s="17" t="s">
        <v>35</v>
      </c>
      <c r="AG2" s="49" t="s">
        <v>286</v>
      </c>
      <c r="AH2" s="49" t="s">
        <v>287</v>
      </c>
      <c r="AJ2" s="157" t="s">
        <v>36</v>
      </c>
      <c r="AL2" s="18" t="s">
        <v>127</v>
      </c>
      <c r="AN2" s="157" t="s">
        <v>37</v>
      </c>
      <c r="AP2" s="18" t="s">
        <v>38</v>
      </c>
      <c r="AR2" s="18" t="s">
        <v>120</v>
      </c>
      <c r="AT2" s="157" t="s">
        <v>39</v>
      </c>
      <c r="AV2" s="18" t="s">
        <v>40</v>
      </c>
      <c r="AX2" s="158">
        <v>1</v>
      </c>
      <c r="AY2" s="159">
        <v>50</v>
      </c>
      <c r="AZ2" s="159">
        <v>1</v>
      </c>
      <c r="BA2" s="160">
        <v>50</v>
      </c>
    </row>
    <row r="3" spans="1:53" x14ac:dyDescent="0.15">
      <c r="A3" s="149" t="s">
        <v>61</v>
      </c>
      <c r="B3" s="149" t="s">
        <v>232</v>
      </c>
      <c r="C3" s="149">
        <v>2019</v>
      </c>
      <c r="D3" s="150" t="s">
        <v>282</v>
      </c>
      <c r="E3" s="149" t="s">
        <v>283</v>
      </c>
      <c r="F3" s="149" t="s">
        <v>284</v>
      </c>
      <c r="G3" s="149" t="s">
        <v>42</v>
      </c>
      <c r="H3" s="151" t="s">
        <v>160</v>
      </c>
      <c r="I3" s="151" t="s">
        <v>159</v>
      </c>
      <c r="J3" s="149" t="s">
        <v>38</v>
      </c>
      <c r="K3" s="151" t="s">
        <v>161</v>
      </c>
      <c r="L3" s="151">
        <v>2</v>
      </c>
      <c r="M3" s="151"/>
      <c r="N3" s="151">
        <v>3</v>
      </c>
      <c r="O3" s="151">
        <v>0.5</v>
      </c>
      <c r="P3" s="151">
        <v>0.5</v>
      </c>
      <c r="Q3" s="152">
        <f t="shared" si="0"/>
        <v>0.5</v>
      </c>
      <c r="R3" s="151">
        <v>19.2</v>
      </c>
      <c r="S3" s="151">
        <v>139</v>
      </c>
      <c r="T3" s="153">
        <f t="shared" si="1"/>
        <v>22</v>
      </c>
      <c r="U3" s="151">
        <v>458</v>
      </c>
      <c r="V3" s="154">
        <f t="shared" si="2"/>
        <v>3358.6666666666665</v>
      </c>
      <c r="W3" s="151">
        <v>4</v>
      </c>
      <c r="X3" s="149" t="s">
        <v>46</v>
      </c>
      <c r="Y3" s="151" t="s">
        <v>47</v>
      </c>
      <c r="Z3" s="151" t="s">
        <v>69</v>
      </c>
      <c r="AA3" s="151" t="s">
        <v>97</v>
      </c>
      <c r="AB3" s="149" t="s">
        <v>285</v>
      </c>
      <c r="AC3" s="155"/>
      <c r="AE3" s="22" t="s">
        <v>41</v>
      </c>
      <c r="AG3" s="49" t="s">
        <v>283</v>
      </c>
      <c r="AH3" s="49" t="s">
        <v>284</v>
      </c>
      <c r="AJ3" s="23" t="s">
        <v>42</v>
      </c>
      <c r="AL3" s="23" t="s">
        <v>128</v>
      </c>
      <c r="AN3" s="23" t="s">
        <v>43</v>
      </c>
      <c r="AP3" s="23" t="s">
        <v>44</v>
      </c>
      <c r="AR3" s="41" t="s">
        <v>45</v>
      </c>
      <c r="AT3" s="23" t="s">
        <v>46</v>
      </c>
      <c r="AV3" s="41" t="s">
        <v>47</v>
      </c>
      <c r="AX3" s="24">
        <v>72</v>
      </c>
      <c r="AY3" s="25">
        <v>46</v>
      </c>
      <c r="AZ3" s="25">
        <v>71</v>
      </c>
      <c r="BA3" s="26">
        <v>42</v>
      </c>
    </row>
    <row r="4" spans="1:53" x14ac:dyDescent="0.15">
      <c r="A4" s="149" t="s">
        <v>61</v>
      </c>
      <c r="B4" s="149" t="s">
        <v>232</v>
      </c>
      <c r="C4" s="149">
        <v>2019</v>
      </c>
      <c r="D4" s="150" t="s">
        <v>282</v>
      </c>
      <c r="E4" s="149" t="s">
        <v>283</v>
      </c>
      <c r="F4" s="149" t="s">
        <v>284</v>
      </c>
      <c r="G4" s="149" t="s">
        <v>42</v>
      </c>
      <c r="H4" s="151" t="s">
        <v>160</v>
      </c>
      <c r="I4" s="151" t="s">
        <v>159</v>
      </c>
      <c r="J4" s="149" t="s">
        <v>38</v>
      </c>
      <c r="K4" s="151" t="s">
        <v>161</v>
      </c>
      <c r="L4" s="151">
        <v>3</v>
      </c>
      <c r="M4" s="151"/>
      <c r="N4" s="151">
        <v>3</v>
      </c>
      <c r="O4" s="151">
        <v>0.5</v>
      </c>
      <c r="P4" s="151">
        <v>0.5</v>
      </c>
      <c r="Q4" s="152">
        <f t="shared" si="0"/>
        <v>0.5</v>
      </c>
      <c r="R4" s="151">
        <v>17.899999999999999</v>
      </c>
      <c r="S4" s="151">
        <v>134</v>
      </c>
      <c r="T4" s="153">
        <f t="shared" si="1"/>
        <v>25</v>
      </c>
      <c r="U4" s="151">
        <v>458</v>
      </c>
      <c r="V4" s="154">
        <f t="shared" si="2"/>
        <v>3816.6666666666665</v>
      </c>
      <c r="W4" s="151">
        <v>4</v>
      </c>
      <c r="X4" s="149" t="s">
        <v>46</v>
      </c>
      <c r="Y4" s="151" t="s">
        <v>47</v>
      </c>
      <c r="Z4" s="151" t="s">
        <v>69</v>
      </c>
      <c r="AA4" s="151" t="s">
        <v>97</v>
      </c>
      <c r="AB4" s="149" t="s">
        <v>285</v>
      </c>
      <c r="AC4" s="155"/>
      <c r="AE4" s="22" t="s">
        <v>34</v>
      </c>
      <c r="AG4" s="49" t="s">
        <v>288</v>
      </c>
      <c r="AH4" s="49" t="s">
        <v>289</v>
      </c>
      <c r="AJ4" s="27" t="s">
        <v>48</v>
      </c>
      <c r="AL4" s="27" t="s">
        <v>129</v>
      </c>
      <c r="AN4" s="28" t="s">
        <v>49</v>
      </c>
      <c r="AP4" s="23" t="s">
        <v>93</v>
      </c>
      <c r="AR4" s="41" t="s">
        <v>121</v>
      </c>
      <c r="AT4" s="28"/>
      <c r="AV4" s="41" t="s">
        <v>50</v>
      </c>
      <c r="AX4" s="24">
        <v>75</v>
      </c>
      <c r="AY4" s="25">
        <v>42</v>
      </c>
      <c r="AZ4" s="25">
        <v>76</v>
      </c>
      <c r="BA4" s="26">
        <v>39</v>
      </c>
    </row>
    <row r="5" spans="1:53" x14ac:dyDescent="0.15">
      <c r="A5" s="149" t="s">
        <v>61</v>
      </c>
      <c r="B5" s="149" t="s">
        <v>232</v>
      </c>
      <c r="C5" s="149">
        <v>2019</v>
      </c>
      <c r="D5" s="150" t="s">
        <v>282</v>
      </c>
      <c r="E5" s="149" t="s">
        <v>288</v>
      </c>
      <c r="F5" s="149" t="s">
        <v>289</v>
      </c>
      <c r="G5" s="149" t="s">
        <v>42</v>
      </c>
      <c r="H5" s="151" t="s">
        <v>160</v>
      </c>
      <c r="I5" s="151" t="s">
        <v>159</v>
      </c>
      <c r="J5" s="149" t="s">
        <v>38</v>
      </c>
      <c r="K5" s="151" t="s">
        <v>161</v>
      </c>
      <c r="L5" s="151">
        <v>1</v>
      </c>
      <c r="M5" s="151"/>
      <c r="N5" s="151">
        <v>1</v>
      </c>
      <c r="O5" s="151">
        <v>0.5</v>
      </c>
      <c r="P5" s="151">
        <v>0.5</v>
      </c>
      <c r="Q5" s="152">
        <f t="shared" si="0"/>
        <v>0.5</v>
      </c>
      <c r="R5" s="151">
        <v>19</v>
      </c>
      <c r="S5" s="151">
        <v>149</v>
      </c>
      <c r="T5" s="153">
        <f t="shared" si="1"/>
        <v>22</v>
      </c>
      <c r="U5" s="151">
        <v>158</v>
      </c>
      <c r="V5" s="154">
        <f t="shared" si="2"/>
        <v>3476</v>
      </c>
      <c r="W5" s="151">
        <v>13</v>
      </c>
      <c r="X5" s="149" t="s">
        <v>46</v>
      </c>
      <c r="Y5" s="151" t="s">
        <v>90</v>
      </c>
      <c r="Z5" s="151" t="s">
        <v>47</v>
      </c>
      <c r="AA5" s="151" t="s">
        <v>69</v>
      </c>
      <c r="AB5" s="149" t="s">
        <v>285</v>
      </c>
      <c r="AC5" s="155"/>
      <c r="AE5" s="22" t="s">
        <v>51</v>
      </c>
      <c r="AG5" s="49" t="s">
        <v>290</v>
      </c>
      <c r="AH5" s="49" t="s">
        <v>291</v>
      </c>
      <c r="AJ5" s="27"/>
      <c r="AL5" s="29" t="s">
        <v>66</v>
      </c>
      <c r="AN5" s="29" t="s">
        <v>52</v>
      </c>
      <c r="AP5" s="23" t="s">
        <v>119</v>
      </c>
      <c r="AR5" s="41" t="s">
        <v>54</v>
      </c>
      <c r="AT5" s="151"/>
      <c r="AV5" s="41" t="s">
        <v>55</v>
      </c>
      <c r="AX5" s="24">
        <v>84</v>
      </c>
      <c r="AY5" s="25">
        <v>39</v>
      </c>
      <c r="AZ5" s="25">
        <v>84</v>
      </c>
      <c r="BA5" s="26">
        <v>36</v>
      </c>
    </row>
    <row r="6" spans="1:53" x14ac:dyDescent="0.15">
      <c r="A6" s="149" t="s">
        <v>61</v>
      </c>
      <c r="B6" s="149" t="s">
        <v>232</v>
      </c>
      <c r="C6" s="149">
        <v>2019</v>
      </c>
      <c r="D6" s="150" t="s">
        <v>282</v>
      </c>
      <c r="E6" s="149" t="s">
        <v>288</v>
      </c>
      <c r="F6" s="149" t="s">
        <v>289</v>
      </c>
      <c r="G6" s="149" t="s">
        <v>42</v>
      </c>
      <c r="H6" s="151" t="s">
        <v>160</v>
      </c>
      <c r="I6" s="151" t="s">
        <v>159</v>
      </c>
      <c r="J6" s="149" t="s">
        <v>38</v>
      </c>
      <c r="K6" s="151" t="s">
        <v>161</v>
      </c>
      <c r="L6" s="151">
        <v>2</v>
      </c>
      <c r="M6" s="151"/>
      <c r="N6" s="151">
        <v>1</v>
      </c>
      <c r="O6" s="151">
        <v>0.5</v>
      </c>
      <c r="P6" s="151">
        <v>0.5</v>
      </c>
      <c r="Q6" s="152">
        <f t="shared" si="0"/>
        <v>0.5</v>
      </c>
      <c r="R6" s="151">
        <v>18.600000000000001</v>
      </c>
      <c r="S6" s="151">
        <v>144</v>
      </c>
      <c r="T6" s="153">
        <f t="shared" si="1"/>
        <v>22</v>
      </c>
      <c r="U6" s="151">
        <v>158</v>
      </c>
      <c r="V6" s="154">
        <f t="shared" si="2"/>
        <v>3476</v>
      </c>
      <c r="W6" s="151">
        <v>13</v>
      </c>
      <c r="X6" s="149" t="s">
        <v>46</v>
      </c>
      <c r="Y6" s="151" t="s">
        <v>90</v>
      </c>
      <c r="Z6" s="151" t="s">
        <v>47</v>
      </c>
      <c r="AA6" s="151" t="s">
        <v>69</v>
      </c>
      <c r="AB6" s="149" t="s">
        <v>285</v>
      </c>
      <c r="AC6" s="155"/>
      <c r="AE6" s="22" t="s">
        <v>56</v>
      </c>
      <c r="AG6" s="49" t="s">
        <v>292</v>
      </c>
      <c r="AH6" s="49" t="s">
        <v>293</v>
      </c>
      <c r="AJ6" s="27"/>
      <c r="AL6" s="29" t="s">
        <v>99</v>
      </c>
      <c r="AN6" s="29" t="s">
        <v>57</v>
      </c>
      <c r="AP6" s="23" t="s">
        <v>53</v>
      </c>
      <c r="AR6" s="41" t="s">
        <v>59</v>
      </c>
      <c r="AT6" s="151"/>
      <c r="AV6" s="41" t="s">
        <v>60</v>
      </c>
      <c r="AX6" s="24">
        <v>97</v>
      </c>
      <c r="AY6" s="25">
        <v>36</v>
      </c>
      <c r="AZ6" s="25">
        <v>99</v>
      </c>
      <c r="BA6" s="26">
        <v>33</v>
      </c>
    </row>
    <row r="7" spans="1:53" x14ac:dyDescent="0.15">
      <c r="A7" s="149" t="s">
        <v>61</v>
      </c>
      <c r="B7" s="149" t="s">
        <v>232</v>
      </c>
      <c r="C7" s="149">
        <v>2019</v>
      </c>
      <c r="D7" s="150" t="s">
        <v>282</v>
      </c>
      <c r="E7" s="149" t="s">
        <v>288</v>
      </c>
      <c r="F7" s="149" t="s">
        <v>289</v>
      </c>
      <c r="G7" s="149" t="s">
        <v>42</v>
      </c>
      <c r="H7" s="151" t="s">
        <v>160</v>
      </c>
      <c r="I7" s="151" t="s">
        <v>159</v>
      </c>
      <c r="J7" s="149" t="s">
        <v>38</v>
      </c>
      <c r="K7" s="151" t="s">
        <v>161</v>
      </c>
      <c r="L7" s="151">
        <v>3</v>
      </c>
      <c r="M7" s="151"/>
      <c r="N7" s="151">
        <v>1</v>
      </c>
      <c r="O7" s="151">
        <v>0.5</v>
      </c>
      <c r="P7" s="151">
        <v>0.5</v>
      </c>
      <c r="Q7" s="152">
        <f t="shared" si="0"/>
        <v>0.5</v>
      </c>
      <c r="R7" s="151">
        <v>19.2</v>
      </c>
      <c r="S7" s="151">
        <v>161</v>
      </c>
      <c r="T7" s="153">
        <f t="shared" si="1"/>
        <v>18</v>
      </c>
      <c r="U7" s="151">
        <v>158</v>
      </c>
      <c r="V7" s="154">
        <f t="shared" si="2"/>
        <v>2844</v>
      </c>
      <c r="W7" s="151">
        <v>13</v>
      </c>
      <c r="X7" s="149" t="s">
        <v>46</v>
      </c>
      <c r="Y7" s="151" t="s">
        <v>90</v>
      </c>
      <c r="Z7" s="151" t="s">
        <v>47</v>
      </c>
      <c r="AA7" s="151" t="s">
        <v>69</v>
      </c>
      <c r="AB7" s="149" t="s">
        <v>285</v>
      </c>
      <c r="AC7" s="155"/>
      <c r="AE7" s="22" t="s">
        <v>61</v>
      </c>
      <c r="AG7" s="49" t="s">
        <v>294</v>
      </c>
      <c r="AH7" s="49" t="s">
        <v>295</v>
      </c>
      <c r="AJ7" s="27"/>
      <c r="AL7" s="34" t="s">
        <v>109</v>
      </c>
      <c r="AN7" s="161"/>
      <c r="AP7" s="23" t="s">
        <v>58</v>
      </c>
      <c r="AR7" s="30" t="s">
        <v>122</v>
      </c>
      <c r="AT7" s="151"/>
      <c r="AV7" s="41" t="s">
        <v>64</v>
      </c>
      <c r="AX7" s="24">
        <v>109</v>
      </c>
      <c r="AY7" s="25">
        <v>33</v>
      </c>
      <c r="AZ7" s="25">
        <v>113</v>
      </c>
      <c r="BA7" s="26">
        <v>30</v>
      </c>
    </row>
    <row r="8" spans="1:53" x14ac:dyDescent="0.15">
      <c r="A8" s="149" t="s">
        <v>61</v>
      </c>
      <c r="B8" s="149" t="s">
        <v>232</v>
      </c>
      <c r="C8" s="149">
        <v>2019</v>
      </c>
      <c r="D8" s="150" t="s">
        <v>282</v>
      </c>
      <c r="E8" s="149" t="s">
        <v>290</v>
      </c>
      <c r="F8" s="149" t="s">
        <v>291</v>
      </c>
      <c r="G8" s="149" t="s">
        <v>42</v>
      </c>
      <c r="H8" s="151" t="s">
        <v>160</v>
      </c>
      <c r="I8" s="151" t="s">
        <v>159</v>
      </c>
      <c r="J8" s="149" t="s">
        <v>38</v>
      </c>
      <c r="K8" s="151" t="s">
        <v>161</v>
      </c>
      <c r="L8" s="151">
        <v>1</v>
      </c>
      <c r="M8" s="151"/>
      <c r="N8" s="151">
        <v>1</v>
      </c>
      <c r="O8" s="151">
        <v>0.5</v>
      </c>
      <c r="P8" s="151">
        <v>0.5</v>
      </c>
      <c r="Q8" s="152">
        <f t="shared" si="0"/>
        <v>0.5</v>
      </c>
      <c r="R8" s="151">
        <v>17.100000000000001</v>
      </c>
      <c r="S8" s="151">
        <v>136</v>
      </c>
      <c r="T8" s="153">
        <f t="shared" si="1"/>
        <v>25</v>
      </c>
      <c r="U8" s="151">
        <v>138</v>
      </c>
      <c r="V8" s="154">
        <f t="shared" si="2"/>
        <v>3450</v>
      </c>
      <c r="W8" s="151">
        <v>7</v>
      </c>
      <c r="X8" s="149" t="s">
        <v>46</v>
      </c>
      <c r="Y8" s="151" t="s">
        <v>97</v>
      </c>
      <c r="Z8" s="151" t="s">
        <v>296</v>
      </c>
      <c r="AA8" s="151" t="s">
        <v>47</v>
      </c>
      <c r="AB8" s="149" t="s">
        <v>285</v>
      </c>
      <c r="AC8" s="155"/>
      <c r="AE8" s="22" t="s">
        <v>59</v>
      </c>
      <c r="AG8" s="49" t="s">
        <v>297</v>
      </c>
      <c r="AH8" s="49" t="s">
        <v>298</v>
      </c>
      <c r="AJ8" s="28"/>
      <c r="AL8" s="34" t="s">
        <v>134</v>
      </c>
      <c r="AN8" s="29"/>
      <c r="AP8" s="23" t="s">
        <v>62</v>
      </c>
      <c r="AR8" s="41" t="s">
        <v>81</v>
      </c>
      <c r="AV8" s="41" t="s">
        <v>97</v>
      </c>
      <c r="AX8" s="24">
        <v>119</v>
      </c>
      <c r="AY8" s="25">
        <v>30</v>
      </c>
      <c r="AZ8" s="25">
        <v>121</v>
      </c>
      <c r="BA8" s="26">
        <v>27</v>
      </c>
    </row>
    <row r="9" spans="1:53" x14ac:dyDescent="0.15">
      <c r="A9" s="149" t="s">
        <v>61</v>
      </c>
      <c r="B9" s="149" t="s">
        <v>232</v>
      </c>
      <c r="C9" s="149">
        <v>2019</v>
      </c>
      <c r="D9" s="150" t="s">
        <v>282</v>
      </c>
      <c r="E9" s="149" t="s">
        <v>290</v>
      </c>
      <c r="F9" s="149" t="s">
        <v>291</v>
      </c>
      <c r="G9" s="149" t="s">
        <v>42</v>
      </c>
      <c r="H9" s="151" t="s">
        <v>160</v>
      </c>
      <c r="I9" s="151" t="s">
        <v>159</v>
      </c>
      <c r="J9" s="149" t="s">
        <v>38</v>
      </c>
      <c r="K9" s="151" t="s">
        <v>161</v>
      </c>
      <c r="L9" s="151">
        <v>2</v>
      </c>
      <c r="M9" s="151"/>
      <c r="N9" s="151">
        <v>1</v>
      </c>
      <c r="O9" s="151">
        <v>0.5</v>
      </c>
      <c r="P9" s="151">
        <v>0.5</v>
      </c>
      <c r="Q9" s="152">
        <f t="shared" si="0"/>
        <v>0.5</v>
      </c>
      <c r="R9" s="155">
        <v>18.7</v>
      </c>
      <c r="S9" s="151">
        <v>139</v>
      </c>
      <c r="T9" s="153">
        <f t="shared" si="1"/>
        <v>22</v>
      </c>
      <c r="U9" s="151">
        <v>138</v>
      </c>
      <c r="V9" s="154">
        <f t="shared" si="2"/>
        <v>3036</v>
      </c>
      <c r="W9" s="151">
        <v>7</v>
      </c>
      <c r="X9" s="149" t="s">
        <v>46</v>
      </c>
      <c r="Y9" s="151" t="s">
        <v>97</v>
      </c>
      <c r="Z9" s="151" t="s">
        <v>296</v>
      </c>
      <c r="AA9" s="151" t="s">
        <v>47</v>
      </c>
      <c r="AB9" s="149" t="s">
        <v>285</v>
      </c>
      <c r="AC9" s="155"/>
      <c r="AE9" s="22" t="s">
        <v>98</v>
      </c>
      <c r="AG9" s="49" t="s">
        <v>133</v>
      </c>
      <c r="AH9" s="49" t="s">
        <v>299</v>
      </c>
      <c r="AL9" s="29"/>
      <c r="AN9" s="29"/>
      <c r="AP9" s="23" t="s">
        <v>95</v>
      </c>
      <c r="AR9" s="30" t="s">
        <v>89</v>
      </c>
      <c r="AV9" s="41" t="s">
        <v>102</v>
      </c>
      <c r="AX9" s="24">
        <v>128</v>
      </c>
      <c r="AY9" s="25">
        <v>27</v>
      </c>
      <c r="AZ9" s="25">
        <v>129</v>
      </c>
      <c r="BA9" s="26">
        <v>25</v>
      </c>
    </row>
    <row r="10" spans="1:53" x14ac:dyDescent="0.15">
      <c r="A10" s="149" t="s">
        <v>61</v>
      </c>
      <c r="B10" s="149" t="s">
        <v>232</v>
      </c>
      <c r="C10" s="149">
        <v>2019</v>
      </c>
      <c r="D10" s="150" t="s">
        <v>282</v>
      </c>
      <c r="E10" s="149" t="s">
        <v>290</v>
      </c>
      <c r="F10" s="149" t="s">
        <v>291</v>
      </c>
      <c r="G10" s="149" t="s">
        <v>42</v>
      </c>
      <c r="H10" s="151" t="s">
        <v>160</v>
      </c>
      <c r="I10" s="151" t="s">
        <v>159</v>
      </c>
      <c r="J10" s="149" t="s">
        <v>38</v>
      </c>
      <c r="K10" s="151" t="s">
        <v>161</v>
      </c>
      <c r="L10" s="151">
        <v>3</v>
      </c>
      <c r="M10" s="151"/>
      <c r="N10" s="151">
        <v>1</v>
      </c>
      <c r="O10" s="151">
        <v>0.5</v>
      </c>
      <c r="P10" s="151">
        <v>0.5</v>
      </c>
      <c r="Q10" s="152">
        <f t="shared" si="0"/>
        <v>0.5</v>
      </c>
      <c r="R10" s="151">
        <v>17.100000000000001</v>
      </c>
      <c r="S10" s="151">
        <v>136</v>
      </c>
      <c r="T10" s="153">
        <f t="shared" si="1"/>
        <v>25</v>
      </c>
      <c r="U10" s="151">
        <v>138</v>
      </c>
      <c r="V10" s="154">
        <f t="shared" si="2"/>
        <v>3450</v>
      </c>
      <c r="W10" s="151">
        <v>7</v>
      </c>
      <c r="X10" s="149" t="s">
        <v>46</v>
      </c>
      <c r="Y10" s="151" t="s">
        <v>97</v>
      </c>
      <c r="Z10" s="151" t="s">
        <v>296</v>
      </c>
      <c r="AA10" s="151" t="s">
        <v>47</v>
      </c>
      <c r="AB10" s="149" t="s">
        <v>285</v>
      </c>
      <c r="AC10" s="155"/>
      <c r="AE10" s="22" t="s">
        <v>103</v>
      </c>
      <c r="AG10" s="49" t="s">
        <v>300</v>
      </c>
      <c r="AH10" s="49" t="s">
        <v>301</v>
      </c>
      <c r="AL10" s="27"/>
      <c r="AP10" s="23" t="s">
        <v>100</v>
      </c>
      <c r="AR10" s="30" t="s">
        <v>123</v>
      </c>
      <c r="AV10" s="41" t="s">
        <v>106</v>
      </c>
      <c r="AX10" s="24">
        <v>138</v>
      </c>
      <c r="AY10" s="25">
        <v>25</v>
      </c>
      <c r="AZ10" s="25">
        <v>138</v>
      </c>
      <c r="BA10" s="26">
        <v>22</v>
      </c>
    </row>
    <row r="11" spans="1:53" x14ac:dyDescent="0.15">
      <c r="A11" s="149" t="s">
        <v>61</v>
      </c>
      <c r="B11" s="149" t="s">
        <v>232</v>
      </c>
      <c r="C11" s="149">
        <v>2019</v>
      </c>
      <c r="D11" s="150" t="s">
        <v>282</v>
      </c>
      <c r="E11" s="149" t="s">
        <v>292</v>
      </c>
      <c r="F11" s="149" t="s">
        <v>293</v>
      </c>
      <c r="G11" s="149" t="s">
        <v>42</v>
      </c>
      <c r="H11" s="151" t="s">
        <v>160</v>
      </c>
      <c r="I11" s="151" t="s">
        <v>159</v>
      </c>
      <c r="J11" s="149" t="s">
        <v>38</v>
      </c>
      <c r="K11" s="151" t="s">
        <v>161</v>
      </c>
      <c r="L11" s="151">
        <v>1</v>
      </c>
      <c r="M11" s="151"/>
      <c r="N11" s="151">
        <v>1</v>
      </c>
      <c r="O11" s="151">
        <v>0.5</v>
      </c>
      <c r="P11" s="151">
        <v>0.5</v>
      </c>
      <c r="Q11" s="152">
        <f t="shared" si="0"/>
        <v>0.5</v>
      </c>
      <c r="R11" s="151">
        <v>18.899999999999999</v>
      </c>
      <c r="S11" s="151">
        <v>139</v>
      </c>
      <c r="T11" s="153">
        <f t="shared" si="1"/>
        <v>22</v>
      </c>
      <c r="U11" s="151">
        <v>108</v>
      </c>
      <c r="V11" s="154">
        <f t="shared" si="2"/>
        <v>2376</v>
      </c>
      <c r="W11" s="151">
        <v>16</v>
      </c>
      <c r="X11" s="149" t="s">
        <v>46</v>
      </c>
      <c r="Y11" s="151" t="s">
        <v>69</v>
      </c>
      <c r="Z11" s="151" t="s">
        <v>55</v>
      </c>
      <c r="AA11" s="151" t="s">
        <v>47</v>
      </c>
      <c r="AB11" s="149" t="s">
        <v>285</v>
      </c>
      <c r="AC11" s="155"/>
      <c r="AE11" s="22" t="s">
        <v>65</v>
      </c>
      <c r="AG11" s="49" t="s">
        <v>302</v>
      </c>
      <c r="AH11" s="49" t="s">
        <v>301</v>
      </c>
      <c r="AL11" s="162"/>
      <c r="AP11" s="23" t="s">
        <v>104</v>
      </c>
      <c r="AR11" s="30" t="s">
        <v>87</v>
      </c>
      <c r="AV11" s="163" t="s">
        <v>303</v>
      </c>
      <c r="AX11" s="24">
        <v>151</v>
      </c>
      <c r="AY11" s="25">
        <v>22</v>
      </c>
      <c r="AZ11" s="25">
        <v>152</v>
      </c>
      <c r="BA11" s="26">
        <v>18</v>
      </c>
    </row>
    <row r="12" spans="1:53" x14ac:dyDescent="0.15">
      <c r="A12" s="149" t="s">
        <v>61</v>
      </c>
      <c r="B12" s="149" t="s">
        <v>232</v>
      </c>
      <c r="C12" s="149">
        <v>2019</v>
      </c>
      <c r="D12" s="150" t="s">
        <v>282</v>
      </c>
      <c r="E12" s="149" t="s">
        <v>292</v>
      </c>
      <c r="F12" s="149" t="s">
        <v>293</v>
      </c>
      <c r="G12" s="149" t="s">
        <v>42</v>
      </c>
      <c r="H12" s="151" t="s">
        <v>160</v>
      </c>
      <c r="I12" s="151" t="s">
        <v>159</v>
      </c>
      <c r="J12" s="149" t="s">
        <v>38</v>
      </c>
      <c r="K12" s="151" t="s">
        <v>161</v>
      </c>
      <c r="L12" s="151">
        <v>2</v>
      </c>
      <c r="M12" s="151"/>
      <c r="N12" s="151">
        <v>1</v>
      </c>
      <c r="O12" s="151">
        <v>0.5</v>
      </c>
      <c r="P12" s="151">
        <v>0.75</v>
      </c>
      <c r="Q12" s="152">
        <f t="shared" si="0"/>
        <v>0.625</v>
      </c>
      <c r="R12" s="155">
        <v>18.8</v>
      </c>
      <c r="S12" s="151">
        <v>133</v>
      </c>
      <c r="T12" s="153">
        <f t="shared" si="1"/>
        <v>25</v>
      </c>
      <c r="U12" s="151">
        <v>108</v>
      </c>
      <c r="V12" s="154">
        <f t="shared" si="2"/>
        <v>2700</v>
      </c>
      <c r="W12" s="151">
        <v>16</v>
      </c>
      <c r="X12" s="149" t="s">
        <v>46</v>
      </c>
      <c r="Y12" s="151" t="s">
        <v>69</v>
      </c>
      <c r="Z12" s="151" t="s">
        <v>55</v>
      </c>
      <c r="AA12" s="151" t="s">
        <v>47</v>
      </c>
      <c r="AB12" s="149" t="s">
        <v>285</v>
      </c>
      <c r="AC12" s="155"/>
      <c r="AE12" s="22" t="s">
        <v>70</v>
      </c>
      <c r="AG12" s="23"/>
      <c r="AH12" s="22"/>
      <c r="AL12" s="162"/>
      <c r="AP12" s="23" t="s">
        <v>67</v>
      </c>
      <c r="AR12" s="30" t="s">
        <v>124</v>
      </c>
      <c r="AV12" s="163" t="s">
        <v>304</v>
      </c>
      <c r="AX12" s="24">
        <v>180</v>
      </c>
      <c r="AY12" s="25">
        <v>18</v>
      </c>
      <c r="AZ12" s="25">
        <v>181</v>
      </c>
      <c r="BA12" s="26">
        <v>16</v>
      </c>
    </row>
    <row r="13" spans="1:53" x14ac:dyDescent="0.15">
      <c r="A13" s="149" t="s">
        <v>61</v>
      </c>
      <c r="B13" s="149" t="s">
        <v>232</v>
      </c>
      <c r="C13" s="149">
        <v>2019</v>
      </c>
      <c r="D13" s="150" t="s">
        <v>282</v>
      </c>
      <c r="E13" s="149" t="s">
        <v>292</v>
      </c>
      <c r="F13" s="149" t="s">
        <v>293</v>
      </c>
      <c r="G13" s="149" t="s">
        <v>42</v>
      </c>
      <c r="H13" s="151" t="s">
        <v>160</v>
      </c>
      <c r="I13" s="151" t="s">
        <v>159</v>
      </c>
      <c r="J13" s="149" t="s">
        <v>38</v>
      </c>
      <c r="K13" s="151" t="s">
        <v>161</v>
      </c>
      <c r="L13" s="151">
        <v>3</v>
      </c>
      <c r="M13" s="151"/>
      <c r="N13" s="151">
        <v>1</v>
      </c>
      <c r="O13" s="151">
        <v>0.5</v>
      </c>
      <c r="P13" s="151">
        <v>0.5</v>
      </c>
      <c r="Q13" s="152">
        <f t="shared" si="0"/>
        <v>0.5</v>
      </c>
      <c r="R13" s="151">
        <v>17.100000000000001</v>
      </c>
      <c r="S13" s="151">
        <v>134</v>
      </c>
      <c r="T13" s="153">
        <f t="shared" si="1"/>
        <v>25</v>
      </c>
      <c r="U13" s="151">
        <v>108</v>
      </c>
      <c r="V13" s="154">
        <f t="shared" si="2"/>
        <v>2700</v>
      </c>
      <c r="W13" s="151">
        <v>16</v>
      </c>
      <c r="X13" s="149" t="s">
        <v>46</v>
      </c>
      <c r="Y13" s="151" t="s">
        <v>69</v>
      </c>
      <c r="Z13" s="151" t="s">
        <v>55</v>
      </c>
      <c r="AA13" s="151" t="s">
        <v>47</v>
      </c>
      <c r="AB13" s="149" t="s">
        <v>285</v>
      </c>
      <c r="AC13" s="155"/>
      <c r="AE13" s="22" t="s">
        <v>73</v>
      </c>
      <c r="AG13" s="23"/>
      <c r="AH13" s="22"/>
      <c r="AL13" s="164"/>
      <c r="AP13" s="23" t="s">
        <v>71</v>
      </c>
      <c r="AR13" s="30" t="s">
        <v>103</v>
      </c>
      <c r="AV13" s="163" t="s">
        <v>305</v>
      </c>
      <c r="AX13" s="24"/>
      <c r="AY13" s="25"/>
      <c r="AZ13" s="25"/>
      <c r="BA13" s="26"/>
    </row>
    <row r="14" spans="1:53" x14ac:dyDescent="0.15">
      <c r="A14" s="149" t="s">
        <v>61</v>
      </c>
      <c r="B14" s="149" t="s">
        <v>232</v>
      </c>
      <c r="C14" s="149">
        <v>2019</v>
      </c>
      <c r="D14" s="150" t="s">
        <v>282</v>
      </c>
      <c r="E14" s="149" t="s">
        <v>292</v>
      </c>
      <c r="F14" s="149" t="s">
        <v>293</v>
      </c>
      <c r="G14" s="149" t="s">
        <v>42</v>
      </c>
      <c r="H14" s="151" t="s">
        <v>127</v>
      </c>
      <c r="I14" s="151" t="s">
        <v>159</v>
      </c>
      <c r="J14" s="149" t="s">
        <v>53</v>
      </c>
      <c r="K14" s="151" t="s">
        <v>54</v>
      </c>
      <c r="L14" s="151">
        <v>1</v>
      </c>
      <c r="M14" s="151"/>
      <c r="N14" s="151">
        <v>1</v>
      </c>
      <c r="O14" s="151">
        <v>0.9</v>
      </c>
      <c r="P14" s="151">
        <v>0.5</v>
      </c>
      <c r="Q14" s="152">
        <f t="shared" si="0"/>
        <v>0.7</v>
      </c>
      <c r="R14" s="151">
        <v>17.100000000000001</v>
      </c>
      <c r="S14" s="151">
        <v>114</v>
      </c>
      <c r="T14" s="153">
        <f t="shared" si="1"/>
        <v>30</v>
      </c>
      <c r="U14" s="151">
        <v>138</v>
      </c>
      <c r="V14" s="154">
        <f t="shared" si="2"/>
        <v>4140</v>
      </c>
      <c r="W14" s="151">
        <v>16</v>
      </c>
      <c r="X14" s="149" t="s">
        <v>46</v>
      </c>
      <c r="Y14" s="151" t="s">
        <v>69</v>
      </c>
      <c r="Z14" s="151" t="s">
        <v>55</v>
      </c>
      <c r="AA14" s="151" t="s">
        <v>47</v>
      </c>
      <c r="AB14" s="149" t="s">
        <v>285</v>
      </c>
      <c r="AC14" s="155"/>
      <c r="AE14" s="22" t="s">
        <v>76</v>
      </c>
      <c r="AG14" s="23"/>
      <c r="AH14" s="22"/>
      <c r="AL14" s="34"/>
      <c r="AP14" s="23" t="s">
        <v>74</v>
      </c>
      <c r="AR14" s="30" t="s">
        <v>125</v>
      </c>
      <c r="AV14" s="163" t="s">
        <v>306</v>
      </c>
      <c r="AX14" s="24"/>
      <c r="AY14" s="25"/>
      <c r="AZ14" s="25"/>
      <c r="BA14" s="26"/>
    </row>
    <row r="15" spans="1:53" x14ac:dyDescent="0.15">
      <c r="A15" s="149" t="s">
        <v>61</v>
      </c>
      <c r="B15" s="149" t="s">
        <v>232</v>
      </c>
      <c r="C15" s="149">
        <v>2019</v>
      </c>
      <c r="D15" s="150" t="s">
        <v>282</v>
      </c>
      <c r="E15" s="149" t="s">
        <v>292</v>
      </c>
      <c r="F15" s="149" t="s">
        <v>293</v>
      </c>
      <c r="G15" s="149" t="s">
        <v>42</v>
      </c>
      <c r="H15" s="151" t="s">
        <v>127</v>
      </c>
      <c r="I15" s="151" t="s">
        <v>159</v>
      </c>
      <c r="J15" s="149" t="s">
        <v>53</v>
      </c>
      <c r="K15" s="151" t="s">
        <v>54</v>
      </c>
      <c r="L15" s="151">
        <v>2</v>
      </c>
      <c r="M15" s="151"/>
      <c r="N15" s="151">
        <v>1</v>
      </c>
      <c r="O15" s="151">
        <v>0.95</v>
      </c>
      <c r="P15" s="151">
        <v>0.7</v>
      </c>
      <c r="Q15" s="152">
        <f t="shared" si="0"/>
        <v>0.82499999999999996</v>
      </c>
      <c r="R15" s="155">
        <v>14.8</v>
      </c>
      <c r="S15" s="151">
        <v>120</v>
      </c>
      <c r="T15" s="153">
        <f t="shared" si="1"/>
        <v>30</v>
      </c>
      <c r="U15" s="151">
        <v>138</v>
      </c>
      <c r="V15" s="154">
        <f t="shared" si="2"/>
        <v>4140</v>
      </c>
      <c r="W15" s="151">
        <v>16</v>
      </c>
      <c r="X15" s="149" t="s">
        <v>46</v>
      </c>
      <c r="Y15" s="151" t="s">
        <v>69</v>
      </c>
      <c r="Z15" s="151" t="s">
        <v>55</v>
      </c>
      <c r="AA15" s="151" t="s">
        <v>47</v>
      </c>
      <c r="AB15" s="149" t="s">
        <v>285</v>
      </c>
      <c r="AC15" s="155"/>
      <c r="AE15" s="22" t="s">
        <v>79</v>
      </c>
      <c r="AG15" s="23"/>
      <c r="AH15" s="23"/>
      <c r="AL15" s="34"/>
      <c r="AP15" s="23" t="s">
        <v>77</v>
      </c>
      <c r="AR15" s="30" t="s">
        <v>94</v>
      </c>
      <c r="AV15" s="163" t="s">
        <v>307</v>
      </c>
      <c r="AX15" s="31"/>
      <c r="AY15" s="32"/>
      <c r="AZ15" s="32"/>
      <c r="BA15" s="33"/>
    </row>
    <row r="16" spans="1:53" x14ac:dyDescent="0.15">
      <c r="A16" s="149" t="s">
        <v>61</v>
      </c>
      <c r="B16" s="149" t="s">
        <v>232</v>
      </c>
      <c r="C16" s="149">
        <v>2019</v>
      </c>
      <c r="D16" s="150" t="s">
        <v>282</v>
      </c>
      <c r="E16" s="149" t="s">
        <v>292</v>
      </c>
      <c r="F16" s="149" t="s">
        <v>293</v>
      </c>
      <c r="G16" s="149" t="s">
        <v>42</v>
      </c>
      <c r="H16" s="151" t="s">
        <v>127</v>
      </c>
      <c r="I16" s="151" t="s">
        <v>159</v>
      </c>
      <c r="J16" s="149" t="s">
        <v>53</v>
      </c>
      <c r="K16" s="151" t="s">
        <v>54</v>
      </c>
      <c r="L16" s="151">
        <v>3</v>
      </c>
      <c r="M16" s="151"/>
      <c r="N16" s="151">
        <v>1</v>
      </c>
      <c r="O16" s="151">
        <v>0.5</v>
      </c>
      <c r="P16" s="151">
        <v>0.5</v>
      </c>
      <c r="Q16" s="152">
        <f t="shared" si="0"/>
        <v>0.5</v>
      </c>
      <c r="R16" s="151">
        <v>16.899999999999999</v>
      </c>
      <c r="S16" s="151">
        <v>117</v>
      </c>
      <c r="T16" s="153">
        <f t="shared" si="1"/>
        <v>30</v>
      </c>
      <c r="U16" s="151">
        <v>138</v>
      </c>
      <c r="V16" s="154">
        <f t="shared" si="2"/>
        <v>4140</v>
      </c>
      <c r="W16" s="151">
        <v>16</v>
      </c>
      <c r="X16" s="149" t="s">
        <v>46</v>
      </c>
      <c r="Y16" s="151" t="s">
        <v>69</v>
      </c>
      <c r="Z16" s="151" t="s">
        <v>55</v>
      </c>
      <c r="AA16" s="151" t="s">
        <v>47</v>
      </c>
      <c r="AB16" s="149" t="s">
        <v>285</v>
      </c>
      <c r="AC16" s="155"/>
      <c r="AE16" s="22" t="s">
        <v>82</v>
      </c>
      <c r="AG16" s="23"/>
      <c r="AH16" s="23"/>
      <c r="AP16" s="23" t="s">
        <v>80</v>
      </c>
      <c r="AR16" s="41" t="s">
        <v>63</v>
      </c>
      <c r="AV16" s="163" t="s">
        <v>308</v>
      </c>
    </row>
    <row r="17" spans="1:48" x14ac:dyDescent="0.15">
      <c r="A17" s="149" t="s">
        <v>61</v>
      </c>
      <c r="B17" s="149" t="s">
        <v>232</v>
      </c>
      <c r="C17" s="149">
        <v>2019</v>
      </c>
      <c r="D17" s="150" t="s">
        <v>282</v>
      </c>
      <c r="E17" s="149" t="s">
        <v>294</v>
      </c>
      <c r="F17" s="149" t="s">
        <v>295</v>
      </c>
      <c r="G17" s="149" t="s">
        <v>42</v>
      </c>
      <c r="H17" s="151" t="s">
        <v>160</v>
      </c>
      <c r="I17" s="151" t="s">
        <v>159</v>
      </c>
      <c r="J17" s="149" t="s">
        <v>38</v>
      </c>
      <c r="K17" s="151" t="s">
        <v>161</v>
      </c>
      <c r="L17" s="151">
        <v>1</v>
      </c>
      <c r="M17" s="151"/>
      <c r="N17" s="151">
        <v>1</v>
      </c>
      <c r="O17" s="151">
        <v>0.75</v>
      </c>
      <c r="P17" s="151">
        <v>0.5</v>
      </c>
      <c r="Q17" s="152">
        <f t="shared" si="0"/>
        <v>0.625</v>
      </c>
      <c r="R17" s="151">
        <v>17.399999999999999</v>
      </c>
      <c r="S17" s="151">
        <v>125</v>
      </c>
      <c r="T17" s="153">
        <f t="shared" si="1"/>
        <v>27</v>
      </c>
      <c r="U17" s="151">
        <v>128</v>
      </c>
      <c r="V17" s="154">
        <f t="shared" si="2"/>
        <v>3456</v>
      </c>
      <c r="W17" s="151">
        <v>8</v>
      </c>
      <c r="X17" s="149" t="s">
        <v>46</v>
      </c>
      <c r="Y17" s="151" t="s">
        <v>47</v>
      </c>
      <c r="Z17" s="151" t="s">
        <v>69</v>
      </c>
      <c r="AA17" s="151" t="s">
        <v>90</v>
      </c>
      <c r="AB17" s="149" t="s">
        <v>285</v>
      </c>
      <c r="AC17" s="155"/>
      <c r="AE17" s="22" t="s">
        <v>85</v>
      </c>
      <c r="AP17" s="43" t="s">
        <v>110</v>
      </c>
      <c r="AR17" s="41" t="s">
        <v>96</v>
      </c>
      <c r="AV17" s="163" t="s">
        <v>253</v>
      </c>
    </row>
    <row r="18" spans="1:48" x14ac:dyDescent="0.15">
      <c r="A18" s="149" t="s">
        <v>61</v>
      </c>
      <c r="B18" s="149" t="s">
        <v>232</v>
      </c>
      <c r="C18" s="149">
        <v>2019</v>
      </c>
      <c r="D18" s="150" t="s">
        <v>282</v>
      </c>
      <c r="E18" s="149" t="s">
        <v>294</v>
      </c>
      <c r="F18" s="149" t="s">
        <v>295</v>
      </c>
      <c r="G18" s="149" t="s">
        <v>42</v>
      </c>
      <c r="H18" s="151" t="s">
        <v>160</v>
      </c>
      <c r="I18" s="151" t="s">
        <v>159</v>
      </c>
      <c r="J18" s="149" t="s">
        <v>38</v>
      </c>
      <c r="K18" s="151" t="s">
        <v>161</v>
      </c>
      <c r="L18" s="151">
        <v>2</v>
      </c>
      <c r="M18" s="151"/>
      <c r="N18" s="151">
        <v>1</v>
      </c>
      <c r="O18" s="151">
        <v>0.5</v>
      </c>
      <c r="P18" s="151">
        <v>1</v>
      </c>
      <c r="Q18" s="152">
        <f t="shared" si="0"/>
        <v>0.75</v>
      </c>
      <c r="R18" s="155">
        <v>19.7</v>
      </c>
      <c r="S18" s="151">
        <v>124</v>
      </c>
      <c r="T18" s="153">
        <f t="shared" si="1"/>
        <v>27</v>
      </c>
      <c r="U18" s="151">
        <v>128</v>
      </c>
      <c r="V18" s="154">
        <f t="shared" si="2"/>
        <v>3456</v>
      </c>
      <c r="W18" s="151">
        <v>8</v>
      </c>
      <c r="X18" s="149" t="s">
        <v>46</v>
      </c>
      <c r="Y18" s="151" t="s">
        <v>47</v>
      </c>
      <c r="Z18" s="151" t="s">
        <v>69</v>
      </c>
      <c r="AA18" s="151" t="s">
        <v>90</v>
      </c>
      <c r="AB18" s="149" t="s">
        <v>285</v>
      </c>
      <c r="AC18" s="155"/>
      <c r="AE18" s="22" t="s">
        <v>87</v>
      </c>
      <c r="AP18" s="43" t="s">
        <v>111</v>
      </c>
      <c r="AR18" s="41" t="s">
        <v>101</v>
      </c>
      <c r="AV18" s="163" t="s">
        <v>135</v>
      </c>
    </row>
    <row r="19" spans="1:48" x14ac:dyDescent="0.15">
      <c r="A19" s="149" t="s">
        <v>61</v>
      </c>
      <c r="B19" s="149" t="s">
        <v>232</v>
      </c>
      <c r="C19" s="149">
        <v>2019</v>
      </c>
      <c r="D19" s="150" t="s">
        <v>282</v>
      </c>
      <c r="E19" s="149" t="s">
        <v>294</v>
      </c>
      <c r="F19" s="149" t="s">
        <v>295</v>
      </c>
      <c r="G19" s="149" t="s">
        <v>42</v>
      </c>
      <c r="H19" s="151" t="s">
        <v>160</v>
      </c>
      <c r="I19" s="151" t="s">
        <v>159</v>
      </c>
      <c r="J19" s="149" t="s">
        <v>38</v>
      </c>
      <c r="K19" s="151" t="s">
        <v>161</v>
      </c>
      <c r="L19" s="151">
        <v>3</v>
      </c>
      <c r="M19" s="151"/>
      <c r="N19" s="151">
        <v>1</v>
      </c>
      <c r="O19" s="155">
        <v>1.25</v>
      </c>
      <c r="P19" s="151">
        <v>1</v>
      </c>
      <c r="Q19" s="152">
        <f t="shared" si="0"/>
        <v>1.125</v>
      </c>
      <c r="R19" s="151">
        <v>17.399999999999999</v>
      </c>
      <c r="S19" s="151">
        <v>125</v>
      </c>
      <c r="T19" s="153">
        <f t="shared" si="1"/>
        <v>27</v>
      </c>
      <c r="U19" s="151">
        <v>128</v>
      </c>
      <c r="V19" s="154">
        <f t="shared" si="2"/>
        <v>3456</v>
      </c>
      <c r="W19" s="151">
        <v>8</v>
      </c>
      <c r="X19" s="149" t="s">
        <v>46</v>
      </c>
      <c r="Y19" s="151" t="s">
        <v>47</v>
      </c>
      <c r="Z19" s="151" t="s">
        <v>69</v>
      </c>
      <c r="AA19" s="151" t="s">
        <v>90</v>
      </c>
      <c r="AB19" s="149" t="s">
        <v>285</v>
      </c>
      <c r="AC19" s="155"/>
      <c r="AE19" s="35" t="s">
        <v>89</v>
      </c>
      <c r="AP19" s="43" t="s">
        <v>112</v>
      </c>
      <c r="AR19" s="30" t="s">
        <v>126</v>
      </c>
      <c r="AV19" s="163" t="s">
        <v>309</v>
      </c>
    </row>
    <row r="20" spans="1:48" x14ac:dyDescent="0.15">
      <c r="A20" s="149" t="s">
        <v>61</v>
      </c>
      <c r="B20" s="149" t="s">
        <v>232</v>
      </c>
      <c r="C20" s="149">
        <v>2019</v>
      </c>
      <c r="D20" s="150" t="s">
        <v>282</v>
      </c>
      <c r="E20" s="149" t="s">
        <v>297</v>
      </c>
      <c r="F20" s="149" t="s">
        <v>298</v>
      </c>
      <c r="G20" s="149" t="s">
        <v>42</v>
      </c>
      <c r="H20" s="151" t="s">
        <v>160</v>
      </c>
      <c r="I20" s="151" t="s">
        <v>159</v>
      </c>
      <c r="J20" s="149" t="s">
        <v>38</v>
      </c>
      <c r="K20" s="151" t="s">
        <v>161</v>
      </c>
      <c r="L20" s="151">
        <v>1</v>
      </c>
      <c r="M20" s="151"/>
      <c r="N20" s="151">
        <v>1</v>
      </c>
      <c r="O20" s="151">
        <v>1.5</v>
      </c>
      <c r="P20" s="151">
        <v>1.35</v>
      </c>
      <c r="Q20" s="152">
        <f t="shared" si="0"/>
        <v>1.425</v>
      </c>
      <c r="R20" s="151">
        <v>17.399999999999999</v>
      </c>
      <c r="S20" s="151">
        <v>198</v>
      </c>
      <c r="T20" s="153">
        <f t="shared" si="1"/>
        <v>16</v>
      </c>
      <c r="U20" s="151">
        <v>158</v>
      </c>
      <c r="V20" s="154">
        <f t="shared" si="2"/>
        <v>2528</v>
      </c>
      <c r="W20" s="151">
        <v>10</v>
      </c>
      <c r="X20" s="149" t="s">
        <v>46</v>
      </c>
      <c r="Y20" s="151" t="s">
        <v>47</v>
      </c>
      <c r="Z20" s="151" t="s">
        <v>90</v>
      </c>
      <c r="AA20" s="151" t="s">
        <v>69</v>
      </c>
      <c r="AB20" s="149" t="s">
        <v>285</v>
      </c>
      <c r="AC20" s="155"/>
      <c r="AE20" s="22"/>
      <c r="AG20" s="151"/>
      <c r="AH20" s="151"/>
      <c r="AJ20" s="151"/>
      <c r="AL20" s="151"/>
      <c r="AN20" s="151"/>
      <c r="AP20" s="43" t="s">
        <v>113</v>
      </c>
      <c r="AR20" s="41" t="s">
        <v>105</v>
      </c>
      <c r="AT20" s="151"/>
      <c r="AV20" s="163" t="s">
        <v>310</v>
      </c>
    </row>
    <row r="21" spans="1:48" x14ac:dyDescent="0.15">
      <c r="A21" s="149" t="s">
        <v>61</v>
      </c>
      <c r="B21" s="149" t="s">
        <v>232</v>
      </c>
      <c r="C21" s="149">
        <v>2019</v>
      </c>
      <c r="D21" s="150" t="s">
        <v>282</v>
      </c>
      <c r="E21" s="149" t="s">
        <v>297</v>
      </c>
      <c r="F21" s="149" t="s">
        <v>298</v>
      </c>
      <c r="G21" s="149" t="s">
        <v>42</v>
      </c>
      <c r="H21" s="151" t="s">
        <v>160</v>
      </c>
      <c r="I21" s="151" t="s">
        <v>159</v>
      </c>
      <c r="J21" s="149" t="s">
        <v>38</v>
      </c>
      <c r="K21" s="151" t="s">
        <v>161</v>
      </c>
      <c r="L21" s="151">
        <v>2</v>
      </c>
      <c r="M21" s="151"/>
      <c r="N21" s="151">
        <v>1</v>
      </c>
      <c r="O21" s="151">
        <v>1</v>
      </c>
      <c r="P21" s="151">
        <v>1.25</v>
      </c>
      <c r="Q21" s="152">
        <f t="shared" si="0"/>
        <v>1.125</v>
      </c>
      <c r="R21" s="151">
        <v>17.7</v>
      </c>
      <c r="S21" s="151">
        <v>170</v>
      </c>
      <c r="T21" s="153">
        <f t="shared" si="1"/>
        <v>18</v>
      </c>
      <c r="U21" s="151">
        <v>158</v>
      </c>
      <c r="V21" s="154">
        <f t="shared" si="2"/>
        <v>2844</v>
      </c>
      <c r="W21" s="151">
        <v>10</v>
      </c>
      <c r="X21" s="149" t="s">
        <v>46</v>
      </c>
      <c r="Y21" s="151" t="s">
        <v>47</v>
      </c>
      <c r="Z21" s="151" t="s">
        <v>90</v>
      </c>
      <c r="AA21" s="151" t="s">
        <v>69</v>
      </c>
      <c r="AB21" s="149" t="s">
        <v>285</v>
      </c>
      <c r="AC21" s="155"/>
      <c r="AE21" s="22"/>
      <c r="AG21" s="151"/>
      <c r="AH21" s="151"/>
      <c r="AJ21" s="151"/>
      <c r="AL21" s="151"/>
      <c r="AN21" s="151"/>
      <c r="AP21" s="43" t="s">
        <v>114</v>
      </c>
      <c r="AR21" s="41" t="s">
        <v>68</v>
      </c>
      <c r="AT21" s="151"/>
      <c r="AV21" s="163" t="s">
        <v>311</v>
      </c>
    </row>
    <row r="22" spans="1:48" x14ac:dyDescent="0.15">
      <c r="A22" s="149" t="s">
        <v>61</v>
      </c>
      <c r="B22" s="149" t="s">
        <v>232</v>
      </c>
      <c r="C22" s="149">
        <v>2019</v>
      </c>
      <c r="D22" s="150" t="s">
        <v>282</v>
      </c>
      <c r="E22" s="149" t="s">
        <v>297</v>
      </c>
      <c r="F22" s="149" t="s">
        <v>298</v>
      </c>
      <c r="G22" s="149" t="s">
        <v>42</v>
      </c>
      <c r="H22" s="151" t="s">
        <v>160</v>
      </c>
      <c r="I22" s="151" t="s">
        <v>159</v>
      </c>
      <c r="J22" s="149" t="s">
        <v>38</v>
      </c>
      <c r="K22" s="151" t="s">
        <v>161</v>
      </c>
      <c r="L22" s="151">
        <v>3</v>
      </c>
      <c r="M22" s="151"/>
      <c r="N22" s="151">
        <v>1</v>
      </c>
      <c r="O22" s="151">
        <v>1.5</v>
      </c>
      <c r="P22" s="151">
        <v>1.75</v>
      </c>
      <c r="Q22" s="152">
        <f t="shared" si="0"/>
        <v>1.625</v>
      </c>
      <c r="R22" s="151">
        <v>17.100000000000001</v>
      </c>
      <c r="S22" s="151">
        <v>177</v>
      </c>
      <c r="T22" s="153">
        <f t="shared" si="1"/>
        <v>18</v>
      </c>
      <c r="U22" s="151">
        <v>158</v>
      </c>
      <c r="V22" s="154">
        <f t="shared" si="2"/>
        <v>2844</v>
      </c>
      <c r="W22" s="151">
        <v>10</v>
      </c>
      <c r="X22" s="149" t="s">
        <v>46</v>
      </c>
      <c r="Y22" s="151" t="s">
        <v>47</v>
      </c>
      <c r="Z22" s="151" t="s">
        <v>90</v>
      </c>
      <c r="AA22" s="151" t="s">
        <v>69</v>
      </c>
      <c r="AB22" s="149" t="s">
        <v>285</v>
      </c>
      <c r="AC22" s="155"/>
      <c r="AE22" s="35"/>
      <c r="AG22" s="151"/>
      <c r="AH22" s="151"/>
      <c r="AJ22" s="151"/>
      <c r="AL22" s="151"/>
      <c r="AN22" s="151"/>
      <c r="AP22" s="43" t="s">
        <v>115</v>
      </c>
      <c r="AR22" s="41" t="s">
        <v>83</v>
      </c>
      <c r="AT22" s="151"/>
      <c r="AV22" s="23"/>
    </row>
    <row r="23" spans="1:48" x14ac:dyDescent="0.15">
      <c r="A23" s="149" t="s">
        <v>61</v>
      </c>
      <c r="B23" s="149" t="s">
        <v>232</v>
      </c>
      <c r="C23" s="149">
        <v>2019</v>
      </c>
      <c r="D23" s="150" t="s">
        <v>282</v>
      </c>
      <c r="E23" s="149" t="s">
        <v>297</v>
      </c>
      <c r="F23" s="149" t="s">
        <v>298</v>
      </c>
      <c r="G23" s="149" t="s">
        <v>42</v>
      </c>
      <c r="H23" s="151" t="s">
        <v>165</v>
      </c>
      <c r="I23" s="151" t="s">
        <v>159</v>
      </c>
      <c r="J23" s="149" t="s">
        <v>38</v>
      </c>
      <c r="K23" s="151" t="s">
        <v>161</v>
      </c>
      <c r="L23" s="151">
        <v>1</v>
      </c>
      <c r="M23" s="151"/>
      <c r="N23" s="151">
        <v>1</v>
      </c>
      <c r="O23" s="151">
        <v>1.3</v>
      </c>
      <c r="P23" s="151">
        <v>1.45</v>
      </c>
      <c r="Q23" s="152">
        <f t="shared" si="0"/>
        <v>1.375</v>
      </c>
      <c r="R23" s="151">
        <v>17.5</v>
      </c>
      <c r="S23" s="151">
        <v>151</v>
      </c>
      <c r="T23" s="153">
        <f t="shared" si="1"/>
        <v>22</v>
      </c>
      <c r="U23" s="151">
        <v>128</v>
      </c>
      <c r="V23" s="154">
        <f t="shared" si="2"/>
        <v>2816</v>
      </c>
      <c r="W23" s="151">
        <v>10</v>
      </c>
      <c r="X23" s="149" t="s">
        <v>46</v>
      </c>
      <c r="Y23" s="151" t="s">
        <v>47</v>
      </c>
      <c r="Z23" s="151" t="s">
        <v>90</v>
      </c>
      <c r="AA23" s="151" t="s">
        <v>69</v>
      </c>
      <c r="AB23" s="149" t="s">
        <v>285</v>
      </c>
      <c r="AC23" s="155"/>
      <c r="AE23" s="22"/>
      <c r="AG23" s="151"/>
      <c r="AH23" s="151"/>
      <c r="AJ23" s="151"/>
      <c r="AL23" s="151"/>
      <c r="AN23" s="151"/>
      <c r="AP23" s="43" t="s">
        <v>137</v>
      </c>
      <c r="AR23" s="41" t="s">
        <v>61</v>
      </c>
      <c r="AV23" s="151"/>
    </row>
    <row r="24" spans="1:48" x14ac:dyDescent="0.15">
      <c r="A24" s="149" t="s">
        <v>61</v>
      </c>
      <c r="B24" s="149" t="s">
        <v>232</v>
      </c>
      <c r="C24" s="149">
        <v>2019</v>
      </c>
      <c r="D24" s="150" t="s">
        <v>282</v>
      </c>
      <c r="E24" s="149" t="s">
        <v>297</v>
      </c>
      <c r="F24" s="149" t="s">
        <v>298</v>
      </c>
      <c r="G24" s="149" t="s">
        <v>42</v>
      </c>
      <c r="H24" s="151" t="s">
        <v>165</v>
      </c>
      <c r="I24" s="151" t="s">
        <v>159</v>
      </c>
      <c r="J24" s="149" t="s">
        <v>38</v>
      </c>
      <c r="K24" s="151" t="s">
        <v>161</v>
      </c>
      <c r="L24" s="151">
        <v>2</v>
      </c>
      <c r="M24" s="151"/>
      <c r="N24" s="151">
        <v>1</v>
      </c>
      <c r="O24" s="151">
        <v>1.75</v>
      </c>
      <c r="P24" s="151">
        <v>1.6</v>
      </c>
      <c r="Q24" s="152">
        <f t="shared" si="0"/>
        <v>1.675</v>
      </c>
      <c r="R24" s="151">
        <v>17.100000000000001</v>
      </c>
      <c r="S24" s="151">
        <v>160</v>
      </c>
      <c r="T24" s="153">
        <f t="shared" si="1"/>
        <v>18</v>
      </c>
      <c r="U24" s="151">
        <v>128</v>
      </c>
      <c r="V24" s="154">
        <f t="shared" si="2"/>
        <v>2304</v>
      </c>
      <c r="W24" s="151">
        <v>10</v>
      </c>
      <c r="X24" s="149" t="s">
        <v>46</v>
      </c>
      <c r="Y24" s="151" t="s">
        <v>47</v>
      </c>
      <c r="Z24" s="151" t="s">
        <v>90</v>
      </c>
      <c r="AA24" s="151" t="s">
        <v>69</v>
      </c>
      <c r="AB24" s="149" t="s">
        <v>285</v>
      </c>
      <c r="AC24" s="155"/>
      <c r="AE24" s="22"/>
      <c r="AG24" s="151"/>
      <c r="AH24" s="151"/>
      <c r="AJ24" s="151"/>
      <c r="AL24" s="151"/>
      <c r="AN24" s="151"/>
      <c r="AP24" s="43" t="s">
        <v>138</v>
      </c>
      <c r="AR24" s="41" t="s">
        <v>91</v>
      </c>
      <c r="AV24" s="151"/>
    </row>
    <row r="25" spans="1:48" x14ac:dyDescent="0.15">
      <c r="A25" s="149" t="s">
        <v>61</v>
      </c>
      <c r="B25" s="149" t="s">
        <v>232</v>
      </c>
      <c r="C25" s="149">
        <v>2019</v>
      </c>
      <c r="D25" s="150" t="s">
        <v>282</v>
      </c>
      <c r="E25" s="149" t="s">
        <v>297</v>
      </c>
      <c r="F25" s="149" t="s">
        <v>298</v>
      </c>
      <c r="G25" s="149" t="s">
        <v>42</v>
      </c>
      <c r="H25" s="151" t="s">
        <v>165</v>
      </c>
      <c r="I25" s="151" t="s">
        <v>159</v>
      </c>
      <c r="J25" s="149" t="s">
        <v>38</v>
      </c>
      <c r="K25" s="151" t="s">
        <v>161</v>
      </c>
      <c r="L25" s="151">
        <v>3</v>
      </c>
      <c r="M25" s="151"/>
      <c r="N25" s="151">
        <v>1</v>
      </c>
      <c r="O25" s="155">
        <v>0.5</v>
      </c>
      <c r="P25" s="151">
        <v>0.5</v>
      </c>
      <c r="Q25" s="152">
        <f t="shared" si="0"/>
        <v>0.5</v>
      </c>
      <c r="R25" s="151">
        <v>17</v>
      </c>
      <c r="S25" s="151">
        <v>152</v>
      </c>
      <c r="T25" s="153">
        <f t="shared" si="1"/>
        <v>18</v>
      </c>
      <c r="U25" s="151">
        <v>128</v>
      </c>
      <c r="V25" s="154">
        <f t="shared" si="2"/>
        <v>2304</v>
      </c>
      <c r="W25" s="151">
        <v>10</v>
      </c>
      <c r="X25" s="149" t="s">
        <v>46</v>
      </c>
      <c r="Y25" s="151" t="s">
        <v>47</v>
      </c>
      <c r="Z25" s="151" t="s">
        <v>90</v>
      </c>
      <c r="AA25" s="151" t="s">
        <v>69</v>
      </c>
      <c r="AB25" s="149" t="s">
        <v>285</v>
      </c>
      <c r="AC25" s="155"/>
      <c r="AE25" s="35"/>
      <c r="AG25" s="151"/>
      <c r="AH25" s="151"/>
      <c r="AJ25" s="151"/>
      <c r="AN25" s="151"/>
      <c r="AP25" s="43" t="s">
        <v>116</v>
      </c>
      <c r="AR25" s="42" t="s">
        <v>92</v>
      </c>
      <c r="AV25" s="151"/>
    </row>
    <row r="26" spans="1:48" x14ac:dyDescent="0.15">
      <c r="A26" s="149" t="s">
        <v>61</v>
      </c>
      <c r="B26" s="149" t="s">
        <v>232</v>
      </c>
      <c r="C26" s="149">
        <v>2019</v>
      </c>
      <c r="D26" s="150" t="s">
        <v>282</v>
      </c>
      <c r="E26" s="149" t="s">
        <v>133</v>
      </c>
      <c r="F26" s="149" t="s">
        <v>299</v>
      </c>
      <c r="G26" s="149" t="s">
        <v>42</v>
      </c>
      <c r="H26" s="151" t="s">
        <v>160</v>
      </c>
      <c r="I26" s="151" t="s">
        <v>159</v>
      </c>
      <c r="J26" s="149" t="s">
        <v>38</v>
      </c>
      <c r="K26" s="151" t="s">
        <v>161</v>
      </c>
      <c r="L26" s="151">
        <v>1</v>
      </c>
      <c r="M26" s="151"/>
      <c r="N26" s="151">
        <v>1</v>
      </c>
      <c r="O26" s="151">
        <v>0.5</v>
      </c>
      <c r="P26" s="151">
        <v>0.5</v>
      </c>
      <c r="Q26" s="152">
        <f t="shared" si="0"/>
        <v>0.5</v>
      </c>
      <c r="R26" s="151">
        <v>18</v>
      </c>
      <c r="S26" s="151">
        <v>153</v>
      </c>
      <c r="T26" s="153">
        <f t="shared" si="1"/>
        <v>18</v>
      </c>
      <c r="U26" s="151">
        <v>128</v>
      </c>
      <c r="V26" s="154">
        <f t="shared" si="2"/>
        <v>2304</v>
      </c>
      <c r="W26" s="151">
        <v>12</v>
      </c>
      <c r="X26" s="149" t="s">
        <v>46</v>
      </c>
      <c r="Y26" s="151" t="s">
        <v>69</v>
      </c>
      <c r="Z26" s="151" t="s">
        <v>97</v>
      </c>
      <c r="AA26" s="151" t="s">
        <v>86</v>
      </c>
      <c r="AB26" s="149" t="s">
        <v>285</v>
      </c>
      <c r="AC26" s="155"/>
      <c r="AD26" s="34"/>
      <c r="AE26" s="35"/>
      <c r="AG26" s="151"/>
      <c r="AH26" s="151"/>
      <c r="AP26" s="43" t="s">
        <v>117</v>
      </c>
      <c r="AR26" s="23" t="s">
        <v>153</v>
      </c>
      <c r="AV26" s="151"/>
    </row>
    <row r="27" spans="1:48" x14ac:dyDescent="0.15">
      <c r="A27" s="149" t="s">
        <v>61</v>
      </c>
      <c r="B27" s="149" t="s">
        <v>232</v>
      </c>
      <c r="C27" s="149">
        <v>2019</v>
      </c>
      <c r="D27" s="150" t="s">
        <v>282</v>
      </c>
      <c r="E27" s="149" t="s">
        <v>133</v>
      </c>
      <c r="F27" s="149" t="s">
        <v>299</v>
      </c>
      <c r="G27" s="149" t="s">
        <v>42</v>
      </c>
      <c r="H27" s="151" t="s">
        <v>160</v>
      </c>
      <c r="I27" s="151" t="s">
        <v>159</v>
      </c>
      <c r="J27" s="149" t="s">
        <v>38</v>
      </c>
      <c r="K27" s="151" t="s">
        <v>161</v>
      </c>
      <c r="L27" s="151">
        <v>2</v>
      </c>
      <c r="M27" s="151"/>
      <c r="N27" s="151">
        <v>1</v>
      </c>
      <c r="O27" s="151">
        <v>0.9</v>
      </c>
      <c r="P27" s="151">
        <v>0.75</v>
      </c>
      <c r="Q27" s="152">
        <f t="shared" si="0"/>
        <v>0.82499999999999996</v>
      </c>
      <c r="R27" s="151">
        <v>15.6</v>
      </c>
      <c r="S27" s="151">
        <v>140</v>
      </c>
      <c r="T27" s="153">
        <f t="shared" si="1"/>
        <v>22</v>
      </c>
      <c r="U27" s="151">
        <v>128</v>
      </c>
      <c r="V27" s="154">
        <f t="shared" si="2"/>
        <v>2816</v>
      </c>
      <c r="W27" s="151">
        <v>12</v>
      </c>
      <c r="X27" s="149" t="s">
        <v>46</v>
      </c>
      <c r="Y27" s="151" t="s">
        <v>69</v>
      </c>
      <c r="Z27" s="151" t="s">
        <v>97</v>
      </c>
      <c r="AA27" s="151" t="s">
        <v>86</v>
      </c>
      <c r="AB27" s="149" t="s">
        <v>285</v>
      </c>
      <c r="AC27" s="155"/>
      <c r="AD27" s="34"/>
      <c r="AE27" s="28"/>
      <c r="AG27" s="151"/>
      <c r="AH27" s="151"/>
      <c r="AP27" s="43" t="s">
        <v>118</v>
      </c>
      <c r="AR27" s="23"/>
      <c r="AV27" s="151"/>
    </row>
    <row r="28" spans="1:48" x14ac:dyDescent="0.15">
      <c r="A28" s="149" t="s">
        <v>61</v>
      </c>
      <c r="B28" s="149" t="s">
        <v>232</v>
      </c>
      <c r="C28" s="149">
        <v>2019</v>
      </c>
      <c r="D28" s="150" t="s">
        <v>282</v>
      </c>
      <c r="E28" s="149" t="s">
        <v>133</v>
      </c>
      <c r="F28" s="149" t="s">
        <v>299</v>
      </c>
      <c r="G28" s="149" t="s">
        <v>42</v>
      </c>
      <c r="H28" s="151" t="s">
        <v>160</v>
      </c>
      <c r="I28" s="151" t="s">
        <v>159</v>
      </c>
      <c r="J28" s="149" t="s">
        <v>38</v>
      </c>
      <c r="K28" s="151" t="s">
        <v>161</v>
      </c>
      <c r="L28" s="151">
        <v>3</v>
      </c>
      <c r="M28" s="151"/>
      <c r="N28" s="151">
        <v>1</v>
      </c>
      <c r="O28" s="151">
        <v>1</v>
      </c>
      <c r="P28" s="155">
        <v>1.25</v>
      </c>
      <c r="Q28" s="152">
        <f t="shared" si="0"/>
        <v>1.125</v>
      </c>
      <c r="R28" s="151">
        <v>17.2</v>
      </c>
      <c r="S28" s="151">
        <v>149</v>
      </c>
      <c r="T28" s="153">
        <f t="shared" si="1"/>
        <v>22</v>
      </c>
      <c r="U28" s="151">
        <v>128</v>
      </c>
      <c r="V28" s="154">
        <f t="shared" si="2"/>
        <v>2816</v>
      </c>
      <c r="W28" s="151">
        <v>12</v>
      </c>
      <c r="X28" s="149" t="s">
        <v>46</v>
      </c>
      <c r="Y28" s="151" t="s">
        <v>69</v>
      </c>
      <c r="Z28" s="151" t="s">
        <v>97</v>
      </c>
      <c r="AA28" s="151" t="s">
        <v>86</v>
      </c>
      <c r="AB28" s="149" t="s">
        <v>285</v>
      </c>
      <c r="AC28" s="155"/>
      <c r="AD28" s="34"/>
      <c r="AE28" s="151"/>
      <c r="AG28" s="151"/>
      <c r="AH28" s="151"/>
      <c r="AP28" s="27"/>
      <c r="AR28" s="23"/>
      <c r="AV28" s="151"/>
    </row>
    <row r="29" spans="1:48" x14ac:dyDescent="0.15">
      <c r="A29" s="149" t="s">
        <v>61</v>
      </c>
      <c r="B29" s="149" t="s">
        <v>232</v>
      </c>
      <c r="C29" s="149">
        <v>2019</v>
      </c>
      <c r="D29" s="150" t="s">
        <v>282</v>
      </c>
      <c r="E29" s="149" t="s">
        <v>133</v>
      </c>
      <c r="F29" s="149" t="s">
        <v>299</v>
      </c>
      <c r="G29" s="149" t="s">
        <v>42</v>
      </c>
      <c r="H29" s="151" t="s">
        <v>165</v>
      </c>
      <c r="I29" s="151" t="s">
        <v>159</v>
      </c>
      <c r="J29" s="149" t="s">
        <v>38</v>
      </c>
      <c r="K29" s="151" t="s">
        <v>161</v>
      </c>
      <c r="L29" s="151">
        <v>1</v>
      </c>
      <c r="M29" s="151"/>
      <c r="N29" s="151">
        <v>1</v>
      </c>
      <c r="O29" s="151">
        <v>1.25</v>
      </c>
      <c r="P29" s="151">
        <v>1.75</v>
      </c>
      <c r="Q29" s="152">
        <f t="shared" si="0"/>
        <v>1.5</v>
      </c>
      <c r="R29" s="151">
        <v>14.3</v>
      </c>
      <c r="S29" s="151">
        <v>112</v>
      </c>
      <c r="T29" s="153">
        <f t="shared" si="1"/>
        <v>33</v>
      </c>
      <c r="U29" s="151">
        <v>98</v>
      </c>
      <c r="V29" s="154">
        <f t="shared" si="2"/>
        <v>3234</v>
      </c>
      <c r="W29" s="151">
        <v>12</v>
      </c>
      <c r="X29" s="149" t="s">
        <v>46</v>
      </c>
      <c r="Y29" s="151" t="s">
        <v>69</v>
      </c>
      <c r="Z29" s="151" t="s">
        <v>97</v>
      </c>
      <c r="AA29" s="151" t="s">
        <v>86</v>
      </c>
      <c r="AB29" s="149" t="s">
        <v>285</v>
      </c>
      <c r="AC29" s="155"/>
      <c r="AE29" s="151"/>
      <c r="AG29" s="151"/>
      <c r="AH29" s="151"/>
      <c r="AJ29" s="151"/>
      <c r="AN29" s="151"/>
      <c r="AP29" s="151"/>
      <c r="AR29" s="151"/>
      <c r="AV29" s="151"/>
    </row>
    <row r="30" spans="1:48" x14ac:dyDescent="0.15">
      <c r="A30" s="149" t="s">
        <v>61</v>
      </c>
      <c r="B30" s="149" t="s">
        <v>232</v>
      </c>
      <c r="C30" s="149">
        <v>2019</v>
      </c>
      <c r="D30" s="150" t="s">
        <v>282</v>
      </c>
      <c r="E30" s="149" t="s">
        <v>133</v>
      </c>
      <c r="F30" s="149" t="s">
        <v>299</v>
      </c>
      <c r="G30" s="149" t="s">
        <v>42</v>
      </c>
      <c r="H30" s="151" t="s">
        <v>165</v>
      </c>
      <c r="I30" s="151" t="s">
        <v>159</v>
      </c>
      <c r="J30" s="149" t="s">
        <v>38</v>
      </c>
      <c r="K30" s="151" t="s">
        <v>161</v>
      </c>
      <c r="L30" s="151">
        <v>2</v>
      </c>
      <c r="M30" s="151"/>
      <c r="N30" s="151">
        <v>1</v>
      </c>
      <c r="O30" s="151">
        <v>1</v>
      </c>
      <c r="P30" s="151">
        <v>1.25</v>
      </c>
      <c r="Q30" s="152">
        <f t="shared" si="0"/>
        <v>1.125</v>
      </c>
      <c r="R30" s="151">
        <v>15.1</v>
      </c>
      <c r="S30" s="151">
        <v>110</v>
      </c>
      <c r="T30" s="153">
        <f t="shared" si="1"/>
        <v>33</v>
      </c>
      <c r="U30" s="151">
        <v>98</v>
      </c>
      <c r="V30" s="154">
        <f t="shared" si="2"/>
        <v>3234</v>
      </c>
      <c r="W30" s="151">
        <v>12</v>
      </c>
      <c r="X30" s="149" t="s">
        <v>46</v>
      </c>
      <c r="Y30" s="151" t="s">
        <v>69</v>
      </c>
      <c r="Z30" s="151" t="s">
        <v>97</v>
      </c>
      <c r="AA30" s="151" t="s">
        <v>86</v>
      </c>
      <c r="AB30" s="149" t="s">
        <v>285</v>
      </c>
      <c r="AC30" s="155"/>
      <c r="AE30" s="151"/>
      <c r="AG30" s="151"/>
      <c r="AH30" s="151"/>
      <c r="AL30" s="151"/>
      <c r="AN30" s="151"/>
      <c r="AP30" s="151"/>
      <c r="AR30" s="151"/>
      <c r="AV30" s="151"/>
    </row>
    <row r="31" spans="1:48" x14ac:dyDescent="0.15">
      <c r="A31" s="149" t="s">
        <v>61</v>
      </c>
      <c r="B31" s="149" t="s">
        <v>232</v>
      </c>
      <c r="C31" s="149">
        <v>2019</v>
      </c>
      <c r="D31" s="150" t="s">
        <v>282</v>
      </c>
      <c r="E31" s="149" t="s">
        <v>133</v>
      </c>
      <c r="F31" s="149" t="s">
        <v>299</v>
      </c>
      <c r="G31" s="149" t="s">
        <v>42</v>
      </c>
      <c r="H31" s="151" t="s">
        <v>165</v>
      </c>
      <c r="I31" s="151" t="s">
        <v>159</v>
      </c>
      <c r="J31" s="149" t="s">
        <v>38</v>
      </c>
      <c r="K31" s="151" t="s">
        <v>161</v>
      </c>
      <c r="L31" s="151">
        <v>3</v>
      </c>
      <c r="M31" s="151"/>
      <c r="N31" s="151">
        <v>1</v>
      </c>
      <c r="O31" s="151">
        <v>0.5</v>
      </c>
      <c r="P31" s="151">
        <v>0.75</v>
      </c>
      <c r="Q31" s="152">
        <f t="shared" si="0"/>
        <v>0.625</v>
      </c>
      <c r="R31" s="151">
        <v>13.9</v>
      </c>
      <c r="S31" s="151">
        <v>118</v>
      </c>
      <c r="T31" s="153">
        <f t="shared" si="1"/>
        <v>30</v>
      </c>
      <c r="U31" s="151">
        <v>98</v>
      </c>
      <c r="V31" s="154">
        <f t="shared" si="2"/>
        <v>2940</v>
      </c>
      <c r="W31" s="151">
        <v>12</v>
      </c>
      <c r="X31" s="149" t="s">
        <v>46</v>
      </c>
      <c r="Y31" s="151" t="s">
        <v>69</v>
      </c>
      <c r="Z31" s="151" t="s">
        <v>97</v>
      </c>
      <c r="AA31" s="151" t="s">
        <v>86</v>
      </c>
      <c r="AB31" s="149" t="s">
        <v>285</v>
      </c>
      <c r="AC31" s="155"/>
      <c r="AE31" s="151"/>
      <c r="AG31" s="151"/>
      <c r="AH31" s="151"/>
      <c r="AL31" s="151"/>
      <c r="AP31" s="151"/>
      <c r="AR31" s="151"/>
      <c r="AV31" s="151"/>
    </row>
    <row r="32" spans="1:48" x14ac:dyDescent="0.15">
      <c r="A32" s="149" t="s">
        <v>61</v>
      </c>
      <c r="B32" s="149" t="s">
        <v>232</v>
      </c>
      <c r="C32" s="149">
        <v>2019</v>
      </c>
      <c r="D32" s="150" t="s">
        <v>282</v>
      </c>
      <c r="E32" s="149" t="s">
        <v>300</v>
      </c>
      <c r="F32" s="149" t="s">
        <v>301</v>
      </c>
      <c r="G32" s="149" t="s">
        <v>42</v>
      </c>
      <c r="H32" s="151" t="s">
        <v>160</v>
      </c>
      <c r="I32" s="151" t="s">
        <v>159</v>
      </c>
      <c r="J32" s="149" t="s">
        <v>38</v>
      </c>
      <c r="K32" s="151" t="s">
        <v>161</v>
      </c>
      <c r="L32" s="151">
        <v>1</v>
      </c>
      <c r="M32" s="151"/>
      <c r="N32" s="151">
        <v>4</v>
      </c>
      <c r="O32" s="151">
        <v>0.5</v>
      </c>
      <c r="P32" s="151">
        <v>0.5</v>
      </c>
      <c r="Q32" s="152">
        <f t="shared" si="0"/>
        <v>0.5</v>
      </c>
      <c r="R32" s="151">
        <v>19.3</v>
      </c>
      <c r="S32" s="151">
        <v>112</v>
      </c>
      <c r="T32" s="153">
        <f t="shared" si="1"/>
        <v>33</v>
      </c>
      <c r="U32" s="151">
        <v>414</v>
      </c>
      <c r="V32" s="154">
        <f t="shared" si="2"/>
        <v>3415.5</v>
      </c>
      <c r="W32" s="151">
        <v>12</v>
      </c>
      <c r="X32" s="149" t="s">
        <v>46</v>
      </c>
      <c r="Y32" s="151" t="s">
        <v>97</v>
      </c>
      <c r="Z32" s="151" t="s">
        <v>40</v>
      </c>
      <c r="AA32" s="151" t="s">
        <v>69</v>
      </c>
      <c r="AB32" s="149" t="s">
        <v>285</v>
      </c>
      <c r="AC32" s="155"/>
      <c r="AE32" s="151"/>
      <c r="AG32" s="151"/>
      <c r="AH32" s="151"/>
      <c r="AL32" s="151"/>
      <c r="AP32" s="151"/>
      <c r="AR32" s="151"/>
      <c r="AV32" s="151"/>
    </row>
    <row r="33" spans="1:29" x14ac:dyDescent="0.15">
      <c r="A33" s="149" t="s">
        <v>61</v>
      </c>
      <c r="B33" s="149" t="s">
        <v>232</v>
      </c>
      <c r="C33" s="149">
        <v>2019</v>
      </c>
      <c r="D33" s="150" t="s">
        <v>282</v>
      </c>
      <c r="E33" s="149" t="s">
        <v>300</v>
      </c>
      <c r="F33" s="149" t="s">
        <v>301</v>
      </c>
      <c r="G33" s="149" t="s">
        <v>42</v>
      </c>
      <c r="H33" s="151" t="s">
        <v>160</v>
      </c>
      <c r="I33" s="151" t="s">
        <v>159</v>
      </c>
      <c r="J33" s="149" t="s">
        <v>38</v>
      </c>
      <c r="K33" s="151" t="s">
        <v>161</v>
      </c>
      <c r="L33" s="151">
        <v>2</v>
      </c>
      <c r="M33" s="151"/>
      <c r="N33" s="151">
        <v>4</v>
      </c>
      <c r="O33" s="151">
        <v>0.5</v>
      </c>
      <c r="P33" s="151">
        <v>0.5</v>
      </c>
      <c r="Q33" s="152">
        <f t="shared" si="0"/>
        <v>0.5</v>
      </c>
      <c r="R33" s="151">
        <v>18.7</v>
      </c>
      <c r="S33" s="151">
        <v>106</v>
      </c>
      <c r="T33" s="153">
        <f t="shared" si="1"/>
        <v>33</v>
      </c>
      <c r="U33" s="151">
        <v>414</v>
      </c>
      <c r="V33" s="154">
        <f t="shared" si="2"/>
        <v>3415.5</v>
      </c>
      <c r="W33" s="151">
        <v>12</v>
      </c>
      <c r="X33" s="149" t="s">
        <v>46</v>
      </c>
      <c r="Y33" s="151" t="s">
        <v>97</v>
      </c>
      <c r="Z33" s="151" t="s">
        <v>40</v>
      </c>
      <c r="AA33" s="151" t="s">
        <v>69</v>
      </c>
      <c r="AB33" s="149" t="s">
        <v>285</v>
      </c>
      <c r="AC33" s="155"/>
    </row>
    <row r="34" spans="1:29" x14ac:dyDescent="0.15">
      <c r="A34" s="149" t="s">
        <v>61</v>
      </c>
      <c r="B34" s="149" t="s">
        <v>232</v>
      </c>
      <c r="C34" s="149">
        <v>2019</v>
      </c>
      <c r="D34" s="150" t="s">
        <v>282</v>
      </c>
      <c r="E34" s="149" t="s">
        <v>300</v>
      </c>
      <c r="F34" s="149" t="s">
        <v>301</v>
      </c>
      <c r="G34" s="149" t="s">
        <v>42</v>
      </c>
      <c r="H34" s="151" t="s">
        <v>160</v>
      </c>
      <c r="I34" s="151" t="s">
        <v>159</v>
      </c>
      <c r="J34" s="149" t="s">
        <v>38</v>
      </c>
      <c r="K34" s="151" t="s">
        <v>161</v>
      </c>
      <c r="L34" s="151">
        <v>3</v>
      </c>
      <c r="M34" s="151"/>
      <c r="N34" s="151">
        <v>4</v>
      </c>
      <c r="O34" s="151">
        <v>0.5</v>
      </c>
      <c r="P34" s="151">
        <v>0.5</v>
      </c>
      <c r="Q34" s="152">
        <f t="shared" si="0"/>
        <v>0.5</v>
      </c>
      <c r="R34" s="151">
        <v>19.7</v>
      </c>
      <c r="S34" s="151">
        <v>109</v>
      </c>
      <c r="T34" s="153">
        <f t="shared" si="1"/>
        <v>33</v>
      </c>
      <c r="U34" s="151">
        <v>414</v>
      </c>
      <c r="V34" s="154">
        <f t="shared" si="2"/>
        <v>3415.5</v>
      </c>
      <c r="W34" s="151">
        <v>12</v>
      </c>
      <c r="X34" s="149" t="s">
        <v>46</v>
      </c>
      <c r="Y34" s="151" t="s">
        <v>97</v>
      </c>
      <c r="Z34" s="151" t="s">
        <v>40</v>
      </c>
      <c r="AA34" s="151" t="s">
        <v>69</v>
      </c>
      <c r="AB34" s="149" t="s">
        <v>285</v>
      </c>
      <c r="AC34" s="155"/>
    </row>
    <row r="35" spans="1:29" x14ac:dyDescent="0.15">
      <c r="A35" s="149" t="s">
        <v>61</v>
      </c>
      <c r="B35" s="149" t="s">
        <v>232</v>
      </c>
      <c r="C35" s="149">
        <v>2019</v>
      </c>
      <c r="D35" s="150" t="s">
        <v>282</v>
      </c>
      <c r="E35" s="149" t="s">
        <v>300</v>
      </c>
      <c r="F35" s="149" t="s">
        <v>301</v>
      </c>
      <c r="G35" s="149" t="s">
        <v>42</v>
      </c>
      <c r="H35" s="151" t="s">
        <v>165</v>
      </c>
      <c r="I35" s="151" t="s">
        <v>159</v>
      </c>
      <c r="J35" s="149" t="s">
        <v>38</v>
      </c>
      <c r="K35" s="151" t="s">
        <v>161</v>
      </c>
      <c r="L35" s="151">
        <v>1</v>
      </c>
      <c r="M35" s="151"/>
      <c r="N35" s="151">
        <v>1</v>
      </c>
      <c r="O35" s="151">
        <v>1.1499999999999999</v>
      </c>
      <c r="P35" s="151">
        <v>1.5</v>
      </c>
      <c r="Q35" s="152">
        <f t="shared" si="0"/>
        <v>1.325</v>
      </c>
      <c r="R35" s="151">
        <v>16.2</v>
      </c>
      <c r="S35" s="151">
        <v>113</v>
      </c>
      <c r="T35" s="153">
        <f t="shared" si="1"/>
        <v>30</v>
      </c>
      <c r="U35" s="151">
        <v>138</v>
      </c>
      <c r="V35" s="154">
        <f t="shared" si="2"/>
        <v>4140</v>
      </c>
      <c r="W35" s="151">
        <v>12</v>
      </c>
      <c r="X35" s="149" t="s">
        <v>46</v>
      </c>
      <c r="Y35" s="151" t="s">
        <v>97</v>
      </c>
      <c r="Z35" s="151" t="s">
        <v>40</v>
      </c>
      <c r="AA35" s="151" t="s">
        <v>69</v>
      </c>
      <c r="AB35" s="149" t="s">
        <v>285</v>
      </c>
      <c r="AC35" s="155"/>
    </row>
    <row r="36" spans="1:29" x14ac:dyDescent="0.15">
      <c r="A36" s="149" t="s">
        <v>61</v>
      </c>
      <c r="B36" s="149" t="s">
        <v>232</v>
      </c>
      <c r="C36" s="149">
        <v>2019</v>
      </c>
      <c r="D36" s="150" t="s">
        <v>282</v>
      </c>
      <c r="E36" s="149" t="s">
        <v>300</v>
      </c>
      <c r="F36" s="149" t="s">
        <v>301</v>
      </c>
      <c r="G36" s="149" t="s">
        <v>42</v>
      </c>
      <c r="H36" s="151" t="s">
        <v>165</v>
      </c>
      <c r="I36" s="151" t="s">
        <v>159</v>
      </c>
      <c r="J36" s="149" t="s">
        <v>38</v>
      </c>
      <c r="K36" s="151" t="s">
        <v>161</v>
      </c>
      <c r="L36" s="151">
        <v>2</v>
      </c>
      <c r="M36" s="151"/>
      <c r="N36" s="151">
        <v>1</v>
      </c>
      <c r="O36" s="151">
        <v>1.25</v>
      </c>
      <c r="P36" s="151">
        <v>1.25</v>
      </c>
      <c r="Q36" s="152">
        <f t="shared" si="0"/>
        <v>1.25</v>
      </c>
      <c r="R36" s="151">
        <v>17.399999999999999</v>
      </c>
      <c r="S36" s="151">
        <v>124</v>
      </c>
      <c r="T36" s="153">
        <f t="shared" si="1"/>
        <v>27</v>
      </c>
      <c r="U36" s="151">
        <v>138</v>
      </c>
      <c r="V36" s="154">
        <f t="shared" si="2"/>
        <v>3726</v>
      </c>
      <c r="W36" s="151">
        <v>12</v>
      </c>
      <c r="X36" s="149" t="s">
        <v>46</v>
      </c>
      <c r="Y36" s="151" t="s">
        <v>97</v>
      </c>
      <c r="Z36" s="151" t="s">
        <v>40</v>
      </c>
      <c r="AA36" s="151" t="s">
        <v>69</v>
      </c>
      <c r="AB36" s="149" t="s">
        <v>285</v>
      </c>
      <c r="AC36" s="155"/>
    </row>
    <row r="37" spans="1:29" x14ac:dyDescent="0.15">
      <c r="A37" s="149" t="s">
        <v>61</v>
      </c>
      <c r="B37" s="149" t="s">
        <v>232</v>
      </c>
      <c r="C37" s="149">
        <v>2019</v>
      </c>
      <c r="D37" s="150" t="s">
        <v>282</v>
      </c>
      <c r="E37" s="149" t="s">
        <v>300</v>
      </c>
      <c r="F37" s="149" t="s">
        <v>301</v>
      </c>
      <c r="G37" s="149" t="s">
        <v>42</v>
      </c>
      <c r="H37" s="151" t="s">
        <v>165</v>
      </c>
      <c r="I37" s="151" t="s">
        <v>159</v>
      </c>
      <c r="J37" s="149" t="s">
        <v>38</v>
      </c>
      <c r="K37" s="151" t="s">
        <v>161</v>
      </c>
      <c r="L37" s="151">
        <v>3</v>
      </c>
      <c r="M37" s="151"/>
      <c r="N37" s="151">
        <v>1</v>
      </c>
      <c r="O37" s="151">
        <v>0.95</v>
      </c>
      <c r="P37" s="151">
        <v>0.5</v>
      </c>
      <c r="Q37" s="152">
        <f t="shared" si="0"/>
        <v>0.72499999999999998</v>
      </c>
      <c r="R37" s="151">
        <v>15.1</v>
      </c>
      <c r="S37" s="151">
        <v>116</v>
      </c>
      <c r="T37" s="153">
        <f t="shared" si="1"/>
        <v>30</v>
      </c>
      <c r="U37" s="151">
        <v>138</v>
      </c>
      <c r="V37" s="154">
        <f t="shared" si="2"/>
        <v>4140</v>
      </c>
      <c r="W37" s="151">
        <v>12</v>
      </c>
      <c r="X37" s="149" t="s">
        <v>46</v>
      </c>
      <c r="Y37" s="151" t="s">
        <v>97</v>
      </c>
      <c r="Z37" s="151" t="s">
        <v>40</v>
      </c>
      <c r="AA37" s="151" t="s">
        <v>69</v>
      </c>
      <c r="AB37" s="149" t="s">
        <v>285</v>
      </c>
      <c r="AC37" s="155"/>
    </row>
    <row r="38" spans="1:29" x14ac:dyDescent="0.15">
      <c r="A38" s="149" t="s">
        <v>61</v>
      </c>
      <c r="B38" s="149" t="s">
        <v>232</v>
      </c>
      <c r="C38" s="149">
        <v>2019</v>
      </c>
      <c r="D38" s="150" t="s">
        <v>282</v>
      </c>
      <c r="E38" s="149" t="s">
        <v>302</v>
      </c>
      <c r="F38" s="149" t="s">
        <v>301</v>
      </c>
      <c r="G38" s="149" t="s">
        <v>42</v>
      </c>
      <c r="H38" s="151" t="s">
        <v>160</v>
      </c>
      <c r="I38" s="151" t="s">
        <v>159</v>
      </c>
      <c r="J38" s="149" t="s">
        <v>38</v>
      </c>
      <c r="K38" s="151" t="s">
        <v>161</v>
      </c>
      <c r="L38" s="151">
        <v>1</v>
      </c>
      <c r="M38" s="151"/>
      <c r="N38" s="151">
        <v>1</v>
      </c>
      <c r="O38" s="151">
        <v>0.5</v>
      </c>
      <c r="P38" s="151">
        <v>0.5</v>
      </c>
      <c r="Q38" s="152">
        <f t="shared" si="0"/>
        <v>0.5</v>
      </c>
      <c r="R38" s="151">
        <v>17.3</v>
      </c>
      <c r="S38" s="151">
        <v>142</v>
      </c>
      <c r="T38" s="153">
        <f t="shared" si="1"/>
        <v>22</v>
      </c>
      <c r="U38" s="151">
        <v>149</v>
      </c>
      <c r="V38" s="154">
        <f t="shared" si="2"/>
        <v>3278</v>
      </c>
      <c r="W38" s="151">
        <v>16</v>
      </c>
      <c r="X38" s="149" t="s">
        <v>46</v>
      </c>
      <c r="Y38" s="151" t="s">
        <v>97</v>
      </c>
      <c r="Z38" s="151" t="s">
        <v>47</v>
      </c>
      <c r="AA38" s="151" t="s">
        <v>90</v>
      </c>
      <c r="AB38" s="149" t="s">
        <v>285</v>
      </c>
      <c r="AC38" s="155"/>
    </row>
    <row r="39" spans="1:29" x14ac:dyDescent="0.15">
      <c r="A39" s="149" t="s">
        <v>61</v>
      </c>
      <c r="B39" s="149" t="s">
        <v>232</v>
      </c>
      <c r="C39" s="149">
        <v>2019</v>
      </c>
      <c r="D39" s="150" t="s">
        <v>282</v>
      </c>
      <c r="E39" s="149" t="s">
        <v>302</v>
      </c>
      <c r="F39" s="149" t="s">
        <v>301</v>
      </c>
      <c r="G39" s="149" t="s">
        <v>42</v>
      </c>
      <c r="H39" s="151" t="s">
        <v>160</v>
      </c>
      <c r="I39" s="151" t="s">
        <v>159</v>
      </c>
      <c r="J39" s="149" t="s">
        <v>38</v>
      </c>
      <c r="K39" s="151" t="s">
        <v>161</v>
      </c>
      <c r="L39" s="151">
        <v>2</v>
      </c>
      <c r="M39" s="151"/>
      <c r="N39" s="151">
        <v>1</v>
      </c>
      <c r="O39" s="151">
        <v>0.5</v>
      </c>
      <c r="P39" s="151">
        <v>0.5</v>
      </c>
      <c r="Q39" s="152">
        <f t="shared" si="0"/>
        <v>0.5</v>
      </c>
      <c r="R39" s="151">
        <v>18.3</v>
      </c>
      <c r="S39" s="151">
        <v>137</v>
      </c>
      <c r="T39" s="153">
        <f t="shared" si="1"/>
        <v>25</v>
      </c>
      <c r="U39" s="151">
        <v>149</v>
      </c>
      <c r="V39" s="154">
        <f t="shared" si="2"/>
        <v>3725</v>
      </c>
      <c r="W39" s="151">
        <v>16</v>
      </c>
      <c r="X39" s="149" t="s">
        <v>46</v>
      </c>
      <c r="Y39" s="151" t="s">
        <v>97</v>
      </c>
      <c r="Z39" s="151" t="s">
        <v>47</v>
      </c>
      <c r="AA39" s="151" t="s">
        <v>90</v>
      </c>
      <c r="AB39" s="149" t="s">
        <v>285</v>
      </c>
      <c r="AC39" s="155"/>
    </row>
    <row r="40" spans="1:29" x14ac:dyDescent="0.15">
      <c r="A40" s="149" t="s">
        <v>61</v>
      </c>
      <c r="B40" s="149" t="s">
        <v>232</v>
      </c>
      <c r="C40" s="149">
        <v>2019</v>
      </c>
      <c r="D40" s="150" t="s">
        <v>282</v>
      </c>
      <c r="E40" s="149" t="s">
        <v>302</v>
      </c>
      <c r="F40" s="149" t="s">
        <v>301</v>
      </c>
      <c r="G40" s="149" t="s">
        <v>42</v>
      </c>
      <c r="H40" s="151" t="s">
        <v>160</v>
      </c>
      <c r="I40" s="151" t="s">
        <v>159</v>
      </c>
      <c r="J40" s="149" t="s">
        <v>38</v>
      </c>
      <c r="K40" s="151" t="s">
        <v>161</v>
      </c>
      <c r="L40" s="151">
        <v>3</v>
      </c>
      <c r="M40" s="151"/>
      <c r="N40" s="151">
        <v>1</v>
      </c>
      <c r="O40" s="151">
        <v>0.5</v>
      </c>
      <c r="P40" s="151">
        <v>0.5</v>
      </c>
      <c r="Q40" s="152">
        <f t="shared" si="0"/>
        <v>0.5</v>
      </c>
      <c r="R40" s="151">
        <v>19.899999999999999</v>
      </c>
      <c r="S40" s="151">
        <v>133</v>
      </c>
      <c r="T40" s="153">
        <f t="shared" si="1"/>
        <v>25</v>
      </c>
      <c r="U40" s="151">
        <v>149</v>
      </c>
      <c r="V40" s="154">
        <f t="shared" si="2"/>
        <v>3725</v>
      </c>
      <c r="W40" s="151">
        <v>16</v>
      </c>
      <c r="X40" s="149" t="s">
        <v>46</v>
      </c>
      <c r="Y40" s="151" t="s">
        <v>97</v>
      </c>
      <c r="Z40" s="151" t="s">
        <v>47</v>
      </c>
      <c r="AA40" s="151" t="s">
        <v>90</v>
      </c>
      <c r="AB40" s="149" t="s">
        <v>285</v>
      </c>
      <c r="AC40" s="155"/>
    </row>
    <row r="41" spans="1:29" x14ac:dyDescent="0.15">
      <c r="A41" s="149" t="s">
        <v>61</v>
      </c>
      <c r="B41" s="149" t="s">
        <v>232</v>
      </c>
      <c r="C41" s="149">
        <v>2019</v>
      </c>
      <c r="D41" s="150" t="s">
        <v>282</v>
      </c>
      <c r="E41" s="149" t="s">
        <v>302</v>
      </c>
      <c r="F41" s="149" t="s">
        <v>301</v>
      </c>
      <c r="G41" s="149" t="s">
        <v>42</v>
      </c>
      <c r="H41" s="151" t="s">
        <v>165</v>
      </c>
      <c r="I41" s="151" t="s">
        <v>159</v>
      </c>
      <c r="J41" s="149" t="s">
        <v>38</v>
      </c>
      <c r="K41" s="151" t="s">
        <v>161</v>
      </c>
      <c r="L41" s="151">
        <v>1</v>
      </c>
      <c r="M41" s="151"/>
      <c r="N41" s="151">
        <v>4</v>
      </c>
      <c r="O41" s="151">
        <v>0.5</v>
      </c>
      <c r="P41" s="151">
        <v>0.5</v>
      </c>
      <c r="Q41" s="152">
        <f t="shared" si="0"/>
        <v>0.5</v>
      </c>
      <c r="R41" s="151">
        <v>17.100000000000001</v>
      </c>
      <c r="S41" s="151">
        <v>92</v>
      </c>
      <c r="T41" s="153">
        <f t="shared" si="1"/>
        <v>36</v>
      </c>
      <c r="U41" s="151">
        <v>321</v>
      </c>
      <c r="V41" s="154">
        <f t="shared" si="2"/>
        <v>2889</v>
      </c>
      <c r="W41" s="151">
        <v>16</v>
      </c>
      <c r="X41" s="149" t="s">
        <v>46</v>
      </c>
      <c r="Y41" s="151" t="s">
        <v>97</v>
      </c>
      <c r="Z41" s="151" t="s">
        <v>47</v>
      </c>
      <c r="AA41" s="151" t="s">
        <v>90</v>
      </c>
      <c r="AB41" s="149" t="s">
        <v>285</v>
      </c>
      <c r="AC41" s="155"/>
    </row>
    <row r="42" spans="1:29" x14ac:dyDescent="0.15">
      <c r="A42" s="149" t="s">
        <v>61</v>
      </c>
      <c r="B42" s="149" t="s">
        <v>232</v>
      </c>
      <c r="C42" s="149">
        <v>2019</v>
      </c>
      <c r="D42" s="150" t="s">
        <v>282</v>
      </c>
      <c r="E42" s="149" t="s">
        <v>302</v>
      </c>
      <c r="F42" s="149" t="s">
        <v>301</v>
      </c>
      <c r="G42" s="149" t="s">
        <v>42</v>
      </c>
      <c r="H42" s="151" t="s">
        <v>165</v>
      </c>
      <c r="I42" s="151" t="s">
        <v>159</v>
      </c>
      <c r="J42" s="149" t="s">
        <v>38</v>
      </c>
      <c r="K42" s="151" t="s">
        <v>161</v>
      </c>
      <c r="L42" s="151">
        <v>2</v>
      </c>
      <c r="M42" s="151"/>
      <c r="N42" s="151">
        <v>4</v>
      </c>
      <c r="O42" s="151">
        <v>0.5</v>
      </c>
      <c r="P42" s="151">
        <v>0.5</v>
      </c>
      <c r="Q42" s="152">
        <f t="shared" si="0"/>
        <v>0.5</v>
      </c>
      <c r="R42" s="151">
        <v>13.9</v>
      </c>
      <c r="S42" s="151">
        <v>100</v>
      </c>
      <c r="T42" s="153">
        <f t="shared" si="1"/>
        <v>33</v>
      </c>
      <c r="U42" s="151">
        <v>321</v>
      </c>
      <c r="V42" s="154">
        <f t="shared" si="2"/>
        <v>2648.25</v>
      </c>
      <c r="W42" s="151">
        <v>16</v>
      </c>
      <c r="X42" s="149" t="s">
        <v>46</v>
      </c>
      <c r="Y42" s="151" t="s">
        <v>97</v>
      </c>
      <c r="Z42" s="151" t="s">
        <v>47</v>
      </c>
      <c r="AA42" s="151" t="s">
        <v>90</v>
      </c>
      <c r="AB42" s="149" t="s">
        <v>285</v>
      </c>
      <c r="AC42" s="155"/>
    </row>
    <row r="43" spans="1:29" x14ac:dyDescent="0.15">
      <c r="A43" s="149" t="s">
        <v>61</v>
      </c>
      <c r="B43" s="149" t="s">
        <v>232</v>
      </c>
      <c r="C43" s="149">
        <v>2019</v>
      </c>
      <c r="D43" s="150" t="s">
        <v>282</v>
      </c>
      <c r="E43" s="149" t="s">
        <v>302</v>
      </c>
      <c r="F43" s="149" t="s">
        <v>301</v>
      </c>
      <c r="G43" s="149" t="s">
        <v>42</v>
      </c>
      <c r="H43" s="151" t="s">
        <v>165</v>
      </c>
      <c r="I43" s="151" t="s">
        <v>159</v>
      </c>
      <c r="J43" s="149" t="s">
        <v>38</v>
      </c>
      <c r="K43" s="151" t="s">
        <v>161</v>
      </c>
      <c r="L43" s="151">
        <v>3</v>
      </c>
      <c r="M43" s="151"/>
      <c r="N43" s="151">
        <v>4</v>
      </c>
      <c r="O43" s="151">
        <v>0.5</v>
      </c>
      <c r="P43" s="151">
        <v>0.5</v>
      </c>
      <c r="Q43" s="152">
        <f t="shared" si="0"/>
        <v>0.5</v>
      </c>
      <c r="R43" s="151">
        <v>14.4</v>
      </c>
      <c r="S43" s="151">
        <v>99</v>
      </c>
      <c r="T43" s="153">
        <f t="shared" si="1"/>
        <v>33</v>
      </c>
      <c r="U43" s="151">
        <v>321</v>
      </c>
      <c r="V43" s="154">
        <f t="shared" si="2"/>
        <v>2648.25</v>
      </c>
      <c r="W43" s="151">
        <v>16</v>
      </c>
      <c r="X43" s="149" t="s">
        <v>46</v>
      </c>
      <c r="Y43" s="151" t="s">
        <v>97</v>
      </c>
      <c r="Z43" s="151" t="s">
        <v>47</v>
      </c>
      <c r="AA43" s="151" t="s">
        <v>90</v>
      </c>
      <c r="AB43" s="149" t="s">
        <v>285</v>
      </c>
      <c r="AC43" s="155"/>
    </row>
    <row r="44" spans="1:29" x14ac:dyDescent="0.15">
      <c r="A44" s="149"/>
      <c r="B44" s="149"/>
      <c r="C44" s="149"/>
      <c r="D44" s="150"/>
      <c r="E44" s="149"/>
      <c r="F44" s="149"/>
      <c r="G44" s="149"/>
      <c r="H44" s="151"/>
      <c r="I44" s="151"/>
      <c r="J44" s="149"/>
      <c r="K44" s="151"/>
      <c r="L44" s="151"/>
      <c r="M44" s="151"/>
      <c r="N44" s="151"/>
      <c r="O44" s="151"/>
      <c r="P44" s="151"/>
      <c r="Q44" s="152"/>
      <c r="R44" s="151"/>
      <c r="S44" s="151"/>
      <c r="T44" s="153"/>
      <c r="U44" s="151"/>
      <c r="V44" s="154"/>
      <c r="W44" s="151"/>
      <c r="X44" s="149"/>
      <c r="Y44" s="151"/>
      <c r="Z44" s="151"/>
      <c r="AA44" s="151"/>
      <c r="AB44" s="149"/>
      <c r="AC44" s="151"/>
    </row>
    <row r="45" spans="1:29" x14ac:dyDescent="0.15">
      <c r="A45" s="149"/>
      <c r="B45" s="149"/>
      <c r="C45" s="149"/>
      <c r="D45" s="150"/>
      <c r="E45" s="149"/>
      <c r="F45" s="149"/>
      <c r="G45" s="149"/>
      <c r="H45" s="151"/>
      <c r="I45" s="151"/>
      <c r="J45" s="149"/>
      <c r="K45" s="151"/>
      <c r="L45" s="151"/>
      <c r="M45" s="151"/>
      <c r="N45" s="151"/>
      <c r="O45" s="151"/>
      <c r="P45" s="151"/>
      <c r="Q45" s="152"/>
      <c r="R45" s="151"/>
      <c r="S45" s="151"/>
      <c r="T45" s="153"/>
      <c r="U45" s="151"/>
      <c r="V45" s="154"/>
      <c r="W45" s="151"/>
      <c r="X45" s="149"/>
      <c r="Y45" s="151"/>
      <c r="Z45" s="151"/>
      <c r="AA45" s="151"/>
      <c r="AB45" s="149"/>
      <c r="AC45" s="151"/>
    </row>
    <row r="46" spans="1:29" x14ac:dyDescent="0.15">
      <c r="A46" s="149"/>
      <c r="B46" s="149"/>
      <c r="C46" s="149"/>
      <c r="D46" s="150"/>
      <c r="E46" s="149"/>
      <c r="F46" s="149"/>
      <c r="G46" s="149"/>
      <c r="H46" s="151"/>
      <c r="I46" s="151"/>
      <c r="J46" s="149"/>
      <c r="K46" s="151"/>
      <c r="L46" s="151"/>
      <c r="M46" s="151"/>
      <c r="N46" s="151"/>
      <c r="O46" s="151"/>
      <c r="P46" s="151"/>
      <c r="Q46" s="152"/>
      <c r="R46" s="151"/>
      <c r="S46" s="151"/>
      <c r="T46" s="153"/>
      <c r="U46" s="151"/>
      <c r="V46" s="154"/>
      <c r="W46" s="151"/>
      <c r="X46" s="149"/>
      <c r="Y46" s="151"/>
      <c r="Z46" s="151"/>
      <c r="AA46" s="151"/>
      <c r="AB46" s="149"/>
      <c r="AC46" s="151"/>
    </row>
    <row r="47" spans="1:29" x14ac:dyDescent="0.15">
      <c r="A47" s="149"/>
      <c r="B47" s="149"/>
      <c r="C47" s="149"/>
      <c r="D47" s="150"/>
      <c r="E47" s="149"/>
      <c r="F47" s="149"/>
      <c r="G47" s="149"/>
      <c r="H47" s="151"/>
      <c r="I47" s="151"/>
      <c r="J47" s="149"/>
      <c r="K47" s="151"/>
      <c r="L47" s="151"/>
      <c r="M47" s="151"/>
      <c r="N47" s="151"/>
      <c r="O47" s="151"/>
      <c r="P47" s="151"/>
      <c r="Q47" s="152"/>
      <c r="R47" s="151"/>
      <c r="S47" s="151"/>
      <c r="T47" s="153"/>
      <c r="U47" s="151"/>
      <c r="V47" s="154"/>
      <c r="W47" s="151"/>
      <c r="X47" s="149"/>
      <c r="Y47" s="151"/>
      <c r="Z47" s="151"/>
      <c r="AA47" s="151"/>
      <c r="AB47" s="149"/>
      <c r="AC47" s="155"/>
    </row>
    <row r="48" spans="1:29" x14ac:dyDescent="0.15">
      <c r="A48" s="149"/>
      <c r="B48" s="149"/>
      <c r="C48" s="149"/>
      <c r="D48" s="150"/>
      <c r="E48" s="149"/>
      <c r="F48" s="149"/>
      <c r="G48" s="149"/>
      <c r="H48" s="151"/>
      <c r="I48" s="151"/>
      <c r="J48" s="149"/>
      <c r="K48" s="151"/>
      <c r="L48" s="151"/>
      <c r="M48" s="151"/>
      <c r="N48" s="151"/>
      <c r="O48" s="151"/>
      <c r="P48" s="151"/>
      <c r="Q48" s="152"/>
      <c r="R48" s="151"/>
      <c r="S48" s="151"/>
      <c r="T48" s="153"/>
      <c r="U48" s="151"/>
      <c r="V48" s="154"/>
      <c r="W48" s="151"/>
      <c r="X48" s="149"/>
      <c r="Y48" s="151"/>
      <c r="Z48" s="151"/>
      <c r="AA48" s="151"/>
      <c r="AB48" s="149"/>
      <c r="AC48" s="155"/>
    </row>
    <row r="49" spans="1:29" x14ac:dyDescent="0.15">
      <c r="A49" s="149"/>
      <c r="B49" s="149"/>
      <c r="C49" s="149"/>
      <c r="D49" s="150"/>
      <c r="E49" s="149"/>
      <c r="F49" s="149"/>
      <c r="G49" s="149"/>
      <c r="H49" s="151"/>
      <c r="I49" s="151"/>
      <c r="J49" s="149"/>
      <c r="K49" s="151"/>
      <c r="L49" s="151"/>
      <c r="M49" s="151"/>
      <c r="N49" s="151"/>
      <c r="O49" s="151"/>
      <c r="P49" s="151"/>
      <c r="Q49" s="152"/>
      <c r="R49" s="151"/>
      <c r="S49" s="151"/>
      <c r="T49" s="153"/>
      <c r="U49" s="151"/>
      <c r="V49" s="154"/>
      <c r="W49" s="151"/>
      <c r="X49" s="149"/>
      <c r="Y49" s="151"/>
      <c r="Z49" s="151"/>
      <c r="AA49" s="151"/>
      <c r="AB49" s="149"/>
      <c r="AC49" s="155"/>
    </row>
    <row r="50" spans="1:29" x14ac:dyDescent="0.15">
      <c r="A50" s="149"/>
      <c r="B50" s="149"/>
      <c r="C50" s="149"/>
      <c r="D50" s="150"/>
      <c r="E50" s="149"/>
      <c r="F50" s="149"/>
      <c r="G50" s="149"/>
      <c r="H50" s="151"/>
      <c r="I50" s="151"/>
      <c r="J50" s="149"/>
      <c r="K50" s="151"/>
      <c r="L50" s="151"/>
      <c r="M50" s="151"/>
      <c r="N50" s="151"/>
      <c r="O50" s="151"/>
      <c r="P50" s="151"/>
      <c r="Q50" s="152"/>
      <c r="R50" s="151"/>
      <c r="S50" s="151"/>
      <c r="T50" s="153"/>
      <c r="U50" s="151"/>
      <c r="V50" s="154"/>
      <c r="W50" s="151"/>
      <c r="X50" s="149"/>
      <c r="Y50" s="151"/>
      <c r="Z50" s="151"/>
      <c r="AA50" s="151"/>
      <c r="AB50" s="149"/>
      <c r="AC50" s="155"/>
    </row>
    <row r="51" spans="1:29" x14ac:dyDescent="0.15">
      <c r="A51" s="149"/>
      <c r="B51" s="149"/>
      <c r="C51" s="149"/>
      <c r="D51" s="150"/>
      <c r="E51" s="149"/>
      <c r="F51" s="149"/>
      <c r="G51" s="149"/>
      <c r="H51" s="151"/>
      <c r="I51" s="151"/>
      <c r="J51" s="149"/>
      <c r="K51" s="151"/>
      <c r="L51" s="151"/>
      <c r="M51" s="151"/>
      <c r="N51" s="151"/>
      <c r="O51" s="151"/>
      <c r="P51" s="151"/>
      <c r="Q51" s="152"/>
      <c r="R51" s="151"/>
      <c r="S51" s="151"/>
      <c r="T51" s="153"/>
      <c r="U51" s="151"/>
      <c r="V51" s="154"/>
      <c r="W51" s="151"/>
      <c r="X51" s="149"/>
      <c r="Y51" s="151"/>
      <c r="Z51" s="151"/>
      <c r="AA51" s="151"/>
      <c r="AB51" s="149"/>
      <c r="AC51" s="155"/>
    </row>
    <row r="52" spans="1:29" x14ac:dyDescent="0.15">
      <c r="A52" s="149"/>
      <c r="B52" s="149"/>
      <c r="C52" s="149"/>
      <c r="D52" s="150"/>
      <c r="E52" s="149"/>
      <c r="F52" s="149"/>
      <c r="G52" s="149"/>
      <c r="H52" s="151"/>
      <c r="I52" s="151"/>
      <c r="J52" s="149"/>
      <c r="K52" s="151"/>
      <c r="L52" s="151"/>
      <c r="M52" s="151"/>
      <c r="N52" s="151"/>
      <c r="O52" s="151"/>
      <c r="P52" s="151"/>
      <c r="Q52" s="152"/>
      <c r="R52" s="151"/>
      <c r="S52" s="151"/>
      <c r="T52" s="153"/>
      <c r="U52" s="151"/>
      <c r="V52" s="154"/>
      <c r="W52" s="151"/>
      <c r="X52" s="149"/>
      <c r="Y52" s="151"/>
      <c r="Z52" s="151"/>
      <c r="AA52" s="151"/>
      <c r="AB52" s="149"/>
      <c r="AC52" s="155"/>
    </row>
    <row r="53" spans="1:29" x14ac:dyDescent="0.15">
      <c r="A53" s="149"/>
      <c r="B53" s="149"/>
      <c r="C53" s="149"/>
      <c r="D53" s="150"/>
      <c r="E53" s="149"/>
      <c r="F53" s="149"/>
      <c r="G53" s="149"/>
      <c r="H53" s="151"/>
      <c r="I53" s="151"/>
      <c r="J53" s="149"/>
      <c r="K53" s="151"/>
      <c r="L53" s="151"/>
      <c r="M53" s="151"/>
      <c r="N53" s="151"/>
      <c r="O53" s="151"/>
      <c r="P53" s="151"/>
      <c r="Q53" s="152"/>
      <c r="R53" s="151"/>
      <c r="S53" s="151"/>
      <c r="T53" s="153"/>
      <c r="U53" s="151"/>
      <c r="V53" s="154"/>
      <c r="W53" s="151"/>
      <c r="X53" s="149"/>
      <c r="Y53" s="151"/>
      <c r="Z53" s="151"/>
      <c r="AA53" s="151"/>
      <c r="AB53" s="149"/>
      <c r="AC53" s="155"/>
    </row>
    <row r="54" spans="1:29" x14ac:dyDescent="0.15">
      <c r="A54" s="149"/>
      <c r="B54" s="149"/>
      <c r="C54" s="149"/>
      <c r="D54" s="150"/>
      <c r="E54" s="149"/>
      <c r="F54" s="149"/>
      <c r="G54" s="149"/>
      <c r="H54" s="151"/>
      <c r="I54" s="151"/>
      <c r="J54" s="149"/>
      <c r="K54" s="151"/>
      <c r="L54" s="151"/>
      <c r="M54" s="151"/>
      <c r="N54" s="151"/>
      <c r="O54" s="151"/>
      <c r="P54" s="151"/>
      <c r="Q54" s="152"/>
      <c r="R54" s="151"/>
      <c r="S54" s="151"/>
      <c r="T54" s="153"/>
      <c r="U54" s="151"/>
      <c r="V54" s="154"/>
      <c r="W54" s="151"/>
      <c r="X54" s="149"/>
      <c r="Y54" s="151"/>
      <c r="Z54" s="151"/>
      <c r="AA54" s="151"/>
      <c r="AB54" s="149"/>
      <c r="AC54" s="155"/>
    </row>
    <row r="55" spans="1:29" x14ac:dyDescent="0.15">
      <c r="A55" s="149"/>
      <c r="B55" s="149"/>
      <c r="C55" s="149"/>
      <c r="D55" s="150"/>
      <c r="E55" s="149"/>
      <c r="F55" s="149"/>
      <c r="G55" s="149"/>
      <c r="H55" s="151"/>
      <c r="I55" s="151"/>
      <c r="J55" s="149"/>
      <c r="K55" s="151"/>
      <c r="L55" s="151"/>
      <c r="M55" s="151"/>
      <c r="N55" s="151"/>
      <c r="O55" s="151"/>
      <c r="P55" s="151"/>
      <c r="Q55" s="152"/>
      <c r="R55" s="151"/>
      <c r="S55" s="151"/>
      <c r="T55" s="153"/>
      <c r="U55" s="151"/>
      <c r="V55" s="154"/>
      <c r="W55" s="151"/>
      <c r="X55" s="149"/>
      <c r="Y55" s="151"/>
      <c r="Z55" s="151"/>
      <c r="AA55" s="151"/>
      <c r="AB55" s="149"/>
      <c r="AC55" s="155"/>
    </row>
    <row r="56" spans="1:29" x14ac:dyDescent="0.15">
      <c r="A56" s="149"/>
      <c r="B56" s="149"/>
      <c r="C56" s="149"/>
      <c r="D56" s="150"/>
      <c r="E56" s="149"/>
      <c r="F56" s="149"/>
      <c r="G56" s="149"/>
      <c r="H56" s="151"/>
      <c r="I56" s="151"/>
      <c r="J56" s="149"/>
      <c r="K56" s="151"/>
      <c r="L56" s="151"/>
      <c r="M56" s="151"/>
      <c r="N56" s="151"/>
      <c r="O56" s="151"/>
      <c r="P56" s="151"/>
      <c r="Q56" s="152"/>
      <c r="R56" s="151"/>
      <c r="S56" s="151"/>
      <c r="T56" s="153"/>
      <c r="U56" s="151"/>
      <c r="V56" s="154"/>
      <c r="W56" s="151"/>
      <c r="X56" s="149"/>
      <c r="Y56" s="151"/>
      <c r="Z56" s="151"/>
      <c r="AA56" s="151"/>
      <c r="AB56" s="149"/>
      <c r="AC56" s="155"/>
    </row>
    <row r="57" spans="1:29" x14ac:dyDescent="0.15">
      <c r="A57" s="149"/>
      <c r="B57" s="149"/>
      <c r="C57" s="149"/>
      <c r="D57" s="150"/>
      <c r="E57" s="149"/>
      <c r="F57" s="149"/>
      <c r="G57" s="149"/>
      <c r="H57" s="151"/>
      <c r="I57" s="151"/>
      <c r="J57" s="149"/>
      <c r="K57" s="151"/>
      <c r="L57" s="151"/>
      <c r="M57" s="151"/>
      <c r="N57" s="151"/>
      <c r="O57" s="151"/>
      <c r="P57" s="151"/>
      <c r="Q57" s="152"/>
      <c r="R57" s="151"/>
      <c r="S57" s="151"/>
      <c r="T57" s="153"/>
      <c r="U57" s="151"/>
      <c r="V57" s="154"/>
      <c r="W57" s="151"/>
      <c r="X57" s="149"/>
      <c r="Y57" s="151"/>
      <c r="Z57" s="151"/>
      <c r="AA57" s="151"/>
      <c r="AB57" s="149"/>
      <c r="AC57" s="155"/>
    </row>
    <row r="58" spans="1:29" x14ac:dyDescent="0.15">
      <c r="A58" s="149"/>
      <c r="B58" s="149"/>
      <c r="C58" s="149"/>
      <c r="D58" s="150"/>
      <c r="E58" s="149"/>
      <c r="F58" s="149"/>
      <c r="G58" s="149"/>
      <c r="H58" s="151"/>
      <c r="I58" s="151"/>
      <c r="J58" s="149"/>
      <c r="K58" s="151"/>
      <c r="L58" s="151"/>
      <c r="M58" s="151"/>
      <c r="N58" s="151"/>
      <c r="O58" s="151"/>
      <c r="P58" s="151"/>
      <c r="Q58" s="152"/>
      <c r="R58" s="151"/>
      <c r="S58" s="151"/>
      <c r="T58" s="153"/>
      <c r="U58" s="151"/>
      <c r="V58" s="154"/>
      <c r="W58" s="151"/>
      <c r="X58" s="149"/>
      <c r="Y58" s="151"/>
      <c r="Z58" s="151"/>
      <c r="AA58" s="151"/>
      <c r="AB58" s="149"/>
      <c r="AC58" s="155"/>
    </row>
    <row r="59" spans="1:29" x14ac:dyDescent="0.15">
      <c r="A59" s="149"/>
      <c r="B59" s="149"/>
      <c r="C59" s="149"/>
      <c r="D59" s="150"/>
      <c r="E59" s="149"/>
      <c r="F59" s="149"/>
      <c r="G59" s="149"/>
      <c r="H59" s="151"/>
      <c r="I59" s="151"/>
      <c r="J59" s="149"/>
      <c r="K59" s="151"/>
      <c r="L59" s="151"/>
      <c r="M59" s="151"/>
      <c r="N59" s="151"/>
      <c r="O59" s="151"/>
      <c r="P59" s="151"/>
      <c r="Q59" s="152"/>
      <c r="R59" s="151"/>
      <c r="S59" s="151"/>
      <c r="T59" s="153"/>
      <c r="U59" s="151"/>
      <c r="V59" s="154"/>
      <c r="W59" s="151"/>
      <c r="X59" s="149"/>
      <c r="Y59" s="151"/>
      <c r="Z59" s="151"/>
      <c r="AA59" s="151"/>
      <c r="AB59" s="149"/>
      <c r="AC59" s="151"/>
    </row>
    <row r="60" spans="1:29" x14ac:dyDescent="0.15">
      <c r="A60" s="149"/>
      <c r="B60" s="149"/>
      <c r="C60" s="149"/>
      <c r="D60" s="150"/>
      <c r="E60" s="149"/>
      <c r="F60" s="149"/>
      <c r="G60" s="149"/>
      <c r="H60" s="151"/>
      <c r="I60" s="151"/>
      <c r="J60" s="149"/>
      <c r="K60" s="151"/>
      <c r="L60" s="151"/>
      <c r="M60" s="151"/>
      <c r="N60" s="151"/>
      <c r="O60" s="151"/>
      <c r="P60" s="151"/>
      <c r="Q60" s="152"/>
      <c r="R60" s="151"/>
      <c r="S60" s="151"/>
      <c r="T60" s="153"/>
      <c r="U60" s="151"/>
      <c r="V60" s="154"/>
      <c r="W60" s="151"/>
      <c r="X60" s="149"/>
      <c r="Y60" s="151"/>
      <c r="Z60" s="151"/>
      <c r="AA60" s="151"/>
      <c r="AB60" s="149"/>
      <c r="AC60" s="151"/>
    </row>
    <row r="61" spans="1:29" x14ac:dyDescent="0.15">
      <c r="A61" s="149"/>
      <c r="B61" s="149"/>
      <c r="C61" s="149"/>
      <c r="D61" s="150"/>
      <c r="E61" s="149"/>
      <c r="F61" s="149"/>
      <c r="G61" s="149"/>
      <c r="H61" s="151"/>
      <c r="I61" s="151"/>
      <c r="J61" s="149"/>
      <c r="K61" s="151"/>
      <c r="L61" s="151"/>
      <c r="M61" s="151"/>
      <c r="N61" s="151"/>
      <c r="O61" s="151"/>
      <c r="P61" s="151"/>
      <c r="Q61" s="152" t="str">
        <f t="shared" si="0"/>
        <v/>
      </c>
      <c r="R61" s="151"/>
      <c r="S61" s="151"/>
      <c r="T61" s="153" t="str">
        <f t="shared" si="1"/>
        <v/>
      </c>
      <c r="U61" s="151"/>
      <c r="V61" s="154" t="str">
        <f t="shared" si="2"/>
        <v/>
      </c>
      <c r="W61" s="151"/>
      <c r="X61" s="149"/>
      <c r="Y61" s="151"/>
      <c r="Z61" s="151"/>
      <c r="AA61" s="151"/>
      <c r="AB61" s="149"/>
      <c r="AC61" s="151"/>
    </row>
    <row r="62" spans="1:29" x14ac:dyDescent="0.15">
      <c r="A62" s="149"/>
      <c r="B62" s="149"/>
      <c r="C62" s="149"/>
      <c r="D62" s="150"/>
      <c r="E62" s="149"/>
      <c r="F62" s="149"/>
      <c r="G62" s="149"/>
      <c r="H62" s="151"/>
      <c r="I62" s="151"/>
      <c r="J62" s="149"/>
      <c r="K62" s="151"/>
      <c r="L62" s="151"/>
      <c r="M62" s="151"/>
      <c r="N62" s="151"/>
      <c r="O62" s="151"/>
      <c r="P62" s="151"/>
      <c r="Q62" s="152" t="str">
        <f t="shared" si="0"/>
        <v/>
      </c>
      <c r="R62" s="151"/>
      <c r="S62" s="151"/>
      <c r="T62" s="153" t="str">
        <f t="shared" si="1"/>
        <v/>
      </c>
      <c r="U62" s="151"/>
      <c r="V62" s="154" t="str">
        <f t="shared" si="2"/>
        <v/>
      </c>
      <c r="W62" s="151"/>
      <c r="X62" s="149"/>
      <c r="Y62" s="151"/>
      <c r="Z62" s="151"/>
      <c r="AA62" s="151"/>
      <c r="AB62" s="149"/>
      <c r="AC62" s="151"/>
    </row>
    <row r="63" spans="1:29" x14ac:dyDescent="0.15">
      <c r="A63" s="149"/>
      <c r="B63" s="149"/>
      <c r="C63" s="149"/>
      <c r="D63" s="150"/>
      <c r="E63" s="149"/>
      <c r="F63" s="149"/>
      <c r="G63" s="149"/>
      <c r="H63" s="151"/>
      <c r="I63" s="151"/>
      <c r="J63" s="149"/>
      <c r="K63" s="151"/>
      <c r="L63" s="151"/>
      <c r="M63" s="151"/>
      <c r="N63" s="151"/>
      <c r="O63" s="151"/>
      <c r="P63" s="151"/>
      <c r="Q63" s="152" t="str">
        <f t="shared" si="0"/>
        <v/>
      </c>
      <c r="R63" s="151"/>
      <c r="S63" s="151"/>
      <c r="T63" s="153" t="str">
        <f t="shared" si="1"/>
        <v/>
      </c>
      <c r="U63" s="151"/>
      <c r="V63" s="154" t="str">
        <f t="shared" si="2"/>
        <v/>
      </c>
      <c r="W63" s="151"/>
      <c r="X63" s="149"/>
      <c r="Y63" s="151"/>
      <c r="Z63" s="151"/>
      <c r="AA63" s="151"/>
      <c r="AB63" s="149"/>
      <c r="AC63" s="151"/>
    </row>
    <row r="64" spans="1:29" x14ac:dyDescent="0.15">
      <c r="A64" s="149"/>
      <c r="B64" s="149"/>
      <c r="C64" s="149"/>
      <c r="D64" s="150"/>
      <c r="E64" s="149"/>
      <c r="F64" s="149"/>
      <c r="G64" s="149"/>
      <c r="H64" s="151"/>
      <c r="I64" s="151"/>
      <c r="J64" s="149"/>
      <c r="K64" s="151"/>
      <c r="L64" s="151"/>
      <c r="M64" s="151"/>
      <c r="N64" s="151"/>
      <c r="O64" s="151"/>
      <c r="P64" s="151"/>
      <c r="Q64" s="152" t="str">
        <f t="shared" si="0"/>
        <v/>
      </c>
      <c r="R64" s="151"/>
      <c r="S64" s="151"/>
      <c r="T64" s="153" t="str">
        <f t="shared" si="1"/>
        <v/>
      </c>
      <c r="U64" s="151"/>
      <c r="V64" s="154" t="str">
        <f t="shared" si="2"/>
        <v/>
      </c>
      <c r="W64" s="151"/>
      <c r="X64" s="149"/>
      <c r="Y64" s="151"/>
      <c r="Z64" s="151"/>
      <c r="AA64" s="151"/>
      <c r="AB64" s="149"/>
      <c r="AC64" s="151"/>
    </row>
    <row r="65" spans="1:29" x14ac:dyDescent="0.15">
      <c r="A65" s="149"/>
      <c r="B65" s="149"/>
      <c r="C65" s="149"/>
      <c r="D65" s="150"/>
      <c r="E65" s="149"/>
      <c r="F65" s="149"/>
      <c r="G65" s="149"/>
      <c r="H65" s="151"/>
      <c r="I65" s="151"/>
      <c r="J65" s="149"/>
      <c r="K65" s="151"/>
      <c r="L65" s="151"/>
      <c r="M65" s="151"/>
      <c r="N65" s="151"/>
      <c r="O65" s="151"/>
      <c r="P65" s="151"/>
      <c r="Q65" s="152" t="str">
        <f t="shared" si="0"/>
        <v/>
      </c>
      <c r="R65" s="151"/>
      <c r="S65" s="151"/>
      <c r="T65" s="153" t="str">
        <f t="shared" si="1"/>
        <v/>
      </c>
      <c r="U65" s="151"/>
      <c r="V65" s="154" t="str">
        <f t="shared" si="2"/>
        <v/>
      </c>
      <c r="W65" s="151"/>
      <c r="X65" s="149"/>
      <c r="Y65" s="151"/>
      <c r="Z65" s="151"/>
      <c r="AA65" s="151"/>
      <c r="AB65" s="149"/>
      <c r="AC65" s="155"/>
    </row>
    <row r="66" spans="1:29" x14ac:dyDescent="0.15">
      <c r="A66" s="149"/>
      <c r="B66" s="149"/>
      <c r="C66" s="149"/>
      <c r="D66" s="150"/>
      <c r="E66" s="149"/>
      <c r="F66" s="149"/>
      <c r="G66" s="149"/>
      <c r="H66" s="151"/>
      <c r="I66" s="151"/>
      <c r="J66" s="149"/>
      <c r="K66" s="151"/>
      <c r="L66" s="151"/>
      <c r="M66" s="151"/>
      <c r="N66" s="151"/>
      <c r="O66" s="151"/>
      <c r="P66" s="151"/>
      <c r="Q66" s="152" t="str">
        <f t="shared" ref="Q66:Q73" si="3">IF(OR(O66="",P66=""),"",AVERAGE(O66,P66))</f>
        <v/>
      </c>
      <c r="R66" s="151"/>
      <c r="S66" s="151"/>
      <c r="T66" s="153" t="str">
        <f t="shared" ref="T66:T73" si="4">IF(H66="","",IF(OR(H66="GREEN",H66="GK"),IF(S66&gt;=$AX$2,VLOOKUP(S66,$AX$2:$AY$15,2,1),""),IF(S66&gt;=$AZ$2,VLOOKUP(S66,$AZ$2:$BA$15,2,1),"")))</f>
        <v/>
      </c>
      <c r="U66" s="151"/>
      <c r="V66" s="154" t="str">
        <f t="shared" ref="V66:V73" si="5">IF(OR(N66="",U66="",T66=""),"",U66/N66*T66)</f>
        <v/>
      </c>
      <c r="W66" s="151"/>
      <c r="X66" s="149"/>
      <c r="Y66" s="151"/>
      <c r="Z66" s="151"/>
      <c r="AA66" s="151"/>
      <c r="AB66" s="149"/>
      <c r="AC66" s="155"/>
    </row>
    <row r="67" spans="1:29" x14ac:dyDescent="0.15">
      <c r="A67" s="149"/>
      <c r="B67" s="149"/>
      <c r="C67" s="149"/>
      <c r="D67" s="150"/>
      <c r="E67" s="149"/>
      <c r="F67" s="149"/>
      <c r="G67" s="149"/>
      <c r="H67" s="151"/>
      <c r="I67" s="151"/>
      <c r="J67" s="149"/>
      <c r="K67" s="151"/>
      <c r="L67" s="151"/>
      <c r="M67" s="151"/>
      <c r="N67" s="151"/>
      <c r="O67" s="151"/>
      <c r="P67" s="151"/>
      <c r="Q67" s="152" t="str">
        <f t="shared" si="3"/>
        <v/>
      </c>
      <c r="R67" s="155"/>
      <c r="S67" s="151"/>
      <c r="T67" s="153" t="str">
        <f t="shared" si="4"/>
        <v/>
      </c>
      <c r="U67" s="151"/>
      <c r="V67" s="154" t="str">
        <f t="shared" si="5"/>
        <v/>
      </c>
      <c r="W67" s="151"/>
      <c r="X67" s="149"/>
      <c r="Y67" s="151"/>
      <c r="Z67" s="151"/>
      <c r="AA67" s="151"/>
      <c r="AB67" s="149"/>
      <c r="AC67" s="155"/>
    </row>
    <row r="68" spans="1:29" x14ac:dyDescent="0.15">
      <c r="A68" s="149"/>
      <c r="B68" s="149"/>
      <c r="C68" s="149"/>
      <c r="D68" s="150"/>
      <c r="E68" s="149"/>
      <c r="F68" s="149"/>
      <c r="G68" s="149"/>
      <c r="H68" s="151"/>
      <c r="I68" s="151"/>
      <c r="J68" s="149"/>
      <c r="K68" s="151"/>
      <c r="L68" s="151"/>
      <c r="M68" s="151"/>
      <c r="N68" s="151"/>
      <c r="O68" s="151"/>
      <c r="P68" s="151"/>
      <c r="Q68" s="152" t="str">
        <f t="shared" si="3"/>
        <v/>
      </c>
      <c r="R68" s="151"/>
      <c r="S68" s="151"/>
      <c r="T68" s="153" t="str">
        <f t="shared" si="4"/>
        <v/>
      </c>
      <c r="U68" s="151"/>
      <c r="V68" s="154" t="str">
        <f t="shared" si="5"/>
        <v/>
      </c>
      <c r="W68" s="151"/>
      <c r="X68" s="149"/>
      <c r="Y68" s="151"/>
      <c r="Z68" s="151"/>
      <c r="AA68" s="151"/>
      <c r="AB68" s="149"/>
      <c r="AC68" s="155"/>
    </row>
    <row r="69" spans="1:29" x14ac:dyDescent="0.15">
      <c r="A69" s="149"/>
      <c r="B69" s="149"/>
      <c r="C69" s="149"/>
      <c r="D69" s="150"/>
      <c r="E69" s="149"/>
      <c r="F69" s="149"/>
      <c r="G69" s="149"/>
      <c r="H69" s="151"/>
      <c r="I69" s="151"/>
      <c r="J69" s="149"/>
      <c r="K69" s="151"/>
      <c r="L69" s="151"/>
      <c r="M69" s="151"/>
      <c r="N69" s="151"/>
      <c r="O69" s="151"/>
      <c r="P69" s="151"/>
      <c r="Q69" s="152" t="str">
        <f t="shared" si="3"/>
        <v/>
      </c>
      <c r="R69" s="155"/>
      <c r="S69" s="151"/>
      <c r="T69" s="153" t="str">
        <f t="shared" si="4"/>
        <v/>
      </c>
      <c r="U69" s="151"/>
      <c r="V69" s="154" t="str">
        <f t="shared" si="5"/>
        <v/>
      </c>
      <c r="W69" s="151"/>
      <c r="X69" s="149"/>
      <c r="Y69" s="151"/>
      <c r="Z69" s="151"/>
      <c r="AA69" s="151"/>
      <c r="AB69" s="149"/>
      <c r="AC69" s="155"/>
    </row>
    <row r="70" spans="1:29" x14ac:dyDescent="0.15">
      <c r="A70" s="149"/>
      <c r="B70" s="149"/>
      <c r="C70" s="149"/>
      <c r="D70" s="150"/>
      <c r="E70" s="151"/>
      <c r="F70" s="149"/>
      <c r="G70" s="149"/>
      <c r="H70" s="151"/>
      <c r="I70" s="151"/>
      <c r="J70" s="149"/>
      <c r="K70" s="151"/>
      <c r="L70" s="151"/>
      <c r="M70" s="151"/>
      <c r="N70" s="151"/>
      <c r="O70" s="151"/>
      <c r="P70" s="151"/>
      <c r="Q70" s="152" t="str">
        <f t="shared" si="3"/>
        <v/>
      </c>
      <c r="R70" s="155"/>
      <c r="S70" s="151"/>
      <c r="T70" s="153" t="str">
        <f t="shared" si="4"/>
        <v/>
      </c>
      <c r="U70" s="151"/>
      <c r="V70" s="154" t="str">
        <f t="shared" si="5"/>
        <v/>
      </c>
      <c r="W70" s="151"/>
      <c r="X70" s="149"/>
      <c r="Y70" s="151"/>
      <c r="Z70" s="151"/>
      <c r="AA70" s="151"/>
      <c r="AB70" s="149"/>
      <c r="AC70" s="155"/>
    </row>
    <row r="71" spans="1:29" x14ac:dyDescent="0.15">
      <c r="A71" s="149"/>
      <c r="B71" s="149"/>
      <c r="C71" s="149"/>
      <c r="D71" s="150"/>
      <c r="E71" s="151"/>
      <c r="F71" s="149"/>
      <c r="G71" s="149"/>
      <c r="H71" s="151"/>
      <c r="I71" s="151"/>
      <c r="J71" s="149"/>
      <c r="K71" s="151"/>
      <c r="L71" s="151"/>
      <c r="M71" s="151"/>
      <c r="N71" s="151"/>
      <c r="O71" s="151"/>
      <c r="P71" s="151"/>
      <c r="Q71" s="152" t="str">
        <f t="shared" si="3"/>
        <v/>
      </c>
      <c r="R71" s="151"/>
      <c r="S71" s="151"/>
      <c r="T71" s="153" t="str">
        <f t="shared" si="4"/>
        <v/>
      </c>
      <c r="U71" s="151"/>
      <c r="V71" s="154" t="str">
        <f t="shared" si="5"/>
        <v/>
      </c>
      <c r="W71" s="151"/>
      <c r="X71" s="149"/>
      <c r="Y71" s="151"/>
      <c r="Z71" s="151"/>
      <c r="AA71" s="151"/>
      <c r="AB71" s="149"/>
      <c r="AC71" s="155"/>
    </row>
    <row r="72" spans="1:29" x14ac:dyDescent="0.15">
      <c r="A72" s="149"/>
      <c r="B72" s="149"/>
      <c r="C72" s="149"/>
      <c r="D72" s="150"/>
      <c r="E72" s="151"/>
      <c r="F72" s="149"/>
      <c r="G72" s="149"/>
      <c r="H72" s="151"/>
      <c r="I72" s="151"/>
      <c r="J72" s="149"/>
      <c r="K72" s="151"/>
      <c r="L72" s="151"/>
      <c r="M72" s="151"/>
      <c r="N72" s="151"/>
      <c r="O72" s="151"/>
      <c r="P72" s="151"/>
      <c r="Q72" s="152" t="str">
        <f t="shared" si="3"/>
        <v/>
      </c>
      <c r="R72" s="151"/>
      <c r="S72" s="151"/>
      <c r="T72" s="153" t="str">
        <f t="shared" si="4"/>
        <v/>
      </c>
      <c r="U72" s="151"/>
      <c r="V72" s="154" t="str">
        <f t="shared" si="5"/>
        <v/>
      </c>
      <c r="W72" s="151"/>
      <c r="X72" s="149"/>
      <c r="Y72" s="151"/>
      <c r="Z72" s="151"/>
      <c r="AA72" s="151"/>
      <c r="AB72" s="149"/>
      <c r="AC72" s="155"/>
    </row>
    <row r="73" spans="1:29" x14ac:dyDescent="0.15">
      <c r="A73" s="149"/>
      <c r="B73" s="149"/>
      <c r="C73" s="149"/>
      <c r="D73" s="150"/>
      <c r="E73" s="151"/>
      <c r="F73" s="151"/>
      <c r="G73" s="149"/>
      <c r="H73" s="151"/>
      <c r="I73" s="151"/>
      <c r="J73" s="149"/>
      <c r="K73" s="151"/>
      <c r="L73" s="151"/>
      <c r="M73" s="151"/>
      <c r="N73" s="151"/>
      <c r="O73" s="151"/>
      <c r="P73" s="151"/>
      <c r="Q73" s="152" t="str">
        <f t="shared" si="3"/>
        <v/>
      </c>
      <c r="R73" s="151"/>
      <c r="S73" s="151"/>
      <c r="T73" s="153" t="str">
        <f t="shared" si="4"/>
        <v/>
      </c>
      <c r="U73" s="151"/>
      <c r="V73" s="154" t="str">
        <f t="shared" si="5"/>
        <v/>
      </c>
      <c r="W73" s="151"/>
      <c r="X73" s="149"/>
      <c r="Y73" s="151"/>
      <c r="Z73" s="151"/>
      <c r="AA73" s="151"/>
      <c r="AB73" s="149"/>
      <c r="AC73" s="155"/>
    </row>
    <row r="74" spans="1:29" x14ac:dyDescent="0.15">
      <c r="A74" s="149"/>
      <c r="B74" s="149"/>
      <c r="C74" s="149"/>
      <c r="D74" s="150"/>
      <c r="E74" s="151"/>
      <c r="F74" s="151"/>
      <c r="G74" s="149"/>
      <c r="H74" s="151"/>
      <c r="I74" s="151"/>
      <c r="J74" s="149"/>
      <c r="K74" s="151"/>
      <c r="L74" s="151"/>
      <c r="M74" s="151"/>
      <c r="N74" s="151"/>
      <c r="O74" s="151"/>
      <c r="P74" s="151"/>
      <c r="Q74" s="152"/>
      <c r="R74" s="151"/>
      <c r="S74" s="151"/>
      <c r="T74" s="153"/>
      <c r="U74" s="151"/>
      <c r="V74" s="154"/>
      <c r="W74" s="151"/>
      <c r="X74" s="149"/>
      <c r="Y74" s="151"/>
      <c r="Z74" s="151"/>
      <c r="AA74" s="151"/>
      <c r="AB74" s="149"/>
      <c r="AC74" s="151"/>
    </row>
    <row r="75" spans="1:29" x14ac:dyDescent="0.15">
      <c r="A75" s="149"/>
      <c r="B75" s="149"/>
      <c r="C75" s="149"/>
      <c r="D75" s="150"/>
      <c r="E75" s="151"/>
      <c r="F75" s="151"/>
      <c r="G75" s="149"/>
      <c r="H75" s="151"/>
      <c r="I75" s="151"/>
      <c r="J75" s="149"/>
      <c r="K75" s="151"/>
      <c r="L75" s="151"/>
      <c r="M75" s="151"/>
      <c r="N75" s="151"/>
      <c r="O75" s="151"/>
      <c r="P75" s="151"/>
      <c r="Q75" s="152"/>
      <c r="R75" s="151"/>
      <c r="S75" s="151"/>
      <c r="T75" s="153"/>
      <c r="U75" s="151"/>
      <c r="V75" s="154"/>
      <c r="W75" s="151"/>
      <c r="X75" s="149"/>
      <c r="Y75" s="151"/>
      <c r="Z75" s="151"/>
      <c r="AA75" s="151"/>
      <c r="AB75" s="149"/>
      <c r="AC75" s="151"/>
    </row>
    <row r="76" spans="1:29" x14ac:dyDescent="0.15">
      <c r="A76" s="149"/>
      <c r="B76" s="149"/>
      <c r="C76" s="149"/>
      <c r="D76" s="150"/>
      <c r="E76" s="151"/>
      <c r="F76" s="151"/>
      <c r="G76" s="149"/>
      <c r="H76" s="151"/>
      <c r="I76" s="151"/>
      <c r="J76" s="149"/>
      <c r="K76" s="151"/>
      <c r="L76" s="151"/>
      <c r="M76" s="151"/>
      <c r="N76" s="151"/>
      <c r="O76" s="151"/>
      <c r="P76" s="151"/>
      <c r="Q76" s="152"/>
      <c r="R76" s="151"/>
      <c r="S76" s="151"/>
      <c r="T76" s="153"/>
      <c r="U76" s="151"/>
      <c r="V76" s="154"/>
      <c r="W76" s="151"/>
      <c r="X76" s="149"/>
      <c r="Y76" s="151"/>
      <c r="Z76" s="151"/>
      <c r="AA76" s="151"/>
      <c r="AB76" s="149"/>
      <c r="AC76" s="151"/>
    </row>
    <row r="77" spans="1:29" x14ac:dyDescent="0.15">
      <c r="A77" s="149"/>
      <c r="B77" s="149"/>
      <c r="C77" s="149"/>
      <c r="D77" s="150"/>
      <c r="E77" s="151"/>
      <c r="F77" s="151"/>
      <c r="G77" s="149"/>
      <c r="H77" s="151"/>
      <c r="I77" s="151"/>
      <c r="J77" s="149"/>
      <c r="K77" s="151"/>
      <c r="L77" s="151"/>
      <c r="M77" s="151"/>
      <c r="N77" s="151"/>
      <c r="O77" s="151"/>
      <c r="P77" s="151"/>
      <c r="Q77" s="152" t="str">
        <f t="shared" ref="Q77:Q79" si="6">IF(OR(O77="",P77=""),"",AVERAGE(O77,P77))</f>
        <v/>
      </c>
      <c r="R77" s="151"/>
      <c r="S77" s="151"/>
      <c r="T77" s="153" t="str">
        <f t="shared" ref="T77:T79" si="7">IF(H77="","",IF(OR(H77="GREEN",H77="GK"),IF(S77&gt;=$AX$2,VLOOKUP(S77,$AX$2:$AY$15,2,1),""),IF(S77&gt;=$AZ$2,VLOOKUP(S77,$AZ$2:$BA$15,2,1),"")))</f>
        <v/>
      </c>
      <c r="U77" s="151"/>
      <c r="V77" s="154" t="str">
        <f t="shared" ref="V77:V79" si="8">IF(OR(N77="",U77="",T77=""),"",U77/N77*T77)</f>
        <v/>
      </c>
      <c r="W77" s="151"/>
      <c r="X77" s="149"/>
      <c r="Y77" s="151"/>
      <c r="Z77" s="151"/>
      <c r="AA77" s="151"/>
      <c r="AB77" s="149"/>
      <c r="AC77" s="151"/>
    </row>
    <row r="78" spans="1:29" x14ac:dyDescent="0.15">
      <c r="A78" s="149"/>
      <c r="B78" s="149"/>
      <c r="C78" s="149"/>
      <c r="D78" s="150"/>
      <c r="E78" s="151"/>
      <c r="F78" s="151"/>
      <c r="G78" s="149"/>
      <c r="H78" s="151"/>
      <c r="I78" s="151"/>
      <c r="J78" s="149"/>
      <c r="K78" s="151"/>
      <c r="L78" s="151"/>
      <c r="M78" s="151"/>
      <c r="N78" s="151"/>
      <c r="O78" s="151"/>
      <c r="P78" s="151"/>
      <c r="Q78" s="152" t="str">
        <f t="shared" si="6"/>
        <v/>
      </c>
      <c r="R78" s="151"/>
      <c r="S78" s="151"/>
      <c r="T78" s="153" t="str">
        <f t="shared" si="7"/>
        <v/>
      </c>
      <c r="U78" s="151"/>
      <c r="V78" s="154" t="str">
        <f t="shared" si="8"/>
        <v/>
      </c>
      <c r="W78" s="151"/>
      <c r="X78" s="149"/>
      <c r="Y78" s="151"/>
      <c r="Z78" s="151"/>
      <c r="AA78" s="151"/>
      <c r="AB78" s="149"/>
      <c r="AC78" s="151"/>
    </row>
    <row r="79" spans="1:29" x14ac:dyDescent="0.15">
      <c r="A79" s="149"/>
      <c r="B79" s="149"/>
      <c r="C79" s="149"/>
      <c r="D79" s="150"/>
      <c r="E79" s="151"/>
      <c r="F79" s="151"/>
      <c r="G79" s="149"/>
      <c r="H79" s="151"/>
      <c r="I79" s="151"/>
      <c r="J79" s="149"/>
      <c r="K79" s="151"/>
      <c r="L79" s="151"/>
      <c r="M79" s="151"/>
      <c r="N79" s="151"/>
      <c r="O79" s="151"/>
      <c r="P79" s="151"/>
      <c r="Q79" s="152" t="str">
        <f t="shared" si="6"/>
        <v/>
      </c>
      <c r="R79" s="151"/>
      <c r="S79" s="151"/>
      <c r="T79" s="153" t="str">
        <f t="shared" si="7"/>
        <v/>
      </c>
      <c r="U79" s="151"/>
      <c r="V79" s="154" t="str">
        <f t="shared" si="8"/>
        <v/>
      </c>
      <c r="W79" s="151"/>
      <c r="X79" s="149"/>
      <c r="Y79" s="151"/>
      <c r="Z79" s="151"/>
      <c r="AA79" s="151"/>
      <c r="AB79" s="149"/>
      <c r="AC79" s="151"/>
    </row>
    <row r="80" spans="1:29" x14ac:dyDescent="0.15">
      <c r="A80" s="149"/>
      <c r="B80" s="149"/>
      <c r="C80" s="149"/>
      <c r="D80" s="150"/>
      <c r="E80" s="151"/>
      <c r="F80" s="151"/>
      <c r="G80" s="149"/>
      <c r="H80" s="151"/>
      <c r="I80" s="151"/>
      <c r="J80" s="149"/>
      <c r="K80" s="151"/>
      <c r="L80" s="151"/>
      <c r="M80" s="151"/>
      <c r="N80" s="151"/>
      <c r="O80" s="151"/>
      <c r="P80" s="151"/>
      <c r="Q80" s="152"/>
      <c r="R80" s="151"/>
      <c r="S80" s="151"/>
      <c r="T80" s="153"/>
      <c r="U80" s="151"/>
      <c r="V80" s="154"/>
      <c r="W80" s="151"/>
      <c r="X80" s="149"/>
      <c r="Y80" s="151"/>
      <c r="Z80" s="151"/>
      <c r="AA80" s="151"/>
      <c r="AB80" s="149"/>
      <c r="AC80" s="151"/>
    </row>
    <row r="81" spans="1:29" x14ac:dyDescent="0.15">
      <c r="A81" s="149"/>
      <c r="B81" s="149"/>
      <c r="C81" s="149"/>
      <c r="D81" s="150"/>
      <c r="E81" s="151"/>
      <c r="F81" s="151"/>
      <c r="G81" s="149"/>
      <c r="H81" s="151"/>
      <c r="I81" s="151"/>
      <c r="J81" s="149"/>
      <c r="K81" s="151"/>
      <c r="L81" s="151"/>
      <c r="M81" s="151"/>
      <c r="N81" s="151"/>
      <c r="O81" s="151"/>
      <c r="P81" s="151"/>
      <c r="Q81" s="152"/>
      <c r="R81" s="151"/>
      <c r="S81" s="151"/>
      <c r="T81" s="153"/>
      <c r="U81" s="151"/>
      <c r="V81" s="154"/>
      <c r="W81" s="151"/>
      <c r="X81" s="149"/>
      <c r="Y81" s="151"/>
      <c r="Z81" s="151"/>
      <c r="AA81" s="151"/>
      <c r="AB81" s="149"/>
      <c r="AC81" s="151"/>
    </row>
    <row r="82" spans="1:29" x14ac:dyDescent="0.15">
      <c r="A82" s="149"/>
      <c r="B82" s="149"/>
      <c r="C82" s="149"/>
      <c r="D82" s="150"/>
      <c r="E82" s="151"/>
      <c r="F82" s="151"/>
      <c r="G82" s="149"/>
      <c r="H82" s="151"/>
      <c r="I82" s="151"/>
      <c r="J82" s="149"/>
      <c r="K82" s="151"/>
      <c r="L82" s="151"/>
      <c r="M82" s="151"/>
      <c r="N82" s="151"/>
      <c r="O82" s="151"/>
      <c r="P82" s="151"/>
      <c r="Q82" s="152"/>
      <c r="R82" s="151"/>
      <c r="S82" s="151"/>
      <c r="T82" s="153"/>
      <c r="U82" s="151"/>
      <c r="V82" s="154"/>
      <c r="W82" s="151"/>
      <c r="X82" s="149"/>
      <c r="Y82" s="151"/>
      <c r="Z82" s="151"/>
      <c r="AA82" s="151"/>
      <c r="AB82" s="149"/>
      <c r="AC82" s="151"/>
    </row>
    <row r="83" spans="1:29" x14ac:dyDescent="0.15">
      <c r="A83" s="149"/>
      <c r="B83" s="149"/>
      <c r="C83" s="149"/>
      <c r="D83" s="150"/>
      <c r="E83" s="151"/>
      <c r="F83" s="151"/>
      <c r="G83" s="149"/>
      <c r="H83" s="151"/>
      <c r="I83" s="151"/>
      <c r="J83" s="149"/>
      <c r="K83" s="151"/>
      <c r="L83" s="151"/>
      <c r="M83" s="151"/>
      <c r="N83" s="151"/>
      <c r="O83" s="151"/>
      <c r="P83" s="151"/>
      <c r="Q83" s="152"/>
      <c r="R83" s="151"/>
      <c r="S83" s="151"/>
      <c r="T83" s="153"/>
      <c r="U83" s="151"/>
      <c r="V83" s="154"/>
      <c r="W83" s="151"/>
      <c r="X83" s="149"/>
      <c r="Y83" s="151"/>
      <c r="Z83" s="151"/>
      <c r="AA83" s="151"/>
      <c r="AB83" s="149"/>
      <c r="AC83" s="151"/>
    </row>
    <row r="84" spans="1:29" x14ac:dyDescent="0.15">
      <c r="A84" s="149"/>
      <c r="B84" s="149"/>
      <c r="C84" s="149"/>
      <c r="D84" s="150"/>
      <c r="E84" s="151"/>
      <c r="F84" s="151"/>
      <c r="G84" s="149"/>
      <c r="H84" s="151"/>
      <c r="I84" s="151"/>
      <c r="J84" s="149"/>
      <c r="K84" s="151"/>
      <c r="L84" s="151"/>
      <c r="M84" s="151"/>
      <c r="N84" s="151"/>
      <c r="O84" s="151"/>
      <c r="P84" s="151"/>
      <c r="Q84" s="152"/>
      <c r="R84" s="151"/>
      <c r="S84" s="151"/>
      <c r="T84" s="153"/>
      <c r="U84" s="151"/>
      <c r="V84" s="154"/>
      <c r="W84" s="151"/>
      <c r="X84" s="149"/>
      <c r="Y84" s="151"/>
      <c r="Z84" s="151"/>
      <c r="AA84" s="151"/>
      <c r="AB84" s="149"/>
      <c r="AC84" s="151"/>
    </row>
    <row r="85" spans="1:29" x14ac:dyDescent="0.15">
      <c r="A85" s="149"/>
      <c r="B85" s="149"/>
      <c r="C85" s="149"/>
      <c r="D85" s="150"/>
      <c r="E85" s="151"/>
      <c r="F85" s="151"/>
      <c r="G85" s="149"/>
      <c r="H85" s="151"/>
      <c r="I85" s="151"/>
      <c r="J85" s="149"/>
      <c r="K85" s="151"/>
      <c r="L85" s="151"/>
      <c r="M85" s="151"/>
      <c r="N85" s="151"/>
      <c r="O85" s="151"/>
      <c r="P85" s="151"/>
      <c r="Q85" s="152"/>
      <c r="R85" s="151"/>
      <c r="S85" s="151"/>
      <c r="T85" s="153"/>
      <c r="U85" s="151"/>
      <c r="V85" s="154"/>
      <c r="W85" s="151"/>
      <c r="X85" s="149"/>
      <c r="Y85" s="151"/>
      <c r="Z85" s="151"/>
      <c r="AA85" s="151"/>
      <c r="AB85" s="149"/>
      <c r="AC85" s="151"/>
    </row>
    <row r="86" spans="1:29" x14ac:dyDescent="0.15">
      <c r="A86" s="149"/>
      <c r="B86" s="149"/>
      <c r="C86" s="149"/>
      <c r="D86" s="150"/>
      <c r="E86" s="151"/>
      <c r="F86" s="151"/>
      <c r="G86" s="149"/>
      <c r="H86" s="151"/>
      <c r="I86" s="151"/>
      <c r="J86" s="149"/>
      <c r="K86" s="151"/>
      <c r="L86" s="151"/>
      <c r="M86" s="151"/>
      <c r="N86" s="151"/>
      <c r="O86" s="151"/>
      <c r="P86" s="151"/>
      <c r="Q86" s="152"/>
      <c r="R86" s="151"/>
      <c r="S86" s="151"/>
      <c r="T86" s="153"/>
      <c r="U86" s="151"/>
      <c r="V86" s="154"/>
      <c r="W86" s="151"/>
      <c r="X86" s="149"/>
      <c r="Y86" s="151"/>
      <c r="Z86" s="151"/>
      <c r="AA86" s="151"/>
      <c r="AB86" s="149"/>
      <c r="AC86" s="151"/>
    </row>
    <row r="87" spans="1:29" x14ac:dyDescent="0.15">
      <c r="A87" s="149"/>
      <c r="B87" s="149"/>
      <c r="C87" s="149"/>
      <c r="D87" s="150"/>
      <c r="E87" s="151"/>
      <c r="F87" s="151"/>
      <c r="G87" s="149"/>
      <c r="H87" s="151"/>
      <c r="I87" s="151"/>
      <c r="J87" s="149"/>
      <c r="K87" s="151"/>
      <c r="L87" s="151"/>
      <c r="M87" s="151"/>
      <c r="N87" s="151"/>
      <c r="O87" s="151"/>
      <c r="P87" s="151"/>
      <c r="Q87" s="152"/>
      <c r="R87" s="151"/>
      <c r="S87" s="151"/>
      <c r="T87" s="153"/>
      <c r="U87" s="151"/>
      <c r="V87" s="154"/>
      <c r="W87" s="151"/>
      <c r="X87" s="149"/>
      <c r="Y87" s="151"/>
      <c r="Z87" s="151"/>
      <c r="AA87" s="151"/>
      <c r="AB87" s="149"/>
      <c r="AC87" s="151"/>
    </row>
    <row r="88" spans="1:29" x14ac:dyDescent="0.15">
      <c r="A88" s="149"/>
      <c r="B88" s="149"/>
      <c r="C88" s="149"/>
      <c r="D88" s="150"/>
      <c r="E88" s="151"/>
      <c r="F88" s="151"/>
      <c r="G88" s="149"/>
      <c r="H88" s="151"/>
      <c r="I88" s="151"/>
      <c r="J88" s="149"/>
      <c r="K88" s="151"/>
      <c r="L88" s="151"/>
      <c r="M88" s="151"/>
      <c r="N88" s="151"/>
      <c r="O88" s="151"/>
      <c r="P88" s="151"/>
      <c r="Q88" s="152"/>
      <c r="R88" s="151"/>
      <c r="S88" s="151"/>
      <c r="T88" s="153"/>
      <c r="U88" s="151"/>
      <c r="V88" s="154"/>
      <c r="W88" s="151"/>
      <c r="X88" s="149"/>
      <c r="Y88" s="151"/>
      <c r="Z88" s="151"/>
      <c r="AA88" s="151"/>
      <c r="AB88" s="149"/>
      <c r="AC88" s="151"/>
    </row>
    <row r="89" spans="1:29" x14ac:dyDescent="0.15">
      <c r="A89" s="149"/>
      <c r="B89" s="149"/>
      <c r="C89" s="149"/>
      <c r="D89" s="150"/>
      <c r="E89" s="151"/>
      <c r="F89" s="151"/>
      <c r="G89" s="149"/>
      <c r="H89" s="151"/>
      <c r="I89" s="151"/>
      <c r="J89" s="149"/>
      <c r="K89" s="151"/>
      <c r="L89" s="151"/>
      <c r="M89" s="151"/>
      <c r="N89" s="151"/>
      <c r="O89" s="151"/>
      <c r="P89" s="151"/>
      <c r="Q89" s="152"/>
      <c r="R89" s="151"/>
      <c r="S89" s="151"/>
      <c r="T89" s="153"/>
      <c r="U89" s="151"/>
      <c r="V89" s="154"/>
      <c r="W89" s="151"/>
      <c r="X89" s="149"/>
      <c r="Y89" s="151"/>
      <c r="Z89" s="151"/>
      <c r="AA89" s="151"/>
      <c r="AB89" s="149"/>
      <c r="AC89" s="151"/>
    </row>
    <row r="90" spans="1:29" x14ac:dyDescent="0.15">
      <c r="A90" s="149"/>
      <c r="B90" s="149"/>
      <c r="C90" s="149"/>
      <c r="D90" s="150"/>
      <c r="E90" s="151"/>
      <c r="F90" s="151"/>
      <c r="G90" s="149"/>
      <c r="H90" s="151"/>
      <c r="I90" s="151"/>
      <c r="J90" s="149"/>
      <c r="K90" s="151"/>
      <c r="L90" s="151"/>
      <c r="M90" s="151"/>
      <c r="N90" s="151"/>
      <c r="O90" s="151"/>
      <c r="P90" s="151"/>
      <c r="Q90" s="152"/>
      <c r="R90" s="151"/>
      <c r="S90" s="151"/>
      <c r="T90" s="153"/>
      <c r="U90" s="151"/>
      <c r="V90" s="154"/>
      <c r="W90" s="151"/>
      <c r="X90" s="149"/>
      <c r="Y90" s="151"/>
      <c r="Z90" s="151"/>
      <c r="AA90" s="151"/>
      <c r="AB90" s="149"/>
      <c r="AC90" s="151"/>
    </row>
    <row r="91" spans="1:29" x14ac:dyDescent="0.15">
      <c r="A91" s="149"/>
      <c r="B91" s="149"/>
      <c r="C91" s="149"/>
      <c r="D91" s="150"/>
      <c r="E91" s="151"/>
      <c r="F91" s="151"/>
      <c r="G91" s="149"/>
      <c r="H91" s="151"/>
      <c r="I91" s="151"/>
      <c r="J91" s="149"/>
      <c r="K91" s="151"/>
      <c r="L91" s="151"/>
      <c r="M91" s="151"/>
      <c r="N91" s="151"/>
      <c r="O91" s="151"/>
      <c r="P91" s="151"/>
      <c r="Q91" s="152"/>
      <c r="R91" s="151"/>
      <c r="S91" s="151"/>
      <c r="T91" s="153"/>
      <c r="U91" s="151"/>
      <c r="V91" s="154"/>
      <c r="W91" s="151"/>
      <c r="X91" s="149"/>
      <c r="Y91" s="151"/>
      <c r="Z91" s="151"/>
      <c r="AA91" s="151"/>
      <c r="AB91" s="149"/>
      <c r="AC91" s="151"/>
    </row>
    <row r="92" spans="1:29" x14ac:dyDescent="0.15">
      <c r="A92" s="149"/>
      <c r="B92" s="149"/>
      <c r="C92" s="149"/>
      <c r="D92" s="150"/>
      <c r="E92" s="151"/>
      <c r="F92" s="151"/>
      <c r="G92" s="149"/>
      <c r="H92" s="151"/>
      <c r="I92" s="151"/>
      <c r="J92" s="149"/>
      <c r="K92" s="151"/>
      <c r="L92" s="151"/>
      <c r="M92" s="151"/>
      <c r="N92" s="151"/>
      <c r="O92" s="151"/>
      <c r="P92" s="151"/>
      <c r="Q92" s="152"/>
      <c r="R92" s="151"/>
      <c r="S92" s="151"/>
      <c r="T92" s="153"/>
      <c r="U92" s="151"/>
      <c r="V92" s="154"/>
      <c r="W92" s="151"/>
      <c r="X92" s="149"/>
      <c r="Y92" s="151"/>
      <c r="Z92" s="151"/>
      <c r="AA92" s="151"/>
      <c r="AB92" s="149"/>
      <c r="AC92" s="151"/>
    </row>
    <row r="93" spans="1:29" x14ac:dyDescent="0.15">
      <c r="A93" s="149"/>
      <c r="B93" s="149"/>
      <c r="C93" s="149"/>
      <c r="D93" s="150"/>
      <c r="E93" s="151"/>
      <c r="F93" s="151"/>
      <c r="G93" s="149"/>
      <c r="H93" s="151"/>
      <c r="I93" s="151"/>
      <c r="J93" s="149"/>
      <c r="K93" s="151"/>
      <c r="L93" s="151"/>
      <c r="M93" s="151"/>
      <c r="N93" s="151"/>
      <c r="O93" s="151"/>
      <c r="P93" s="151"/>
      <c r="Q93" s="152"/>
      <c r="R93" s="151"/>
      <c r="S93" s="151"/>
      <c r="T93" s="153"/>
      <c r="U93" s="151"/>
      <c r="V93" s="154"/>
      <c r="W93" s="151"/>
      <c r="X93" s="149"/>
      <c r="Y93" s="151"/>
      <c r="Z93" s="151"/>
      <c r="AA93" s="151"/>
      <c r="AB93" s="149"/>
      <c r="AC93" s="151"/>
    </row>
    <row r="94" spans="1:29" x14ac:dyDescent="0.15">
      <c r="A94" s="149"/>
      <c r="B94" s="149"/>
      <c r="C94" s="149"/>
      <c r="D94" s="150"/>
      <c r="E94" s="151"/>
      <c r="F94" s="151"/>
      <c r="G94" s="149"/>
      <c r="H94" s="151"/>
      <c r="I94" s="151"/>
      <c r="J94" s="149"/>
      <c r="K94" s="151"/>
      <c r="L94" s="151"/>
      <c r="M94" s="151"/>
      <c r="N94" s="151"/>
      <c r="O94" s="151"/>
      <c r="P94" s="151"/>
      <c r="Q94" s="152"/>
      <c r="R94" s="151"/>
      <c r="S94" s="151"/>
      <c r="T94" s="153"/>
      <c r="U94" s="151"/>
      <c r="V94" s="154"/>
      <c r="W94" s="151"/>
      <c r="X94" s="149"/>
      <c r="Y94" s="151"/>
      <c r="Z94" s="151"/>
      <c r="AA94" s="151"/>
      <c r="AB94" s="149"/>
      <c r="AC94" s="151"/>
    </row>
    <row r="95" spans="1:29" x14ac:dyDescent="0.15">
      <c r="D95" s="150"/>
      <c r="E95" s="151"/>
      <c r="F95" s="151"/>
      <c r="K95" s="151"/>
      <c r="AC95" s="151"/>
    </row>
    <row r="96" spans="1:29" x14ac:dyDescent="0.15">
      <c r="A96" s="149"/>
      <c r="B96" s="149"/>
      <c r="C96" s="149"/>
      <c r="D96" s="150"/>
      <c r="E96" s="151"/>
      <c r="F96" s="151"/>
      <c r="G96" s="149"/>
      <c r="H96" s="151"/>
      <c r="I96" s="151"/>
      <c r="J96" s="149"/>
      <c r="K96" s="151"/>
      <c r="L96" s="151"/>
      <c r="M96" s="151"/>
      <c r="N96" s="151"/>
      <c r="O96" s="151"/>
      <c r="P96" s="151"/>
      <c r="Q96" s="152"/>
      <c r="R96" s="151"/>
      <c r="S96" s="151"/>
      <c r="T96" s="153"/>
      <c r="U96" s="151"/>
      <c r="V96" s="154"/>
      <c r="W96" s="151"/>
      <c r="X96" s="149"/>
      <c r="Y96" s="151"/>
      <c r="Z96" s="151"/>
      <c r="AA96" s="151"/>
      <c r="AB96" s="149"/>
      <c r="AC96" s="151"/>
    </row>
    <row r="97" spans="1:29" x14ac:dyDescent="0.15">
      <c r="A97" s="149"/>
      <c r="B97" s="149"/>
      <c r="C97" s="149"/>
      <c r="G97" s="149"/>
      <c r="H97" s="151"/>
      <c r="I97" s="151"/>
      <c r="J97" s="149"/>
      <c r="K97" s="151"/>
      <c r="L97" s="151"/>
      <c r="M97" s="151"/>
      <c r="N97" s="151"/>
      <c r="O97" s="151"/>
      <c r="P97" s="151"/>
      <c r="Q97" s="152"/>
      <c r="R97" s="151"/>
      <c r="S97" s="151"/>
      <c r="T97" s="153"/>
      <c r="U97" s="151"/>
      <c r="V97" s="154"/>
      <c r="W97" s="151"/>
      <c r="X97" s="149"/>
      <c r="Y97" s="151"/>
      <c r="Z97" s="151"/>
      <c r="AA97" s="151"/>
      <c r="AB97" s="149"/>
      <c r="AC97" s="151"/>
    </row>
    <row r="98" spans="1:29" x14ac:dyDescent="0.15">
      <c r="A98" s="149"/>
      <c r="B98" s="149"/>
      <c r="C98" s="149"/>
      <c r="D98" s="150"/>
      <c r="E98" s="151"/>
      <c r="F98" s="151"/>
      <c r="G98" s="149"/>
      <c r="H98" s="151"/>
      <c r="I98" s="151"/>
      <c r="J98" s="149"/>
      <c r="K98" s="151"/>
      <c r="L98" s="151"/>
      <c r="M98" s="151"/>
      <c r="N98" s="151"/>
      <c r="O98" s="151"/>
      <c r="P98" s="151"/>
      <c r="Q98" s="152"/>
      <c r="R98" s="151"/>
      <c r="S98" s="151"/>
      <c r="T98" s="153"/>
      <c r="U98" s="151"/>
      <c r="V98" s="154"/>
      <c r="W98" s="151"/>
      <c r="X98" s="149"/>
      <c r="Y98" s="151"/>
      <c r="Z98" s="151"/>
      <c r="AA98" s="151"/>
      <c r="AB98" s="149"/>
      <c r="AC98" s="151"/>
    </row>
    <row r="99" spans="1:29" x14ac:dyDescent="0.15">
      <c r="A99" s="149"/>
      <c r="B99" s="149"/>
      <c r="C99" s="149"/>
      <c r="D99" s="150"/>
      <c r="E99" s="151"/>
      <c r="F99" s="151"/>
      <c r="G99" s="149"/>
      <c r="H99" s="151"/>
      <c r="I99" s="151"/>
      <c r="J99" s="149"/>
      <c r="K99" s="151"/>
      <c r="L99" s="151"/>
      <c r="M99" s="151"/>
      <c r="N99" s="151"/>
      <c r="O99" s="151"/>
      <c r="P99" s="151"/>
      <c r="Q99" s="152"/>
      <c r="R99" s="151"/>
      <c r="S99" s="151"/>
      <c r="T99" s="153"/>
      <c r="U99" s="151"/>
      <c r="V99" s="154"/>
      <c r="W99" s="151"/>
      <c r="X99" s="149"/>
      <c r="Y99" s="151"/>
      <c r="Z99" s="151"/>
      <c r="AA99" s="151"/>
      <c r="AB99" s="149"/>
      <c r="AC99" s="151"/>
    </row>
    <row r="100" spans="1:29" x14ac:dyDescent="0.15">
      <c r="A100" s="149"/>
      <c r="B100" s="149"/>
      <c r="C100" s="149"/>
      <c r="D100" s="150"/>
      <c r="E100" s="151"/>
      <c r="F100" s="151"/>
      <c r="G100" s="149"/>
      <c r="H100" s="151"/>
      <c r="I100" s="151"/>
      <c r="J100" s="149"/>
      <c r="K100" s="151"/>
      <c r="L100" s="151"/>
      <c r="M100" s="151"/>
      <c r="N100" s="151"/>
      <c r="O100" s="151"/>
      <c r="P100" s="151"/>
      <c r="Q100" s="152"/>
      <c r="R100" s="151"/>
      <c r="S100" s="151"/>
      <c r="T100" s="153"/>
      <c r="U100" s="151"/>
      <c r="V100" s="154"/>
      <c r="W100" s="151"/>
      <c r="X100" s="149"/>
      <c r="Y100" s="151"/>
      <c r="Z100" s="151"/>
      <c r="AA100" s="151"/>
      <c r="AB100" s="149"/>
      <c r="AC100" s="151"/>
    </row>
    <row r="101" spans="1:29" x14ac:dyDescent="0.15">
      <c r="A101" s="149"/>
      <c r="B101" s="149"/>
      <c r="C101" s="149"/>
      <c r="D101" s="150"/>
      <c r="E101" s="151"/>
      <c r="F101" s="151"/>
      <c r="G101" s="149"/>
      <c r="H101" s="151"/>
      <c r="I101" s="151"/>
      <c r="J101" s="149"/>
      <c r="K101" s="151"/>
      <c r="L101" s="151"/>
      <c r="M101" s="151"/>
      <c r="N101" s="151"/>
      <c r="O101" s="151"/>
      <c r="P101" s="151"/>
      <c r="Q101" s="152"/>
      <c r="R101" s="151"/>
      <c r="S101" s="151"/>
      <c r="T101" s="153"/>
      <c r="U101" s="151"/>
      <c r="V101" s="154"/>
      <c r="W101" s="151"/>
      <c r="X101" s="149"/>
      <c r="Y101" s="151"/>
      <c r="Z101" s="151"/>
      <c r="AA101" s="151"/>
      <c r="AB101" s="149"/>
      <c r="AC101" s="151"/>
    </row>
    <row r="102" spans="1:29" x14ac:dyDescent="0.15">
      <c r="A102" s="149"/>
      <c r="B102" s="149"/>
      <c r="C102" s="149"/>
      <c r="D102" s="150"/>
      <c r="E102" s="151"/>
      <c r="F102" s="151"/>
      <c r="G102" s="149"/>
      <c r="H102" s="151"/>
      <c r="I102" s="151"/>
      <c r="J102" s="149"/>
      <c r="K102" s="151"/>
      <c r="L102" s="151"/>
      <c r="M102" s="151"/>
      <c r="N102" s="151"/>
      <c r="O102" s="151"/>
      <c r="P102" s="151"/>
      <c r="Q102" s="152"/>
      <c r="R102" s="151"/>
      <c r="S102" s="151"/>
      <c r="T102" s="153"/>
      <c r="U102" s="151"/>
      <c r="V102" s="154"/>
      <c r="W102" s="151"/>
      <c r="X102" s="149"/>
      <c r="Y102" s="151"/>
      <c r="Z102" s="151"/>
      <c r="AA102" s="151"/>
      <c r="AB102" s="149"/>
      <c r="AC102" s="151"/>
    </row>
    <row r="103" spans="1:29" x14ac:dyDescent="0.15">
      <c r="A103" s="149"/>
      <c r="B103" s="149"/>
      <c r="C103" s="149"/>
      <c r="D103" s="150"/>
      <c r="E103" s="151"/>
      <c r="F103" s="151"/>
      <c r="G103" s="149"/>
      <c r="H103" s="151"/>
      <c r="I103" s="151"/>
      <c r="J103" s="149"/>
      <c r="K103" s="151"/>
      <c r="L103" s="151"/>
      <c r="M103" s="151"/>
      <c r="N103" s="151"/>
      <c r="O103" s="151"/>
      <c r="P103" s="151"/>
      <c r="Q103" s="152"/>
      <c r="R103" s="151"/>
      <c r="S103" s="151"/>
      <c r="T103" s="153"/>
      <c r="U103" s="151"/>
      <c r="V103" s="154"/>
      <c r="W103" s="151"/>
      <c r="X103" s="149"/>
      <c r="Y103" s="151"/>
      <c r="Z103" s="151"/>
      <c r="AA103" s="151"/>
      <c r="AB103" s="149"/>
      <c r="AC103" s="151"/>
    </row>
    <row r="104" spans="1:29" x14ac:dyDescent="0.15">
      <c r="A104" s="149"/>
      <c r="B104" s="149"/>
      <c r="C104" s="149"/>
      <c r="D104" s="150"/>
      <c r="E104" s="151"/>
      <c r="F104" s="151"/>
      <c r="G104" s="149"/>
      <c r="H104" s="151"/>
      <c r="I104" s="151"/>
      <c r="J104" s="149"/>
      <c r="K104" s="151"/>
      <c r="L104" s="151"/>
      <c r="M104" s="151"/>
      <c r="N104" s="151"/>
      <c r="O104" s="151"/>
      <c r="P104" s="151"/>
      <c r="Q104" s="152"/>
      <c r="R104" s="151"/>
      <c r="S104" s="151"/>
      <c r="T104" s="153"/>
      <c r="U104" s="151"/>
      <c r="V104" s="154"/>
      <c r="W104" s="151"/>
      <c r="X104" s="149"/>
      <c r="Y104" s="151"/>
      <c r="Z104" s="151"/>
      <c r="AA104" s="151"/>
      <c r="AB104" s="149"/>
      <c r="AC104" s="151"/>
    </row>
    <row r="105" spans="1:29" x14ac:dyDescent="0.15">
      <c r="A105" s="149"/>
      <c r="B105" s="149"/>
      <c r="C105" s="149"/>
      <c r="D105" s="150"/>
      <c r="E105" s="151"/>
      <c r="F105" s="151"/>
      <c r="G105" s="149"/>
      <c r="H105" s="151"/>
      <c r="I105" s="151"/>
      <c r="J105" s="149"/>
      <c r="K105" s="151"/>
      <c r="L105" s="151"/>
      <c r="M105" s="151"/>
      <c r="N105" s="151"/>
      <c r="O105" s="151"/>
      <c r="P105" s="151"/>
      <c r="Q105" s="152"/>
      <c r="R105" s="151"/>
      <c r="S105" s="151"/>
      <c r="T105" s="153"/>
      <c r="U105" s="151"/>
      <c r="V105" s="154"/>
      <c r="W105" s="151"/>
      <c r="X105" s="149"/>
      <c r="Y105" s="151"/>
      <c r="Z105" s="151"/>
      <c r="AA105" s="151"/>
      <c r="AB105" s="149"/>
      <c r="AC105" s="151"/>
    </row>
    <row r="106" spans="1:29" x14ac:dyDescent="0.15">
      <c r="A106" s="149"/>
      <c r="B106" s="149"/>
      <c r="C106" s="149"/>
      <c r="D106" s="150"/>
      <c r="E106" s="151"/>
      <c r="F106" s="151"/>
      <c r="G106" s="149"/>
      <c r="H106" s="151"/>
      <c r="I106" s="151"/>
      <c r="J106" s="149"/>
      <c r="K106" s="151"/>
      <c r="L106" s="151"/>
      <c r="M106" s="151"/>
      <c r="N106" s="151"/>
      <c r="O106" s="151"/>
      <c r="P106" s="151"/>
      <c r="Q106" s="152"/>
      <c r="R106" s="151"/>
      <c r="S106" s="151"/>
      <c r="T106" s="153"/>
      <c r="U106" s="151"/>
      <c r="V106" s="154"/>
      <c r="W106" s="151"/>
      <c r="X106" s="149"/>
      <c r="Y106" s="151"/>
      <c r="Z106" s="151"/>
      <c r="AA106" s="151"/>
      <c r="AB106" s="149"/>
      <c r="AC106" s="151"/>
    </row>
    <row r="107" spans="1:29" x14ac:dyDescent="0.15">
      <c r="A107" s="149"/>
      <c r="B107" s="149"/>
      <c r="C107" s="149"/>
      <c r="D107" s="150"/>
      <c r="E107" s="151"/>
      <c r="F107" s="151"/>
      <c r="G107" s="149"/>
      <c r="H107" s="151"/>
      <c r="I107" s="151"/>
      <c r="J107" s="149"/>
      <c r="K107" s="151"/>
      <c r="L107" s="151"/>
      <c r="M107" s="151"/>
      <c r="N107" s="151"/>
      <c r="O107" s="151"/>
      <c r="P107" s="151"/>
      <c r="Q107" s="152"/>
      <c r="R107" s="151"/>
      <c r="S107" s="151"/>
      <c r="T107" s="153"/>
      <c r="U107" s="151"/>
      <c r="V107" s="154"/>
      <c r="W107" s="151"/>
      <c r="X107" s="149"/>
      <c r="Y107" s="151"/>
      <c r="Z107" s="151"/>
      <c r="AA107" s="151"/>
      <c r="AB107" s="149"/>
      <c r="AC107" s="151"/>
    </row>
    <row r="108" spans="1:29" x14ac:dyDescent="0.15">
      <c r="A108" s="149"/>
      <c r="B108" s="149"/>
      <c r="C108" s="149"/>
      <c r="D108" s="150"/>
      <c r="E108" s="151"/>
      <c r="F108" s="151"/>
      <c r="G108" s="149"/>
      <c r="H108" s="151"/>
      <c r="I108" s="151"/>
      <c r="J108" s="149"/>
      <c r="K108" s="151"/>
      <c r="L108" s="151"/>
      <c r="M108" s="151"/>
      <c r="N108" s="151"/>
      <c r="O108" s="151"/>
      <c r="P108" s="151"/>
      <c r="Q108" s="152"/>
      <c r="R108" s="151"/>
      <c r="S108" s="151"/>
      <c r="T108" s="153"/>
      <c r="U108" s="151"/>
      <c r="V108" s="154"/>
      <c r="W108" s="151"/>
      <c r="X108" s="149"/>
      <c r="Y108" s="151"/>
      <c r="Z108" s="151"/>
      <c r="AA108" s="151"/>
      <c r="AB108" s="149"/>
      <c r="AC108" s="151"/>
    </row>
    <row r="109" spans="1:29" x14ac:dyDescent="0.15">
      <c r="A109" s="149"/>
      <c r="B109" s="149"/>
      <c r="C109" s="149"/>
      <c r="D109" s="150"/>
      <c r="E109" s="151"/>
      <c r="F109" s="151"/>
      <c r="G109" s="149"/>
      <c r="H109" s="151"/>
      <c r="I109" s="151"/>
      <c r="J109" s="149"/>
      <c r="K109" s="151"/>
      <c r="L109" s="151"/>
      <c r="M109" s="151"/>
      <c r="N109" s="151"/>
      <c r="O109" s="151"/>
      <c r="P109" s="151"/>
      <c r="Q109" s="152"/>
      <c r="R109" s="151"/>
      <c r="S109" s="151"/>
      <c r="T109" s="153"/>
      <c r="U109" s="151"/>
      <c r="V109" s="154"/>
      <c r="W109" s="151"/>
      <c r="X109" s="149"/>
      <c r="Y109" s="151"/>
      <c r="Z109" s="151"/>
      <c r="AA109" s="151"/>
      <c r="AB109" s="149"/>
      <c r="AC109" s="151"/>
    </row>
    <row r="110" spans="1:29" x14ac:dyDescent="0.15">
      <c r="A110" s="149"/>
      <c r="B110" s="149"/>
      <c r="C110" s="149"/>
      <c r="D110" s="150"/>
      <c r="E110" s="151"/>
      <c r="F110" s="151"/>
      <c r="G110" s="149"/>
      <c r="H110" s="151"/>
      <c r="I110" s="151"/>
      <c r="J110" s="149"/>
      <c r="K110" s="151"/>
      <c r="L110" s="151"/>
      <c r="M110" s="151"/>
      <c r="N110" s="151"/>
      <c r="O110" s="151"/>
      <c r="P110" s="151"/>
      <c r="Q110" s="152"/>
      <c r="R110" s="151"/>
      <c r="S110" s="151"/>
      <c r="T110" s="153"/>
      <c r="U110" s="151"/>
      <c r="V110" s="154"/>
      <c r="W110" s="151"/>
      <c r="X110" s="149"/>
      <c r="Y110" s="151"/>
      <c r="Z110" s="151"/>
      <c r="AA110" s="151"/>
      <c r="AB110" s="149"/>
      <c r="AC110" s="151"/>
    </row>
    <row r="111" spans="1:29" x14ac:dyDescent="0.15">
      <c r="A111" s="149"/>
      <c r="B111" s="149"/>
      <c r="C111" s="149"/>
      <c r="D111" s="150"/>
      <c r="E111" s="151"/>
      <c r="F111" s="151"/>
      <c r="G111" s="149"/>
      <c r="H111" s="151"/>
      <c r="I111" s="151"/>
      <c r="J111" s="149"/>
      <c r="K111" s="151"/>
      <c r="L111" s="151"/>
      <c r="M111" s="151"/>
      <c r="N111" s="151"/>
      <c r="O111" s="151"/>
      <c r="P111" s="151"/>
      <c r="Q111" s="152"/>
      <c r="R111" s="151"/>
      <c r="S111" s="151"/>
      <c r="T111" s="153"/>
      <c r="U111" s="151"/>
      <c r="V111" s="154"/>
      <c r="W111" s="151"/>
      <c r="X111" s="149"/>
      <c r="Y111" s="151"/>
      <c r="Z111" s="151"/>
      <c r="AA111" s="151"/>
      <c r="AB111" s="149"/>
      <c r="AC111" s="151"/>
    </row>
    <row r="112" spans="1:29" x14ac:dyDescent="0.15">
      <c r="A112" s="149"/>
      <c r="B112" s="149"/>
      <c r="C112" s="149"/>
      <c r="D112" s="150"/>
      <c r="E112" s="151"/>
      <c r="F112" s="151"/>
      <c r="G112" s="149"/>
      <c r="H112" s="151"/>
      <c r="I112" s="151"/>
      <c r="J112" s="149"/>
      <c r="K112" s="151"/>
      <c r="L112" s="151"/>
      <c r="M112" s="151"/>
      <c r="N112" s="151"/>
      <c r="O112" s="151"/>
      <c r="P112" s="151"/>
      <c r="Q112" s="152"/>
      <c r="R112" s="151"/>
      <c r="S112" s="151"/>
      <c r="T112" s="153"/>
      <c r="U112" s="151"/>
      <c r="V112" s="154"/>
      <c r="W112" s="151"/>
      <c r="X112" s="149"/>
      <c r="Y112" s="151"/>
      <c r="Z112" s="151"/>
      <c r="AA112" s="151"/>
      <c r="AB112" s="149"/>
      <c r="AC112" s="151"/>
    </row>
    <row r="113" spans="1:29" x14ac:dyDescent="0.15">
      <c r="A113" s="151"/>
      <c r="B113" s="151"/>
      <c r="C113" s="151"/>
      <c r="D113" s="150"/>
      <c r="E113" s="151"/>
      <c r="F113" s="151"/>
      <c r="G113" s="151"/>
      <c r="H113" s="151"/>
      <c r="I113" s="151"/>
      <c r="J113" s="151"/>
      <c r="K113" s="151"/>
      <c r="L113" s="151"/>
      <c r="M113" s="151"/>
      <c r="N113" s="151"/>
      <c r="O113" s="151"/>
      <c r="P113" s="151"/>
      <c r="Q113" s="153"/>
      <c r="R113" s="151"/>
      <c r="S113" s="151"/>
      <c r="T113" s="153"/>
      <c r="U113" s="151"/>
      <c r="V113" s="153"/>
      <c r="W113" s="151"/>
      <c r="X113" s="151"/>
      <c r="Y113" s="151"/>
      <c r="Z113" s="151"/>
      <c r="AA113" s="151"/>
      <c r="AB113" s="151"/>
      <c r="AC113" s="151"/>
    </row>
    <row r="114" spans="1:29" x14ac:dyDescent="0.15">
      <c r="A114" s="151"/>
      <c r="B114" s="151"/>
      <c r="C114" s="151"/>
      <c r="D114" s="150"/>
      <c r="E114" s="151"/>
      <c r="F114" s="151"/>
      <c r="G114" s="151"/>
      <c r="H114" s="151"/>
      <c r="I114" s="151"/>
      <c r="J114" s="151"/>
      <c r="K114" s="151"/>
      <c r="L114" s="151"/>
      <c r="M114" s="151"/>
      <c r="N114" s="151"/>
      <c r="O114" s="151"/>
      <c r="P114" s="151"/>
      <c r="Q114" s="153"/>
      <c r="R114" s="151"/>
      <c r="S114" s="151"/>
      <c r="T114" s="153"/>
      <c r="U114" s="151"/>
      <c r="V114" s="153"/>
      <c r="W114" s="151"/>
      <c r="X114" s="151"/>
      <c r="Y114" s="151"/>
      <c r="Z114" s="151"/>
      <c r="AA114" s="151"/>
      <c r="AB114" s="151"/>
      <c r="AC114" s="151"/>
    </row>
    <row r="115" spans="1:29" x14ac:dyDescent="0.15">
      <c r="D115" s="151"/>
      <c r="E115" s="151"/>
      <c r="F115" s="151"/>
      <c r="K115" s="151"/>
    </row>
    <row r="116" spans="1:29" x14ac:dyDescent="0.15">
      <c r="D116" s="151"/>
      <c r="E116" s="151"/>
      <c r="F116" s="151"/>
      <c r="K116" s="151"/>
    </row>
    <row r="117" spans="1:29" x14ac:dyDescent="0.15">
      <c r="K117" s="151"/>
    </row>
    <row r="118" spans="1:29" x14ac:dyDescent="0.15">
      <c r="K118" s="151"/>
    </row>
    <row r="119" spans="1:29" x14ac:dyDescent="0.15">
      <c r="K119" s="151"/>
    </row>
    <row r="120" spans="1:29" x14ac:dyDescent="0.15">
      <c r="K120" s="151"/>
    </row>
  </sheetData>
  <autoFilter ref="A1:BA1" xr:uid="{00000000-0009-0000-0000-000004000000}"/>
  <phoneticPr fontId="3"/>
  <dataValidations count="21">
    <dataValidation type="list" allowBlank="1" showInputMessage="1" showErrorMessage="1" sqref="K2:K120" xr:uid="{D8B02F3C-71C7-474F-9E9C-8180384A756F}">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AAFEB84D-BFAB-4503-878A-FE2DB681D502}">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3EE1617E-77CB-485E-A29A-FD0FA052549C}">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A6C07EA6-6B59-4017-B3BC-E19E5577D162}">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6:F981905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80:F916369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4:F850833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8:F785297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2:F719761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6:F654225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600:F588689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4:F523153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8:F457617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2:F392081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6:F326545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20:F261009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4:F195473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8:F129937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2:F64401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5F01962D-CC7C-4ECD-B69B-A8A9872EA85D}">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6:E981905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80:E916369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4:E850833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8:E785297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2:E719761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6:E654225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600:E588689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4:E523153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8:E457617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2:E392081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6:E326545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20:E261009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4:E195473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8:E129937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2:E64401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837F9DBC-163E-4FF4-BEB3-17D9EF8F5945}">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xr:uid="{73365E51-784D-481A-8819-ECC529AE6C7A}">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xr:uid="{FE5D92BF-0BC2-4F66-BCBD-2D6C0B9D381B}"/>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98347153-4B5A-4EA1-9326-79FCD5B07B8B}">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xr:uid="{EA7DC967-89C2-4ECB-B2D9-85522D0E1101}">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A03B7766-C8CD-4E16-9297-B308FF1202B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C554898E-E715-4601-BA2D-D6A2BA4C8FBC}">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7CD0C3A3-03A7-4130-AFED-56851F2C2A32}">
      <formula1>$AV$2:$AV$22</formula1>
    </dataValidation>
    <dataValidation type="list" allowBlank="1" showInputMessage="1" showErrorMessage="1" sqref="K121:K500" xr:uid="{D679D5CB-CA9E-4A7B-B4C3-F7F13B4FA878}">
      <formula1>$AR$2:$AR$25</formula1>
    </dataValidation>
    <dataValidation type="list" allowBlank="1" showInputMessage="1" showErrorMessage="1" sqref="J96:J500 J2:J94" xr:uid="{537749E2-B021-4436-A826-A779AFB12913}">
      <formula1>$AP$2:$AP$27</formula1>
    </dataValidation>
    <dataValidation type="list" allowBlank="1" showInputMessage="1" showErrorMessage="1" sqref="F98:F502 F2:F96" xr:uid="{39C5768B-8150-4E32-A96C-86AE5ABA3EED}">
      <formula1>$AH$2:$AH$10</formula1>
    </dataValidation>
    <dataValidation type="list" allowBlank="1" showInputMessage="1" showErrorMessage="1" sqref="E98:E502 E2:E96" xr:uid="{4ADA3DB7-35BD-4C09-AFBA-5619A5249368}">
      <formula1>$AG$2:$AG$11</formula1>
    </dataValidation>
    <dataValidation type="list" allowBlank="1" showInputMessage="1" showErrorMessage="1" sqref="A96:A500 A2:A94" xr:uid="{CE2574AB-8A5E-489F-A0F1-6660EDF3B7F2}">
      <formula1>$AE$2:$AE$19</formula1>
    </dataValidation>
    <dataValidation type="list" allowBlank="1" showInputMessage="1" showErrorMessage="1" sqref="H96:H500 H2:H94" xr:uid="{9419909F-06C7-4EA9-ABCF-B46ACE37B99A}">
      <formula1>$AL$2:$AL$8</formula1>
    </dataValidation>
    <dataValidation type="list" allowBlank="1" showInputMessage="1" showErrorMessage="1" sqref="Y96:AA500 Y2:AA94" xr:uid="{194A471F-E80D-44B2-850B-506694AA82CA}">
      <formula1>$AV$2:$AV$21</formula1>
    </dataValidation>
    <dataValidation type="decimal" allowBlank="1" showInputMessage="1" showErrorMessage="1" error="硬度を正しく入力して下さい。" sqref="O96:P500 O28:P28 P15 O44 O50:P94 P13 O18:P19 O23:P25 P35:P37 P44:P46" xr:uid="{9ABCDD44-232A-49ED-8FE3-6DE7163D8C6E}">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1C1D-93B9-4739-92A9-9A6020EA69BB}">
  <dimension ref="A1:BA152"/>
  <sheetViews>
    <sheetView zoomScale="70" zoomScaleNormal="70" workbookViewId="0">
      <selection activeCell="AG38" sqref="AG38"/>
    </sheetView>
  </sheetViews>
  <sheetFormatPr defaultColWidth="8.85546875" defaultRowHeight="13.5" x14ac:dyDescent="0.15"/>
  <cols>
    <col min="1" max="3" width="8.85546875" style="53"/>
    <col min="4" max="4" width="13.42578125" style="53" bestFit="1" customWidth="1"/>
    <col min="5" max="5" width="9.5703125" style="53" bestFit="1" customWidth="1"/>
    <col min="6" max="16" width="8.85546875" style="53"/>
    <col min="17" max="17" width="8.85546875" style="16"/>
    <col min="18" max="19" width="8.85546875" style="53"/>
    <col min="20" max="20" width="8.85546875" style="16"/>
    <col min="21" max="21" width="8.85546875" style="53"/>
    <col min="22" max="22" width="8.85546875" style="16"/>
    <col min="23" max="32" width="8.85546875" style="53"/>
    <col min="33" max="33" width="19.5703125" style="53" bestFit="1" customWidth="1"/>
    <col min="34" max="259" width="8.85546875" style="53"/>
    <col min="260" max="260" width="10.42578125" style="53" bestFit="1" customWidth="1"/>
    <col min="261" max="261" width="9.5703125" style="53" bestFit="1" customWidth="1"/>
    <col min="262" max="515" width="8.85546875" style="53"/>
    <col min="516" max="516" width="10.42578125" style="53" bestFit="1" customWidth="1"/>
    <col min="517" max="517" width="9.5703125" style="53" bestFit="1" customWidth="1"/>
    <col min="518" max="771" width="8.85546875" style="53"/>
    <col min="772" max="772" width="10.42578125" style="53" bestFit="1" customWidth="1"/>
    <col min="773" max="773" width="9.5703125" style="53" bestFit="1" customWidth="1"/>
    <col min="774" max="1027" width="8.85546875" style="53"/>
    <col min="1028" max="1028" width="10.42578125" style="53" bestFit="1" customWidth="1"/>
    <col min="1029" max="1029" width="9.5703125" style="53" bestFit="1" customWidth="1"/>
    <col min="1030" max="1283" width="8.85546875" style="53"/>
    <col min="1284" max="1284" width="10.42578125" style="53" bestFit="1" customWidth="1"/>
    <col min="1285" max="1285" width="9.5703125" style="53" bestFit="1" customWidth="1"/>
    <col min="1286" max="1539" width="8.85546875" style="53"/>
    <col min="1540" max="1540" width="10.42578125" style="53" bestFit="1" customWidth="1"/>
    <col min="1541" max="1541" width="9.5703125" style="53" bestFit="1" customWidth="1"/>
    <col min="1542" max="1795" width="8.85546875" style="53"/>
    <col min="1796" max="1796" width="10.42578125" style="53" bestFit="1" customWidth="1"/>
    <col min="1797" max="1797" width="9.5703125" style="53" bestFit="1" customWidth="1"/>
    <col min="1798" max="2051" width="8.85546875" style="53"/>
    <col min="2052" max="2052" width="10.42578125" style="53" bestFit="1" customWidth="1"/>
    <col min="2053" max="2053" width="9.5703125" style="53" bestFit="1" customWidth="1"/>
    <col min="2054" max="2307" width="8.85546875" style="53"/>
    <col min="2308" max="2308" width="10.42578125" style="53" bestFit="1" customWidth="1"/>
    <col min="2309" max="2309" width="9.5703125" style="53" bestFit="1" customWidth="1"/>
    <col min="2310" max="2563" width="8.85546875" style="53"/>
    <col min="2564" max="2564" width="10.42578125" style="53" bestFit="1" customWidth="1"/>
    <col min="2565" max="2565" width="9.5703125" style="53" bestFit="1" customWidth="1"/>
    <col min="2566" max="2819" width="8.85546875" style="53"/>
    <col min="2820" max="2820" width="10.42578125" style="53" bestFit="1" customWidth="1"/>
    <col min="2821" max="2821" width="9.5703125" style="53" bestFit="1" customWidth="1"/>
    <col min="2822" max="3075" width="8.85546875" style="53"/>
    <col min="3076" max="3076" width="10.42578125" style="53" bestFit="1" customWidth="1"/>
    <col min="3077" max="3077" width="9.5703125" style="53" bestFit="1" customWidth="1"/>
    <col min="3078" max="3331" width="8.85546875" style="53"/>
    <col min="3332" max="3332" width="10.42578125" style="53" bestFit="1" customWidth="1"/>
    <col min="3333" max="3333" width="9.5703125" style="53" bestFit="1" customWidth="1"/>
    <col min="3334" max="3587" width="8.85546875" style="53"/>
    <col min="3588" max="3588" width="10.42578125" style="53" bestFit="1" customWidth="1"/>
    <col min="3589" max="3589" width="9.5703125" style="53" bestFit="1" customWidth="1"/>
    <col min="3590" max="3843" width="8.85546875" style="53"/>
    <col min="3844" max="3844" width="10.42578125" style="53" bestFit="1" customWidth="1"/>
    <col min="3845" max="3845" width="9.5703125" style="53" bestFit="1" customWidth="1"/>
    <col min="3846" max="4099" width="8.85546875" style="53"/>
    <col min="4100" max="4100" width="10.42578125" style="53" bestFit="1" customWidth="1"/>
    <col min="4101" max="4101" width="9.5703125" style="53" bestFit="1" customWidth="1"/>
    <col min="4102" max="4355" width="8.85546875" style="53"/>
    <col min="4356" max="4356" width="10.42578125" style="53" bestFit="1" customWidth="1"/>
    <col min="4357" max="4357" width="9.5703125" style="53" bestFit="1" customWidth="1"/>
    <col min="4358" max="4611" width="8.85546875" style="53"/>
    <col min="4612" max="4612" width="10.42578125" style="53" bestFit="1" customWidth="1"/>
    <col min="4613" max="4613" width="9.5703125" style="53" bestFit="1" customWidth="1"/>
    <col min="4614" max="4867" width="8.85546875" style="53"/>
    <col min="4868" max="4868" width="10.42578125" style="53" bestFit="1" customWidth="1"/>
    <col min="4869" max="4869" width="9.5703125" style="53" bestFit="1" customWidth="1"/>
    <col min="4870" max="5123" width="8.85546875" style="53"/>
    <col min="5124" max="5124" width="10.42578125" style="53" bestFit="1" customWidth="1"/>
    <col min="5125" max="5125" width="9.5703125" style="53" bestFit="1" customWidth="1"/>
    <col min="5126" max="5379" width="8.85546875" style="53"/>
    <col min="5380" max="5380" width="10.42578125" style="53" bestFit="1" customWidth="1"/>
    <col min="5381" max="5381" width="9.5703125" style="53" bestFit="1" customWidth="1"/>
    <col min="5382" max="5635" width="8.85546875" style="53"/>
    <col min="5636" max="5636" width="10.42578125" style="53" bestFit="1" customWidth="1"/>
    <col min="5637" max="5637" width="9.5703125" style="53" bestFit="1" customWidth="1"/>
    <col min="5638" max="5891" width="8.85546875" style="53"/>
    <col min="5892" max="5892" width="10.42578125" style="53" bestFit="1" customWidth="1"/>
    <col min="5893" max="5893" width="9.5703125" style="53" bestFit="1" customWidth="1"/>
    <col min="5894" max="6147" width="8.85546875" style="53"/>
    <col min="6148" max="6148" width="10.42578125" style="53" bestFit="1" customWidth="1"/>
    <col min="6149" max="6149" width="9.5703125" style="53" bestFit="1" customWidth="1"/>
    <col min="6150" max="6403" width="8.85546875" style="53"/>
    <col min="6404" max="6404" width="10.42578125" style="53" bestFit="1" customWidth="1"/>
    <col min="6405" max="6405" width="9.5703125" style="53" bestFit="1" customWidth="1"/>
    <col min="6406" max="6659" width="8.85546875" style="53"/>
    <col min="6660" max="6660" width="10.42578125" style="53" bestFit="1" customWidth="1"/>
    <col min="6661" max="6661" width="9.5703125" style="53" bestFit="1" customWidth="1"/>
    <col min="6662" max="6915" width="8.85546875" style="53"/>
    <col min="6916" max="6916" width="10.42578125" style="53" bestFit="1" customWidth="1"/>
    <col min="6917" max="6917" width="9.5703125" style="53" bestFit="1" customWidth="1"/>
    <col min="6918" max="7171" width="8.85546875" style="53"/>
    <col min="7172" max="7172" width="10.42578125" style="53" bestFit="1" customWidth="1"/>
    <col min="7173" max="7173" width="9.5703125" style="53" bestFit="1" customWidth="1"/>
    <col min="7174" max="7427" width="8.85546875" style="53"/>
    <col min="7428" max="7428" width="10.42578125" style="53" bestFit="1" customWidth="1"/>
    <col min="7429" max="7429" width="9.5703125" style="53" bestFit="1" customWidth="1"/>
    <col min="7430" max="7683" width="8.85546875" style="53"/>
    <col min="7684" max="7684" width="10.42578125" style="53" bestFit="1" customWidth="1"/>
    <col min="7685" max="7685" width="9.5703125" style="53" bestFit="1" customWidth="1"/>
    <col min="7686" max="7939" width="8.85546875" style="53"/>
    <col min="7940" max="7940" width="10.42578125" style="53" bestFit="1" customWidth="1"/>
    <col min="7941" max="7941" width="9.5703125" style="53" bestFit="1" customWidth="1"/>
    <col min="7942" max="8195" width="8.85546875" style="53"/>
    <col min="8196" max="8196" width="10.42578125" style="53" bestFit="1" customWidth="1"/>
    <col min="8197" max="8197" width="9.5703125" style="53" bestFit="1" customWidth="1"/>
    <col min="8198" max="8451" width="8.85546875" style="53"/>
    <col min="8452" max="8452" width="10.42578125" style="53" bestFit="1" customWidth="1"/>
    <col min="8453" max="8453" width="9.5703125" style="53" bestFit="1" customWidth="1"/>
    <col min="8454" max="8707" width="8.85546875" style="53"/>
    <col min="8708" max="8708" width="10.42578125" style="53" bestFit="1" customWidth="1"/>
    <col min="8709" max="8709" width="9.5703125" style="53" bestFit="1" customWidth="1"/>
    <col min="8710" max="8963" width="8.85546875" style="53"/>
    <col min="8964" max="8964" width="10.42578125" style="53" bestFit="1" customWidth="1"/>
    <col min="8965" max="8965" width="9.5703125" style="53" bestFit="1" customWidth="1"/>
    <col min="8966" max="9219" width="8.85546875" style="53"/>
    <col min="9220" max="9220" width="10.42578125" style="53" bestFit="1" customWidth="1"/>
    <col min="9221" max="9221" width="9.5703125" style="53" bestFit="1" customWidth="1"/>
    <col min="9222" max="9475" width="8.85546875" style="53"/>
    <col min="9476" max="9476" width="10.42578125" style="53" bestFit="1" customWidth="1"/>
    <col min="9477" max="9477" width="9.5703125" style="53" bestFit="1" customWidth="1"/>
    <col min="9478" max="9731" width="8.85546875" style="53"/>
    <col min="9732" max="9732" width="10.42578125" style="53" bestFit="1" customWidth="1"/>
    <col min="9733" max="9733" width="9.5703125" style="53" bestFit="1" customWidth="1"/>
    <col min="9734" max="9987" width="8.85546875" style="53"/>
    <col min="9988" max="9988" width="10.42578125" style="53" bestFit="1" customWidth="1"/>
    <col min="9989" max="9989" width="9.5703125" style="53" bestFit="1" customWidth="1"/>
    <col min="9990" max="10243" width="8.85546875" style="53"/>
    <col min="10244" max="10244" width="10.42578125" style="53" bestFit="1" customWidth="1"/>
    <col min="10245" max="10245" width="9.5703125" style="53" bestFit="1" customWidth="1"/>
    <col min="10246" max="10499" width="8.85546875" style="53"/>
    <col min="10500" max="10500" width="10.42578125" style="53" bestFit="1" customWidth="1"/>
    <col min="10501" max="10501" width="9.5703125" style="53" bestFit="1" customWidth="1"/>
    <col min="10502" max="10755" width="8.85546875" style="53"/>
    <col min="10756" max="10756" width="10.42578125" style="53" bestFit="1" customWidth="1"/>
    <col min="10757" max="10757" width="9.5703125" style="53" bestFit="1" customWidth="1"/>
    <col min="10758" max="11011" width="8.85546875" style="53"/>
    <col min="11012" max="11012" width="10.42578125" style="53" bestFit="1" customWidth="1"/>
    <col min="11013" max="11013" width="9.5703125" style="53" bestFit="1" customWidth="1"/>
    <col min="11014" max="11267" width="8.85546875" style="53"/>
    <col min="11268" max="11268" width="10.42578125" style="53" bestFit="1" customWidth="1"/>
    <col min="11269" max="11269" width="9.5703125" style="53" bestFit="1" customWidth="1"/>
    <col min="11270" max="11523" width="8.85546875" style="53"/>
    <col min="11524" max="11524" width="10.42578125" style="53" bestFit="1" customWidth="1"/>
    <col min="11525" max="11525" width="9.5703125" style="53" bestFit="1" customWidth="1"/>
    <col min="11526" max="11779" width="8.85546875" style="53"/>
    <col min="11780" max="11780" width="10.42578125" style="53" bestFit="1" customWidth="1"/>
    <col min="11781" max="11781" width="9.5703125" style="53" bestFit="1" customWidth="1"/>
    <col min="11782" max="12035" width="8.85546875" style="53"/>
    <col min="12036" max="12036" width="10.42578125" style="53" bestFit="1" customWidth="1"/>
    <col min="12037" max="12037" width="9.5703125" style="53" bestFit="1" customWidth="1"/>
    <col min="12038" max="12291" width="8.85546875" style="53"/>
    <col min="12292" max="12292" width="10.42578125" style="53" bestFit="1" customWidth="1"/>
    <col min="12293" max="12293" width="9.5703125" style="53" bestFit="1" customWidth="1"/>
    <col min="12294" max="12547" width="8.85546875" style="53"/>
    <col min="12548" max="12548" width="10.42578125" style="53" bestFit="1" customWidth="1"/>
    <col min="12549" max="12549" width="9.5703125" style="53" bestFit="1" customWidth="1"/>
    <col min="12550" max="12803" width="8.85546875" style="53"/>
    <col min="12804" max="12804" width="10.42578125" style="53" bestFit="1" customWidth="1"/>
    <col min="12805" max="12805" width="9.5703125" style="53" bestFit="1" customWidth="1"/>
    <col min="12806" max="13059" width="8.85546875" style="53"/>
    <col min="13060" max="13060" width="10.42578125" style="53" bestFit="1" customWidth="1"/>
    <col min="13061" max="13061" width="9.5703125" style="53" bestFit="1" customWidth="1"/>
    <col min="13062" max="13315" width="8.85546875" style="53"/>
    <col min="13316" max="13316" width="10.42578125" style="53" bestFit="1" customWidth="1"/>
    <col min="13317" max="13317" width="9.5703125" style="53" bestFit="1" customWidth="1"/>
    <col min="13318" max="13571" width="8.85546875" style="53"/>
    <col min="13572" max="13572" width="10.42578125" style="53" bestFit="1" customWidth="1"/>
    <col min="13573" max="13573" width="9.5703125" style="53" bestFit="1" customWidth="1"/>
    <col min="13574" max="13827" width="8.85546875" style="53"/>
    <col min="13828" max="13828" width="10.42578125" style="53" bestFit="1" customWidth="1"/>
    <col min="13829" max="13829" width="9.5703125" style="53" bestFit="1" customWidth="1"/>
    <col min="13830" max="14083" width="8.85546875" style="53"/>
    <col min="14084" max="14084" width="10.42578125" style="53" bestFit="1" customWidth="1"/>
    <col min="14085" max="14085" width="9.5703125" style="53" bestFit="1" customWidth="1"/>
    <col min="14086" max="14339" width="8.85546875" style="53"/>
    <col min="14340" max="14340" width="10.42578125" style="53" bestFit="1" customWidth="1"/>
    <col min="14341" max="14341" width="9.5703125" style="53" bestFit="1" customWidth="1"/>
    <col min="14342" max="14595" width="8.85546875" style="53"/>
    <col min="14596" max="14596" width="10.42578125" style="53" bestFit="1" customWidth="1"/>
    <col min="14597" max="14597" width="9.5703125" style="53" bestFit="1" customWidth="1"/>
    <col min="14598" max="14851" width="8.85546875" style="53"/>
    <col min="14852" max="14852" width="10.42578125" style="53" bestFit="1" customWidth="1"/>
    <col min="14853" max="14853" width="9.5703125" style="53" bestFit="1" customWidth="1"/>
    <col min="14854" max="15107" width="8.85546875" style="53"/>
    <col min="15108" max="15108" width="10.42578125" style="53" bestFit="1" customWidth="1"/>
    <col min="15109" max="15109" width="9.5703125" style="53" bestFit="1" customWidth="1"/>
    <col min="15110" max="15363" width="8.85546875" style="53"/>
    <col min="15364" max="15364" width="10.42578125" style="53" bestFit="1" customWidth="1"/>
    <col min="15365" max="15365" width="9.5703125" style="53" bestFit="1" customWidth="1"/>
    <col min="15366" max="15619" width="8.85546875" style="53"/>
    <col min="15620" max="15620" width="10.42578125" style="53" bestFit="1" customWidth="1"/>
    <col min="15621" max="15621" width="9.5703125" style="53" bestFit="1" customWidth="1"/>
    <col min="15622" max="15875" width="8.85546875" style="53"/>
    <col min="15876" max="15876" width="10.42578125" style="53" bestFit="1" customWidth="1"/>
    <col min="15877" max="15877" width="9.5703125" style="53" bestFit="1" customWidth="1"/>
    <col min="15878" max="16131" width="8.85546875" style="53"/>
    <col min="16132" max="16132" width="10.42578125" style="53" bestFit="1" customWidth="1"/>
    <col min="16133" max="16133" width="9.5703125" style="53" bestFit="1" customWidth="1"/>
    <col min="16134" max="16384" width="8.85546875" style="53"/>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312</v>
      </c>
      <c r="O1" s="2" t="s">
        <v>14</v>
      </c>
      <c r="P1" s="2" t="s">
        <v>15</v>
      </c>
      <c r="Q1" s="3" t="s">
        <v>16</v>
      </c>
      <c r="R1" s="2" t="s">
        <v>17</v>
      </c>
      <c r="S1" s="2" t="s">
        <v>18</v>
      </c>
      <c r="T1" s="3" t="s">
        <v>19</v>
      </c>
      <c r="U1" s="4" t="s">
        <v>313</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x14ac:dyDescent="0.15">
      <c r="A2" s="53" t="s">
        <v>59</v>
      </c>
      <c r="B2" s="36" t="s">
        <v>232</v>
      </c>
      <c r="C2" s="165">
        <v>2019</v>
      </c>
      <c r="D2" s="166" t="s">
        <v>314</v>
      </c>
      <c r="E2" s="53" t="s">
        <v>315</v>
      </c>
      <c r="F2" s="53" t="s">
        <v>316</v>
      </c>
      <c r="G2" s="53" t="s">
        <v>36</v>
      </c>
      <c r="H2" s="53" t="s">
        <v>160</v>
      </c>
      <c r="I2" s="53" t="s">
        <v>159</v>
      </c>
      <c r="J2" s="53" t="s">
        <v>38</v>
      </c>
      <c r="K2" s="53" t="s">
        <v>161</v>
      </c>
      <c r="L2" s="53">
        <v>1</v>
      </c>
      <c r="N2" s="53">
        <v>4</v>
      </c>
      <c r="O2" s="53">
        <v>0.3</v>
      </c>
      <c r="P2" s="53">
        <v>0.26</v>
      </c>
      <c r="Q2" s="97">
        <f>IF(OR(O2="",P2=""),"",AVERAGE(O2,P2))</f>
        <v>0.28000000000000003</v>
      </c>
      <c r="R2" s="53">
        <v>16.399999999999999</v>
      </c>
      <c r="S2" s="53">
        <v>102</v>
      </c>
      <c r="T2" s="16">
        <f t="shared" ref="T2:T49" si="0">IF(H2="","",IF(OR(H2="GREEN",H2="GK"),IF(S2&gt;=$AX$2,VLOOKUP(S2,$AX$2:$AY$12,2,1),""),IF(S2&gt;=$AZ$2,VLOOKUP(S2,$AZ$2:$BA$12,2,1),"")))</f>
        <v>33</v>
      </c>
      <c r="U2" s="53">
        <v>480</v>
      </c>
      <c r="V2" s="16">
        <f t="shared" ref="V2:V49" si="1">IF(J2="","",IF(OR(J2="GREEN",J2="GK"),IF(U2&gt;=$AX$2,VLOOKUP(U2,$AX$2:$AY$12,2,1),""),IF(U2&gt;=$AZ$2,VLOOKUP(U2,$AZ$2:$BA$12,2,1),"")))</f>
        <v>16</v>
      </c>
      <c r="W2" s="53">
        <v>2</v>
      </c>
      <c r="X2" s="53" t="s">
        <v>317</v>
      </c>
      <c r="Y2" s="53" t="s">
        <v>318</v>
      </c>
      <c r="Z2" s="53" t="s">
        <v>47</v>
      </c>
      <c r="AA2" s="53" t="s">
        <v>296</v>
      </c>
      <c r="AB2" s="36" t="s">
        <v>319</v>
      </c>
      <c r="AE2" s="17" t="s">
        <v>35</v>
      </c>
      <c r="AG2" s="167" t="s">
        <v>320</v>
      </c>
      <c r="AH2" s="168" t="s">
        <v>321</v>
      </c>
      <c r="AJ2" s="169" t="s">
        <v>36</v>
      </c>
      <c r="AL2" s="18" t="s">
        <v>127</v>
      </c>
      <c r="AN2" s="170" t="s">
        <v>322</v>
      </c>
      <c r="AP2" s="18" t="s">
        <v>38</v>
      </c>
      <c r="AR2" s="18" t="s">
        <v>120</v>
      </c>
      <c r="AT2" s="169" t="s">
        <v>39</v>
      </c>
      <c r="AV2" s="23" t="s">
        <v>55</v>
      </c>
      <c r="AX2" s="171">
        <v>1</v>
      </c>
      <c r="AY2" s="172">
        <v>50</v>
      </c>
      <c r="AZ2" s="172">
        <v>1</v>
      </c>
      <c r="BA2" s="173">
        <v>50</v>
      </c>
    </row>
    <row r="3" spans="1:53" x14ac:dyDescent="0.15">
      <c r="A3" s="53" t="s">
        <v>59</v>
      </c>
      <c r="B3" s="36" t="s">
        <v>232</v>
      </c>
      <c r="C3" s="165">
        <v>2019</v>
      </c>
      <c r="D3" s="166" t="s">
        <v>314</v>
      </c>
      <c r="E3" s="53" t="s">
        <v>315</v>
      </c>
      <c r="F3" s="53" t="s">
        <v>316</v>
      </c>
      <c r="G3" s="53" t="s">
        <v>36</v>
      </c>
      <c r="H3" s="53" t="s">
        <v>160</v>
      </c>
      <c r="I3" s="53" t="s">
        <v>159</v>
      </c>
      <c r="J3" s="53" t="s">
        <v>38</v>
      </c>
      <c r="K3" s="53" t="s">
        <v>161</v>
      </c>
      <c r="L3" s="53">
        <v>2</v>
      </c>
      <c r="N3" s="53">
        <v>4</v>
      </c>
      <c r="O3" s="53">
        <v>0.4</v>
      </c>
      <c r="P3" s="53">
        <v>0.37</v>
      </c>
      <c r="Q3" s="97">
        <f t="shared" ref="Q3:Q49" si="2">IF(OR(O3="",P3=""),"",AVERAGE(O3,P3))</f>
        <v>0.38500000000000001</v>
      </c>
      <c r="R3" s="53">
        <v>17.3</v>
      </c>
      <c r="S3" s="53">
        <v>100</v>
      </c>
      <c r="T3" s="16">
        <f t="shared" si="0"/>
        <v>33</v>
      </c>
      <c r="U3" s="53">
        <v>480</v>
      </c>
      <c r="V3" s="16">
        <f t="shared" si="1"/>
        <v>16</v>
      </c>
      <c r="W3" s="53">
        <v>2</v>
      </c>
      <c r="X3" s="53" t="s">
        <v>317</v>
      </c>
      <c r="Y3" s="53" t="s">
        <v>318</v>
      </c>
      <c r="Z3" s="53" t="s">
        <v>47</v>
      </c>
      <c r="AA3" s="53" t="s">
        <v>296</v>
      </c>
      <c r="AB3" s="36" t="s">
        <v>319</v>
      </c>
      <c r="AE3" s="22" t="s">
        <v>41</v>
      </c>
      <c r="AG3" s="167" t="s">
        <v>323</v>
      </c>
      <c r="AH3" s="168" t="s">
        <v>316</v>
      </c>
      <c r="AJ3" s="23" t="s">
        <v>42</v>
      </c>
      <c r="AL3" s="23" t="s">
        <v>128</v>
      </c>
      <c r="AN3" s="23" t="s">
        <v>43</v>
      </c>
      <c r="AP3" s="23" t="s">
        <v>44</v>
      </c>
      <c r="AR3" s="41" t="s">
        <v>45</v>
      </c>
      <c r="AT3" s="23" t="s">
        <v>46</v>
      </c>
      <c r="AV3" s="23" t="s">
        <v>296</v>
      </c>
      <c r="AX3" s="24">
        <v>72</v>
      </c>
      <c r="AY3" s="25">
        <v>46</v>
      </c>
      <c r="AZ3" s="25">
        <v>71</v>
      </c>
      <c r="BA3" s="26">
        <v>42</v>
      </c>
    </row>
    <row r="4" spans="1:53" x14ac:dyDescent="0.15">
      <c r="A4" s="53" t="s">
        <v>59</v>
      </c>
      <c r="B4" s="36" t="s">
        <v>232</v>
      </c>
      <c r="C4" s="165">
        <v>2019</v>
      </c>
      <c r="D4" s="166" t="s">
        <v>314</v>
      </c>
      <c r="E4" s="53" t="s">
        <v>315</v>
      </c>
      <c r="F4" s="53" t="s">
        <v>316</v>
      </c>
      <c r="G4" s="53" t="s">
        <v>36</v>
      </c>
      <c r="H4" s="53" t="s">
        <v>160</v>
      </c>
      <c r="I4" s="53" t="s">
        <v>324</v>
      </c>
      <c r="J4" s="53" t="s">
        <v>38</v>
      </c>
      <c r="K4" s="53" t="s">
        <v>161</v>
      </c>
      <c r="L4" s="53">
        <v>3</v>
      </c>
      <c r="N4" s="53">
        <v>4</v>
      </c>
      <c r="O4" s="53">
        <v>0.32</v>
      </c>
      <c r="P4" s="53">
        <v>0.39</v>
      </c>
      <c r="Q4" s="97">
        <f t="shared" si="2"/>
        <v>0.35499999999999998</v>
      </c>
      <c r="R4" s="53">
        <v>16.600000000000001</v>
      </c>
      <c r="S4" s="53">
        <v>103</v>
      </c>
      <c r="T4" s="16">
        <f t="shared" si="0"/>
        <v>33</v>
      </c>
      <c r="U4" s="53">
        <v>480</v>
      </c>
      <c r="V4" s="16">
        <f t="shared" si="1"/>
        <v>16</v>
      </c>
      <c r="W4" s="53">
        <v>2</v>
      </c>
      <c r="X4" s="53" t="s">
        <v>317</v>
      </c>
      <c r="Y4" s="53" t="s">
        <v>318</v>
      </c>
      <c r="Z4" s="53" t="s">
        <v>47</v>
      </c>
      <c r="AA4" s="53" t="s">
        <v>296</v>
      </c>
      <c r="AB4" s="36" t="s">
        <v>319</v>
      </c>
      <c r="AE4" s="22" t="s">
        <v>34</v>
      </c>
      <c r="AG4" s="167" t="s">
        <v>325</v>
      </c>
      <c r="AH4" s="168" t="s">
        <v>326</v>
      </c>
      <c r="AJ4" s="27" t="s">
        <v>48</v>
      </c>
      <c r="AL4" s="27" t="s">
        <v>129</v>
      </c>
      <c r="AN4" s="28" t="s">
        <v>49</v>
      </c>
      <c r="AP4" s="23" t="s">
        <v>93</v>
      </c>
      <c r="AR4" s="41" t="s">
        <v>327</v>
      </c>
      <c r="AT4" s="28"/>
      <c r="AV4" s="23" t="s">
        <v>318</v>
      </c>
      <c r="AX4" s="24">
        <v>75</v>
      </c>
      <c r="AY4" s="25">
        <v>42</v>
      </c>
      <c r="AZ4" s="25">
        <v>76</v>
      </c>
      <c r="BA4" s="26">
        <v>39</v>
      </c>
    </row>
    <row r="5" spans="1:53" x14ac:dyDescent="0.15">
      <c r="A5" s="53" t="s">
        <v>59</v>
      </c>
      <c r="B5" s="36" t="s">
        <v>232</v>
      </c>
      <c r="C5" s="165">
        <v>2019</v>
      </c>
      <c r="D5" s="166" t="s">
        <v>314</v>
      </c>
      <c r="E5" s="53" t="s">
        <v>315</v>
      </c>
      <c r="F5" s="53" t="s">
        <v>316</v>
      </c>
      <c r="G5" s="53" t="s">
        <v>36</v>
      </c>
      <c r="H5" s="53" t="s">
        <v>165</v>
      </c>
      <c r="I5" s="53" t="s">
        <v>159</v>
      </c>
      <c r="J5" s="53" t="s">
        <v>38</v>
      </c>
      <c r="K5" s="53" t="s">
        <v>161</v>
      </c>
      <c r="L5" s="53">
        <v>1</v>
      </c>
      <c r="N5" s="53">
        <v>3</v>
      </c>
      <c r="O5" s="53">
        <v>0.77</v>
      </c>
      <c r="P5" s="53">
        <v>0.85</v>
      </c>
      <c r="Q5" s="97">
        <f t="shared" si="2"/>
        <v>0.81</v>
      </c>
      <c r="R5" s="53">
        <v>15.2</v>
      </c>
      <c r="S5" s="53">
        <v>136</v>
      </c>
      <c r="T5" s="16">
        <f t="shared" si="0"/>
        <v>25</v>
      </c>
      <c r="U5" s="53">
        <v>398</v>
      </c>
      <c r="V5" s="16">
        <f t="shared" si="1"/>
        <v>16</v>
      </c>
      <c r="W5" s="53">
        <v>1</v>
      </c>
      <c r="X5" s="53" t="s">
        <v>317</v>
      </c>
      <c r="Y5" s="53" t="s">
        <v>318</v>
      </c>
      <c r="Z5" s="53" t="s">
        <v>47</v>
      </c>
      <c r="AA5" s="53" t="s">
        <v>296</v>
      </c>
      <c r="AB5" s="36" t="s">
        <v>319</v>
      </c>
      <c r="AE5" s="22" t="s">
        <v>51</v>
      </c>
      <c r="AG5" s="167" t="s">
        <v>328</v>
      </c>
      <c r="AH5" s="168" t="s">
        <v>329</v>
      </c>
      <c r="AJ5" s="28"/>
      <c r="AL5" s="29" t="s">
        <v>66</v>
      </c>
      <c r="AN5" s="80" t="s">
        <v>52</v>
      </c>
      <c r="AP5" s="23" t="s">
        <v>245</v>
      </c>
      <c r="AR5" s="41" t="s">
        <v>54</v>
      </c>
      <c r="AV5" s="23" t="s">
        <v>330</v>
      </c>
      <c r="AX5" s="24">
        <v>84</v>
      </c>
      <c r="AY5" s="25">
        <v>39</v>
      </c>
      <c r="AZ5" s="25">
        <v>84</v>
      </c>
      <c r="BA5" s="26">
        <v>36</v>
      </c>
    </row>
    <row r="6" spans="1:53" x14ac:dyDescent="0.15">
      <c r="A6" s="53" t="s">
        <v>59</v>
      </c>
      <c r="B6" s="36" t="s">
        <v>232</v>
      </c>
      <c r="C6" s="165">
        <v>2019</v>
      </c>
      <c r="D6" s="166" t="s">
        <v>314</v>
      </c>
      <c r="E6" s="53" t="s">
        <v>315</v>
      </c>
      <c r="F6" s="53" t="s">
        <v>316</v>
      </c>
      <c r="G6" s="53" t="s">
        <v>36</v>
      </c>
      <c r="H6" s="53" t="s">
        <v>165</v>
      </c>
      <c r="I6" s="53" t="s">
        <v>159</v>
      </c>
      <c r="J6" s="53" t="s">
        <v>38</v>
      </c>
      <c r="K6" s="53" t="s">
        <v>161</v>
      </c>
      <c r="L6" s="53">
        <v>2</v>
      </c>
      <c r="N6" s="53">
        <v>3</v>
      </c>
      <c r="O6" s="53">
        <v>0.75</v>
      </c>
      <c r="P6" s="53">
        <v>0.8</v>
      </c>
      <c r="Q6" s="97">
        <f t="shared" si="2"/>
        <v>0.77500000000000002</v>
      </c>
      <c r="R6" s="53">
        <v>15.1</v>
      </c>
      <c r="S6" s="53">
        <v>137</v>
      </c>
      <c r="T6" s="16">
        <f t="shared" si="0"/>
        <v>25</v>
      </c>
      <c r="U6" s="53">
        <v>398</v>
      </c>
      <c r="V6" s="16">
        <f t="shared" si="1"/>
        <v>16</v>
      </c>
      <c r="W6" s="53">
        <v>1</v>
      </c>
      <c r="X6" s="53" t="s">
        <v>317</v>
      </c>
      <c r="Y6" s="53" t="s">
        <v>318</v>
      </c>
      <c r="Z6" s="53" t="s">
        <v>47</v>
      </c>
      <c r="AA6" s="53" t="s">
        <v>296</v>
      </c>
      <c r="AB6" s="36" t="s">
        <v>319</v>
      </c>
      <c r="AE6" s="22" t="s">
        <v>56</v>
      </c>
      <c r="AG6" s="167" t="s">
        <v>331</v>
      </c>
      <c r="AH6" s="168" t="s">
        <v>332</v>
      </c>
      <c r="AL6" s="29" t="s">
        <v>99</v>
      </c>
      <c r="AN6" s="29" t="s">
        <v>57</v>
      </c>
      <c r="AP6" s="23" t="s">
        <v>53</v>
      </c>
      <c r="AR6" s="41" t="s">
        <v>333</v>
      </c>
      <c r="AV6" s="23" t="s">
        <v>60</v>
      </c>
      <c r="AX6" s="24">
        <v>97</v>
      </c>
      <c r="AY6" s="25">
        <v>36</v>
      </c>
      <c r="AZ6" s="25">
        <v>99</v>
      </c>
      <c r="BA6" s="26">
        <v>33</v>
      </c>
    </row>
    <row r="7" spans="1:53" x14ac:dyDescent="0.15">
      <c r="A7" s="53" t="s">
        <v>59</v>
      </c>
      <c r="B7" s="36" t="s">
        <v>232</v>
      </c>
      <c r="C7" s="165">
        <v>2019</v>
      </c>
      <c r="D7" s="166" t="s">
        <v>314</v>
      </c>
      <c r="E7" s="53" t="s">
        <v>315</v>
      </c>
      <c r="F7" s="53" t="s">
        <v>316</v>
      </c>
      <c r="G7" s="53" t="s">
        <v>36</v>
      </c>
      <c r="H7" s="53" t="s">
        <v>165</v>
      </c>
      <c r="I7" s="53" t="s">
        <v>159</v>
      </c>
      <c r="J7" s="53" t="s">
        <v>38</v>
      </c>
      <c r="K7" s="53" t="s">
        <v>161</v>
      </c>
      <c r="L7" s="53">
        <v>3</v>
      </c>
      <c r="N7" s="53">
        <v>3</v>
      </c>
      <c r="O7" s="53">
        <v>0.74</v>
      </c>
      <c r="P7" s="53">
        <v>0.8</v>
      </c>
      <c r="Q7" s="97">
        <f t="shared" si="2"/>
        <v>0.77</v>
      </c>
      <c r="R7" s="53">
        <v>15.2</v>
      </c>
      <c r="S7" s="53">
        <v>142</v>
      </c>
      <c r="T7" s="16">
        <f t="shared" si="0"/>
        <v>22</v>
      </c>
      <c r="U7" s="53">
        <v>398</v>
      </c>
      <c r="V7" s="16">
        <f t="shared" si="1"/>
        <v>16</v>
      </c>
      <c r="W7" s="53">
        <v>1</v>
      </c>
      <c r="X7" s="53" t="s">
        <v>317</v>
      </c>
      <c r="Y7" s="53" t="s">
        <v>318</v>
      </c>
      <c r="Z7" s="53" t="s">
        <v>47</v>
      </c>
      <c r="AA7" s="53" t="s">
        <v>296</v>
      </c>
      <c r="AB7" s="36" t="s">
        <v>319</v>
      </c>
      <c r="AE7" s="22" t="s">
        <v>61</v>
      </c>
      <c r="AG7" s="167" t="s">
        <v>334</v>
      </c>
      <c r="AH7" s="168" t="s">
        <v>335</v>
      </c>
      <c r="AL7" s="34" t="s">
        <v>109</v>
      </c>
      <c r="AP7" s="23" t="s">
        <v>58</v>
      </c>
      <c r="AR7" s="30" t="s">
        <v>336</v>
      </c>
      <c r="AV7" s="23" t="s">
        <v>64</v>
      </c>
      <c r="AX7" s="24">
        <v>109</v>
      </c>
      <c r="AY7" s="25">
        <v>33</v>
      </c>
      <c r="AZ7" s="25">
        <v>113</v>
      </c>
      <c r="BA7" s="26">
        <v>30</v>
      </c>
    </row>
    <row r="8" spans="1:53" x14ac:dyDescent="0.15">
      <c r="A8" s="53" t="s">
        <v>59</v>
      </c>
      <c r="B8" s="36" t="s">
        <v>232</v>
      </c>
      <c r="C8" s="165">
        <v>2019</v>
      </c>
      <c r="D8" s="166" t="s">
        <v>314</v>
      </c>
      <c r="E8" s="53" t="s">
        <v>320</v>
      </c>
      <c r="F8" s="53" t="s">
        <v>321</v>
      </c>
      <c r="G8" s="53" t="s">
        <v>36</v>
      </c>
      <c r="H8" s="53" t="s">
        <v>160</v>
      </c>
      <c r="I8" s="53" t="s">
        <v>159</v>
      </c>
      <c r="J8" s="53" t="s">
        <v>38</v>
      </c>
      <c r="K8" s="53" t="s">
        <v>161</v>
      </c>
      <c r="L8" s="53">
        <v>1</v>
      </c>
      <c r="N8" s="53">
        <v>4</v>
      </c>
      <c r="O8" s="53">
        <v>0.38</v>
      </c>
      <c r="P8" s="53">
        <v>0.4</v>
      </c>
      <c r="Q8" s="97">
        <f t="shared" si="2"/>
        <v>0.39</v>
      </c>
      <c r="R8" s="53">
        <v>16.899999999999999</v>
      </c>
      <c r="S8" s="53">
        <v>89</v>
      </c>
      <c r="T8" s="16">
        <f t="shared" si="0"/>
        <v>36</v>
      </c>
      <c r="U8" s="53">
        <v>397</v>
      </c>
      <c r="V8" s="16">
        <f t="shared" si="1"/>
        <v>16</v>
      </c>
      <c r="W8" s="53">
        <v>4</v>
      </c>
      <c r="X8" s="53" t="s">
        <v>39</v>
      </c>
      <c r="Y8" s="53" t="s">
        <v>318</v>
      </c>
      <c r="Z8" s="53" t="s">
        <v>84</v>
      </c>
      <c r="AA8" s="53" t="s">
        <v>40</v>
      </c>
      <c r="AB8" s="36" t="s">
        <v>319</v>
      </c>
      <c r="AE8" s="22" t="s">
        <v>59</v>
      </c>
      <c r="AG8" s="174" t="s">
        <v>162</v>
      </c>
      <c r="AH8" s="168" t="s">
        <v>337</v>
      </c>
      <c r="AL8" s="34" t="s">
        <v>134</v>
      </c>
      <c r="AP8" s="23" t="s">
        <v>62</v>
      </c>
      <c r="AR8" s="41" t="s">
        <v>81</v>
      </c>
      <c r="AV8" s="23" t="s">
        <v>97</v>
      </c>
      <c r="AX8" s="24">
        <v>119</v>
      </c>
      <c r="AY8" s="25">
        <v>30</v>
      </c>
      <c r="AZ8" s="25">
        <v>121</v>
      </c>
      <c r="BA8" s="26">
        <v>27</v>
      </c>
    </row>
    <row r="9" spans="1:53" x14ac:dyDescent="0.15">
      <c r="A9" s="53" t="s">
        <v>59</v>
      </c>
      <c r="B9" s="36" t="s">
        <v>232</v>
      </c>
      <c r="C9" s="165">
        <v>2019</v>
      </c>
      <c r="D9" s="166" t="s">
        <v>314</v>
      </c>
      <c r="E9" s="53" t="s">
        <v>320</v>
      </c>
      <c r="F9" s="53" t="s">
        <v>321</v>
      </c>
      <c r="G9" s="53" t="s">
        <v>36</v>
      </c>
      <c r="H9" s="53" t="s">
        <v>160</v>
      </c>
      <c r="I9" s="53" t="s">
        <v>159</v>
      </c>
      <c r="J9" s="53" t="s">
        <v>38</v>
      </c>
      <c r="K9" s="53" t="s">
        <v>161</v>
      </c>
      <c r="L9" s="53">
        <v>2</v>
      </c>
      <c r="N9" s="53">
        <v>4</v>
      </c>
      <c r="O9" s="53">
        <v>0.37</v>
      </c>
      <c r="P9" s="53">
        <v>0.41</v>
      </c>
      <c r="Q9" s="97">
        <f t="shared" si="2"/>
        <v>0.39</v>
      </c>
      <c r="R9" s="53">
        <v>18.7</v>
      </c>
      <c r="S9" s="53">
        <v>94</v>
      </c>
      <c r="T9" s="16">
        <f t="shared" si="0"/>
        <v>36</v>
      </c>
      <c r="U9" s="53">
        <v>397</v>
      </c>
      <c r="V9" s="16">
        <f t="shared" si="1"/>
        <v>16</v>
      </c>
      <c r="W9" s="53">
        <v>4</v>
      </c>
      <c r="X9" s="53" t="s">
        <v>39</v>
      </c>
      <c r="Y9" s="53" t="s">
        <v>318</v>
      </c>
      <c r="Z9" s="53" t="s">
        <v>84</v>
      </c>
      <c r="AA9" s="53" t="s">
        <v>40</v>
      </c>
      <c r="AB9" s="36" t="s">
        <v>319</v>
      </c>
      <c r="AE9" s="22" t="s">
        <v>98</v>
      </c>
      <c r="AG9" s="174" t="s">
        <v>338</v>
      </c>
      <c r="AH9" s="168" t="s">
        <v>337</v>
      </c>
      <c r="AL9" s="29"/>
      <c r="AP9" s="23" t="s">
        <v>339</v>
      </c>
      <c r="AR9" s="30" t="s">
        <v>89</v>
      </c>
      <c r="AV9" s="23" t="s">
        <v>102</v>
      </c>
      <c r="AX9" s="24">
        <v>128</v>
      </c>
      <c r="AY9" s="25">
        <v>27</v>
      </c>
      <c r="AZ9" s="25">
        <v>129</v>
      </c>
      <c r="BA9" s="26">
        <v>25</v>
      </c>
    </row>
    <row r="10" spans="1:53" x14ac:dyDescent="0.15">
      <c r="A10" s="53" t="s">
        <v>59</v>
      </c>
      <c r="B10" s="36" t="s">
        <v>232</v>
      </c>
      <c r="C10" s="165">
        <v>2019</v>
      </c>
      <c r="D10" s="166" t="s">
        <v>314</v>
      </c>
      <c r="E10" s="53" t="s">
        <v>320</v>
      </c>
      <c r="F10" s="53" t="s">
        <v>321</v>
      </c>
      <c r="G10" s="53" t="s">
        <v>36</v>
      </c>
      <c r="H10" s="53" t="s">
        <v>160</v>
      </c>
      <c r="I10" s="53" t="s">
        <v>159</v>
      </c>
      <c r="J10" s="53" t="s">
        <v>38</v>
      </c>
      <c r="K10" s="53" t="s">
        <v>161</v>
      </c>
      <c r="L10" s="53">
        <v>3</v>
      </c>
      <c r="N10" s="53">
        <v>4</v>
      </c>
      <c r="O10" s="53">
        <v>0.39</v>
      </c>
      <c r="P10" s="53">
        <v>0.43</v>
      </c>
      <c r="Q10" s="97">
        <f t="shared" si="2"/>
        <v>0.41000000000000003</v>
      </c>
      <c r="R10" s="53">
        <v>16.7</v>
      </c>
      <c r="S10" s="53">
        <v>99</v>
      </c>
      <c r="T10" s="16">
        <f t="shared" si="0"/>
        <v>33</v>
      </c>
      <c r="U10" s="53">
        <v>397</v>
      </c>
      <c r="V10" s="16">
        <f t="shared" si="1"/>
        <v>16</v>
      </c>
      <c r="W10" s="53">
        <v>4</v>
      </c>
      <c r="X10" s="53" t="s">
        <v>39</v>
      </c>
      <c r="Y10" s="53" t="s">
        <v>318</v>
      </c>
      <c r="Z10" s="53" t="s">
        <v>84</v>
      </c>
      <c r="AA10" s="53" t="s">
        <v>40</v>
      </c>
      <c r="AB10" s="36" t="s">
        <v>319</v>
      </c>
      <c r="AE10" s="22" t="s">
        <v>103</v>
      </c>
      <c r="AG10" s="167" t="s">
        <v>340</v>
      </c>
      <c r="AH10" s="168" t="s">
        <v>329</v>
      </c>
      <c r="AL10" s="99"/>
      <c r="AP10" s="23" t="s">
        <v>100</v>
      </c>
      <c r="AR10" s="30" t="s">
        <v>123</v>
      </c>
      <c r="AV10" s="23" t="s">
        <v>106</v>
      </c>
      <c r="AX10" s="24">
        <v>138</v>
      </c>
      <c r="AY10" s="25">
        <v>25</v>
      </c>
      <c r="AZ10" s="25">
        <v>138</v>
      </c>
      <c r="BA10" s="26">
        <v>22</v>
      </c>
    </row>
    <row r="11" spans="1:53" x14ac:dyDescent="0.15">
      <c r="A11" s="53" t="s">
        <v>59</v>
      </c>
      <c r="B11" s="36" t="s">
        <v>232</v>
      </c>
      <c r="C11" s="165">
        <v>2019</v>
      </c>
      <c r="D11" s="166" t="s">
        <v>314</v>
      </c>
      <c r="E11" s="53" t="s">
        <v>328</v>
      </c>
      <c r="F11" s="53" t="s">
        <v>329</v>
      </c>
      <c r="G11" s="53" t="s">
        <v>36</v>
      </c>
      <c r="H11" s="53" t="s">
        <v>160</v>
      </c>
      <c r="I11" s="53" t="s">
        <v>159</v>
      </c>
      <c r="J11" s="53" t="s">
        <v>38</v>
      </c>
      <c r="K11" s="53" t="s">
        <v>161</v>
      </c>
      <c r="L11" s="53">
        <v>1</v>
      </c>
      <c r="N11" s="53">
        <v>2</v>
      </c>
      <c r="O11" s="53">
        <v>0.39</v>
      </c>
      <c r="P11" s="53">
        <v>0.4</v>
      </c>
      <c r="Q11" s="97">
        <f t="shared" si="2"/>
        <v>0.39500000000000002</v>
      </c>
      <c r="R11" s="53">
        <v>17.3</v>
      </c>
      <c r="S11" s="53">
        <v>153</v>
      </c>
      <c r="T11" s="16">
        <f t="shared" si="0"/>
        <v>18</v>
      </c>
      <c r="U11" s="53">
        <v>330</v>
      </c>
      <c r="V11" s="16">
        <f t="shared" si="1"/>
        <v>16</v>
      </c>
      <c r="W11" s="53">
        <v>8</v>
      </c>
      <c r="X11" s="53" t="s">
        <v>46</v>
      </c>
      <c r="Y11" s="53" t="s">
        <v>90</v>
      </c>
      <c r="Z11" s="53" t="s">
        <v>296</v>
      </c>
      <c r="AA11" s="53" t="s">
        <v>47</v>
      </c>
      <c r="AB11" s="36" t="s">
        <v>319</v>
      </c>
      <c r="AE11" s="22" t="s">
        <v>65</v>
      </c>
      <c r="AG11" s="174" t="s">
        <v>341</v>
      </c>
      <c r="AH11" s="168" t="s">
        <v>342</v>
      </c>
      <c r="AL11" s="99"/>
      <c r="AP11" s="23" t="s">
        <v>343</v>
      </c>
      <c r="AR11" s="30" t="s">
        <v>344</v>
      </c>
      <c r="AV11" s="23" t="s">
        <v>345</v>
      </c>
      <c r="AX11" s="24">
        <v>151</v>
      </c>
      <c r="AY11" s="25">
        <v>22</v>
      </c>
      <c r="AZ11" s="25">
        <v>152</v>
      </c>
      <c r="BA11" s="26">
        <v>18</v>
      </c>
    </row>
    <row r="12" spans="1:53" x14ac:dyDescent="0.15">
      <c r="A12" s="53" t="s">
        <v>59</v>
      </c>
      <c r="B12" s="36" t="s">
        <v>232</v>
      </c>
      <c r="C12" s="165">
        <v>2019</v>
      </c>
      <c r="D12" s="166" t="s">
        <v>314</v>
      </c>
      <c r="E12" s="53" t="s">
        <v>328</v>
      </c>
      <c r="F12" s="53" t="s">
        <v>329</v>
      </c>
      <c r="G12" s="53" t="s">
        <v>36</v>
      </c>
      <c r="H12" s="53" t="s">
        <v>160</v>
      </c>
      <c r="I12" s="53" t="s">
        <v>159</v>
      </c>
      <c r="J12" s="53" t="s">
        <v>38</v>
      </c>
      <c r="K12" s="53" t="s">
        <v>161</v>
      </c>
      <c r="L12" s="53">
        <v>2</v>
      </c>
      <c r="N12" s="53">
        <v>2</v>
      </c>
      <c r="O12" s="53">
        <v>0.61</v>
      </c>
      <c r="P12" s="53">
        <v>0.68</v>
      </c>
      <c r="Q12" s="97">
        <f t="shared" si="2"/>
        <v>0.64500000000000002</v>
      </c>
      <c r="R12" s="53">
        <v>15.4</v>
      </c>
      <c r="S12" s="53">
        <v>162</v>
      </c>
      <c r="T12" s="16">
        <f t="shared" si="0"/>
        <v>18</v>
      </c>
      <c r="U12" s="53">
        <v>330</v>
      </c>
      <c r="V12" s="16">
        <f t="shared" si="1"/>
        <v>16</v>
      </c>
      <c r="W12" s="53">
        <v>8</v>
      </c>
      <c r="X12" s="53" t="s">
        <v>46</v>
      </c>
      <c r="Y12" s="53" t="s">
        <v>90</v>
      </c>
      <c r="Z12" s="53" t="s">
        <v>296</v>
      </c>
      <c r="AA12" s="53" t="s">
        <v>47</v>
      </c>
      <c r="AB12" s="36" t="s">
        <v>319</v>
      </c>
      <c r="AE12" s="22" t="s">
        <v>70</v>
      </c>
      <c r="AG12" s="30"/>
      <c r="AH12" s="175"/>
      <c r="AL12" s="99"/>
      <c r="AP12" s="23" t="s">
        <v>67</v>
      </c>
      <c r="AR12" s="30" t="s">
        <v>124</v>
      </c>
      <c r="AV12" s="23" t="s">
        <v>72</v>
      </c>
      <c r="AX12" s="31">
        <v>180</v>
      </c>
      <c r="AY12" s="32">
        <v>18</v>
      </c>
      <c r="AZ12" s="32">
        <v>181</v>
      </c>
      <c r="BA12" s="33">
        <v>16</v>
      </c>
    </row>
    <row r="13" spans="1:53" x14ac:dyDescent="0.15">
      <c r="A13" s="53" t="s">
        <v>59</v>
      </c>
      <c r="B13" s="36" t="s">
        <v>232</v>
      </c>
      <c r="C13" s="165">
        <v>2019</v>
      </c>
      <c r="D13" s="166" t="s">
        <v>314</v>
      </c>
      <c r="E13" s="53" t="s">
        <v>328</v>
      </c>
      <c r="F13" s="53" t="s">
        <v>329</v>
      </c>
      <c r="G13" s="53" t="s">
        <v>36</v>
      </c>
      <c r="H13" s="53" t="s">
        <v>160</v>
      </c>
      <c r="I13" s="53" t="s">
        <v>159</v>
      </c>
      <c r="J13" s="53" t="s">
        <v>38</v>
      </c>
      <c r="K13" s="53" t="s">
        <v>161</v>
      </c>
      <c r="L13" s="53">
        <v>3</v>
      </c>
      <c r="N13" s="53">
        <v>2</v>
      </c>
      <c r="O13" s="53">
        <v>0.66</v>
      </c>
      <c r="P13" s="53">
        <v>0.62</v>
      </c>
      <c r="Q13" s="97">
        <f t="shared" si="2"/>
        <v>0.64</v>
      </c>
      <c r="R13" s="53">
        <v>16.3</v>
      </c>
      <c r="S13" s="53">
        <v>157</v>
      </c>
      <c r="T13" s="16">
        <f t="shared" si="0"/>
        <v>18</v>
      </c>
      <c r="U13" s="53">
        <v>330</v>
      </c>
      <c r="V13" s="16">
        <f t="shared" si="1"/>
        <v>16</v>
      </c>
      <c r="W13" s="53">
        <v>8</v>
      </c>
      <c r="X13" s="53" t="s">
        <v>46</v>
      </c>
      <c r="Y13" s="53" t="s">
        <v>90</v>
      </c>
      <c r="Z13" s="53" t="s">
        <v>296</v>
      </c>
      <c r="AA13" s="53" t="s">
        <v>47</v>
      </c>
      <c r="AB13" s="36" t="s">
        <v>319</v>
      </c>
      <c r="AE13" s="22" t="s">
        <v>73</v>
      </c>
      <c r="AG13" s="23"/>
      <c r="AH13" s="23"/>
      <c r="AP13" s="23" t="s">
        <v>71</v>
      </c>
      <c r="AR13" s="30" t="s">
        <v>103</v>
      </c>
      <c r="AV13" s="23" t="s">
        <v>75</v>
      </c>
    </row>
    <row r="14" spans="1:53" x14ac:dyDescent="0.15">
      <c r="A14" s="53" t="s">
        <v>59</v>
      </c>
      <c r="B14" s="36" t="s">
        <v>232</v>
      </c>
      <c r="C14" s="165">
        <v>2019</v>
      </c>
      <c r="D14" s="166" t="s">
        <v>314</v>
      </c>
      <c r="E14" s="53" t="s">
        <v>328</v>
      </c>
      <c r="F14" s="53" t="s">
        <v>329</v>
      </c>
      <c r="G14" s="53" t="s">
        <v>36</v>
      </c>
      <c r="H14" s="53" t="s">
        <v>165</v>
      </c>
      <c r="I14" s="53" t="s">
        <v>159</v>
      </c>
      <c r="J14" s="53" t="s">
        <v>38</v>
      </c>
      <c r="K14" s="53" t="s">
        <v>161</v>
      </c>
      <c r="L14" s="53">
        <v>1</v>
      </c>
      <c r="N14" s="53">
        <v>4</v>
      </c>
      <c r="O14" s="53">
        <v>0.62</v>
      </c>
      <c r="P14" s="53">
        <v>0.67</v>
      </c>
      <c r="Q14" s="97">
        <f t="shared" si="2"/>
        <v>0.64500000000000002</v>
      </c>
      <c r="R14" s="53">
        <v>14.5</v>
      </c>
      <c r="S14" s="53">
        <v>106</v>
      </c>
      <c r="T14" s="16">
        <f t="shared" si="0"/>
        <v>33</v>
      </c>
      <c r="U14" s="53">
        <v>399</v>
      </c>
      <c r="V14" s="16">
        <f t="shared" si="1"/>
        <v>16</v>
      </c>
      <c r="W14" s="53">
        <v>1</v>
      </c>
      <c r="X14" s="53" t="s">
        <v>46</v>
      </c>
      <c r="Y14" s="53" t="s">
        <v>90</v>
      </c>
      <c r="Z14" s="53" t="s">
        <v>296</v>
      </c>
      <c r="AA14" s="53" t="s">
        <v>47</v>
      </c>
      <c r="AB14" s="36" t="s">
        <v>319</v>
      </c>
      <c r="AE14" s="22" t="s">
        <v>76</v>
      </c>
      <c r="AG14" s="23"/>
      <c r="AH14" s="23"/>
      <c r="AP14" s="23" t="s">
        <v>346</v>
      </c>
      <c r="AR14" s="30" t="s">
        <v>125</v>
      </c>
      <c r="AV14" s="23" t="s">
        <v>78</v>
      </c>
    </row>
    <row r="15" spans="1:53" x14ac:dyDescent="0.15">
      <c r="A15" s="53" t="s">
        <v>59</v>
      </c>
      <c r="B15" s="36" t="s">
        <v>232</v>
      </c>
      <c r="C15" s="165">
        <v>2019</v>
      </c>
      <c r="D15" s="166" t="s">
        <v>314</v>
      </c>
      <c r="E15" s="53" t="s">
        <v>328</v>
      </c>
      <c r="F15" s="53" t="s">
        <v>329</v>
      </c>
      <c r="G15" s="53" t="s">
        <v>36</v>
      </c>
      <c r="H15" s="53" t="s">
        <v>165</v>
      </c>
      <c r="I15" s="53" t="s">
        <v>159</v>
      </c>
      <c r="J15" s="53" t="s">
        <v>38</v>
      </c>
      <c r="K15" s="53" t="s">
        <v>161</v>
      </c>
      <c r="L15" s="53">
        <v>2</v>
      </c>
      <c r="N15" s="53">
        <v>4</v>
      </c>
      <c r="O15" s="53">
        <v>0.76</v>
      </c>
      <c r="P15" s="53">
        <v>0.65</v>
      </c>
      <c r="Q15" s="97">
        <f t="shared" si="2"/>
        <v>0.70500000000000007</v>
      </c>
      <c r="R15" s="53">
        <v>12.9</v>
      </c>
      <c r="S15" s="53">
        <v>99</v>
      </c>
      <c r="T15" s="16">
        <f t="shared" si="0"/>
        <v>33</v>
      </c>
      <c r="U15" s="53">
        <v>399</v>
      </c>
      <c r="V15" s="16">
        <f t="shared" si="1"/>
        <v>16</v>
      </c>
      <c r="W15" s="53">
        <v>1</v>
      </c>
      <c r="X15" s="53" t="s">
        <v>46</v>
      </c>
      <c r="Y15" s="53" t="s">
        <v>90</v>
      </c>
      <c r="Z15" s="53" t="s">
        <v>296</v>
      </c>
      <c r="AA15" s="53" t="s">
        <v>47</v>
      </c>
      <c r="AB15" s="36" t="s">
        <v>319</v>
      </c>
      <c r="AE15" s="22" t="s">
        <v>79</v>
      </c>
      <c r="AG15" s="23"/>
      <c r="AH15" s="23"/>
      <c r="AP15" s="23" t="s">
        <v>347</v>
      </c>
      <c r="AR15" s="30" t="s">
        <v>94</v>
      </c>
      <c r="AV15" s="23" t="s">
        <v>107</v>
      </c>
    </row>
    <row r="16" spans="1:53" x14ac:dyDescent="0.15">
      <c r="A16" s="53" t="s">
        <v>59</v>
      </c>
      <c r="B16" s="36" t="s">
        <v>232</v>
      </c>
      <c r="C16" s="165">
        <v>2019</v>
      </c>
      <c r="D16" s="166" t="s">
        <v>314</v>
      </c>
      <c r="E16" s="53" t="s">
        <v>328</v>
      </c>
      <c r="F16" s="53" t="s">
        <v>329</v>
      </c>
      <c r="G16" s="53" t="s">
        <v>36</v>
      </c>
      <c r="H16" s="53" t="s">
        <v>165</v>
      </c>
      <c r="I16" s="53" t="s">
        <v>159</v>
      </c>
      <c r="J16" s="53" t="s">
        <v>38</v>
      </c>
      <c r="K16" s="53" t="s">
        <v>161</v>
      </c>
      <c r="L16" s="53">
        <v>3</v>
      </c>
      <c r="N16" s="53">
        <v>4</v>
      </c>
      <c r="O16" s="53">
        <v>0.7</v>
      </c>
      <c r="P16" s="53">
        <v>0.68</v>
      </c>
      <c r="Q16" s="97">
        <f t="shared" si="2"/>
        <v>0.69</v>
      </c>
      <c r="R16" s="53">
        <v>14.4</v>
      </c>
      <c r="S16" s="53">
        <v>107</v>
      </c>
      <c r="T16" s="16">
        <f t="shared" si="0"/>
        <v>33</v>
      </c>
      <c r="U16" s="53">
        <v>399</v>
      </c>
      <c r="V16" s="16">
        <f t="shared" si="1"/>
        <v>16</v>
      </c>
      <c r="W16" s="53">
        <v>1</v>
      </c>
      <c r="X16" s="53" t="s">
        <v>46</v>
      </c>
      <c r="Y16" s="53" t="s">
        <v>90</v>
      </c>
      <c r="Z16" s="53" t="s">
        <v>296</v>
      </c>
      <c r="AA16" s="53" t="s">
        <v>47</v>
      </c>
      <c r="AB16" s="36" t="s">
        <v>319</v>
      </c>
      <c r="AE16" s="22" t="s">
        <v>82</v>
      </c>
      <c r="AG16" s="28"/>
      <c r="AH16" s="28"/>
      <c r="AP16" s="23" t="s">
        <v>80</v>
      </c>
      <c r="AR16" s="41" t="s">
        <v>63</v>
      </c>
      <c r="AV16" s="23" t="s">
        <v>84</v>
      </c>
    </row>
    <row r="17" spans="1:48" x14ac:dyDescent="0.15">
      <c r="A17" s="53" t="s">
        <v>59</v>
      </c>
      <c r="B17" s="36" t="s">
        <v>232</v>
      </c>
      <c r="C17" s="165">
        <v>2019</v>
      </c>
      <c r="D17" s="166" t="s">
        <v>314</v>
      </c>
      <c r="E17" s="53" t="s">
        <v>340</v>
      </c>
      <c r="F17" s="53" t="s">
        <v>329</v>
      </c>
      <c r="G17" s="53" t="s">
        <v>36</v>
      </c>
      <c r="H17" s="53" t="s">
        <v>160</v>
      </c>
      <c r="I17" s="53" t="s">
        <v>159</v>
      </c>
      <c r="J17" s="53" t="s">
        <v>38</v>
      </c>
      <c r="K17" s="53" t="s">
        <v>161</v>
      </c>
      <c r="L17" s="53">
        <v>1</v>
      </c>
      <c r="N17" s="53">
        <v>2</v>
      </c>
      <c r="O17" s="53">
        <v>0.39</v>
      </c>
      <c r="P17" s="53">
        <v>0.44</v>
      </c>
      <c r="Q17" s="97">
        <f t="shared" si="2"/>
        <v>0.41500000000000004</v>
      </c>
      <c r="R17" s="53">
        <v>17.7</v>
      </c>
      <c r="S17" s="53">
        <v>160</v>
      </c>
      <c r="T17" s="16">
        <f t="shared" si="0"/>
        <v>18</v>
      </c>
      <c r="U17" s="53">
        <v>486</v>
      </c>
      <c r="V17" s="16">
        <f t="shared" si="1"/>
        <v>16</v>
      </c>
      <c r="W17" s="53">
        <v>6</v>
      </c>
      <c r="X17" s="53" t="s">
        <v>46</v>
      </c>
      <c r="Y17" s="53" t="s">
        <v>90</v>
      </c>
      <c r="Z17" s="53" t="s">
        <v>78</v>
      </c>
      <c r="AA17" s="53" t="s">
        <v>69</v>
      </c>
      <c r="AB17" s="36" t="s">
        <v>319</v>
      </c>
      <c r="AE17" s="22" t="s">
        <v>85</v>
      </c>
      <c r="AP17" s="43" t="s">
        <v>110</v>
      </c>
      <c r="AR17" s="41" t="s">
        <v>96</v>
      </c>
      <c r="AV17" s="23" t="s">
        <v>86</v>
      </c>
    </row>
    <row r="18" spans="1:48" x14ac:dyDescent="0.15">
      <c r="A18" s="53" t="s">
        <v>59</v>
      </c>
      <c r="B18" s="36" t="s">
        <v>232</v>
      </c>
      <c r="C18" s="165">
        <v>2019</v>
      </c>
      <c r="D18" s="166" t="s">
        <v>314</v>
      </c>
      <c r="E18" s="53" t="s">
        <v>340</v>
      </c>
      <c r="F18" s="53" t="s">
        <v>329</v>
      </c>
      <c r="G18" s="53" t="s">
        <v>36</v>
      </c>
      <c r="H18" s="53" t="s">
        <v>160</v>
      </c>
      <c r="I18" s="53" t="s">
        <v>159</v>
      </c>
      <c r="J18" s="53" t="s">
        <v>38</v>
      </c>
      <c r="K18" s="53" t="s">
        <v>161</v>
      </c>
      <c r="L18" s="53">
        <v>2</v>
      </c>
      <c r="N18" s="53">
        <v>2</v>
      </c>
      <c r="O18" s="53">
        <v>0.45</v>
      </c>
      <c r="P18" s="53">
        <v>0.52</v>
      </c>
      <c r="Q18" s="97">
        <f t="shared" si="2"/>
        <v>0.48499999999999999</v>
      </c>
      <c r="R18" s="53">
        <v>17.600000000000001</v>
      </c>
      <c r="S18" s="53">
        <v>156</v>
      </c>
      <c r="T18" s="16">
        <f t="shared" si="0"/>
        <v>18</v>
      </c>
      <c r="U18" s="53">
        <v>486</v>
      </c>
      <c r="V18" s="16">
        <f t="shared" si="1"/>
        <v>16</v>
      </c>
      <c r="W18" s="53">
        <v>6</v>
      </c>
      <c r="X18" s="53" t="s">
        <v>46</v>
      </c>
      <c r="Y18" s="53" t="s">
        <v>90</v>
      </c>
      <c r="Z18" s="53" t="s">
        <v>78</v>
      </c>
      <c r="AA18" s="53" t="s">
        <v>69</v>
      </c>
      <c r="AB18" s="36" t="s">
        <v>319</v>
      </c>
      <c r="AE18" s="22" t="s">
        <v>87</v>
      </c>
      <c r="AP18" s="43" t="s">
        <v>348</v>
      </c>
      <c r="AR18" s="41" t="s">
        <v>101</v>
      </c>
      <c r="AV18" s="23" t="s">
        <v>88</v>
      </c>
    </row>
    <row r="19" spans="1:48" x14ac:dyDescent="0.15">
      <c r="A19" s="53" t="s">
        <v>59</v>
      </c>
      <c r="B19" s="36" t="s">
        <v>232</v>
      </c>
      <c r="C19" s="165">
        <v>2019</v>
      </c>
      <c r="D19" s="166" t="s">
        <v>314</v>
      </c>
      <c r="E19" s="53" t="s">
        <v>340</v>
      </c>
      <c r="F19" s="53" t="s">
        <v>329</v>
      </c>
      <c r="G19" s="53" t="s">
        <v>36</v>
      </c>
      <c r="H19" s="53" t="s">
        <v>160</v>
      </c>
      <c r="I19" s="53" t="s">
        <v>159</v>
      </c>
      <c r="J19" s="53" t="s">
        <v>38</v>
      </c>
      <c r="K19" s="53" t="s">
        <v>161</v>
      </c>
      <c r="L19" s="53">
        <v>3</v>
      </c>
      <c r="N19" s="53">
        <v>2</v>
      </c>
      <c r="O19" s="53">
        <v>0.41</v>
      </c>
      <c r="P19" s="53">
        <v>0.45</v>
      </c>
      <c r="Q19" s="97">
        <f t="shared" si="2"/>
        <v>0.43</v>
      </c>
      <c r="R19" s="53">
        <v>17.2</v>
      </c>
      <c r="S19" s="53">
        <v>162</v>
      </c>
      <c r="T19" s="16">
        <f t="shared" si="0"/>
        <v>18</v>
      </c>
      <c r="U19" s="53">
        <v>486</v>
      </c>
      <c r="V19" s="16">
        <f t="shared" si="1"/>
        <v>16</v>
      </c>
      <c r="W19" s="53">
        <v>6</v>
      </c>
      <c r="X19" s="53" t="s">
        <v>46</v>
      </c>
      <c r="Y19" s="53" t="s">
        <v>90</v>
      </c>
      <c r="Z19" s="53" t="s">
        <v>78</v>
      </c>
      <c r="AA19" s="53" t="s">
        <v>69</v>
      </c>
      <c r="AB19" s="36" t="s">
        <v>319</v>
      </c>
      <c r="AD19" s="36"/>
      <c r="AE19" s="35" t="s">
        <v>89</v>
      </c>
      <c r="AP19" s="43" t="s">
        <v>112</v>
      </c>
      <c r="AR19" s="30" t="s">
        <v>126</v>
      </c>
      <c r="AV19" s="23" t="s">
        <v>349</v>
      </c>
    </row>
    <row r="20" spans="1:48" x14ac:dyDescent="0.15">
      <c r="A20" s="53" t="s">
        <v>59</v>
      </c>
      <c r="B20" s="36" t="s">
        <v>232</v>
      </c>
      <c r="C20" s="165">
        <v>2019</v>
      </c>
      <c r="D20" s="166" t="s">
        <v>314</v>
      </c>
      <c r="E20" s="53" t="s">
        <v>338</v>
      </c>
      <c r="F20" s="53" t="s">
        <v>337</v>
      </c>
      <c r="G20" s="53" t="s">
        <v>36</v>
      </c>
      <c r="H20" s="53" t="s">
        <v>160</v>
      </c>
      <c r="I20" s="53" t="s">
        <v>159</v>
      </c>
      <c r="J20" s="53" t="s">
        <v>38</v>
      </c>
      <c r="K20" s="53" t="s">
        <v>161</v>
      </c>
      <c r="L20" s="53">
        <v>1</v>
      </c>
      <c r="N20" s="53">
        <v>4</v>
      </c>
      <c r="O20" s="53">
        <v>0.51</v>
      </c>
      <c r="P20" s="53">
        <v>0.48</v>
      </c>
      <c r="Q20" s="97">
        <f t="shared" si="2"/>
        <v>0.495</v>
      </c>
      <c r="R20" s="53">
        <v>15.5</v>
      </c>
      <c r="S20" s="53">
        <v>108</v>
      </c>
      <c r="T20" s="16">
        <f t="shared" si="0"/>
        <v>33</v>
      </c>
      <c r="U20" s="53">
        <v>398</v>
      </c>
      <c r="V20" s="16">
        <f t="shared" si="1"/>
        <v>16</v>
      </c>
      <c r="W20" s="53">
        <v>8</v>
      </c>
      <c r="X20" s="53" t="s">
        <v>46</v>
      </c>
      <c r="Y20" s="53" t="s">
        <v>78</v>
      </c>
      <c r="Z20" s="53" t="s">
        <v>86</v>
      </c>
      <c r="AA20" s="53" t="s">
        <v>40</v>
      </c>
      <c r="AB20" s="36" t="s">
        <v>319</v>
      </c>
      <c r="AD20" s="36"/>
      <c r="AE20" s="35"/>
      <c r="AP20" s="43" t="s">
        <v>113</v>
      </c>
      <c r="AR20" s="41" t="s">
        <v>105</v>
      </c>
      <c r="AV20" s="27" t="s">
        <v>135</v>
      </c>
    </row>
    <row r="21" spans="1:48" x14ac:dyDescent="0.15">
      <c r="A21" s="53" t="s">
        <v>59</v>
      </c>
      <c r="B21" s="36" t="s">
        <v>232</v>
      </c>
      <c r="C21" s="165">
        <v>2019</v>
      </c>
      <c r="D21" s="166" t="s">
        <v>314</v>
      </c>
      <c r="E21" s="53" t="s">
        <v>338</v>
      </c>
      <c r="F21" s="53" t="s">
        <v>337</v>
      </c>
      <c r="G21" s="53" t="s">
        <v>36</v>
      </c>
      <c r="H21" s="53" t="s">
        <v>160</v>
      </c>
      <c r="I21" s="53" t="s">
        <v>159</v>
      </c>
      <c r="J21" s="53" t="s">
        <v>38</v>
      </c>
      <c r="K21" s="53" t="s">
        <v>161</v>
      </c>
      <c r="L21" s="53">
        <v>2</v>
      </c>
      <c r="N21" s="53">
        <v>4</v>
      </c>
      <c r="O21" s="53">
        <v>0.45</v>
      </c>
      <c r="P21" s="53">
        <v>0.5</v>
      </c>
      <c r="Q21" s="97">
        <f t="shared" si="2"/>
        <v>0.47499999999999998</v>
      </c>
      <c r="R21" s="53">
        <v>16.8</v>
      </c>
      <c r="S21" s="53">
        <v>109</v>
      </c>
      <c r="T21" s="16">
        <f t="shared" si="0"/>
        <v>33</v>
      </c>
      <c r="U21" s="53">
        <v>398</v>
      </c>
      <c r="V21" s="16">
        <f t="shared" si="1"/>
        <v>16</v>
      </c>
      <c r="W21" s="53">
        <v>8</v>
      </c>
      <c r="X21" s="53" t="s">
        <v>46</v>
      </c>
      <c r="Y21" s="53" t="s">
        <v>78</v>
      </c>
      <c r="Z21" s="53" t="s">
        <v>86</v>
      </c>
      <c r="AA21" s="53" t="s">
        <v>40</v>
      </c>
      <c r="AB21" s="36" t="s">
        <v>319</v>
      </c>
      <c r="AD21" s="36"/>
      <c r="AE21" s="28"/>
      <c r="AP21" s="43" t="s">
        <v>350</v>
      </c>
      <c r="AR21" s="41" t="s">
        <v>68</v>
      </c>
      <c r="AV21" s="27" t="s">
        <v>136</v>
      </c>
    </row>
    <row r="22" spans="1:48" x14ac:dyDescent="0.15">
      <c r="A22" s="53" t="s">
        <v>59</v>
      </c>
      <c r="B22" s="36" t="s">
        <v>232</v>
      </c>
      <c r="C22" s="165">
        <v>2019</v>
      </c>
      <c r="D22" s="166" t="s">
        <v>314</v>
      </c>
      <c r="E22" s="53" t="s">
        <v>338</v>
      </c>
      <c r="F22" s="53" t="s">
        <v>337</v>
      </c>
      <c r="G22" s="53" t="s">
        <v>36</v>
      </c>
      <c r="H22" s="53" t="s">
        <v>160</v>
      </c>
      <c r="I22" s="53" t="s">
        <v>159</v>
      </c>
      <c r="J22" s="53" t="s">
        <v>38</v>
      </c>
      <c r="K22" s="53" t="s">
        <v>161</v>
      </c>
      <c r="L22" s="53">
        <v>3</v>
      </c>
      <c r="N22" s="53">
        <v>4</v>
      </c>
      <c r="O22" s="53">
        <v>0.51</v>
      </c>
      <c r="P22" s="53">
        <v>0.47</v>
      </c>
      <c r="Q22" s="97">
        <f t="shared" si="2"/>
        <v>0.49</v>
      </c>
      <c r="R22" s="53">
        <v>15.9</v>
      </c>
      <c r="S22" s="53">
        <v>109</v>
      </c>
      <c r="T22" s="16">
        <f t="shared" si="0"/>
        <v>33</v>
      </c>
      <c r="U22" s="53">
        <v>398</v>
      </c>
      <c r="V22" s="16">
        <f t="shared" si="1"/>
        <v>16</v>
      </c>
      <c r="W22" s="53">
        <v>8</v>
      </c>
      <c r="X22" s="53" t="s">
        <v>46</v>
      </c>
      <c r="Y22" s="53" t="s">
        <v>78</v>
      </c>
      <c r="Z22" s="53" t="s">
        <v>86</v>
      </c>
      <c r="AA22" s="53" t="s">
        <v>40</v>
      </c>
      <c r="AB22" s="36" t="s">
        <v>319</v>
      </c>
      <c r="AD22" s="36"/>
      <c r="AP22" s="43" t="s">
        <v>351</v>
      </c>
      <c r="AR22" s="41" t="s">
        <v>83</v>
      </c>
      <c r="AV22" s="27" t="s">
        <v>352</v>
      </c>
    </row>
    <row r="23" spans="1:48" x14ac:dyDescent="0.15">
      <c r="A23" s="53" t="s">
        <v>59</v>
      </c>
      <c r="B23" s="36" t="s">
        <v>232</v>
      </c>
      <c r="C23" s="165">
        <v>2019</v>
      </c>
      <c r="D23" s="166" t="s">
        <v>314</v>
      </c>
      <c r="E23" s="53" t="s">
        <v>162</v>
      </c>
      <c r="F23" s="53" t="s">
        <v>337</v>
      </c>
      <c r="G23" s="53" t="s">
        <v>36</v>
      </c>
      <c r="H23" s="53" t="s">
        <v>160</v>
      </c>
      <c r="I23" s="53" t="s">
        <v>159</v>
      </c>
      <c r="J23" s="53" t="s">
        <v>38</v>
      </c>
      <c r="K23" s="53" t="s">
        <v>161</v>
      </c>
      <c r="L23" s="53">
        <v>1</v>
      </c>
      <c r="N23" s="53">
        <v>4</v>
      </c>
      <c r="O23" s="53">
        <v>0.47</v>
      </c>
      <c r="P23" s="53">
        <v>0.47</v>
      </c>
      <c r="Q23" s="97">
        <f t="shared" si="2"/>
        <v>0.47</v>
      </c>
      <c r="R23" s="53">
        <v>15.1</v>
      </c>
      <c r="S23" s="53">
        <v>96</v>
      </c>
      <c r="T23" s="16">
        <f t="shared" si="0"/>
        <v>36</v>
      </c>
      <c r="U23" s="53">
        <v>498</v>
      </c>
      <c r="V23" s="16">
        <f t="shared" si="1"/>
        <v>16</v>
      </c>
      <c r="W23" s="53">
        <v>10</v>
      </c>
      <c r="X23" s="53" t="s">
        <v>46</v>
      </c>
      <c r="Y23" s="53" t="s">
        <v>69</v>
      </c>
      <c r="Z23" s="53" t="s">
        <v>55</v>
      </c>
      <c r="AA23" s="53" t="s">
        <v>90</v>
      </c>
      <c r="AB23" s="36" t="s">
        <v>319</v>
      </c>
      <c r="AP23" s="43" t="s">
        <v>137</v>
      </c>
      <c r="AR23" s="41" t="s">
        <v>61</v>
      </c>
      <c r="AV23" s="27" t="s">
        <v>353</v>
      </c>
    </row>
    <row r="24" spans="1:48" x14ac:dyDescent="0.15">
      <c r="A24" s="53" t="s">
        <v>59</v>
      </c>
      <c r="B24" s="36" t="s">
        <v>232</v>
      </c>
      <c r="C24" s="165">
        <v>2019</v>
      </c>
      <c r="D24" s="166" t="s">
        <v>314</v>
      </c>
      <c r="E24" s="53" t="s">
        <v>162</v>
      </c>
      <c r="F24" s="53" t="s">
        <v>337</v>
      </c>
      <c r="G24" s="53" t="s">
        <v>36</v>
      </c>
      <c r="H24" s="53" t="s">
        <v>160</v>
      </c>
      <c r="I24" s="53" t="s">
        <v>159</v>
      </c>
      <c r="J24" s="53" t="s">
        <v>38</v>
      </c>
      <c r="K24" s="53" t="s">
        <v>161</v>
      </c>
      <c r="L24" s="53">
        <v>2</v>
      </c>
      <c r="N24" s="53">
        <v>4</v>
      </c>
      <c r="O24" s="53">
        <v>0.32</v>
      </c>
      <c r="P24" s="53">
        <v>0.3</v>
      </c>
      <c r="Q24" s="97">
        <f t="shared" si="2"/>
        <v>0.31</v>
      </c>
      <c r="R24" s="53">
        <v>14.3</v>
      </c>
      <c r="S24" s="53">
        <v>100</v>
      </c>
      <c r="T24" s="16">
        <f t="shared" si="0"/>
        <v>33</v>
      </c>
      <c r="U24" s="53">
        <v>498</v>
      </c>
      <c r="V24" s="16">
        <f t="shared" si="1"/>
        <v>16</v>
      </c>
      <c r="W24" s="53">
        <v>10</v>
      </c>
      <c r="X24" s="53" t="s">
        <v>46</v>
      </c>
      <c r="Y24" s="53" t="s">
        <v>69</v>
      </c>
      <c r="Z24" s="53" t="s">
        <v>55</v>
      </c>
      <c r="AA24" s="53" t="s">
        <v>90</v>
      </c>
      <c r="AB24" s="36" t="s">
        <v>319</v>
      </c>
      <c r="AP24" s="43" t="s">
        <v>138</v>
      </c>
      <c r="AR24" s="41" t="s">
        <v>91</v>
      </c>
      <c r="AV24" s="27" t="s">
        <v>354</v>
      </c>
    </row>
    <row r="25" spans="1:48" x14ac:dyDescent="0.15">
      <c r="A25" s="53" t="s">
        <v>59</v>
      </c>
      <c r="B25" s="36" t="s">
        <v>232</v>
      </c>
      <c r="C25" s="165">
        <v>2019</v>
      </c>
      <c r="D25" s="166" t="s">
        <v>314</v>
      </c>
      <c r="E25" s="53" t="s">
        <v>162</v>
      </c>
      <c r="F25" s="53" t="s">
        <v>337</v>
      </c>
      <c r="G25" s="53" t="s">
        <v>36</v>
      </c>
      <c r="H25" s="53" t="s">
        <v>160</v>
      </c>
      <c r="I25" s="53" t="s">
        <v>159</v>
      </c>
      <c r="J25" s="53" t="s">
        <v>38</v>
      </c>
      <c r="K25" s="53" t="s">
        <v>161</v>
      </c>
      <c r="L25" s="53">
        <v>3</v>
      </c>
      <c r="N25" s="53">
        <v>4</v>
      </c>
      <c r="O25" s="53">
        <v>0.46</v>
      </c>
      <c r="P25" s="53">
        <v>0.51</v>
      </c>
      <c r="Q25" s="97">
        <f t="shared" si="2"/>
        <v>0.48499999999999999</v>
      </c>
      <c r="R25" s="53">
        <v>14.9</v>
      </c>
      <c r="S25" s="53">
        <v>100</v>
      </c>
      <c r="T25" s="16">
        <f t="shared" si="0"/>
        <v>33</v>
      </c>
      <c r="U25" s="53">
        <v>498</v>
      </c>
      <c r="V25" s="16">
        <f t="shared" si="1"/>
        <v>16</v>
      </c>
      <c r="W25" s="53">
        <v>10</v>
      </c>
      <c r="X25" s="53" t="s">
        <v>46</v>
      </c>
      <c r="Y25" s="53" t="s">
        <v>69</v>
      </c>
      <c r="Z25" s="53" t="s">
        <v>55</v>
      </c>
      <c r="AA25" s="53" t="s">
        <v>90</v>
      </c>
      <c r="AB25" s="36" t="s">
        <v>319</v>
      </c>
      <c r="AD25" s="36"/>
      <c r="AP25" s="43" t="s">
        <v>116</v>
      </c>
      <c r="AR25" s="42" t="s">
        <v>92</v>
      </c>
      <c r="AV25" s="27" t="s">
        <v>355</v>
      </c>
    </row>
    <row r="26" spans="1:48" x14ac:dyDescent="0.15">
      <c r="A26" s="53" t="s">
        <v>59</v>
      </c>
      <c r="B26" s="36" t="s">
        <v>232</v>
      </c>
      <c r="C26" s="165">
        <v>2019</v>
      </c>
      <c r="D26" s="166" t="s">
        <v>314</v>
      </c>
      <c r="E26" s="53" t="s">
        <v>162</v>
      </c>
      <c r="F26" s="53" t="s">
        <v>337</v>
      </c>
      <c r="G26" s="53" t="s">
        <v>36</v>
      </c>
      <c r="H26" s="53" t="s">
        <v>127</v>
      </c>
      <c r="I26" s="53" t="s">
        <v>159</v>
      </c>
      <c r="J26" s="53" t="s">
        <v>343</v>
      </c>
      <c r="K26" s="53" t="s">
        <v>327</v>
      </c>
      <c r="L26" s="53">
        <v>1</v>
      </c>
      <c r="N26" s="53">
        <v>1</v>
      </c>
      <c r="O26" s="53">
        <v>0.23</v>
      </c>
      <c r="P26" s="53">
        <v>0.24</v>
      </c>
      <c r="Q26" s="97">
        <f t="shared" si="2"/>
        <v>0.23499999999999999</v>
      </c>
      <c r="R26" s="53">
        <v>13</v>
      </c>
      <c r="S26" s="53">
        <v>88</v>
      </c>
      <c r="T26" s="16">
        <f t="shared" si="0"/>
        <v>36</v>
      </c>
      <c r="U26" s="53">
        <v>128</v>
      </c>
      <c r="V26" s="16">
        <f t="shared" si="1"/>
        <v>27</v>
      </c>
      <c r="W26" s="53">
        <v>1</v>
      </c>
      <c r="X26" s="53" t="s">
        <v>46</v>
      </c>
      <c r="Y26" s="53" t="s">
        <v>69</v>
      </c>
      <c r="Z26" s="53" t="s">
        <v>55</v>
      </c>
      <c r="AA26" s="53" t="s">
        <v>90</v>
      </c>
      <c r="AB26" s="36" t="s">
        <v>319</v>
      </c>
      <c r="AD26" s="36"/>
      <c r="AP26" s="43" t="s">
        <v>117</v>
      </c>
      <c r="AR26" s="27" t="s">
        <v>356</v>
      </c>
      <c r="AV26" s="27"/>
    </row>
    <row r="27" spans="1:48" x14ac:dyDescent="0.15">
      <c r="A27" s="53" t="s">
        <v>59</v>
      </c>
      <c r="B27" s="36" t="s">
        <v>232</v>
      </c>
      <c r="C27" s="165">
        <v>2019</v>
      </c>
      <c r="D27" s="166" t="s">
        <v>314</v>
      </c>
      <c r="E27" s="53" t="s">
        <v>162</v>
      </c>
      <c r="F27" s="53" t="s">
        <v>337</v>
      </c>
      <c r="G27" s="53" t="s">
        <v>36</v>
      </c>
      <c r="H27" s="53" t="s">
        <v>127</v>
      </c>
      <c r="I27" s="53" t="s">
        <v>159</v>
      </c>
      <c r="J27" s="53" t="s">
        <v>343</v>
      </c>
      <c r="K27" s="53" t="s">
        <v>327</v>
      </c>
      <c r="L27" s="53">
        <v>2</v>
      </c>
      <c r="N27" s="53">
        <v>1</v>
      </c>
      <c r="O27" s="53">
        <v>0.4</v>
      </c>
      <c r="P27" s="53">
        <v>0.55000000000000004</v>
      </c>
      <c r="Q27" s="97">
        <f t="shared" si="2"/>
        <v>0.47500000000000003</v>
      </c>
      <c r="R27" s="53">
        <v>14</v>
      </c>
      <c r="S27" s="53">
        <v>90</v>
      </c>
      <c r="T27" s="16">
        <f t="shared" si="0"/>
        <v>36</v>
      </c>
      <c r="U27" s="53">
        <v>128</v>
      </c>
      <c r="V27" s="16">
        <f t="shared" si="1"/>
        <v>27</v>
      </c>
      <c r="W27" s="53">
        <v>1</v>
      </c>
      <c r="X27" s="53" t="s">
        <v>46</v>
      </c>
      <c r="Y27" s="53" t="s">
        <v>69</v>
      </c>
      <c r="Z27" s="53" t="s">
        <v>55</v>
      </c>
      <c r="AA27" s="53" t="s">
        <v>90</v>
      </c>
      <c r="AB27" s="36" t="s">
        <v>319</v>
      </c>
      <c r="AD27" s="36"/>
      <c r="AP27" s="43" t="s">
        <v>118</v>
      </c>
      <c r="AR27" s="28" t="s">
        <v>153</v>
      </c>
      <c r="AV27" s="27"/>
    </row>
    <row r="28" spans="1:48" x14ac:dyDescent="0.15">
      <c r="A28" s="53" t="s">
        <v>59</v>
      </c>
      <c r="B28" s="36" t="s">
        <v>232</v>
      </c>
      <c r="C28" s="165">
        <v>2019</v>
      </c>
      <c r="D28" s="166" t="s">
        <v>314</v>
      </c>
      <c r="E28" s="53" t="s">
        <v>162</v>
      </c>
      <c r="F28" s="53" t="s">
        <v>337</v>
      </c>
      <c r="G28" s="53" t="s">
        <v>36</v>
      </c>
      <c r="H28" s="53" t="s">
        <v>127</v>
      </c>
      <c r="I28" s="53" t="s">
        <v>159</v>
      </c>
      <c r="J28" s="53" t="s">
        <v>343</v>
      </c>
      <c r="K28" s="53" t="s">
        <v>327</v>
      </c>
      <c r="L28" s="53">
        <v>3</v>
      </c>
      <c r="N28" s="53">
        <v>1</v>
      </c>
      <c r="O28" s="53">
        <v>0.33</v>
      </c>
      <c r="P28" s="53">
        <v>0.37</v>
      </c>
      <c r="Q28" s="97">
        <f t="shared" si="2"/>
        <v>0.35</v>
      </c>
      <c r="R28" s="53">
        <v>13.4</v>
      </c>
      <c r="S28" s="53">
        <v>84</v>
      </c>
      <c r="T28" s="16">
        <f t="shared" si="0"/>
        <v>36</v>
      </c>
      <c r="U28" s="53">
        <v>128</v>
      </c>
      <c r="V28" s="16">
        <f t="shared" si="1"/>
        <v>27</v>
      </c>
      <c r="W28" s="53">
        <v>1</v>
      </c>
      <c r="X28" s="53" t="s">
        <v>46</v>
      </c>
      <c r="Y28" s="53" t="s">
        <v>69</v>
      </c>
      <c r="Z28" s="53" t="s">
        <v>55</v>
      </c>
      <c r="AA28" s="53" t="s">
        <v>90</v>
      </c>
      <c r="AB28" s="36" t="s">
        <v>319</v>
      </c>
      <c r="AD28" s="36"/>
      <c r="AV28" s="27"/>
    </row>
    <row r="29" spans="1:48" x14ac:dyDescent="0.15">
      <c r="A29" s="53" t="s">
        <v>59</v>
      </c>
      <c r="B29" s="36" t="s">
        <v>232</v>
      </c>
      <c r="C29" s="165">
        <v>2019</v>
      </c>
      <c r="D29" s="166" t="s">
        <v>314</v>
      </c>
      <c r="E29" s="53" t="s">
        <v>334</v>
      </c>
      <c r="F29" s="53" t="s">
        <v>335</v>
      </c>
      <c r="G29" s="53" t="s">
        <v>36</v>
      </c>
      <c r="H29" s="53" t="s">
        <v>160</v>
      </c>
      <c r="I29" s="53" t="s">
        <v>159</v>
      </c>
      <c r="J29" s="53" t="s">
        <v>38</v>
      </c>
      <c r="K29" s="53" t="s">
        <v>161</v>
      </c>
      <c r="L29" s="53">
        <v>1</v>
      </c>
      <c r="N29" s="53">
        <v>4</v>
      </c>
      <c r="O29" s="53">
        <v>0.39</v>
      </c>
      <c r="P29" s="53">
        <v>0.42</v>
      </c>
      <c r="Q29" s="97">
        <f t="shared" si="2"/>
        <v>0.40500000000000003</v>
      </c>
      <c r="R29" s="53">
        <v>16.399999999999999</v>
      </c>
      <c r="S29" s="53">
        <v>119</v>
      </c>
      <c r="T29" s="16">
        <f t="shared" si="0"/>
        <v>30</v>
      </c>
      <c r="U29" s="53">
        <v>399</v>
      </c>
      <c r="V29" s="16">
        <f t="shared" si="1"/>
        <v>16</v>
      </c>
      <c r="W29" s="53">
        <v>2</v>
      </c>
      <c r="X29" s="53" t="s">
        <v>46</v>
      </c>
      <c r="Y29" s="53" t="s">
        <v>40</v>
      </c>
      <c r="Z29" s="53" t="s">
        <v>90</v>
      </c>
      <c r="AA29" s="53" t="s">
        <v>69</v>
      </c>
      <c r="AB29" s="36" t="s">
        <v>319</v>
      </c>
      <c r="AV29" s="27"/>
    </row>
    <row r="30" spans="1:48" x14ac:dyDescent="0.15">
      <c r="A30" s="53" t="s">
        <v>59</v>
      </c>
      <c r="B30" s="36" t="s">
        <v>232</v>
      </c>
      <c r="C30" s="165">
        <v>2019</v>
      </c>
      <c r="D30" s="166" t="s">
        <v>314</v>
      </c>
      <c r="E30" s="53" t="s">
        <v>334</v>
      </c>
      <c r="F30" s="53" t="s">
        <v>335</v>
      </c>
      <c r="G30" s="53" t="s">
        <v>36</v>
      </c>
      <c r="H30" s="53" t="s">
        <v>160</v>
      </c>
      <c r="I30" s="53" t="s">
        <v>159</v>
      </c>
      <c r="J30" s="53" t="s">
        <v>38</v>
      </c>
      <c r="K30" s="53" t="s">
        <v>161</v>
      </c>
      <c r="L30" s="53">
        <v>2</v>
      </c>
      <c r="N30" s="53">
        <v>4</v>
      </c>
      <c r="O30" s="53">
        <v>0.4</v>
      </c>
      <c r="P30" s="53">
        <v>0.42</v>
      </c>
      <c r="Q30" s="97">
        <f t="shared" si="2"/>
        <v>0.41000000000000003</v>
      </c>
      <c r="R30" s="53">
        <v>16.5</v>
      </c>
      <c r="S30" s="53">
        <v>113</v>
      </c>
      <c r="T30" s="16">
        <f t="shared" si="0"/>
        <v>30</v>
      </c>
      <c r="U30" s="53">
        <v>399</v>
      </c>
      <c r="V30" s="16">
        <f t="shared" si="1"/>
        <v>16</v>
      </c>
      <c r="W30" s="53">
        <v>2</v>
      </c>
      <c r="X30" s="53" t="s">
        <v>46</v>
      </c>
      <c r="Y30" s="53" t="s">
        <v>40</v>
      </c>
      <c r="Z30" s="53" t="s">
        <v>90</v>
      </c>
      <c r="AA30" s="53" t="s">
        <v>69</v>
      </c>
      <c r="AB30" s="36" t="s">
        <v>319</v>
      </c>
      <c r="AV30" s="27"/>
    </row>
    <row r="31" spans="1:48" x14ac:dyDescent="0.15">
      <c r="A31" s="53" t="s">
        <v>59</v>
      </c>
      <c r="B31" s="36" t="s">
        <v>232</v>
      </c>
      <c r="C31" s="165">
        <v>2019</v>
      </c>
      <c r="D31" s="166" t="s">
        <v>314</v>
      </c>
      <c r="E31" s="53" t="s">
        <v>334</v>
      </c>
      <c r="F31" s="53" t="s">
        <v>335</v>
      </c>
      <c r="G31" s="53" t="s">
        <v>36</v>
      </c>
      <c r="H31" s="53" t="s">
        <v>160</v>
      </c>
      <c r="I31" s="53" t="s">
        <v>159</v>
      </c>
      <c r="J31" s="53" t="s">
        <v>38</v>
      </c>
      <c r="K31" s="53" t="s">
        <v>161</v>
      </c>
      <c r="L31" s="53">
        <v>3</v>
      </c>
      <c r="N31" s="53">
        <v>4</v>
      </c>
      <c r="O31" s="53">
        <v>0.41</v>
      </c>
      <c r="P31" s="53">
        <v>0.44</v>
      </c>
      <c r="Q31" s="97">
        <f t="shared" si="2"/>
        <v>0.42499999999999999</v>
      </c>
      <c r="R31" s="53">
        <v>16</v>
      </c>
      <c r="S31" s="53">
        <v>118</v>
      </c>
      <c r="T31" s="16">
        <f t="shared" si="0"/>
        <v>30</v>
      </c>
      <c r="U31" s="53">
        <v>399</v>
      </c>
      <c r="V31" s="16">
        <f t="shared" si="1"/>
        <v>16</v>
      </c>
      <c r="W31" s="53">
        <v>2</v>
      </c>
      <c r="X31" s="53" t="s">
        <v>46</v>
      </c>
      <c r="Y31" s="53" t="s">
        <v>40</v>
      </c>
      <c r="Z31" s="53" t="s">
        <v>90</v>
      </c>
      <c r="AA31" s="53" t="s">
        <v>69</v>
      </c>
      <c r="AB31" s="36" t="s">
        <v>319</v>
      </c>
      <c r="AV31" s="27"/>
    </row>
    <row r="32" spans="1:48" x14ac:dyDescent="0.15">
      <c r="A32" s="53" t="s">
        <v>59</v>
      </c>
      <c r="B32" s="36" t="s">
        <v>232</v>
      </c>
      <c r="C32" s="165">
        <v>2019</v>
      </c>
      <c r="D32" s="166" t="s">
        <v>314</v>
      </c>
      <c r="E32" s="53" t="s">
        <v>325</v>
      </c>
      <c r="F32" s="53" t="s">
        <v>326</v>
      </c>
      <c r="G32" s="53" t="s">
        <v>36</v>
      </c>
      <c r="H32" s="53" t="s">
        <v>160</v>
      </c>
      <c r="I32" s="53" t="s">
        <v>159</v>
      </c>
      <c r="J32" s="53" t="s">
        <v>38</v>
      </c>
      <c r="K32" s="53" t="s">
        <v>161</v>
      </c>
      <c r="L32" s="53">
        <v>1</v>
      </c>
      <c r="N32" s="53">
        <v>2</v>
      </c>
      <c r="O32" s="53">
        <v>0.44</v>
      </c>
      <c r="P32" s="53">
        <v>0.49</v>
      </c>
      <c r="Q32" s="97">
        <f t="shared" si="2"/>
        <v>0.46499999999999997</v>
      </c>
      <c r="R32" s="53">
        <v>15.3</v>
      </c>
      <c r="S32" s="53">
        <v>116</v>
      </c>
      <c r="T32" s="16">
        <f t="shared" si="0"/>
        <v>30</v>
      </c>
      <c r="U32" s="53">
        <v>170</v>
      </c>
      <c r="V32" s="16">
        <f t="shared" si="1"/>
        <v>18</v>
      </c>
      <c r="W32" s="53">
        <v>1</v>
      </c>
      <c r="X32" s="53" t="s">
        <v>39</v>
      </c>
      <c r="Y32" s="53" t="s">
        <v>69</v>
      </c>
      <c r="Z32" s="53" t="s">
        <v>40</v>
      </c>
      <c r="AA32" s="53" t="s">
        <v>90</v>
      </c>
      <c r="AB32" s="36" t="s">
        <v>319</v>
      </c>
      <c r="AV32" s="27"/>
    </row>
    <row r="33" spans="1:48" x14ac:dyDescent="0.15">
      <c r="A33" s="53" t="s">
        <v>59</v>
      </c>
      <c r="B33" s="36" t="s">
        <v>232</v>
      </c>
      <c r="C33" s="165">
        <v>2019</v>
      </c>
      <c r="D33" s="166" t="s">
        <v>314</v>
      </c>
      <c r="E33" s="53" t="s">
        <v>325</v>
      </c>
      <c r="F33" s="53" t="s">
        <v>326</v>
      </c>
      <c r="G33" s="53" t="s">
        <v>36</v>
      </c>
      <c r="H33" s="53" t="s">
        <v>160</v>
      </c>
      <c r="I33" s="53" t="s">
        <v>159</v>
      </c>
      <c r="J33" s="53" t="s">
        <v>38</v>
      </c>
      <c r="K33" s="53" t="s">
        <v>161</v>
      </c>
      <c r="L33" s="53">
        <v>2</v>
      </c>
      <c r="N33" s="53">
        <v>2</v>
      </c>
      <c r="O33" s="53">
        <v>0.43</v>
      </c>
      <c r="P33" s="53">
        <v>0.43</v>
      </c>
      <c r="Q33" s="97">
        <f t="shared" si="2"/>
        <v>0.43</v>
      </c>
      <c r="R33" s="53">
        <v>17.3</v>
      </c>
      <c r="S33" s="53">
        <v>119</v>
      </c>
      <c r="T33" s="16">
        <f t="shared" si="0"/>
        <v>30</v>
      </c>
      <c r="U33" s="53">
        <v>170</v>
      </c>
      <c r="V33" s="16">
        <f t="shared" si="1"/>
        <v>18</v>
      </c>
      <c r="W33" s="53">
        <v>1</v>
      </c>
      <c r="X33" s="53" t="s">
        <v>39</v>
      </c>
      <c r="Y33" s="53" t="s">
        <v>69</v>
      </c>
      <c r="Z33" s="53" t="s">
        <v>40</v>
      </c>
      <c r="AA33" s="53" t="s">
        <v>90</v>
      </c>
      <c r="AB33" s="36" t="s">
        <v>319</v>
      </c>
      <c r="AV33" s="27"/>
    </row>
    <row r="34" spans="1:48" x14ac:dyDescent="0.15">
      <c r="A34" s="53" t="s">
        <v>59</v>
      </c>
      <c r="B34" s="36" t="s">
        <v>232</v>
      </c>
      <c r="C34" s="165">
        <v>2019</v>
      </c>
      <c r="D34" s="166" t="s">
        <v>314</v>
      </c>
      <c r="E34" s="53" t="s">
        <v>325</v>
      </c>
      <c r="F34" s="53" t="s">
        <v>326</v>
      </c>
      <c r="G34" s="53" t="s">
        <v>36</v>
      </c>
      <c r="H34" s="53" t="s">
        <v>160</v>
      </c>
      <c r="I34" s="53" t="s">
        <v>159</v>
      </c>
      <c r="J34" s="53" t="s">
        <v>38</v>
      </c>
      <c r="K34" s="53" t="s">
        <v>161</v>
      </c>
      <c r="L34" s="53">
        <v>3</v>
      </c>
      <c r="N34" s="53">
        <v>2</v>
      </c>
      <c r="O34" s="53">
        <v>0.47</v>
      </c>
      <c r="P34" s="53">
        <v>0.41</v>
      </c>
      <c r="Q34" s="97">
        <f t="shared" si="2"/>
        <v>0.43999999999999995</v>
      </c>
      <c r="R34" s="53">
        <v>17</v>
      </c>
      <c r="S34" s="53">
        <v>119</v>
      </c>
      <c r="T34" s="16">
        <f t="shared" si="0"/>
        <v>30</v>
      </c>
      <c r="U34" s="53">
        <v>170</v>
      </c>
      <c r="V34" s="16">
        <f t="shared" si="1"/>
        <v>18</v>
      </c>
      <c r="W34" s="53">
        <v>1</v>
      </c>
      <c r="X34" s="53" t="s">
        <v>39</v>
      </c>
      <c r="Y34" s="53" t="s">
        <v>69</v>
      </c>
      <c r="Z34" s="53" t="s">
        <v>40</v>
      </c>
      <c r="AA34" s="53" t="s">
        <v>90</v>
      </c>
      <c r="AB34" s="36" t="s">
        <v>319</v>
      </c>
      <c r="AV34" s="27"/>
    </row>
    <row r="35" spans="1:48" x14ac:dyDescent="0.15">
      <c r="A35" s="53" t="s">
        <v>59</v>
      </c>
      <c r="B35" s="36" t="s">
        <v>232</v>
      </c>
      <c r="C35" s="165">
        <v>2019</v>
      </c>
      <c r="D35" s="166" t="s">
        <v>314</v>
      </c>
      <c r="E35" s="53" t="s">
        <v>341</v>
      </c>
      <c r="F35" s="53" t="s">
        <v>342</v>
      </c>
      <c r="G35" s="53" t="s">
        <v>36</v>
      </c>
      <c r="H35" s="53" t="s">
        <v>160</v>
      </c>
      <c r="I35" s="53" t="s">
        <v>159</v>
      </c>
      <c r="J35" s="53" t="s">
        <v>38</v>
      </c>
      <c r="K35" s="53" t="s">
        <v>161</v>
      </c>
      <c r="L35" s="53">
        <v>1</v>
      </c>
      <c r="N35" s="53">
        <v>4</v>
      </c>
      <c r="O35" s="53">
        <v>0.34</v>
      </c>
      <c r="P35" s="53">
        <v>0.44</v>
      </c>
      <c r="Q35" s="97">
        <f t="shared" si="2"/>
        <v>0.39</v>
      </c>
      <c r="R35" s="53">
        <v>17</v>
      </c>
      <c r="S35" s="53">
        <v>140</v>
      </c>
      <c r="T35" s="16">
        <f t="shared" si="0"/>
        <v>22</v>
      </c>
      <c r="U35" s="53">
        <v>458</v>
      </c>
      <c r="V35" s="16">
        <f t="shared" si="1"/>
        <v>16</v>
      </c>
      <c r="W35" s="53">
        <v>6</v>
      </c>
      <c r="X35" s="53" t="s">
        <v>46</v>
      </c>
      <c r="Y35" s="53" t="s">
        <v>40</v>
      </c>
      <c r="Z35" s="53" t="s">
        <v>90</v>
      </c>
      <c r="AA35" s="53" t="s">
        <v>69</v>
      </c>
      <c r="AB35" s="36" t="s">
        <v>319</v>
      </c>
      <c r="AV35" s="27"/>
    </row>
    <row r="36" spans="1:48" x14ac:dyDescent="0.15">
      <c r="A36" s="53" t="s">
        <v>59</v>
      </c>
      <c r="B36" s="36" t="s">
        <v>232</v>
      </c>
      <c r="C36" s="165">
        <v>2019</v>
      </c>
      <c r="D36" s="166" t="s">
        <v>314</v>
      </c>
      <c r="E36" s="53" t="s">
        <v>341</v>
      </c>
      <c r="F36" s="53" t="s">
        <v>342</v>
      </c>
      <c r="G36" s="53" t="s">
        <v>36</v>
      </c>
      <c r="H36" s="53" t="s">
        <v>160</v>
      </c>
      <c r="I36" s="53" t="s">
        <v>159</v>
      </c>
      <c r="J36" s="53" t="s">
        <v>38</v>
      </c>
      <c r="K36" s="53" t="s">
        <v>161</v>
      </c>
      <c r="L36" s="53">
        <v>2</v>
      </c>
      <c r="N36" s="53">
        <v>4</v>
      </c>
      <c r="O36" s="53">
        <v>0.28999999999999998</v>
      </c>
      <c r="P36" s="53">
        <v>0.32</v>
      </c>
      <c r="Q36" s="97">
        <f t="shared" si="2"/>
        <v>0.30499999999999999</v>
      </c>
      <c r="R36" s="53">
        <v>16.3</v>
      </c>
      <c r="S36" s="53">
        <v>140</v>
      </c>
      <c r="T36" s="16">
        <f t="shared" si="0"/>
        <v>22</v>
      </c>
      <c r="U36" s="53">
        <v>458</v>
      </c>
      <c r="V36" s="16">
        <f t="shared" si="1"/>
        <v>16</v>
      </c>
      <c r="W36" s="53">
        <v>6</v>
      </c>
      <c r="X36" s="53" t="s">
        <v>46</v>
      </c>
      <c r="Y36" s="53" t="s">
        <v>40</v>
      </c>
      <c r="Z36" s="53" t="s">
        <v>90</v>
      </c>
      <c r="AA36" s="53" t="s">
        <v>69</v>
      </c>
      <c r="AB36" s="36" t="s">
        <v>319</v>
      </c>
      <c r="AV36" s="27"/>
    </row>
    <row r="37" spans="1:48" x14ac:dyDescent="0.15">
      <c r="A37" s="53" t="s">
        <v>59</v>
      </c>
      <c r="B37" s="36" t="s">
        <v>232</v>
      </c>
      <c r="C37" s="165">
        <v>2019</v>
      </c>
      <c r="D37" s="166" t="s">
        <v>314</v>
      </c>
      <c r="E37" s="53" t="s">
        <v>341</v>
      </c>
      <c r="F37" s="53" t="s">
        <v>342</v>
      </c>
      <c r="G37" s="53" t="s">
        <v>36</v>
      </c>
      <c r="H37" s="53" t="s">
        <v>160</v>
      </c>
      <c r="I37" s="53" t="s">
        <v>159</v>
      </c>
      <c r="J37" s="53" t="s">
        <v>38</v>
      </c>
      <c r="K37" s="53" t="s">
        <v>161</v>
      </c>
      <c r="L37" s="53">
        <v>3</v>
      </c>
      <c r="N37" s="53">
        <v>4</v>
      </c>
      <c r="O37" s="53">
        <v>0.42</v>
      </c>
      <c r="P37" s="53">
        <v>0.38</v>
      </c>
      <c r="Q37" s="97">
        <f t="shared" si="2"/>
        <v>0.4</v>
      </c>
      <c r="R37" s="53">
        <v>16.100000000000001</v>
      </c>
      <c r="S37" s="53">
        <v>136</v>
      </c>
      <c r="T37" s="16">
        <f t="shared" si="0"/>
        <v>25</v>
      </c>
      <c r="U37" s="53">
        <v>458</v>
      </c>
      <c r="V37" s="16">
        <f t="shared" si="1"/>
        <v>16</v>
      </c>
      <c r="W37" s="53">
        <v>6</v>
      </c>
      <c r="X37" s="53" t="s">
        <v>46</v>
      </c>
      <c r="Y37" s="53" t="s">
        <v>40</v>
      </c>
      <c r="Z37" s="53" t="s">
        <v>90</v>
      </c>
      <c r="AA37" s="53" t="s">
        <v>69</v>
      </c>
      <c r="AB37" s="36" t="s">
        <v>319</v>
      </c>
      <c r="AV37" s="27"/>
    </row>
    <row r="38" spans="1:48" x14ac:dyDescent="0.15">
      <c r="A38" s="53" t="s">
        <v>59</v>
      </c>
      <c r="B38" s="36" t="s">
        <v>232</v>
      </c>
      <c r="C38" s="165">
        <v>2019</v>
      </c>
      <c r="D38" s="166" t="s">
        <v>314</v>
      </c>
      <c r="E38" s="53" t="s">
        <v>331</v>
      </c>
      <c r="F38" s="53" t="s">
        <v>332</v>
      </c>
      <c r="G38" s="53" t="s">
        <v>36</v>
      </c>
      <c r="H38" s="53" t="s">
        <v>160</v>
      </c>
      <c r="I38" s="53" t="s">
        <v>159</v>
      </c>
      <c r="J38" s="53" t="s">
        <v>38</v>
      </c>
      <c r="K38" s="53" t="s">
        <v>161</v>
      </c>
      <c r="L38" s="53">
        <v>1</v>
      </c>
      <c r="N38" s="53">
        <v>4</v>
      </c>
      <c r="O38" s="53">
        <v>0.27</v>
      </c>
      <c r="P38" s="53">
        <v>0.3</v>
      </c>
      <c r="Q38" s="97">
        <f t="shared" si="2"/>
        <v>0.28500000000000003</v>
      </c>
      <c r="R38" s="53">
        <v>15.7</v>
      </c>
      <c r="S38" s="53">
        <v>120</v>
      </c>
      <c r="T38" s="16">
        <f t="shared" si="0"/>
        <v>30</v>
      </c>
      <c r="U38" s="53">
        <v>429</v>
      </c>
      <c r="V38" s="16">
        <f t="shared" si="1"/>
        <v>16</v>
      </c>
      <c r="W38" s="53">
        <v>9</v>
      </c>
      <c r="X38" s="53" t="s">
        <v>46</v>
      </c>
      <c r="Y38" s="53" t="s">
        <v>90</v>
      </c>
      <c r="Z38" s="53" t="s">
        <v>69</v>
      </c>
      <c r="AA38" s="53" t="s">
        <v>55</v>
      </c>
      <c r="AB38" s="36" t="s">
        <v>319</v>
      </c>
      <c r="AV38" s="27"/>
    </row>
    <row r="39" spans="1:48" x14ac:dyDescent="0.15">
      <c r="A39" s="53" t="s">
        <v>59</v>
      </c>
      <c r="B39" s="36" t="s">
        <v>232</v>
      </c>
      <c r="C39" s="165">
        <v>2019</v>
      </c>
      <c r="D39" s="166" t="s">
        <v>314</v>
      </c>
      <c r="E39" s="53" t="s">
        <v>331</v>
      </c>
      <c r="F39" s="53" t="s">
        <v>332</v>
      </c>
      <c r="G39" s="53" t="s">
        <v>36</v>
      </c>
      <c r="H39" s="53" t="s">
        <v>160</v>
      </c>
      <c r="I39" s="53" t="s">
        <v>159</v>
      </c>
      <c r="J39" s="53" t="s">
        <v>38</v>
      </c>
      <c r="K39" s="53" t="s">
        <v>161</v>
      </c>
      <c r="L39" s="53">
        <v>2</v>
      </c>
      <c r="N39" s="53">
        <v>4</v>
      </c>
      <c r="O39" s="53">
        <v>0.27</v>
      </c>
      <c r="P39" s="53">
        <v>0.28000000000000003</v>
      </c>
      <c r="Q39" s="97">
        <f t="shared" si="2"/>
        <v>0.27500000000000002</v>
      </c>
      <c r="R39" s="53">
        <v>15.9</v>
      </c>
      <c r="S39" s="53">
        <v>121</v>
      </c>
      <c r="T39" s="16">
        <f t="shared" si="0"/>
        <v>27</v>
      </c>
      <c r="U39" s="53">
        <v>429</v>
      </c>
      <c r="V39" s="16">
        <f t="shared" si="1"/>
        <v>16</v>
      </c>
      <c r="W39" s="53">
        <v>9</v>
      </c>
      <c r="X39" s="53" t="s">
        <v>46</v>
      </c>
      <c r="Y39" s="53" t="s">
        <v>90</v>
      </c>
      <c r="Z39" s="53" t="s">
        <v>69</v>
      </c>
      <c r="AA39" s="53" t="s">
        <v>55</v>
      </c>
      <c r="AB39" s="36" t="s">
        <v>319</v>
      </c>
      <c r="AV39" s="27"/>
    </row>
    <row r="40" spans="1:48" x14ac:dyDescent="0.15">
      <c r="A40" s="53" t="s">
        <v>59</v>
      </c>
      <c r="B40" s="36" t="s">
        <v>232</v>
      </c>
      <c r="C40" s="165">
        <v>2019</v>
      </c>
      <c r="D40" s="166" t="s">
        <v>314</v>
      </c>
      <c r="E40" s="53" t="s">
        <v>331</v>
      </c>
      <c r="F40" s="53" t="s">
        <v>332</v>
      </c>
      <c r="G40" s="53" t="s">
        <v>36</v>
      </c>
      <c r="H40" s="53" t="s">
        <v>160</v>
      </c>
      <c r="I40" s="53" t="s">
        <v>159</v>
      </c>
      <c r="J40" s="53" t="s">
        <v>38</v>
      </c>
      <c r="K40" s="53" t="s">
        <v>161</v>
      </c>
      <c r="L40" s="53">
        <v>3</v>
      </c>
      <c r="N40" s="53">
        <v>4</v>
      </c>
      <c r="O40" s="53">
        <v>0.35</v>
      </c>
      <c r="P40" s="53">
        <v>0.43</v>
      </c>
      <c r="Q40" s="97">
        <f t="shared" si="2"/>
        <v>0.39</v>
      </c>
      <c r="R40" s="53">
        <v>16.399999999999999</v>
      </c>
      <c r="S40" s="53">
        <v>102</v>
      </c>
      <c r="T40" s="16">
        <f t="shared" si="0"/>
        <v>33</v>
      </c>
      <c r="U40" s="53">
        <v>429</v>
      </c>
      <c r="V40" s="16">
        <f t="shared" si="1"/>
        <v>16</v>
      </c>
      <c r="W40" s="53">
        <v>9</v>
      </c>
      <c r="X40" s="53" t="s">
        <v>46</v>
      </c>
      <c r="Y40" s="53" t="s">
        <v>90</v>
      </c>
      <c r="Z40" s="53" t="s">
        <v>69</v>
      </c>
      <c r="AA40" s="53" t="s">
        <v>55</v>
      </c>
      <c r="AB40" s="36" t="s">
        <v>319</v>
      </c>
      <c r="AV40" s="27"/>
    </row>
    <row r="41" spans="1:48" x14ac:dyDescent="0.15">
      <c r="A41" s="53" t="s">
        <v>59</v>
      </c>
      <c r="B41" s="36" t="s">
        <v>232</v>
      </c>
      <c r="C41" s="165">
        <v>2019</v>
      </c>
      <c r="D41" s="166" t="s">
        <v>314</v>
      </c>
      <c r="E41" s="53" t="s">
        <v>331</v>
      </c>
      <c r="F41" s="53" t="s">
        <v>332</v>
      </c>
      <c r="G41" s="53" t="s">
        <v>36</v>
      </c>
      <c r="H41" s="53" t="s">
        <v>165</v>
      </c>
      <c r="I41" s="53" t="s">
        <v>159</v>
      </c>
      <c r="J41" s="53" t="s">
        <v>38</v>
      </c>
      <c r="K41" s="53" t="s">
        <v>161</v>
      </c>
      <c r="L41" s="53">
        <v>1</v>
      </c>
      <c r="N41" s="53">
        <v>1</v>
      </c>
      <c r="O41" s="53">
        <v>0.84</v>
      </c>
      <c r="P41" s="53">
        <v>0.7</v>
      </c>
      <c r="Q41" s="97">
        <f t="shared" si="2"/>
        <v>0.77</v>
      </c>
      <c r="R41" s="53">
        <v>15</v>
      </c>
      <c r="S41" s="53">
        <v>144</v>
      </c>
      <c r="T41" s="16">
        <f t="shared" si="0"/>
        <v>22</v>
      </c>
      <c r="U41" s="53">
        <v>170</v>
      </c>
      <c r="V41" s="16">
        <f t="shared" si="1"/>
        <v>18</v>
      </c>
      <c r="W41" s="53">
        <v>1</v>
      </c>
      <c r="X41" s="53" t="s">
        <v>39</v>
      </c>
      <c r="Y41" s="53" t="s">
        <v>90</v>
      </c>
      <c r="Z41" s="53" t="s">
        <v>69</v>
      </c>
      <c r="AA41" s="53" t="s">
        <v>55</v>
      </c>
      <c r="AB41" s="36" t="s">
        <v>319</v>
      </c>
      <c r="AV41" s="27"/>
    </row>
    <row r="42" spans="1:48" x14ac:dyDescent="0.15">
      <c r="A42" s="53" t="s">
        <v>59</v>
      </c>
      <c r="B42" s="36" t="s">
        <v>232</v>
      </c>
      <c r="C42" s="165">
        <v>2019</v>
      </c>
      <c r="D42" s="166" t="s">
        <v>314</v>
      </c>
      <c r="E42" s="53" t="s">
        <v>331</v>
      </c>
      <c r="F42" s="53" t="s">
        <v>332</v>
      </c>
      <c r="G42" s="53" t="s">
        <v>36</v>
      </c>
      <c r="H42" s="53" t="s">
        <v>165</v>
      </c>
      <c r="I42" s="53" t="s">
        <v>159</v>
      </c>
      <c r="J42" s="53" t="s">
        <v>38</v>
      </c>
      <c r="K42" s="53" t="s">
        <v>161</v>
      </c>
      <c r="L42" s="53">
        <v>2</v>
      </c>
      <c r="N42" s="53">
        <v>1</v>
      </c>
      <c r="O42" s="53">
        <v>0.72</v>
      </c>
      <c r="P42" s="53">
        <v>0.8</v>
      </c>
      <c r="Q42" s="97">
        <f t="shared" si="2"/>
        <v>0.76</v>
      </c>
      <c r="R42" s="53">
        <v>16.5</v>
      </c>
      <c r="S42" s="53">
        <v>140</v>
      </c>
      <c r="T42" s="16">
        <f t="shared" si="0"/>
        <v>22</v>
      </c>
      <c r="U42" s="53">
        <v>170</v>
      </c>
      <c r="V42" s="16">
        <f t="shared" si="1"/>
        <v>18</v>
      </c>
      <c r="W42" s="53">
        <v>1</v>
      </c>
      <c r="X42" s="53" t="s">
        <v>39</v>
      </c>
      <c r="Y42" s="53" t="s">
        <v>90</v>
      </c>
      <c r="Z42" s="53" t="s">
        <v>69</v>
      </c>
      <c r="AA42" s="53" t="s">
        <v>55</v>
      </c>
      <c r="AB42" s="36" t="s">
        <v>319</v>
      </c>
      <c r="AV42" s="27"/>
    </row>
    <row r="43" spans="1:48" x14ac:dyDescent="0.15">
      <c r="A43" s="53" t="s">
        <v>59</v>
      </c>
      <c r="B43" s="36" t="s">
        <v>232</v>
      </c>
      <c r="C43" s="165">
        <v>2019</v>
      </c>
      <c r="D43" s="166" t="s">
        <v>314</v>
      </c>
      <c r="E43" s="53" t="s">
        <v>331</v>
      </c>
      <c r="F43" s="53" t="s">
        <v>332</v>
      </c>
      <c r="G43" s="53" t="s">
        <v>36</v>
      </c>
      <c r="H43" s="53" t="s">
        <v>165</v>
      </c>
      <c r="I43" s="53" t="s">
        <v>159</v>
      </c>
      <c r="J43" s="53" t="s">
        <v>38</v>
      </c>
      <c r="K43" s="53" t="s">
        <v>161</v>
      </c>
      <c r="L43" s="53">
        <v>3</v>
      </c>
      <c r="N43" s="53">
        <v>1</v>
      </c>
      <c r="O43" s="53">
        <v>0.77</v>
      </c>
      <c r="P43" s="53">
        <v>0.71</v>
      </c>
      <c r="Q43" s="97">
        <f t="shared" si="2"/>
        <v>0.74</v>
      </c>
      <c r="R43" s="53">
        <v>15.1</v>
      </c>
      <c r="S43" s="53">
        <v>140</v>
      </c>
      <c r="T43" s="16">
        <f t="shared" si="0"/>
        <v>22</v>
      </c>
      <c r="U43" s="53">
        <v>170</v>
      </c>
      <c r="V43" s="16">
        <f t="shared" si="1"/>
        <v>18</v>
      </c>
      <c r="W43" s="53">
        <v>1</v>
      </c>
      <c r="X43" s="53" t="s">
        <v>39</v>
      </c>
      <c r="Y43" s="53" t="s">
        <v>90</v>
      </c>
      <c r="Z43" s="53" t="s">
        <v>69</v>
      </c>
      <c r="AA43" s="53" t="s">
        <v>55</v>
      </c>
      <c r="AB43" s="36" t="s">
        <v>319</v>
      </c>
      <c r="AV43" s="27"/>
    </row>
    <row r="44" spans="1:48" x14ac:dyDescent="0.15">
      <c r="B44" s="36"/>
      <c r="C44" s="165"/>
      <c r="D44" s="166"/>
      <c r="Q44" s="97" t="str">
        <f t="shared" si="2"/>
        <v/>
      </c>
      <c r="T44" s="16" t="str">
        <f t="shared" si="0"/>
        <v/>
      </c>
      <c r="V44" s="16" t="str">
        <f t="shared" si="1"/>
        <v/>
      </c>
      <c r="AB44" s="36"/>
    </row>
    <row r="45" spans="1:48" x14ac:dyDescent="0.15">
      <c r="B45" s="36"/>
      <c r="C45" s="165"/>
      <c r="D45" s="166"/>
      <c r="Q45" s="97" t="str">
        <f t="shared" si="2"/>
        <v/>
      </c>
      <c r="T45" s="16" t="str">
        <f t="shared" si="0"/>
        <v/>
      </c>
      <c r="V45" s="16" t="str">
        <f t="shared" si="1"/>
        <v/>
      </c>
      <c r="AB45" s="36"/>
    </row>
    <row r="46" spans="1:48" x14ac:dyDescent="0.15">
      <c r="B46" s="36"/>
      <c r="C46" s="165"/>
      <c r="D46" s="166"/>
      <c r="Q46" s="97" t="str">
        <f t="shared" si="2"/>
        <v/>
      </c>
      <c r="T46" s="16" t="str">
        <f t="shared" si="0"/>
        <v/>
      </c>
      <c r="V46" s="16" t="str">
        <f t="shared" si="1"/>
        <v/>
      </c>
      <c r="AB46" s="36"/>
    </row>
    <row r="47" spans="1:48" x14ac:dyDescent="0.15">
      <c r="B47" s="36"/>
      <c r="C47" s="165"/>
      <c r="D47" s="166"/>
      <c r="Q47" s="97" t="str">
        <f t="shared" si="2"/>
        <v/>
      </c>
      <c r="T47" s="16" t="str">
        <f t="shared" si="0"/>
        <v/>
      </c>
      <c r="V47" s="16" t="str">
        <f t="shared" si="1"/>
        <v/>
      </c>
      <c r="AB47" s="36"/>
    </row>
    <row r="48" spans="1:48" x14ac:dyDescent="0.15">
      <c r="B48" s="36"/>
      <c r="C48" s="165"/>
      <c r="D48" s="166"/>
      <c r="Q48" s="97" t="str">
        <f t="shared" si="2"/>
        <v/>
      </c>
      <c r="T48" s="16" t="str">
        <f t="shared" si="0"/>
        <v/>
      </c>
      <c r="V48" s="16" t="str">
        <f t="shared" si="1"/>
        <v/>
      </c>
      <c r="AB48" s="36"/>
    </row>
    <row r="49" spans="2:28" x14ac:dyDescent="0.15">
      <c r="B49" s="36"/>
      <c r="C49" s="165"/>
      <c r="D49" s="166"/>
      <c r="Q49" s="97" t="str">
        <f t="shared" si="2"/>
        <v/>
      </c>
      <c r="T49" s="16" t="str">
        <f t="shared" si="0"/>
        <v/>
      </c>
      <c r="V49" s="16" t="str">
        <f t="shared" si="1"/>
        <v/>
      </c>
      <c r="AB49" s="36"/>
    </row>
    <row r="50" spans="2:28" x14ac:dyDescent="0.15">
      <c r="B50" s="36"/>
      <c r="C50" s="165"/>
      <c r="D50" s="166"/>
      <c r="Q50" s="97"/>
      <c r="AB50" s="36"/>
    </row>
    <row r="51" spans="2:28" x14ac:dyDescent="0.15">
      <c r="B51" s="36"/>
      <c r="C51" s="165"/>
      <c r="D51" s="166"/>
      <c r="Q51" s="97"/>
      <c r="AB51" s="36"/>
    </row>
    <row r="52" spans="2:28" x14ac:dyDescent="0.15">
      <c r="B52" s="36"/>
      <c r="C52" s="165"/>
      <c r="D52" s="166"/>
      <c r="Q52" s="97"/>
      <c r="AB52" s="36"/>
    </row>
    <row r="53" spans="2:28" x14ac:dyDescent="0.15">
      <c r="B53" s="36"/>
      <c r="C53" s="165"/>
      <c r="D53" s="166"/>
      <c r="Q53" s="97"/>
      <c r="AB53" s="36"/>
    </row>
    <row r="54" spans="2:28" x14ac:dyDescent="0.15">
      <c r="B54" s="36"/>
      <c r="C54" s="165"/>
      <c r="D54" s="166"/>
      <c r="Q54" s="97"/>
      <c r="AB54" s="36"/>
    </row>
    <row r="55" spans="2:28" x14ac:dyDescent="0.15">
      <c r="B55" s="36"/>
      <c r="C55" s="165"/>
      <c r="D55" s="166"/>
      <c r="Q55" s="97"/>
      <c r="AB55" s="36"/>
    </row>
    <row r="56" spans="2:28" x14ac:dyDescent="0.15">
      <c r="B56" s="36"/>
      <c r="C56" s="165"/>
      <c r="D56" s="166"/>
      <c r="Q56" s="97"/>
      <c r="AB56" s="36"/>
    </row>
    <row r="57" spans="2:28" x14ac:dyDescent="0.15">
      <c r="B57" s="36"/>
      <c r="C57" s="165"/>
      <c r="D57" s="166"/>
      <c r="Q57" s="97"/>
      <c r="AB57" s="36"/>
    </row>
    <row r="58" spans="2:28" x14ac:dyDescent="0.15">
      <c r="B58" s="36"/>
      <c r="C58" s="165"/>
      <c r="D58" s="166"/>
      <c r="Q58" s="97"/>
      <c r="AB58" s="36"/>
    </row>
    <row r="59" spans="2:28" x14ac:dyDescent="0.15">
      <c r="B59" s="36"/>
      <c r="C59" s="165"/>
      <c r="D59" s="166"/>
      <c r="Q59" s="97"/>
      <c r="AB59" s="36"/>
    </row>
    <row r="60" spans="2:28" x14ac:dyDescent="0.15">
      <c r="B60" s="36"/>
      <c r="C60" s="165"/>
      <c r="D60" s="166"/>
      <c r="Q60" s="97"/>
      <c r="AB60" s="36"/>
    </row>
    <row r="61" spans="2:28" x14ac:dyDescent="0.15">
      <c r="B61" s="36"/>
      <c r="C61" s="165"/>
      <c r="D61" s="166"/>
      <c r="Q61" s="97"/>
      <c r="AB61" s="36"/>
    </row>
    <row r="62" spans="2:28" x14ac:dyDescent="0.15">
      <c r="B62" s="36"/>
      <c r="C62" s="165"/>
      <c r="D62" s="166"/>
      <c r="Q62" s="97"/>
      <c r="AB62" s="36"/>
    </row>
    <row r="63" spans="2:28" x14ac:dyDescent="0.15">
      <c r="B63" s="36"/>
      <c r="C63" s="165"/>
      <c r="D63" s="166"/>
      <c r="Q63" s="97"/>
      <c r="AB63" s="36"/>
    </row>
    <row r="64" spans="2:28" x14ac:dyDescent="0.15">
      <c r="B64" s="36"/>
      <c r="C64" s="165"/>
      <c r="D64" s="166"/>
      <c r="Q64" s="97"/>
      <c r="AB64" s="36"/>
    </row>
    <row r="65" spans="2:28" x14ac:dyDescent="0.15">
      <c r="B65" s="36"/>
      <c r="C65" s="165"/>
      <c r="D65" s="166"/>
      <c r="Q65" s="97"/>
      <c r="AB65" s="36"/>
    </row>
    <row r="66" spans="2:28" x14ac:dyDescent="0.15">
      <c r="B66" s="36"/>
      <c r="C66" s="165"/>
      <c r="D66" s="166"/>
      <c r="Q66" s="97"/>
      <c r="AB66" s="36"/>
    </row>
    <row r="67" spans="2:28" x14ac:dyDescent="0.15">
      <c r="B67" s="36"/>
      <c r="C67" s="165"/>
      <c r="D67" s="166"/>
      <c r="Q67" s="97"/>
      <c r="AB67" s="36"/>
    </row>
    <row r="68" spans="2:28" x14ac:dyDescent="0.15">
      <c r="B68" s="36"/>
      <c r="C68" s="165"/>
      <c r="D68" s="166"/>
      <c r="Q68" s="97"/>
      <c r="AB68" s="36"/>
    </row>
    <row r="69" spans="2:28" x14ac:dyDescent="0.15">
      <c r="B69" s="36"/>
      <c r="C69" s="165"/>
      <c r="D69" s="166"/>
      <c r="Q69" s="97"/>
      <c r="AB69" s="36"/>
    </row>
    <row r="70" spans="2:28" x14ac:dyDescent="0.15">
      <c r="B70" s="36"/>
      <c r="C70" s="165"/>
      <c r="D70" s="166"/>
      <c r="Q70" s="97"/>
      <c r="AB70" s="36"/>
    </row>
    <row r="71" spans="2:28" x14ac:dyDescent="0.15">
      <c r="B71" s="36"/>
      <c r="C71" s="165"/>
      <c r="D71" s="166"/>
      <c r="Q71" s="97"/>
      <c r="AB71" s="36"/>
    </row>
    <row r="72" spans="2:28" x14ac:dyDescent="0.15">
      <c r="B72" s="36"/>
      <c r="C72" s="165"/>
      <c r="D72" s="166"/>
      <c r="Q72" s="97"/>
      <c r="AB72" s="36"/>
    </row>
    <row r="73" spans="2:28" x14ac:dyDescent="0.15">
      <c r="B73" s="36"/>
      <c r="C73" s="165"/>
      <c r="D73" s="166"/>
      <c r="Q73" s="97"/>
      <c r="AB73" s="36"/>
    </row>
    <row r="74" spans="2:28" x14ac:dyDescent="0.15">
      <c r="B74" s="36"/>
      <c r="C74" s="165"/>
      <c r="D74" s="166"/>
      <c r="Q74" s="97"/>
      <c r="AB74" s="36"/>
    </row>
    <row r="75" spans="2:28" x14ac:dyDescent="0.15">
      <c r="B75" s="36"/>
      <c r="C75" s="165"/>
      <c r="D75" s="166"/>
      <c r="Q75" s="97"/>
      <c r="AB75" s="36"/>
    </row>
    <row r="76" spans="2:28" x14ac:dyDescent="0.15">
      <c r="B76" s="36"/>
      <c r="C76" s="165"/>
      <c r="D76" s="166"/>
      <c r="Q76" s="97"/>
      <c r="AB76" s="36"/>
    </row>
    <row r="77" spans="2:28" x14ac:dyDescent="0.15">
      <c r="B77" s="36"/>
      <c r="C77" s="165"/>
      <c r="D77" s="166"/>
      <c r="Q77" s="97"/>
      <c r="AB77" s="36"/>
    </row>
    <row r="78" spans="2:28" x14ac:dyDescent="0.15">
      <c r="B78" s="36"/>
      <c r="C78" s="165"/>
      <c r="D78" s="166"/>
      <c r="Q78" s="97"/>
      <c r="AB78" s="36"/>
    </row>
    <row r="79" spans="2:28" x14ac:dyDescent="0.15">
      <c r="B79" s="36"/>
      <c r="C79" s="165"/>
      <c r="D79" s="166"/>
      <c r="Q79" s="97"/>
      <c r="AB79" s="36"/>
    </row>
    <row r="80" spans="2:28" x14ac:dyDescent="0.15">
      <c r="B80" s="36"/>
      <c r="C80" s="165"/>
      <c r="D80" s="166"/>
      <c r="Q80" s="97"/>
      <c r="AB80" s="36"/>
    </row>
    <row r="81" spans="2:28" x14ac:dyDescent="0.15">
      <c r="B81" s="36"/>
      <c r="C81" s="165"/>
      <c r="D81" s="166"/>
      <c r="Q81" s="97"/>
      <c r="AB81" s="36"/>
    </row>
    <row r="82" spans="2:28" x14ac:dyDescent="0.15">
      <c r="B82" s="36"/>
      <c r="C82" s="165"/>
      <c r="D82" s="166"/>
      <c r="Q82" s="97"/>
      <c r="AB82" s="36"/>
    </row>
    <row r="83" spans="2:28" x14ac:dyDescent="0.15">
      <c r="B83" s="36"/>
      <c r="C83" s="165"/>
      <c r="Q83" s="97"/>
      <c r="AB83" s="36"/>
    </row>
    <row r="84" spans="2:28" x14ac:dyDescent="0.15">
      <c r="B84" s="36"/>
      <c r="C84" s="165"/>
      <c r="Q84" s="97"/>
      <c r="AB84" s="36"/>
    </row>
    <row r="85" spans="2:28" x14ac:dyDescent="0.15">
      <c r="B85" s="36"/>
      <c r="C85" s="165"/>
      <c r="Q85" s="97"/>
      <c r="AB85" s="36"/>
    </row>
    <row r="86" spans="2:28" x14ac:dyDescent="0.15">
      <c r="B86" s="36"/>
      <c r="C86" s="165"/>
      <c r="Q86" s="97"/>
      <c r="AB86" s="36"/>
    </row>
    <row r="87" spans="2:28" x14ac:dyDescent="0.15">
      <c r="B87" s="36"/>
      <c r="C87" s="165"/>
      <c r="Q87" s="97"/>
      <c r="AB87" s="36"/>
    </row>
    <row r="88" spans="2:28" x14ac:dyDescent="0.15">
      <c r="B88" s="36"/>
      <c r="C88" s="165"/>
      <c r="Q88" s="97"/>
      <c r="AB88" s="36"/>
    </row>
    <row r="89" spans="2:28" x14ac:dyDescent="0.15">
      <c r="B89" s="36"/>
      <c r="C89" s="165"/>
      <c r="Q89" s="97"/>
      <c r="AB89" s="36"/>
    </row>
    <row r="90" spans="2:28" x14ac:dyDescent="0.15">
      <c r="B90" s="36"/>
      <c r="C90" s="165"/>
      <c r="Q90" s="97"/>
      <c r="AB90" s="36"/>
    </row>
    <row r="91" spans="2:28" x14ac:dyDescent="0.15">
      <c r="B91" s="36"/>
      <c r="C91" s="165"/>
      <c r="Q91" s="97"/>
      <c r="AB91" s="36"/>
    </row>
    <row r="92" spans="2:28" x14ac:dyDescent="0.15">
      <c r="B92" s="36"/>
      <c r="C92" s="165"/>
      <c r="Q92" s="97"/>
      <c r="AB92" s="36"/>
    </row>
    <row r="93" spans="2:28" x14ac:dyDescent="0.15">
      <c r="B93" s="36"/>
      <c r="C93" s="165"/>
      <c r="Q93" s="97"/>
      <c r="AB93" s="36"/>
    </row>
    <row r="94" spans="2:28" x14ac:dyDescent="0.15">
      <c r="B94" s="36"/>
      <c r="C94" s="165"/>
      <c r="Q94" s="97"/>
      <c r="AB94" s="36"/>
    </row>
    <row r="95" spans="2:28" x14ac:dyDescent="0.15">
      <c r="B95" s="36"/>
      <c r="C95" s="165"/>
      <c r="Q95" s="97"/>
      <c r="AB95" s="36"/>
    </row>
    <row r="96" spans="2:28" x14ac:dyDescent="0.15">
      <c r="B96" s="36"/>
      <c r="C96" s="165"/>
      <c r="Q96" s="97"/>
      <c r="AB96" s="36"/>
    </row>
    <row r="97" spans="2:28" x14ac:dyDescent="0.15">
      <c r="B97" s="36"/>
      <c r="C97" s="165"/>
      <c r="Q97" s="97"/>
      <c r="AB97" s="36"/>
    </row>
    <row r="98" spans="2:28" x14ac:dyDescent="0.15">
      <c r="B98" s="36"/>
      <c r="C98" s="165"/>
      <c r="Q98" s="97"/>
      <c r="AB98" s="36"/>
    </row>
    <row r="99" spans="2:28" x14ac:dyDescent="0.15">
      <c r="B99" s="36"/>
      <c r="C99" s="165"/>
      <c r="AB99" s="36"/>
    </row>
    <row r="100" spans="2:28" x14ac:dyDescent="0.15">
      <c r="B100" s="36"/>
      <c r="C100" s="165"/>
      <c r="AB100" s="36"/>
    </row>
    <row r="101" spans="2:28"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c r="AB101" s="36"/>
    </row>
    <row r="102" spans="2:28" x14ac:dyDescent="0.15">
      <c r="Q102" s="16" t="str">
        <f t="shared" si="3"/>
        <v/>
      </c>
      <c r="T102" s="16" t="str">
        <f t="shared" si="4"/>
        <v/>
      </c>
      <c r="V102" s="16" t="str">
        <f t="shared" si="5"/>
        <v/>
      </c>
    </row>
    <row r="103" spans="2:28" x14ac:dyDescent="0.15">
      <c r="Q103" s="16" t="str">
        <f t="shared" si="3"/>
        <v/>
      </c>
      <c r="T103" s="16" t="str">
        <f t="shared" si="4"/>
        <v/>
      </c>
      <c r="V103" s="16" t="str">
        <f t="shared" si="5"/>
        <v/>
      </c>
    </row>
    <row r="104" spans="2:28" x14ac:dyDescent="0.15">
      <c r="Q104" s="16" t="str">
        <f t="shared" si="3"/>
        <v/>
      </c>
      <c r="T104" s="16" t="str">
        <f t="shared" si="4"/>
        <v/>
      </c>
      <c r="V104" s="16" t="str">
        <f t="shared" si="5"/>
        <v/>
      </c>
    </row>
    <row r="105" spans="2:28" x14ac:dyDescent="0.15">
      <c r="Q105" s="16" t="str">
        <f t="shared" si="3"/>
        <v/>
      </c>
      <c r="T105" s="16" t="str">
        <f t="shared" si="4"/>
        <v/>
      </c>
      <c r="V105" s="16" t="str">
        <f t="shared" si="5"/>
        <v/>
      </c>
    </row>
    <row r="106" spans="2:28" x14ac:dyDescent="0.15">
      <c r="Q106" s="16" t="str">
        <f t="shared" si="3"/>
        <v/>
      </c>
      <c r="T106" s="16" t="str">
        <f t="shared" si="4"/>
        <v/>
      </c>
      <c r="V106" s="16" t="str">
        <f t="shared" si="5"/>
        <v/>
      </c>
    </row>
    <row r="107" spans="2:28" x14ac:dyDescent="0.15">
      <c r="Q107" s="16" t="str">
        <f t="shared" si="3"/>
        <v/>
      </c>
      <c r="T107" s="16" t="str">
        <f t="shared" si="4"/>
        <v/>
      </c>
      <c r="V107" s="16" t="str">
        <f t="shared" si="5"/>
        <v/>
      </c>
    </row>
    <row r="108" spans="2:28" x14ac:dyDescent="0.15">
      <c r="Q108" s="16" t="str">
        <f t="shared" si="3"/>
        <v/>
      </c>
      <c r="T108" s="16" t="str">
        <f t="shared" si="4"/>
        <v/>
      </c>
      <c r="V108" s="16" t="str">
        <f t="shared" si="5"/>
        <v/>
      </c>
    </row>
    <row r="109" spans="2:28" x14ac:dyDescent="0.15">
      <c r="Q109" s="16" t="str">
        <f t="shared" si="3"/>
        <v/>
      </c>
      <c r="T109" s="16" t="str">
        <f t="shared" si="4"/>
        <v/>
      </c>
      <c r="V109" s="16" t="str">
        <f t="shared" si="5"/>
        <v/>
      </c>
    </row>
    <row r="110" spans="2:28" x14ac:dyDescent="0.15">
      <c r="Q110" s="16" t="str">
        <f t="shared" si="3"/>
        <v/>
      </c>
      <c r="T110" s="16" t="str">
        <f t="shared" si="4"/>
        <v/>
      </c>
      <c r="V110" s="16" t="str">
        <f t="shared" si="5"/>
        <v/>
      </c>
    </row>
    <row r="111" spans="2:28" x14ac:dyDescent="0.15">
      <c r="Q111" s="16" t="str">
        <f t="shared" si="3"/>
        <v/>
      </c>
      <c r="T111" s="16" t="str">
        <f t="shared" si="4"/>
        <v/>
      </c>
      <c r="V111" s="16" t="str">
        <f t="shared" si="5"/>
        <v/>
      </c>
    </row>
    <row r="112" spans="2:28"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xr:uid="{00000000-0009-0000-0000-000000000000}"/>
  <phoneticPr fontId="3"/>
  <dataValidations count="19">
    <dataValidation type="list" allowBlank="1" showInputMessage="1" showErrorMessage="1" sqref="K2:K434" xr:uid="{30FF5F32-8125-428F-9562-FEAF56E2257E}">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K435:K492 TC2:TC59 ACY2:ACY59 AMU2:AMU59 AWQ2:AWQ59 BGM2:BGM59 BQI2:BQI59 CAE2:CAE59 CKA2:CKA59 CTW2:CTW59 DDS2:DDS59 DNO2:DNO59 DXK2:DXK59 EHG2:EHG59 ERC2:ERC59 FAY2:FAY59 FKU2:FKU59 FUQ2:FUQ59 GEM2:GEM59 GOI2:GOI59 GYE2:GYE59 HIA2:HIA59 HRW2:HRW59 IBS2:IBS59 ILO2:ILO59 IVK2:IVK59 JFG2:JFG59 JPC2:JPC59 JYY2:JYY59 KIU2:KIU59 KSQ2:KSQ59 LCM2:LCM59 LMI2:LMI59 LWE2:LWE59 MGA2:MGA59 MPW2:MPW59 MZS2:MZS59 NJO2:NJO59 NTK2:NTK59 ODG2:ODG59 ONC2:ONC59 OWY2:OWY59 PGU2:PGU59 PQQ2:PQQ59 QAM2:QAM59 QKI2:QKI59 QUE2:QUE59 REA2:REA59 RNW2:RNW59 RXS2:RXS59 SHO2:SHO59 SRK2:SRK59 TBG2:TBG59 TLC2:TLC59 TUY2:TUY59 UEU2:UEU59 UOQ2:UOQ59 UYM2:UYM59 VII2:VII59 VSE2:VSE59 WCA2:WCA59 WLW2:WLW59 WVS2:WVS59 JG2:JG59" xr:uid="{6955C328-DCC5-40C2-B29E-F13FAC3BF5FC}">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J44:J492 JF2:JF59 TB2:TB59 ACX2:ACX59 AMT2:AMT59 AWP2:AWP59 BGL2:BGL59 BQH2:BQH59 CAD2:CAD59 CJZ2:CJZ59 CTV2:CTV59 DDR2:DDR59 DNN2:DNN59 DXJ2:DXJ59 EHF2:EHF59 ERB2:ERB59 FAX2:FAX59 FKT2:FKT59 FUP2:FUP59 GEL2:GEL59 GOH2:GOH59 GYD2:GYD59 HHZ2:HHZ59 HRV2:HRV59 IBR2:IBR59 ILN2:ILN59 IVJ2:IVJ59 JFF2:JFF59 JPB2:JPB59 JYX2:JYX59 KIT2:KIT59 KSP2:KSP59 LCL2:LCL59 LMH2:LMH59 LWD2:LWD59 MFZ2:MFZ59 MPV2:MPV59 MZR2:MZR59 NJN2:NJN59 NTJ2:NTJ59 ODF2:ODF59 ONB2:ONB59 OWX2:OWX59 PGT2:PGT59 PQP2:PQP59 QAL2:QAL59 QKH2:QKH59 QUD2:QUD59 RDZ2:RDZ59 RNV2:RNV59 RXR2:RXR59 SHN2:SHN59 SRJ2:SRJ59 TBF2:TBF59 TLB2:TLB59 TUX2:TUX59 UET2:UET59 UOP2:UOP59 UYL2:UYL59 VIH2:VIH59 VSD2:VSD59 WBZ2:WBZ59 WLV2:WLV59 WVR2:WVR59" xr:uid="{8500327C-749F-49A8-8DC3-1FEB5E337E1A}">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JD2:JD59 SZ2:SZ59 ACV2:ACV59 AMR2:AMR59 AWN2:AWN59 BGJ2:BGJ59 BQF2:BQF59 CAB2:CAB59 CJX2:CJX59 CTT2:CTT59 DDP2:DDP59 DNL2:DNL59 DXH2:DXH59 EHD2:EHD59 EQZ2:EQZ59 FAV2:FAV59 FKR2:FKR59 FUN2:FUN59 GEJ2:GEJ59 GOF2:GOF59 GYB2:GYB59 HHX2:HHX59 HRT2:HRT59 IBP2:IBP59 ILL2:ILL59 IVH2:IVH59 JFD2:JFD59 JOZ2:JOZ59 JYV2:JYV59 KIR2:KIR59 KSN2:KSN59 LCJ2:LCJ59 LMF2:LMF59 LWB2:LWB59 MFX2:MFX59 MPT2:MPT59 MZP2:MZP59 NJL2:NJL59 NTH2:NTH59 ODD2:ODD59 OMZ2:OMZ59 OWV2:OWV59 PGR2:PGR59 PQN2:PQN59 QAJ2:QAJ59 QKF2:QKF59 QUB2:QUB59 RDX2:RDX59 RNT2:RNT59 RXP2:RXP59 SHL2:SHL59 SRH2:SRH59 TBD2:TBD59 TKZ2:TKZ59 TUV2:TUV59 UER2:UER59 UON2:UON59 UYJ2:UYJ59 VIF2:VIF59 VSB2:VSB59 WBX2:WBX59 WLT2:WLT59 WVP2:WVP59" xr:uid="{4A033551-A81D-4E00-A952-238998C303EE}">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xr:uid="{F9162114-200A-4600-AC50-74ECE8ADE72F}">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TP2:TP59 ADL2:ADL59 ANH2:ANH59 AXD2:AXD59 BGZ2:BGZ59 BQV2:BQV59 CAR2:CAR59 CKN2:CKN59 CUJ2:CUJ59 DEF2:DEF59 DOB2:DOB59 DXX2:DXX59 EHT2:EHT59 ERP2:ERP59 FBL2:FBL59 FLH2:FLH59 FVD2:FVD59 GEZ2:GEZ59 GOV2:GOV59 GYR2:GYR59 HIN2:HIN59 HSJ2:HSJ59 ICF2:ICF59 IMB2:IMB59 IVX2:IVX59 JFT2:JFT59 JPP2:JPP59 JZL2:JZL59 KJH2:KJH59 KTD2:KTD59 LCZ2:LCZ59 LMV2:LMV59 LWR2:LWR59 MGN2:MGN59 MQJ2:MQJ59 NAF2:NAF59 NKB2:NKB59 NTX2:NTX59 ODT2:ODT59 ONP2:ONP59 OXL2:OXL59 PHH2:PHH59 PRD2:PRD59 QAZ2:QAZ59 QKV2:QKV59 QUR2:QUR59 REN2:REN59 ROJ2:ROJ59 RYF2:RYF59 SIB2:SIB59 SRX2:SRX59 TBT2:TBT59 TLP2:TLP59 TVL2:TVL59 UFH2:UFH59 UPD2:UPD59 UYZ2:UYZ59 VIV2:VIV59 VSR2:VSR59 WCN2:WCN59 WMJ2:WMJ59 WWF2:WWF59 X2:X492" xr:uid="{A42388A6-D588-4A0C-A0C9-9EA661F84E4D}">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xr:uid="{D1DDB569-AF81-49C3-B678-0810720FE965}">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I2:I492 TA2:TA59 ACW2:ACW59 AMS2:AMS59 AWO2:AWO59 BGK2:BGK59 BQG2:BQG59 CAC2:CAC59 CJY2:CJY59 CTU2:CTU59 DDQ2:DDQ59 DNM2:DNM59 DXI2:DXI59 EHE2:EHE59 ERA2:ERA59 FAW2:FAW59 FKS2:FKS59 FUO2:FUO59 GEK2:GEK59 GOG2:GOG59 GYC2:GYC59 HHY2:HHY59 HRU2:HRU59 IBQ2:IBQ59 ILM2:ILM59 IVI2:IVI59 JFE2:JFE59 JPA2:JPA59 JYW2:JYW59 KIS2:KIS59 KSO2:KSO59 LCK2:LCK59 LMG2:LMG59 LWC2:LWC59 MFY2:MFY59 MPU2:MPU59 MZQ2:MZQ59 NJM2:NJM59 NTI2:NTI59 ODE2:ODE59 ONA2:ONA59 OWW2:OWW59 PGS2:PGS59 PQO2:PQO59 QAK2:QAK59 QKG2:QKG59 QUC2:QUC59 RDY2:RDY59 RNU2:RNU59 RXQ2:RXQ59 SHM2:SHM59 SRI2:SRI59 TBE2:TBE59 TLA2:TLA59 TUW2:TUW59 UES2:UES59 UOO2:UOO59 UYK2:UYK59 VIG2:VIG59 VSC2:VSC59 WBY2:WBY59 WLU2:WLU59 WVQ2:WVQ59 JE2:JE59" xr:uid="{481478FF-8A94-47C1-A6F0-DD34886CCB67}">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xr:uid="{B13EB875-0F17-498F-862B-E11D29FF4DFC}">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xr:uid="{FDAE08E1-F94F-47DF-BEE3-D6DE6DDE5F37}">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JU2:JW59 TQ2:TS59 ADM2:ADO59 ANI2:ANK59 AXE2:AXG59 BHA2:BHC59 BQW2:BQY59 CAS2:CAU59 CKO2:CKQ59 CUK2:CUM59 DEG2:DEI59 DOC2:DOE59 DXY2:DYA59 EHU2:EHW59 ERQ2:ERS59 FBM2:FBO59 FLI2:FLK59 FVE2:FVG59 GFA2:GFC59 GOW2:GOY59 GYS2:GYU59 HIO2:HIQ59 HSK2:HSM59 ICG2:ICI59 IMC2:IME59 IVY2:IWA59 JFU2:JFW59 JPQ2:JPS59 JZM2:JZO59 KJI2:KJK59 KTE2:KTG59 LDA2:LDC59 LMW2:LMY59 LWS2:LWU59 MGO2:MGQ59 MQK2:MQM59 NAG2:NAI59 NKC2:NKE59 NTY2:NUA59 ODU2:ODW59 ONQ2:ONS59 OXM2:OXO59 PHI2:PHK59 PRE2:PRG59 QBA2:QBC59 QKW2:QKY59 QUS2:QUU59 REO2:REQ59 ROK2:ROM59 RYG2:RYI59 SIC2:SIE59 SRY2:SSA59 TBU2:TBW59 TLQ2:TLS59 TVM2:TVO59 UFI2:UFK59 UPE2:UPG59 UZA2:UZC59 VIW2:VIY59 VSS2:VSU59 WCO2:WCQ59 WMK2:WMM59 WWG2:WWI59" xr:uid="{35A7AD41-EF80-47F6-AE6B-2BD37864DDAD}">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B6593F80-3294-448A-BAF8-9074B20DF3CE}">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xr:uid="{FB947209-B285-48E7-899D-8DA826859B7F}">
      <formula1>#REF!</formula1>
    </dataValidation>
    <dataValidation type="list" allowBlank="1" showInputMessage="1" showErrorMessage="1" sqref="E2:E492" xr:uid="{4BDFBE51-19AC-4589-9229-B90D91F83A6F}">
      <formula1>$AG$2:$AG$11</formula1>
    </dataValidation>
    <dataValidation type="list" allowBlank="1" showInputMessage="1" showErrorMessage="1" sqref="H2:H492" xr:uid="{F7ACF0FB-668E-4ADD-8CAD-B718DBDB57C1}">
      <formula1>$AL$2:$AL$8</formula1>
    </dataValidation>
    <dataValidation type="decimal" allowBlank="1" showInputMessage="1" showErrorMessage="1" error="硬度を正しく入力して下さい。" sqref="O2:P492" xr:uid="{5AB01AE1-8D0D-4534-AFDF-A9B3B78A963C}">
      <formula1>0</formula1>
      <formula2>7</formula2>
    </dataValidation>
    <dataValidation type="list" allowBlank="1" showInputMessage="1" showErrorMessage="1" sqref="F2:F1446" xr:uid="{8084022B-C3B2-4EE9-8015-C3CB7B9C6279}">
      <formula1>$AH$2:$AH$11</formula1>
    </dataValidation>
    <dataValidation type="list" allowBlank="1" showInputMessage="1" showErrorMessage="1" sqref="Y2:AA583" xr:uid="{DF70A948-F6ED-4BF5-9A5E-4CBE4C714186}">
      <formula1>$AV$2:$AV$38</formula1>
    </dataValidation>
    <dataValidation type="list" allowBlank="1" showInputMessage="1" showErrorMessage="1" sqref="J2:J43" xr:uid="{5E53AD98-35EC-4D0A-AAFE-91D181C72E07}">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4714-BB5D-4D3E-BC1E-7F80D6D2344F}">
  <dimension ref="A1:BA443"/>
  <sheetViews>
    <sheetView topLeftCell="A10" zoomScale="70" zoomScaleNormal="70" zoomScaleSheetLayoutView="100" workbookViewId="0">
      <selection activeCell="Q13" sqref="Q13"/>
    </sheetView>
  </sheetViews>
  <sheetFormatPr defaultColWidth="9" defaultRowHeight="13.5" x14ac:dyDescent="0.15"/>
  <cols>
    <col min="1" max="3" width="9" style="53"/>
    <col min="4" max="4" width="10.42578125" style="53" bestFit="1" customWidth="1"/>
    <col min="5" max="16" width="9" style="53"/>
    <col min="17" max="17" width="9" style="16"/>
    <col min="18" max="19" width="9" style="53"/>
    <col min="20" max="20" width="9" style="16"/>
    <col min="21" max="21" width="9" style="53"/>
    <col min="22" max="22" width="9" style="16"/>
    <col min="23" max="32" width="9" style="53"/>
    <col min="33" max="33" width="16.85546875" style="53" bestFit="1" customWidth="1"/>
    <col min="34" max="34" width="15.5703125" style="53" customWidth="1"/>
    <col min="35" max="39" width="9" style="156"/>
    <col min="40" max="16384" width="9" style="53"/>
  </cols>
  <sheetData>
    <row r="1" spans="1:53" ht="45" x14ac:dyDescent="0.15">
      <c r="A1" s="44" t="s">
        <v>0</v>
      </c>
      <c r="B1" s="1" t="s">
        <v>1</v>
      </c>
      <c r="C1" s="1" t="s">
        <v>2</v>
      </c>
      <c r="D1" s="2" t="s">
        <v>3</v>
      </c>
      <c r="E1" s="45" t="s">
        <v>4</v>
      </c>
      <c r="F1" s="45" t="s">
        <v>5</v>
      </c>
      <c r="G1" s="45" t="s">
        <v>6</v>
      </c>
      <c r="H1" s="45" t="s">
        <v>7</v>
      </c>
      <c r="I1" s="45" t="s">
        <v>8</v>
      </c>
      <c r="J1" s="45" t="s">
        <v>9</v>
      </c>
      <c r="K1" s="176"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177"/>
      <c r="AJ1" s="178" t="s">
        <v>6</v>
      </c>
      <c r="AK1" s="177"/>
      <c r="AL1" s="179" t="s">
        <v>7</v>
      </c>
      <c r="AM1" s="177"/>
      <c r="AN1" s="10" t="s">
        <v>8</v>
      </c>
      <c r="AO1" s="9"/>
      <c r="AP1" s="10" t="s">
        <v>27</v>
      </c>
      <c r="AQ1" s="9"/>
      <c r="AR1" s="10" t="s">
        <v>10</v>
      </c>
      <c r="AS1" s="9"/>
      <c r="AT1" s="11" t="s">
        <v>28</v>
      </c>
      <c r="AU1" s="9"/>
      <c r="AV1" s="10" t="s">
        <v>29</v>
      </c>
      <c r="AX1" s="12" t="s">
        <v>30</v>
      </c>
      <c r="AY1" s="13" t="s">
        <v>31</v>
      </c>
      <c r="AZ1" s="13" t="s">
        <v>32</v>
      </c>
      <c r="BA1" s="14" t="s">
        <v>33</v>
      </c>
    </row>
    <row r="2" spans="1:53" x14ac:dyDescent="0.15">
      <c r="A2" s="180" t="s">
        <v>34</v>
      </c>
      <c r="B2" s="180" t="s">
        <v>232</v>
      </c>
      <c r="C2" s="180">
        <v>2019</v>
      </c>
      <c r="D2" s="181" t="s">
        <v>282</v>
      </c>
      <c r="E2" s="180" t="s">
        <v>357</v>
      </c>
      <c r="F2" s="180" t="s">
        <v>358</v>
      </c>
      <c r="G2" s="182" t="s">
        <v>36</v>
      </c>
      <c r="H2" s="183" t="s">
        <v>127</v>
      </c>
      <c r="I2" s="149" t="s">
        <v>159</v>
      </c>
      <c r="J2" s="184" t="s">
        <v>80</v>
      </c>
      <c r="K2" s="149" t="s">
        <v>63</v>
      </c>
      <c r="L2" s="185">
        <v>1</v>
      </c>
      <c r="M2" s="186"/>
      <c r="N2" s="186">
        <v>1</v>
      </c>
      <c r="O2" s="186">
        <v>1</v>
      </c>
      <c r="P2" s="186">
        <v>0.9</v>
      </c>
      <c r="Q2" s="187">
        <f t="shared" ref="Q2:Q65" si="0">IF(OR(O2="",P2=""),"",AVERAGE(O2,P2))</f>
        <v>0.95</v>
      </c>
      <c r="R2" s="188">
        <v>12.2</v>
      </c>
      <c r="S2" s="183">
        <v>127</v>
      </c>
      <c r="T2" s="189">
        <f t="shared" ref="T2:T65" si="1">IF(H2="","",IF(OR(H2="GREEN",H2="GK"),IF(S2&gt;=$AX$2,VLOOKUP(S2,$AX$2:$AY$7,2,1),""),IF(S2&gt;=$AZ$2,VLOOKUP(S2,$AZ$2:$BA$7,2,1),"")))</f>
        <v>30</v>
      </c>
      <c r="U2" s="149">
        <v>98</v>
      </c>
      <c r="V2" s="189">
        <f t="shared" ref="V2:V65" si="2">IF(OR(N2="",U2="",T2=""),"",U2/N2*T2)</f>
        <v>2940</v>
      </c>
      <c r="W2" s="190">
        <v>4</v>
      </c>
      <c r="X2" s="191" t="s">
        <v>46</v>
      </c>
      <c r="Y2" s="191" t="s">
        <v>97</v>
      </c>
      <c r="Z2" s="191" t="s">
        <v>107</v>
      </c>
      <c r="AA2" s="192" t="s">
        <v>86</v>
      </c>
      <c r="AB2" s="57" t="s">
        <v>285</v>
      </c>
      <c r="AE2" s="17" t="s">
        <v>35</v>
      </c>
      <c r="AG2" s="65" t="s">
        <v>357</v>
      </c>
      <c r="AH2" s="65" t="s">
        <v>358</v>
      </c>
      <c r="AJ2" s="157" t="s">
        <v>36</v>
      </c>
      <c r="AL2" s="18" t="s">
        <v>127</v>
      </c>
      <c r="AN2" s="18" t="s">
        <v>37</v>
      </c>
      <c r="AO2" s="54"/>
      <c r="AP2" s="18" t="s">
        <v>38</v>
      </c>
      <c r="AQ2" s="54"/>
      <c r="AR2" s="18" t="s">
        <v>120</v>
      </c>
      <c r="AS2" s="54"/>
      <c r="AT2" s="18" t="s">
        <v>39</v>
      </c>
      <c r="AU2" s="54"/>
      <c r="AV2" s="169" t="s">
        <v>40</v>
      </c>
      <c r="AW2" s="54"/>
      <c r="AX2" s="19">
        <v>1</v>
      </c>
      <c r="AY2" s="20">
        <v>50</v>
      </c>
      <c r="AZ2" s="20">
        <v>1</v>
      </c>
      <c r="BA2" s="21">
        <v>50</v>
      </c>
    </row>
    <row r="3" spans="1:53" x14ac:dyDescent="0.15">
      <c r="A3" s="193" t="s">
        <v>34</v>
      </c>
      <c r="B3" s="193" t="s">
        <v>157</v>
      </c>
      <c r="C3" s="194">
        <v>2019</v>
      </c>
      <c r="D3" s="195" t="s">
        <v>359</v>
      </c>
      <c r="E3" s="193" t="s">
        <v>357</v>
      </c>
      <c r="F3" s="193" t="s">
        <v>358</v>
      </c>
      <c r="G3" s="196" t="s">
        <v>36</v>
      </c>
      <c r="H3" s="149" t="s">
        <v>127</v>
      </c>
      <c r="I3" s="149" t="s">
        <v>159</v>
      </c>
      <c r="J3" s="149" t="s">
        <v>80</v>
      </c>
      <c r="K3" s="149" t="s">
        <v>63</v>
      </c>
      <c r="L3" s="53">
        <v>2</v>
      </c>
      <c r="N3" s="53">
        <v>1</v>
      </c>
      <c r="O3" s="53">
        <v>0.9</v>
      </c>
      <c r="P3" s="34">
        <v>0.95</v>
      </c>
      <c r="Q3" s="197">
        <f t="shared" si="0"/>
        <v>0.92500000000000004</v>
      </c>
      <c r="R3" s="198">
        <v>11.8</v>
      </c>
      <c r="S3" s="198">
        <v>114</v>
      </c>
      <c r="T3" s="16">
        <f t="shared" si="1"/>
        <v>30</v>
      </c>
      <c r="U3" s="199">
        <v>98</v>
      </c>
      <c r="V3" s="200">
        <f t="shared" si="2"/>
        <v>2940</v>
      </c>
      <c r="W3" s="201">
        <v>4</v>
      </c>
      <c r="X3" s="202" t="s">
        <v>46</v>
      </c>
      <c r="Y3" s="202" t="s">
        <v>97</v>
      </c>
      <c r="Z3" s="202" t="s">
        <v>107</v>
      </c>
      <c r="AA3" s="192" t="s">
        <v>86</v>
      </c>
      <c r="AB3" s="57" t="s">
        <v>158</v>
      </c>
      <c r="AE3" s="22" t="s">
        <v>41</v>
      </c>
      <c r="AG3" s="65" t="s">
        <v>360</v>
      </c>
      <c r="AH3" s="65" t="s">
        <v>361</v>
      </c>
      <c r="AJ3" s="203" t="s">
        <v>42</v>
      </c>
      <c r="AL3" s="23" t="s">
        <v>128</v>
      </c>
      <c r="AN3" s="23" t="s">
        <v>43</v>
      </c>
      <c r="AP3" s="23" t="s">
        <v>44</v>
      </c>
      <c r="AR3" s="41" t="s">
        <v>45</v>
      </c>
      <c r="AT3" s="23" t="s">
        <v>46</v>
      </c>
      <c r="AV3" s="23" t="s">
        <v>47</v>
      </c>
      <c r="AX3" s="24">
        <v>72</v>
      </c>
      <c r="AY3" s="25">
        <v>46</v>
      </c>
      <c r="AZ3" s="25">
        <v>71</v>
      </c>
      <c r="BA3" s="26">
        <v>42</v>
      </c>
    </row>
    <row r="4" spans="1:53" x14ac:dyDescent="0.15">
      <c r="A4" s="193" t="s">
        <v>34</v>
      </c>
      <c r="B4" s="193" t="s">
        <v>157</v>
      </c>
      <c r="C4" s="193">
        <v>2019</v>
      </c>
      <c r="D4" s="195" t="s">
        <v>359</v>
      </c>
      <c r="E4" s="193" t="s">
        <v>357</v>
      </c>
      <c r="F4" s="193" t="s">
        <v>358</v>
      </c>
      <c r="G4" s="196" t="s">
        <v>36</v>
      </c>
      <c r="H4" s="149" t="s">
        <v>127</v>
      </c>
      <c r="I4" s="149" t="s">
        <v>159</v>
      </c>
      <c r="J4" s="149" t="s">
        <v>80</v>
      </c>
      <c r="K4" s="149" t="s">
        <v>63</v>
      </c>
      <c r="L4" s="53">
        <v>3</v>
      </c>
      <c r="N4" s="53">
        <v>1</v>
      </c>
      <c r="O4" s="53">
        <v>0.9</v>
      </c>
      <c r="P4" s="34">
        <v>1</v>
      </c>
      <c r="Q4" s="97">
        <f t="shared" si="0"/>
        <v>0.95</v>
      </c>
      <c r="R4" s="204">
        <v>13.1</v>
      </c>
      <c r="S4" s="204">
        <v>141</v>
      </c>
      <c r="T4" s="16">
        <f t="shared" si="1"/>
        <v>30</v>
      </c>
      <c r="U4" s="205">
        <v>98</v>
      </c>
      <c r="V4" s="200">
        <f t="shared" si="2"/>
        <v>2940</v>
      </c>
      <c r="W4" s="206">
        <v>4</v>
      </c>
      <c r="X4" s="202" t="s">
        <v>46</v>
      </c>
      <c r="Y4" s="202" t="s">
        <v>97</v>
      </c>
      <c r="Z4" s="202" t="s">
        <v>107</v>
      </c>
      <c r="AA4" s="192" t="s">
        <v>86</v>
      </c>
      <c r="AB4" s="57" t="s">
        <v>158</v>
      </c>
      <c r="AE4" s="22" t="s">
        <v>34</v>
      </c>
      <c r="AG4" s="65" t="s">
        <v>362</v>
      </c>
      <c r="AH4" s="65" t="s">
        <v>361</v>
      </c>
      <c r="AJ4" s="207" t="s">
        <v>48</v>
      </c>
      <c r="AL4" s="27" t="s">
        <v>129</v>
      </c>
      <c r="AN4" s="28" t="s">
        <v>49</v>
      </c>
      <c r="AP4" s="23" t="s">
        <v>93</v>
      </c>
      <c r="AR4" s="41" t="s">
        <v>121</v>
      </c>
      <c r="AT4" s="28"/>
      <c r="AV4" s="23" t="s">
        <v>50</v>
      </c>
      <c r="AX4" s="24">
        <v>75</v>
      </c>
      <c r="AY4" s="25">
        <v>42</v>
      </c>
      <c r="AZ4" s="25">
        <v>76</v>
      </c>
      <c r="BA4" s="26">
        <v>39</v>
      </c>
    </row>
    <row r="5" spans="1:53" x14ac:dyDescent="0.15">
      <c r="A5" s="193" t="s">
        <v>34</v>
      </c>
      <c r="B5" s="193" t="s">
        <v>157</v>
      </c>
      <c r="C5" s="194">
        <v>2019</v>
      </c>
      <c r="D5" s="195" t="s">
        <v>359</v>
      </c>
      <c r="E5" s="193" t="s">
        <v>357</v>
      </c>
      <c r="F5" s="193" t="s">
        <v>358</v>
      </c>
      <c r="G5" s="196" t="s">
        <v>36</v>
      </c>
      <c r="H5" s="149" t="s">
        <v>160</v>
      </c>
      <c r="I5" s="149" t="s">
        <v>159</v>
      </c>
      <c r="J5" s="149" t="s">
        <v>38</v>
      </c>
      <c r="K5" s="149" t="s">
        <v>161</v>
      </c>
      <c r="L5" s="53">
        <v>1</v>
      </c>
      <c r="N5" s="53">
        <v>1</v>
      </c>
      <c r="O5" s="53">
        <v>0.85</v>
      </c>
      <c r="P5" s="36">
        <v>0.9</v>
      </c>
      <c r="Q5" s="97">
        <f t="shared" si="0"/>
        <v>0.875</v>
      </c>
      <c r="R5" s="204">
        <v>15</v>
      </c>
      <c r="S5" s="204">
        <v>126</v>
      </c>
      <c r="T5" s="16">
        <f t="shared" si="1"/>
        <v>30</v>
      </c>
      <c r="U5" s="205">
        <v>98</v>
      </c>
      <c r="V5" s="200">
        <f t="shared" si="2"/>
        <v>2940</v>
      </c>
      <c r="W5" s="206">
        <v>4</v>
      </c>
      <c r="X5" s="202" t="s">
        <v>46</v>
      </c>
      <c r="Y5" s="202" t="s">
        <v>97</v>
      </c>
      <c r="Z5" s="202" t="s">
        <v>107</v>
      </c>
      <c r="AA5" s="192" t="s">
        <v>86</v>
      </c>
      <c r="AB5" s="57" t="s">
        <v>158</v>
      </c>
      <c r="AE5" s="22" t="s">
        <v>51</v>
      </c>
      <c r="AG5" s="65" t="s">
        <v>357</v>
      </c>
      <c r="AH5" s="65" t="s">
        <v>363</v>
      </c>
      <c r="AJ5" s="208"/>
      <c r="AL5" s="29" t="s">
        <v>66</v>
      </c>
      <c r="AN5" s="29" t="s">
        <v>52</v>
      </c>
      <c r="AP5" s="23" t="s">
        <v>119</v>
      </c>
      <c r="AR5" s="41" t="s">
        <v>54</v>
      </c>
      <c r="AT5" s="151"/>
      <c r="AV5" s="23" t="s">
        <v>55</v>
      </c>
      <c r="AX5" s="24">
        <v>84</v>
      </c>
      <c r="AY5" s="25">
        <v>39</v>
      </c>
      <c r="AZ5" s="25">
        <v>84</v>
      </c>
      <c r="BA5" s="26">
        <v>36</v>
      </c>
    </row>
    <row r="6" spans="1:53" x14ac:dyDescent="0.15">
      <c r="A6" s="193" t="s">
        <v>34</v>
      </c>
      <c r="B6" s="193" t="s">
        <v>157</v>
      </c>
      <c r="C6" s="193">
        <v>2019</v>
      </c>
      <c r="D6" s="195" t="s">
        <v>359</v>
      </c>
      <c r="E6" s="193" t="s">
        <v>357</v>
      </c>
      <c r="F6" s="193" t="s">
        <v>358</v>
      </c>
      <c r="G6" s="196" t="s">
        <v>36</v>
      </c>
      <c r="H6" s="149" t="s">
        <v>160</v>
      </c>
      <c r="I6" s="149" t="s">
        <v>159</v>
      </c>
      <c r="J6" s="149" t="s">
        <v>38</v>
      </c>
      <c r="K6" s="149" t="s">
        <v>161</v>
      </c>
      <c r="L6" s="53">
        <v>2</v>
      </c>
      <c r="N6" s="53">
        <v>1</v>
      </c>
      <c r="O6" s="53">
        <v>0.9</v>
      </c>
      <c r="P6" s="36">
        <v>0.85</v>
      </c>
      <c r="Q6" s="97">
        <f t="shared" si="0"/>
        <v>0.875</v>
      </c>
      <c r="R6" s="204">
        <v>15.5</v>
      </c>
      <c r="S6" s="204">
        <v>144</v>
      </c>
      <c r="T6" s="16">
        <f t="shared" si="1"/>
        <v>30</v>
      </c>
      <c r="U6" s="205">
        <v>98</v>
      </c>
      <c r="V6" s="200">
        <f t="shared" si="2"/>
        <v>2940</v>
      </c>
      <c r="W6" s="206">
        <v>4</v>
      </c>
      <c r="X6" s="202" t="s">
        <v>46</v>
      </c>
      <c r="Y6" s="202" t="s">
        <v>97</v>
      </c>
      <c r="Z6" s="202" t="s">
        <v>107</v>
      </c>
      <c r="AA6" s="192" t="s">
        <v>86</v>
      </c>
      <c r="AB6" s="57" t="s">
        <v>158</v>
      </c>
      <c r="AE6" s="22" t="s">
        <v>56</v>
      </c>
      <c r="AG6" s="65" t="s">
        <v>210</v>
      </c>
      <c r="AH6" s="65" t="s">
        <v>364</v>
      </c>
      <c r="AL6" s="29" t="s">
        <v>99</v>
      </c>
      <c r="AN6" s="29" t="s">
        <v>57</v>
      </c>
      <c r="AP6" s="23" t="s">
        <v>53</v>
      </c>
      <c r="AR6" s="41" t="s">
        <v>59</v>
      </c>
      <c r="AV6" s="23" t="s">
        <v>60</v>
      </c>
      <c r="AX6" s="24">
        <v>97</v>
      </c>
      <c r="AY6" s="25">
        <v>36</v>
      </c>
      <c r="AZ6" s="25">
        <v>99</v>
      </c>
      <c r="BA6" s="26">
        <v>33</v>
      </c>
    </row>
    <row r="7" spans="1:53" x14ac:dyDescent="0.15">
      <c r="A7" s="193" t="s">
        <v>34</v>
      </c>
      <c r="B7" s="193" t="s">
        <v>157</v>
      </c>
      <c r="C7" s="194">
        <v>2019</v>
      </c>
      <c r="D7" s="195" t="s">
        <v>359</v>
      </c>
      <c r="E7" s="193" t="s">
        <v>357</v>
      </c>
      <c r="F7" s="193" t="s">
        <v>358</v>
      </c>
      <c r="G7" s="196" t="s">
        <v>36</v>
      </c>
      <c r="H7" s="149" t="s">
        <v>160</v>
      </c>
      <c r="I7" s="149" t="s">
        <v>159</v>
      </c>
      <c r="J7" s="149" t="s">
        <v>38</v>
      </c>
      <c r="K7" s="149" t="s">
        <v>161</v>
      </c>
      <c r="L7" s="53">
        <v>3</v>
      </c>
      <c r="N7" s="53">
        <v>1</v>
      </c>
      <c r="O7" s="53">
        <v>0.8</v>
      </c>
      <c r="P7" s="36">
        <v>0.85</v>
      </c>
      <c r="Q7" s="97">
        <f t="shared" si="0"/>
        <v>0.82499999999999996</v>
      </c>
      <c r="R7" s="204">
        <v>15.1</v>
      </c>
      <c r="S7" s="204">
        <v>125</v>
      </c>
      <c r="T7" s="16">
        <f t="shared" si="1"/>
        <v>30</v>
      </c>
      <c r="U7" s="205">
        <v>98</v>
      </c>
      <c r="V7" s="200">
        <f t="shared" si="2"/>
        <v>2940</v>
      </c>
      <c r="W7" s="206">
        <v>4</v>
      </c>
      <c r="X7" s="202" t="s">
        <v>46</v>
      </c>
      <c r="Y7" s="202" t="s">
        <v>97</v>
      </c>
      <c r="Z7" s="202" t="s">
        <v>107</v>
      </c>
      <c r="AA7" s="192" t="s">
        <v>86</v>
      </c>
      <c r="AB7" s="57" t="s">
        <v>158</v>
      </c>
      <c r="AE7" s="22" t="s">
        <v>61</v>
      </c>
      <c r="AG7" s="65" t="s">
        <v>365</v>
      </c>
      <c r="AH7" s="65" t="s">
        <v>364</v>
      </c>
      <c r="AL7" s="34" t="s">
        <v>109</v>
      </c>
      <c r="AP7" s="23" t="s">
        <v>58</v>
      </c>
      <c r="AR7" s="30" t="s">
        <v>122</v>
      </c>
      <c r="AV7" s="23" t="s">
        <v>64</v>
      </c>
      <c r="AX7" s="24">
        <v>109</v>
      </c>
      <c r="AY7" s="25">
        <v>33</v>
      </c>
      <c r="AZ7" s="25">
        <v>113</v>
      </c>
      <c r="BA7" s="26">
        <v>30</v>
      </c>
    </row>
    <row r="8" spans="1:53" x14ac:dyDescent="0.15">
      <c r="A8" s="193" t="s">
        <v>34</v>
      </c>
      <c r="B8" s="193" t="s">
        <v>157</v>
      </c>
      <c r="C8" s="193">
        <v>2019</v>
      </c>
      <c r="D8" s="195" t="s">
        <v>359</v>
      </c>
      <c r="E8" s="194" t="s">
        <v>360</v>
      </c>
      <c r="F8" s="193" t="s">
        <v>361</v>
      </c>
      <c r="G8" s="196" t="s">
        <v>36</v>
      </c>
      <c r="H8" s="149" t="s">
        <v>127</v>
      </c>
      <c r="I8" s="149" t="s">
        <v>159</v>
      </c>
      <c r="J8" s="149" t="s">
        <v>80</v>
      </c>
      <c r="K8" s="149" t="s">
        <v>63</v>
      </c>
      <c r="L8" s="53">
        <v>1</v>
      </c>
      <c r="N8" s="53">
        <v>4</v>
      </c>
      <c r="O8" s="53">
        <v>0.7</v>
      </c>
      <c r="P8" s="53">
        <v>0.8</v>
      </c>
      <c r="Q8" s="97">
        <f t="shared" si="0"/>
        <v>0.75</v>
      </c>
      <c r="R8" s="204">
        <v>13.8</v>
      </c>
      <c r="S8" s="204">
        <v>98</v>
      </c>
      <c r="T8" s="16">
        <f t="shared" si="1"/>
        <v>36</v>
      </c>
      <c r="U8" s="209">
        <v>458</v>
      </c>
      <c r="V8" s="200">
        <f t="shared" si="2"/>
        <v>4122</v>
      </c>
      <c r="W8" s="206">
        <v>4</v>
      </c>
      <c r="X8" s="202" t="s">
        <v>46</v>
      </c>
      <c r="Y8" s="210" t="s">
        <v>40</v>
      </c>
      <c r="Z8" s="202" t="s">
        <v>69</v>
      </c>
      <c r="AA8" s="192" t="s">
        <v>47</v>
      </c>
      <c r="AB8" s="57" t="s">
        <v>158</v>
      </c>
      <c r="AE8" s="22" t="s">
        <v>59</v>
      </c>
      <c r="AG8" s="65" t="s">
        <v>210</v>
      </c>
      <c r="AH8" s="65" t="s">
        <v>366</v>
      </c>
      <c r="AL8" s="34" t="s">
        <v>134</v>
      </c>
      <c r="AP8" s="23" t="s">
        <v>62</v>
      </c>
      <c r="AR8" s="41" t="s">
        <v>81</v>
      </c>
      <c r="AV8" s="23" t="s">
        <v>97</v>
      </c>
      <c r="AX8" s="24">
        <v>151</v>
      </c>
      <c r="AY8" s="25">
        <v>22</v>
      </c>
      <c r="AZ8" s="25">
        <v>152</v>
      </c>
      <c r="BA8" s="26">
        <v>18</v>
      </c>
    </row>
    <row r="9" spans="1:53" x14ac:dyDescent="0.15">
      <c r="A9" s="193" t="s">
        <v>34</v>
      </c>
      <c r="B9" s="193" t="s">
        <v>157</v>
      </c>
      <c r="C9" s="194">
        <v>2019</v>
      </c>
      <c r="D9" s="195" t="s">
        <v>359</v>
      </c>
      <c r="E9" s="194" t="s">
        <v>360</v>
      </c>
      <c r="F9" s="193" t="s">
        <v>361</v>
      </c>
      <c r="G9" s="196" t="s">
        <v>36</v>
      </c>
      <c r="H9" s="149" t="s">
        <v>127</v>
      </c>
      <c r="I9" s="149" t="s">
        <v>159</v>
      </c>
      <c r="J9" s="149" t="s">
        <v>80</v>
      </c>
      <c r="K9" s="149" t="s">
        <v>63</v>
      </c>
      <c r="L9" s="53">
        <v>2</v>
      </c>
      <c r="N9" s="53">
        <v>4</v>
      </c>
      <c r="O9" s="53">
        <v>0.55000000000000004</v>
      </c>
      <c r="P9" s="53">
        <v>0.55000000000000004</v>
      </c>
      <c r="Q9" s="97">
        <f t="shared" si="0"/>
        <v>0.55000000000000004</v>
      </c>
      <c r="R9" s="204">
        <v>13.4</v>
      </c>
      <c r="S9" s="204">
        <v>91</v>
      </c>
      <c r="T9" s="16">
        <f t="shared" si="1"/>
        <v>36</v>
      </c>
      <c r="U9" s="209">
        <v>458</v>
      </c>
      <c r="V9" s="200">
        <f t="shared" si="2"/>
        <v>4122</v>
      </c>
      <c r="W9" s="206">
        <v>4</v>
      </c>
      <c r="X9" s="202" t="s">
        <v>46</v>
      </c>
      <c r="Y9" s="210" t="s">
        <v>40</v>
      </c>
      <c r="Z9" s="202" t="s">
        <v>69</v>
      </c>
      <c r="AA9" s="192" t="s">
        <v>47</v>
      </c>
      <c r="AB9" s="57" t="s">
        <v>158</v>
      </c>
      <c r="AE9" s="22" t="s">
        <v>98</v>
      </c>
      <c r="AG9" s="65" t="s">
        <v>139</v>
      </c>
      <c r="AH9" s="65" t="s">
        <v>366</v>
      </c>
      <c r="AL9" s="29"/>
      <c r="AP9" s="23" t="s">
        <v>95</v>
      </c>
      <c r="AR9" s="30" t="s">
        <v>89</v>
      </c>
      <c r="AV9" s="23" t="s">
        <v>102</v>
      </c>
      <c r="AX9" s="31">
        <v>180</v>
      </c>
      <c r="AY9" s="32">
        <v>18</v>
      </c>
      <c r="AZ9" s="32">
        <v>181</v>
      </c>
      <c r="BA9" s="33">
        <v>16</v>
      </c>
    </row>
    <row r="10" spans="1:53" x14ac:dyDescent="0.15">
      <c r="A10" s="193" t="s">
        <v>34</v>
      </c>
      <c r="B10" s="193" t="s">
        <v>157</v>
      </c>
      <c r="C10" s="193">
        <v>2019</v>
      </c>
      <c r="D10" s="195" t="s">
        <v>359</v>
      </c>
      <c r="E10" s="194" t="s">
        <v>360</v>
      </c>
      <c r="F10" s="193" t="s">
        <v>361</v>
      </c>
      <c r="G10" s="196" t="s">
        <v>36</v>
      </c>
      <c r="H10" s="149" t="s">
        <v>127</v>
      </c>
      <c r="I10" s="149" t="s">
        <v>159</v>
      </c>
      <c r="J10" s="149" t="s">
        <v>80</v>
      </c>
      <c r="K10" s="149" t="s">
        <v>63</v>
      </c>
      <c r="L10" s="53">
        <v>3</v>
      </c>
      <c r="N10" s="53">
        <v>4</v>
      </c>
      <c r="O10" s="53">
        <v>0.9</v>
      </c>
      <c r="P10" s="53">
        <v>0.8</v>
      </c>
      <c r="Q10" s="97">
        <f t="shared" si="0"/>
        <v>0.85000000000000009</v>
      </c>
      <c r="R10" s="204">
        <v>12.8</v>
      </c>
      <c r="S10" s="204">
        <v>95</v>
      </c>
      <c r="T10" s="16">
        <f t="shared" si="1"/>
        <v>36</v>
      </c>
      <c r="U10" s="209">
        <v>458</v>
      </c>
      <c r="V10" s="200">
        <f t="shared" si="2"/>
        <v>4122</v>
      </c>
      <c r="W10" s="206">
        <v>4</v>
      </c>
      <c r="X10" s="202" t="s">
        <v>46</v>
      </c>
      <c r="Y10" s="210" t="s">
        <v>40</v>
      </c>
      <c r="Z10" s="202" t="s">
        <v>69</v>
      </c>
      <c r="AA10" s="192" t="s">
        <v>47</v>
      </c>
      <c r="AB10" s="57" t="s">
        <v>158</v>
      </c>
      <c r="AE10" s="22" t="s">
        <v>103</v>
      </c>
      <c r="AG10" s="65" t="s">
        <v>133</v>
      </c>
      <c r="AH10" s="65" t="s">
        <v>367</v>
      </c>
      <c r="AL10" s="34"/>
      <c r="AP10" s="23" t="s">
        <v>100</v>
      </c>
      <c r="AR10" s="30" t="s">
        <v>123</v>
      </c>
      <c r="AV10" s="23" t="s">
        <v>106</v>
      </c>
    </row>
    <row r="11" spans="1:53" x14ac:dyDescent="0.15">
      <c r="A11" s="193" t="s">
        <v>34</v>
      </c>
      <c r="B11" s="193" t="s">
        <v>157</v>
      </c>
      <c r="C11" s="194">
        <v>2019</v>
      </c>
      <c r="D11" s="195" t="s">
        <v>359</v>
      </c>
      <c r="E11" s="194" t="s">
        <v>360</v>
      </c>
      <c r="F11" s="193" t="s">
        <v>361</v>
      </c>
      <c r="G11" s="196" t="s">
        <v>36</v>
      </c>
      <c r="H11" s="149" t="s">
        <v>160</v>
      </c>
      <c r="I11" s="149" t="s">
        <v>159</v>
      </c>
      <c r="J11" s="149" t="s">
        <v>38</v>
      </c>
      <c r="K11" s="149" t="s">
        <v>161</v>
      </c>
      <c r="L11" s="53">
        <v>1</v>
      </c>
      <c r="N11" s="53">
        <v>1</v>
      </c>
      <c r="O11" s="53">
        <v>0.75</v>
      </c>
      <c r="P11" s="53">
        <v>0.8</v>
      </c>
      <c r="Q11" s="97">
        <f t="shared" si="0"/>
        <v>0.77500000000000002</v>
      </c>
      <c r="R11" s="204">
        <v>15.8</v>
      </c>
      <c r="S11" s="204">
        <v>121</v>
      </c>
      <c r="T11" s="16">
        <f t="shared" si="1"/>
        <v>30</v>
      </c>
      <c r="U11" s="209">
        <v>128</v>
      </c>
      <c r="V11" s="200">
        <f t="shared" si="2"/>
        <v>3840</v>
      </c>
      <c r="W11" s="206">
        <v>4</v>
      </c>
      <c r="X11" s="202" t="s">
        <v>46</v>
      </c>
      <c r="Y11" s="210" t="s">
        <v>40</v>
      </c>
      <c r="Z11" s="202" t="s">
        <v>69</v>
      </c>
      <c r="AA11" s="211" t="s">
        <v>47</v>
      </c>
      <c r="AB11" s="57" t="s">
        <v>158</v>
      </c>
      <c r="AE11" s="22" t="s">
        <v>65</v>
      </c>
      <c r="AG11" s="41" t="s">
        <v>268</v>
      </c>
      <c r="AH11" s="41" t="s">
        <v>368</v>
      </c>
      <c r="AL11" s="34"/>
      <c r="AP11" s="23" t="s">
        <v>104</v>
      </c>
      <c r="AR11" s="30" t="s">
        <v>87</v>
      </c>
      <c r="AV11" s="23" t="s">
        <v>69</v>
      </c>
    </row>
    <row r="12" spans="1:53" x14ac:dyDescent="0.15">
      <c r="A12" s="193" t="s">
        <v>34</v>
      </c>
      <c r="B12" s="193" t="s">
        <v>157</v>
      </c>
      <c r="C12" s="193">
        <v>2019</v>
      </c>
      <c r="D12" s="195" t="s">
        <v>359</v>
      </c>
      <c r="E12" s="194" t="s">
        <v>360</v>
      </c>
      <c r="F12" s="193" t="s">
        <v>361</v>
      </c>
      <c r="G12" s="196" t="s">
        <v>36</v>
      </c>
      <c r="H12" s="149" t="s">
        <v>160</v>
      </c>
      <c r="I12" s="149" t="s">
        <v>159</v>
      </c>
      <c r="J12" s="149" t="s">
        <v>38</v>
      </c>
      <c r="K12" s="149" t="s">
        <v>161</v>
      </c>
      <c r="L12" s="53">
        <v>2</v>
      </c>
      <c r="N12" s="53">
        <v>1</v>
      </c>
      <c r="O12" s="53">
        <v>0.6</v>
      </c>
      <c r="P12" s="53">
        <v>0.55000000000000004</v>
      </c>
      <c r="Q12" s="97">
        <f t="shared" si="0"/>
        <v>0.57499999999999996</v>
      </c>
      <c r="R12" s="204">
        <v>16.3</v>
      </c>
      <c r="S12" s="204">
        <v>121</v>
      </c>
      <c r="T12" s="16">
        <f t="shared" si="1"/>
        <v>30</v>
      </c>
      <c r="U12" s="209">
        <v>128</v>
      </c>
      <c r="V12" s="200">
        <f t="shared" si="2"/>
        <v>3840</v>
      </c>
      <c r="W12" s="206">
        <v>4</v>
      </c>
      <c r="X12" s="202" t="s">
        <v>46</v>
      </c>
      <c r="Y12" s="210" t="s">
        <v>40</v>
      </c>
      <c r="Z12" s="202" t="s">
        <v>69</v>
      </c>
      <c r="AA12" s="211" t="s">
        <v>47</v>
      </c>
      <c r="AB12" s="57" t="s">
        <v>158</v>
      </c>
      <c r="AE12" s="22" t="s">
        <v>70</v>
      </c>
      <c r="AG12" s="41"/>
      <c r="AH12" s="41"/>
      <c r="AL12" s="34"/>
      <c r="AP12" s="23" t="s">
        <v>67</v>
      </c>
      <c r="AR12" s="30" t="s">
        <v>124</v>
      </c>
      <c r="AV12" s="23" t="s">
        <v>72</v>
      </c>
    </row>
    <row r="13" spans="1:53" x14ac:dyDescent="0.15">
      <c r="A13" s="193" t="s">
        <v>34</v>
      </c>
      <c r="B13" s="193" t="s">
        <v>157</v>
      </c>
      <c r="C13" s="194">
        <v>2019</v>
      </c>
      <c r="D13" s="195" t="s">
        <v>359</v>
      </c>
      <c r="E13" s="194" t="s">
        <v>360</v>
      </c>
      <c r="F13" s="193" t="s">
        <v>361</v>
      </c>
      <c r="G13" s="196" t="s">
        <v>36</v>
      </c>
      <c r="H13" s="149" t="s">
        <v>160</v>
      </c>
      <c r="I13" s="149" t="s">
        <v>159</v>
      </c>
      <c r="J13" s="149" t="s">
        <v>38</v>
      </c>
      <c r="K13" s="149" t="s">
        <v>161</v>
      </c>
      <c r="L13" s="53">
        <v>3</v>
      </c>
      <c r="N13" s="53">
        <v>1</v>
      </c>
      <c r="O13" s="53">
        <v>0.7</v>
      </c>
      <c r="P13" s="53">
        <v>0.75</v>
      </c>
      <c r="Q13" s="97">
        <f t="shared" si="0"/>
        <v>0.72499999999999998</v>
      </c>
      <c r="R13" s="204">
        <v>15.9</v>
      </c>
      <c r="S13" s="204">
        <v>124</v>
      </c>
      <c r="T13" s="16">
        <f t="shared" si="1"/>
        <v>30</v>
      </c>
      <c r="U13" s="209">
        <v>128</v>
      </c>
      <c r="V13" s="200">
        <f t="shared" si="2"/>
        <v>3840</v>
      </c>
      <c r="W13" s="206">
        <v>4</v>
      </c>
      <c r="X13" s="202" t="s">
        <v>46</v>
      </c>
      <c r="Y13" s="210" t="s">
        <v>40</v>
      </c>
      <c r="Z13" s="202" t="s">
        <v>69</v>
      </c>
      <c r="AA13" s="211" t="s">
        <v>47</v>
      </c>
      <c r="AB13" s="57" t="s">
        <v>158</v>
      </c>
      <c r="AE13" s="22" t="s">
        <v>73</v>
      </c>
      <c r="AG13" s="212"/>
      <c r="AH13" s="212"/>
      <c r="AP13" s="23" t="s">
        <v>71</v>
      </c>
      <c r="AR13" s="30" t="s">
        <v>103</v>
      </c>
      <c r="AV13" s="23" t="s">
        <v>75</v>
      </c>
    </row>
    <row r="14" spans="1:53" x14ac:dyDescent="0.15">
      <c r="A14" s="193" t="s">
        <v>34</v>
      </c>
      <c r="B14" s="193" t="s">
        <v>157</v>
      </c>
      <c r="C14" s="193">
        <v>2019</v>
      </c>
      <c r="D14" s="195" t="s">
        <v>359</v>
      </c>
      <c r="E14" s="194" t="s">
        <v>362</v>
      </c>
      <c r="F14" s="193" t="s">
        <v>361</v>
      </c>
      <c r="G14" s="196" t="s">
        <v>36</v>
      </c>
      <c r="H14" s="149" t="s">
        <v>160</v>
      </c>
      <c r="I14" s="149" t="s">
        <v>159</v>
      </c>
      <c r="J14" s="149" t="s">
        <v>38</v>
      </c>
      <c r="K14" s="149" t="s">
        <v>161</v>
      </c>
      <c r="L14" s="53">
        <v>1</v>
      </c>
      <c r="N14" s="53">
        <v>1</v>
      </c>
      <c r="O14" s="53">
        <v>1</v>
      </c>
      <c r="P14" s="53">
        <v>0.9</v>
      </c>
      <c r="Q14" s="97">
        <f t="shared" si="0"/>
        <v>0.95</v>
      </c>
      <c r="R14" s="204">
        <v>15.9</v>
      </c>
      <c r="S14" s="204">
        <v>117</v>
      </c>
      <c r="T14" s="16">
        <f t="shared" si="1"/>
        <v>30</v>
      </c>
      <c r="U14" s="209">
        <v>98</v>
      </c>
      <c r="V14" s="200">
        <f t="shared" si="2"/>
        <v>2940</v>
      </c>
      <c r="W14" s="206">
        <v>6</v>
      </c>
      <c r="X14" s="202" t="s">
        <v>46</v>
      </c>
      <c r="Y14" s="210" t="s">
        <v>40</v>
      </c>
      <c r="Z14" s="210" t="s">
        <v>97</v>
      </c>
      <c r="AA14" s="211" t="s">
        <v>69</v>
      </c>
      <c r="AB14" s="57" t="s">
        <v>158</v>
      </c>
      <c r="AC14" s="34"/>
      <c r="AE14" s="22" t="s">
        <v>76</v>
      </c>
      <c r="AG14" s="151"/>
      <c r="AH14" s="151"/>
      <c r="AP14" s="23" t="s">
        <v>74</v>
      </c>
      <c r="AR14" s="30" t="s">
        <v>125</v>
      </c>
      <c r="AV14" s="23" t="s">
        <v>78</v>
      </c>
    </row>
    <row r="15" spans="1:53" x14ac:dyDescent="0.15">
      <c r="A15" s="193" t="s">
        <v>34</v>
      </c>
      <c r="B15" s="193" t="s">
        <v>157</v>
      </c>
      <c r="C15" s="194">
        <v>2019</v>
      </c>
      <c r="D15" s="195" t="s">
        <v>359</v>
      </c>
      <c r="E15" s="194" t="s">
        <v>362</v>
      </c>
      <c r="F15" s="193" t="s">
        <v>361</v>
      </c>
      <c r="G15" s="196" t="s">
        <v>36</v>
      </c>
      <c r="H15" s="149" t="s">
        <v>160</v>
      </c>
      <c r="I15" s="149" t="s">
        <v>159</v>
      </c>
      <c r="J15" s="149" t="s">
        <v>38</v>
      </c>
      <c r="K15" s="149" t="s">
        <v>161</v>
      </c>
      <c r="L15" s="53">
        <v>2</v>
      </c>
      <c r="N15" s="53">
        <v>1</v>
      </c>
      <c r="O15" s="53">
        <v>0.85</v>
      </c>
      <c r="P15" s="53">
        <v>0.9</v>
      </c>
      <c r="Q15" s="97">
        <f t="shared" si="0"/>
        <v>0.875</v>
      </c>
      <c r="R15" s="204">
        <v>16</v>
      </c>
      <c r="S15" s="204">
        <v>116</v>
      </c>
      <c r="T15" s="16">
        <f t="shared" si="1"/>
        <v>30</v>
      </c>
      <c r="U15" s="209">
        <v>98</v>
      </c>
      <c r="V15" s="200">
        <f t="shared" si="2"/>
        <v>2940</v>
      </c>
      <c r="W15" s="206">
        <v>6</v>
      </c>
      <c r="X15" s="202" t="s">
        <v>46</v>
      </c>
      <c r="Y15" s="210" t="s">
        <v>40</v>
      </c>
      <c r="Z15" s="210" t="s">
        <v>97</v>
      </c>
      <c r="AA15" s="211" t="s">
        <v>69</v>
      </c>
      <c r="AB15" s="57" t="s">
        <v>158</v>
      </c>
      <c r="AC15" s="34"/>
      <c r="AE15" s="22" t="s">
        <v>79</v>
      </c>
      <c r="AP15" s="23" t="s">
        <v>77</v>
      </c>
      <c r="AR15" s="30" t="s">
        <v>94</v>
      </c>
      <c r="AV15" s="23" t="s">
        <v>107</v>
      </c>
    </row>
    <row r="16" spans="1:53" x14ac:dyDescent="0.15">
      <c r="A16" s="193" t="s">
        <v>34</v>
      </c>
      <c r="B16" s="193" t="s">
        <v>157</v>
      </c>
      <c r="C16" s="193">
        <v>2019</v>
      </c>
      <c r="D16" s="195" t="s">
        <v>359</v>
      </c>
      <c r="E16" s="194" t="s">
        <v>362</v>
      </c>
      <c r="F16" s="193" t="s">
        <v>361</v>
      </c>
      <c r="G16" s="196" t="s">
        <v>36</v>
      </c>
      <c r="H16" s="149" t="s">
        <v>160</v>
      </c>
      <c r="I16" s="149" t="s">
        <v>159</v>
      </c>
      <c r="J16" s="149" t="s">
        <v>38</v>
      </c>
      <c r="K16" s="149" t="s">
        <v>161</v>
      </c>
      <c r="L16" s="53">
        <v>3</v>
      </c>
      <c r="N16" s="53">
        <v>1</v>
      </c>
      <c r="O16" s="53">
        <v>0.85</v>
      </c>
      <c r="P16" s="53">
        <v>0.8</v>
      </c>
      <c r="Q16" s="97">
        <f t="shared" si="0"/>
        <v>0.82499999999999996</v>
      </c>
      <c r="R16" s="204">
        <v>15.8</v>
      </c>
      <c r="S16" s="204">
        <v>106</v>
      </c>
      <c r="T16" s="16">
        <f t="shared" si="1"/>
        <v>33</v>
      </c>
      <c r="U16" s="209">
        <v>98</v>
      </c>
      <c r="V16" s="200">
        <f t="shared" si="2"/>
        <v>3234</v>
      </c>
      <c r="W16" s="206">
        <v>6</v>
      </c>
      <c r="X16" s="202" t="s">
        <v>46</v>
      </c>
      <c r="Y16" s="210" t="s">
        <v>40</v>
      </c>
      <c r="Z16" s="210" t="s">
        <v>97</v>
      </c>
      <c r="AA16" s="211" t="s">
        <v>69</v>
      </c>
      <c r="AB16" s="57" t="s">
        <v>158</v>
      </c>
      <c r="AC16" s="34"/>
      <c r="AE16" s="22" t="s">
        <v>82</v>
      </c>
      <c r="AP16" s="23" t="s">
        <v>80</v>
      </c>
      <c r="AR16" s="41" t="s">
        <v>63</v>
      </c>
      <c r="AV16" s="23" t="s">
        <v>84</v>
      </c>
    </row>
    <row r="17" spans="1:48" x14ac:dyDescent="0.15">
      <c r="A17" s="193" t="s">
        <v>34</v>
      </c>
      <c r="B17" s="193" t="s">
        <v>157</v>
      </c>
      <c r="C17" s="194">
        <v>2019</v>
      </c>
      <c r="D17" s="195" t="s">
        <v>359</v>
      </c>
      <c r="E17" s="194" t="s">
        <v>357</v>
      </c>
      <c r="F17" s="193" t="s">
        <v>363</v>
      </c>
      <c r="G17" s="196" t="s">
        <v>36</v>
      </c>
      <c r="H17" s="149" t="s">
        <v>165</v>
      </c>
      <c r="I17" s="149" t="s">
        <v>159</v>
      </c>
      <c r="J17" s="149" t="s">
        <v>38</v>
      </c>
      <c r="K17" s="149" t="s">
        <v>161</v>
      </c>
      <c r="L17" s="53">
        <v>1</v>
      </c>
      <c r="N17" s="53">
        <v>4</v>
      </c>
      <c r="O17" s="53">
        <v>0.5</v>
      </c>
      <c r="P17" s="53">
        <v>0.55000000000000004</v>
      </c>
      <c r="Q17" s="97">
        <f t="shared" si="0"/>
        <v>0.52500000000000002</v>
      </c>
      <c r="R17" s="204">
        <v>14.4</v>
      </c>
      <c r="S17" s="204">
        <v>84</v>
      </c>
      <c r="T17" s="16">
        <f t="shared" si="1"/>
        <v>36</v>
      </c>
      <c r="U17" s="209">
        <v>398</v>
      </c>
      <c r="V17" s="200">
        <f t="shared" si="2"/>
        <v>3582</v>
      </c>
      <c r="W17" s="206">
        <v>12</v>
      </c>
      <c r="X17" s="202" t="s">
        <v>46</v>
      </c>
      <c r="Y17" s="210" t="s">
        <v>97</v>
      </c>
      <c r="Z17" s="210" t="s">
        <v>40</v>
      </c>
      <c r="AA17" s="211" t="s">
        <v>90</v>
      </c>
      <c r="AB17" s="57" t="s">
        <v>158</v>
      </c>
      <c r="AC17" s="34"/>
      <c r="AE17" s="22" t="s">
        <v>85</v>
      </c>
      <c r="AP17" s="43" t="s">
        <v>110</v>
      </c>
      <c r="AR17" s="41" t="s">
        <v>96</v>
      </c>
      <c r="AV17" s="23" t="s">
        <v>86</v>
      </c>
    </row>
    <row r="18" spans="1:48" x14ac:dyDescent="0.15">
      <c r="A18" s="193" t="s">
        <v>34</v>
      </c>
      <c r="B18" s="193" t="s">
        <v>157</v>
      </c>
      <c r="C18" s="193">
        <v>2019</v>
      </c>
      <c r="D18" s="195" t="s">
        <v>359</v>
      </c>
      <c r="E18" s="194" t="s">
        <v>357</v>
      </c>
      <c r="F18" s="193" t="s">
        <v>363</v>
      </c>
      <c r="G18" s="196" t="s">
        <v>36</v>
      </c>
      <c r="H18" s="149" t="s">
        <v>165</v>
      </c>
      <c r="I18" s="149" t="s">
        <v>159</v>
      </c>
      <c r="J18" s="149" t="s">
        <v>38</v>
      </c>
      <c r="K18" s="149" t="s">
        <v>161</v>
      </c>
      <c r="L18" s="53">
        <v>2</v>
      </c>
      <c r="N18" s="53">
        <v>4</v>
      </c>
      <c r="O18" s="53">
        <v>0.6</v>
      </c>
      <c r="P18" s="53">
        <v>0.55000000000000004</v>
      </c>
      <c r="Q18" s="97">
        <f t="shared" si="0"/>
        <v>0.57499999999999996</v>
      </c>
      <c r="R18" s="204">
        <v>15.2</v>
      </c>
      <c r="S18" s="204">
        <v>88</v>
      </c>
      <c r="T18" s="16">
        <f t="shared" si="1"/>
        <v>36</v>
      </c>
      <c r="U18" s="209">
        <v>398</v>
      </c>
      <c r="V18" s="200">
        <f t="shared" si="2"/>
        <v>3582</v>
      </c>
      <c r="W18" s="206">
        <v>12</v>
      </c>
      <c r="X18" s="202" t="s">
        <v>46</v>
      </c>
      <c r="Y18" s="210" t="s">
        <v>97</v>
      </c>
      <c r="Z18" s="210" t="s">
        <v>40</v>
      </c>
      <c r="AA18" s="211" t="s">
        <v>90</v>
      </c>
      <c r="AB18" s="57" t="s">
        <v>158</v>
      </c>
      <c r="AC18" s="34"/>
      <c r="AE18" s="22" t="s">
        <v>87</v>
      </c>
      <c r="AP18" s="43" t="s">
        <v>111</v>
      </c>
      <c r="AR18" s="41" t="s">
        <v>101</v>
      </c>
      <c r="AV18" s="23" t="s">
        <v>88</v>
      </c>
    </row>
    <row r="19" spans="1:48" x14ac:dyDescent="0.15">
      <c r="A19" s="193" t="s">
        <v>34</v>
      </c>
      <c r="B19" s="193" t="s">
        <v>157</v>
      </c>
      <c r="C19" s="194">
        <v>2019</v>
      </c>
      <c r="D19" s="195" t="s">
        <v>359</v>
      </c>
      <c r="E19" s="194" t="s">
        <v>357</v>
      </c>
      <c r="F19" s="193" t="s">
        <v>363</v>
      </c>
      <c r="G19" s="196" t="s">
        <v>36</v>
      </c>
      <c r="H19" s="149" t="s">
        <v>165</v>
      </c>
      <c r="I19" s="149" t="s">
        <v>159</v>
      </c>
      <c r="J19" s="149" t="s">
        <v>38</v>
      </c>
      <c r="K19" s="149" t="s">
        <v>161</v>
      </c>
      <c r="L19" s="53">
        <v>3</v>
      </c>
      <c r="N19" s="53">
        <v>4</v>
      </c>
      <c r="O19" s="53">
        <v>0.55000000000000004</v>
      </c>
      <c r="P19" s="53">
        <v>0.45</v>
      </c>
      <c r="Q19" s="97">
        <f t="shared" si="0"/>
        <v>0.5</v>
      </c>
      <c r="R19" s="204">
        <v>14.9</v>
      </c>
      <c r="S19" s="204">
        <v>89</v>
      </c>
      <c r="T19" s="16">
        <f t="shared" si="1"/>
        <v>36</v>
      </c>
      <c r="U19" s="209">
        <v>398</v>
      </c>
      <c r="V19" s="200">
        <f t="shared" si="2"/>
        <v>3582</v>
      </c>
      <c r="W19" s="206">
        <v>12</v>
      </c>
      <c r="X19" s="202" t="s">
        <v>46</v>
      </c>
      <c r="Y19" s="210" t="s">
        <v>97</v>
      </c>
      <c r="Z19" s="210" t="s">
        <v>40</v>
      </c>
      <c r="AA19" s="211" t="s">
        <v>90</v>
      </c>
      <c r="AB19" s="57" t="s">
        <v>158</v>
      </c>
      <c r="AC19" s="34"/>
      <c r="AE19" s="35" t="s">
        <v>89</v>
      </c>
      <c r="AP19" s="43" t="s">
        <v>112</v>
      </c>
      <c r="AR19" s="30" t="s">
        <v>126</v>
      </c>
      <c r="AV19" s="23" t="s">
        <v>90</v>
      </c>
    </row>
    <row r="20" spans="1:48" x14ac:dyDescent="0.15">
      <c r="A20" s="193" t="s">
        <v>34</v>
      </c>
      <c r="B20" s="193" t="s">
        <v>157</v>
      </c>
      <c r="C20" s="193">
        <v>2019</v>
      </c>
      <c r="D20" s="195" t="s">
        <v>359</v>
      </c>
      <c r="E20" s="194" t="s">
        <v>357</v>
      </c>
      <c r="F20" s="193" t="s">
        <v>363</v>
      </c>
      <c r="G20" s="196" t="s">
        <v>36</v>
      </c>
      <c r="H20" s="149" t="s">
        <v>160</v>
      </c>
      <c r="I20" s="149" t="s">
        <v>159</v>
      </c>
      <c r="J20" s="149" t="s">
        <v>38</v>
      </c>
      <c r="K20" s="149" t="s">
        <v>161</v>
      </c>
      <c r="L20" s="53">
        <v>1</v>
      </c>
      <c r="N20" s="53">
        <v>1</v>
      </c>
      <c r="O20" s="53">
        <v>0.85</v>
      </c>
      <c r="P20" s="53">
        <v>0.8</v>
      </c>
      <c r="Q20" s="97">
        <f t="shared" si="0"/>
        <v>0.82499999999999996</v>
      </c>
      <c r="R20" s="204">
        <v>14.9</v>
      </c>
      <c r="S20" s="213">
        <v>126</v>
      </c>
      <c r="T20" s="16">
        <f t="shared" si="1"/>
        <v>30</v>
      </c>
      <c r="U20" s="209">
        <v>100</v>
      </c>
      <c r="V20" s="200">
        <f t="shared" si="2"/>
        <v>3000</v>
      </c>
      <c r="W20" s="206">
        <v>12</v>
      </c>
      <c r="X20" s="202" t="s">
        <v>46</v>
      </c>
      <c r="Y20" s="210" t="s">
        <v>97</v>
      </c>
      <c r="Z20" s="210" t="s">
        <v>40</v>
      </c>
      <c r="AA20" s="211" t="s">
        <v>90</v>
      </c>
      <c r="AB20" s="57" t="s">
        <v>158</v>
      </c>
      <c r="AE20" s="35"/>
      <c r="AP20" s="43" t="s">
        <v>113</v>
      </c>
      <c r="AR20" s="41" t="s">
        <v>105</v>
      </c>
      <c r="AV20" s="27" t="s">
        <v>135</v>
      </c>
    </row>
    <row r="21" spans="1:48" x14ac:dyDescent="0.15">
      <c r="A21" s="193" t="s">
        <v>34</v>
      </c>
      <c r="B21" s="193" t="s">
        <v>157</v>
      </c>
      <c r="C21" s="194">
        <v>2019</v>
      </c>
      <c r="D21" s="195" t="s">
        <v>359</v>
      </c>
      <c r="E21" s="194" t="s">
        <v>357</v>
      </c>
      <c r="F21" s="193" t="s">
        <v>363</v>
      </c>
      <c r="G21" s="196" t="s">
        <v>36</v>
      </c>
      <c r="H21" s="149" t="s">
        <v>160</v>
      </c>
      <c r="I21" s="149" t="s">
        <v>159</v>
      </c>
      <c r="J21" s="149" t="s">
        <v>38</v>
      </c>
      <c r="K21" s="149" t="s">
        <v>161</v>
      </c>
      <c r="L21" s="53">
        <v>2</v>
      </c>
      <c r="N21" s="53">
        <v>1</v>
      </c>
      <c r="O21" s="53">
        <v>0.6</v>
      </c>
      <c r="P21" s="53">
        <v>0.6</v>
      </c>
      <c r="Q21" s="97">
        <f t="shared" si="0"/>
        <v>0.6</v>
      </c>
      <c r="R21" s="213">
        <v>15.4</v>
      </c>
      <c r="S21" s="204">
        <v>129</v>
      </c>
      <c r="T21" s="16">
        <f t="shared" si="1"/>
        <v>30</v>
      </c>
      <c r="U21" s="209">
        <v>100</v>
      </c>
      <c r="V21" s="200">
        <f t="shared" si="2"/>
        <v>3000</v>
      </c>
      <c r="W21" s="206">
        <v>12</v>
      </c>
      <c r="X21" s="202" t="s">
        <v>46</v>
      </c>
      <c r="Y21" s="210" t="s">
        <v>97</v>
      </c>
      <c r="Z21" s="210" t="s">
        <v>40</v>
      </c>
      <c r="AA21" s="211" t="s">
        <v>90</v>
      </c>
      <c r="AB21" s="57" t="s">
        <v>158</v>
      </c>
      <c r="AE21" s="28"/>
      <c r="AP21" s="43" t="s">
        <v>114</v>
      </c>
      <c r="AR21" s="41" t="s">
        <v>68</v>
      </c>
      <c r="AV21" s="27" t="s">
        <v>136</v>
      </c>
    </row>
    <row r="22" spans="1:48" x14ac:dyDescent="0.15">
      <c r="A22" s="193" t="s">
        <v>34</v>
      </c>
      <c r="B22" s="193" t="s">
        <v>157</v>
      </c>
      <c r="C22" s="193">
        <v>2019</v>
      </c>
      <c r="D22" s="195" t="s">
        <v>359</v>
      </c>
      <c r="E22" s="194" t="s">
        <v>357</v>
      </c>
      <c r="F22" s="193" t="s">
        <v>363</v>
      </c>
      <c r="G22" s="196" t="s">
        <v>36</v>
      </c>
      <c r="H22" s="149" t="s">
        <v>160</v>
      </c>
      <c r="I22" s="149" t="s">
        <v>159</v>
      </c>
      <c r="J22" s="149" t="s">
        <v>38</v>
      </c>
      <c r="K22" s="149" t="s">
        <v>161</v>
      </c>
      <c r="L22" s="53">
        <v>3</v>
      </c>
      <c r="N22" s="53">
        <v>1</v>
      </c>
      <c r="O22" s="53">
        <v>0.7</v>
      </c>
      <c r="P22" s="34">
        <v>0.65</v>
      </c>
      <c r="Q22" s="97">
        <f t="shared" si="0"/>
        <v>0.67500000000000004</v>
      </c>
      <c r="R22" s="204">
        <v>14.7</v>
      </c>
      <c r="S22" s="204">
        <v>125</v>
      </c>
      <c r="T22" s="16">
        <f t="shared" si="1"/>
        <v>30</v>
      </c>
      <c r="U22" s="209">
        <v>100</v>
      </c>
      <c r="V22" s="200">
        <f t="shared" si="2"/>
        <v>3000</v>
      </c>
      <c r="W22" s="206">
        <v>12</v>
      </c>
      <c r="X22" s="202" t="s">
        <v>46</v>
      </c>
      <c r="Y22" s="210" t="s">
        <v>97</v>
      </c>
      <c r="Z22" s="210" t="s">
        <v>40</v>
      </c>
      <c r="AA22" s="211" t="s">
        <v>90</v>
      </c>
      <c r="AB22" s="57" t="s">
        <v>158</v>
      </c>
      <c r="AP22" s="43" t="s">
        <v>115</v>
      </c>
      <c r="AR22" s="41" t="s">
        <v>83</v>
      </c>
      <c r="AV22" s="23"/>
    </row>
    <row r="23" spans="1:48" x14ac:dyDescent="0.15">
      <c r="A23" s="193" t="s">
        <v>34</v>
      </c>
      <c r="B23" s="193" t="s">
        <v>157</v>
      </c>
      <c r="C23" s="194">
        <v>2019</v>
      </c>
      <c r="D23" s="195" t="s">
        <v>359</v>
      </c>
      <c r="E23" s="194" t="s">
        <v>210</v>
      </c>
      <c r="F23" s="193" t="s">
        <v>364</v>
      </c>
      <c r="G23" s="196" t="s">
        <v>42</v>
      </c>
      <c r="H23" s="149" t="s">
        <v>165</v>
      </c>
      <c r="I23" s="149" t="s">
        <v>159</v>
      </c>
      <c r="J23" s="149" t="s">
        <v>38</v>
      </c>
      <c r="K23" s="149" t="s">
        <v>161</v>
      </c>
      <c r="L23" s="53">
        <v>1</v>
      </c>
      <c r="N23" s="53">
        <v>4</v>
      </c>
      <c r="O23" s="53">
        <v>0.6</v>
      </c>
      <c r="P23" s="34">
        <v>0.65</v>
      </c>
      <c r="Q23" s="97">
        <f t="shared" si="0"/>
        <v>0.625</v>
      </c>
      <c r="R23" s="204">
        <v>13</v>
      </c>
      <c r="S23" s="204">
        <v>88</v>
      </c>
      <c r="T23" s="16">
        <f t="shared" si="1"/>
        <v>36</v>
      </c>
      <c r="U23" s="209">
        <v>397</v>
      </c>
      <c r="V23" s="200">
        <f t="shared" si="2"/>
        <v>3573</v>
      </c>
      <c r="W23" s="206">
        <v>10</v>
      </c>
      <c r="X23" s="202" t="s">
        <v>46</v>
      </c>
      <c r="Y23" s="210" t="s">
        <v>40</v>
      </c>
      <c r="Z23" s="210" t="s">
        <v>55</v>
      </c>
      <c r="AA23" s="211" t="s">
        <v>47</v>
      </c>
      <c r="AB23" s="57" t="s">
        <v>158</v>
      </c>
      <c r="AP23" s="43" t="s">
        <v>137</v>
      </c>
      <c r="AR23" s="41" t="s">
        <v>61</v>
      </c>
      <c r="AV23" s="23"/>
    </row>
    <row r="24" spans="1:48" x14ac:dyDescent="0.15">
      <c r="A24" s="193" t="s">
        <v>34</v>
      </c>
      <c r="B24" s="193" t="s">
        <v>157</v>
      </c>
      <c r="C24" s="193">
        <v>2019</v>
      </c>
      <c r="D24" s="195" t="s">
        <v>359</v>
      </c>
      <c r="E24" s="194" t="s">
        <v>210</v>
      </c>
      <c r="F24" s="193" t="s">
        <v>364</v>
      </c>
      <c r="G24" s="196" t="s">
        <v>42</v>
      </c>
      <c r="H24" s="149" t="s">
        <v>165</v>
      </c>
      <c r="I24" s="149" t="s">
        <v>159</v>
      </c>
      <c r="J24" s="149" t="s">
        <v>38</v>
      </c>
      <c r="K24" s="149" t="s">
        <v>161</v>
      </c>
      <c r="L24" s="53">
        <v>2</v>
      </c>
      <c r="N24" s="53">
        <v>4</v>
      </c>
      <c r="O24" s="53">
        <v>0.55000000000000004</v>
      </c>
      <c r="P24" s="34">
        <v>0.5</v>
      </c>
      <c r="Q24" s="97">
        <f t="shared" si="0"/>
        <v>0.52500000000000002</v>
      </c>
      <c r="R24" s="204">
        <v>14.2</v>
      </c>
      <c r="S24" s="204">
        <v>83</v>
      </c>
      <c r="T24" s="16">
        <f t="shared" si="1"/>
        <v>39</v>
      </c>
      <c r="U24" s="209">
        <v>397</v>
      </c>
      <c r="V24" s="200">
        <f t="shared" si="2"/>
        <v>3870.75</v>
      </c>
      <c r="W24" s="206">
        <v>10</v>
      </c>
      <c r="X24" s="202" t="s">
        <v>46</v>
      </c>
      <c r="Y24" s="210" t="s">
        <v>40</v>
      </c>
      <c r="Z24" s="210" t="s">
        <v>55</v>
      </c>
      <c r="AA24" s="211" t="s">
        <v>47</v>
      </c>
      <c r="AB24" s="57" t="s">
        <v>158</v>
      </c>
      <c r="AP24" s="43" t="s">
        <v>138</v>
      </c>
      <c r="AR24" s="41" t="s">
        <v>91</v>
      </c>
      <c r="AV24" s="23"/>
    </row>
    <row r="25" spans="1:48" x14ac:dyDescent="0.15">
      <c r="A25" s="193" t="s">
        <v>34</v>
      </c>
      <c r="B25" s="193" t="s">
        <v>157</v>
      </c>
      <c r="C25" s="194">
        <v>2019</v>
      </c>
      <c r="D25" s="195" t="s">
        <v>359</v>
      </c>
      <c r="E25" s="194" t="s">
        <v>210</v>
      </c>
      <c r="F25" s="193" t="s">
        <v>364</v>
      </c>
      <c r="G25" s="196" t="s">
        <v>42</v>
      </c>
      <c r="H25" s="149" t="s">
        <v>165</v>
      </c>
      <c r="I25" s="149" t="s">
        <v>159</v>
      </c>
      <c r="J25" s="149" t="s">
        <v>38</v>
      </c>
      <c r="K25" s="149" t="s">
        <v>161</v>
      </c>
      <c r="L25" s="53">
        <v>3</v>
      </c>
      <c r="N25" s="53">
        <v>4</v>
      </c>
      <c r="O25" s="53">
        <v>0.6</v>
      </c>
      <c r="P25" s="34">
        <v>0.55000000000000004</v>
      </c>
      <c r="Q25" s="97">
        <f t="shared" si="0"/>
        <v>0.57499999999999996</v>
      </c>
      <c r="R25" s="204">
        <v>14.6</v>
      </c>
      <c r="S25" s="204">
        <v>84</v>
      </c>
      <c r="T25" s="16">
        <f t="shared" si="1"/>
        <v>36</v>
      </c>
      <c r="U25" s="209">
        <v>397</v>
      </c>
      <c r="V25" s="200">
        <f t="shared" si="2"/>
        <v>3573</v>
      </c>
      <c r="W25" s="206">
        <v>10</v>
      </c>
      <c r="X25" s="202" t="s">
        <v>46</v>
      </c>
      <c r="Y25" s="210" t="s">
        <v>40</v>
      </c>
      <c r="Z25" s="210" t="s">
        <v>55</v>
      </c>
      <c r="AA25" s="211" t="s">
        <v>47</v>
      </c>
      <c r="AB25" s="57" t="s">
        <v>158</v>
      </c>
      <c r="AP25" s="43" t="s">
        <v>116</v>
      </c>
      <c r="AR25" s="42" t="s">
        <v>92</v>
      </c>
      <c r="AV25" s="23"/>
    </row>
    <row r="26" spans="1:48" x14ac:dyDescent="0.15">
      <c r="A26" s="193" t="s">
        <v>34</v>
      </c>
      <c r="B26" s="193" t="s">
        <v>157</v>
      </c>
      <c r="C26" s="193">
        <v>2019</v>
      </c>
      <c r="D26" s="195" t="s">
        <v>359</v>
      </c>
      <c r="E26" s="194" t="s">
        <v>210</v>
      </c>
      <c r="F26" s="193" t="s">
        <v>364</v>
      </c>
      <c r="G26" s="196" t="s">
        <v>42</v>
      </c>
      <c r="H26" s="149" t="s">
        <v>160</v>
      </c>
      <c r="I26" s="149" t="s">
        <v>159</v>
      </c>
      <c r="J26" s="149" t="s">
        <v>38</v>
      </c>
      <c r="K26" s="149" t="s">
        <v>161</v>
      </c>
      <c r="L26" s="53">
        <v>1</v>
      </c>
      <c r="N26" s="53">
        <v>4</v>
      </c>
      <c r="O26" s="53">
        <v>0.8</v>
      </c>
      <c r="P26" s="36">
        <v>0.85</v>
      </c>
      <c r="Q26" s="97">
        <f t="shared" si="0"/>
        <v>0.82499999999999996</v>
      </c>
      <c r="R26" s="204">
        <v>15.5</v>
      </c>
      <c r="S26" s="204">
        <v>79</v>
      </c>
      <c r="T26" s="16">
        <f t="shared" si="1"/>
        <v>39</v>
      </c>
      <c r="U26" s="209">
        <v>397</v>
      </c>
      <c r="V26" s="200">
        <f t="shared" si="2"/>
        <v>3870.75</v>
      </c>
      <c r="W26" s="206">
        <v>10</v>
      </c>
      <c r="X26" s="202" t="s">
        <v>46</v>
      </c>
      <c r="Y26" s="211" t="s">
        <v>40</v>
      </c>
      <c r="Z26" s="210" t="s">
        <v>55</v>
      </c>
      <c r="AA26" s="210" t="s">
        <v>47</v>
      </c>
      <c r="AB26" s="57" t="s">
        <v>158</v>
      </c>
      <c r="AP26" s="43" t="s">
        <v>117</v>
      </c>
      <c r="AR26" s="23" t="s">
        <v>153</v>
      </c>
      <c r="AV26" s="27"/>
    </row>
    <row r="27" spans="1:48" x14ac:dyDescent="0.15">
      <c r="A27" s="193" t="s">
        <v>34</v>
      </c>
      <c r="B27" s="193" t="s">
        <v>157</v>
      </c>
      <c r="C27" s="194">
        <v>2019</v>
      </c>
      <c r="D27" s="195" t="s">
        <v>359</v>
      </c>
      <c r="E27" s="194" t="s">
        <v>210</v>
      </c>
      <c r="F27" s="193" t="s">
        <v>364</v>
      </c>
      <c r="G27" s="196" t="s">
        <v>42</v>
      </c>
      <c r="H27" s="149" t="s">
        <v>160</v>
      </c>
      <c r="I27" s="149" t="s">
        <v>159</v>
      </c>
      <c r="J27" s="149" t="s">
        <v>38</v>
      </c>
      <c r="K27" s="149" t="s">
        <v>161</v>
      </c>
      <c r="L27" s="53">
        <v>2</v>
      </c>
      <c r="N27" s="53">
        <v>4</v>
      </c>
      <c r="O27" s="34">
        <v>0.85</v>
      </c>
      <c r="P27" s="36">
        <v>0.9</v>
      </c>
      <c r="Q27" s="97">
        <f t="shared" si="0"/>
        <v>0.875</v>
      </c>
      <c r="R27" s="204">
        <v>15.1</v>
      </c>
      <c r="S27" s="204">
        <v>90</v>
      </c>
      <c r="T27" s="16">
        <f t="shared" si="1"/>
        <v>36</v>
      </c>
      <c r="U27" s="209">
        <v>397</v>
      </c>
      <c r="V27" s="200">
        <f t="shared" si="2"/>
        <v>3573</v>
      </c>
      <c r="W27" s="206">
        <v>10</v>
      </c>
      <c r="X27" s="202" t="s">
        <v>46</v>
      </c>
      <c r="Y27" s="211" t="s">
        <v>40</v>
      </c>
      <c r="Z27" s="210" t="s">
        <v>55</v>
      </c>
      <c r="AA27" s="210" t="s">
        <v>47</v>
      </c>
      <c r="AB27" s="57" t="s">
        <v>158</v>
      </c>
      <c r="AP27" s="43" t="s">
        <v>118</v>
      </c>
      <c r="AR27" s="23"/>
    </row>
    <row r="28" spans="1:48" x14ac:dyDescent="0.15">
      <c r="A28" s="193" t="s">
        <v>34</v>
      </c>
      <c r="B28" s="193" t="s">
        <v>157</v>
      </c>
      <c r="C28" s="193">
        <v>2019</v>
      </c>
      <c r="D28" s="195" t="s">
        <v>359</v>
      </c>
      <c r="E28" s="194" t="s">
        <v>210</v>
      </c>
      <c r="F28" s="193" t="s">
        <v>364</v>
      </c>
      <c r="G28" s="196" t="s">
        <v>42</v>
      </c>
      <c r="H28" s="149" t="s">
        <v>160</v>
      </c>
      <c r="I28" s="149" t="s">
        <v>159</v>
      </c>
      <c r="J28" s="149" t="s">
        <v>38</v>
      </c>
      <c r="K28" s="149" t="s">
        <v>161</v>
      </c>
      <c r="L28" s="53">
        <v>3</v>
      </c>
      <c r="N28" s="53">
        <v>4</v>
      </c>
      <c r="O28" s="34">
        <v>0.6</v>
      </c>
      <c r="P28" s="53">
        <v>0.55000000000000004</v>
      </c>
      <c r="Q28" s="97">
        <f t="shared" si="0"/>
        <v>0.57499999999999996</v>
      </c>
      <c r="R28" s="204">
        <v>15.7</v>
      </c>
      <c r="S28" s="204">
        <v>84</v>
      </c>
      <c r="T28" s="16">
        <f t="shared" si="1"/>
        <v>36</v>
      </c>
      <c r="U28" s="209">
        <v>397</v>
      </c>
      <c r="V28" s="200">
        <f t="shared" si="2"/>
        <v>3573</v>
      </c>
      <c r="W28" s="206">
        <v>10</v>
      </c>
      <c r="X28" s="202" t="s">
        <v>46</v>
      </c>
      <c r="Y28" s="211" t="s">
        <v>40</v>
      </c>
      <c r="Z28" s="210" t="s">
        <v>55</v>
      </c>
      <c r="AA28" s="210" t="s">
        <v>47</v>
      </c>
      <c r="AB28" s="57" t="s">
        <v>158</v>
      </c>
      <c r="AR28" s="23"/>
    </row>
    <row r="29" spans="1:48" x14ac:dyDescent="0.15">
      <c r="A29" s="193" t="s">
        <v>34</v>
      </c>
      <c r="B29" s="193" t="s">
        <v>157</v>
      </c>
      <c r="C29" s="193">
        <v>2019</v>
      </c>
      <c r="D29" s="195" t="s">
        <v>359</v>
      </c>
      <c r="E29" s="194" t="s">
        <v>365</v>
      </c>
      <c r="F29" s="193" t="s">
        <v>364</v>
      </c>
      <c r="G29" s="196" t="s">
        <v>42</v>
      </c>
      <c r="H29" s="149" t="s">
        <v>165</v>
      </c>
      <c r="I29" s="149" t="s">
        <v>159</v>
      </c>
      <c r="J29" s="149" t="s">
        <v>38</v>
      </c>
      <c r="K29" s="149" t="s">
        <v>161</v>
      </c>
      <c r="L29" s="53">
        <v>1</v>
      </c>
      <c r="N29" s="53">
        <v>1</v>
      </c>
      <c r="O29" s="53">
        <v>0.85</v>
      </c>
      <c r="P29" s="53">
        <v>0.9</v>
      </c>
      <c r="Q29" s="97">
        <f t="shared" si="0"/>
        <v>0.875</v>
      </c>
      <c r="R29" s="204">
        <v>15.5</v>
      </c>
      <c r="S29" s="204">
        <v>133</v>
      </c>
      <c r="T29" s="16">
        <f t="shared" si="1"/>
        <v>30</v>
      </c>
      <c r="U29" s="209">
        <v>139</v>
      </c>
      <c r="V29" s="200">
        <f t="shared" si="2"/>
        <v>4170</v>
      </c>
      <c r="W29" s="206">
        <v>2</v>
      </c>
      <c r="X29" s="202" t="s">
        <v>39</v>
      </c>
      <c r="Y29" s="211" t="s">
        <v>40</v>
      </c>
      <c r="Z29" s="210" t="s">
        <v>69</v>
      </c>
      <c r="AA29" s="210" t="s">
        <v>47</v>
      </c>
      <c r="AB29" s="57" t="s">
        <v>158</v>
      </c>
      <c r="AR29" s="28"/>
    </row>
    <row r="30" spans="1:48" x14ac:dyDescent="0.15">
      <c r="A30" s="193" t="s">
        <v>34</v>
      </c>
      <c r="B30" s="193" t="s">
        <v>157</v>
      </c>
      <c r="C30" s="194">
        <v>2019</v>
      </c>
      <c r="D30" s="195" t="s">
        <v>359</v>
      </c>
      <c r="E30" s="194" t="s">
        <v>365</v>
      </c>
      <c r="F30" s="193" t="s">
        <v>364</v>
      </c>
      <c r="G30" s="196" t="s">
        <v>42</v>
      </c>
      <c r="H30" s="149" t="s">
        <v>165</v>
      </c>
      <c r="I30" s="149" t="s">
        <v>159</v>
      </c>
      <c r="J30" s="149" t="s">
        <v>38</v>
      </c>
      <c r="K30" s="149" t="s">
        <v>161</v>
      </c>
      <c r="L30" s="53">
        <v>2</v>
      </c>
      <c r="N30" s="53">
        <v>1</v>
      </c>
      <c r="O30" s="53">
        <v>0.7</v>
      </c>
      <c r="P30" s="53">
        <v>0.85</v>
      </c>
      <c r="Q30" s="97">
        <f t="shared" si="0"/>
        <v>0.77499999999999991</v>
      </c>
      <c r="R30" s="204">
        <v>14.6</v>
      </c>
      <c r="S30" s="204">
        <v>129</v>
      </c>
      <c r="T30" s="16">
        <f t="shared" si="1"/>
        <v>30</v>
      </c>
      <c r="U30" s="209">
        <v>139</v>
      </c>
      <c r="V30" s="200">
        <f t="shared" si="2"/>
        <v>4170</v>
      </c>
      <c r="W30" s="206">
        <v>2</v>
      </c>
      <c r="X30" s="202" t="s">
        <v>39</v>
      </c>
      <c r="Y30" s="211" t="s">
        <v>40</v>
      </c>
      <c r="Z30" s="210" t="s">
        <v>69</v>
      </c>
      <c r="AA30" s="210" t="s">
        <v>47</v>
      </c>
      <c r="AB30" s="57" t="s">
        <v>158</v>
      </c>
    </row>
    <row r="31" spans="1:48" x14ac:dyDescent="0.15">
      <c r="A31" s="193" t="s">
        <v>34</v>
      </c>
      <c r="B31" s="193" t="s">
        <v>157</v>
      </c>
      <c r="C31" s="193">
        <v>2019</v>
      </c>
      <c r="D31" s="195" t="s">
        <v>359</v>
      </c>
      <c r="E31" s="194" t="s">
        <v>365</v>
      </c>
      <c r="F31" s="193" t="s">
        <v>364</v>
      </c>
      <c r="G31" s="196" t="s">
        <v>42</v>
      </c>
      <c r="H31" s="149" t="s">
        <v>165</v>
      </c>
      <c r="I31" s="149" t="s">
        <v>159</v>
      </c>
      <c r="J31" s="149" t="s">
        <v>38</v>
      </c>
      <c r="K31" s="149" t="s">
        <v>161</v>
      </c>
      <c r="L31" s="53">
        <v>3</v>
      </c>
      <c r="N31" s="53">
        <v>1</v>
      </c>
      <c r="O31" s="53">
        <v>0.7</v>
      </c>
      <c r="P31" s="53">
        <v>0.65</v>
      </c>
      <c r="Q31" s="97">
        <f t="shared" si="0"/>
        <v>0.67500000000000004</v>
      </c>
      <c r="R31" s="204">
        <v>15.2</v>
      </c>
      <c r="S31" s="204">
        <v>132</v>
      </c>
      <c r="T31" s="16">
        <f t="shared" si="1"/>
        <v>30</v>
      </c>
      <c r="U31" s="209">
        <v>139</v>
      </c>
      <c r="V31" s="200">
        <f t="shared" si="2"/>
        <v>4170</v>
      </c>
      <c r="W31" s="206">
        <v>2</v>
      </c>
      <c r="X31" s="202" t="s">
        <v>39</v>
      </c>
      <c r="Y31" s="211" t="s">
        <v>40</v>
      </c>
      <c r="Z31" s="210" t="s">
        <v>69</v>
      </c>
      <c r="AA31" s="210" t="s">
        <v>47</v>
      </c>
      <c r="AB31" s="57" t="s">
        <v>158</v>
      </c>
    </row>
    <row r="32" spans="1:48" ht="14.25" customHeight="1" x14ac:dyDescent="0.15">
      <c r="A32" s="193" t="s">
        <v>34</v>
      </c>
      <c r="B32" s="193" t="s">
        <v>157</v>
      </c>
      <c r="C32" s="194">
        <v>2019</v>
      </c>
      <c r="D32" s="195" t="s">
        <v>359</v>
      </c>
      <c r="E32" s="194" t="s">
        <v>365</v>
      </c>
      <c r="F32" s="193" t="s">
        <v>364</v>
      </c>
      <c r="G32" s="196" t="s">
        <v>42</v>
      </c>
      <c r="H32" s="149" t="s">
        <v>160</v>
      </c>
      <c r="I32" s="149" t="s">
        <v>159</v>
      </c>
      <c r="J32" s="149" t="s">
        <v>38</v>
      </c>
      <c r="K32" s="149" t="s">
        <v>161</v>
      </c>
      <c r="L32" s="53">
        <v>1</v>
      </c>
      <c r="N32" s="53">
        <v>1</v>
      </c>
      <c r="O32" s="53">
        <v>0.9</v>
      </c>
      <c r="P32" s="53">
        <v>0.8</v>
      </c>
      <c r="Q32" s="97">
        <f t="shared" si="0"/>
        <v>0.85000000000000009</v>
      </c>
      <c r="R32" s="204">
        <v>16.600000000000001</v>
      </c>
      <c r="S32" s="204">
        <v>136</v>
      </c>
      <c r="T32" s="16">
        <f t="shared" si="1"/>
        <v>30</v>
      </c>
      <c r="U32" s="209">
        <v>139</v>
      </c>
      <c r="V32" s="200">
        <f t="shared" si="2"/>
        <v>4170</v>
      </c>
      <c r="W32" s="206">
        <v>2</v>
      </c>
      <c r="X32" s="202" t="s">
        <v>39</v>
      </c>
      <c r="Y32" s="211" t="s">
        <v>40</v>
      </c>
      <c r="Z32" s="210" t="s">
        <v>69</v>
      </c>
      <c r="AA32" s="210" t="s">
        <v>47</v>
      </c>
      <c r="AB32" s="57" t="s">
        <v>158</v>
      </c>
    </row>
    <row r="33" spans="1:28" x14ac:dyDescent="0.15">
      <c r="A33" s="193" t="s">
        <v>34</v>
      </c>
      <c r="B33" s="193" t="s">
        <v>157</v>
      </c>
      <c r="C33" s="193">
        <v>2019</v>
      </c>
      <c r="D33" s="195" t="s">
        <v>359</v>
      </c>
      <c r="E33" s="194" t="s">
        <v>365</v>
      </c>
      <c r="F33" s="193" t="s">
        <v>364</v>
      </c>
      <c r="G33" s="196" t="s">
        <v>42</v>
      </c>
      <c r="H33" s="149" t="s">
        <v>160</v>
      </c>
      <c r="I33" s="149" t="s">
        <v>159</v>
      </c>
      <c r="J33" s="149" t="s">
        <v>38</v>
      </c>
      <c r="K33" s="149" t="s">
        <v>161</v>
      </c>
      <c r="L33" s="53">
        <v>2</v>
      </c>
      <c r="N33" s="53">
        <v>1</v>
      </c>
      <c r="O33" s="53">
        <v>0.85</v>
      </c>
      <c r="P33" s="53">
        <v>0.8</v>
      </c>
      <c r="Q33" s="97">
        <f t="shared" si="0"/>
        <v>0.82499999999999996</v>
      </c>
      <c r="R33" s="204">
        <v>16.2</v>
      </c>
      <c r="S33" s="204">
        <v>130</v>
      </c>
      <c r="T33" s="16">
        <f t="shared" si="1"/>
        <v>30</v>
      </c>
      <c r="U33" s="209">
        <v>139</v>
      </c>
      <c r="V33" s="200">
        <f t="shared" si="2"/>
        <v>4170</v>
      </c>
      <c r="W33" s="206">
        <v>2</v>
      </c>
      <c r="X33" s="202" t="s">
        <v>39</v>
      </c>
      <c r="Y33" s="211" t="s">
        <v>40</v>
      </c>
      <c r="Z33" s="210" t="s">
        <v>69</v>
      </c>
      <c r="AA33" s="210" t="s">
        <v>47</v>
      </c>
      <c r="AB33" s="57" t="s">
        <v>158</v>
      </c>
    </row>
    <row r="34" spans="1:28" x14ac:dyDescent="0.15">
      <c r="A34" s="193" t="s">
        <v>34</v>
      </c>
      <c r="B34" s="193" t="s">
        <v>157</v>
      </c>
      <c r="C34" s="194">
        <v>2019</v>
      </c>
      <c r="D34" s="195" t="s">
        <v>359</v>
      </c>
      <c r="E34" s="194" t="s">
        <v>365</v>
      </c>
      <c r="F34" s="193" t="s">
        <v>364</v>
      </c>
      <c r="G34" s="196" t="s">
        <v>42</v>
      </c>
      <c r="H34" s="149" t="s">
        <v>160</v>
      </c>
      <c r="I34" s="149" t="s">
        <v>159</v>
      </c>
      <c r="J34" s="149" t="s">
        <v>38</v>
      </c>
      <c r="K34" s="149" t="s">
        <v>161</v>
      </c>
      <c r="L34" s="53">
        <v>3</v>
      </c>
      <c r="N34" s="53">
        <v>1</v>
      </c>
      <c r="O34" s="53">
        <v>0.8</v>
      </c>
      <c r="P34" s="34">
        <v>0.75</v>
      </c>
      <c r="Q34" s="97">
        <f t="shared" si="0"/>
        <v>0.77500000000000002</v>
      </c>
      <c r="R34" s="204">
        <v>16.8</v>
      </c>
      <c r="S34" s="204">
        <v>133</v>
      </c>
      <c r="T34" s="16">
        <f t="shared" si="1"/>
        <v>30</v>
      </c>
      <c r="U34" s="209">
        <v>139</v>
      </c>
      <c r="V34" s="200">
        <f t="shared" si="2"/>
        <v>4170</v>
      </c>
      <c r="W34" s="206">
        <v>2</v>
      </c>
      <c r="X34" s="202" t="s">
        <v>39</v>
      </c>
      <c r="Y34" s="211" t="s">
        <v>40</v>
      </c>
      <c r="Z34" s="210" t="s">
        <v>69</v>
      </c>
      <c r="AA34" s="210" t="s">
        <v>47</v>
      </c>
      <c r="AB34" s="57" t="s">
        <v>158</v>
      </c>
    </row>
    <row r="35" spans="1:28" x14ac:dyDescent="0.15">
      <c r="A35" s="193" t="s">
        <v>34</v>
      </c>
      <c r="B35" s="193" t="s">
        <v>157</v>
      </c>
      <c r="C35" s="193">
        <v>2019</v>
      </c>
      <c r="D35" s="195" t="s">
        <v>359</v>
      </c>
      <c r="E35" s="194" t="s">
        <v>210</v>
      </c>
      <c r="F35" s="193" t="s">
        <v>366</v>
      </c>
      <c r="G35" s="196" t="s">
        <v>42</v>
      </c>
      <c r="H35" s="149" t="s">
        <v>165</v>
      </c>
      <c r="I35" s="149" t="s">
        <v>159</v>
      </c>
      <c r="J35" s="149" t="s">
        <v>38</v>
      </c>
      <c r="K35" s="149" t="s">
        <v>161</v>
      </c>
      <c r="L35" s="53">
        <v>1</v>
      </c>
      <c r="N35" s="53">
        <v>4</v>
      </c>
      <c r="O35" s="53">
        <v>0.6</v>
      </c>
      <c r="P35" s="53">
        <v>0.65</v>
      </c>
      <c r="Q35" s="97">
        <f t="shared" si="0"/>
        <v>0.625</v>
      </c>
      <c r="R35" s="204">
        <v>14.6</v>
      </c>
      <c r="S35" s="204">
        <v>90</v>
      </c>
      <c r="T35" s="16">
        <f t="shared" si="1"/>
        <v>36</v>
      </c>
      <c r="U35" s="209">
        <v>397</v>
      </c>
      <c r="V35" s="200">
        <f t="shared" si="2"/>
        <v>3573</v>
      </c>
      <c r="W35" s="206">
        <v>10</v>
      </c>
      <c r="X35" s="202" t="s">
        <v>46</v>
      </c>
      <c r="Y35" s="210" t="s">
        <v>55</v>
      </c>
      <c r="Z35" s="210" t="s">
        <v>40</v>
      </c>
      <c r="AA35" s="210" t="s">
        <v>86</v>
      </c>
      <c r="AB35" s="57" t="s">
        <v>158</v>
      </c>
    </row>
    <row r="36" spans="1:28" x14ac:dyDescent="0.15">
      <c r="A36" s="193" t="s">
        <v>34</v>
      </c>
      <c r="B36" s="193" t="s">
        <v>157</v>
      </c>
      <c r="C36" s="194">
        <v>2019</v>
      </c>
      <c r="D36" s="195" t="s">
        <v>359</v>
      </c>
      <c r="E36" s="194" t="s">
        <v>210</v>
      </c>
      <c r="F36" s="193" t="s">
        <v>366</v>
      </c>
      <c r="G36" s="196" t="s">
        <v>42</v>
      </c>
      <c r="H36" s="149" t="s">
        <v>165</v>
      </c>
      <c r="I36" s="149" t="s">
        <v>159</v>
      </c>
      <c r="J36" s="149" t="s">
        <v>38</v>
      </c>
      <c r="K36" s="149" t="s">
        <v>161</v>
      </c>
      <c r="L36" s="53">
        <v>2</v>
      </c>
      <c r="N36" s="53">
        <v>4</v>
      </c>
      <c r="O36" s="53">
        <v>0.6</v>
      </c>
      <c r="P36" s="53">
        <v>0.6</v>
      </c>
      <c r="Q36" s="97">
        <f t="shared" si="0"/>
        <v>0.6</v>
      </c>
      <c r="R36" s="204">
        <v>14.7</v>
      </c>
      <c r="S36" s="204">
        <v>91</v>
      </c>
      <c r="T36" s="16">
        <f t="shared" si="1"/>
        <v>36</v>
      </c>
      <c r="U36" s="209">
        <v>397</v>
      </c>
      <c r="V36" s="200">
        <f t="shared" si="2"/>
        <v>3573</v>
      </c>
      <c r="W36" s="206">
        <v>10</v>
      </c>
      <c r="X36" s="202" t="s">
        <v>46</v>
      </c>
      <c r="Y36" s="210" t="s">
        <v>55</v>
      </c>
      <c r="Z36" s="210" t="s">
        <v>40</v>
      </c>
      <c r="AA36" s="210" t="s">
        <v>86</v>
      </c>
      <c r="AB36" s="57" t="s">
        <v>158</v>
      </c>
    </row>
    <row r="37" spans="1:28" x14ac:dyDescent="0.15">
      <c r="A37" s="193" t="s">
        <v>34</v>
      </c>
      <c r="B37" s="193" t="s">
        <v>157</v>
      </c>
      <c r="C37" s="193">
        <v>2019</v>
      </c>
      <c r="D37" s="195" t="s">
        <v>359</v>
      </c>
      <c r="E37" s="194" t="s">
        <v>210</v>
      </c>
      <c r="F37" s="193" t="s">
        <v>366</v>
      </c>
      <c r="G37" s="196" t="s">
        <v>42</v>
      </c>
      <c r="H37" s="149" t="s">
        <v>165</v>
      </c>
      <c r="I37" s="149" t="s">
        <v>159</v>
      </c>
      <c r="J37" s="149" t="s">
        <v>38</v>
      </c>
      <c r="K37" s="149" t="s">
        <v>161</v>
      </c>
      <c r="L37" s="53">
        <v>3</v>
      </c>
      <c r="N37" s="53">
        <v>4</v>
      </c>
      <c r="O37" s="53">
        <v>0.55000000000000004</v>
      </c>
      <c r="P37" s="53">
        <v>0.5</v>
      </c>
      <c r="Q37" s="97">
        <f t="shared" si="0"/>
        <v>0.52500000000000002</v>
      </c>
      <c r="R37" s="204">
        <v>15.3</v>
      </c>
      <c r="S37" s="204">
        <v>92</v>
      </c>
      <c r="T37" s="16">
        <f t="shared" si="1"/>
        <v>36</v>
      </c>
      <c r="U37" s="209">
        <v>397</v>
      </c>
      <c r="V37" s="200">
        <f t="shared" si="2"/>
        <v>3573</v>
      </c>
      <c r="W37" s="206">
        <v>10</v>
      </c>
      <c r="X37" s="202" t="s">
        <v>46</v>
      </c>
      <c r="Y37" s="210" t="s">
        <v>55</v>
      </c>
      <c r="Z37" s="210" t="s">
        <v>40</v>
      </c>
      <c r="AA37" s="210" t="s">
        <v>86</v>
      </c>
      <c r="AB37" s="57" t="s">
        <v>158</v>
      </c>
    </row>
    <row r="38" spans="1:28" x14ac:dyDescent="0.15">
      <c r="A38" s="193" t="s">
        <v>34</v>
      </c>
      <c r="B38" s="193" t="s">
        <v>157</v>
      </c>
      <c r="C38" s="194">
        <v>2019</v>
      </c>
      <c r="D38" s="195" t="s">
        <v>359</v>
      </c>
      <c r="E38" s="194" t="s">
        <v>210</v>
      </c>
      <c r="F38" s="193" t="s">
        <v>366</v>
      </c>
      <c r="G38" s="196" t="s">
        <v>42</v>
      </c>
      <c r="H38" s="149" t="s">
        <v>160</v>
      </c>
      <c r="I38" s="149" t="s">
        <v>159</v>
      </c>
      <c r="J38" s="149" t="s">
        <v>38</v>
      </c>
      <c r="K38" s="149" t="s">
        <v>161</v>
      </c>
      <c r="L38" s="53">
        <v>1</v>
      </c>
      <c r="N38" s="53">
        <v>4</v>
      </c>
      <c r="O38" s="53">
        <v>0.75</v>
      </c>
      <c r="P38" s="53">
        <v>0.8</v>
      </c>
      <c r="Q38" s="97">
        <f t="shared" si="0"/>
        <v>0.77500000000000002</v>
      </c>
      <c r="R38" s="204">
        <v>15</v>
      </c>
      <c r="S38" s="204">
        <v>97</v>
      </c>
      <c r="T38" s="16">
        <f t="shared" si="1"/>
        <v>36</v>
      </c>
      <c r="U38" s="209">
        <v>397</v>
      </c>
      <c r="V38" s="200">
        <f t="shared" si="2"/>
        <v>3573</v>
      </c>
      <c r="W38" s="206">
        <v>10</v>
      </c>
      <c r="X38" s="202" t="s">
        <v>46</v>
      </c>
      <c r="Y38" s="210" t="s">
        <v>55</v>
      </c>
      <c r="Z38" s="210" t="s">
        <v>40</v>
      </c>
      <c r="AA38" s="210" t="s">
        <v>86</v>
      </c>
      <c r="AB38" s="57" t="s">
        <v>158</v>
      </c>
    </row>
    <row r="39" spans="1:28" x14ac:dyDescent="0.15">
      <c r="A39" s="193" t="s">
        <v>34</v>
      </c>
      <c r="B39" s="193" t="s">
        <v>157</v>
      </c>
      <c r="C39" s="193">
        <v>2019</v>
      </c>
      <c r="D39" s="195" t="s">
        <v>359</v>
      </c>
      <c r="E39" s="194" t="s">
        <v>210</v>
      </c>
      <c r="F39" s="193" t="s">
        <v>366</v>
      </c>
      <c r="G39" s="196" t="s">
        <v>42</v>
      </c>
      <c r="H39" s="149" t="s">
        <v>160</v>
      </c>
      <c r="I39" s="149" t="s">
        <v>159</v>
      </c>
      <c r="J39" s="149" t="s">
        <v>38</v>
      </c>
      <c r="K39" s="149" t="s">
        <v>161</v>
      </c>
      <c r="L39" s="53">
        <v>2</v>
      </c>
      <c r="N39" s="53">
        <v>4</v>
      </c>
      <c r="O39" s="53">
        <v>0.7</v>
      </c>
      <c r="P39" s="53">
        <v>0.75</v>
      </c>
      <c r="Q39" s="97">
        <f t="shared" si="0"/>
        <v>0.72499999999999998</v>
      </c>
      <c r="R39" s="204">
        <v>16.2</v>
      </c>
      <c r="S39" s="204">
        <v>101</v>
      </c>
      <c r="T39" s="16">
        <f t="shared" si="1"/>
        <v>33</v>
      </c>
      <c r="U39" s="209">
        <v>397</v>
      </c>
      <c r="V39" s="200">
        <f t="shared" si="2"/>
        <v>3275.25</v>
      </c>
      <c r="W39" s="206">
        <v>10</v>
      </c>
      <c r="X39" s="202" t="s">
        <v>46</v>
      </c>
      <c r="Y39" s="210" t="s">
        <v>55</v>
      </c>
      <c r="Z39" s="210" t="s">
        <v>40</v>
      </c>
      <c r="AA39" s="210" t="s">
        <v>86</v>
      </c>
      <c r="AB39" s="57" t="s">
        <v>158</v>
      </c>
    </row>
    <row r="40" spans="1:28" ht="12.75" customHeight="1" x14ac:dyDescent="0.15">
      <c r="A40" s="193" t="s">
        <v>34</v>
      </c>
      <c r="B40" s="193" t="s">
        <v>157</v>
      </c>
      <c r="C40" s="194">
        <v>2019</v>
      </c>
      <c r="D40" s="195" t="s">
        <v>359</v>
      </c>
      <c r="E40" s="194" t="s">
        <v>210</v>
      </c>
      <c r="F40" s="193" t="s">
        <v>366</v>
      </c>
      <c r="G40" s="196" t="s">
        <v>42</v>
      </c>
      <c r="H40" s="149" t="s">
        <v>160</v>
      </c>
      <c r="I40" s="149" t="s">
        <v>159</v>
      </c>
      <c r="J40" s="149" t="s">
        <v>38</v>
      </c>
      <c r="K40" s="149" t="s">
        <v>161</v>
      </c>
      <c r="L40" s="53">
        <v>3</v>
      </c>
      <c r="N40" s="53">
        <v>4</v>
      </c>
      <c r="O40" s="53">
        <v>0.8</v>
      </c>
      <c r="P40" s="53">
        <v>0.7</v>
      </c>
      <c r="Q40" s="97">
        <f t="shared" si="0"/>
        <v>0.75</v>
      </c>
      <c r="R40" s="204">
        <v>15.8</v>
      </c>
      <c r="S40" s="204">
        <v>104</v>
      </c>
      <c r="T40" s="16">
        <f t="shared" si="1"/>
        <v>33</v>
      </c>
      <c r="U40" s="209">
        <v>397</v>
      </c>
      <c r="V40" s="200">
        <f t="shared" si="2"/>
        <v>3275.25</v>
      </c>
      <c r="W40" s="206">
        <v>10</v>
      </c>
      <c r="X40" s="202" t="s">
        <v>46</v>
      </c>
      <c r="Y40" s="210" t="s">
        <v>55</v>
      </c>
      <c r="Z40" s="210" t="s">
        <v>40</v>
      </c>
      <c r="AA40" s="210" t="s">
        <v>86</v>
      </c>
      <c r="AB40" s="57" t="s">
        <v>158</v>
      </c>
    </row>
    <row r="41" spans="1:28" ht="12.75" customHeight="1" x14ac:dyDescent="0.15">
      <c r="A41" s="149" t="s">
        <v>34</v>
      </c>
      <c r="B41" s="193" t="s">
        <v>157</v>
      </c>
      <c r="C41" s="194">
        <v>2019</v>
      </c>
      <c r="D41" s="195" t="s">
        <v>359</v>
      </c>
      <c r="E41" s="194" t="s">
        <v>139</v>
      </c>
      <c r="F41" s="193" t="s">
        <v>366</v>
      </c>
      <c r="G41" s="196" t="s">
        <v>36</v>
      </c>
      <c r="H41" s="149" t="s">
        <v>165</v>
      </c>
      <c r="I41" s="149" t="s">
        <v>159</v>
      </c>
      <c r="J41" s="149" t="s">
        <v>38</v>
      </c>
      <c r="K41" s="149" t="s">
        <v>161</v>
      </c>
      <c r="L41" s="53">
        <v>1</v>
      </c>
      <c r="N41" s="53">
        <v>1</v>
      </c>
      <c r="O41" s="53">
        <v>0.85</v>
      </c>
      <c r="P41" s="53">
        <v>0.8</v>
      </c>
      <c r="Q41" s="97">
        <f t="shared" si="0"/>
        <v>0.82499999999999996</v>
      </c>
      <c r="R41" s="204">
        <v>13.7</v>
      </c>
      <c r="S41" s="204">
        <v>109</v>
      </c>
      <c r="T41" s="16">
        <f t="shared" si="1"/>
        <v>33</v>
      </c>
      <c r="U41" s="209">
        <v>108</v>
      </c>
      <c r="V41" s="200">
        <f t="shared" si="2"/>
        <v>3564</v>
      </c>
      <c r="W41" s="151">
        <v>12</v>
      </c>
      <c r="X41" s="202" t="s">
        <v>46</v>
      </c>
      <c r="Y41" s="214" t="s">
        <v>107</v>
      </c>
      <c r="Z41" s="214" t="s">
        <v>47</v>
      </c>
      <c r="AA41" s="214" t="s">
        <v>90</v>
      </c>
      <c r="AB41" s="57" t="s">
        <v>158</v>
      </c>
    </row>
    <row r="42" spans="1:28" ht="12.75" customHeight="1" x14ac:dyDescent="0.15">
      <c r="A42" s="149" t="s">
        <v>34</v>
      </c>
      <c r="B42" s="193" t="s">
        <v>157</v>
      </c>
      <c r="C42" s="194">
        <v>2019</v>
      </c>
      <c r="D42" s="195" t="s">
        <v>359</v>
      </c>
      <c r="E42" s="194" t="s">
        <v>139</v>
      </c>
      <c r="F42" s="193" t="s">
        <v>366</v>
      </c>
      <c r="G42" s="196" t="s">
        <v>36</v>
      </c>
      <c r="H42" s="149" t="s">
        <v>165</v>
      </c>
      <c r="I42" s="149" t="s">
        <v>159</v>
      </c>
      <c r="J42" s="149" t="s">
        <v>38</v>
      </c>
      <c r="K42" s="149" t="s">
        <v>161</v>
      </c>
      <c r="L42" s="53">
        <v>2</v>
      </c>
      <c r="N42" s="53">
        <v>1</v>
      </c>
      <c r="O42" s="53">
        <v>0.9</v>
      </c>
      <c r="P42" s="53">
        <v>0.85</v>
      </c>
      <c r="Q42" s="97">
        <f t="shared" si="0"/>
        <v>0.875</v>
      </c>
      <c r="R42" s="204">
        <v>14.1</v>
      </c>
      <c r="S42" s="204">
        <v>113</v>
      </c>
      <c r="T42" s="16">
        <f t="shared" si="1"/>
        <v>30</v>
      </c>
      <c r="U42" s="209">
        <v>108</v>
      </c>
      <c r="V42" s="200">
        <f t="shared" si="2"/>
        <v>3240</v>
      </c>
      <c r="W42" s="151">
        <v>12</v>
      </c>
      <c r="X42" s="202" t="s">
        <v>46</v>
      </c>
      <c r="Y42" s="214" t="s">
        <v>107</v>
      </c>
      <c r="Z42" s="214" t="s">
        <v>47</v>
      </c>
      <c r="AA42" s="214" t="s">
        <v>90</v>
      </c>
      <c r="AB42" s="57" t="s">
        <v>158</v>
      </c>
    </row>
    <row r="43" spans="1:28" ht="12.75" customHeight="1" x14ac:dyDescent="0.15">
      <c r="A43" s="149" t="s">
        <v>34</v>
      </c>
      <c r="B43" s="193" t="s">
        <v>157</v>
      </c>
      <c r="C43" s="194">
        <v>2019</v>
      </c>
      <c r="D43" s="195" t="s">
        <v>359</v>
      </c>
      <c r="E43" s="194" t="s">
        <v>139</v>
      </c>
      <c r="F43" s="193" t="s">
        <v>366</v>
      </c>
      <c r="G43" s="196" t="s">
        <v>36</v>
      </c>
      <c r="H43" s="149" t="s">
        <v>165</v>
      </c>
      <c r="I43" s="149" t="s">
        <v>159</v>
      </c>
      <c r="J43" s="149" t="s">
        <v>38</v>
      </c>
      <c r="K43" s="149" t="s">
        <v>161</v>
      </c>
      <c r="L43" s="53">
        <v>3</v>
      </c>
      <c r="N43" s="53">
        <v>1</v>
      </c>
      <c r="O43" s="53">
        <v>0.85</v>
      </c>
      <c r="P43" s="53">
        <v>0.9</v>
      </c>
      <c r="Q43" s="97">
        <f t="shared" si="0"/>
        <v>0.875</v>
      </c>
      <c r="R43" s="204">
        <v>14.1</v>
      </c>
      <c r="S43" s="204">
        <v>108</v>
      </c>
      <c r="T43" s="16">
        <f t="shared" si="1"/>
        <v>33</v>
      </c>
      <c r="U43" s="209">
        <v>108</v>
      </c>
      <c r="V43" s="200">
        <f t="shared" si="2"/>
        <v>3564</v>
      </c>
      <c r="W43" s="151">
        <v>12</v>
      </c>
      <c r="X43" s="202" t="s">
        <v>46</v>
      </c>
      <c r="Y43" s="214" t="s">
        <v>107</v>
      </c>
      <c r="Z43" s="214" t="s">
        <v>47</v>
      </c>
      <c r="AA43" s="214" t="s">
        <v>90</v>
      </c>
      <c r="AB43" s="57" t="s">
        <v>158</v>
      </c>
    </row>
    <row r="44" spans="1:28" x14ac:dyDescent="0.15">
      <c r="A44" s="53" t="s">
        <v>34</v>
      </c>
      <c r="B44" s="193" t="s">
        <v>157</v>
      </c>
      <c r="C44" s="194">
        <v>2019</v>
      </c>
      <c r="D44" s="195" t="s">
        <v>359</v>
      </c>
      <c r="E44" s="194" t="s">
        <v>139</v>
      </c>
      <c r="F44" s="193" t="s">
        <v>366</v>
      </c>
      <c r="G44" s="196" t="s">
        <v>36</v>
      </c>
      <c r="H44" s="149" t="s">
        <v>160</v>
      </c>
      <c r="I44" s="149" t="s">
        <v>159</v>
      </c>
      <c r="J44" s="151" t="s">
        <v>38</v>
      </c>
      <c r="K44" s="149" t="s">
        <v>161</v>
      </c>
      <c r="L44" s="53">
        <v>1</v>
      </c>
      <c r="N44" s="53">
        <v>1</v>
      </c>
      <c r="O44" s="53">
        <v>1</v>
      </c>
      <c r="P44" s="53">
        <v>1.1000000000000001</v>
      </c>
      <c r="Q44" s="97">
        <f t="shared" si="0"/>
        <v>1.05</v>
      </c>
      <c r="R44" s="204">
        <v>13.1</v>
      </c>
      <c r="S44" s="204">
        <v>157</v>
      </c>
      <c r="T44" s="16">
        <f t="shared" si="1"/>
        <v>30</v>
      </c>
      <c r="U44" s="209">
        <v>160</v>
      </c>
      <c r="V44" s="16">
        <f t="shared" si="2"/>
        <v>4800</v>
      </c>
      <c r="W44" s="53">
        <v>12</v>
      </c>
      <c r="X44" s="202" t="s">
        <v>46</v>
      </c>
      <c r="Y44" s="214" t="s">
        <v>107</v>
      </c>
      <c r="Z44" s="214" t="s">
        <v>47</v>
      </c>
      <c r="AA44" s="214" t="s">
        <v>90</v>
      </c>
      <c r="AB44" s="57" t="s">
        <v>158</v>
      </c>
    </row>
    <row r="45" spans="1:28" x14ac:dyDescent="0.15">
      <c r="A45" s="53" t="s">
        <v>34</v>
      </c>
      <c r="B45" s="193" t="s">
        <v>157</v>
      </c>
      <c r="C45" s="193">
        <v>2019</v>
      </c>
      <c r="D45" s="195" t="s">
        <v>359</v>
      </c>
      <c r="E45" s="194" t="s">
        <v>139</v>
      </c>
      <c r="F45" s="193" t="s">
        <v>366</v>
      </c>
      <c r="G45" s="196" t="s">
        <v>36</v>
      </c>
      <c r="H45" s="149" t="s">
        <v>160</v>
      </c>
      <c r="I45" s="149" t="s">
        <v>159</v>
      </c>
      <c r="J45" s="151" t="s">
        <v>38</v>
      </c>
      <c r="K45" s="149" t="s">
        <v>161</v>
      </c>
      <c r="L45" s="53">
        <v>2</v>
      </c>
      <c r="N45" s="53">
        <v>1</v>
      </c>
      <c r="O45" s="53">
        <v>0.9</v>
      </c>
      <c r="P45" s="53">
        <v>0.85</v>
      </c>
      <c r="Q45" s="97">
        <f t="shared" si="0"/>
        <v>0.875</v>
      </c>
      <c r="R45" s="204">
        <v>13.6</v>
      </c>
      <c r="S45" s="204">
        <v>139</v>
      </c>
      <c r="T45" s="16">
        <f t="shared" si="1"/>
        <v>30</v>
      </c>
      <c r="U45" s="209">
        <v>160</v>
      </c>
      <c r="V45" s="16">
        <f t="shared" si="2"/>
        <v>4800</v>
      </c>
      <c r="W45" s="53">
        <v>12</v>
      </c>
      <c r="X45" s="202" t="s">
        <v>46</v>
      </c>
      <c r="Y45" s="214" t="s">
        <v>107</v>
      </c>
      <c r="Z45" s="214" t="s">
        <v>47</v>
      </c>
      <c r="AA45" s="214" t="s">
        <v>90</v>
      </c>
      <c r="AB45" s="57" t="s">
        <v>158</v>
      </c>
    </row>
    <row r="46" spans="1:28" x14ac:dyDescent="0.15">
      <c r="A46" s="53" t="s">
        <v>34</v>
      </c>
      <c r="B46" s="193" t="s">
        <v>157</v>
      </c>
      <c r="C46" s="194">
        <v>2019</v>
      </c>
      <c r="D46" s="195" t="s">
        <v>359</v>
      </c>
      <c r="E46" s="194" t="s">
        <v>139</v>
      </c>
      <c r="F46" s="193" t="s">
        <v>366</v>
      </c>
      <c r="G46" s="196" t="s">
        <v>36</v>
      </c>
      <c r="H46" s="149" t="s">
        <v>160</v>
      </c>
      <c r="I46" s="149" t="s">
        <v>159</v>
      </c>
      <c r="J46" s="151" t="s">
        <v>38</v>
      </c>
      <c r="K46" s="149" t="s">
        <v>161</v>
      </c>
      <c r="L46" s="53">
        <v>3</v>
      </c>
      <c r="N46" s="53">
        <v>1</v>
      </c>
      <c r="O46" s="53">
        <v>0.95</v>
      </c>
      <c r="P46" s="53">
        <v>0.9</v>
      </c>
      <c r="Q46" s="97">
        <f t="shared" si="0"/>
        <v>0.92500000000000004</v>
      </c>
      <c r="R46" s="204">
        <v>13.4</v>
      </c>
      <c r="S46" s="204">
        <v>142</v>
      </c>
      <c r="T46" s="16">
        <f t="shared" si="1"/>
        <v>30</v>
      </c>
      <c r="U46" s="209">
        <v>160</v>
      </c>
      <c r="V46" s="16">
        <f t="shared" si="2"/>
        <v>4800</v>
      </c>
      <c r="W46" s="53">
        <v>12</v>
      </c>
      <c r="X46" s="202" t="s">
        <v>46</v>
      </c>
      <c r="Y46" s="214" t="s">
        <v>107</v>
      </c>
      <c r="Z46" s="214" t="s">
        <v>47</v>
      </c>
      <c r="AA46" s="214" t="s">
        <v>90</v>
      </c>
      <c r="AB46" s="57" t="s">
        <v>158</v>
      </c>
    </row>
    <row r="47" spans="1:28" x14ac:dyDescent="0.15">
      <c r="A47" s="53" t="s">
        <v>34</v>
      </c>
      <c r="B47" s="34" t="s">
        <v>157</v>
      </c>
      <c r="C47" s="53">
        <v>2019</v>
      </c>
      <c r="D47" s="215" t="s">
        <v>359</v>
      </c>
      <c r="E47" s="53" t="s">
        <v>133</v>
      </c>
      <c r="F47" s="193" t="s">
        <v>367</v>
      </c>
      <c r="G47" s="196" t="s">
        <v>36</v>
      </c>
      <c r="H47" s="149" t="s">
        <v>165</v>
      </c>
      <c r="I47" s="149" t="s">
        <v>159</v>
      </c>
      <c r="J47" s="151" t="s">
        <v>38</v>
      </c>
      <c r="K47" s="149" t="s">
        <v>161</v>
      </c>
      <c r="L47" s="53">
        <v>1</v>
      </c>
      <c r="N47" s="53">
        <v>1</v>
      </c>
      <c r="O47" s="53">
        <v>1.1499999999999999</v>
      </c>
      <c r="P47" s="53">
        <v>1.1000000000000001</v>
      </c>
      <c r="Q47" s="97">
        <f t="shared" si="0"/>
        <v>1.125</v>
      </c>
      <c r="R47" s="204">
        <v>16.7</v>
      </c>
      <c r="S47" s="204">
        <v>122</v>
      </c>
      <c r="T47" s="16">
        <f t="shared" si="1"/>
        <v>30</v>
      </c>
      <c r="U47" s="53">
        <v>98</v>
      </c>
      <c r="V47" s="16">
        <f t="shared" si="2"/>
        <v>2940</v>
      </c>
      <c r="W47" s="53">
        <v>20</v>
      </c>
      <c r="X47" s="202" t="s">
        <v>46</v>
      </c>
      <c r="Y47" s="53" t="s">
        <v>69</v>
      </c>
      <c r="Z47" s="53" t="s">
        <v>40</v>
      </c>
      <c r="AA47" s="53" t="s">
        <v>55</v>
      </c>
      <c r="AB47" s="57" t="s">
        <v>158</v>
      </c>
    </row>
    <row r="48" spans="1:28" x14ac:dyDescent="0.15">
      <c r="A48" s="53" t="s">
        <v>34</v>
      </c>
      <c r="B48" s="34" t="s">
        <v>157</v>
      </c>
      <c r="C48" s="53">
        <v>2019</v>
      </c>
      <c r="D48" s="215" t="s">
        <v>359</v>
      </c>
      <c r="E48" s="53" t="s">
        <v>133</v>
      </c>
      <c r="F48" s="193" t="s">
        <v>367</v>
      </c>
      <c r="G48" s="196" t="s">
        <v>36</v>
      </c>
      <c r="H48" s="149" t="s">
        <v>165</v>
      </c>
      <c r="I48" s="149" t="s">
        <v>159</v>
      </c>
      <c r="J48" s="151" t="s">
        <v>38</v>
      </c>
      <c r="K48" s="149" t="s">
        <v>161</v>
      </c>
      <c r="L48" s="53">
        <v>2</v>
      </c>
      <c r="N48" s="53">
        <v>1</v>
      </c>
      <c r="O48" s="53">
        <v>0.95</v>
      </c>
      <c r="P48" s="53">
        <v>1</v>
      </c>
      <c r="Q48" s="97">
        <f t="shared" si="0"/>
        <v>0.97499999999999998</v>
      </c>
      <c r="R48" s="204">
        <v>15.7</v>
      </c>
      <c r="S48" s="204">
        <v>117</v>
      </c>
      <c r="T48" s="16">
        <f t="shared" si="1"/>
        <v>30</v>
      </c>
      <c r="U48" s="53">
        <v>98</v>
      </c>
      <c r="V48" s="16">
        <f t="shared" si="2"/>
        <v>2940</v>
      </c>
      <c r="W48" s="53">
        <v>20</v>
      </c>
      <c r="X48" s="202" t="s">
        <v>46</v>
      </c>
      <c r="Y48" s="53" t="s">
        <v>69</v>
      </c>
      <c r="Z48" s="53" t="s">
        <v>40</v>
      </c>
      <c r="AA48" s="53" t="s">
        <v>55</v>
      </c>
      <c r="AB48" s="57" t="s">
        <v>158</v>
      </c>
    </row>
    <row r="49" spans="1:28" x14ac:dyDescent="0.15">
      <c r="A49" s="53" t="s">
        <v>34</v>
      </c>
      <c r="B49" s="34" t="s">
        <v>157</v>
      </c>
      <c r="C49" s="53">
        <v>2019</v>
      </c>
      <c r="D49" s="215" t="s">
        <v>359</v>
      </c>
      <c r="E49" s="53" t="s">
        <v>133</v>
      </c>
      <c r="F49" s="193" t="s">
        <v>367</v>
      </c>
      <c r="G49" s="196" t="s">
        <v>36</v>
      </c>
      <c r="H49" s="149" t="s">
        <v>165</v>
      </c>
      <c r="I49" s="149" t="s">
        <v>159</v>
      </c>
      <c r="J49" s="151" t="s">
        <v>38</v>
      </c>
      <c r="K49" s="149" t="s">
        <v>161</v>
      </c>
      <c r="L49" s="53">
        <v>3</v>
      </c>
      <c r="N49" s="53">
        <v>1</v>
      </c>
      <c r="O49" s="53">
        <v>1</v>
      </c>
      <c r="P49" s="53">
        <v>1.1000000000000001</v>
      </c>
      <c r="Q49" s="97">
        <f t="shared" si="0"/>
        <v>1.05</v>
      </c>
      <c r="R49" s="204">
        <v>15.9</v>
      </c>
      <c r="S49" s="204">
        <v>125</v>
      </c>
      <c r="T49" s="16">
        <f t="shared" si="1"/>
        <v>30</v>
      </c>
      <c r="U49" s="53">
        <v>98</v>
      </c>
      <c r="V49" s="16">
        <f t="shared" si="2"/>
        <v>2940</v>
      </c>
      <c r="W49" s="53">
        <v>20</v>
      </c>
      <c r="X49" s="202" t="s">
        <v>46</v>
      </c>
      <c r="Y49" s="53" t="s">
        <v>69</v>
      </c>
      <c r="Z49" s="53" t="s">
        <v>40</v>
      </c>
      <c r="AA49" s="53" t="s">
        <v>55</v>
      </c>
      <c r="AB49" s="57" t="s">
        <v>158</v>
      </c>
    </row>
    <row r="50" spans="1:28" x14ac:dyDescent="0.15">
      <c r="A50" s="53" t="s">
        <v>34</v>
      </c>
      <c r="B50" s="53" t="s">
        <v>157</v>
      </c>
      <c r="C50" s="53">
        <v>2019</v>
      </c>
      <c r="D50" s="215" t="s">
        <v>359</v>
      </c>
      <c r="E50" s="53" t="s">
        <v>133</v>
      </c>
      <c r="F50" s="193" t="s">
        <v>367</v>
      </c>
      <c r="G50" s="196" t="s">
        <v>36</v>
      </c>
      <c r="H50" s="151" t="s">
        <v>160</v>
      </c>
      <c r="I50" s="151" t="s">
        <v>159</v>
      </c>
      <c r="J50" s="151" t="s">
        <v>38</v>
      </c>
      <c r="K50" s="149" t="s">
        <v>161</v>
      </c>
      <c r="L50" s="53">
        <v>1</v>
      </c>
      <c r="N50" s="53">
        <v>1</v>
      </c>
      <c r="O50" s="53">
        <v>0.8</v>
      </c>
      <c r="P50" s="53">
        <v>0.75</v>
      </c>
      <c r="Q50" s="97">
        <f t="shared" si="0"/>
        <v>0.77500000000000002</v>
      </c>
      <c r="R50" s="53">
        <v>18.5</v>
      </c>
      <c r="S50" s="53">
        <v>163</v>
      </c>
      <c r="T50" s="16">
        <f t="shared" si="1"/>
        <v>30</v>
      </c>
      <c r="U50" s="53">
        <v>138</v>
      </c>
      <c r="V50" s="16">
        <f t="shared" si="2"/>
        <v>4140</v>
      </c>
      <c r="W50" s="53">
        <v>20</v>
      </c>
      <c r="X50" s="202" t="s">
        <v>46</v>
      </c>
      <c r="Y50" s="53" t="s">
        <v>69</v>
      </c>
      <c r="Z50" s="53" t="s">
        <v>40</v>
      </c>
      <c r="AA50" s="53" t="s">
        <v>55</v>
      </c>
      <c r="AB50" s="53" t="s">
        <v>158</v>
      </c>
    </row>
    <row r="51" spans="1:28" x14ac:dyDescent="0.15">
      <c r="A51" s="53" t="s">
        <v>34</v>
      </c>
      <c r="B51" s="53" t="s">
        <v>157</v>
      </c>
      <c r="C51" s="53">
        <v>2019</v>
      </c>
      <c r="D51" s="215" t="s">
        <v>359</v>
      </c>
      <c r="E51" s="53" t="s">
        <v>133</v>
      </c>
      <c r="F51" s="193" t="s">
        <v>367</v>
      </c>
      <c r="G51" s="196" t="s">
        <v>36</v>
      </c>
      <c r="H51" s="151" t="s">
        <v>160</v>
      </c>
      <c r="I51" s="151" t="s">
        <v>159</v>
      </c>
      <c r="J51" s="151" t="s">
        <v>38</v>
      </c>
      <c r="K51" s="149" t="s">
        <v>161</v>
      </c>
      <c r="L51" s="53">
        <v>2</v>
      </c>
      <c r="N51" s="53">
        <v>1</v>
      </c>
      <c r="O51" s="53">
        <v>0.8</v>
      </c>
      <c r="P51" s="53">
        <v>0.8</v>
      </c>
      <c r="Q51" s="97">
        <f t="shared" si="0"/>
        <v>0.8</v>
      </c>
      <c r="R51" s="53">
        <v>17.7</v>
      </c>
      <c r="S51" s="53">
        <v>165</v>
      </c>
      <c r="T51" s="16">
        <f t="shared" si="1"/>
        <v>30</v>
      </c>
      <c r="U51" s="53">
        <v>138</v>
      </c>
      <c r="V51" s="16">
        <f t="shared" si="2"/>
        <v>4140</v>
      </c>
      <c r="W51" s="53">
        <v>20</v>
      </c>
      <c r="X51" s="202" t="s">
        <v>46</v>
      </c>
      <c r="Y51" s="53" t="s">
        <v>69</v>
      </c>
      <c r="Z51" s="53" t="s">
        <v>40</v>
      </c>
      <c r="AA51" s="53" t="s">
        <v>55</v>
      </c>
      <c r="AB51" s="53" t="s">
        <v>158</v>
      </c>
    </row>
    <row r="52" spans="1:28" x14ac:dyDescent="0.15">
      <c r="A52" s="53" t="s">
        <v>34</v>
      </c>
      <c r="B52" s="53" t="s">
        <v>157</v>
      </c>
      <c r="C52" s="53">
        <v>2019</v>
      </c>
      <c r="D52" s="215" t="s">
        <v>359</v>
      </c>
      <c r="E52" s="53" t="s">
        <v>133</v>
      </c>
      <c r="F52" s="193" t="s">
        <v>367</v>
      </c>
      <c r="G52" s="196" t="s">
        <v>36</v>
      </c>
      <c r="H52" s="151" t="s">
        <v>160</v>
      </c>
      <c r="I52" s="151" t="s">
        <v>159</v>
      </c>
      <c r="J52" s="151" t="s">
        <v>38</v>
      </c>
      <c r="K52" s="149" t="s">
        <v>161</v>
      </c>
      <c r="L52" s="53">
        <v>3</v>
      </c>
      <c r="N52" s="53">
        <v>1</v>
      </c>
      <c r="O52" s="53">
        <v>0.9</v>
      </c>
      <c r="P52" s="53">
        <v>0.95</v>
      </c>
      <c r="Q52" s="97">
        <f t="shared" si="0"/>
        <v>0.92500000000000004</v>
      </c>
      <c r="R52" s="53">
        <v>16.8</v>
      </c>
      <c r="S52" s="53">
        <v>173</v>
      </c>
      <c r="T52" s="16">
        <f t="shared" si="1"/>
        <v>30</v>
      </c>
      <c r="U52" s="53">
        <v>138</v>
      </c>
      <c r="V52" s="16">
        <f t="shared" si="2"/>
        <v>4140</v>
      </c>
      <c r="W52" s="53">
        <v>20</v>
      </c>
      <c r="X52" s="202" t="s">
        <v>46</v>
      </c>
      <c r="Y52" s="53" t="s">
        <v>69</v>
      </c>
      <c r="Z52" s="53" t="s">
        <v>40</v>
      </c>
      <c r="AA52" s="53" t="s">
        <v>55</v>
      </c>
      <c r="AB52" s="53" t="s">
        <v>158</v>
      </c>
    </row>
    <row r="53" spans="1:28" x14ac:dyDescent="0.15">
      <c r="A53" s="53" t="s">
        <v>34</v>
      </c>
      <c r="B53" s="53" t="s">
        <v>157</v>
      </c>
      <c r="C53" s="53">
        <v>2019</v>
      </c>
      <c r="D53" s="215" t="s">
        <v>359</v>
      </c>
      <c r="E53" s="53" t="s">
        <v>268</v>
      </c>
      <c r="F53" s="193" t="s">
        <v>368</v>
      </c>
      <c r="G53" s="196" t="s">
        <v>36</v>
      </c>
      <c r="H53" s="151" t="s">
        <v>165</v>
      </c>
      <c r="I53" s="151" t="s">
        <v>159</v>
      </c>
      <c r="J53" s="151" t="s">
        <v>38</v>
      </c>
      <c r="K53" s="149" t="s">
        <v>161</v>
      </c>
      <c r="L53" s="53">
        <v>1</v>
      </c>
      <c r="N53" s="53">
        <v>5</v>
      </c>
      <c r="O53" s="53">
        <v>0.8</v>
      </c>
      <c r="P53" s="53">
        <v>0.65</v>
      </c>
      <c r="Q53" s="97">
        <f t="shared" si="0"/>
        <v>0.72500000000000009</v>
      </c>
      <c r="R53" s="53">
        <v>13.3</v>
      </c>
      <c r="S53" s="53">
        <v>82</v>
      </c>
      <c r="T53" s="16">
        <f t="shared" si="1"/>
        <v>39</v>
      </c>
      <c r="U53" s="53">
        <v>398</v>
      </c>
      <c r="V53" s="16">
        <f t="shared" si="2"/>
        <v>3104.3999999999996</v>
      </c>
      <c r="W53" s="53">
        <v>8</v>
      </c>
      <c r="X53" s="202" t="s">
        <v>46</v>
      </c>
      <c r="Y53" s="53" t="s">
        <v>69</v>
      </c>
      <c r="Z53" s="53" t="s">
        <v>78</v>
      </c>
      <c r="AA53" s="53" t="s">
        <v>40</v>
      </c>
      <c r="AB53" s="53" t="s">
        <v>158</v>
      </c>
    </row>
    <row r="54" spans="1:28" x14ac:dyDescent="0.15">
      <c r="A54" s="53" t="s">
        <v>34</v>
      </c>
      <c r="B54" s="53" t="s">
        <v>157</v>
      </c>
      <c r="C54" s="53">
        <v>2019</v>
      </c>
      <c r="D54" s="215" t="s">
        <v>359</v>
      </c>
      <c r="E54" s="53" t="s">
        <v>268</v>
      </c>
      <c r="F54" s="193" t="s">
        <v>368</v>
      </c>
      <c r="G54" s="196" t="s">
        <v>36</v>
      </c>
      <c r="H54" s="151" t="s">
        <v>165</v>
      </c>
      <c r="I54" s="151" t="s">
        <v>159</v>
      </c>
      <c r="J54" s="151" t="s">
        <v>38</v>
      </c>
      <c r="K54" s="149" t="s">
        <v>161</v>
      </c>
      <c r="L54" s="53">
        <v>2</v>
      </c>
      <c r="N54" s="53">
        <v>5</v>
      </c>
      <c r="O54" s="53">
        <v>0.55000000000000004</v>
      </c>
      <c r="P54" s="53">
        <v>0.7</v>
      </c>
      <c r="Q54" s="97">
        <f t="shared" si="0"/>
        <v>0.625</v>
      </c>
      <c r="R54" s="53">
        <v>13.5</v>
      </c>
      <c r="S54" s="53">
        <v>92</v>
      </c>
      <c r="T54" s="16">
        <f t="shared" si="1"/>
        <v>36</v>
      </c>
      <c r="U54" s="53">
        <v>398</v>
      </c>
      <c r="V54" s="16">
        <f t="shared" si="2"/>
        <v>2865.6</v>
      </c>
      <c r="W54" s="53">
        <v>8</v>
      </c>
      <c r="X54" s="202" t="s">
        <v>46</v>
      </c>
      <c r="Y54" s="53" t="s">
        <v>69</v>
      </c>
      <c r="Z54" s="53" t="s">
        <v>78</v>
      </c>
      <c r="AA54" s="53" t="s">
        <v>40</v>
      </c>
      <c r="AB54" s="53" t="s">
        <v>158</v>
      </c>
    </row>
    <row r="55" spans="1:28" x14ac:dyDescent="0.15">
      <c r="A55" s="53" t="s">
        <v>34</v>
      </c>
      <c r="B55" s="53" t="s">
        <v>157</v>
      </c>
      <c r="C55" s="53">
        <v>2019</v>
      </c>
      <c r="D55" s="215" t="s">
        <v>359</v>
      </c>
      <c r="E55" s="53" t="s">
        <v>268</v>
      </c>
      <c r="F55" s="193" t="s">
        <v>368</v>
      </c>
      <c r="G55" s="196" t="s">
        <v>36</v>
      </c>
      <c r="H55" s="151" t="s">
        <v>165</v>
      </c>
      <c r="I55" s="151" t="s">
        <v>159</v>
      </c>
      <c r="J55" s="151" t="s">
        <v>38</v>
      </c>
      <c r="K55" s="149" t="s">
        <v>161</v>
      </c>
      <c r="L55" s="53">
        <v>3</v>
      </c>
      <c r="N55" s="53">
        <v>5</v>
      </c>
      <c r="O55" s="53">
        <v>0.7</v>
      </c>
      <c r="P55" s="53">
        <v>0.65</v>
      </c>
      <c r="Q55" s="97">
        <f t="shared" si="0"/>
        <v>0.67500000000000004</v>
      </c>
      <c r="R55" s="53">
        <v>13.6</v>
      </c>
      <c r="S55" s="53">
        <v>88</v>
      </c>
      <c r="T55" s="16">
        <f t="shared" si="1"/>
        <v>36</v>
      </c>
      <c r="U55" s="53">
        <v>398</v>
      </c>
      <c r="V55" s="16">
        <f t="shared" si="2"/>
        <v>2865.6</v>
      </c>
      <c r="W55" s="53">
        <v>8</v>
      </c>
      <c r="X55" s="202" t="s">
        <v>46</v>
      </c>
      <c r="Y55" s="53" t="s">
        <v>69</v>
      </c>
      <c r="Z55" s="53" t="s">
        <v>78</v>
      </c>
      <c r="AA55" s="53" t="s">
        <v>40</v>
      </c>
      <c r="AB55" s="53" t="s">
        <v>158</v>
      </c>
    </row>
    <row r="56" spans="1:28" x14ac:dyDescent="0.15">
      <c r="A56" s="53" t="s">
        <v>34</v>
      </c>
      <c r="B56" s="53" t="s">
        <v>157</v>
      </c>
      <c r="C56" s="53">
        <v>2019</v>
      </c>
      <c r="D56" s="215" t="s">
        <v>359</v>
      </c>
      <c r="E56" s="53" t="s">
        <v>268</v>
      </c>
      <c r="F56" s="193" t="s">
        <v>368</v>
      </c>
      <c r="G56" s="196" t="s">
        <v>36</v>
      </c>
      <c r="H56" s="151" t="s">
        <v>160</v>
      </c>
      <c r="I56" s="151" t="s">
        <v>159</v>
      </c>
      <c r="J56" s="151" t="s">
        <v>38</v>
      </c>
      <c r="K56" s="149" t="s">
        <v>161</v>
      </c>
      <c r="L56" s="53">
        <v>1</v>
      </c>
      <c r="N56" s="53">
        <v>1</v>
      </c>
      <c r="O56" s="53">
        <v>0.6</v>
      </c>
      <c r="P56" s="53">
        <v>0.5</v>
      </c>
      <c r="Q56" s="97">
        <f t="shared" si="0"/>
        <v>0.55000000000000004</v>
      </c>
      <c r="R56" s="53">
        <v>15.6</v>
      </c>
      <c r="S56" s="53">
        <v>132</v>
      </c>
      <c r="T56" s="16">
        <f t="shared" si="1"/>
        <v>30</v>
      </c>
      <c r="U56" s="53">
        <v>138</v>
      </c>
      <c r="V56" s="16">
        <f t="shared" si="2"/>
        <v>4140</v>
      </c>
      <c r="W56" s="53">
        <v>8</v>
      </c>
      <c r="X56" s="202" t="s">
        <v>46</v>
      </c>
      <c r="Y56" s="53" t="s">
        <v>69</v>
      </c>
      <c r="Z56" s="53" t="s">
        <v>78</v>
      </c>
      <c r="AA56" s="53" t="s">
        <v>40</v>
      </c>
      <c r="AB56" s="53" t="s">
        <v>158</v>
      </c>
    </row>
    <row r="57" spans="1:28" x14ac:dyDescent="0.15">
      <c r="A57" s="53" t="s">
        <v>34</v>
      </c>
      <c r="B57" s="53" t="s">
        <v>157</v>
      </c>
      <c r="C57" s="53">
        <v>2019</v>
      </c>
      <c r="D57" s="215" t="s">
        <v>359</v>
      </c>
      <c r="E57" s="53" t="s">
        <v>268</v>
      </c>
      <c r="F57" s="193" t="s">
        <v>368</v>
      </c>
      <c r="G57" s="196" t="s">
        <v>36</v>
      </c>
      <c r="H57" s="151" t="s">
        <v>160</v>
      </c>
      <c r="I57" s="151" t="s">
        <v>159</v>
      </c>
      <c r="J57" s="151" t="s">
        <v>38</v>
      </c>
      <c r="K57" s="149" t="s">
        <v>161</v>
      </c>
      <c r="L57" s="53">
        <v>2</v>
      </c>
      <c r="N57" s="53">
        <v>1</v>
      </c>
      <c r="O57" s="53">
        <v>0.5</v>
      </c>
      <c r="P57" s="53">
        <v>0.5</v>
      </c>
      <c r="Q57" s="97">
        <f t="shared" si="0"/>
        <v>0.5</v>
      </c>
      <c r="R57" s="53">
        <v>15.7</v>
      </c>
      <c r="S57" s="53">
        <v>126</v>
      </c>
      <c r="T57" s="16">
        <f t="shared" si="1"/>
        <v>30</v>
      </c>
      <c r="U57" s="53">
        <v>138</v>
      </c>
      <c r="V57" s="16">
        <f t="shared" si="2"/>
        <v>4140</v>
      </c>
      <c r="W57" s="53">
        <v>8</v>
      </c>
      <c r="X57" s="202" t="s">
        <v>46</v>
      </c>
      <c r="Y57" s="53" t="s">
        <v>69</v>
      </c>
      <c r="Z57" s="53" t="s">
        <v>78</v>
      </c>
      <c r="AA57" s="53" t="s">
        <v>40</v>
      </c>
      <c r="AB57" s="53" t="s">
        <v>158</v>
      </c>
    </row>
    <row r="58" spans="1:28" x14ac:dyDescent="0.15">
      <c r="A58" s="53" t="s">
        <v>34</v>
      </c>
      <c r="B58" s="53" t="s">
        <v>157</v>
      </c>
      <c r="C58" s="53">
        <v>2019</v>
      </c>
      <c r="D58" s="215" t="s">
        <v>359</v>
      </c>
      <c r="E58" s="53" t="s">
        <v>268</v>
      </c>
      <c r="F58" s="193" t="s">
        <v>368</v>
      </c>
      <c r="G58" s="196" t="s">
        <v>36</v>
      </c>
      <c r="H58" s="151" t="s">
        <v>160</v>
      </c>
      <c r="I58" s="151" t="s">
        <v>159</v>
      </c>
      <c r="J58" s="151" t="s">
        <v>38</v>
      </c>
      <c r="K58" s="149" t="s">
        <v>161</v>
      </c>
      <c r="L58" s="53">
        <v>3</v>
      </c>
      <c r="N58" s="53">
        <v>1</v>
      </c>
      <c r="O58" s="53">
        <v>0.65</v>
      </c>
      <c r="P58" s="53">
        <v>0.55000000000000004</v>
      </c>
      <c r="Q58" s="97">
        <f t="shared" si="0"/>
        <v>0.60000000000000009</v>
      </c>
      <c r="R58" s="53">
        <v>15.3</v>
      </c>
      <c r="S58" s="53">
        <v>127</v>
      </c>
      <c r="T58" s="16">
        <f t="shared" si="1"/>
        <v>30</v>
      </c>
      <c r="U58" s="53">
        <v>138</v>
      </c>
      <c r="V58" s="16">
        <f t="shared" si="2"/>
        <v>4140</v>
      </c>
      <c r="W58" s="53">
        <v>8</v>
      </c>
      <c r="X58" s="202" t="s">
        <v>46</v>
      </c>
      <c r="Y58" s="53" t="s">
        <v>69</v>
      </c>
      <c r="Z58" s="53" t="s">
        <v>78</v>
      </c>
      <c r="AA58" s="53" t="s">
        <v>40</v>
      </c>
      <c r="AB58" s="53" t="s">
        <v>158</v>
      </c>
    </row>
    <row r="59" spans="1:28" x14ac:dyDescent="0.15">
      <c r="D59" s="215"/>
      <c r="F59" s="193"/>
      <c r="G59" s="196"/>
      <c r="H59" s="151"/>
      <c r="I59" s="151"/>
      <c r="J59" s="151"/>
      <c r="K59" s="149"/>
      <c r="Q59" s="97" t="str">
        <f t="shared" si="0"/>
        <v/>
      </c>
      <c r="T59" s="16" t="str">
        <f t="shared" si="1"/>
        <v/>
      </c>
      <c r="V59" s="16" t="str">
        <f t="shared" si="2"/>
        <v/>
      </c>
      <c r="X59" s="202"/>
    </row>
    <row r="60" spans="1:28" x14ac:dyDescent="0.15">
      <c r="D60" s="215"/>
      <c r="F60" s="193"/>
      <c r="G60" s="196"/>
      <c r="H60" s="151"/>
      <c r="I60" s="151"/>
      <c r="J60" s="151"/>
      <c r="K60" s="149"/>
      <c r="Q60" s="97" t="str">
        <f t="shared" si="0"/>
        <v/>
      </c>
      <c r="T60" s="16" t="str">
        <f t="shared" si="1"/>
        <v/>
      </c>
      <c r="V60" s="16" t="str">
        <f t="shared" si="2"/>
        <v/>
      </c>
      <c r="X60" s="202"/>
    </row>
    <row r="61" spans="1:28" x14ac:dyDescent="0.15">
      <c r="D61" s="215"/>
      <c r="F61" s="193"/>
      <c r="G61" s="196"/>
      <c r="H61" s="151"/>
      <c r="I61" s="151"/>
      <c r="J61" s="151"/>
      <c r="K61" s="149"/>
      <c r="Q61" s="97" t="str">
        <f t="shared" si="0"/>
        <v/>
      </c>
      <c r="T61" s="16" t="str">
        <f t="shared" si="1"/>
        <v/>
      </c>
      <c r="V61" s="16" t="str">
        <f t="shared" si="2"/>
        <v/>
      </c>
      <c r="X61" s="202"/>
    </row>
    <row r="62" spans="1:28" x14ac:dyDescent="0.15">
      <c r="D62" s="215"/>
      <c r="F62" s="193"/>
      <c r="G62" s="196"/>
      <c r="H62" s="151"/>
      <c r="I62" s="151"/>
      <c r="J62" s="151"/>
      <c r="K62" s="149"/>
      <c r="Q62" s="97" t="str">
        <f t="shared" si="0"/>
        <v/>
      </c>
      <c r="T62" s="16" t="str">
        <f t="shared" si="1"/>
        <v/>
      </c>
      <c r="V62" s="16" t="str">
        <f t="shared" si="2"/>
        <v/>
      </c>
      <c r="X62" s="202"/>
    </row>
    <row r="63" spans="1:28" x14ac:dyDescent="0.15">
      <c r="D63" s="215"/>
      <c r="F63" s="193"/>
      <c r="G63" s="196"/>
      <c r="H63" s="151"/>
      <c r="I63" s="151"/>
      <c r="J63" s="151"/>
      <c r="K63" s="149"/>
      <c r="Q63" s="97" t="str">
        <f t="shared" si="0"/>
        <v/>
      </c>
      <c r="T63" s="16" t="str">
        <f t="shared" si="1"/>
        <v/>
      </c>
      <c r="V63" s="16" t="str">
        <f t="shared" si="2"/>
        <v/>
      </c>
      <c r="X63" s="202"/>
    </row>
    <row r="64" spans="1:28" x14ac:dyDescent="0.15">
      <c r="D64" s="215"/>
      <c r="F64" s="193"/>
      <c r="G64" s="196"/>
      <c r="H64" s="151"/>
      <c r="I64" s="151"/>
      <c r="J64" s="151"/>
      <c r="K64" s="149"/>
      <c r="Q64" s="97" t="str">
        <f t="shared" si="0"/>
        <v/>
      </c>
      <c r="T64" s="16" t="str">
        <f t="shared" si="1"/>
        <v/>
      </c>
      <c r="V64" s="16" t="str">
        <f t="shared" si="2"/>
        <v/>
      </c>
      <c r="X64" s="202"/>
    </row>
    <row r="65" spans="4:24" x14ac:dyDescent="0.15">
      <c r="D65" s="215"/>
      <c r="F65" s="193"/>
      <c r="G65" s="196"/>
      <c r="H65" s="151"/>
      <c r="I65" s="151"/>
      <c r="J65" s="151"/>
      <c r="K65" s="149"/>
      <c r="Q65" s="97" t="str">
        <f t="shared" si="0"/>
        <v/>
      </c>
      <c r="T65" s="16" t="str">
        <f t="shared" si="1"/>
        <v/>
      </c>
      <c r="V65" s="16" t="str">
        <f t="shared" si="2"/>
        <v/>
      </c>
      <c r="X65" s="202"/>
    </row>
    <row r="66" spans="4:24" x14ac:dyDescent="0.15">
      <c r="D66" s="215"/>
      <c r="F66" s="193"/>
      <c r="G66" s="196"/>
      <c r="H66" s="151"/>
      <c r="I66" s="151"/>
      <c r="J66" s="151"/>
      <c r="K66" s="149"/>
      <c r="Q66" s="97" t="str">
        <f t="shared" ref="Q66:Q91" si="3">IF(OR(O66="",P66=""),"",AVERAGE(O66,P66))</f>
        <v/>
      </c>
      <c r="T66" s="16" t="str">
        <f t="shared" ref="T66:T91" si="4">IF(H66="","",IF(OR(H66="GREEN",H66="GK"),IF(S66&gt;=$AX$2,VLOOKUP(S66,$AX$2:$AY$7,2,1),""),IF(S66&gt;=$AZ$2,VLOOKUP(S66,$AZ$2:$BA$7,2,1),"")))</f>
        <v/>
      </c>
      <c r="V66" s="16" t="str">
        <f t="shared" ref="V66:V91" si="5">IF(OR(N66="",U66="",T66=""),"",U66/N66*T66)</f>
        <v/>
      </c>
      <c r="X66" s="202"/>
    </row>
    <row r="67" spans="4:24" x14ac:dyDescent="0.15">
      <c r="D67" s="215"/>
      <c r="F67" s="193"/>
      <c r="G67" s="196"/>
      <c r="H67" s="151"/>
      <c r="I67" s="151"/>
      <c r="J67" s="151"/>
      <c r="K67" s="149"/>
      <c r="Q67" s="97" t="str">
        <f t="shared" si="3"/>
        <v/>
      </c>
      <c r="T67" s="16" t="str">
        <f t="shared" si="4"/>
        <v/>
      </c>
      <c r="V67" s="16" t="str">
        <f t="shared" si="5"/>
        <v/>
      </c>
      <c r="X67" s="202"/>
    </row>
    <row r="68" spans="4:24" x14ac:dyDescent="0.15">
      <c r="D68" s="215"/>
      <c r="F68" s="193"/>
      <c r="G68" s="196"/>
      <c r="H68" s="151"/>
      <c r="I68" s="151"/>
      <c r="J68" s="151"/>
      <c r="K68" s="149"/>
      <c r="Q68" s="97" t="str">
        <f t="shared" si="3"/>
        <v/>
      </c>
      <c r="T68" s="16" t="str">
        <f t="shared" si="4"/>
        <v/>
      </c>
      <c r="V68" s="16" t="str">
        <f t="shared" si="5"/>
        <v/>
      </c>
      <c r="X68" s="202"/>
    </row>
    <row r="69" spans="4:24" x14ac:dyDescent="0.15">
      <c r="D69" s="215"/>
      <c r="F69" s="193"/>
      <c r="G69" s="196"/>
      <c r="H69" s="151"/>
      <c r="I69" s="151"/>
      <c r="J69" s="151"/>
      <c r="K69" s="149"/>
      <c r="Q69" s="97" t="str">
        <f t="shared" si="3"/>
        <v/>
      </c>
      <c r="T69" s="16" t="str">
        <f t="shared" si="4"/>
        <v/>
      </c>
      <c r="V69" s="16" t="str">
        <f t="shared" si="5"/>
        <v/>
      </c>
      <c r="X69" s="202"/>
    </row>
    <row r="70" spans="4:24" x14ac:dyDescent="0.15">
      <c r="D70" s="215"/>
      <c r="F70" s="193"/>
      <c r="G70" s="196"/>
      <c r="H70" s="151"/>
      <c r="I70" s="151"/>
      <c r="J70" s="151"/>
      <c r="K70" s="149"/>
      <c r="Q70" s="97" t="str">
        <f t="shared" si="3"/>
        <v/>
      </c>
      <c r="T70" s="16" t="str">
        <f t="shared" si="4"/>
        <v/>
      </c>
      <c r="V70" s="16" t="str">
        <f t="shared" si="5"/>
        <v/>
      </c>
      <c r="X70" s="202"/>
    </row>
    <row r="71" spans="4:24" x14ac:dyDescent="0.15">
      <c r="D71" s="215"/>
      <c r="F71" s="193"/>
      <c r="G71" s="196"/>
      <c r="H71" s="151"/>
      <c r="I71" s="151"/>
      <c r="J71" s="151"/>
      <c r="K71" s="149"/>
      <c r="Q71" s="97" t="str">
        <f t="shared" si="3"/>
        <v/>
      </c>
      <c r="T71" s="16" t="str">
        <f t="shared" si="4"/>
        <v/>
      </c>
      <c r="V71" s="16" t="str">
        <f t="shared" si="5"/>
        <v/>
      </c>
      <c r="X71" s="202"/>
    </row>
    <row r="72" spans="4:24" x14ac:dyDescent="0.15">
      <c r="D72" s="215"/>
      <c r="F72" s="193"/>
      <c r="G72" s="196"/>
      <c r="H72" s="151"/>
      <c r="I72" s="151"/>
      <c r="J72" s="151"/>
      <c r="K72" s="149"/>
      <c r="Q72" s="97" t="str">
        <f t="shared" si="3"/>
        <v/>
      </c>
      <c r="T72" s="16" t="str">
        <f t="shared" si="4"/>
        <v/>
      </c>
      <c r="V72" s="16" t="str">
        <f t="shared" si="5"/>
        <v/>
      </c>
      <c r="X72" s="202"/>
    </row>
    <row r="73" spans="4:24" x14ac:dyDescent="0.15">
      <c r="D73" s="215"/>
      <c r="F73" s="193"/>
      <c r="G73" s="196"/>
      <c r="H73" s="151"/>
      <c r="I73" s="151"/>
      <c r="J73" s="151"/>
      <c r="K73" s="149"/>
      <c r="Q73" s="97" t="str">
        <f t="shared" si="3"/>
        <v/>
      </c>
      <c r="T73" s="16" t="str">
        <f t="shared" si="4"/>
        <v/>
      </c>
      <c r="V73" s="16" t="str">
        <f t="shared" si="5"/>
        <v/>
      </c>
      <c r="X73" s="202"/>
    </row>
    <row r="74" spans="4:24" x14ac:dyDescent="0.15">
      <c r="D74" s="215"/>
      <c r="F74" s="193"/>
      <c r="G74" s="196"/>
      <c r="H74" s="151"/>
      <c r="I74" s="151"/>
      <c r="J74" s="151"/>
      <c r="K74" s="149"/>
      <c r="Q74" s="97" t="str">
        <f t="shared" si="3"/>
        <v/>
      </c>
      <c r="T74" s="16" t="str">
        <f t="shared" si="4"/>
        <v/>
      </c>
      <c r="V74" s="16" t="str">
        <f t="shared" si="5"/>
        <v/>
      </c>
      <c r="X74" s="202"/>
    </row>
    <row r="75" spans="4:24" x14ac:dyDescent="0.15">
      <c r="D75" s="215"/>
      <c r="F75" s="193"/>
      <c r="G75" s="196"/>
      <c r="H75" s="151"/>
      <c r="I75" s="151"/>
      <c r="J75" s="151"/>
      <c r="K75" s="149"/>
      <c r="Q75" s="97" t="str">
        <f t="shared" si="3"/>
        <v/>
      </c>
      <c r="T75" s="16" t="str">
        <f t="shared" si="4"/>
        <v/>
      </c>
      <c r="V75" s="16" t="str">
        <f t="shared" si="5"/>
        <v/>
      </c>
      <c r="X75" s="202"/>
    </row>
    <row r="76" spans="4:24" x14ac:dyDescent="0.15">
      <c r="D76" s="215"/>
      <c r="F76" s="193"/>
      <c r="G76" s="196"/>
      <c r="H76" s="151"/>
      <c r="I76" s="151"/>
      <c r="J76" s="151"/>
      <c r="K76" s="149"/>
      <c r="Q76" s="97" t="str">
        <f t="shared" si="3"/>
        <v/>
      </c>
      <c r="T76" s="16" t="str">
        <f t="shared" si="4"/>
        <v/>
      </c>
      <c r="V76" s="16" t="str">
        <f t="shared" si="5"/>
        <v/>
      </c>
      <c r="X76" s="202"/>
    </row>
    <row r="77" spans="4:24" x14ac:dyDescent="0.15">
      <c r="D77" s="215"/>
      <c r="F77" s="193"/>
      <c r="G77" s="196"/>
      <c r="H77" s="151"/>
      <c r="I77" s="151"/>
      <c r="J77" s="151"/>
      <c r="K77" s="149"/>
      <c r="Q77" s="97" t="str">
        <f t="shared" si="3"/>
        <v/>
      </c>
      <c r="T77" s="16" t="str">
        <f t="shared" si="4"/>
        <v/>
      </c>
      <c r="V77" s="16" t="str">
        <f t="shared" si="5"/>
        <v/>
      </c>
      <c r="X77" s="202"/>
    </row>
    <row r="78" spans="4:24" x14ac:dyDescent="0.15">
      <c r="D78" s="215"/>
      <c r="F78" s="193"/>
      <c r="G78" s="196"/>
      <c r="H78" s="151"/>
      <c r="I78" s="151"/>
      <c r="J78" s="151"/>
      <c r="K78" s="149"/>
      <c r="Q78" s="97" t="str">
        <f t="shared" si="3"/>
        <v/>
      </c>
      <c r="T78" s="16" t="str">
        <f t="shared" si="4"/>
        <v/>
      </c>
      <c r="V78" s="16" t="str">
        <f t="shared" si="5"/>
        <v/>
      </c>
      <c r="X78" s="202"/>
    </row>
    <row r="79" spans="4:24" x14ac:dyDescent="0.15">
      <c r="D79" s="215"/>
      <c r="F79" s="193"/>
      <c r="G79" s="196"/>
      <c r="H79" s="151"/>
      <c r="I79" s="151"/>
      <c r="J79" s="151"/>
      <c r="K79" s="149"/>
      <c r="Q79" s="97" t="str">
        <f t="shared" si="3"/>
        <v/>
      </c>
      <c r="T79" s="16" t="str">
        <f t="shared" si="4"/>
        <v/>
      </c>
      <c r="V79" s="16" t="str">
        <f t="shared" si="5"/>
        <v/>
      </c>
      <c r="X79" s="202"/>
    </row>
    <row r="80" spans="4:24" x14ac:dyDescent="0.15">
      <c r="H80" s="151"/>
      <c r="I80" s="151"/>
      <c r="J80" s="151"/>
      <c r="K80" s="149"/>
      <c r="Q80" s="97" t="str">
        <f t="shared" si="3"/>
        <v/>
      </c>
      <c r="T80" s="16" t="str">
        <f t="shared" si="4"/>
        <v/>
      </c>
      <c r="V80" s="16" t="str">
        <f t="shared" si="5"/>
        <v/>
      </c>
    </row>
    <row r="81" spans="8:22" x14ac:dyDescent="0.15">
      <c r="H81" s="151"/>
      <c r="I81" s="151"/>
      <c r="J81" s="151"/>
      <c r="K81" s="149"/>
      <c r="Q81" s="97" t="str">
        <f t="shared" si="3"/>
        <v/>
      </c>
      <c r="T81" s="16" t="str">
        <f t="shared" si="4"/>
        <v/>
      </c>
      <c r="V81" s="16" t="str">
        <f t="shared" si="5"/>
        <v/>
      </c>
    </row>
    <row r="82" spans="8:22" x14ac:dyDescent="0.15">
      <c r="H82" s="151"/>
      <c r="I82" s="151"/>
      <c r="J82" s="151"/>
      <c r="K82" s="149"/>
      <c r="Q82" s="97" t="str">
        <f t="shared" si="3"/>
        <v/>
      </c>
      <c r="T82" s="16" t="str">
        <f t="shared" si="4"/>
        <v/>
      </c>
      <c r="V82" s="16" t="str">
        <f t="shared" si="5"/>
        <v/>
      </c>
    </row>
    <row r="83" spans="8:22" x14ac:dyDescent="0.15">
      <c r="H83" s="151"/>
      <c r="I83" s="151"/>
      <c r="J83" s="151"/>
      <c r="K83" s="149"/>
      <c r="Q83" s="97" t="str">
        <f t="shared" si="3"/>
        <v/>
      </c>
      <c r="T83" s="16" t="str">
        <f t="shared" si="4"/>
        <v/>
      </c>
      <c r="V83" s="16" t="str">
        <f t="shared" si="5"/>
        <v/>
      </c>
    </row>
    <row r="84" spans="8:22" x14ac:dyDescent="0.15">
      <c r="H84" s="151"/>
      <c r="I84" s="151"/>
      <c r="J84" s="151"/>
      <c r="K84" s="149"/>
      <c r="Q84" s="97" t="str">
        <f t="shared" si="3"/>
        <v/>
      </c>
      <c r="T84" s="16" t="str">
        <f t="shared" si="4"/>
        <v/>
      </c>
      <c r="V84" s="16" t="str">
        <f t="shared" si="5"/>
        <v/>
      </c>
    </row>
    <row r="85" spans="8:22" x14ac:dyDescent="0.15">
      <c r="H85" s="151"/>
      <c r="I85" s="151"/>
      <c r="J85" s="151"/>
      <c r="K85" s="149"/>
      <c r="Q85" s="97" t="str">
        <f t="shared" si="3"/>
        <v/>
      </c>
      <c r="T85" s="16" t="str">
        <f t="shared" si="4"/>
        <v/>
      </c>
      <c r="V85" s="16" t="str">
        <f t="shared" si="5"/>
        <v/>
      </c>
    </row>
    <row r="86" spans="8:22" x14ac:dyDescent="0.15">
      <c r="H86" s="151"/>
      <c r="I86" s="151"/>
      <c r="J86" s="151"/>
      <c r="K86" s="149"/>
      <c r="Q86" s="97" t="str">
        <f t="shared" si="3"/>
        <v/>
      </c>
      <c r="T86" s="16" t="str">
        <f t="shared" si="4"/>
        <v/>
      </c>
      <c r="V86" s="16" t="str">
        <f t="shared" si="5"/>
        <v/>
      </c>
    </row>
    <row r="87" spans="8:22" x14ac:dyDescent="0.15">
      <c r="H87" s="151"/>
      <c r="I87" s="151"/>
      <c r="J87" s="151"/>
      <c r="K87" s="149"/>
      <c r="Q87" s="97" t="str">
        <f t="shared" si="3"/>
        <v/>
      </c>
      <c r="T87" s="16" t="str">
        <f t="shared" si="4"/>
        <v/>
      </c>
      <c r="V87" s="16" t="str">
        <f t="shared" si="5"/>
        <v/>
      </c>
    </row>
    <row r="88" spans="8:22" x14ac:dyDescent="0.15">
      <c r="H88" s="151"/>
      <c r="I88" s="151"/>
      <c r="J88" s="151"/>
      <c r="K88" s="149"/>
      <c r="Q88" s="97" t="str">
        <f t="shared" si="3"/>
        <v/>
      </c>
      <c r="T88" s="16" t="str">
        <f t="shared" si="4"/>
        <v/>
      </c>
      <c r="V88" s="16" t="str">
        <f t="shared" si="5"/>
        <v/>
      </c>
    </row>
    <row r="89" spans="8:22" x14ac:dyDescent="0.15">
      <c r="H89" s="151"/>
      <c r="I89" s="151"/>
      <c r="J89" s="151"/>
      <c r="K89" s="149"/>
      <c r="Q89" s="97" t="str">
        <f t="shared" si="3"/>
        <v/>
      </c>
      <c r="T89" s="16" t="str">
        <f t="shared" si="4"/>
        <v/>
      </c>
      <c r="V89" s="16" t="str">
        <f t="shared" si="5"/>
        <v/>
      </c>
    </row>
    <row r="90" spans="8:22" x14ac:dyDescent="0.15">
      <c r="H90" s="151"/>
      <c r="I90" s="151"/>
      <c r="J90" s="151"/>
      <c r="K90" s="149"/>
      <c r="Q90" s="97" t="str">
        <f t="shared" si="3"/>
        <v/>
      </c>
      <c r="T90" s="16" t="str">
        <f t="shared" si="4"/>
        <v/>
      </c>
      <c r="V90" s="16" t="str">
        <f t="shared" si="5"/>
        <v/>
      </c>
    </row>
    <row r="91" spans="8:22" x14ac:dyDescent="0.15">
      <c r="H91" s="151"/>
      <c r="I91" s="151"/>
      <c r="J91" s="151"/>
      <c r="K91" s="149"/>
      <c r="Q91" s="97" t="str">
        <f t="shared" si="3"/>
        <v/>
      </c>
      <c r="T91" s="16" t="str">
        <f t="shared" si="4"/>
        <v/>
      </c>
      <c r="V91" s="16" t="str">
        <f t="shared" si="5"/>
        <v/>
      </c>
    </row>
    <row r="92" spans="8:22" x14ac:dyDescent="0.15">
      <c r="H92" s="151"/>
      <c r="I92" s="151"/>
      <c r="J92" s="151"/>
      <c r="K92" s="149"/>
      <c r="Q92" s="97"/>
    </row>
    <row r="93" spans="8:22" x14ac:dyDescent="0.15">
      <c r="H93" s="151"/>
      <c r="I93" s="151"/>
      <c r="J93" s="151"/>
      <c r="K93" s="149"/>
      <c r="Q93" s="97"/>
    </row>
    <row r="94" spans="8:22" x14ac:dyDescent="0.15">
      <c r="H94" s="151"/>
      <c r="I94" s="151"/>
      <c r="J94" s="151"/>
      <c r="K94" s="149"/>
      <c r="Q94" s="97"/>
    </row>
    <row r="95" spans="8:22" x14ac:dyDescent="0.15">
      <c r="H95" s="151"/>
      <c r="I95" s="151"/>
      <c r="J95" s="151"/>
      <c r="K95" s="149"/>
      <c r="Q95" s="97"/>
    </row>
    <row r="96" spans="8:22" x14ac:dyDescent="0.15">
      <c r="H96" s="151"/>
      <c r="I96" s="151"/>
      <c r="J96" s="151"/>
      <c r="K96" s="149"/>
      <c r="Q96" s="97"/>
    </row>
    <row r="97" spans="8:17" x14ac:dyDescent="0.15">
      <c r="H97" s="151"/>
      <c r="I97" s="151"/>
      <c r="J97" s="151"/>
      <c r="K97" s="149"/>
      <c r="Q97" s="97"/>
    </row>
    <row r="98" spans="8:17" x14ac:dyDescent="0.15">
      <c r="H98" s="151"/>
      <c r="I98" s="151"/>
      <c r="J98" s="151"/>
      <c r="K98" s="149"/>
      <c r="Q98" s="97"/>
    </row>
    <row r="99" spans="8:17" x14ac:dyDescent="0.15">
      <c r="H99" s="151"/>
      <c r="I99" s="151"/>
      <c r="J99" s="151"/>
      <c r="K99" s="149"/>
      <c r="Q99" s="97"/>
    </row>
    <row r="100" spans="8:17" x14ac:dyDescent="0.15">
      <c r="H100" s="151"/>
      <c r="I100" s="151"/>
      <c r="J100" s="151"/>
      <c r="K100" s="149"/>
      <c r="Q100" s="97"/>
    </row>
    <row r="101" spans="8:17" x14ac:dyDescent="0.15">
      <c r="H101" s="151"/>
      <c r="I101" s="151"/>
      <c r="J101" s="151"/>
      <c r="K101" s="149"/>
      <c r="Q101" s="97"/>
    </row>
    <row r="102" spans="8:17" x14ac:dyDescent="0.15">
      <c r="H102" s="151"/>
      <c r="I102" s="151"/>
      <c r="J102" s="151"/>
      <c r="K102" s="149"/>
      <c r="Q102" s="97"/>
    </row>
    <row r="103" spans="8:17" x14ac:dyDescent="0.15">
      <c r="H103" s="151"/>
      <c r="I103" s="151"/>
      <c r="J103" s="151"/>
      <c r="K103" s="149"/>
      <c r="Q103" s="97"/>
    </row>
    <row r="104" spans="8:17" x14ac:dyDescent="0.15">
      <c r="H104" s="151"/>
      <c r="I104" s="151"/>
      <c r="J104" s="151"/>
      <c r="K104" s="149"/>
      <c r="Q104" s="97"/>
    </row>
    <row r="105" spans="8:17" x14ac:dyDescent="0.15">
      <c r="H105" s="151"/>
      <c r="I105" s="151"/>
      <c r="J105" s="151"/>
      <c r="K105" s="149"/>
      <c r="Q105" s="97"/>
    </row>
    <row r="106" spans="8:17" x14ac:dyDescent="0.15">
      <c r="H106" s="151"/>
      <c r="I106" s="151"/>
      <c r="J106" s="151"/>
      <c r="K106" s="149"/>
      <c r="Q106" s="97"/>
    </row>
    <row r="107" spans="8:17" x14ac:dyDescent="0.15">
      <c r="H107" s="151"/>
      <c r="I107" s="151"/>
      <c r="J107" s="151"/>
      <c r="K107" s="149"/>
      <c r="Q107" s="97"/>
    </row>
    <row r="108" spans="8:17" x14ac:dyDescent="0.15">
      <c r="H108" s="151"/>
      <c r="I108" s="151"/>
      <c r="J108" s="151"/>
      <c r="K108" s="149"/>
      <c r="Q108" s="97"/>
    </row>
    <row r="109" spans="8:17" x14ac:dyDescent="0.15">
      <c r="H109" s="151"/>
      <c r="I109" s="151"/>
      <c r="J109" s="151"/>
      <c r="K109" s="149"/>
      <c r="Q109" s="97"/>
    </row>
    <row r="110" spans="8:17" x14ac:dyDescent="0.15">
      <c r="H110" s="151"/>
      <c r="I110" s="151"/>
      <c r="J110" s="151"/>
      <c r="K110" s="149"/>
      <c r="Q110" s="97"/>
    </row>
    <row r="111" spans="8:17" x14ac:dyDescent="0.15">
      <c r="H111" s="151"/>
      <c r="I111" s="151"/>
      <c r="J111" s="151"/>
      <c r="K111" s="149"/>
      <c r="Q111" s="97"/>
    </row>
    <row r="112" spans="8:17" x14ac:dyDescent="0.15">
      <c r="H112" s="151"/>
      <c r="I112" s="151"/>
      <c r="J112" s="151"/>
      <c r="K112" s="149"/>
      <c r="Q112" s="97"/>
    </row>
    <row r="113" spans="8:17" x14ac:dyDescent="0.15">
      <c r="H113" s="151"/>
      <c r="I113" s="151"/>
      <c r="J113" s="151"/>
      <c r="K113" s="149"/>
      <c r="Q113" s="97"/>
    </row>
    <row r="114" spans="8:17" x14ac:dyDescent="0.15">
      <c r="H114" s="151"/>
      <c r="I114" s="151"/>
      <c r="J114" s="151"/>
      <c r="K114" s="149"/>
      <c r="Q114" s="97"/>
    </row>
    <row r="115" spans="8:17" x14ac:dyDescent="0.15">
      <c r="H115" s="151"/>
      <c r="I115" s="151"/>
      <c r="J115" s="151"/>
      <c r="K115" s="149"/>
      <c r="Q115" s="97"/>
    </row>
    <row r="116" spans="8:17" x14ac:dyDescent="0.15">
      <c r="H116" s="151"/>
      <c r="I116" s="151"/>
      <c r="J116" s="151"/>
      <c r="K116" s="149"/>
      <c r="Q116" s="97"/>
    </row>
    <row r="117" spans="8:17" x14ac:dyDescent="0.15">
      <c r="H117" s="151"/>
      <c r="I117" s="151"/>
      <c r="J117" s="151"/>
      <c r="K117" s="149"/>
      <c r="Q117" s="97"/>
    </row>
    <row r="118" spans="8:17" x14ac:dyDescent="0.15">
      <c r="H118" s="151"/>
      <c r="I118" s="151"/>
      <c r="J118" s="151"/>
      <c r="K118" s="149"/>
      <c r="Q118" s="97"/>
    </row>
    <row r="119" spans="8:17" x14ac:dyDescent="0.15">
      <c r="H119" s="151"/>
      <c r="I119" s="151"/>
      <c r="J119" s="151"/>
      <c r="K119" s="149"/>
      <c r="Q119" s="97"/>
    </row>
    <row r="120" spans="8:17" x14ac:dyDescent="0.15">
      <c r="H120" s="151"/>
      <c r="I120" s="151"/>
      <c r="J120" s="151"/>
      <c r="K120" s="149"/>
      <c r="Q120" s="97"/>
    </row>
    <row r="121" spans="8:17" x14ac:dyDescent="0.15">
      <c r="H121" s="151"/>
      <c r="I121" s="151"/>
      <c r="J121" s="151"/>
      <c r="K121" s="149"/>
      <c r="Q121" s="97"/>
    </row>
    <row r="122" spans="8:17" x14ac:dyDescent="0.15">
      <c r="H122" s="151"/>
      <c r="I122" s="151"/>
      <c r="J122" s="151"/>
      <c r="K122" s="149"/>
      <c r="Q122" s="97"/>
    </row>
    <row r="123" spans="8:17" x14ac:dyDescent="0.15">
      <c r="H123" s="151"/>
      <c r="I123" s="151"/>
      <c r="J123" s="151"/>
      <c r="K123" s="149"/>
      <c r="Q123" s="97"/>
    </row>
    <row r="124" spans="8:17" x14ac:dyDescent="0.15">
      <c r="H124" s="151"/>
      <c r="I124" s="151"/>
      <c r="J124" s="151"/>
      <c r="K124" s="149"/>
      <c r="Q124" s="97"/>
    </row>
    <row r="125" spans="8:17" x14ac:dyDescent="0.15">
      <c r="H125" s="151"/>
      <c r="I125" s="151"/>
      <c r="J125" s="151"/>
      <c r="K125" s="149"/>
      <c r="Q125" s="97"/>
    </row>
    <row r="126" spans="8:17" x14ac:dyDescent="0.15">
      <c r="H126" s="151"/>
      <c r="I126" s="151"/>
      <c r="J126" s="151"/>
      <c r="K126" s="149"/>
      <c r="Q126" s="97"/>
    </row>
    <row r="127" spans="8:17" x14ac:dyDescent="0.15">
      <c r="H127" s="151"/>
      <c r="I127" s="151"/>
      <c r="J127" s="151"/>
      <c r="K127" s="149"/>
      <c r="Q127" s="97"/>
    </row>
    <row r="128" spans="8:17" x14ac:dyDescent="0.15">
      <c r="H128" s="151"/>
      <c r="I128" s="151"/>
      <c r="J128" s="151"/>
      <c r="K128" s="149"/>
      <c r="Q128" s="97"/>
    </row>
    <row r="129" spans="8:17" x14ac:dyDescent="0.15">
      <c r="H129" s="151"/>
      <c r="I129" s="151"/>
      <c r="J129" s="151"/>
      <c r="K129" s="149"/>
      <c r="Q129" s="97"/>
    </row>
    <row r="130" spans="8:17" x14ac:dyDescent="0.15">
      <c r="H130" s="151"/>
      <c r="I130" s="151"/>
      <c r="J130" s="151"/>
      <c r="K130" s="149"/>
      <c r="Q130" s="97"/>
    </row>
    <row r="131" spans="8:17" x14ac:dyDescent="0.15">
      <c r="H131" s="151"/>
      <c r="I131" s="151"/>
      <c r="J131" s="151"/>
      <c r="K131" s="149"/>
      <c r="Q131" s="97"/>
    </row>
    <row r="132" spans="8:17" x14ac:dyDescent="0.15">
      <c r="H132" s="151"/>
      <c r="I132" s="151"/>
      <c r="J132" s="151"/>
      <c r="K132" s="149"/>
      <c r="Q132" s="97"/>
    </row>
    <row r="133" spans="8:17" x14ac:dyDescent="0.15">
      <c r="H133" s="151"/>
      <c r="I133" s="151"/>
      <c r="J133" s="151"/>
      <c r="K133" s="149"/>
      <c r="Q133" s="97"/>
    </row>
    <row r="134" spans="8:17" x14ac:dyDescent="0.15">
      <c r="H134" s="151"/>
      <c r="I134" s="151"/>
      <c r="J134" s="151"/>
      <c r="K134" s="149"/>
      <c r="Q134" s="97"/>
    </row>
    <row r="135" spans="8:17" x14ac:dyDescent="0.15">
      <c r="H135" s="151"/>
      <c r="I135" s="151"/>
      <c r="J135" s="151"/>
      <c r="K135" s="149"/>
      <c r="Q135" s="97"/>
    </row>
    <row r="136" spans="8:17" x14ac:dyDescent="0.15">
      <c r="H136" s="151"/>
      <c r="I136" s="151"/>
      <c r="J136" s="151"/>
      <c r="K136" s="149"/>
      <c r="Q136" s="97"/>
    </row>
    <row r="137" spans="8:17" x14ac:dyDescent="0.15">
      <c r="H137" s="151"/>
      <c r="I137" s="151"/>
      <c r="J137" s="151"/>
      <c r="K137" s="149"/>
      <c r="Q137" s="97"/>
    </row>
    <row r="138" spans="8:17" x14ac:dyDescent="0.15">
      <c r="H138" s="151"/>
      <c r="I138" s="151"/>
      <c r="J138" s="151"/>
      <c r="K138" s="149"/>
      <c r="Q138" s="97"/>
    </row>
    <row r="139" spans="8:17" x14ac:dyDescent="0.15">
      <c r="H139" s="151"/>
      <c r="I139" s="151"/>
      <c r="J139" s="151"/>
      <c r="K139" s="149"/>
      <c r="Q139" s="97"/>
    </row>
    <row r="140" spans="8:17" x14ac:dyDescent="0.15">
      <c r="H140" s="151"/>
      <c r="I140" s="151"/>
      <c r="J140" s="151"/>
      <c r="K140" s="149"/>
      <c r="Q140" s="97"/>
    </row>
    <row r="141" spans="8:17" x14ac:dyDescent="0.15">
      <c r="H141" s="151"/>
      <c r="I141" s="151"/>
      <c r="J141" s="151"/>
      <c r="K141" s="149"/>
      <c r="Q141" s="97"/>
    </row>
    <row r="142" spans="8:17" x14ac:dyDescent="0.15">
      <c r="K142" s="149"/>
      <c r="Q142" s="97"/>
    </row>
    <row r="143" spans="8:17" x14ac:dyDescent="0.15">
      <c r="K143" s="149"/>
      <c r="Q143" s="97"/>
    </row>
    <row r="144" spans="8:17" x14ac:dyDescent="0.15">
      <c r="K144" s="149"/>
      <c r="Q144" s="97"/>
    </row>
    <row r="145" spans="11:17" x14ac:dyDescent="0.15">
      <c r="K145" s="149"/>
      <c r="Q145" s="97"/>
    </row>
    <row r="146" spans="11:17" x14ac:dyDescent="0.15">
      <c r="K146" s="149"/>
      <c r="Q146" s="97"/>
    </row>
    <row r="147" spans="11:17" x14ac:dyDescent="0.15">
      <c r="K147" s="149"/>
      <c r="Q147" s="97"/>
    </row>
    <row r="148" spans="11:17" x14ac:dyDescent="0.15">
      <c r="K148" s="149"/>
      <c r="Q148" s="97"/>
    </row>
    <row r="149" spans="11:17" x14ac:dyDescent="0.15">
      <c r="K149" s="149"/>
      <c r="Q149" s="97"/>
    </row>
    <row r="150" spans="11:17" x14ac:dyDescent="0.15">
      <c r="K150" s="149"/>
      <c r="Q150" s="97"/>
    </row>
    <row r="151" spans="11:17" x14ac:dyDescent="0.15">
      <c r="K151" s="149"/>
      <c r="Q151" s="97"/>
    </row>
    <row r="152" spans="11:17" x14ac:dyDescent="0.15">
      <c r="K152" s="149"/>
      <c r="Q152" s="97"/>
    </row>
    <row r="153" spans="11:17" x14ac:dyDescent="0.15">
      <c r="K153" s="149"/>
      <c r="Q153" s="97"/>
    </row>
    <row r="154" spans="11:17" x14ac:dyDescent="0.15">
      <c r="K154" s="149"/>
      <c r="Q154" s="97"/>
    </row>
    <row r="155" spans="11:17" x14ac:dyDescent="0.15">
      <c r="K155" s="149"/>
      <c r="Q155" s="97"/>
    </row>
    <row r="156" spans="11:17" x14ac:dyDescent="0.15">
      <c r="K156" s="149"/>
      <c r="Q156" s="97"/>
    </row>
    <row r="157" spans="11:17" x14ac:dyDescent="0.15">
      <c r="K157" s="149"/>
      <c r="Q157" s="97"/>
    </row>
    <row r="158" spans="11:17" x14ac:dyDescent="0.15">
      <c r="K158" s="149"/>
      <c r="Q158" s="97"/>
    </row>
    <row r="159" spans="11:17" x14ac:dyDescent="0.15">
      <c r="K159" s="149"/>
      <c r="Q159" s="97"/>
    </row>
    <row r="160" spans="11:17" x14ac:dyDescent="0.15">
      <c r="K160" s="149"/>
      <c r="Q160" s="97"/>
    </row>
    <row r="161" spans="11:17" x14ac:dyDescent="0.15">
      <c r="K161" s="149"/>
      <c r="Q161" s="97"/>
    </row>
    <row r="162" spans="11:17" x14ac:dyDescent="0.15">
      <c r="K162" s="149"/>
      <c r="Q162" s="97"/>
    </row>
    <row r="163" spans="11:17" x14ac:dyDescent="0.15">
      <c r="K163" s="149"/>
      <c r="Q163" s="97"/>
    </row>
    <row r="164" spans="11:17" x14ac:dyDescent="0.15">
      <c r="K164" s="149"/>
      <c r="Q164" s="97"/>
    </row>
    <row r="165" spans="11:17" x14ac:dyDescent="0.15">
      <c r="K165" s="149"/>
      <c r="Q165" s="97"/>
    </row>
    <row r="166" spans="11:17" x14ac:dyDescent="0.15">
      <c r="K166" s="149"/>
      <c r="Q166" s="97"/>
    </row>
    <row r="167" spans="11:17" x14ac:dyDescent="0.15">
      <c r="K167" s="149"/>
      <c r="Q167" s="97"/>
    </row>
    <row r="168" spans="11:17" x14ac:dyDescent="0.15">
      <c r="K168" s="149"/>
      <c r="Q168" s="97"/>
    </row>
    <row r="169" spans="11:17" x14ac:dyDescent="0.15">
      <c r="K169" s="149"/>
      <c r="Q169" s="97"/>
    </row>
    <row r="170" spans="11:17" x14ac:dyDescent="0.15">
      <c r="K170" s="149"/>
      <c r="Q170" s="97"/>
    </row>
    <row r="171" spans="11:17" x14ac:dyDescent="0.15">
      <c r="K171" s="149"/>
      <c r="Q171" s="97"/>
    </row>
    <row r="172" spans="11:17" x14ac:dyDescent="0.15">
      <c r="K172" s="149"/>
      <c r="Q172" s="97"/>
    </row>
    <row r="173" spans="11:17" x14ac:dyDescent="0.15">
      <c r="K173" s="149"/>
      <c r="Q173" s="97"/>
    </row>
    <row r="174" spans="11:17" x14ac:dyDescent="0.15">
      <c r="K174" s="149"/>
      <c r="Q174" s="97"/>
    </row>
    <row r="175" spans="11:17" x14ac:dyDescent="0.15">
      <c r="K175" s="149"/>
      <c r="Q175" s="97"/>
    </row>
    <row r="176" spans="11:17" x14ac:dyDescent="0.15">
      <c r="K176" s="149"/>
      <c r="Q176" s="97"/>
    </row>
    <row r="177" spans="11:17" x14ac:dyDescent="0.15">
      <c r="K177" s="149"/>
      <c r="Q177" s="97"/>
    </row>
    <row r="178" spans="11:17" x14ac:dyDescent="0.15">
      <c r="K178" s="149"/>
      <c r="Q178" s="97"/>
    </row>
    <row r="179" spans="11:17" x14ac:dyDescent="0.15">
      <c r="K179" s="149"/>
      <c r="Q179" s="97"/>
    </row>
    <row r="180" spans="11:17" x14ac:dyDescent="0.15">
      <c r="K180" s="149"/>
      <c r="Q180" s="97"/>
    </row>
    <row r="181" spans="11:17" x14ac:dyDescent="0.15">
      <c r="K181" s="149"/>
      <c r="Q181" s="97"/>
    </row>
    <row r="182" spans="11:17" x14ac:dyDescent="0.15">
      <c r="K182" s="149"/>
      <c r="Q182" s="97"/>
    </row>
    <row r="183" spans="11:17" x14ac:dyDescent="0.15">
      <c r="K183" s="149"/>
      <c r="Q183" s="97"/>
    </row>
    <row r="184" spans="11:17" x14ac:dyDescent="0.15">
      <c r="K184" s="149"/>
      <c r="Q184" s="97"/>
    </row>
    <row r="185" spans="11:17" x14ac:dyDescent="0.15">
      <c r="K185" s="149"/>
      <c r="Q185" s="97"/>
    </row>
    <row r="186" spans="11:17" x14ac:dyDescent="0.15">
      <c r="K186" s="149"/>
      <c r="Q186" s="97"/>
    </row>
    <row r="187" spans="11:17" x14ac:dyDescent="0.15">
      <c r="K187" s="149"/>
      <c r="Q187" s="97"/>
    </row>
    <row r="188" spans="11:17" x14ac:dyDescent="0.15">
      <c r="K188" s="149"/>
      <c r="Q188" s="97"/>
    </row>
    <row r="189" spans="11:17" x14ac:dyDescent="0.15">
      <c r="K189" s="149"/>
      <c r="Q189" s="97"/>
    </row>
    <row r="190" spans="11:17" x14ac:dyDescent="0.15">
      <c r="K190" s="149"/>
      <c r="Q190" s="97"/>
    </row>
    <row r="191" spans="11:17" x14ac:dyDescent="0.15">
      <c r="K191" s="149"/>
      <c r="Q191" s="97"/>
    </row>
    <row r="192" spans="11:17" x14ac:dyDescent="0.15">
      <c r="K192" s="149"/>
      <c r="Q192" s="97"/>
    </row>
    <row r="193" spans="11:17" x14ac:dyDescent="0.15">
      <c r="K193" s="149"/>
      <c r="Q193" s="97"/>
    </row>
    <row r="194" spans="11:17" x14ac:dyDescent="0.15">
      <c r="K194" s="149"/>
      <c r="Q194" s="97"/>
    </row>
    <row r="195" spans="11:17" x14ac:dyDescent="0.15">
      <c r="K195" s="149"/>
      <c r="Q195" s="97"/>
    </row>
    <row r="196" spans="11:17" x14ac:dyDescent="0.15">
      <c r="K196" s="149"/>
      <c r="Q196" s="97"/>
    </row>
    <row r="197" spans="11:17" x14ac:dyDescent="0.15">
      <c r="K197" s="149"/>
      <c r="Q197" s="97"/>
    </row>
    <row r="198" spans="11:17" x14ac:dyDescent="0.15">
      <c r="K198" s="149"/>
      <c r="Q198" s="97"/>
    </row>
    <row r="199" spans="11:17" x14ac:dyDescent="0.15">
      <c r="K199" s="149"/>
      <c r="Q199" s="97"/>
    </row>
    <row r="200" spans="11:17" x14ac:dyDescent="0.15">
      <c r="K200" s="149"/>
      <c r="Q200" s="97"/>
    </row>
    <row r="201" spans="11:17" x14ac:dyDescent="0.15">
      <c r="K201" s="149"/>
      <c r="Q201" s="97"/>
    </row>
    <row r="202" spans="11:17" x14ac:dyDescent="0.15">
      <c r="K202" s="149"/>
      <c r="Q202" s="97"/>
    </row>
    <row r="203" spans="11:17" x14ac:dyDescent="0.15">
      <c r="K203" s="149"/>
      <c r="Q203" s="97"/>
    </row>
    <row r="204" spans="11:17" x14ac:dyDescent="0.15">
      <c r="K204" s="149"/>
      <c r="Q204" s="97"/>
    </row>
    <row r="205" spans="11:17" x14ac:dyDescent="0.15">
      <c r="K205" s="149"/>
      <c r="Q205" s="97"/>
    </row>
    <row r="206" spans="11:17" x14ac:dyDescent="0.15">
      <c r="K206" s="149"/>
      <c r="Q206" s="97"/>
    </row>
    <row r="207" spans="11:17" x14ac:dyDescent="0.15">
      <c r="K207" s="149"/>
      <c r="Q207" s="97"/>
    </row>
    <row r="208" spans="11:17" x14ac:dyDescent="0.15">
      <c r="K208" s="149"/>
      <c r="Q208" s="97"/>
    </row>
    <row r="209" spans="11:17" x14ac:dyDescent="0.15">
      <c r="K209" s="149"/>
      <c r="Q209" s="97"/>
    </row>
    <row r="210" spans="11:17" x14ac:dyDescent="0.15">
      <c r="K210" s="149"/>
      <c r="Q210" s="97"/>
    </row>
    <row r="211" spans="11:17" x14ac:dyDescent="0.15">
      <c r="K211" s="149"/>
      <c r="Q211" s="97"/>
    </row>
    <row r="212" spans="11:17" x14ac:dyDescent="0.15">
      <c r="K212" s="149"/>
      <c r="Q212" s="97"/>
    </row>
    <row r="213" spans="11:17" x14ac:dyDescent="0.15">
      <c r="K213" s="149"/>
      <c r="Q213" s="97"/>
    </row>
    <row r="214" spans="11:17" x14ac:dyDescent="0.15">
      <c r="K214" s="149"/>
      <c r="Q214" s="97"/>
    </row>
    <row r="215" spans="11:17" x14ac:dyDescent="0.15">
      <c r="K215" s="149"/>
      <c r="Q215" s="97"/>
    </row>
    <row r="216" spans="11:17" x14ac:dyDescent="0.15">
      <c r="K216" s="149"/>
      <c r="Q216" s="97"/>
    </row>
    <row r="217" spans="11:17" x14ac:dyDescent="0.15">
      <c r="K217" s="149"/>
      <c r="Q217" s="97"/>
    </row>
    <row r="218" spans="11:17" x14ac:dyDescent="0.15">
      <c r="K218" s="149"/>
      <c r="Q218" s="97"/>
    </row>
    <row r="219" spans="11:17" x14ac:dyDescent="0.15">
      <c r="K219" s="149"/>
      <c r="Q219" s="97"/>
    </row>
    <row r="220" spans="11:17" x14ac:dyDescent="0.15">
      <c r="K220" s="149"/>
      <c r="Q220" s="97"/>
    </row>
    <row r="221" spans="11:17" x14ac:dyDescent="0.15">
      <c r="K221" s="149"/>
      <c r="Q221" s="97"/>
    </row>
    <row r="222" spans="11:17" x14ac:dyDescent="0.15">
      <c r="K222" s="149"/>
      <c r="Q222" s="97"/>
    </row>
    <row r="223" spans="11:17" x14ac:dyDescent="0.15">
      <c r="K223" s="149"/>
      <c r="Q223" s="97"/>
    </row>
    <row r="224" spans="11:17" x14ac:dyDescent="0.15">
      <c r="K224" s="149"/>
      <c r="Q224" s="97"/>
    </row>
    <row r="225" spans="11:17" x14ac:dyDescent="0.15">
      <c r="K225" s="149"/>
      <c r="Q225" s="97"/>
    </row>
    <row r="226" spans="11:17" x14ac:dyDescent="0.15">
      <c r="K226" s="149"/>
      <c r="Q226" s="97"/>
    </row>
    <row r="227" spans="11:17" x14ac:dyDescent="0.15">
      <c r="K227" s="149"/>
      <c r="Q227" s="97"/>
    </row>
    <row r="228" spans="11:17" x14ac:dyDescent="0.15">
      <c r="K228" s="149"/>
      <c r="Q228" s="97"/>
    </row>
    <row r="229" spans="11:17" x14ac:dyDescent="0.15">
      <c r="K229" s="149"/>
      <c r="Q229" s="97"/>
    </row>
    <row r="230" spans="11:17" x14ac:dyDescent="0.15">
      <c r="K230" s="149"/>
      <c r="Q230" s="97"/>
    </row>
    <row r="231" spans="11:17" x14ac:dyDescent="0.15">
      <c r="K231" s="149"/>
      <c r="Q231" s="97"/>
    </row>
    <row r="232" spans="11:17" x14ac:dyDescent="0.15">
      <c r="K232" s="149"/>
      <c r="Q232" s="97"/>
    </row>
    <row r="233" spans="11:17" x14ac:dyDescent="0.15">
      <c r="K233" s="149"/>
      <c r="Q233" s="97"/>
    </row>
    <row r="234" spans="11:17" x14ac:dyDescent="0.15">
      <c r="K234" s="149"/>
      <c r="Q234" s="97"/>
    </row>
    <row r="235" spans="11:17" x14ac:dyDescent="0.15">
      <c r="K235" s="149"/>
      <c r="Q235" s="97"/>
    </row>
    <row r="236" spans="11:17" x14ac:dyDescent="0.15">
      <c r="K236" s="149"/>
      <c r="Q236" s="97"/>
    </row>
    <row r="237" spans="11:17" x14ac:dyDescent="0.15">
      <c r="K237" s="149"/>
      <c r="Q237" s="97"/>
    </row>
    <row r="238" spans="11:17" x14ac:dyDescent="0.15">
      <c r="K238" s="149"/>
      <c r="Q238" s="97"/>
    </row>
    <row r="239" spans="11:17" x14ac:dyDescent="0.15">
      <c r="K239" s="149"/>
      <c r="Q239" s="97"/>
    </row>
    <row r="240" spans="11:17" x14ac:dyDescent="0.15">
      <c r="K240" s="149"/>
      <c r="Q240" s="97"/>
    </row>
    <row r="241" spans="11:17" x14ac:dyDescent="0.15">
      <c r="K241" s="149"/>
      <c r="Q241" s="97"/>
    </row>
    <row r="242" spans="11:17" x14ac:dyDescent="0.15">
      <c r="K242" s="149"/>
      <c r="Q242" s="97"/>
    </row>
    <row r="243" spans="11:17" x14ac:dyDescent="0.15">
      <c r="K243" s="149"/>
      <c r="Q243" s="97"/>
    </row>
    <row r="244" spans="11:17" x14ac:dyDescent="0.15">
      <c r="K244" s="149"/>
      <c r="Q244" s="97"/>
    </row>
    <row r="245" spans="11:17" x14ac:dyDescent="0.15">
      <c r="K245" s="149"/>
      <c r="Q245" s="97"/>
    </row>
    <row r="246" spans="11:17" x14ac:dyDescent="0.15">
      <c r="K246" s="149"/>
      <c r="Q246" s="97"/>
    </row>
    <row r="247" spans="11:17" x14ac:dyDescent="0.15">
      <c r="K247" s="149"/>
      <c r="Q247" s="97"/>
    </row>
    <row r="248" spans="11:17" x14ac:dyDescent="0.15">
      <c r="K248" s="149"/>
      <c r="Q248" s="97"/>
    </row>
    <row r="249" spans="11:17" x14ac:dyDescent="0.15">
      <c r="K249" s="149"/>
      <c r="Q249" s="97"/>
    </row>
    <row r="250" spans="11:17" x14ac:dyDescent="0.15">
      <c r="K250" s="149"/>
      <c r="Q250" s="97"/>
    </row>
    <row r="251" spans="11:17" x14ac:dyDescent="0.15">
      <c r="K251" s="149"/>
      <c r="Q251" s="97"/>
    </row>
    <row r="252" spans="11:17" x14ac:dyDescent="0.15">
      <c r="K252" s="149"/>
      <c r="Q252" s="97"/>
    </row>
    <row r="253" spans="11:17" x14ac:dyDescent="0.15">
      <c r="K253" s="149"/>
      <c r="Q253" s="97"/>
    </row>
    <row r="254" spans="11:17" x14ac:dyDescent="0.15">
      <c r="K254" s="149"/>
      <c r="Q254" s="97"/>
    </row>
    <row r="255" spans="11:17" x14ac:dyDescent="0.15">
      <c r="K255" s="149"/>
      <c r="Q255" s="97"/>
    </row>
    <row r="256" spans="11:17" x14ac:dyDescent="0.15">
      <c r="K256" s="149"/>
      <c r="Q256" s="97"/>
    </row>
    <row r="257" spans="11:17" x14ac:dyDescent="0.15">
      <c r="K257" s="149"/>
      <c r="Q257" s="97"/>
    </row>
    <row r="258" spans="11:17" x14ac:dyDescent="0.15">
      <c r="K258" s="149"/>
      <c r="Q258" s="97"/>
    </row>
    <row r="259" spans="11:17" x14ac:dyDescent="0.15">
      <c r="K259" s="149"/>
      <c r="Q259" s="97"/>
    </row>
    <row r="260" spans="11:17" x14ac:dyDescent="0.15">
      <c r="K260" s="149"/>
      <c r="Q260" s="97"/>
    </row>
    <row r="261" spans="11:17" x14ac:dyDescent="0.15">
      <c r="K261" s="149"/>
      <c r="Q261" s="97"/>
    </row>
    <row r="262" spans="11:17" x14ac:dyDescent="0.15">
      <c r="K262" s="149"/>
      <c r="Q262" s="97"/>
    </row>
    <row r="263" spans="11:17" x14ac:dyDescent="0.15">
      <c r="K263" s="149"/>
      <c r="Q263" s="97"/>
    </row>
    <row r="264" spans="11:17" x14ac:dyDescent="0.15">
      <c r="K264" s="149"/>
      <c r="Q264" s="97"/>
    </row>
    <row r="265" spans="11:17" x14ac:dyDescent="0.15">
      <c r="K265" s="149"/>
      <c r="Q265" s="97"/>
    </row>
    <row r="266" spans="11:17" x14ac:dyDescent="0.15">
      <c r="K266" s="149"/>
      <c r="Q266" s="97"/>
    </row>
    <row r="267" spans="11:17" x14ac:dyDescent="0.15">
      <c r="K267" s="149"/>
      <c r="Q267" s="97"/>
    </row>
    <row r="268" spans="11:17" x14ac:dyDescent="0.15">
      <c r="K268" s="149"/>
      <c r="Q268" s="97"/>
    </row>
    <row r="269" spans="11:17" x14ac:dyDescent="0.15">
      <c r="K269" s="149"/>
      <c r="Q269" s="97"/>
    </row>
    <row r="270" spans="11:17" x14ac:dyDescent="0.15">
      <c r="K270" s="149"/>
      <c r="Q270" s="97"/>
    </row>
    <row r="271" spans="11:17" x14ac:dyDescent="0.15">
      <c r="K271" s="149"/>
      <c r="Q271" s="97"/>
    </row>
    <row r="272" spans="11:17" x14ac:dyDescent="0.15">
      <c r="K272" s="149"/>
      <c r="Q272" s="97"/>
    </row>
    <row r="273" spans="11:17" x14ac:dyDescent="0.15">
      <c r="K273" s="149"/>
      <c r="Q273" s="97"/>
    </row>
    <row r="274" spans="11:17" x14ac:dyDescent="0.15">
      <c r="K274" s="149"/>
      <c r="Q274" s="97"/>
    </row>
    <row r="275" spans="11:17" x14ac:dyDescent="0.15">
      <c r="K275" s="149"/>
      <c r="Q275" s="97"/>
    </row>
    <row r="276" spans="11:17" x14ac:dyDescent="0.15">
      <c r="K276" s="149"/>
      <c r="Q276" s="97"/>
    </row>
    <row r="277" spans="11:17" x14ac:dyDescent="0.15">
      <c r="K277" s="149"/>
      <c r="Q277" s="97"/>
    </row>
    <row r="278" spans="11:17" x14ac:dyDescent="0.15">
      <c r="K278" s="149"/>
      <c r="Q278" s="97"/>
    </row>
    <row r="279" spans="11:17" x14ac:dyDescent="0.15">
      <c r="K279" s="149"/>
      <c r="Q279" s="97"/>
    </row>
    <row r="280" spans="11:17" x14ac:dyDescent="0.15">
      <c r="K280" s="149"/>
      <c r="Q280" s="97"/>
    </row>
    <row r="281" spans="11:17" x14ac:dyDescent="0.15">
      <c r="K281" s="149"/>
      <c r="Q281" s="97"/>
    </row>
    <row r="282" spans="11:17" x14ac:dyDescent="0.15">
      <c r="K282" s="149"/>
      <c r="Q282" s="97"/>
    </row>
    <row r="283" spans="11:17" x14ac:dyDescent="0.15">
      <c r="K283" s="149"/>
      <c r="Q283" s="97"/>
    </row>
    <row r="284" spans="11:17" x14ac:dyDescent="0.15">
      <c r="K284" s="149"/>
      <c r="Q284" s="97"/>
    </row>
    <row r="285" spans="11:17" x14ac:dyDescent="0.15">
      <c r="K285" s="149"/>
      <c r="Q285" s="97"/>
    </row>
    <row r="286" spans="11:17" x14ac:dyDescent="0.15">
      <c r="K286" s="149"/>
      <c r="Q286" s="97"/>
    </row>
    <row r="287" spans="11:17" x14ac:dyDescent="0.15">
      <c r="K287" s="149"/>
      <c r="Q287" s="97"/>
    </row>
    <row r="288" spans="11:17" x14ac:dyDescent="0.15">
      <c r="K288" s="149"/>
      <c r="Q288" s="97"/>
    </row>
    <row r="289" spans="11:17" x14ac:dyDescent="0.15">
      <c r="K289" s="149"/>
      <c r="Q289" s="97"/>
    </row>
    <row r="290" spans="11:17" x14ac:dyDescent="0.15">
      <c r="K290" s="149"/>
      <c r="Q290" s="97"/>
    </row>
    <row r="291" spans="11:17" x14ac:dyDescent="0.15">
      <c r="K291" s="149"/>
      <c r="Q291" s="97"/>
    </row>
    <row r="292" spans="11:17" x14ac:dyDescent="0.15">
      <c r="K292" s="149"/>
    </row>
    <row r="293" spans="11:17" x14ac:dyDescent="0.15">
      <c r="K293" s="149"/>
    </row>
    <row r="294" spans="11:17" x14ac:dyDescent="0.15">
      <c r="K294" s="149"/>
    </row>
    <row r="295" spans="11:17" x14ac:dyDescent="0.15">
      <c r="K295" s="149"/>
    </row>
    <row r="296" spans="11:17" x14ac:dyDescent="0.15">
      <c r="K296" s="149"/>
    </row>
    <row r="297" spans="11:17" x14ac:dyDescent="0.15">
      <c r="K297" s="149"/>
    </row>
    <row r="298" spans="11:17" x14ac:dyDescent="0.15">
      <c r="K298" s="149"/>
    </row>
    <row r="299" spans="11:17" x14ac:dyDescent="0.15">
      <c r="K299" s="149"/>
    </row>
    <row r="300" spans="11:17" x14ac:dyDescent="0.15">
      <c r="K300" s="149"/>
    </row>
    <row r="301" spans="11:17" x14ac:dyDescent="0.15">
      <c r="K301" s="149"/>
    </row>
    <row r="302" spans="11:17" x14ac:dyDescent="0.15">
      <c r="K302" s="149"/>
    </row>
    <row r="303" spans="11:17" x14ac:dyDescent="0.15">
      <c r="K303" s="149"/>
    </row>
    <row r="304" spans="11:17" x14ac:dyDescent="0.15">
      <c r="K304" s="149"/>
    </row>
    <row r="305" spans="11:11" x14ac:dyDescent="0.15">
      <c r="K305" s="149"/>
    </row>
    <row r="306" spans="11:11" x14ac:dyDescent="0.15">
      <c r="K306" s="149"/>
    </row>
    <row r="307" spans="11:11" x14ac:dyDescent="0.15">
      <c r="K307" s="149"/>
    </row>
    <row r="308" spans="11:11" x14ac:dyDescent="0.15">
      <c r="K308" s="149"/>
    </row>
    <row r="309" spans="11:11" x14ac:dyDescent="0.15">
      <c r="K309" s="149"/>
    </row>
    <row r="310" spans="11:11" x14ac:dyDescent="0.15">
      <c r="K310" s="149"/>
    </row>
    <row r="311" spans="11:11" x14ac:dyDescent="0.15">
      <c r="K311" s="149"/>
    </row>
    <row r="312" spans="11:11" x14ac:dyDescent="0.15">
      <c r="K312" s="149"/>
    </row>
    <row r="313" spans="11:11" x14ac:dyDescent="0.15">
      <c r="K313" s="149"/>
    </row>
    <row r="314" spans="11:11" x14ac:dyDescent="0.15">
      <c r="K314" s="149"/>
    </row>
    <row r="315" spans="11:11" x14ac:dyDescent="0.15">
      <c r="K315" s="149"/>
    </row>
    <row r="316" spans="11:11" x14ac:dyDescent="0.15">
      <c r="K316" s="149"/>
    </row>
    <row r="317" spans="11:11" x14ac:dyDescent="0.15">
      <c r="K317" s="149"/>
    </row>
    <row r="318" spans="11:11" x14ac:dyDescent="0.15">
      <c r="K318" s="149"/>
    </row>
    <row r="319" spans="11:11" x14ac:dyDescent="0.15">
      <c r="K319" s="149"/>
    </row>
    <row r="320" spans="11:11" x14ac:dyDescent="0.15">
      <c r="K320" s="149"/>
    </row>
    <row r="321" spans="11:11" x14ac:dyDescent="0.15">
      <c r="K321" s="149"/>
    </row>
    <row r="322" spans="11:11" x14ac:dyDescent="0.15">
      <c r="K322" s="149"/>
    </row>
    <row r="323" spans="11:11" x14ac:dyDescent="0.15">
      <c r="K323" s="149"/>
    </row>
    <row r="324" spans="11:11" x14ac:dyDescent="0.15">
      <c r="K324" s="149"/>
    </row>
    <row r="325" spans="11:11" x14ac:dyDescent="0.15">
      <c r="K325" s="149"/>
    </row>
    <row r="326" spans="11:11" x14ac:dyDescent="0.15">
      <c r="K326" s="149"/>
    </row>
    <row r="327" spans="11:11" x14ac:dyDescent="0.15">
      <c r="K327" s="149"/>
    </row>
    <row r="328" spans="11:11" x14ac:dyDescent="0.15">
      <c r="K328" s="149"/>
    </row>
    <row r="329" spans="11:11" x14ac:dyDescent="0.15">
      <c r="K329" s="149"/>
    </row>
    <row r="330" spans="11:11" x14ac:dyDescent="0.15">
      <c r="K330" s="149"/>
    </row>
    <row r="331" spans="11:11" x14ac:dyDescent="0.15">
      <c r="K331" s="149"/>
    </row>
    <row r="332" spans="11:11" x14ac:dyDescent="0.15">
      <c r="K332" s="149"/>
    </row>
    <row r="333" spans="11:11" x14ac:dyDescent="0.15">
      <c r="K333" s="149"/>
    </row>
    <row r="334" spans="11:11" x14ac:dyDescent="0.15">
      <c r="K334" s="149"/>
    </row>
    <row r="335" spans="11:11" x14ac:dyDescent="0.15">
      <c r="K335" s="149"/>
    </row>
    <row r="336" spans="11:11" x14ac:dyDescent="0.15">
      <c r="K336" s="149"/>
    </row>
    <row r="337" spans="11:11" x14ac:dyDescent="0.15">
      <c r="K337" s="149"/>
    </row>
    <row r="338" spans="11:11" x14ac:dyDescent="0.15">
      <c r="K338" s="149"/>
    </row>
    <row r="339" spans="11:11" x14ac:dyDescent="0.15">
      <c r="K339" s="149"/>
    </row>
    <row r="340" spans="11:11" x14ac:dyDescent="0.15">
      <c r="K340" s="149"/>
    </row>
    <row r="341" spans="11:11" x14ac:dyDescent="0.15">
      <c r="K341" s="149"/>
    </row>
    <row r="342" spans="11:11" x14ac:dyDescent="0.15">
      <c r="K342" s="149"/>
    </row>
    <row r="343" spans="11:11" x14ac:dyDescent="0.15">
      <c r="K343" s="149"/>
    </row>
    <row r="344" spans="11:11" x14ac:dyDescent="0.15">
      <c r="K344" s="149"/>
    </row>
    <row r="345" spans="11:11" x14ac:dyDescent="0.15">
      <c r="K345" s="149"/>
    </row>
    <row r="346" spans="11:11" x14ac:dyDescent="0.15">
      <c r="K346" s="149"/>
    </row>
    <row r="347" spans="11:11" x14ac:dyDescent="0.15">
      <c r="K347" s="149"/>
    </row>
    <row r="348" spans="11:11" x14ac:dyDescent="0.15">
      <c r="K348" s="149"/>
    </row>
    <row r="349" spans="11:11" x14ac:dyDescent="0.15">
      <c r="K349" s="149"/>
    </row>
    <row r="350" spans="11:11" x14ac:dyDescent="0.15">
      <c r="K350" s="149"/>
    </row>
    <row r="351" spans="11:11" x14ac:dyDescent="0.15">
      <c r="K351" s="149"/>
    </row>
    <row r="352" spans="11:11" x14ac:dyDescent="0.15">
      <c r="K352" s="149"/>
    </row>
    <row r="353" spans="11:11" x14ac:dyDescent="0.15">
      <c r="K353" s="149"/>
    </row>
    <row r="354" spans="11:11" x14ac:dyDescent="0.15">
      <c r="K354" s="149"/>
    </row>
    <row r="355" spans="11:11" x14ac:dyDescent="0.15">
      <c r="K355" s="149"/>
    </row>
    <row r="356" spans="11:11" x14ac:dyDescent="0.15">
      <c r="K356" s="149"/>
    </row>
    <row r="357" spans="11:11" x14ac:dyDescent="0.15">
      <c r="K357" s="149"/>
    </row>
    <row r="358" spans="11:11" x14ac:dyDescent="0.15">
      <c r="K358" s="149"/>
    </row>
    <row r="359" spans="11:11" x14ac:dyDescent="0.15">
      <c r="K359" s="149"/>
    </row>
    <row r="360" spans="11:11" x14ac:dyDescent="0.15">
      <c r="K360" s="149"/>
    </row>
    <row r="361" spans="11:11" x14ac:dyDescent="0.15">
      <c r="K361" s="149"/>
    </row>
    <row r="362" spans="11:11" x14ac:dyDescent="0.15">
      <c r="K362" s="149"/>
    </row>
    <row r="363" spans="11:11" x14ac:dyDescent="0.15">
      <c r="K363" s="149"/>
    </row>
    <row r="364" spans="11:11" x14ac:dyDescent="0.15">
      <c r="K364" s="149"/>
    </row>
    <row r="365" spans="11:11" x14ac:dyDescent="0.15">
      <c r="K365" s="149"/>
    </row>
    <row r="366" spans="11:11" x14ac:dyDescent="0.15">
      <c r="K366" s="149"/>
    </row>
    <row r="367" spans="11:11" x14ac:dyDescent="0.15">
      <c r="K367" s="149"/>
    </row>
    <row r="368" spans="11:11" x14ac:dyDescent="0.15">
      <c r="K368" s="149"/>
    </row>
    <row r="369" spans="11:11" x14ac:dyDescent="0.15">
      <c r="K369" s="149"/>
    </row>
    <row r="370" spans="11:11" x14ac:dyDescent="0.15">
      <c r="K370" s="149"/>
    </row>
    <row r="371" spans="11:11" x14ac:dyDescent="0.15">
      <c r="K371" s="149"/>
    </row>
    <row r="372" spans="11:11" x14ac:dyDescent="0.15">
      <c r="K372" s="149"/>
    </row>
    <row r="373" spans="11:11" x14ac:dyDescent="0.15">
      <c r="K373" s="149"/>
    </row>
    <row r="374" spans="11:11" x14ac:dyDescent="0.15">
      <c r="K374" s="149"/>
    </row>
    <row r="375" spans="11:11" x14ac:dyDescent="0.15">
      <c r="K375" s="149"/>
    </row>
    <row r="376" spans="11:11" x14ac:dyDescent="0.15">
      <c r="K376" s="149"/>
    </row>
    <row r="377" spans="11:11" x14ac:dyDescent="0.15">
      <c r="K377" s="149"/>
    </row>
    <row r="378" spans="11:11" x14ac:dyDescent="0.15">
      <c r="K378" s="149"/>
    </row>
    <row r="379" spans="11:11" x14ac:dyDescent="0.15">
      <c r="K379" s="149"/>
    </row>
    <row r="380" spans="11:11" x14ac:dyDescent="0.15">
      <c r="K380" s="149"/>
    </row>
    <row r="381" spans="11:11" x14ac:dyDescent="0.15">
      <c r="K381" s="149"/>
    </row>
    <row r="382" spans="11:11" x14ac:dyDescent="0.15">
      <c r="K382" s="149"/>
    </row>
    <row r="383" spans="11:11" x14ac:dyDescent="0.15">
      <c r="K383" s="149"/>
    </row>
    <row r="384" spans="11:11" x14ac:dyDescent="0.15">
      <c r="K384" s="149"/>
    </row>
    <row r="385" spans="11:11" x14ac:dyDescent="0.15">
      <c r="K385" s="149"/>
    </row>
    <row r="386" spans="11:11" x14ac:dyDescent="0.15">
      <c r="K386" s="149"/>
    </row>
    <row r="387" spans="11:11" x14ac:dyDescent="0.15">
      <c r="K387" s="149"/>
    </row>
    <row r="388" spans="11:11" x14ac:dyDescent="0.15">
      <c r="K388" s="149"/>
    </row>
    <row r="389" spans="11:11" x14ac:dyDescent="0.15">
      <c r="K389" s="149"/>
    </row>
    <row r="390" spans="11:11" x14ac:dyDescent="0.15">
      <c r="K390" s="149"/>
    </row>
    <row r="391" spans="11:11" x14ac:dyDescent="0.15">
      <c r="K391" s="149"/>
    </row>
    <row r="392" spans="11:11" x14ac:dyDescent="0.15">
      <c r="K392" s="149"/>
    </row>
    <row r="393" spans="11:11" x14ac:dyDescent="0.15">
      <c r="K393" s="149"/>
    </row>
    <row r="394" spans="11:11" x14ac:dyDescent="0.15">
      <c r="K394" s="149"/>
    </row>
    <row r="395" spans="11:11" x14ac:dyDescent="0.15">
      <c r="K395" s="149"/>
    </row>
    <row r="396" spans="11:11" x14ac:dyDescent="0.15">
      <c r="K396" s="149"/>
    </row>
    <row r="397" spans="11:11" x14ac:dyDescent="0.15">
      <c r="K397" s="149"/>
    </row>
    <row r="398" spans="11:11" x14ac:dyDescent="0.15">
      <c r="K398" s="149"/>
    </row>
    <row r="399" spans="11:11" x14ac:dyDescent="0.15">
      <c r="K399" s="149"/>
    </row>
    <row r="400" spans="11:11" x14ac:dyDescent="0.15">
      <c r="K400" s="149"/>
    </row>
    <row r="401" spans="11:11" x14ac:dyDescent="0.15">
      <c r="K401" s="149"/>
    </row>
    <row r="402" spans="11:11" x14ac:dyDescent="0.15">
      <c r="K402" s="149"/>
    </row>
    <row r="403" spans="11:11" x14ac:dyDescent="0.15">
      <c r="K403" s="149"/>
    </row>
    <row r="404" spans="11:11" x14ac:dyDescent="0.15">
      <c r="K404" s="149"/>
    </row>
    <row r="405" spans="11:11" x14ac:dyDescent="0.15">
      <c r="K405" s="149"/>
    </row>
    <row r="406" spans="11:11" x14ac:dyDescent="0.15">
      <c r="K406" s="149"/>
    </row>
    <row r="407" spans="11:11" x14ac:dyDescent="0.15">
      <c r="K407" s="149"/>
    </row>
    <row r="408" spans="11:11" x14ac:dyDescent="0.15">
      <c r="K408" s="149"/>
    </row>
    <row r="409" spans="11:11" x14ac:dyDescent="0.15">
      <c r="K409" s="149"/>
    </row>
    <row r="410" spans="11:11" x14ac:dyDescent="0.15">
      <c r="K410" s="149"/>
    </row>
    <row r="411" spans="11:11" x14ac:dyDescent="0.15">
      <c r="K411" s="149"/>
    </row>
    <row r="412" spans="11:11" x14ac:dyDescent="0.15">
      <c r="K412" s="149"/>
    </row>
    <row r="413" spans="11:11" x14ac:dyDescent="0.15">
      <c r="K413" s="149"/>
    </row>
    <row r="414" spans="11:11" x14ac:dyDescent="0.15">
      <c r="K414" s="149"/>
    </row>
    <row r="415" spans="11:11" x14ac:dyDescent="0.15">
      <c r="K415" s="149"/>
    </row>
    <row r="416" spans="11:11" x14ac:dyDescent="0.15">
      <c r="K416" s="149"/>
    </row>
    <row r="417" spans="11:11" x14ac:dyDescent="0.15">
      <c r="K417" s="149"/>
    </row>
    <row r="418" spans="11:11" x14ac:dyDescent="0.15">
      <c r="K418" s="149"/>
    </row>
    <row r="419" spans="11:11" x14ac:dyDescent="0.15">
      <c r="K419" s="149"/>
    </row>
    <row r="420" spans="11:11" x14ac:dyDescent="0.15">
      <c r="K420" s="149"/>
    </row>
    <row r="421" spans="11:11" x14ac:dyDescent="0.15">
      <c r="K421" s="149"/>
    </row>
    <row r="422" spans="11:11" x14ac:dyDescent="0.15">
      <c r="K422" s="149"/>
    </row>
    <row r="423" spans="11:11" x14ac:dyDescent="0.15">
      <c r="K423" s="149"/>
    </row>
    <row r="424" spans="11:11" x14ac:dyDescent="0.15">
      <c r="K424" s="149"/>
    </row>
    <row r="425" spans="11:11" x14ac:dyDescent="0.15">
      <c r="K425" s="149"/>
    </row>
    <row r="426" spans="11:11" x14ac:dyDescent="0.15">
      <c r="K426" s="149"/>
    </row>
    <row r="427" spans="11:11" x14ac:dyDescent="0.15">
      <c r="K427" s="149"/>
    </row>
    <row r="428" spans="11:11" x14ac:dyDescent="0.15">
      <c r="K428" s="149"/>
    </row>
    <row r="429" spans="11:11" x14ac:dyDescent="0.15">
      <c r="K429" s="149"/>
    </row>
    <row r="430" spans="11:11" x14ac:dyDescent="0.15">
      <c r="K430" s="149"/>
    </row>
    <row r="431" spans="11:11" x14ac:dyDescent="0.15">
      <c r="K431" s="149"/>
    </row>
    <row r="432" spans="11:11" x14ac:dyDescent="0.15">
      <c r="K432" s="149"/>
    </row>
    <row r="433" spans="11:11" x14ac:dyDescent="0.15">
      <c r="K433" s="149"/>
    </row>
    <row r="434" spans="11:11" x14ac:dyDescent="0.15">
      <c r="K434" s="149"/>
    </row>
    <row r="435" spans="11:11" x14ac:dyDescent="0.15">
      <c r="K435" s="149"/>
    </row>
    <row r="436" spans="11:11" x14ac:dyDescent="0.15">
      <c r="K436" s="149"/>
    </row>
    <row r="437" spans="11:11" x14ac:dyDescent="0.15">
      <c r="K437" s="149"/>
    </row>
    <row r="438" spans="11:11" x14ac:dyDescent="0.15">
      <c r="K438" s="149"/>
    </row>
    <row r="439" spans="11:11" x14ac:dyDescent="0.15">
      <c r="K439" s="149"/>
    </row>
    <row r="440" spans="11:11" x14ac:dyDescent="0.15">
      <c r="K440" s="149"/>
    </row>
    <row r="441" spans="11:11" x14ac:dyDescent="0.15">
      <c r="K441" s="149"/>
    </row>
    <row r="442" spans="11:11" x14ac:dyDescent="0.15">
      <c r="K442" s="149"/>
    </row>
    <row r="443" spans="11:11" x14ac:dyDescent="0.15">
      <c r="K443" s="149"/>
    </row>
  </sheetData>
  <autoFilter ref="A1:BA1" xr:uid="{00000000-0009-0000-0000-000000000000}"/>
  <phoneticPr fontId="3"/>
  <dataValidations count="20">
    <dataValidation type="list" allowBlank="1" showInputMessage="1" showErrorMessage="1" sqref="F2:F491" xr:uid="{97EDAFA5-AD35-4B2C-9C3E-663603415957}">
      <formula1>$AH$2:$AH$11</formula1>
    </dataValidation>
    <dataValidation type="list" allowBlank="1" showInputMessage="1" showErrorMessage="1" sqref="E2:E491" xr:uid="{A7C544A1-E63F-47BA-AD73-E7B1E7D1F64E}">
      <formula1>$AG$2:$AG$11</formula1>
    </dataValidation>
    <dataValidation type="decimal" allowBlank="1" showInputMessage="1" showErrorMessage="1" error="硬度を正しく入力して下さい。" sqref="O2:P491" xr:uid="{EF8BCC36-0041-42BA-AB12-0D42A630ECAE}">
      <formula1>0</formula1>
      <formula2>7</formula2>
    </dataValidation>
    <dataValidation type="list" allowBlank="1" showInputMessage="1" showErrorMessage="1" sqref="Y2:AA491" xr:uid="{F770EA64-C602-42C6-B1A7-8F50E0059342}">
      <formula1>$AV$2:$AV$21</formula1>
    </dataValidation>
    <dataValidation type="list" allowBlank="1" showInputMessage="1" showErrorMessage="1" sqref="K444:K491" xr:uid="{739F32FA-DCC8-43BD-BD6B-F8D7D30AF6CF}">
      <formula1>$AR$2:$AR$25</formula1>
    </dataValidation>
    <dataValidation type="list" allowBlank="1" showInputMessage="1" showErrorMessage="1" sqref="I2:I491" xr:uid="{40225354-0433-410B-A8A9-ED939AE123B6}">
      <formula1>$AN$5:$AN$6</formula1>
    </dataValidation>
    <dataValidation type="list" allowBlank="1" showInputMessage="1" showErrorMessage="1" sqref="H2:H491" xr:uid="{06BAF5E7-B9AC-450C-A373-0F329EBE33FC}">
      <formula1>$AL$2:$AL$8</formula1>
    </dataValidation>
    <dataValidation type="list" allowBlank="1" showInputMessage="1" showErrorMessage="1" sqref="A2:A491" xr:uid="{25B3DEFD-FC86-499A-89C8-39BDB9E543BA}">
      <formula1>$AE$2:$AE$19</formula1>
    </dataValidation>
    <dataValidation type="list" allowBlank="1" showInputMessage="1" showErrorMessage="1" sqref="X2:X491" xr:uid="{CC86DC7E-4C44-41F3-B466-0C5C3C2057AE}">
      <formula1>$AT$2:$AT$3</formula1>
    </dataValidation>
    <dataValidation type="list" allowBlank="1" showInputMessage="1" showErrorMessage="1" sqref="G2:G491" xr:uid="{A1BDABF9-80D9-4E75-8588-7F5FCAF58FFC}">
      <formula1>$AJ$2:$AJ$4</formula1>
    </dataValidation>
    <dataValidation type="list" allowBlank="1" showInputMessage="1" showErrorMessage="1" sqref="J2:J491" xr:uid="{55F3F47E-974B-47DC-A814-AE7E88822286}">
      <formula1>$AP$2:$AP$27</formula1>
    </dataValidation>
    <dataValidation operator="equal" allowBlank="1" showInputMessage="1" showErrorMessage="1" sqref="B2:B46" xr:uid="{297DF97F-F8AE-4FEA-BAB4-C8F731A7A7BA}"/>
    <dataValidation type="list" allowBlank="1" showInputMessage="1" showErrorMessage="1" sqref="F492:F64242" xr:uid="{9BCF9DEE-1DE0-4AC4-B15D-C1968D1F82BC}">
      <formula1>$AH$2:$AH$8</formula1>
    </dataValidation>
    <dataValidation type="list" allowBlank="1" showInputMessage="1" showErrorMessage="1" sqref="E492:E64242" xr:uid="{F040458E-D03F-4E6E-A7A1-4485667281CC}">
      <formula1>$AG$2:$AG$9</formula1>
    </dataValidation>
    <dataValidation type="list" allowBlank="1" showInputMessage="1" showErrorMessage="1" sqref="H492:H64242" xr:uid="{4B8C3425-9D7B-4FA3-9472-2E84D5C080B4}">
      <formula1>$AL$2:$AL$10</formula1>
    </dataValidation>
    <dataValidation type="list" allowBlank="1" showInputMessage="1" showErrorMessage="1" sqref="K492:K64242" xr:uid="{6348DB34-4CA7-41F8-A16A-027CE365ED19}">
      <formula1>$AR$2:$AR$28</formula1>
    </dataValidation>
    <dataValidation type="list" allowBlank="1" showInputMessage="1" showErrorMessage="1" sqref="Y492:AA64242" xr:uid="{C97623B2-7D61-475F-9DBB-ECB9A3F051B4}">
      <formula1>$AV$2:$AV$26</formula1>
    </dataValidation>
    <dataValidation type="list" allowBlank="1" showInputMessage="1" showErrorMessage="1" sqref="I492:I64242" xr:uid="{F981DD4C-4E57-421F-98EC-DF6FC6B6505A}">
      <formula1>$AN$2:$AN$6</formula1>
    </dataValidation>
    <dataValidation type="list" allowBlank="1" showInputMessage="1" showErrorMessage="1" sqref="J492:J64242" xr:uid="{9999B1E7-7976-4491-955E-6776A7D67EE9}">
      <formula1>$AP$2:$AP$16</formula1>
    </dataValidation>
    <dataValidation type="list" allowBlank="1" showInputMessage="1" showErrorMessage="1" sqref="K2:K443" xr:uid="{2FE9EC8E-7B85-485D-AF92-0F4511BD3091}">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EE6B8-248F-427A-9333-4A293F47E504}">
  <dimension ref="A1:BA745"/>
  <sheetViews>
    <sheetView zoomScale="70" zoomScaleNormal="70" workbookViewId="0">
      <selection activeCell="O4" sqref="O4"/>
    </sheetView>
  </sheetViews>
  <sheetFormatPr defaultColWidth="9" defaultRowHeight="13.5" x14ac:dyDescent="0.15"/>
  <cols>
    <col min="1" max="3" width="9" style="53"/>
    <col min="4" max="4" width="10.42578125" style="53" bestFit="1" customWidth="1"/>
    <col min="5" max="5" width="10.85546875" style="53" bestFit="1" customWidth="1"/>
    <col min="6" max="6" width="18.85546875" style="53" bestFit="1" customWidth="1"/>
    <col min="7" max="9" width="9" style="53"/>
    <col min="10" max="10" width="9.28515625" style="53" customWidth="1"/>
    <col min="11" max="16" width="9" style="53"/>
    <col min="17" max="17" width="9" style="16"/>
    <col min="18" max="19" width="9" style="53"/>
    <col min="20" max="20" width="9" style="16"/>
    <col min="21" max="21" width="9" style="53"/>
    <col min="22" max="22" width="14.28515625" style="16" customWidth="1"/>
    <col min="23" max="23" width="9" style="53"/>
    <col min="24" max="24" width="9.5703125" style="53" customWidth="1"/>
    <col min="25" max="26" width="9" style="53"/>
    <col min="27" max="27" width="12.140625" style="53" customWidth="1"/>
    <col min="28" max="32" width="9" style="53"/>
    <col min="33" max="33" width="15.140625" style="53" bestFit="1" customWidth="1"/>
    <col min="34" max="34" width="19.5703125" style="53" bestFit="1" customWidth="1"/>
    <col min="35" max="16384" width="9" style="53"/>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313</v>
      </c>
      <c r="V1" s="5" t="s">
        <v>20</v>
      </c>
      <c r="W1" s="2" t="s">
        <v>21</v>
      </c>
      <c r="X1" s="45" t="s">
        <v>22</v>
      </c>
      <c r="Y1" s="45" t="s">
        <v>23</v>
      </c>
      <c r="Z1" s="45" t="s">
        <v>369</v>
      </c>
      <c r="AA1" s="46" t="s">
        <v>25</v>
      </c>
      <c r="AB1" s="6" t="s">
        <v>26</v>
      </c>
      <c r="AE1" s="8" t="s">
        <v>0</v>
      </c>
      <c r="AF1" s="9"/>
      <c r="AG1" s="216"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54" customFormat="1" x14ac:dyDescent="0.15">
      <c r="A2" s="54" t="s">
        <v>34</v>
      </c>
      <c r="B2" s="53" t="s">
        <v>232</v>
      </c>
      <c r="C2" s="53">
        <v>2019</v>
      </c>
      <c r="D2" s="217" t="s">
        <v>370</v>
      </c>
      <c r="E2" s="36" t="s">
        <v>371</v>
      </c>
      <c r="F2" s="36" t="s">
        <v>372</v>
      </c>
      <c r="G2" s="54" t="s">
        <v>36</v>
      </c>
      <c r="H2" s="53" t="s">
        <v>160</v>
      </c>
      <c r="I2" s="54" t="s">
        <v>159</v>
      </c>
      <c r="J2" s="54" t="s">
        <v>38</v>
      </c>
      <c r="K2" s="54" t="s">
        <v>161</v>
      </c>
      <c r="L2" s="54">
        <v>1</v>
      </c>
      <c r="N2" s="54">
        <v>1</v>
      </c>
      <c r="O2" s="54">
        <v>1.1000000000000001</v>
      </c>
      <c r="P2" s="54">
        <v>0.85</v>
      </c>
      <c r="Q2" s="97">
        <f t="shared" ref="Q2:Q82" si="0">IF(OR(O2="",P2=""),"",AVERAGE(O2,P2))</f>
        <v>0.97500000000000009</v>
      </c>
      <c r="R2" s="54">
        <v>20.3</v>
      </c>
      <c r="S2" s="54">
        <v>140</v>
      </c>
      <c r="T2" s="16">
        <f t="shared" ref="T2:T82" si="1">IF(H2="","",IF(OR(H2="GREEN",H2="GK"),IF(S2&gt;=$AX$2,VLOOKUP(S2,$AX$2:$AY$9,2,1),""),IF(S2&gt;=$AZ$2,VLOOKUP(S2,$AZ$2:$BA$9,2,1),"")))</f>
        <v>30</v>
      </c>
      <c r="U2" s="54">
        <v>136</v>
      </c>
      <c r="V2" s="16">
        <f t="shared" ref="V2:V82" si="2">IF(OR(N2="",U2="",T2=""),"",U2/N2*T2)</f>
        <v>4080</v>
      </c>
      <c r="W2" s="54">
        <v>1</v>
      </c>
      <c r="X2" s="54" t="s">
        <v>46</v>
      </c>
      <c r="Y2" s="54" t="s">
        <v>69</v>
      </c>
      <c r="Z2" s="54" t="s">
        <v>90</v>
      </c>
      <c r="AA2" s="54" t="s">
        <v>47</v>
      </c>
      <c r="AB2" s="54" t="s">
        <v>285</v>
      </c>
      <c r="AE2" s="17" t="s">
        <v>35</v>
      </c>
      <c r="AG2" s="218" t="s">
        <v>362</v>
      </c>
      <c r="AH2" s="65" t="s">
        <v>373</v>
      </c>
      <c r="AJ2" s="18" t="s">
        <v>36</v>
      </c>
      <c r="AL2" s="18" t="s">
        <v>127</v>
      </c>
      <c r="AN2" s="18" t="s">
        <v>37</v>
      </c>
      <c r="AP2" s="18" t="s">
        <v>38</v>
      </c>
      <c r="AR2" s="18" t="s">
        <v>120</v>
      </c>
      <c r="AT2" s="18" t="s">
        <v>39</v>
      </c>
      <c r="AV2" s="169" t="s">
        <v>40</v>
      </c>
      <c r="AX2" s="19">
        <v>1</v>
      </c>
      <c r="AY2" s="20">
        <v>50</v>
      </c>
      <c r="AZ2" s="20">
        <v>1</v>
      </c>
      <c r="BA2" s="21">
        <v>50</v>
      </c>
    </row>
    <row r="3" spans="1:53" x14ac:dyDescent="0.15">
      <c r="A3" s="54" t="s">
        <v>34</v>
      </c>
      <c r="B3" s="53" t="s">
        <v>232</v>
      </c>
      <c r="C3" s="53">
        <v>2019</v>
      </c>
      <c r="D3" s="217" t="s">
        <v>370</v>
      </c>
      <c r="E3" s="36" t="s">
        <v>371</v>
      </c>
      <c r="F3" s="36" t="s">
        <v>372</v>
      </c>
      <c r="G3" s="54" t="s">
        <v>36</v>
      </c>
      <c r="H3" s="53" t="s">
        <v>160</v>
      </c>
      <c r="I3" s="54" t="s">
        <v>159</v>
      </c>
      <c r="J3" s="54" t="s">
        <v>38</v>
      </c>
      <c r="K3" s="54" t="s">
        <v>161</v>
      </c>
      <c r="L3" s="53">
        <v>2</v>
      </c>
      <c r="N3" s="53">
        <v>1</v>
      </c>
      <c r="O3" s="53">
        <v>0.8</v>
      </c>
      <c r="P3" s="53">
        <v>0.75</v>
      </c>
      <c r="Q3" s="97">
        <f t="shared" si="0"/>
        <v>0.77500000000000002</v>
      </c>
      <c r="R3" s="53">
        <v>19.5</v>
      </c>
      <c r="S3" s="53">
        <v>140</v>
      </c>
      <c r="T3" s="16">
        <f t="shared" si="1"/>
        <v>30</v>
      </c>
      <c r="U3" s="53">
        <v>136</v>
      </c>
      <c r="V3" s="16">
        <f t="shared" si="2"/>
        <v>4080</v>
      </c>
      <c r="W3" s="54">
        <v>1</v>
      </c>
      <c r="X3" s="54" t="s">
        <v>46</v>
      </c>
      <c r="Y3" s="54" t="s">
        <v>69</v>
      </c>
      <c r="Z3" s="54" t="s">
        <v>90</v>
      </c>
      <c r="AA3" s="54" t="s">
        <v>47</v>
      </c>
      <c r="AB3" s="54" t="s">
        <v>285</v>
      </c>
      <c r="AC3" s="54"/>
      <c r="AE3" s="22" t="s">
        <v>41</v>
      </c>
      <c r="AG3" s="219" t="s">
        <v>374</v>
      </c>
      <c r="AH3" s="65" t="s">
        <v>373</v>
      </c>
      <c r="AJ3" s="23" t="s">
        <v>42</v>
      </c>
      <c r="AL3" s="23" t="s">
        <v>128</v>
      </c>
      <c r="AN3" s="23" t="s">
        <v>43</v>
      </c>
      <c r="AP3" s="23" t="s">
        <v>44</v>
      </c>
      <c r="AR3" s="41" t="s">
        <v>45</v>
      </c>
      <c r="AT3" s="23" t="s">
        <v>46</v>
      </c>
      <c r="AV3" s="23" t="s">
        <v>47</v>
      </c>
      <c r="AX3" s="24">
        <v>72</v>
      </c>
      <c r="AY3" s="25">
        <v>46</v>
      </c>
      <c r="AZ3" s="25">
        <v>71</v>
      </c>
      <c r="BA3" s="26">
        <v>42</v>
      </c>
    </row>
    <row r="4" spans="1:53" x14ac:dyDescent="0.15">
      <c r="A4" s="54" t="s">
        <v>34</v>
      </c>
      <c r="B4" s="53" t="s">
        <v>232</v>
      </c>
      <c r="C4" s="53">
        <v>2019</v>
      </c>
      <c r="D4" s="217" t="s">
        <v>370</v>
      </c>
      <c r="E4" s="36" t="s">
        <v>371</v>
      </c>
      <c r="F4" s="36" t="s">
        <v>372</v>
      </c>
      <c r="G4" s="54" t="s">
        <v>36</v>
      </c>
      <c r="H4" s="53" t="s">
        <v>160</v>
      </c>
      <c r="I4" s="54" t="s">
        <v>159</v>
      </c>
      <c r="J4" s="54" t="s">
        <v>38</v>
      </c>
      <c r="K4" s="54" t="s">
        <v>161</v>
      </c>
      <c r="L4" s="53">
        <v>3</v>
      </c>
      <c r="N4" s="53">
        <v>1</v>
      </c>
      <c r="O4" s="53">
        <v>0.8</v>
      </c>
      <c r="P4" s="53">
        <v>0.95</v>
      </c>
      <c r="Q4" s="97">
        <f t="shared" si="0"/>
        <v>0.875</v>
      </c>
      <c r="R4" s="53">
        <v>19</v>
      </c>
      <c r="S4" s="53">
        <v>143</v>
      </c>
      <c r="T4" s="16">
        <f t="shared" si="1"/>
        <v>30</v>
      </c>
      <c r="U4" s="53">
        <v>136</v>
      </c>
      <c r="V4" s="16">
        <f t="shared" si="2"/>
        <v>4080</v>
      </c>
      <c r="W4" s="53">
        <v>1</v>
      </c>
      <c r="X4" s="54" t="s">
        <v>46</v>
      </c>
      <c r="Y4" s="54" t="s">
        <v>69</v>
      </c>
      <c r="Z4" s="54" t="s">
        <v>90</v>
      </c>
      <c r="AA4" s="54" t="s">
        <v>47</v>
      </c>
      <c r="AB4" s="54" t="s">
        <v>285</v>
      </c>
      <c r="AC4" s="54"/>
      <c r="AE4" s="22" t="s">
        <v>34</v>
      </c>
      <c r="AG4" s="219" t="s">
        <v>375</v>
      </c>
      <c r="AH4" s="65" t="s">
        <v>376</v>
      </c>
      <c r="AJ4" s="27" t="s">
        <v>48</v>
      </c>
      <c r="AL4" s="27" t="s">
        <v>129</v>
      </c>
      <c r="AN4" s="28" t="s">
        <v>49</v>
      </c>
      <c r="AP4" s="23" t="s">
        <v>93</v>
      </c>
      <c r="AR4" s="41" t="s">
        <v>121</v>
      </c>
      <c r="AT4" s="28"/>
      <c r="AV4" s="23" t="s">
        <v>50</v>
      </c>
      <c r="AX4" s="24">
        <v>75</v>
      </c>
      <c r="AY4" s="25">
        <v>42</v>
      </c>
      <c r="AZ4" s="25">
        <v>76</v>
      </c>
      <c r="BA4" s="26">
        <v>39</v>
      </c>
    </row>
    <row r="5" spans="1:53" x14ac:dyDescent="0.15">
      <c r="A5" s="54" t="s">
        <v>34</v>
      </c>
      <c r="B5" s="53" t="s">
        <v>232</v>
      </c>
      <c r="C5" s="53">
        <v>2019</v>
      </c>
      <c r="D5" s="217" t="s">
        <v>370</v>
      </c>
      <c r="E5" s="36" t="s">
        <v>377</v>
      </c>
      <c r="F5" s="36" t="s">
        <v>378</v>
      </c>
      <c r="G5" s="54" t="s">
        <v>36</v>
      </c>
      <c r="H5" s="53" t="s">
        <v>160</v>
      </c>
      <c r="I5" s="54" t="s">
        <v>159</v>
      </c>
      <c r="J5" s="54" t="s">
        <v>38</v>
      </c>
      <c r="K5" s="54" t="s">
        <v>161</v>
      </c>
      <c r="L5" s="54">
        <v>1</v>
      </c>
      <c r="N5" s="53">
        <v>1</v>
      </c>
      <c r="O5" s="53">
        <v>0.55000000000000004</v>
      </c>
      <c r="P5" s="53">
        <v>0.6</v>
      </c>
      <c r="Q5" s="97">
        <f t="shared" si="0"/>
        <v>0.57499999999999996</v>
      </c>
      <c r="R5" s="53">
        <v>20.399999999999999</v>
      </c>
      <c r="S5" s="53">
        <v>89</v>
      </c>
      <c r="T5" s="16">
        <f t="shared" si="1"/>
        <v>36</v>
      </c>
      <c r="U5" s="53">
        <v>84</v>
      </c>
      <c r="V5" s="16">
        <f t="shared" si="2"/>
        <v>3024</v>
      </c>
      <c r="W5" s="53">
        <v>12</v>
      </c>
      <c r="X5" s="54" t="s">
        <v>46</v>
      </c>
      <c r="Y5" s="54" t="s">
        <v>69</v>
      </c>
      <c r="Z5" s="54" t="s">
        <v>55</v>
      </c>
      <c r="AA5" s="54" t="s">
        <v>40</v>
      </c>
      <c r="AB5" s="54" t="s">
        <v>285</v>
      </c>
      <c r="AE5" s="22" t="s">
        <v>51</v>
      </c>
      <c r="AG5" s="219" t="s">
        <v>379</v>
      </c>
      <c r="AH5" s="65" t="s">
        <v>380</v>
      </c>
      <c r="AJ5" s="28"/>
      <c r="AL5" s="29" t="s">
        <v>66</v>
      </c>
      <c r="AN5" s="29" t="s">
        <v>52</v>
      </c>
      <c r="AP5" s="23" t="s">
        <v>119</v>
      </c>
      <c r="AR5" s="41" t="s">
        <v>54</v>
      </c>
      <c r="AV5" s="23" t="s">
        <v>55</v>
      </c>
      <c r="AX5" s="24">
        <v>84</v>
      </c>
      <c r="AY5" s="25">
        <v>39</v>
      </c>
      <c r="AZ5" s="25">
        <v>84</v>
      </c>
      <c r="BA5" s="26">
        <v>36</v>
      </c>
    </row>
    <row r="6" spans="1:53" x14ac:dyDescent="0.15">
      <c r="A6" s="54" t="s">
        <v>34</v>
      </c>
      <c r="B6" s="53" t="s">
        <v>232</v>
      </c>
      <c r="C6" s="53">
        <v>2019</v>
      </c>
      <c r="D6" s="217" t="s">
        <v>370</v>
      </c>
      <c r="E6" s="36" t="s">
        <v>377</v>
      </c>
      <c r="F6" s="36" t="s">
        <v>378</v>
      </c>
      <c r="G6" s="54" t="s">
        <v>36</v>
      </c>
      <c r="H6" s="53" t="s">
        <v>160</v>
      </c>
      <c r="I6" s="54" t="s">
        <v>159</v>
      </c>
      <c r="J6" s="54" t="s">
        <v>38</v>
      </c>
      <c r="K6" s="54" t="s">
        <v>161</v>
      </c>
      <c r="L6" s="53">
        <v>2</v>
      </c>
      <c r="N6" s="53">
        <v>1</v>
      </c>
      <c r="O6" s="53">
        <v>0.8</v>
      </c>
      <c r="P6" s="53">
        <v>0.8</v>
      </c>
      <c r="Q6" s="97">
        <f t="shared" si="0"/>
        <v>0.8</v>
      </c>
      <c r="R6" s="53">
        <v>16.7</v>
      </c>
      <c r="S6" s="53">
        <v>91</v>
      </c>
      <c r="T6" s="16">
        <f t="shared" si="1"/>
        <v>36</v>
      </c>
      <c r="U6" s="53">
        <v>84</v>
      </c>
      <c r="V6" s="16">
        <f t="shared" si="2"/>
        <v>3024</v>
      </c>
      <c r="W6" s="53">
        <v>12</v>
      </c>
      <c r="X6" s="54" t="s">
        <v>46</v>
      </c>
      <c r="Y6" s="54" t="s">
        <v>69</v>
      </c>
      <c r="Z6" s="54" t="s">
        <v>55</v>
      </c>
      <c r="AA6" s="54" t="s">
        <v>40</v>
      </c>
      <c r="AB6" s="54" t="s">
        <v>285</v>
      </c>
      <c r="AE6" s="22" t="s">
        <v>56</v>
      </c>
      <c r="AG6" s="219" t="s">
        <v>381</v>
      </c>
      <c r="AH6" s="65" t="s">
        <v>382</v>
      </c>
      <c r="AL6" s="29" t="s">
        <v>99</v>
      </c>
      <c r="AN6" s="29" t="s">
        <v>57</v>
      </c>
      <c r="AP6" s="23" t="s">
        <v>53</v>
      </c>
      <c r="AR6" s="41" t="s">
        <v>59</v>
      </c>
      <c r="AV6" s="23" t="s">
        <v>60</v>
      </c>
      <c r="AX6" s="24">
        <v>97</v>
      </c>
      <c r="AY6" s="25">
        <v>36</v>
      </c>
      <c r="AZ6" s="25">
        <v>99</v>
      </c>
      <c r="BA6" s="26">
        <v>33</v>
      </c>
    </row>
    <row r="7" spans="1:53" x14ac:dyDescent="0.15">
      <c r="A7" s="54" t="s">
        <v>34</v>
      </c>
      <c r="B7" s="53" t="s">
        <v>232</v>
      </c>
      <c r="C7" s="53">
        <v>2019</v>
      </c>
      <c r="D7" s="217" t="s">
        <v>370</v>
      </c>
      <c r="E7" s="36" t="s">
        <v>377</v>
      </c>
      <c r="F7" s="36" t="s">
        <v>378</v>
      </c>
      <c r="G7" s="54" t="s">
        <v>36</v>
      </c>
      <c r="H7" s="53" t="s">
        <v>160</v>
      </c>
      <c r="I7" s="54" t="s">
        <v>159</v>
      </c>
      <c r="J7" s="54" t="s">
        <v>38</v>
      </c>
      <c r="K7" s="54" t="s">
        <v>161</v>
      </c>
      <c r="L7" s="53">
        <v>3</v>
      </c>
      <c r="N7" s="53">
        <v>1</v>
      </c>
      <c r="O7" s="53">
        <v>0.7</v>
      </c>
      <c r="P7" s="53">
        <v>0.8</v>
      </c>
      <c r="Q7" s="97">
        <f t="shared" si="0"/>
        <v>0.75</v>
      </c>
      <c r="R7" s="53">
        <v>16.7</v>
      </c>
      <c r="S7" s="53">
        <v>87</v>
      </c>
      <c r="T7" s="16">
        <f t="shared" si="1"/>
        <v>36</v>
      </c>
      <c r="U7" s="53">
        <v>84</v>
      </c>
      <c r="V7" s="16">
        <f t="shared" si="2"/>
        <v>3024</v>
      </c>
      <c r="W7" s="53">
        <v>12</v>
      </c>
      <c r="X7" s="54" t="s">
        <v>46</v>
      </c>
      <c r="Y7" s="54" t="s">
        <v>69</v>
      </c>
      <c r="Z7" s="54" t="s">
        <v>55</v>
      </c>
      <c r="AA7" s="54" t="s">
        <v>40</v>
      </c>
      <c r="AB7" s="54" t="s">
        <v>285</v>
      </c>
      <c r="AE7" s="22" t="s">
        <v>61</v>
      </c>
      <c r="AG7" s="219" t="s">
        <v>268</v>
      </c>
      <c r="AH7" s="65" t="s">
        <v>383</v>
      </c>
      <c r="AL7" s="34" t="s">
        <v>109</v>
      </c>
      <c r="AP7" s="23" t="s">
        <v>58</v>
      </c>
      <c r="AR7" s="30" t="s">
        <v>122</v>
      </c>
      <c r="AV7" s="23" t="s">
        <v>64</v>
      </c>
      <c r="AX7" s="24">
        <v>109</v>
      </c>
      <c r="AY7" s="25">
        <v>33</v>
      </c>
      <c r="AZ7" s="25">
        <v>113</v>
      </c>
      <c r="BA7" s="26">
        <v>30</v>
      </c>
    </row>
    <row r="8" spans="1:53" x14ac:dyDescent="0.15">
      <c r="A8" s="54" t="s">
        <v>34</v>
      </c>
      <c r="B8" s="53" t="s">
        <v>232</v>
      </c>
      <c r="C8" s="53">
        <v>2019</v>
      </c>
      <c r="D8" s="217" t="s">
        <v>370</v>
      </c>
      <c r="E8" s="36" t="s">
        <v>377</v>
      </c>
      <c r="F8" s="36" t="s">
        <v>378</v>
      </c>
      <c r="G8" s="54" t="s">
        <v>36</v>
      </c>
      <c r="H8" s="53" t="s">
        <v>160</v>
      </c>
      <c r="I8" s="54" t="s">
        <v>159</v>
      </c>
      <c r="J8" s="54" t="s">
        <v>38</v>
      </c>
      <c r="K8" s="54" t="s">
        <v>161</v>
      </c>
      <c r="L8" s="54">
        <v>1</v>
      </c>
      <c r="N8" s="53">
        <v>4</v>
      </c>
      <c r="O8" s="53">
        <v>0.95</v>
      </c>
      <c r="P8" s="53">
        <v>1.05</v>
      </c>
      <c r="Q8" s="97">
        <f t="shared" si="0"/>
        <v>1</v>
      </c>
      <c r="R8" s="53">
        <v>16.600000000000001</v>
      </c>
      <c r="S8" s="53">
        <v>91</v>
      </c>
      <c r="T8" s="16">
        <f t="shared" si="1"/>
        <v>36</v>
      </c>
      <c r="U8" s="53">
        <v>321</v>
      </c>
      <c r="V8" s="16">
        <f t="shared" si="2"/>
        <v>2889</v>
      </c>
      <c r="W8" s="53">
        <v>12</v>
      </c>
      <c r="X8" s="54" t="s">
        <v>46</v>
      </c>
      <c r="Y8" s="54" t="s">
        <v>69</v>
      </c>
      <c r="Z8" s="54" t="s">
        <v>55</v>
      </c>
      <c r="AA8" s="54" t="s">
        <v>40</v>
      </c>
      <c r="AB8" s="54" t="s">
        <v>285</v>
      </c>
      <c r="AE8" s="22" t="s">
        <v>59</v>
      </c>
      <c r="AG8" s="219" t="s">
        <v>377</v>
      </c>
      <c r="AH8" s="65" t="s">
        <v>378</v>
      </c>
      <c r="AL8" s="34" t="s">
        <v>134</v>
      </c>
      <c r="AP8" s="23" t="s">
        <v>62</v>
      </c>
      <c r="AR8" s="41" t="s">
        <v>81</v>
      </c>
      <c r="AV8" s="23" t="s">
        <v>97</v>
      </c>
      <c r="AX8" s="24">
        <v>151</v>
      </c>
      <c r="AY8" s="25">
        <v>22</v>
      </c>
      <c r="AZ8" s="25">
        <v>152</v>
      </c>
      <c r="BA8" s="26">
        <v>18</v>
      </c>
    </row>
    <row r="9" spans="1:53" x14ac:dyDescent="0.15">
      <c r="A9" s="54" t="s">
        <v>34</v>
      </c>
      <c r="B9" s="53" t="s">
        <v>232</v>
      </c>
      <c r="C9" s="53">
        <v>2019</v>
      </c>
      <c r="D9" s="217" t="s">
        <v>370</v>
      </c>
      <c r="E9" s="36" t="s">
        <v>377</v>
      </c>
      <c r="F9" s="36" t="s">
        <v>378</v>
      </c>
      <c r="G9" s="54" t="s">
        <v>36</v>
      </c>
      <c r="H9" s="53" t="s">
        <v>160</v>
      </c>
      <c r="I9" s="54" t="s">
        <v>159</v>
      </c>
      <c r="J9" s="54" t="s">
        <v>38</v>
      </c>
      <c r="K9" s="54" t="s">
        <v>161</v>
      </c>
      <c r="L9" s="53">
        <v>2</v>
      </c>
      <c r="N9" s="53">
        <v>4</v>
      </c>
      <c r="O9" s="53">
        <v>0.95</v>
      </c>
      <c r="P9" s="53">
        <v>0.85</v>
      </c>
      <c r="Q9" s="97">
        <f t="shared" si="0"/>
        <v>0.89999999999999991</v>
      </c>
      <c r="R9" s="53">
        <v>16.600000000000001</v>
      </c>
      <c r="S9" s="53">
        <v>91</v>
      </c>
      <c r="T9" s="16">
        <f t="shared" si="1"/>
        <v>36</v>
      </c>
      <c r="U9" s="53">
        <v>321</v>
      </c>
      <c r="V9" s="16">
        <f t="shared" si="2"/>
        <v>2889</v>
      </c>
      <c r="W9" s="53">
        <v>12</v>
      </c>
      <c r="X9" s="54" t="s">
        <v>46</v>
      </c>
      <c r="Y9" s="54" t="s">
        <v>69</v>
      </c>
      <c r="Z9" s="54" t="s">
        <v>55</v>
      </c>
      <c r="AA9" s="54" t="s">
        <v>40</v>
      </c>
      <c r="AB9" s="54" t="s">
        <v>285</v>
      </c>
      <c r="AE9" s="22" t="s">
        <v>98</v>
      </c>
      <c r="AG9" s="219" t="s">
        <v>384</v>
      </c>
      <c r="AH9" s="65" t="s">
        <v>385</v>
      </c>
      <c r="AL9" s="29"/>
      <c r="AP9" s="23" t="s">
        <v>95</v>
      </c>
      <c r="AR9" s="30" t="s">
        <v>89</v>
      </c>
      <c r="AV9" s="23" t="s">
        <v>102</v>
      </c>
      <c r="AX9" s="31">
        <v>180</v>
      </c>
      <c r="AY9" s="32">
        <v>18</v>
      </c>
      <c r="AZ9" s="32">
        <v>181</v>
      </c>
      <c r="BA9" s="33">
        <v>16</v>
      </c>
    </row>
    <row r="10" spans="1:53" x14ac:dyDescent="0.15">
      <c r="A10" s="54" t="s">
        <v>34</v>
      </c>
      <c r="B10" s="53" t="s">
        <v>232</v>
      </c>
      <c r="C10" s="53">
        <v>2019</v>
      </c>
      <c r="D10" s="217" t="s">
        <v>370</v>
      </c>
      <c r="E10" s="36" t="s">
        <v>377</v>
      </c>
      <c r="F10" s="36" t="s">
        <v>378</v>
      </c>
      <c r="G10" s="54" t="s">
        <v>36</v>
      </c>
      <c r="H10" s="53" t="s">
        <v>160</v>
      </c>
      <c r="I10" s="54" t="s">
        <v>159</v>
      </c>
      <c r="J10" s="54" t="s">
        <v>38</v>
      </c>
      <c r="K10" s="54" t="s">
        <v>161</v>
      </c>
      <c r="L10" s="53">
        <v>3</v>
      </c>
      <c r="N10" s="53">
        <v>4</v>
      </c>
      <c r="O10" s="53">
        <v>0.75</v>
      </c>
      <c r="P10" s="53">
        <v>0.65</v>
      </c>
      <c r="Q10" s="97">
        <f t="shared" si="0"/>
        <v>0.7</v>
      </c>
      <c r="R10" s="53">
        <v>17.399999999999999</v>
      </c>
      <c r="S10" s="53">
        <v>89</v>
      </c>
      <c r="T10" s="16">
        <f t="shared" si="1"/>
        <v>36</v>
      </c>
      <c r="U10" s="53">
        <v>321</v>
      </c>
      <c r="V10" s="16">
        <f t="shared" si="2"/>
        <v>2889</v>
      </c>
      <c r="W10" s="53">
        <v>12</v>
      </c>
      <c r="X10" s="54" t="s">
        <v>46</v>
      </c>
      <c r="Y10" s="54" t="s">
        <v>69</v>
      </c>
      <c r="Z10" s="54" t="s">
        <v>55</v>
      </c>
      <c r="AA10" s="54" t="s">
        <v>40</v>
      </c>
      <c r="AB10" s="54" t="s">
        <v>285</v>
      </c>
      <c r="AE10" s="22" t="s">
        <v>103</v>
      </c>
      <c r="AG10" s="219" t="s">
        <v>371</v>
      </c>
      <c r="AH10" s="65" t="s">
        <v>372</v>
      </c>
      <c r="AL10" s="34"/>
      <c r="AP10" s="23" t="s">
        <v>100</v>
      </c>
      <c r="AR10" s="30" t="s">
        <v>123</v>
      </c>
      <c r="AV10" s="23" t="s">
        <v>106</v>
      </c>
    </row>
    <row r="11" spans="1:53" x14ac:dyDescent="0.15">
      <c r="A11" s="54" t="s">
        <v>34</v>
      </c>
      <c r="B11" s="53" t="s">
        <v>232</v>
      </c>
      <c r="C11" s="53">
        <v>2019</v>
      </c>
      <c r="D11" s="217" t="s">
        <v>370</v>
      </c>
      <c r="E11" s="36" t="s">
        <v>210</v>
      </c>
      <c r="F11" s="36" t="s">
        <v>386</v>
      </c>
      <c r="G11" s="54" t="s">
        <v>36</v>
      </c>
      <c r="H11" s="53" t="s">
        <v>160</v>
      </c>
      <c r="I11" s="54" t="s">
        <v>159</v>
      </c>
      <c r="J11" s="54" t="s">
        <v>38</v>
      </c>
      <c r="K11" s="54" t="s">
        <v>161</v>
      </c>
      <c r="L11" s="54">
        <v>1</v>
      </c>
      <c r="N11" s="53">
        <v>1</v>
      </c>
      <c r="O11" s="53">
        <v>0.6</v>
      </c>
      <c r="P11" s="53">
        <v>0.6</v>
      </c>
      <c r="Q11" s="97">
        <f t="shared" si="0"/>
        <v>0.6</v>
      </c>
      <c r="R11" s="53">
        <v>17.100000000000001</v>
      </c>
      <c r="S11" s="53">
        <v>134</v>
      </c>
      <c r="T11" s="16">
        <f t="shared" si="1"/>
        <v>30</v>
      </c>
      <c r="U11" s="53">
        <v>137</v>
      </c>
      <c r="V11" s="16">
        <f t="shared" si="2"/>
        <v>4110</v>
      </c>
      <c r="W11" s="53">
        <v>11</v>
      </c>
      <c r="X11" s="54" t="s">
        <v>46</v>
      </c>
      <c r="Y11" s="54" t="s">
        <v>55</v>
      </c>
      <c r="Z11" s="54" t="s">
        <v>69</v>
      </c>
      <c r="AA11" s="54" t="s">
        <v>47</v>
      </c>
      <c r="AB11" s="54" t="s">
        <v>285</v>
      </c>
      <c r="AE11" s="22" t="s">
        <v>65</v>
      </c>
      <c r="AG11" s="219" t="s">
        <v>210</v>
      </c>
      <c r="AH11" s="65" t="s">
        <v>386</v>
      </c>
      <c r="AL11" s="34"/>
      <c r="AP11" s="23" t="s">
        <v>104</v>
      </c>
      <c r="AR11" s="30" t="s">
        <v>87</v>
      </c>
      <c r="AV11" s="23" t="s">
        <v>69</v>
      </c>
    </row>
    <row r="12" spans="1:53" x14ac:dyDescent="0.15">
      <c r="A12" s="54" t="s">
        <v>34</v>
      </c>
      <c r="B12" s="53" t="s">
        <v>232</v>
      </c>
      <c r="C12" s="53">
        <v>2019</v>
      </c>
      <c r="D12" s="217" t="s">
        <v>370</v>
      </c>
      <c r="E12" s="36" t="s">
        <v>210</v>
      </c>
      <c r="F12" s="36" t="s">
        <v>386</v>
      </c>
      <c r="G12" s="54" t="s">
        <v>36</v>
      </c>
      <c r="H12" s="53" t="s">
        <v>160</v>
      </c>
      <c r="I12" s="54" t="s">
        <v>159</v>
      </c>
      <c r="J12" s="54" t="s">
        <v>38</v>
      </c>
      <c r="K12" s="54" t="s">
        <v>161</v>
      </c>
      <c r="L12" s="53">
        <v>2</v>
      </c>
      <c r="N12" s="53">
        <v>1</v>
      </c>
      <c r="O12" s="53">
        <v>0.6</v>
      </c>
      <c r="P12" s="53">
        <v>0.75</v>
      </c>
      <c r="Q12" s="97">
        <f t="shared" si="0"/>
        <v>0.67500000000000004</v>
      </c>
      <c r="R12" s="53">
        <v>17.7</v>
      </c>
      <c r="S12" s="53">
        <v>134</v>
      </c>
      <c r="T12" s="16">
        <f t="shared" si="1"/>
        <v>30</v>
      </c>
      <c r="U12" s="53">
        <v>137</v>
      </c>
      <c r="V12" s="16">
        <f t="shared" si="2"/>
        <v>4110</v>
      </c>
      <c r="W12" s="53">
        <v>11</v>
      </c>
      <c r="X12" s="54" t="s">
        <v>46</v>
      </c>
      <c r="Y12" s="54" t="s">
        <v>55</v>
      </c>
      <c r="Z12" s="54" t="s">
        <v>69</v>
      </c>
      <c r="AA12" s="54" t="s">
        <v>47</v>
      </c>
      <c r="AB12" s="54" t="s">
        <v>285</v>
      </c>
      <c r="AE12" s="22" t="s">
        <v>70</v>
      </c>
      <c r="AG12" s="77"/>
      <c r="AH12" s="23"/>
      <c r="AL12" s="34"/>
      <c r="AP12" s="23" t="s">
        <v>67</v>
      </c>
      <c r="AR12" s="30" t="s">
        <v>124</v>
      </c>
      <c r="AV12" s="23" t="s">
        <v>72</v>
      </c>
    </row>
    <row r="13" spans="1:53" x14ac:dyDescent="0.15">
      <c r="A13" s="54" t="s">
        <v>34</v>
      </c>
      <c r="B13" s="53" t="s">
        <v>232</v>
      </c>
      <c r="C13" s="53">
        <v>2019</v>
      </c>
      <c r="D13" s="217" t="s">
        <v>370</v>
      </c>
      <c r="E13" s="36" t="s">
        <v>210</v>
      </c>
      <c r="F13" s="36" t="s">
        <v>386</v>
      </c>
      <c r="G13" s="54" t="s">
        <v>36</v>
      </c>
      <c r="H13" s="53" t="s">
        <v>160</v>
      </c>
      <c r="I13" s="54" t="s">
        <v>159</v>
      </c>
      <c r="J13" s="54" t="s">
        <v>38</v>
      </c>
      <c r="K13" s="54" t="s">
        <v>161</v>
      </c>
      <c r="L13" s="53">
        <v>3</v>
      </c>
      <c r="N13" s="53">
        <v>1</v>
      </c>
      <c r="O13" s="53">
        <v>0.45</v>
      </c>
      <c r="P13" s="53">
        <v>0.55000000000000004</v>
      </c>
      <c r="Q13" s="97">
        <f t="shared" si="0"/>
        <v>0.5</v>
      </c>
      <c r="R13" s="53">
        <v>18.899999999999999</v>
      </c>
      <c r="S13" s="53">
        <v>135</v>
      </c>
      <c r="T13" s="16">
        <f t="shared" si="1"/>
        <v>30</v>
      </c>
      <c r="U13" s="53">
        <v>137</v>
      </c>
      <c r="V13" s="16">
        <f t="shared" si="2"/>
        <v>4110</v>
      </c>
      <c r="W13" s="53">
        <v>11</v>
      </c>
      <c r="X13" s="54" t="s">
        <v>46</v>
      </c>
      <c r="Y13" s="54" t="s">
        <v>55</v>
      </c>
      <c r="Z13" s="54" t="s">
        <v>69</v>
      </c>
      <c r="AA13" s="54" t="s">
        <v>47</v>
      </c>
      <c r="AB13" s="54" t="s">
        <v>285</v>
      </c>
      <c r="AE13" s="22" t="s">
        <v>73</v>
      </c>
      <c r="AG13" s="220"/>
      <c r="AH13" s="28"/>
      <c r="AP13" s="23" t="s">
        <v>71</v>
      </c>
      <c r="AR13" s="30" t="s">
        <v>103</v>
      </c>
      <c r="AV13" s="23" t="s">
        <v>75</v>
      </c>
    </row>
    <row r="14" spans="1:53" x14ac:dyDescent="0.15">
      <c r="A14" s="54" t="s">
        <v>34</v>
      </c>
      <c r="B14" s="53" t="s">
        <v>232</v>
      </c>
      <c r="C14" s="53">
        <v>2019</v>
      </c>
      <c r="D14" s="217" t="s">
        <v>370</v>
      </c>
      <c r="E14" s="36" t="s">
        <v>210</v>
      </c>
      <c r="F14" s="36" t="s">
        <v>386</v>
      </c>
      <c r="G14" s="54" t="s">
        <v>36</v>
      </c>
      <c r="H14" s="53" t="s">
        <v>160</v>
      </c>
      <c r="I14" s="54" t="s">
        <v>159</v>
      </c>
      <c r="J14" s="54" t="s">
        <v>38</v>
      </c>
      <c r="K14" s="54" t="s">
        <v>161</v>
      </c>
      <c r="L14" s="54">
        <v>1</v>
      </c>
      <c r="N14" s="53">
        <v>4</v>
      </c>
      <c r="O14" s="53">
        <v>0.95</v>
      </c>
      <c r="P14" s="53">
        <v>0.9</v>
      </c>
      <c r="Q14" s="97">
        <f t="shared" si="0"/>
        <v>0.92500000000000004</v>
      </c>
      <c r="R14" s="53">
        <v>18.2</v>
      </c>
      <c r="S14" s="53">
        <v>89</v>
      </c>
      <c r="T14" s="16">
        <f t="shared" si="1"/>
        <v>36</v>
      </c>
      <c r="U14" s="53">
        <v>427</v>
      </c>
      <c r="V14" s="16">
        <f t="shared" si="2"/>
        <v>3843</v>
      </c>
      <c r="W14" s="53">
        <v>11</v>
      </c>
      <c r="X14" s="54" t="s">
        <v>46</v>
      </c>
      <c r="Y14" s="54" t="s">
        <v>55</v>
      </c>
      <c r="Z14" s="54" t="s">
        <v>69</v>
      </c>
      <c r="AA14" s="54" t="s">
        <v>47</v>
      </c>
      <c r="AB14" s="54" t="s">
        <v>285</v>
      </c>
      <c r="AE14" s="22" t="s">
        <v>76</v>
      </c>
      <c r="AG14" s="221"/>
      <c r="AL14" s="151"/>
      <c r="AP14" s="23" t="s">
        <v>74</v>
      </c>
      <c r="AR14" s="30" t="s">
        <v>125</v>
      </c>
      <c r="AV14" s="23" t="s">
        <v>78</v>
      </c>
    </row>
    <row r="15" spans="1:53" x14ac:dyDescent="0.15">
      <c r="A15" s="54" t="s">
        <v>34</v>
      </c>
      <c r="B15" s="53" t="s">
        <v>232</v>
      </c>
      <c r="C15" s="53">
        <v>2019</v>
      </c>
      <c r="D15" s="217" t="s">
        <v>370</v>
      </c>
      <c r="E15" s="36" t="s">
        <v>210</v>
      </c>
      <c r="F15" s="36" t="s">
        <v>386</v>
      </c>
      <c r="G15" s="54" t="s">
        <v>36</v>
      </c>
      <c r="H15" s="53" t="s">
        <v>160</v>
      </c>
      <c r="I15" s="54" t="s">
        <v>159</v>
      </c>
      <c r="J15" s="54" t="s">
        <v>38</v>
      </c>
      <c r="K15" s="54" t="s">
        <v>161</v>
      </c>
      <c r="L15" s="54">
        <v>2</v>
      </c>
      <c r="N15" s="53">
        <v>4</v>
      </c>
      <c r="O15" s="53">
        <v>0.6</v>
      </c>
      <c r="P15" s="53">
        <v>0.8</v>
      </c>
      <c r="Q15" s="97">
        <f t="shared" si="0"/>
        <v>0.7</v>
      </c>
      <c r="R15" s="53">
        <v>18.2</v>
      </c>
      <c r="S15" s="53">
        <v>84</v>
      </c>
      <c r="T15" s="16">
        <f t="shared" si="1"/>
        <v>36</v>
      </c>
      <c r="U15" s="53">
        <v>427</v>
      </c>
      <c r="V15" s="16">
        <f t="shared" si="2"/>
        <v>3843</v>
      </c>
      <c r="W15" s="53">
        <v>11</v>
      </c>
      <c r="X15" s="54" t="s">
        <v>46</v>
      </c>
      <c r="Y15" s="54" t="s">
        <v>55</v>
      </c>
      <c r="Z15" s="54" t="s">
        <v>69</v>
      </c>
      <c r="AA15" s="54" t="s">
        <v>47</v>
      </c>
      <c r="AB15" s="54" t="s">
        <v>285</v>
      </c>
      <c r="AE15" s="22" t="s">
        <v>79</v>
      </c>
      <c r="AL15" s="222"/>
      <c r="AP15" s="23" t="s">
        <v>77</v>
      </c>
      <c r="AR15" s="30" t="s">
        <v>94</v>
      </c>
      <c r="AV15" s="23" t="s">
        <v>107</v>
      </c>
    </row>
    <row r="16" spans="1:53" x14ac:dyDescent="0.15">
      <c r="A16" s="54" t="s">
        <v>34</v>
      </c>
      <c r="B16" s="53" t="s">
        <v>232</v>
      </c>
      <c r="C16" s="53">
        <v>2019</v>
      </c>
      <c r="D16" s="217" t="s">
        <v>370</v>
      </c>
      <c r="E16" s="36" t="s">
        <v>210</v>
      </c>
      <c r="F16" s="36" t="s">
        <v>386</v>
      </c>
      <c r="G16" s="54" t="s">
        <v>36</v>
      </c>
      <c r="H16" s="53" t="s">
        <v>160</v>
      </c>
      <c r="I16" s="54" t="s">
        <v>159</v>
      </c>
      <c r="J16" s="54" t="s">
        <v>38</v>
      </c>
      <c r="K16" s="54" t="s">
        <v>161</v>
      </c>
      <c r="L16" s="54">
        <v>3</v>
      </c>
      <c r="N16" s="53">
        <v>4</v>
      </c>
      <c r="O16" s="53">
        <v>0.7</v>
      </c>
      <c r="P16" s="53">
        <v>0.9</v>
      </c>
      <c r="Q16" s="97">
        <f t="shared" si="0"/>
        <v>0.8</v>
      </c>
      <c r="R16" s="53">
        <v>17.2</v>
      </c>
      <c r="S16" s="53">
        <v>91</v>
      </c>
      <c r="T16" s="16">
        <f t="shared" si="1"/>
        <v>36</v>
      </c>
      <c r="U16" s="53">
        <v>427</v>
      </c>
      <c r="V16" s="16">
        <f t="shared" si="2"/>
        <v>3843</v>
      </c>
      <c r="W16" s="53">
        <v>11</v>
      </c>
      <c r="X16" s="54" t="s">
        <v>46</v>
      </c>
      <c r="Y16" s="54" t="s">
        <v>55</v>
      </c>
      <c r="Z16" s="54" t="s">
        <v>69</v>
      </c>
      <c r="AA16" s="54" t="s">
        <v>47</v>
      </c>
      <c r="AB16" s="54" t="s">
        <v>285</v>
      </c>
      <c r="AE16" s="22" t="s">
        <v>82</v>
      </c>
      <c r="AL16" s="222"/>
      <c r="AP16" s="23" t="s">
        <v>80</v>
      </c>
      <c r="AR16" s="41" t="s">
        <v>63</v>
      </c>
      <c r="AV16" s="23" t="s">
        <v>84</v>
      </c>
    </row>
    <row r="17" spans="1:48" x14ac:dyDescent="0.15">
      <c r="A17" s="54" t="s">
        <v>34</v>
      </c>
      <c r="B17" s="53" t="s">
        <v>232</v>
      </c>
      <c r="C17" s="53">
        <v>2019</v>
      </c>
      <c r="D17" s="217" t="s">
        <v>370</v>
      </c>
      <c r="E17" s="36" t="s">
        <v>210</v>
      </c>
      <c r="F17" s="36" t="s">
        <v>386</v>
      </c>
      <c r="G17" s="54" t="s">
        <v>36</v>
      </c>
      <c r="H17" s="53" t="s">
        <v>165</v>
      </c>
      <c r="I17" s="54" t="s">
        <v>159</v>
      </c>
      <c r="J17" s="54" t="s">
        <v>38</v>
      </c>
      <c r="K17" s="54" t="s">
        <v>161</v>
      </c>
      <c r="L17" s="54">
        <v>1</v>
      </c>
      <c r="N17" s="53">
        <v>5</v>
      </c>
      <c r="O17" s="53">
        <v>0.5</v>
      </c>
      <c r="P17" s="53">
        <v>0.2</v>
      </c>
      <c r="Q17" s="97">
        <f t="shared" si="0"/>
        <v>0.35</v>
      </c>
      <c r="R17" s="53">
        <v>17.100000000000001</v>
      </c>
      <c r="S17" s="53">
        <v>83</v>
      </c>
      <c r="T17" s="16">
        <f t="shared" si="1"/>
        <v>39</v>
      </c>
      <c r="U17" s="53">
        <v>427</v>
      </c>
      <c r="V17" s="16">
        <f t="shared" si="2"/>
        <v>3330.6000000000004</v>
      </c>
      <c r="W17" s="53">
        <v>2</v>
      </c>
      <c r="X17" s="54" t="s">
        <v>46</v>
      </c>
      <c r="Y17" s="54" t="s">
        <v>55</v>
      </c>
      <c r="Z17" s="54" t="s">
        <v>69</v>
      </c>
      <c r="AA17" s="54" t="s">
        <v>47</v>
      </c>
      <c r="AB17" s="54" t="s">
        <v>285</v>
      </c>
      <c r="AE17" s="22" t="s">
        <v>85</v>
      </c>
      <c r="AL17" s="222"/>
      <c r="AP17" s="43" t="s">
        <v>110</v>
      </c>
      <c r="AR17" s="41" t="s">
        <v>96</v>
      </c>
      <c r="AV17" s="23" t="s">
        <v>86</v>
      </c>
    </row>
    <row r="18" spans="1:48" x14ac:dyDescent="0.15">
      <c r="A18" s="54" t="s">
        <v>34</v>
      </c>
      <c r="B18" s="53" t="s">
        <v>232</v>
      </c>
      <c r="C18" s="53">
        <v>2019</v>
      </c>
      <c r="D18" s="217" t="s">
        <v>370</v>
      </c>
      <c r="E18" s="36" t="s">
        <v>210</v>
      </c>
      <c r="F18" s="36" t="s">
        <v>386</v>
      </c>
      <c r="G18" s="54" t="s">
        <v>36</v>
      </c>
      <c r="H18" s="53" t="s">
        <v>165</v>
      </c>
      <c r="I18" s="54" t="s">
        <v>159</v>
      </c>
      <c r="J18" s="54" t="s">
        <v>38</v>
      </c>
      <c r="K18" s="54" t="s">
        <v>161</v>
      </c>
      <c r="L18" s="53">
        <v>2</v>
      </c>
      <c r="N18" s="53">
        <v>5</v>
      </c>
      <c r="O18" s="53">
        <v>0.95</v>
      </c>
      <c r="P18" s="53">
        <v>0.75</v>
      </c>
      <c r="Q18" s="97">
        <f t="shared" si="0"/>
        <v>0.85</v>
      </c>
      <c r="R18" s="53">
        <v>16.7</v>
      </c>
      <c r="S18" s="53">
        <v>88</v>
      </c>
      <c r="T18" s="16">
        <f t="shared" si="1"/>
        <v>36</v>
      </c>
      <c r="U18" s="53">
        <v>427</v>
      </c>
      <c r="V18" s="16">
        <f t="shared" si="2"/>
        <v>3074.4</v>
      </c>
      <c r="W18" s="53">
        <v>2</v>
      </c>
      <c r="X18" s="54" t="s">
        <v>46</v>
      </c>
      <c r="Y18" s="54" t="s">
        <v>55</v>
      </c>
      <c r="Z18" s="54" t="s">
        <v>69</v>
      </c>
      <c r="AA18" s="54" t="s">
        <v>47</v>
      </c>
      <c r="AB18" s="54" t="s">
        <v>285</v>
      </c>
      <c r="AE18" s="22" t="s">
        <v>87</v>
      </c>
      <c r="AL18" s="54"/>
      <c r="AP18" s="43" t="s">
        <v>111</v>
      </c>
      <c r="AR18" s="41" t="s">
        <v>101</v>
      </c>
      <c r="AV18" s="23" t="s">
        <v>88</v>
      </c>
    </row>
    <row r="19" spans="1:48" x14ac:dyDescent="0.15">
      <c r="A19" s="54" t="s">
        <v>34</v>
      </c>
      <c r="B19" s="53" t="s">
        <v>232</v>
      </c>
      <c r="C19" s="53">
        <v>2019</v>
      </c>
      <c r="D19" s="217" t="s">
        <v>370</v>
      </c>
      <c r="E19" s="36" t="s">
        <v>210</v>
      </c>
      <c r="F19" s="36" t="s">
        <v>386</v>
      </c>
      <c r="G19" s="54" t="s">
        <v>36</v>
      </c>
      <c r="H19" s="53" t="s">
        <v>165</v>
      </c>
      <c r="I19" s="54" t="s">
        <v>159</v>
      </c>
      <c r="J19" s="54" t="s">
        <v>38</v>
      </c>
      <c r="K19" s="54" t="s">
        <v>161</v>
      </c>
      <c r="L19" s="53">
        <v>3</v>
      </c>
      <c r="N19" s="53">
        <v>5</v>
      </c>
      <c r="O19" s="53">
        <v>0.7</v>
      </c>
      <c r="P19" s="53">
        <v>0.7</v>
      </c>
      <c r="Q19" s="97">
        <f t="shared" si="0"/>
        <v>0.7</v>
      </c>
      <c r="R19" s="53">
        <v>17.100000000000001</v>
      </c>
      <c r="S19" s="53">
        <v>88</v>
      </c>
      <c r="T19" s="16">
        <f t="shared" si="1"/>
        <v>36</v>
      </c>
      <c r="U19" s="53">
        <v>427</v>
      </c>
      <c r="V19" s="16">
        <f t="shared" si="2"/>
        <v>3074.4</v>
      </c>
      <c r="W19" s="53">
        <v>2</v>
      </c>
      <c r="X19" s="54" t="s">
        <v>46</v>
      </c>
      <c r="Y19" s="54" t="s">
        <v>55</v>
      </c>
      <c r="Z19" s="54" t="s">
        <v>69</v>
      </c>
      <c r="AA19" s="54" t="s">
        <v>47</v>
      </c>
      <c r="AB19" s="54" t="s">
        <v>285</v>
      </c>
      <c r="AE19" s="35" t="s">
        <v>89</v>
      </c>
      <c r="AP19" s="43" t="s">
        <v>112</v>
      </c>
      <c r="AR19" s="30" t="s">
        <v>126</v>
      </c>
      <c r="AV19" s="23" t="s">
        <v>90</v>
      </c>
    </row>
    <row r="20" spans="1:48" x14ac:dyDescent="0.15">
      <c r="A20" s="54" t="s">
        <v>34</v>
      </c>
      <c r="B20" s="53" t="s">
        <v>232</v>
      </c>
      <c r="C20" s="53">
        <v>2019</v>
      </c>
      <c r="D20" s="217" t="s">
        <v>370</v>
      </c>
      <c r="E20" s="36" t="s">
        <v>375</v>
      </c>
      <c r="F20" s="36" t="s">
        <v>376</v>
      </c>
      <c r="G20" s="54" t="s">
        <v>36</v>
      </c>
      <c r="H20" s="53" t="s">
        <v>160</v>
      </c>
      <c r="I20" s="54" t="s">
        <v>159</v>
      </c>
      <c r="J20" s="54" t="s">
        <v>38</v>
      </c>
      <c r="K20" s="54" t="s">
        <v>161</v>
      </c>
      <c r="L20" s="54">
        <v>1</v>
      </c>
      <c r="N20" s="53">
        <v>1</v>
      </c>
      <c r="O20" s="53">
        <v>0.7</v>
      </c>
      <c r="P20" s="53">
        <v>0.8</v>
      </c>
      <c r="Q20" s="97">
        <f t="shared" si="0"/>
        <v>0.75</v>
      </c>
      <c r="R20" s="53">
        <v>20.7</v>
      </c>
      <c r="S20" s="53">
        <v>127</v>
      </c>
      <c r="T20" s="16">
        <f t="shared" si="1"/>
        <v>30</v>
      </c>
      <c r="U20" s="53">
        <v>108</v>
      </c>
      <c r="V20" s="16">
        <f t="shared" si="2"/>
        <v>3240</v>
      </c>
      <c r="W20" s="53">
        <v>10</v>
      </c>
      <c r="X20" s="54" t="s">
        <v>46</v>
      </c>
      <c r="Y20" s="54" t="s">
        <v>55</v>
      </c>
      <c r="Z20" s="54" t="s">
        <v>47</v>
      </c>
      <c r="AA20" s="54" t="s">
        <v>69</v>
      </c>
      <c r="AB20" s="54" t="s">
        <v>285</v>
      </c>
      <c r="AP20" s="43" t="s">
        <v>113</v>
      </c>
      <c r="AR20" s="41" t="s">
        <v>105</v>
      </c>
      <c r="AV20" s="27" t="s">
        <v>135</v>
      </c>
    </row>
    <row r="21" spans="1:48" x14ac:dyDescent="0.15">
      <c r="A21" s="54" t="s">
        <v>34</v>
      </c>
      <c r="B21" s="53" t="s">
        <v>232</v>
      </c>
      <c r="C21" s="53">
        <v>2019</v>
      </c>
      <c r="D21" s="217" t="s">
        <v>370</v>
      </c>
      <c r="E21" s="36" t="s">
        <v>375</v>
      </c>
      <c r="F21" s="36" t="s">
        <v>376</v>
      </c>
      <c r="G21" s="54" t="s">
        <v>36</v>
      </c>
      <c r="H21" s="53" t="s">
        <v>160</v>
      </c>
      <c r="I21" s="54" t="s">
        <v>159</v>
      </c>
      <c r="J21" s="54" t="s">
        <v>38</v>
      </c>
      <c r="K21" s="54" t="s">
        <v>161</v>
      </c>
      <c r="L21" s="53">
        <v>2</v>
      </c>
      <c r="N21" s="53">
        <v>1</v>
      </c>
      <c r="O21" s="53">
        <v>0.7</v>
      </c>
      <c r="P21" s="53">
        <v>0.65</v>
      </c>
      <c r="Q21" s="97">
        <f t="shared" si="0"/>
        <v>0.67500000000000004</v>
      </c>
      <c r="R21" s="53">
        <v>17.5</v>
      </c>
      <c r="S21" s="53">
        <v>127</v>
      </c>
      <c r="T21" s="16">
        <f t="shared" si="1"/>
        <v>30</v>
      </c>
      <c r="U21" s="53">
        <v>108</v>
      </c>
      <c r="V21" s="16">
        <f t="shared" si="2"/>
        <v>3240</v>
      </c>
      <c r="W21" s="53">
        <v>10</v>
      </c>
      <c r="X21" s="54" t="s">
        <v>46</v>
      </c>
      <c r="Y21" s="54" t="s">
        <v>55</v>
      </c>
      <c r="Z21" s="54" t="s">
        <v>47</v>
      </c>
      <c r="AA21" s="54" t="s">
        <v>69</v>
      </c>
      <c r="AB21" s="54" t="s">
        <v>285</v>
      </c>
      <c r="AP21" s="43" t="s">
        <v>114</v>
      </c>
      <c r="AR21" s="41" t="s">
        <v>68</v>
      </c>
      <c r="AV21" s="27" t="s">
        <v>136</v>
      </c>
    </row>
    <row r="22" spans="1:48" x14ac:dyDescent="0.15">
      <c r="A22" s="54" t="s">
        <v>34</v>
      </c>
      <c r="B22" s="53" t="s">
        <v>232</v>
      </c>
      <c r="C22" s="53">
        <v>2019</v>
      </c>
      <c r="D22" s="217" t="s">
        <v>370</v>
      </c>
      <c r="E22" s="36" t="s">
        <v>375</v>
      </c>
      <c r="F22" s="36" t="s">
        <v>376</v>
      </c>
      <c r="G22" s="54" t="s">
        <v>36</v>
      </c>
      <c r="H22" s="53" t="s">
        <v>160</v>
      </c>
      <c r="I22" s="54" t="s">
        <v>159</v>
      </c>
      <c r="J22" s="54" t="s">
        <v>38</v>
      </c>
      <c r="K22" s="54" t="s">
        <v>161</v>
      </c>
      <c r="L22" s="53">
        <v>3</v>
      </c>
      <c r="N22" s="53">
        <v>1</v>
      </c>
      <c r="O22" s="53">
        <v>0.6</v>
      </c>
      <c r="P22" s="53">
        <v>0.55000000000000004</v>
      </c>
      <c r="Q22" s="97">
        <f t="shared" si="0"/>
        <v>0.57499999999999996</v>
      </c>
      <c r="R22" s="53">
        <v>19.5</v>
      </c>
      <c r="S22" s="53">
        <v>133</v>
      </c>
      <c r="T22" s="16">
        <f t="shared" si="1"/>
        <v>30</v>
      </c>
      <c r="U22" s="53">
        <v>108</v>
      </c>
      <c r="V22" s="16">
        <f t="shared" si="2"/>
        <v>3240</v>
      </c>
      <c r="W22" s="53">
        <v>10</v>
      </c>
      <c r="X22" s="54" t="s">
        <v>46</v>
      </c>
      <c r="Y22" s="54" t="s">
        <v>55</v>
      </c>
      <c r="Z22" s="54" t="s">
        <v>47</v>
      </c>
      <c r="AA22" s="54" t="s">
        <v>69</v>
      </c>
      <c r="AB22" s="54" t="s">
        <v>285</v>
      </c>
      <c r="AP22" s="43" t="s">
        <v>115</v>
      </c>
      <c r="AR22" s="41" t="s">
        <v>83</v>
      </c>
      <c r="AV22" s="27"/>
    </row>
    <row r="23" spans="1:48" x14ac:dyDescent="0.15">
      <c r="A23" s="54" t="s">
        <v>34</v>
      </c>
      <c r="B23" s="53" t="s">
        <v>232</v>
      </c>
      <c r="C23" s="53">
        <v>2019</v>
      </c>
      <c r="D23" s="217" t="s">
        <v>370</v>
      </c>
      <c r="E23" s="36" t="s">
        <v>375</v>
      </c>
      <c r="F23" s="36" t="s">
        <v>376</v>
      </c>
      <c r="G23" s="54" t="s">
        <v>36</v>
      </c>
      <c r="H23" s="53" t="s">
        <v>160</v>
      </c>
      <c r="I23" s="54" t="s">
        <v>159</v>
      </c>
      <c r="J23" s="54" t="s">
        <v>38</v>
      </c>
      <c r="K23" s="54" t="s">
        <v>161</v>
      </c>
      <c r="L23" s="54">
        <v>1</v>
      </c>
      <c r="N23" s="53">
        <v>3</v>
      </c>
      <c r="O23" s="53">
        <v>0.7</v>
      </c>
      <c r="P23" s="53">
        <v>0.6</v>
      </c>
      <c r="Q23" s="97">
        <f t="shared" si="0"/>
        <v>0.64999999999999991</v>
      </c>
      <c r="R23" s="53">
        <v>18.600000000000001</v>
      </c>
      <c r="S23" s="53">
        <v>163</v>
      </c>
      <c r="T23" s="16">
        <f t="shared" si="1"/>
        <v>18</v>
      </c>
      <c r="U23" s="53">
        <v>537</v>
      </c>
      <c r="V23" s="16">
        <f t="shared" si="2"/>
        <v>3222</v>
      </c>
      <c r="W23" s="53">
        <v>10</v>
      </c>
      <c r="X23" s="54" t="s">
        <v>46</v>
      </c>
      <c r="Y23" s="54" t="s">
        <v>55</v>
      </c>
      <c r="Z23" s="54" t="s">
        <v>47</v>
      </c>
      <c r="AA23" s="54" t="s">
        <v>69</v>
      </c>
      <c r="AB23" s="54" t="s">
        <v>285</v>
      </c>
      <c r="AP23" s="43" t="s">
        <v>117</v>
      </c>
      <c r="AR23" s="41" t="s">
        <v>153</v>
      </c>
    </row>
    <row r="24" spans="1:48" x14ac:dyDescent="0.15">
      <c r="A24" s="54" t="s">
        <v>34</v>
      </c>
      <c r="B24" s="53" t="s">
        <v>232</v>
      </c>
      <c r="C24" s="53">
        <v>2019</v>
      </c>
      <c r="D24" s="217" t="s">
        <v>370</v>
      </c>
      <c r="E24" s="36" t="s">
        <v>375</v>
      </c>
      <c r="F24" s="36" t="s">
        <v>376</v>
      </c>
      <c r="G24" s="54" t="s">
        <v>36</v>
      </c>
      <c r="H24" s="53" t="s">
        <v>160</v>
      </c>
      <c r="I24" s="54" t="s">
        <v>159</v>
      </c>
      <c r="J24" s="54" t="s">
        <v>38</v>
      </c>
      <c r="K24" s="54" t="s">
        <v>161</v>
      </c>
      <c r="L24" s="53">
        <v>2</v>
      </c>
      <c r="N24" s="53">
        <v>3</v>
      </c>
      <c r="O24" s="53">
        <v>0.65</v>
      </c>
      <c r="P24" s="53">
        <v>0.5</v>
      </c>
      <c r="Q24" s="97">
        <f t="shared" si="0"/>
        <v>0.57499999999999996</v>
      </c>
      <c r="R24" s="53">
        <v>17.7</v>
      </c>
      <c r="S24" s="53">
        <v>148</v>
      </c>
      <c r="T24" s="16">
        <f t="shared" si="1"/>
        <v>30</v>
      </c>
      <c r="U24" s="53">
        <v>537</v>
      </c>
      <c r="V24" s="16">
        <f t="shared" si="2"/>
        <v>5370</v>
      </c>
      <c r="W24" s="53">
        <v>10</v>
      </c>
      <c r="X24" s="54" t="s">
        <v>46</v>
      </c>
      <c r="Y24" s="54" t="s">
        <v>55</v>
      </c>
      <c r="Z24" s="54" t="s">
        <v>47</v>
      </c>
      <c r="AA24" s="54" t="s">
        <v>69</v>
      </c>
      <c r="AB24" s="54" t="s">
        <v>285</v>
      </c>
      <c r="AP24" s="43" t="s">
        <v>118</v>
      </c>
    </row>
    <row r="25" spans="1:48" x14ac:dyDescent="0.15">
      <c r="A25" s="54" t="s">
        <v>34</v>
      </c>
      <c r="B25" s="53" t="s">
        <v>232</v>
      </c>
      <c r="C25" s="53">
        <v>2019</v>
      </c>
      <c r="D25" s="217" t="s">
        <v>370</v>
      </c>
      <c r="E25" s="36" t="s">
        <v>375</v>
      </c>
      <c r="F25" s="36" t="s">
        <v>376</v>
      </c>
      <c r="G25" s="54" t="s">
        <v>36</v>
      </c>
      <c r="H25" s="53" t="s">
        <v>160</v>
      </c>
      <c r="I25" s="54" t="s">
        <v>159</v>
      </c>
      <c r="J25" s="54" t="s">
        <v>38</v>
      </c>
      <c r="K25" s="54" t="s">
        <v>161</v>
      </c>
      <c r="L25" s="53">
        <v>3</v>
      </c>
      <c r="N25" s="53">
        <v>3</v>
      </c>
      <c r="O25" s="53">
        <v>0.6</v>
      </c>
      <c r="P25" s="53">
        <v>0.7</v>
      </c>
      <c r="Q25" s="97">
        <f t="shared" si="0"/>
        <v>0.64999999999999991</v>
      </c>
      <c r="R25" s="53">
        <v>18.600000000000001</v>
      </c>
      <c r="S25" s="53">
        <v>161</v>
      </c>
      <c r="T25" s="16">
        <f t="shared" si="1"/>
        <v>18</v>
      </c>
      <c r="U25" s="53">
        <v>537</v>
      </c>
      <c r="V25" s="16">
        <f t="shared" si="2"/>
        <v>3222</v>
      </c>
      <c r="W25" s="53">
        <v>10</v>
      </c>
      <c r="X25" s="54" t="s">
        <v>46</v>
      </c>
      <c r="Y25" s="54" t="s">
        <v>55</v>
      </c>
      <c r="Z25" s="54" t="s">
        <v>47</v>
      </c>
      <c r="AA25" s="54" t="s">
        <v>69</v>
      </c>
      <c r="AB25" s="54" t="s">
        <v>285</v>
      </c>
    </row>
    <row r="26" spans="1:48" x14ac:dyDescent="0.15">
      <c r="A26" s="54" t="s">
        <v>34</v>
      </c>
      <c r="B26" s="53" t="s">
        <v>232</v>
      </c>
      <c r="C26" s="53">
        <v>2019</v>
      </c>
      <c r="D26" s="217" t="s">
        <v>370</v>
      </c>
      <c r="E26" s="36" t="s">
        <v>375</v>
      </c>
      <c r="F26" s="36" t="s">
        <v>376</v>
      </c>
      <c r="G26" s="54" t="s">
        <v>36</v>
      </c>
      <c r="H26" s="53" t="s">
        <v>160</v>
      </c>
      <c r="I26" s="54" t="s">
        <v>159</v>
      </c>
      <c r="J26" s="54" t="s">
        <v>38</v>
      </c>
      <c r="K26" s="54" t="s">
        <v>161</v>
      </c>
      <c r="L26" s="54">
        <v>1</v>
      </c>
      <c r="N26" s="53">
        <v>4</v>
      </c>
      <c r="O26" s="53">
        <v>0.55000000000000004</v>
      </c>
      <c r="P26" s="53">
        <v>0.5</v>
      </c>
      <c r="Q26" s="97">
        <f t="shared" si="0"/>
        <v>0.52500000000000002</v>
      </c>
      <c r="R26" s="53">
        <v>19.100000000000001</v>
      </c>
      <c r="S26" s="53">
        <v>108</v>
      </c>
      <c r="T26" s="16">
        <f t="shared" si="1"/>
        <v>33</v>
      </c>
      <c r="U26" s="53">
        <v>378</v>
      </c>
      <c r="V26" s="16">
        <f t="shared" si="2"/>
        <v>3118.5</v>
      </c>
      <c r="W26" s="53">
        <v>10</v>
      </c>
      <c r="X26" s="54" t="s">
        <v>46</v>
      </c>
      <c r="Y26" s="54" t="s">
        <v>55</v>
      </c>
      <c r="Z26" s="54" t="s">
        <v>47</v>
      </c>
      <c r="AA26" s="54" t="s">
        <v>69</v>
      </c>
      <c r="AB26" s="54" t="s">
        <v>285</v>
      </c>
    </row>
    <row r="27" spans="1:48" x14ac:dyDescent="0.15">
      <c r="A27" s="54" t="s">
        <v>34</v>
      </c>
      <c r="B27" s="53" t="s">
        <v>232</v>
      </c>
      <c r="C27" s="53">
        <v>2019</v>
      </c>
      <c r="D27" s="217" t="s">
        <v>370</v>
      </c>
      <c r="E27" s="36" t="s">
        <v>375</v>
      </c>
      <c r="F27" s="36" t="s">
        <v>376</v>
      </c>
      <c r="G27" s="54" t="s">
        <v>36</v>
      </c>
      <c r="H27" s="53" t="s">
        <v>160</v>
      </c>
      <c r="I27" s="54" t="s">
        <v>159</v>
      </c>
      <c r="J27" s="54" t="s">
        <v>38</v>
      </c>
      <c r="K27" s="54" t="s">
        <v>161</v>
      </c>
      <c r="L27" s="53">
        <v>2</v>
      </c>
      <c r="N27" s="53">
        <v>4</v>
      </c>
      <c r="O27" s="53">
        <v>0.65</v>
      </c>
      <c r="P27" s="53">
        <v>0.7</v>
      </c>
      <c r="Q27" s="97">
        <f t="shared" si="0"/>
        <v>0.67500000000000004</v>
      </c>
      <c r="R27" s="53">
        <v>17.899999999999999</v>
      </c>
      <c r="S27" s="53">
        <v>115</v>
      </c>
      <c r="T27" s="16">
        <f t="shared" si="1"/>
        <v>30</v>
      </c>
      <c r="U27" s="53">
        <v>378</v>
      </c>
      <c r="V27" s="16">
        <f t="shared" si="2"/>
        <v>2835</v>
      </c>
      <c r="W27" s="53">
        <v>10</v>
      </c>
      <c r="X27" s="54" t="s">
        <v>46</v>
      </c>
      <c r="Y27" s="54" t="s">
        <v>55</v>
      </c>
      <c r="Z27" s="54" t="s">
        <v>47</v>
      </c>
      <c r="AA27" s="54" t="s">
        <v>69</v>
      </c>
      <c r="AB27" s="54" t="s">
        <v>285</v>
      </c>
    </row>
    <row r="28" spans="1:48" x14ac:dyDescent="0.15">
      <c r="A28" s="54" t="s">
        <v>34</v>
      </c>
      <c r="B28" s="53" t="s">
        <v>232</v>
      </c>
      <c r="C28" s="53">
        <v>2019</v>
      </c>
      <c r="D28" s="217" t="s">
        <v>370</v>
      </c>
      <c r="E28" s="36" t="s">
        <v>375</v>
      </c>
      <c r="F28" s="36" t="s">
        <v>376</v>
      </c>
      <c r="G28" s="54" t="s">
        <v>36</v>
      </c>
      <c r="H28" s="53" t="s">
        <v>160</v>
      </c>
      <c r="I28" s="54" t="s">
        <v>159</v>
      </c>
      <c r="J28" s="54" t="s">
        <v>38</v>
      </c>
      <c r="K28" s="54" t="s">
        <v>161</v>
      </c>
      <c r="L28" s="53">
        <v>3</v>
      </c>
      <c r="N28" s="53">
        <v>4</v>
      </c>
      <c r="O28" s="53">
        <v>0.2</v>
      </c>
      <c r="P28" s="53">
        <v>0.6</v>
      </c>
      <c r="Q28" s="97">
        <f>IF(OR(O28="",P28=""),"",AVERAGE(O28,P28))</f>
        <v>0.4</v>
      </c>
      <c r="R28" s="53">
        <v>17.899999999999999</v>
      </c>
      <c r="S28" s="53">
        <v>110</v>
      </c>
      <c r="T28" s="16">
        <f t="shared" si="1"/>
        <v>33</v>
      </c>
      <c r="U28" s="53">
        <v>378</v>
      </c>
      <c r="V28" s="16">
        <f t="shared" si="2"/>
        <v>3118.5</v>
      </c>
      <c r="W28" s="53">
        <v>10</v>
      </c>
      <c r="X28" s="54" t="s">
        <v>46</v>
      </c>
      <c r="Y28" s="54" t="s">
        <v>55</v>
      </c>
      <c r="Z28" s="54" t="s">
        <v>47</v>
      </c>
      <c r="AA28" s="54" t="s">
        <v>69</v>
      </c>
      <c r="AB28" s="54" t="s">
        <v>285</v>
      </c>
    </row>
    <row r="29" spans="1:48" x14ac:dyDescent="0.15">
      <c r="A29" s="54" t="s">
        <v>34</v>
      </c>
      <c r="B29" s="53" t="s">
        <v>232</v>
      </c>
      <c r="C29" s="53">
        <v>2019</v>
      </c>
      <c r="D29" s="217" t="s">
        <v>370</v>
      </c>
      <c r="E29" s="36" t="s">
        <v>384</v>
      </c>
      <c r="F29" s="36" t="s">
        <v>385</v>
      </c>
      <c r="G29" s="54" t="s">
        <v>36</v>
      </c>
      <c r="H29" s="53" t="s">
        <v>165</v>
      </c>
      <c r="I29" s="54" t="s">
        <v>159</v>
      </c>
      <c r="J29" s="54" t="s">
        <v>38</v>
      </c>
      <c r="K29" s="54" t="s">
        <v>161</v>
      </c>
      <c r="L29" s="54">
        <v>1</v>
      </c>
      <c r="N29" s="53">
        <v>1</v>
      </c>
      <c r="O29" s="53">
        <v>0.55000000000000004</v>
      </c>
      <c r="P29" s="53">
        <v>0.65</v>
      </c>
      <c r="Q29" s="97">
        <f t="shared" si="0"/>
        <v>0.60000000000000009</v>
      </c>
      <c r="R29" s="53">
        <v>17.2</v>
      </c>
      <c r="S29" s="53">
        <v>120</v>
      </c>
      <c r="T29" s="16">
        <f t="shared" si="1"/>
        <v>30</v>
      </c>
      <c r="U29" s="53">
        <v>138</v>
      </c>
      <c r="V29" s="16">
        <f t="shared" si="2"/>
        <v>4140</v>
      </c>
      <c r="W29" s="53">
        <v>4</v>
      </c>
      <c r="X29" s="54" t="s">
        <v>46</v>
      </c>
      <c r="Y29" s="54" t="s">
        <v>55</v>
      </c>
      <c r="Z29" s="54" t="s">
        <v>78</v>
      </c>
      <c r="AA29" s="54" t="s">
        <v>69</v>
      </c>
      <c r="AB29" s="54" t="s">
        <v>285</v>
      </c>
    </row>
    <row r="30" spans="1:48" x14ac:dyDescent="0.15">
      <c r="A30" s="54" t="s">
        <v>34</v>
      </c>
      <c r="B30" s="53" t="s">
        <v>232</v>
      </c>
      <c r="C30" s="53">
        <v>2019</v>
      </c>
      <c r="D30" s="217" t="s">
        <v>370</v>
      </c>
      <c r="E30" s="36" t="s">
        <v>384</v>
      </c>
      <c r="F30" s="36" t="s">
        <v>385</v>
      </c>
      <c r="G30" s="54" t="s">
        <v>36</v>
      </c>
      <c r="H30" s="53" t="s">
        <v>165</v>
      </c>
      <c r="I30" s="54" t="s">
        <v>159</v>
      </c>
      <c r="J30" s="54" t="s">
        <v>38</v>
      </c>
      <c r="K30" s="54" t="s">
        <v>161</v>
      </c>
      <c r="L30" s="53">
        <v>2</v>
      </c>
      <c r="N30" s="53">
        <v>1</v>
      </c>
      <c r="O30" s="53">
        <v>0.55000000000000004</v>
      </c>
      <c r="P30" s="53">
        <v>0.5</v>
      </c>
      <c r="Q30" s="97">
        <f t="shared" si="0"/>
        <v>0.52500000000000002</v>
      </c>
      <c r="R30" s="53">
        <v>17.100000000000001</v>
      </c>
      <c r="S30" s="53">
        <v>120</v>
      </c>
      <c r="T30" s="16">
        <f t="shared" si="1"/>
        <v>30</v>
      </c>
      <c r="U30" s="53">
        <v>138</v>
      </c>
      <c r="V30" s="16">
        <f t="shared" si="2"/>
        <v>4140</v>
      </c>
      <c r="W30" s="53">
        <v>4</v>
      </c>
      <c r="X30" s="54" t="s">
        <v>46</v>
      </c>
      <c r="Y30" s="54" t="s">
        <v>55</v>
      </c>
      <c r="Z30" s="54" t="s">
        <v>78</v>
      </c>
      <c r="AA30" s="54" t="s">
        <v>69</v>
      </c>
      <c r="AB30" s="54" t="s">
        <v>285</v>
      </c>
    </row>
    <row r="31" spans="1:48" x14ac:dyDescent="0.15">
      <c r="A31" s="54" t="s">
        <v>34</v>
      </c>
      <c r="B31" s="53" t="s">
        <v>232</v>
      </c>
      <c r="C31" s="53">
        <v>2019</v>
      </c>
      <c r="D31" s="217" t="s">
        <v>370</v>
      </c>
      <c r="E31" s="36" t="s">
        <v>384</v>
      </c>
      <c r="F31" s="36" t="s">
        <v>385</v>
      </c>
      <c r="G31" s="54" t="s">
        <v>36</v>
      </c>
      <c r="H31" s="53" t="s">
        <v>165</v>
      </c>
      <c r="I31" s="54" t="s">
        <v>159</v>
      </c>
      <c r="J31" s="54" t="s">
        <v>38</v>
      </c>
      <c r="K31" s="54" t="s">
        <v>161</v>
      </c>
      <c r="L31" s="53">
        <v>3</v>
      </c>
      <c r="N31" s="53">
        <v>1</v>
      </c>
      <c r="O31" s="53">
        <v>0.6</v>
      </c>
      <c r="P31" s="53">
        <v>0.5</v>
      </c>
      <c r="Q31" s="97">
        <f t="shared" si="0"/>
        <v>0.55000000000000004</v>
      </c>
      <c r="R31" s="53">
        <v>17.899999999999999</v>
      </c>
      <c r="S31" s="53">
        <v>123</v>
      </c>
      <c r="T31" s="16">
        <f t="shared" si="1"/>
        <v>30</v>
      </c>
      <c r="U31" s="53">
        <v>138</v>
      </c>
      <c r="V31" s="16">
        <f t="shared" si="2"/>
        <v>4140</v>
      </c>
      <c r="W31" s="53">
        <v>4</v>
      </c>
      <c r="X31" s="54" t="s">
        <v>46</v>
      </c>
      <c r="Y31" s="54" t="s">
        <v>55</v>
      </c>
      <c r="Z31" s="54" t="s">
        <v>78</v>
      </c>
      <c r="AA31" s="54" t="s">
        <v>69</v>
      </c>
      <c r="AB31" s="54" t="s">
        <v>285</v>
      </c>
    </row>
    <row r="32" spans="1:48" x14ac:dyDescent="0.15">
      <c r="A32" s="54" t="s">
        <v>34</v>
      </c>
      <c r="B32" s="53" t="s">
        <v>232</v>
      </c>
      <c r="C32" s="53">
        <v>2019</v>
      </c>
      <c r="D32" s="217" t="s">
        <v>370</v>
      </c>
      <c r="E32" s="36" t="s">
        <v>384</v>
      </c>
      <c r="F32" s="36" t="s">
        <v>385</v>
      </c>
      <c r="G32" s="54" t="s">
        <v>36</v>
      </c>
      <c r="H32" s="53" t="s">
        <v>165</v>
      </c>
      <c r="I32" s="54" t="s">
        <v>159</v>
      </c>
      <c r="J32" s="54" t="s">
        <v>38</v>
      </c>
      <c r="K32" s="54" t="s">
        <v>161</v>
      </c>
      <c r="L32" s="54">
        <v>1</v>
      </c>
      <c r="N32" s="53">
        <v>4</v>
      </c>
      <c r="O32" s="53">
        <v>0.75</v>
      </c>
      <c r="P32" s="53">
        <v>0.75</v>
      </c>
      <c r="Q32" s="97">
        <f t="shared" si="0"/>
        <v>0.75</v>
      </c>
      <c r="R32" s="53">
        <v>17.600000000000001</v>
      </c>
      <c r="S32" s="53">
        <v>89</v>
      </c>
      <c r="T32" s="16">
        <f t="shared" si="1"/>
        <v>36</v>
      </c>
      <c r="U32" s="53">
        <v>429</v>
      </c>
      <c r="V32" s="16">
        <f t="shared" si="2"/>
        <v>3861</v>
      </c>
      <c r="W32" s="53">
        <v>4</v>
      </c>
      <c r="X32" s="54" t="s">
        <v>46</v>
      </c>
      <c r="Y32" s="54" t="s">
        <v>55</v>
      </c>
      <c r="Z32" s="54" t="s">
        <v>78</v>
      </c>
      <c r="AA32" s="54" t="s">
        <v>69</v>
      </c>
      <c r="AB32" s="54" t="s">
        <v>285</v>
      </c>
    </row>
    <row r="33" spans="1:28" x14ac:dyDescent="0.15">
      <c r="A33" s="54" t="s">
        <v>34</v>
      </c>
      <c r="B33" s="53" t="s">
        <v>232</v>
      </c>
      <c r="C33" s="53">
        <v>2019</v>
      </c>
      <c r="D33" s="217" t="s">
        <v>370</v>
      </c>
      <c r="E33" s="36" t="s">
        <v>384</v>
      </c>
      <c r="F33" s="36" t="s">
        <v>385</v>
      </c>
      <c r="G33" s="54" t="s">
        <v>36</v>
      </c>
      <c r="H33" s="53" t="s">
        <v>165</v>
      </c>
      <c r="I33" s="54" t="s">
        <v>159</v>
      </c>
      <c r="J33" s="54" t="s">
        <v>38</v>
      </c>
      <c r="K33" s="54" t="s">
        <v>161</v>
      </c>
      <c r="L33" s="53">
        <v>2</v>
      </c>
      <c r="N33" s="53">
        <v>4</v>
      </c>
      <c r="O33" s="53">
        <v>0.45</v>
      </c>
      <c r="P33" s="53">
        <v>0.5</v>
      </c>
      <c r="Q33" s="97">
        <f t="shared" si="0"/>
        <v>0.47499999999999998</v>
      </c>
      <c r="R33" s="53">
        <v>18.100000000000001</v>
      </c>
      <c r="S33" s="53">
        <v>90</v>
      </c>
      <c r="T33" s="16">
        <f t="shared" si="1"/>
        <v>36</v>
      </c>
      <c r="U33" s="53">
        <v>429</v>
      </c>
      <c r="V33" s="16">
        <f t="shared" si="2"/>
        <v>3861</v>
      </c>
      <c r="W33" s="53">
        <v>4</v>
      </c>
      <c r="X33" s="54" t="s">
        <v>46</v>
      </c>
      <c r="Y33" s="54" t="s">
        <v>55</v>
      </c>
      <c r="Z33" s="54" t="s">
        <v>78</v>
      </c>
      <c r="AA33" s="54" t="s">
        <v>69</v>
      </c>
      <c r="AB33" s="54" t="s">
        <v>285</v>
      </c>
    </row>
    <row r="34" spans="1:28" x14ac:dyDescent="0.15">
      <c r="A34" s="54" t="s">
        <v>34</v>
      </c>
      <c r="B34" s="53" t="s">
        <v>232</v>
      </c>
      <c r="C34" s="53">
        <v>2019</v>
      </c>
      <c r="D34" s="217" t="s">
        <v>370</v>
      </c>
      <c r="E34" s="36" t="s">
        <v>384</v>
      </c>
      <c r="F34" s="36" t="s">
        <v>385</v>
      </c>
      <c r="G34" s="54" t="s">
        <v>36</v>
      </c>
      <c r="H34" s="53" t="s">
        <v>165</v>
      </c>
      <c r="I34" s="54" t="s">
        <v>159</v>
      </c>
      <c r="J34" s="54" t="s">
        <v>38</v>
      </c>
      <c r="K34" s="54" t="s">
        <v>161</v>
      </c>
      <c r="L34" s="53">
        <v>3</v>
      </c>
      <c r="N34" s="53">
        <v>4</v>
      </c>
      <c r="O34" s="53">
        <v>0.75</v>
      </c>
      <c r="P34" s="53">
        <v>0.65</v>
      </c>
      <c r="Q34" s="97">
        <f>IF(OR(O34="",P34=""),"",AVERAGE(O34,P34))</f>
        <v>0.7</v>
      </c>
      <c r="R34" s="53">
        <v>18.100000000000001</v>
      </c>
      <c r="S34" s="53">
        <v>89</v>
      </c>
      <c r="T34" s="16">
        <f t="shared" si="1"/>
        <v>36</v>
      </c>
      <c r="U34" s="53">
        <v>429</v>
      </c>
      <c r="V34" s="16">
        <f t="shared" si="2"/>
        <v>3861</v>
      </c>
      <c r="W34" s="53">
        <v>4</v>
      </c>
      <c r="X34" s="54" t="s">
        <v>46</v>
      </c>
      <c r="Y34" s="54" t="s">
        <v>55</v>
      </c>
      <c r="Z34" s="54" t="s">
        <v>78</v>
      </c>
      <c r="AA34" s="54" t="s">
        <v>69</v>
      </c>
      <c r="AB34" s="54" t="s">
        <v>285</v>
      </c>
    </row>
    <row r="35" spans="1:28" x14ac:dyDescent="0.15">
      <c r="A35" s="54" t="s">
        <v>34</v>
      </c>
      <c r="B35" s="53" t="s">
        <v>232</v>
      </c>
      <c r="C35" s="53">
        <v>2019</v>
      </c>
      <c r="D35" s="217" t="s">
        <v>370</v>
      </c>
      <c r="E35" s="36" t="s">
        <v>384</v>
      </c>
      <c r="F35" s="36" t="s">
        <v>385</v>
      </c>
      <c r="G35" s="54" t="s">
        <v>36</v>
      </c>
      <c r="H35" s="53" t="s">
        <v>160</v>
      </c>
      <c r="I35" s="54" t="s">
        <v>159</v>
      </c>
      <c r="J35" s="54" t="s">
        <v>38</v>
      </c>
      <c r="K35" s="54" t="s">
        <v>161</v>
      </c>
      <c r="L35" s="54">
        <v>1</v>
      </c>
      <c r="N35" s="53">
        <v>1</v>
      </c>
      <c r="O35" s="53">
        <v>0.6</v>
      </c>
      <c r="P35" s="53">
        <v>0.65</v>
      </c>
      <c r="Q35" s="97">
        <f t="shared" ref="Q35:Q36" si="3">IF(OR(O35="",P35=""),"",AVERAGE(O35,P35))</f>
        <v>0.625</v>
      </c>
      <c r="R35" s="53">
        <v>18.600000000000001</v>
      </c>
      <c r="S35" s="53">
        <v>126</v>
      </c>
      <c r="T35" s="16">
        <f t="shared" si="1"/>
        <v>30</v>
      </c>
      <c r="U35" s="53">
        <v>149</v>
      </c>
      <c r="V35" s="16">
        <f t="shared" si="2"/>
        <v>4470</v>
      </c>
      <c r="W35" s="53">
        <v>14</v>
      </c>
      <c r="X35" s="54" t="s">
        <v>46</v>
      </c>
      <c r="Y35" s="54" t="s">
        <v>55</v>
      </c>
      <c r="Z35" s="54" t="s">
        <v>78</v>
      </c>
      <c r="AA35" s="54" t="s">
        <v>69</v>
      </c>
      <c r="AB35" s="54" t="s">
        <v>285</v>
      </c>
    </row>
    <row r="36" spans="1:28" x14ac:dyDescent="0.15">
      <c r="A36" s="54" t="s">
        <v>34</v>
      </c>
      <c r="B36" s="53" t="s">
        <v>232</v>
      </c>
      <c r="C36" s="53">
        <v>2019</v>
      </c>
      <c r="D36" s="217" t="s">
        <v>370</v>
      </c>
      <c r="E36" s="36" t="s">
        <v>384</v>
      </c>
      <c r="F36" s="36" t="s">
        <v>385</v>
      </c>
      <c r="G36" s="54" t="s">
        <v>36</v>
      </c>
      <c r="H36" s="53" t="s">
        <v>160</v>
      </c>
      <c r="I36" s="54" t="s">
        <v>159</v>
      </c>
      <c r="J36" s="54" t="s">
        <v>38</v>
      </c>
      <c r="K36" s="54" t="s">
        <v>161</v>
      </c>
      <c r="L36" s="53">
        <v>2</v>
      </c>
      <c r="N36" s="53">
        <v>1</v>
      </c>
      <c r="O36" s="53">
        <v>0.65</v>
      </c>
      <c r="P36" s="53">
        <v>0.75</v>
      </c>
      <c r="Q36" s="97">
        <f t="shared" si="3"/>
        <v>0.7</v>
      </c>
      <c r="R36" s="53">
        <v>17.8</v>
      </c>
      <c r="S36" s="53">
        <v>111</v>
      </c>
      <c r="T36" s="16">
        <f t="shared" si="1"/>
        <v>33</v>
      </c>
      <c r="U36" s="53">
        <v>149</v>
      </c>
      <c r="V36" s="16">
        <f t="shared" si="2"/>
        <v>4917</v>
      </c>
      <c r="W36" s="53">
        <v>14</v>
      </c>
      <c r="X36" s="54" t="s">
        <v>46</v>
      </c>
      <c r="Y36" s="54" t="s">
        <v>55</v>
      </c>
      <c r="Z36" s="54" t="s">
        <v>78</v>
      </c>
      <c r="AA36" s="54" t="s">
        <v>69</v>
      </c>
      <c r="AB36" s="54" t="s">
        <v>285</v>
      </c>
    </row>
    <row r="37" spans="1:28" x14ac:dyDescent="0.15">
      <c r="A37" s="54" t="s">
        <v>34</v>
      </c>
      <c r="B37" s="53" t="s">
        <v>232</v>
      </c>
      <c r="C37" s="53">
        <v>2019</v>
      </c>
      <c r="D37" s="217" t="s">
        <v>370</v>
      </c>
      <c r="E37" s="36" t="s">
        <v>384</v>
      </c>
      <c r="F37" s="36" t="s">
        <v>385</v>
      </c>
      <c r="G37" s="54" t="s">
        <v>36</v>
      </c>
      <c r="H37" s="53" t="s">
        <v>160</v>
      </c>
      <c r="I37" s="54" t="s">
        <v>159</v>
      </c>
      <c r="J37" s="54" t="s">
        <v>38</v>
      </c>
      <c r="K37" s="54" t="s">
        <v>161</v>
      </c>
      <c r="L37" s="53">
        <v>3</v>
      </c>
      <c r="N37" s="53">
        <v>1</v>
      </c>
      <c r="O37" s="53">
        <v>0.6</v>
      </c>
      <c r="P37" s="53">
        <v>0.65</v>
      </c>
      <c r="Q37" s="97">
        <f>IF(OR(O37="",P37=""),"",AVERAGE(O37,P37))</f>
        <v>0.625</v>
      </c>
      <c r="R37" s="53">
        <v>18.7</v>
      </c>
      <c r="S37" s="53">
        <v>109</v>
      </c>
      <c r="T37" s="16">
        <f t="shared" si="1"/>
        <v>33</v>
      </c>
      <c r="U37" s="53">
        <v>149</v>
      </c>
      <c r="V37" s="16">
        <f t="shared" si="2"/>
        <v>4917</v>
      </c>
      <c r="W37" s="53">
        <v>14</v>
      </c>
      <c r="X37" s="54" t="s">
        <v>46</v>
      </c>
      <c r="Y37" s="54" t="s">
        <v>55</v>
      </c>
      <c r="Z37" s="54" t="s">
        <v>78</v>
      </c>
      <c r="AA37" s="54" t="s">
        <v>69</v>
      </c>
      <c r="AB37" s="54" t="s">
        <v>285</v>
      </c>
    </row>
    <row r="38" spans="1:28" x14ac:dyDescent="0.15">
      <c r="A38" s="54" t="s">
        <v>34</v>
      </c>
      <c r="B38" s="53" t="s">
        <v>232</v>
      </c>
      <c r="C38" s="53">
        <v>2019</v>
      </c>
      <c r="D38" s="217" t="s">
        <v>370</v>
      </c>
      <c r="E38" s="36" t="s">
        <v>384</v>
      </c>
      <c r="F38" s="36" t="s">
        <v>385</v>
      </c>
      <c r="G38" s="54" t="s">
        <v>36</v>
      </c>
      <c r="H38" s="53" t="s">
        <v>160</v>
      </c>
      <c r="I38" s="54" t="s">
        <v>159</v>
      </c>
      <c r="J38" s="54" t="s">
        <v>38</v>
      </c>
      <c r="K38" s="54" t="s">
        <v>161</v>
      </c>
      <c r="L38" s="54">
        <v>1</v>
      </c>
      <c r="N38" s="53">
        <v>4</v>
      </c>
      <c r="O38" s="53">
        <v>2.15</v>
      </c>
      <c r="P38" s="53">
        <v>1.85</v>
      </c>
      <c r="Q38" s="97">
        <f t="shared" ref="Q38:Q39" si="4">IF(OR(O38="",P38=""),"",AVERAGE(O38,P38))</f>
        <v>2</v>
      </c>
      <c r="R38" s="53">
        <v>17.3</v>
      </c>
      <c r="S38" s="53">
        <v>99</v>
      </c>
      <c r="T38" s="16">
        <f t="shared" si="1"/>
        <v>33</v>
      </c>
      <c r="U38" s="53">
        <v>537</v>
      </c>
      <c r="V38" s="16">
        <f t="shared" si="2"/>
        <v>4430.25</v>
      </c>
      <c r="W38" s="53">
        <v>14</v>
      </c>
      <c r="X38" s="54" t="s">
        <v>46</v>
      </c>
      <c r="Y38" s="54" t="s">
        <v>55</v>
      </c>
      <c r="Z38" s="54" t="s">
        <v>78</v>
      </c>
      <c r="AA38" s="54" t="s">
        <v>69</v>
      </c>
      <c r="AB38" s="54" t="s">
        <v>285</v>
      </c>
    </row>
    <row r="39" spans="1:28" x14ac:dyDescent="0.15">
      <c r="A39" s="54" t="s">
        <v>34</v>
      </c>
      <c r="B39" s="53" t="s">
        <v>232</v>
      </c>
      <c r="C39" s="53">
        <v>2019</v>
      </c>
      <c r="D39" s="217" t="s">
        <v>370</v>
      </c>
      <c r="E39" s="36" t="s">
        <v>384</v>
      </c>
      <c r="F39" s="36" t="s">
        <v>385</v>
      </c>
      <c r="G39" s="54" t="s">
        <v>36</v>
      </c>
      <c r="H39" s="53" t="s">
        <v>160</v>
      </c>
      <c r="I39" s="54" t="s">
        <v>159</v>
      </c>
      <c r="J39" s="54" t="s">
        <v>38</v>
      </c>
      <c r="K39" s="54" t="s">
        <v>161</v>
      </c>
      <c r="L39" s="53">
        <v>2</v>
      </c>
      <c r="N39" s="53">
        <v>4</v>
      </c>
      <c r="O39" s="53">
        <v>1.4</v>
      </c>
      <c r="P39" s="53">
        <v>1.45</v>
      </c>
      <c r="Q39" s="97">
        <f t="shared" si="4"/>
        <v>1.4249999999999998</v>
      </c>
      <c r="R39" s="53">
        <v>15.5</v>
      </c>
      <c r="S39" s="53">
        <v>107</v>
      </c>
      <c r="T39" s="16">
        <f t="shared" si="1"/>
        <v>33</v>
      </c>
      <c r="U39" s="53">
        <v>537</v>
      </c>
      <c r="V39" s="16">
        <f t="shared" si="2"/>
        <v>4430.25</v>
      </c>
      <c r="W39" s="53">
        <v>14</v>
      </c>
      <c r="X39" s="54" t="s">
        <v>46</v>
      </c>
      <c r="Y39" s="54" t="s">
        <v>55</v>
      </c>
      <c r="Z39" s="54" t="s">
        <v>78</v>
      </c>
      <c r="AA39" s="54" t="s">
        <v>69</v>
      </c>
      <c r="AB39" s="54" t="s">
        <v>285</v>
      </c>
    </row>
    <row r="40" spans="1:28" x14ac:dyDescent="0.15">
      <c r="A40" s="54" t="s">
        <v>34</v>
      </c>
      <c r="B40" s="53" t="s">
        <v>232</v>
      </c>
      <c r="C40" s="53">
        <v>2019</v>
      </c>
      <c r="D40" s="217" t="s">
        <v>370</v>
      </c>
      <c r="E40" s="36" t="s">
        <v>384</v>
      </c>
      <c r="F40" s="36" t="s">
        <v>385</v>
      </c>
      <c r="G40" s="54" t="s">
        <v>36</v>
      </c>
      <c r="H40" s="53" t="s">
        <v>160</v>
      </c>
      <c r="I40" s="54" t="s">
        <v>159</v>
      </c>
      <c r="J40" s="54" t="s">
        <v>38</v>
      </c>
      <c r="K40" s="54" t="s">
        <v>161</v>
      </c>
      <c r="L40" s="53">
        <v>3</v>
      </c>
      <c r="N40" s="53">
        <v>4</v>
      </c>
      <c r="O40" s="53">
        <v>1.7</v>
      </c>
      <c r="P40" s="53">
        <v>1.8</v>
      </c>
      <c r="Q40" s="97">
        <f>IF(OR(O40="",P40=""),"",AVERAGE(O40,P40))</f>
        <v>1.75</v>
      </c>
      <c r="R40" s="53">
        <v>17</v>
      </c>
      <c r="S40" s="53">
        <v>104</v>
      </c>
      <c r="T40" s="16">
        <f t="shared" si="1"/>
        <v>33</v>
      </c>
      <c r="U40" s="53">
        <v>537</v>
      </c>
      <c r="V40" s="16">
        <f t="shared" si="2"/>
        <v>4430.25</v>
      </c>
      <c r="W40" s="53">
        <v>14</v>
      </c>
      <c r="X40" s="54" t="s">
        <v>46</v>
      </c>
      <c r="Y40" s="54" t="s">
        <v>55</v>
      </c>
      <c r="Z40" s="54" t="s">
        <v>78</v>
      </c>
      <c r="AA40" s="54" t="s">
        <v>69</v>
      </c>
      <c r="AB40" s="54" t="s">
        <v>285</v>
      </c>
    </row>
    <row r="41" spans="1:28" x14ac:dyDescent="0.15">
      <c r="A41" s="54" t="s">
        <v>34</v>
      </c>
      <c r="B41" s="53" t="s">
        <v>232</v>
      </c>
      <c r="C41" s="53">
        <v>2019</v>
      </c>
      <c r="D41" s="217" t="s">
        <v>370</v>
      </c>
      <c r="E41" s="36" t="s">
        <v>384</v>
      </c>
      <c r="F41" s="36" t="s">
        <v>385</v>
      </c>
      <c r="G41" s="54" t="s">
        <v>36</v>
      </c>
      <c r="H41" s="53" t="s">
        <v>127</v>
      </c>
      <c r="I41" s="54" t="s">
        <v>159</v>
      </c>
      <c r="J41" s="54" t="s">
        <v>80</v>
      </c>
      <c r="K41" s="54" t="s">
        <v>63</v>
      </c>
      <c r="L41" s="54">
        <v>1</v>
      </c>
      <c r="N41" s="53">
        <v>4</v>
      </c>
      <c r="O41" s="53">
        <v>0.2</v>
      </c>
      <c r="P41" s="53">
        <v>0.45</v>
      </c>
      <c r="Q41" s="97">
        <f t="shared" si="0"/>
        <v>0.32500000000000001</v>
      </c>
      <c r="R41" s="53">
        <v>14</v>
      </c>
      <c r="S41" s="53">
        <v>77</v>
      </c>
      <c r="T41" s="16">
        <f t="shared" si="1"/>
        <v>39</v>
      </c>
      <c r="U41" s="53">
        <v>429</v>
      </c>
      <c r="V41" s="16">
        <f t="shared" si="2"/>
        <v>4182.75</v>
      </c>
      <c r="W41" s="53">
        <v>1</v>
      </c>
      <c r="X41" s="54" t="s">
        <v>46</v>
      </c>
      <c r="Y41" s="54" t="s">
        <v>55</v>
      </c>
      <c r="Z41" s="54" t="s">
        <v>78</v>
      </c>
      <c r="AA41" s="54" t="s">
        <v>69</v>
      </c>
      <c r="AB41" s="54" t="s">
        <v>285</v>
      </c>
    </row>
    <row r="42" spans="1:28" x14ac:dyDescent="0.15">
      <c r="A42" s="54" t="s">
        <v>34</v>
      </c>
      <c r="B42" s="53" t="s">
        <v>232</v>
      </c>
      <c r="C42" s="53">
        <v>2019</v>
      </c>
      <c r="D42" s="217" t="s">
        <v>370</v>
      </c>
      <c r="E42" s="36" t="s">
        <v>384</v>
      </c>
      <c r="F42" s="36" t="s">
        <v>385</v>
      </c>
      <c r="G42" s="54" t="s">
        <v>36</v>
      </c>
      <c r="H42" s="53" t="s">
        <v>127</v>
      </c>
      <c r="I42" s="54" t="s">
        <v>159</v>
      </c>
      <c r="J42" s="54" t="s">
        <v>80</v>
      </c>
      <c r="K42" s="54" t="s">
        <v>63</v>
      </c>
      <c r="L42" s="53">
        <v>2</v>
      </c>
      <c r="N42" s="53">
        <v>4</v>
      </c>
      <c r="O42" s="53">
        <v>0.55000000000000004</v>
      </c>
      <c r="P42" s="53">
        <v>0.6</v>
      </c>
      <c r="Q42" s="97">
        <f t="shared" si="0"/>
        <v>0.57499999999999996</v>
      </c>
      <c r="R42" s="53">
        <v>14.9</v>
      </c>
      <c r="S42" s="53">
        <v>94</v>
      </c>
      <c r="T42" s="16">
        <f t="shared" si="1"/>
        <v>36</v>
      </c>
      <c r="U42" s="53">
        <v>429</v>
      </c>
      <c r="V42" s="16">
        <f t="shared" si="2"/>
        <v>3861</v>
      </c>
      <c r="W42" s="53">
        <v>1</v>
      </c>
      <c r="X42" s="54" t="s">
        <v>46</v>
      </c>
      <c r="Y42" s="54" t="s">
        <v>55</v>
      </c>
      <c r="Z42" s="54" t="s">
        <v>78</v>
      </c>
      <c r="AA42" s="54" t="s">
        <v>69</v>
      </c>
      <c r="AB42" s="54" t="s">
        <v>285</v>
      </c>
    </row>
    <row r="43" spans="1:28" x14ac:dyDescent="0.15">
      <c r="A43" s="54" t="s">
        <v>34</v>
      </c>
      <c r="B43" s="53" t="s">
        <v>232</v>
      </c>
      <c r="C43" s="53">
        <v>2019</v>
      </c>
      <c r="D43" s="217" t="s">
        <v>370</v>
      </c>
      <c r="E43" s="36" t="s">
        <v>384</v>
      </c>
      <c r="F43" s="36" t="s">
        <v>385</v>
      </c>
      <c r="G43" s="54" t="s">
        <v>36</v>
      </c>
      <c r="H43" s="53" t="s">
        <v>127</v>
      </c>
      <c r="I43" s="54" t="s">
        <v>159</v>
      </c>
      <c r="J43" s="54" t="s">
        <v>80</v>
      </c>
      <c r="K43" s="54" t="s">
        <v>63</v>
      </c>
      <c r="L43" s="53">
        <v>3</v>
      </c>
      <c r="N43" s="53">
        <v>4</v>
      </c>
      <c r="O43" s="53">
        <v>0.2</v>
      </c>
      <c r="P43" s="53">
        <v>0.6</v>
      </c>
      <c r="Q43" s="97">
        <f t="shared" si="0"/>
        <v>0.4</v>
      </c>
      <c r="R43" s="53">
        <v>14.3</v>
      </c>
      <c r="S43" s="53">
        <v>91</v>
      </c>
      <c r="T43" s="16">
        <f t="shared" si="1"/>
        <v>36</v>
      </c>
      <c r="U43" s="53">
        <v>429</v>
      </c>
      <c r="V43" s="16">
        <f t="shared" si="2"/>
        <v>3861</v>
      </c>
      <c r="W43" s="53">
        <v>1</v>
      </c>
      <c r="X43" s="54" t="s">
        <v>46</v>
      </c>
      <c r="Y43" s="54" t="s">
        <v>55</v>
      </c>
      <c r="Z43" s="54" t="s">
        <v>78</v>
      </c>
      <c r="AA43" s="54" t="s">
        <v>69</v>
      </c>
      <c r="AB43" s="54" t="s">
        <v>285</v>
      </c>
    </row>
    <row r="44" spans="1:28" x14ac:dyDescent="0.15">
      <c r="A44" s="54" t="s">
        <v>34</v>
      </c>
      <c r="B44" s="53" t="s">
        <v>232</v>
      </c>
      <c r="C44" s="53">
        <v>2019</v>
      </c>
      <c r="D44" s="217" t="s">
        <v>370</v>
      </c>
      <c r="E44" s="36" t="s">
        <v>374</v>
      </c>
      <c r="F44" s="36" t="s">
        <v>373</v>
      </c>
      <c r="G44" s="54" t="s">
        <v>36</v>
      </c>
      <c r="H44" s="53" t="s">
        <v>160</v>
      </c>
      <c r="I44" s="54" t="s">
        <v>159</v>
      </c>
      <c r="J44" s="54" t="s">
        <v>38</v>
      </c>
      <c r="K44" s="54" t="s">
        <v>161</v>
      </c>
      <c r="L44" s="54">
        <v>1</v>
      </c>
      <c r="N44" s="53">
        <v>1</v>
      </c>
      <c r="O44" s="53">
        <v>0.5</v>
      </c>
      <c r="P44" s="53">
        <v>0.5</v>
      </c>
      <c r="Q44" s="97">
        <f t="shared" si="0"/>
        <v>0.5</v>
      </c>
      <c r="R44" s="53">
        <v>23.7</v>
      </c>
      <c r="S44" s="53">
        <v>120</v>
      </c>
      <c r="T44" s="16">
        <f t="shared" si="1"/>
        <v>30</v>
      </c>
      <c r="U44" s="53">
        <v>108</v>
      </c>
      <c r="V44" s="16">
        <f t="shared" si="2"/>
        <v>3240</v>
      </c>
      <c r="W44" s="53">
        <v>8</v>
      </c>
      <c r="X44" s="54" t="s">
        <v>46</v>
      </c>
      <c r="Y44" s="54" t="s">
        <v>47</v>
      </c>
      <c r="Z44" s="54" t="s">
        <v>55</v>
      </c>
      <c r="AA44" s="54" t="s">
        <v>69</v>
      </c>
      <c r="AB44" s="54" t="s">
        <v>285</v>
      </c>
    </row>
    <row r="45" spans="1:28" x14ac:dyDescent="0.15">
      <c r="A45" s="54" t="s">
        <v>34</v>
      </c>
      <c r="B45" s="53" t="s">
        <v>232</v>
      </c>
      <c r="C45" s="53">
        <v>2019</v>
      </c>
      <c r="D45" s="217" t="s">
        <v>370</v>
      </c>
      <c r="E45" s="36" t="s">
        <v>374</v>
      </c>
      <c r="F45" s="36" t="s">
        <v>373</v>
      </c>
      <c r="G45" s="54" t="s">
        <v>36</v>
      </c>
      <c r="H45" s="53" t="s">
        <v>160</v>
      </c>
      <c r="I45" s="54" t="s">
        <v>159</v>
      </c>
      <c r="J45" s="54" t="s">
        <v>38</v>
      </c>
      <c r="K45" s="54" t="s">
        <v>161</v>
      </c>
      <c r="L45" s="53">
        <v>2</v>
      </c>
      <c r="N45" s="53">
        <v>1</v>
      </c>
      <c r="O45" s="53">
        <v>0.7</v>
      </c>
      <c r="P45" s="53">
        <v>0.95</v>
      </c>
      <c r="Q45" s="97">
        <f t="shared" si="0"/>
        <v>0.82499999999999996</v>
      </c>
      <c r="R45" s="53">
        <v>18.2</v>
      </c>
      <c r="S45" s="53">
        <v>134</v>
      </c>
      <c r="T45" s="16">
        <f t="shared" si="1"/>
        <v>30</v>
      </c>
      <c r="U45" s="53">
        <v>108</v>
      </c>
      <c r="V45" s="16">
        <f t="shared" si="2"/>
        <v>3240</v>
      </c>
      <c r="W45" s="53">
        <v>8</v>
      </c>
      <c r="X45" s="54" t="s">
        <v>46</v>
      </c>
      <c r="Y45" s="54" t="s">
        <v>47</v>
      </c>
      <c r="Z45" s="54" t="s">
        <v>55</v>
      </c>
      <c r="AA45" s="54" t="s">
        <v>69</v>
      </c>
      <c r="AB45" s="54" t="s">
        <v>285</v>
      </c>
    </row>
    <row r="46" spans="1:28" x14ac:dyDescent="0.15">
      <c r="A46" s="54" t="s">
        <v>34</v>
      </c>
      <c r="B46" s="53" t="s">
        <v>232</v>
      </c>
      <c r="C46" s="53">
        <v>2019</v>
      </c>
      <c r="D46" s="217" t="s">
        <v>370</v>
      </c>
      <c r="E46" s="36" t="s">
        <v>374</v>
      </c>
      <c r="F46" s="36" t="s">
        <v>373</v>
      </c>
      <c r="G46" s="54" t="s">
        <v>36</v>
      </c>
      <c r="H46" s="53" t="s">
        <v>160</v>
      </c>
      <c r="I46" s="54" t="s">
        <v>159</v>
      </c>
      <c r="J46" s="54" t="s">
        <v>38</v>
      </c>
      <c r="K46" s="54" t="s">
        <v>161</v>
      </c>
      <c r="L46" s="53">
        <v>3</v>
      </c>
      <c r="N46" s="53">
        <v>1</v>
      </c>
      <c r="O46" s="53">
        <v>0.7</v>
      </c>
      <c r="P46" s="53">
        <v>0.65</v>
      </c>
      <c r="Q46" s="97">
        <f t="shared" si="0"/>
        <v>0.67500000000000004</v>
      </c>
      <c r="R46" s="53">
        <v>18.100000000000001</v>
      </c>
      <c r="S46" s="53">
        <v>127</v>
      </c>
      <c r="T46" s="16">
        <f t="shared" si="1"/>
        <v>30</v>
      </c>
      <c r="U46" s="53">
        <v>108</v>
      </c>
      <c r="V46" s="16">
        <f t="shared" si="2"/>
        <v>3240</v>
      </c>
      <c r="W46" s="53">
        <v>8</v>
      </c>
      <c r="X46" s="54" t="s">
        <v>46</v>
      </c>
      <c r="Y46" s="54" t="s">
        <v>47</v>
      </c>
      <c r="Z46" s="54" t="s">
        <v>55</v>
      </c>
      <c r="AA46" s="54" t="s">
        <v>69</v>
      </c>
      <c r="AB46" s="54" t="s">
        <v>285</v>
      </c>
    </row>
    <row r="47" spans="1:28" x14ac:dyDescent="0.15">
      <c r="A47" s="54" t="s">
        <v>34</v>
      </c>
      <c r="B47" s="53" t="s">
        <v>232</v>
      </c>
      <c r="C47" s="53">
        <v>2019</v>
      </c>
      <c r="D47" s="217" t="s">
        <v>370</v>
      </c>
      <c r="E47" s="36" t="s">
        <v>374</v>
      </c>
      <c r="F47" s="36" t="s">
        <v>373</v>
      </c>
      <c r="G47" s="54" t="s">
        <v>36</v>
      </c>
      <c r="H47" s="53" t="s">
        <v>160</v>
      </c>
      <c r="I47" s="54" t="s">
        <v>159</v>
      </c>
      <c r="J47" s="54" t="s">
        <v>38</v>
      </c>
      <c r="K47" s="54" t="s">
        <v>161</v>
      </c>
      <c r="L47" s="54">
        <v>1</v>
      </c>
      <c r="N47" s="53">
        <v>4</v>
      </c>
      <c r="O47" s="53">
        <v>0.2</v>
      </c>
      <c r="P47" s="53">
        <v>0.45</v>
      </c>
      <c r="Q47" s="97">
        <f t="shared" si="0"/>
        <v>0.32500000000000001</v>
      </c>
      <c r="R47" s="53">
        <v>19.600000000000001</v>
      </c>
      <c r="S47" s="53">
        <v>103</v>
      </c>
      <c r="T47" s="16">
        <f t="shared" si="1"/>
        <v>33</v>
      </c>
      <c r="U47" s="53">
        <v>429</v>
      </c>
      <c r="V47" s="16">
        <f t="shared" si="2"/>
        <v>3539.25</v>
      </c>
      <c r="W47" s="53">
        <v>8</v>
      </c>
      <c r="X47" s="54" t="s">
        <v>46</v>
      </c>
      <c r="Y47" s="54" t="s">
        <v>47</v>
      </c>
      <c r="Z47" s="54" t="s">
        <v>55</v>
      </c>
      <c r="AA47" s="54" t="s">
        <v>69</v>
      </c>
      <c r="AB47" s="54" t="s">
        <v>285</v>
      </c>
    </row>
    <row r="48" spans="1:28" x14ac:dyDescent="0.15">
      <c r="A48" s="54" t="s">
        <v>34</v>
      </c>
      <c r="B48" s="53" t="s">
        <v>232</v>
      </c>
      <c r="C48" s="53">
        <v>2019</v>
      </c>
      <c r="D48" s="217" t="s">
        <v>370</v>
      </c>
      <c r="E48" s="36" t="s">
        <v>374</v>
      </c>
      <c r="F48" s="36" t="s">
        <v>373</v>
      </c>
      <c r="G48" s="54" t="s">
        <v>36</v>
      </c>
      <c r="H48" s="53" t="s">
        <v>160</v>
      </c>
      <c r="I48" s="54" t="s">
        <v>159</v>
      </c>
      <c r="J48" s="54" t="s">
        <v>38</v>
      </c>
      <c r="K48" s="54" t="s">
        <v>161</v>
      </c>
      <c r="L48" s="53">
        <v>2</v>
      </c>
      <c r="N48" s="53">
        <v>4</v>
      </c>
      <c r="O48" s="53">
        <v>0.2</v>
      </c>
      <c r="P48" s="53">
        <v>0.2</v>
      </c>
      <c r="Q48" s="97">
        <f t="shared" si="0"/>
        <v>0.2</v>
      </c>
      <c r="R48" s="53">
        <v>20.399999999999999</v>
      </c>
      <c r="S48" s="53">
        <v>105</v>
      </c>
      <c r="T48" s="16">
        <f t="shared" si="1"/>
        <v>33</v>
      </c>
      <c r="U48" s="53">
        <v>429</v>
      </c>
      <c r="V48" s="16">
        <f t="shared" si="2"/>
        <v>3539.25</v>
      </c>
      <c r="W48" s="53">
        <v>8</v>
      </c>
      <c r="X48" s="54" t="s">
        <v>46</v>
      </c>
      <c r="Y48" s="54" t="s">
        <v>47</v>
      </c>
      <c r="Z48" s="54" t="s">
        <v>55</v>
      </c>
      <c r="AA48" s="54" t="s">
        <v>69</v>
      </c>
      <c r="AB48" s="54" t="s">
        <v>285</v>
      </c>
    </row>
    <row r="49" spans="1:28" x14ac:dyDescent="0.15">
      <c r="A49" s="54" t="s">
        <v>34</v>
      </c>
      <c r="B49" s="53" t="s">
        <v>232</v>
      </c>
      <c r="C49" s="53">
        <v>2019</v>
      </c>
      <c r="D49" s="217" t="s">
        <v>370</v>
      </c>
      <c r="E49" s="36" t="s">
        <v>374</v>
      </c>
      <c r="F49" s="36" t="s">
        <v>373</v>
      </c>
      <c r="G49" s="54" t="s">
        <v>36</v>
      </c>
      <c r="H49" s="53" t="s">
        <v>160</v>
      </c>
      <c r="I49" s="54" t="s">
        <v>159</v>
      </c>
      <c r="J49" s="54" t="s">
        <v>38</v>
      </c>
      <c r="K49" s="54" t="s">
        <v>161</v>
      </c>
      <c r="L49" s="53">
        <v>3</v>
      </c>
      <c r="N49" s="53">
        <v>4</v>
      </c>
      <c r="O49" s="53">
        <v>0.2</v>
      </c>
      <c r="P49" s="53">
        <v>0.45</v>
      </c>
      <c r="Q49" s="97">
        <f t="shared" si="0"/>
        <v>0.32500000000000001</v>
      </c>
      <c r="R49" s="53">
        <v>21.2</v>
      </c>
      <c r="S49" s="53">
        <v>100</v>
      </c>
      <c r="T49" s="16">
        <f t="shared" si="1"/>
        <v>33</v>
      </c>
      <c r="U49" s="53">
        <v>429</v>
      </c>
      <c r="V49" s="16">
        <f t="shared" si="2"/>
        <v>3539.25</v>
      </c>
      <c r="W49" s="53">
        <v>8</v>
      </c>
      <c r="X49" s="54" t="s">
        <v>46</v>
      </c>
      <c r="Y49" s="54" t="s">
        <v>47</v>
      </c>
      <c r="Z49" s="54" t="s">
        <v>55</v>
      </c>
      <c r="AA49" s="54" t="s">
        <v>69</v>
      </c>
      <c r="AB49" s="54" t="s">
        <v>285</v>
      </c>
    </row>
    <row r="50" spans="1:28" x14ac:dyDescent="0.15">
      <c r="A50" s="54" t="s">
        <v>34</v>
      </c>
      <c r="B50" s="53" t="s">
        <v>232</v>
      </c>
      <c r="C50" s="53">
        <v>2019</v>
      </c>
      <c r="D50" s="217" t="s">
        <v>370</v>
      </c>
      <c r="E50" s="36" t="s">
        <v>374</v>
      </c>
      <c r="F50" s="36" t="s">
        <v>373</v>
      </c>
      <c r="G50" s="54" t="s">
        <v>36</v>
      </c>
      <c r="H50" s="53" t="s">
        <v>160</v>
      </c>
      <c r="I50" s="54" t="s">
        <v>159</v>
      </c>
      <c r="J50" s="54" t="s">
        <v>38</v>
      </c>
      <c r="K50" s="54" t="s">
        <v>161</v>
      </c>
      <c r="L50" s="54">
        <v>1</v>
      </c>
      <c r="N50" s="53">
        <v>6</v>
      </c>
      <c r="O50" s="53">
        <v>0.6</v>
      </c>
      <c r="P50" s="53">
        <v>0.6</v>
      </c>
      <c r="Q50" s="97">
        <f t="shared" si="0"/>
        <v>0.6</v>
      </c>
      <c r="R50" s="53">
        <v>20.6</v>
      </c>
      <c r="S50" s="53">
        <v>134</v>
      </c>
      <c r="T50" s="16">
        <f t="shared" si="1"/>
        <v>30</v>
      </c>
      <c r="U50" s="53">
        <v>842</v>
      </c>
      <c r="V50" s="16">
        <f t="shared" si="2"/>
        <v>4210</v>
      </c>
      <c r="W50" s="53">
        <v>8</v>
      </c>
      <c r="X50" s="54" t="s">
        <v>46</v>
      </c>
      <c r="Y50" s="54" t="s">
        <v>47</v>
      </c>
      <c r="Z50" s="54" t="s">
        <v>55</v>
      </c>
      <c r="AA50" s="54" t="s">
        <v>69</v>
      </c>
      <c r="AB50" s="54" t="s">
        <v>285</v>
      </c>
    </row>
    <row r="51" spans="1:28" x14ac:dyDescent="0.15">
      <c r="A51" s="54" t="s">
        <v>34</v>
      </c>
      <c r="B51" s="53" t="s">
        <v>232</v>
      </c>
      <c r="C51" s="53">
        <v>2019</v>
      </c>
      <c r="D51" s="217" t="s">
        <v>370</v>
      </c>
      <c r="E51" s="36" t="s">
        <v>374</v>
      </c>
      <c r="F51" s="36" t="s">
        <v>373</v>
      </c>
      <c r="G51" s="54" t="s">
        <v>36</v>
      </c>
      <c r="H51" s="53" t="s">
        <v>160</v>
      </c>
      <c r="I51" s="54" t="s">
        <v>159</v>
      </c>
      <c r="J51" s="54" t="s">
        <v>38</v>
      </c>
      <c r="K51" s="54" t="s">
        <v>161</v>
      </c>
      <c r="L51" s="53">
        <v>2</v>
      </c>
      <c r="N51" s="53">
        <v>6</v>
      </c>
      <c r="O51" s="53">
        <v>0.7</v>
      </c>
      <c r="P51" s="53">
        <v>0.7</v>
      </c>
      <c r="Q51" s="97">
        <f t="shared" si="0"/>
        <v>0.7</v>
      </c>
      <c r="R51" s="53">
        <v>19.100000000000001</v>
      </c>
      <c r="S51" s="53">
        <v>144</v>
      </c>
      <c r="T51" s="16">
        <f t="shared" si="1"/>
        <v>30</v>
      </c>
      <c r="U51" s="53">
        <v>842</v>
      </c>
      <c r="V51" s="16">
        <f t="shared" si="2"/>
        <v>4210</v>
      </c>
      <c r="W51" s="53">
        <v>8</v>
      </c>
      <c r="X51" s="54" t="s">
        <v>46</v>
      </c>
      <c r="Y51" s="54" t="s">
        <v>47</v>
      </c>
      <c r="Z51" s="54" t="s">
        <v>55</v>
      </c>
      <c r="AA51" s="54" t="s">
        <v>69</v>
      </c>
      <c r="AB51" s="54" t="s">
        <v>285</v>
      </c>
    </row>
    <row r="52" spans="1:28" x14ac:dyDescent="0.15">
      <c r="A52" s="54" t="s">
        <v>34</v>
      </c>
      <c r="B52" s="53" t="s">
        <v>232</v>
      </c>
      <c r="C52" s="53">
        <v>2019</v>
      </c>
      <c r="D52" s="217" t="s">
        <v>370</v>
      </c>
      <c r="E52" s="36" t="s">
        <v>374</v>
      </c>
      <c r="F52" s="36" t="s">
        <v>373</v>
      </c>
      <c r="G52" s="54" t="s">
        <v>36</v>
      </c>
      <c r="H52" s="53" t="s">
        <v>160</v>
      </c>
      <c r="I52" s="54" t="s">
        <v>159</v>
      </c>
      <c r="J52" s="54" t="s">
        <v>38</v>
      </c>
      <c r="K52" s="54" t="s">
        <v>161</v>
      </c>
      <c r="L52" s="53">
        <v>3</v>
      </c>
      <c r="N52" s="53">
        <v>6</v>
      </c>
      <c r="O52" s="53">
        <v>0.7</v>
      </c>
      <c r="P52" s="53">
        <v>0.75</v>
      </c>
      <c r="Q52" s="97">
        <f t="shared" si="0"/>
        <v>0.72499999999999998</v>
      </c>
      <c r="R52" s="53">
        <v>18.600000000000001</v>
      </c>
      <c r="S52" s="53">
        <v>150</v>
      </c>
      <c r="T52" s="16">
        <f t="shared" si="1"/>
        <v>30</v>
      </c>
      <c r="U52" s="53">
        <v>842</v>
      </c>
      <c r="V52" s="16">
        <f t="shared" si="2"/>
        <v>4210</v>
      </c>
      <c r="W52" s="53">
        <v>8</v>
      </c>
      <c r="X52" s="54" t="s">
        <v>46</v>
      </c>
      <c r="Y52" s="54" t="s">
        <v>47</v>
      </c>
      <c r="Z52" s="54" t="s">
        <v>55</v>
      </c>
      <c r="AA52" s="54" t="s">
        <v>69</v>
      </c>
      <c r="AB52" s="54" t="s">
        <v>285</v>
      </c>
    </row>
    <row r="53" spans="1:28" x14ac:dyDescent="0.15">
      <c r="A53" s="54" t="s">
        <v>34</v>
      </c>
      <c r="B53" s="53" t="s">
        <v>232</v>
      </c>
      <c r="C53" s="53">
        <v>2019</v>
      </c>
      <c r="D53" s="217" t="s">
        <v>370</v>
      </c>
      <c r="E53" s="36" t="s">
        <v>374</v>
      </c>
      <c r="F53" s="36" t="s">
        <v>373</v>
      </c>
      <c r="G53" s="54" t="s">
        <v>36</v>
      </c>
      <c r="H53" s="53" t="s">
        <v>165</v>
      </c>
      <c r="I53" s="54" t="s">
        <v>159</v>
      </c>
      <c r="J53" s="54" t="s">
        <v>38</v>
      </c>
      <c r="K53" s="54" t="s">
        <v>161</v>
      </c>
      <c r="L53" s="54">
        <v>1</v>
      </c>
      <c r="N53" s="53">
        <v>1</v>
      </c>
      <c r="O53" s="53">
        <v>1.8</v>
      </c>
      <c r="P53" s="53">
        <v>1.6</v>
      </c>
      <c r="Q53" s="97">
        <f t="shared" si="0"/>
        <v>1.7000000000000002</v>
      </c>
      <c r="R53" s="53">
        <v>16</v>
      </c>
      <c r="S53" s="53">
        <v>135</v>
      </c>
      <c r="T53" s="16">
        <f t="shared" si="1"/>
        <v>30</v>
      </c>
      <c r="U53" s="53">
        <v>108</v>
      </c>
      <c r="V53" s="16">
        <f t="shared" si="2"/>
        <v>3240</v>
      </c>
      <c r="W53" s="53">
        <v>3</v>
      </c>
      <c r="X53" s="54" t="s">
        <v>46</v>
      </c>
      <c r="Y53" s="54" t="s">
        <v>47</v>
      </c>
      <c r="Z53" s="54" t="s">
        <v>55</v>
      </c>
      <c r="AA53" s="54" t="s">
        <v>69</v>
      </c>
      <c r="AB53" s="54" t="s">
        <v>285</v>
      </c>
    </row>
    <row r="54" spans="1:28" x14ac:dyDescent="0.15">
      <c r="A54" s="54" t="s">
        <v>34</v>
      </c>
      <c r="B54" s="53" t="s">
        <v>232</v>
      </c>
      <c r="C54" s="53">
        <v>2019</v>
      </c>
      <c r="D54" s="217" t="s">
        <v>370</v>
      </c>
      <c r="E54" s="36" t="s">
        <v>374</v>
      </c>
      <c r="F54" s="36" t="s">
        <v>373</v>
      </c>
      <c r="G54" s="54" t="s">
        <v>36</v>
      </c>
      <c r="H54" s="53" t="s">
        <v>165</v>
      </c>
      <c r="I54" s="54" t="s">
        <v>159</v>
      </c>
      <c r="J54" s="54" t="s">
        <v>38</v>
      </c>
      <c r="K54" s="54" t="s">
        <v>161</v>
      </c>
      <c r="L54" s="53">
        <v>2</v>
      </c>
      <c r="N54" s="53">
        <v>1</v>
      </c>
      <c r="O54" s="53">
        <v>1.1499999999999999</v>
      </c>
      <c r="P54" s="53">
        <v>1.2</v>
      </c>
      <c r="Q54" s="97">
        <f t="shared" si="0"/>
        <v>1.1749999999999998</v>
      </c>
      <c r="R54" s="53">
        <v>18.600000000000001</v>
      </c>
      <c r="S54" s="53">
        <v>123</v>
      </c>
      <c r="T54" s="16">
        <f t="shared" si="1"/>
        <v>30</v>
      </c>
      <c r="U54" s="53">
        <v>108</v>
      </c>
      <c r="V54" s="16">
        <f t="shared" si="2"/>
        <v>3240</v>
      </c>
      <c r="W54" s="53">
        <v>3</v>
      </c>
      <c r="X54" s="54" t="s">
        <v>46</v>
      </c>
      <c r="Y54" s="54" t="s">
        <v>47</v>
      </c>
      <c r="Z54" s="54" t="s">
        <v>55</v>
      </c>
      <c r="AA54" s="54" t="s">
        <v>69</v>
      </c>
      <c r="AB54" s="54" t="s">
        <v>285</v>
      </c>
    </row>
    <row r="55" spans="1:28" x14ac:dyDescent="0.15">
      <c r="A55" s="54" t="s">
        <v>34</v>
      </c>
      <c r="B55" s="53" t="s">
        <v>232</v>
      </c>
      <c r="C55" s="53">
        <v>2019</v>
      </c>
      <c r="D55" s="217" t="s">
        <v>370</v>
      </c>
      <c r="E55" s="36" t="s">
        <v>374</v>
      </c>
      <c r="F55" s="36" t="s">
        <v>373</v>
      </c>
      <c r="G55" s="54" t="s">
        <v>36</v>
      </c>
      <c r="H55" s="53" t="s">
        <v>165</v>
      </c>
      <c r="I55" s="54" t="s">
        <v>159</v>
      </c>
      <c r="J55" s="54" t="s">
        <v>38</v>
      </c>
      <c r="K55" s="54" t="s">
        <v>161</v>
      </c>
      <c r="L55" s="53">
        <v>3</v>
      </c>
      <c r="N55" s="53">
        <v>1</v>
      </c>
      <c r="O55" s="53">
        <v>1.25</v>
      </c>
      <c r="P55" s="53">
        <v>1.2</v>
      </c>
      <c r="Q55" s="97">
        <f t="shared" si="0"/>
        <v>1.2250000000000001</v>
      </c>
      <c r="R55" s="53">
        <v>17.899999999999999</v>
      </c>
      <c r="S55" s="53">
        <v>118</v>
      </c>
      <c r="T55" s="16">
        <f t="shared" si="1"/>
        <v>30</v>
      </c>
      <c r="U55" s="53">
        <v>108</v>
      </c>
      <c r="V55" s="16">
        <f t="shared" si="2"/>
        <v>3240</v>
      </c>
      <c r="W55" s="53">
        <v>3</v>
      </c>
      <c r="X55" s="54" t="s">
        <v>46</v>
      </c>
      <c r="Y55" s="54" t="s">
        <v>47</v>
      </c>
      <c r="Z55" s="54" t="s">
        <v>55</v>
      </c>
      <c r="AA55" s="54" t="s">
        <v>69</v>
      </c>
      <c r="AB55" s="54" t="s">
        <v>285</v>
      </c>
    </row>
    <row r="56" spans="1:28" x14ac:dyDescent="0.15">
      <c r="A56" s="54" t="s">
        <v>34</v>
      </c>
      <c r="B56" s="53" t="s">
        <v>232</v>
      </c>
      <c r="C56" s="53">
        <v>2019</v>
      </c>
      <c r="D56" s="217" t="s">
        <v>370</v>
      </c>
      <c r="E56" s="36" t="s">
        <v>374</v>
      </c>
      <c r="F56" s="36" t="s">
        <v>373</v>
      </c>
      <c r="G56" s="54" t="s">
        <v>36</v>
      </c>
      <c r="H56" s="53" t="s">
        <v>165</v>
      </c>
      <c r="I56" s="54" t="s">
        <v>159</v>
      </c>
      <c r="J56" s="54" t="s">
        <v>38</v>
      </c>
      <c r="K56" s="54" t="s">
        <v>161</v>
      </c>
      <c r="L56" s="54">
        <v>1</v>
      </c>
      <c r="N56" s="53">
        <v>6</v>
      </c>
      <c r="O56" s="53">
        <v>1.4</v>
      </c>
      <c r="P56" s="53">
        <v>1.5</v>
      </c>
      <c r="Q56" s="97">
        <f t="shared" si="0"/>
        <v>1.45</v>
      </c>
      <c r="R56" s="53">
        <v>16.7</v>
      </c>
      <c r="S56" s="53">
        <v>101</v>
      </c>
      <c r="T56" s="16">
        <f t="shared" si="1"/>
        <v>33</v>
      </c>
      <c r="U56" s="53">
        <v>429</v>
      </c>
      <c r="V56" s="16">
        <f t="shared" si="2"/>
        <v>2359.5</v>
      </c>
      <c r="W56" s="53">
        <v>3</v>
      </c>
      <c r="X56" s="54" t="s">
        <v>46</v>
      </c>
      <c r="Y56" s="54" t="s">
        <v>47</v>
      </c>
      <c r="Z56" s="54" t="s">
        <v>55</v>
      </c>
      <c r="AA56" s="54" t="s">
        <v>69</v>
      </c>
      <c r="AB56" s="54" t="s">
        <v>285</v>
      </c>
    </row>
    <row r="57" spans="1:28" x14ac:dyDescent="0.15">
      <c r="A57" s="54" t="s">
        <v>34</v>
      </c>
      <c r="B57" s="53" t="s">
        <v>232</v>
      </c>
      <c r="C57" s="53">
        <v>2019</v>
      </c>
      <c r="D57" s="217" t="s">
        <v>370</v>
      </c>
      <c r="E57" s="36" t="s">
        <v>374</v>
      </c>
      <c r="F57" s="36" t="s">
        <v>373</v>
      </c>
      <c r="G57" s="54" t="s">
        <v>36</v>
      </c>
      <c r="H57" s="53" t="s">
        <v>165</v>
      </c>
      <c r="I57" s="54" t="s">
        <v>159</v>
      </c>
      <c r="J57" s="54" t="s">
        <v>38</v>
      </c>
      <c r="K57" s="54" t="s">
        <v>161</v>
      </c>
      <c r="L57" s="53">
        <v>2</v>
      </c>
      <c r="N57" s="53">
        <v>6</v>
      </c>
      <c r="O57" s="53">
        <v>1.2</v>
      </c>
      <c r="P57" s="53">
        <v>1.5</v>
      </c>
      <c r="Q57" s="97">
        <f t="shared" si="0"/>
        <v>1.35</v>
      </c>
      <c r="R57" s="53">
        <v>16.899999999999999</v>
      </c>
      <c r="S57" s="53">
        <v>98</v>
      </c>
      <c r="T57" s="16">
        <f t="shared" si="1"/>
        <v>36</v>
      </c>
      <c r="U57" s="53">
        <v>429</v>
      </c>
      <c r="V57" s="16">
        <f t="shared" si="2"/>
        <v>2574</v>
      </c>
      <c r="W57" s="53">
        <v>3</v>
      </c>
      <c r="X57" s="54" t="s">
        <v>46</v>
      </c>
      <c r="Y57" s="54" t="s">
        <v>47</v>
      </c>
      <c r="Z57" s="54" t="s">
        <v>55</v>
      </c>
      <c r="AA57" s="54" t="s">
        <v>69</v>
      </c>
      <c r="AB57" s="54" t="s">
        <v>285</v>
      </c>
    </row>
    <row r="58" spans="1:28" x14ac:dyDescent="0.15">
      <c r="A58" s="54" t="s">
        <v>34</v>
      </c>
      <c r="B58" s="53" t="s">
        <v>232</v>
      </c>
      <c r="C58" s="53">
        <v>2019</v>
      </c>
      <c r="D58" s="217" t="s">
        <v>370</v>
      </c>
      <c r="E58" s="36" t="s">
        <v>374</v>
      </c>
      <c r="F58" s="36" t="s">
        <v>373</v>
      </c>
      <c r="G58" s="54" t="s">
        <v>36</v>
      </c>
      <c r="H58" s="53" t="s">
        <v>165</v>
      </c>
      <c r="I58" s="54" t="s">
        <v>159</v>
      </c>
      <c r="J58" s="54" t="s">
        <v>38</v>
      </c>
      <c r="K58" s="54" t="s">
        <v>161</v>
      </c>
      <c r="L58" s="53">
        <v>3</v>
      </c>
      <c r="N58" s="53">
        <v>6</v>
      </c>
      <c r="O58" s="53">
        <v>1.1000000000000001</v>
      </c>
      <c r="P58" s="53">
        <v>1.05</v>
      </c>
      <c r="Q58" s="97">
        <f t="shared" si="0"/>
        <v>1.0750000000000002</v>
      </c>
      <c r="R58" s="53">
        <v>17.100000000000001</v>
      </c>
      <c r="S58" s="53">
        <v>92</v>
      </c>
      <c r="T58" s="16">
        <f t="shared" si="1"/>
        <v>36</v>
      </c>
      <c r="U58" s="53">
        <v>429</v>
      </c>
      <c r="V58" s="16">
        <f t="shared" si="2"/>
        <v>2574</v>
      </c>
      <c r="W58" s="53">
        <v>3</v>
      </c>
      <c r="X58" s="54" t="s">
        <v>46</v>
      </c>
      <c r="Y58" s="54" t="s">
        <v>47</v>
      </c>
      <c r="Z58" s="54" t="s">
        <v>55</v>
      </c>
      <c r="AA58" s="54" t="s">
        <v>69</v>
      </c>
      <c r="AB58" s="54" t="s">
        <v>285</v>
      </c>
    </row>
    <row r="59" spans="1:28" x14ac:dyDescent="0.15">
      <c r="A59" s="54" t="s">
        <v>34</v>
      </c>
      <c r="B59" s="53" t="s">
        <v>232</v>
      </c>
      <c r="C59" s="53">
        <v>2019</v>
      </c>
      <c r="D59" s="217" t="s">
        <v>370</v>
      </c>
      <c r="E59" s="36" t="s">
        <v>362</v>
      </c>
      <c r="F59" s="36" t="s">
        <v>373</v>
      </c>
      <c r="G59" s="54" t="s">
        <v>36</v>
      </c>
      <c r="H59" s="53" t="s">
        <v>165</v>
      </c>
      <c r="I59" s="54" t="s">
        <v>159</v>
      </c>
      <c r="J59" s="54" t="s">
        <v>38</v>
      </c>
      <c r="K59" s="54" t="s">
        <v>161</v>
      </c>
      <c r="L59" s="54">
        <v>1</v>
      </c>
      <c r="N59" s="53">
        <v>1</v>
      </c>
      <c r="O59" s="53">
        <v>0.7</v>
      </c>
      <c r="P59" s="53">
        <v>0.7</v>
      </c>
      <c r="Q59" s="97">
        <f t="shared" si="0"/>
        <v>0.7</v>
      </c>
      <c r="R59" s="53">
        <v>19.5</v>
      </c>
      <c r="S59" s="53">
        <v>113</v>
      </c>
      <c r="T59" s="16">
        <f t="shared" si="1"/>
        <v>30</v>
      </c>
      <c r="U59" s="53">
        <v>105</v>
      </c>
      <c r="V59" s="16">
        <f t="shared" si="2"/>
        <v>3150</v>
      </c>
      <c r="W59" s="53">
        <v>2</v>
      </c>
      <c r="X59" s="54" t="s">
        <v>46</v>
      </c>
      <c r="Y59" s="54" t="s">
        <v>69</v>
      </c>
      <c r="Z59" s="54" t="s">
        <v>55</v>
      </c>
      <c r="AA59" s="54" t="s">
        <v>40</v>
      </c>
      <c r="AB59" s="54" t="s">
        <v>285</v>
      </c>
    </row>
    <row r="60" spans="1:28" x14ac:dyDescent="0.15">
      <c r="A60" s="54" t="s">
        <v>34</v>
      </c>
      <c r="B60" s="53" t="s">
        <v>232</v>
      </c>
      <c r="C60" s="53">
        <v>2019</v>
      </c>
      <c r="D60" s="217" t="s">
        <v>370</v>
      </c>
      <c r="E60" s="36" t="s">
        <v>362</v>
      </c>
      <c r="F60" s="36" t="s">
        <v>373</v>
      </c>
      <c r="G60" s="54" t="s">
        <v>36</v>
      </c>
      <c r="H60" s="53" t="s">
        <v>165</v>
      </c>
      <c r="I60" s="54" t="s">
        <v>159</v>
      </c>
      <c r="J60" s="54" t="s">
        <v>38</v>
      </c>
      <c r="K60" s="54" t="s">
        <v>161</v>
      </c>
      <c r="L60" s="53">
        <v>2</v>
      </c>
      <c r="N60" s="53">
        <v>1</v>
      </c>
      <c r="O60" s="53">
        <v>0.65</v>
      </c>
      <c r="P60" s="53">
        <v>0.7</v>
      </c>
      <c r="Q60" s="97">
        <f t="shared" si="0"/>
        <v>0.67500000000000004</v>
      </c>
      <c r="R60" s="53">
        <v>19</v>
      </c>
      <c r="S60" s="53">
        <v>110</v>
      </c>
      <c r="T60" s="16">
        <f t="shared" si="1"/>
        <v>33</v>
      </c>
      <c r="U60" s="53">
        <v>105</v>
      </c>
      <c r="V60" s="16">
        <f t="shared" si="2"/>
        <v>3465</v>
      </c>
      <c r="W60" s="53">
        <v>2</v>
      </c>
      <c r="X60" s="54" t="s">
        <v>46</v>
      </c>
      <c r="Y60" s="54" t="s">
        <v>69</v>
      </c>
      <c r="Z60" s="54" t="s">
        <v>55</v>
      </c>
      <c r="AA60" s="54" t="s">
        <v>40</v>
      </c>
      <c r="AB60" s="54" t="s">
        <v>285</v>
      </c>
    </row>
    <row r="61" spans="1:28" x14ac:dyDescent="0.15">
      <c r="A61" s="54" t="s">
        <v>34</v>
      </c>
      <c r="B61" s="53" t="s">
        <v>232</v>
      </c>
      <c r="C61" s="53">
        <v>2019</v>
      </c>
      <c r="D61" s="217" t="s">
        <v>370</v>
      </c>
      <c r="E61" s="36" t="s">
        <v>362</v>
      </c>
      <c r="F61" s="36" t="s">
        <v>373</v>
      </c>
      <c r="G61" s="54" t="s">
        <v>36</v>
      </c>
      <c r="H61" s="53" t="s">
        <v>165</v>
      </c>
      <c r="I61" s="54" t="s">
        <v>159</v>
      </c>
      <c r="J61" s="54" t="s">
        <v>38</v>
      </c>
      <c r="K61" s="54" t="s">
        <v>161</v>
      </c>
      <c r="L61" s="53">
        <v>3</v>
      </c>
      <c r="N61" s="53">
        <v>1</v>
      </c>
      <c r="O61" s="53">
        <v>0.85</v>
      </c>
      <c r="P61" s="53">
        <v>0.7</v>
      </c>
      <c r="Q61" s="97">
        <f t="shared" si="0"/>
        <v>0.77499999999999991</v>
      </c>
      <c r="R61" s="53">
        <v>17.100000000000001</v>
      </c>
      <c r="S61" s="53">
        <v>113</v>
      </c>
      <c r="T61" s="16">
        <f t="shared" si="1"/>
        <v>30</v>
      </c>
      <c r="U61" s="53">
        <v>105</v>
      </c>
      <c r="V61" s="16">
        <f t="shared" si="2"/>
        <v>3150</v>
      </c>
      <c r="W61" s="53">
        <v>2</v>
      </c>
      <c r="X61" s="54" t="s">
        <v>46</v>
      </c>
      <c r="Y61" s="54" t="s">
        <v>69</v>
      </c>
      <c r="Z61" s="54" t="s">
        <v>55</v>
      </c>
      <c r="AA61" s="54" t="s">
        <v>40</v>
      </c>
      <c r="AB61" s="54" t="s">
        <v>285</v>
      </c>
    </row>
    <row r="62" spans="1:28" x14ac:dyDescent="0.15">
      <c r="A62" s="54" t="s">
        <v>34</v>
      </c>
      <c r="B62" s="53" t="s">
        <v>232</v>
      </c>
      <c r="C62" s="53">
        <v>2019</v>
      </c>
      <c r="D62" s="217" t="s">
        <v>370</v>
      </c>
      <c r="E62" s="36" t="s">
        <v>362</v>
      </c>
      <c r="F62" s="36" t="s">
        <v>373</v>
      </c>
      <c r="G62" s="54" t="s">
        <v>36</v>
      </c>
      <c r="H62" s="53" t="s">
        <v>160</v>
      </c>
      <c r="I62" s="54" t="s">
        <v>159</v>
      </c>
      <c r="J62" s="54" t="s">
        <v>38</v>
      </c>
      <c r="K62" s="54" t="s">
        <v>161</v>
      </c>
      <c r="L62" s="54">
        <v>1</v>
      </c>
      <c r="N62" s="53">
        <v>1</v>
      </c>
      <c r="O62" s="53">
        <v>0.45</v>
      </c>
      <c r="P62" s="53">
        <v>0.45</v>
      </c>
      <c r="Q62" s="97">
        <f t="shared" si="0"/>
        <v>0.45</v>
      </c>
      <c r="R62" s="53">
        <v>21.2</v>
      </c>
      <c r="S62" s="53">
        <v>151</v>
      </c>
      <c r="T62" s="16">
        <f t="shared" si="1"/>
        <v>30</v>
      </c>
      <c r="U62" s="53">
        <v>159</v>
      </c>
      <c r="V62" s="16">
        <f t="shared" si="2"/>
        <v>4770</v>
      </c>
      <c r="W62" s="53">
        <v>6</v>
      </c>
      <c r="X62" s="54" t="s">
        <v>46</v>
      </c>
      <c r="Y62" s="54" t="s">
        <v>69</v>
      </c>
      <c r="Z62" s="54" t="s">
        <v>55</v>
      </c>
      <c r="AA62" s="54" t="s">
        <v>40</v>
      </c>
      <c r="AB62" s="54" t="s">
        <v>285</v>
      </c>
    </row>
    <row r="63" spans="1:28" x14ac:dyDescent="0.15">
      <c r="A63" s="54" t="s">
        <v>34</v>
      </c>
      <c r="B63" s="53" t="s">
        <v>232</v>
      </c>
      <c r="C63" s="53">
        <v>2019</v>
      </c>
      <c r="D63" s="217" t="s">
        <v>370</v>
      </c>
      <c r="E63" s="36" t="s">
        <v>362</v>
      </c>
      <c r="F63" s="36" t="s">
        <v>373</v>
      </c>
      <c r="G63" s="54" t="s">
        <v>36</v>
      </c>
      <c r="H63" s="53" t="s">
        <v>160</v>
      </c>
      <c r="I63" s="54" t="s">
        <v>159</v>
      </c>
      <c r="J63" s="54" t="s">
        <v>38</v>
      </c>
      <c r="K63" s="54" t="s">
        <v>161</v>
      </c>
      <c r="L63" s="53">
        <v>2</v>
      </c>
      <c r="N63" s="53">
        <v>1</v>
      </c>
      <c r="O63" s="53">
        <v>0.75</v>
      </c>
      <c r="P63" s="53">
        <v>0.75</v>
      </c>
      <c r="Q63" s="97">
        <f t="shared" si="0"/>
        <v>0.75</v>
      </c>
      <c r="R63" s="53">
        <v>18.100000000000001</v>
      </c>
      <c r="S63" s="53">
        <v>153</v>
      </c>
      <c r="T63" s="16">
        <f t="shared" si="1"/>
        <v>18</v>
      </c>
      <c r="U63" s="53">
        <v>159</v>
      </c>
      <c r="V63" s="16">
        <f t="shared" si="2"/>
        <v>2862</v>
      </c>
      <c r="W63" s="53">
        <v>6</v>
      </c>
      <c r="X63" s="54" t="s">
        <v>46</v>
      </c>
      <c r="Y63" s="54" t="s">
        <v>69</v>
      </c>
      <c r="Z63" s="54" t="s">
        <v>55</v>
      </c>
      <c r="AA63" s="54" t="s">
        <v>40</v>
      </c>
      <c r="AB63" s="54" t="s">
        <v>285</v>
      </c>
    </row>
    <row r="64" spans="1:28" x14ac:dyDescent="0.15">
      <c r="A64" s="54" t="s">
        <v>34</v>
      </c>
      <c r="B64" s="53" t="s">
        <v>232</v>
      </c>
      <c r="C64" s="53">
        <v>2019</v>
      </c>
      <c r="D64" s="217" t="s">
        <v>370</v>
      </c>
      <c r="E64" s="36" t="s">
        <v>362</v>
      </c>
      <c r="F64" s="36" t="s">
        <v>373</v>
      </c>
      <c r="G64" s="54" t="s">
        <v>36</v>
      </c>
      <c r="H64" s="53" t="s">
        <v>160</v>
      </c>
      <c r="I64" s="54" t="s">
        <v>159</v>
      </c>
      <c r="J64" s="54" t="s">
        <v>38</v>
      </c>
      <c r="K64" s="54" t="s">
        <v>161</v>
      </c>
      <c r="L64" s="53">
        <v>3</v>
      </c>
      <c r="N64" s="53">
        <v>1</v>
      </c>
      <c r="O64" s="53">
        <v>0.5</v>
      </c>
      <c r="P64" s="53">
        <v>0.45</v>
      </c>
      <c r="Q64" s="97">
        <f t="shared" si="0"/>
        <v>0.47499999999999998</v>
      </c>
      <c r="R64" s="53">
        <v>20.7</v>
      </c>
      <c r="S64" s="53">
        <v>166</v>
      </c>
      <c r="T64" s="16">
        <f t="shared" si="1"/>
        <v>18</v>
      </c>
      <c r="U64" s="53">
        <v>159</v>
      </c>
      <c r="V64" s="16">
        <f t="shared" si="2"/>
        <v>2862</v>
      </c>
      <c r="W64" s="53">
        <v>6</v>
      </c>
      <c r="X64" s="54" t="s">
        <v>46</v>
      </c>
      <c r="Y64" s="54" t="s">
        <v>69</v>
      </c>
      <c r="Z64" s="54" t="s">
        <v>55</v>
      </c>
      <c r="AA64" s="54" t="s">
        <v>40</v>
      </c>
      <c r="AB64" s="54" t="s">
        <v>285</v>
      </c>
    </row>
    <row r="65" spans="1:28" x14ac:dyDescent="0.15">
      <c r="A65" s="54" t="s">
        <v>34</v>
      </c>
      <c r="B65" s="53" t="s">
        <v>232</v>
      </c>
      <c r="C65" s="53">
        <v>2019</v>
      </c>
      <c r="D65" s="217" t="s">
        <v>370</v>
      </c>
      <c r="E65" s="36" t="s">
        <v>362</v>
      </c>
      <c r="F65" s="36" t="s">
        <v>373</v>
      </c>
      <c r="G65" s="54" t="s">
        <v>36</v>
      </c>
      <c r="H65" s="53" t="s">
        <v>127</v>
      </c>
      <c r="I65" s="54" t="s">
        <v>159</v>
      </c>
      <c r="J65" s="54" t="s">
        <v>80</v>
      </c>
      <c r="K65" s="54" t="s">
        <v>63</v>
      </c>
      <c r="L65" s="54">
        <v>1</v>
      </c>
      <c r="N65" s="53">
        <v>1</v>
      </c>
      <c r="O65" s="53">
        <v>0.65</v>
      </c>
      <c r="P65" s="53">
        <v>0.5</v>
      </c>
      <c r="Q65" s="97">
        <f t="shared" si="0"/>
        <v>0.57499999999999996</v>
      </c>
      <c r="R65" s="53">
        <v>17.100000000000001</v>
      </c>
      <c r="S65" s="53">
        <v>129</v>
      </c>
      <c r="T65" s="16">
        <f t="shared" si="1"/>
        <v>30</v>
      </c>
      <c r="U65" s="53">
        <v>105</v>
      </c>
      <c r="V65" s="16">
        <f t="shared" si="2"/>
        <v>3150</v>
      </c>
      <c r="W65" s="53">
        <v>1</v>
      </c>
      <c r="X65" s="54" t="s">
        <v>46</v>
      </c>
      <c r="Y65" s="54" t="s">
        <v>69</v>
      </c>
      <c r="Z65" s="54" t="s">
        <v>55</v>
      </c>
      <c r="AA65" s="54" t="s">
        <v>40</v>
      </c>
      <c r="AB65" s="54" t="s">
        <v>285</v>
      </c>
    </row>
    <row r="66" spans="1:28" x14ac:dyDescent="0.15">
      <c r="A66" s="54" t="s">
        <v>34</v>
      </c>
      <c r="B66" s="53" t="s">
        <v>232</v>
      </c>
      <c r="C66" s="53">
        <v>2019</v>
      </c>
      <c r="D66" s="217" t="s">
        <v>370</v>
      </c>
      <c r="E66" s="36" t="s">
        <v>362</v>
      </c>
      <c r="F66" s="36" t="s">
        <v>373</v>
      </c>
      <c r="G66" s="54" t="s">
        <v>36</v>
      </c>
      <c r="H66" s="53" t="s">
        <v>127</v>
      </c>
      <c r="I66" s="54" t="s">
        <v>159</v>
      </c>
      <c r="J66" s="54" t="s">
        <v>80</v>
      </c>
      <c r="K66" s="54" t="s">
        <v>63</v>
      </c>
      <c r="L66" s="53">
        <v>2</v>
      </c>
      <c r="N66" s="53">
        <v>1</v>
      </c>
      <c r="O66" s="53">
        <v>0.55000000000000004</v>
      </c>
      <c r="P66" s="53">
        <v>0.2</v>
      </c>
      <c r="Q66" s="97">
        <f t="shared" si="0"/>
        <v>0.375</v>
      </c>
      <c r="R66" s="53">
        <v>14.4</v>
      </c>
      <c r="S66" s="53">
        <v>116</v>
      </c>
      <c r="T66" s="16">
        <f t="shared" si="1"/>
        <v>30</v>
      </c>
      <c r="U66" s="53">
        <v>105</v>
      </c>
      <c r="V66" s="16">
        <f t="shared" si="2"/>
        <v>3150</v>
      </c>
      <c r="W66" s="53">
        <v>1</v>
      </c>
      <c r="X66" s="54" t="s">
        <v>46</v>
      </c>
      <c r="Y66" s="54" t="s">
        <v>69</v>
      </c>
      <c r="Z66" s="54" t="s">
        <v>55</v>
      </c>
      <c r="AA66" s="54" t="s">
        <v>40</v>
      </c>
      <c r="AB66" s="54" t="s">
        <v>285</v>
      </c>
    </row>
    <row r="67" spans="1:28" x14ac:dyDescent="0.15">
      <c r="A67" s="54" t="s">
        <v>34</v>
      </c>
      <c r="B67" s="53" t="s">
        <v>232</v>
      </c>
      <c r="C67" s="53">
        <v>2019</v>
      </c>
      <c r="D67" s="217" t="s">
        <v>370</v>
      </c>
      <c r="E67" s="36" t="s">
        <v>362</v>
      </c>
      <c r="F67" s="36" t="s">
        <v>373</v>
      </c>
      <c r="G67" s="54" t="s">
        <v>36</v>
      </c>
      <c r="H67" s="53" t="s">
        <v>127</v>
      </c>
      <c r="I67" s="54" t="s">
        <v>159</v>
      </c>
      <c r="J67" s="54" t="s">
        <v>80</v>
      </c>
      <c r="K67" s="54" t="s">
        <v>63</v>
      </c>
      <c r="L67" s="53">
        <v>3</v>
      </c>
      <c r="N67" s="53">
        <v>1</v>
      </c>
      <c r="O67" s="53">
        <v>0.75</v>
      </c>
      <c r="P67" s="53">
        <v>0.6</v>
      </c>
      <c r="Q67" s="97">
        <f t="shared" si="0"/>
        <v>0.67500000000000004</v>
      </c>
      <c r="R67" s="53">
        <v>15.9</v>
      </c>
      <c r="S67" s="53">
        <v>143</v>
      </c>
      <c r="T67" s="16">
        <f t="shared" si="1"/>
        <v>30</v>
      </c>
      <c r="U67" s="53">
        <v>105</v>
      </c>
      <c r="V67" s="16">
        <f t="shared" si="2"/>
        <v>3150</v>
      </c>
      <c r="W67" s="53">
        <v>1</v>
      </c>
      <c r="X67" s="54" t="s">
        <v>46</v>
      </c>
      <c r="Y67" s="54" t="s">
        <v>69</v>
      </c>
      <c r="Z67" s="54" t="s">
        <v>55</v>
      </c>
      <c r="AA67" s="54" t="s">
        <v>40</v>
      </c>
      <c r="AB67" s="54" t="s">
        <v>285</v>
      </c>
    </row>
    <row r="68" spans="1:28" x14ac:dyDescent="0.15">
      <c r="A68" s="54" t="s">
        <v>34</v>
      </c>
      <c r="B68" s="53" t="s">
        <v>232</v>
      </c>
      <c r="C68" s="53">
        <v>2019</v>
      </c>
      <c r="D68" s="217" t="s">
        <v>370</v>
      </c>
      <c r="E68" s="36" t="s">
        <v>379</v>
      </c>
      <c r="F68" s="36" t="s">
        <v>380</v>
      </c>
      <c r="G68" s="54" t="s">
        <v>36</v>
      </c>
      <c r="H68" s="53" t="s">
        <v>160</v>
      </c>
      <c r="I68" s="54" t="s">
        <v>159</v>
      </c>
      <c r="J68" s="54" t="s">
        <v>38</v>
      </c>
      <c r="K68" s="54" t="s">
        <v>161</v>
      </c>
      <c r="L68" s="54">
        <v>1</v>
      </c>
      <c r="N68" s="53">
        <v>1</v>
      </c>
      <c r="O68" s="53">
        <v>0.6</v>
      </c>
      <c r="P68" s="53">
        <v>0.55000000000000004</v>
      </c>
      <c r="Q68" s="97">
        <f t="shared" si="0"/>
        <v>0.57499999999999996</v>
      </c>
      <c r="R68" s="53">
        <v>18.100000000000001</v>
      </c>
      <c r="S68" s="53">
        <v>130</v>
      </c>
      <c r="T68" s="16">
        <f t="shared" si="1"/>
        <v>30</v>
      </c>
      <c r="U68" s="53">
        <v>150</v>
      </c>
      <c r="V68" s="16">
        <f t="shared" si="2"/>
        <v>4500</v>
      </c>
      <c r="W68" s="53">
        <v>8</v>
      </c>
      <c r="X68" s="54" t="s">
        <v>46</v>
      </c>
      <c r="Y68" s="54" t="s">
        <v>69</v>
      </c>
      <c r="Z68" s="54" t="s">
        <v>55</v>
      </c>
      <c r="AA68" s="54" t="s">
        <v>47</v>
      </c>
      <c r="AB68" s="54" t="s">
        <v>285</v>
      </c>
    </row>
    <row r="69" spans="1:28" x14ac:dyDescent="0.15">
      <c r="A69" s="54" t="s">
        <v>34</v>
      </c>
      <c r="B69" s="53" t="s">
        <v>232</v>
      </c>
      <c r="C69" s="53">
        <v>2019</v>
      </c>
      <c r="D69" s="217" t="s">
        <v>370</v>
      </c>
      <c r="E69" s="36" t="s">
        <v>379</v>
      </c>
      <c r="F69" s="36" t="s">
        <v>380</v>
      </c>
      <c r="G69" s="54" t="s">
        <v>36</v>
      </c>
      <c r="H69" s="53" t="s">
        <v>160</v>
      </c>
      <c r="I69" s="54" t="s">
        <v>159</v>
      </c>
      <c r="J69" s="54" t="s">
        <v>38</v>
      </c>
      <c r="K69" s="54" t="s">
        <v>161</v>
      </c>
      <c r="L69" s="53">
        <v>2</v>
      </c>
      <c r="N69" s="53">
        <v>1</v>
      </c>
      <c r="O69" s="53">
        <v>0.75</v>
      </c>
      <c r="P69" s="53">
        <v>0.75</v>
      </c>
      <c r="Q69" s="97">
        <f t="shared" si="0"/>
        <v>0.75</v>
      </c>
      <c r="R69" s="53">
        <v>19.3</v>
      </c>
      <c r="S69" s="53">
        <v>127</v>
      </c>
      <c r="T69" s="16">
        <f t="shared" si="1"/>
        <v>30</v>
      </c>
      <c r="U69" s="53">
        <v>150</v>
      </c>
      <c r="V69" s="16">
        <f t="shared" si="2"/>
        <v>4500</v>
      </c>
      <c r="W69" s="53">
        <v>8</v>
      </c>
      <c r="X69" s="54" t="s">
        <v>46</v>
      </c>
      <c r="Y69" s="54" t="s">
        <v>69</v>
      </c>
      <c r="Z69" s="54" t="s">
        <v>55</v>
      </c>
      <c r="AA69" s="54" t="s">
        <v>47</v>
      </c>
      <c r="AB69" s="54" t="s">
        <v>285</v>
      </c>
    </row>
    <row r="70" spans="1:28" x14ac:dyDescent="0.15">
      <c r="A70" s="54" t="s">
        <v>34</v>
      </c>
      <c r="B70" s="53" t="s">
        <v>232</v>
      </c>
      <c r="C70" s="53">
        <v>2019</v>
      </c>
      <c r="D70" s="217" t="s">
        <v>370</v>
      </c>
      <c r="E70" s="36" t="s">
        <v>379</v>
      </c>
      <c r="F70" s="36" t="s">
        <v>380</v>
      </c>
      <c r="G70" s="54" t="s">
        <v>36</v>
      </c>
      <c r="H70" s="53" t="s">
        <v>160</v>
      </c>
      <c r="I70" s="54" t="s">
        <v>159</v>
      </c>
      <c r="J70" s="54" t="s">
        <v>38</v>
      </c>
      <c r="K70" s="54" t="s">
        <v>161</v>
      </c>
      <c r="L70" s="53">
        <v>3</v>
      </c>
      <c r="N70" s="53">
        <v>1</v>
      </c>
      <c r="O70" s="53">
        <v>0.45</v>
      </c>
      <c r="P70" s="53">
        <v>0.45</v>
      </c>
      <c r="Q70" s="97">
        <f t="shared" si="0"/>
        <v>0.45</v>
      </c>
      <c r="R70" s="53">
        <v>20</v>
      </c>
      <c r="S70" s="53">
        <v>121</v>
      </c>
      <c r="T70" s="16">
        <f t="shared" si="1"/>
        <v>30</v>
      </c>
      <c r="U70" s="53">
        <v>150</v>
      </c>
      <c r="V70" s="16">
        <f t="shared" si="2"/>
        <v>4500</v>
      </c>
      <c r="W70" s="53">
        <v>8</v>
      </c>
      <c r="X70" s="54" t="s">
        <v>46</v>
      </c>
      <c r="Y70" s="54" t="s">
        <v>69</v>
      </c>
      <c r="Z70" s="54" t="s">
        <v>55</v>
      </c>
      <c r="AA70" s="54" t="s">
        <v>47</v>
      </c>
      <c r="AB70" s="54" t="s">
        <v>285</v>
      </c>
    </row>
    <row r="71" spans="1:28" x14ac:dyDescent="0.15">
      <c r="A71" s="54" t="s">
        <v>34</v>
      </c>
      <c r="B71" s="53" t="s">
        <v>232</v>
      </c>
      <c r="C71" s="53">
        <v>2019</v>
      </c>
      <c r="D71" s="217" t="s">
        <v>370</v>
      </c>
      <c r="E71" s="36" t="s">
        <v>379</v>
      </c>
      <c r="F71" s="36" t="s">
        <v>380</v>
      </c>
      <c r="G71" s="54" t="s">
        <v>36</v>
      </c>
      <c r="H71" s="53" t="s">
        <v>160</v>
      </c>
      <c r="I71" s="54" t="s">
        <v>159</v>
      </c>
      <c r="J71" s="54" t="s">
        <v>38</v>
      </c>
      <c r="K71" s="54" t="s">
        <v>161</v>
      </c>
      <c r="L71" s="54">
        <v>1</v>
      </c>
      <c r="N71" s="53">
        <v>4</v>
      </c>
      <c r="O71" s="53">
        <v>0.75</v>
      </c>
      <c r="P71" s="53">
        <v>0.7</v>
      </c>
      <c r="Q71" s="97">
        <f t="shared" si="0"/>
        <v>0.72499999999999998</v>
      </c>
      <c r="R71" s="53">
        <v>18.2</v>
      </c>
      <c r="S71" s="53">
        <v>107</v>
      </c>
      <c r="T71" s="16">
        <f t="shared" si="1"/>
        <v>33</v>
      </c>
      <c r="U71" s="53">
        <v>429</v>
      </c>
      <c r="V71" s="16">
        <f t="shared" si="2"/>
        <v>3539.25</v>
      </c>
      <c r="W71" s="53">
        <v>8</v>
      </c>
      <c r="X71" s="54" t="s">
        <v>46</v>
      </c>
      <c r="Y71" s="54" t="s">
        <v>69</v>
      </c>
      <c r="Z71" s="54" t="s">
        <v>55</v>
      </c>
      <c r="AA71" s="54" t="s">
        <v>47</v>
      </c>
      <c r="AB71" s="54" t="s">
        <v>285</v>
      </c>
    </row>
    <row r="72" spans="1:28" x14ac:dyDescent="0.15">
      <c r="A72" s="54" t="s">
        <v>34</v>
      </c>
      <c r="B72" s="53" t="s">
        <v>232</v>
      </c>
      <c r="C72" s="53">
        <v>2019</v>
      </c>
      <c r="D72" s="217" t="s">
        <v>370</v>
      </c>
      <c r="E72" s="36" t="s">
        <v>379</v>
      </c>
      <c r="F72" s="36" t="s">
        <v>380</v>
      </c>
      <c r="G72" s="54" t="s">
        <v>36</v>
      </c>
      <c r="H72" s="53" t="s">
        <v>160</v>
      </c>
      <c r="I72" s="54" t="s">
        <v>159</v>
      </c>
      <c r="J72" s="54" t="s">
        <v>38</v>
      </c>
      <c r="K72" s="54" t="s">
        <v>161</v>
      </c>
      <c r="L72" s="53">
        <v>2</v>
      </c>
      <c r="N72" s="53">
        <v>4</v>
      </c>
      <c r="O72" s="53">
        <v>0.8</v>
      </c>
      <c r="P72" s="53">
        <v>0.95</v>
      </c>
      <c r="Q72" s="97">
        <f t="shared" si="0"/>
        <v>0.875</v>
      </c>
      <c r="R72" s="53">
        <v>17.3</v>
      </c>
      <c r="S72" s="53">
        <v>109</v>
      </c>
      <c r="T72" s="16">
        <f t="shared" si="1"/>
        <v>33</v>
      </c>
      <c r="U72" s="53">
        <v>429</v>
      </c>
      <c r="V72" s="16">
        <f t="shared" si="2"/>
        <v>3539.25</v>
      </c>
      <c r="W72" s="53">
        <v>8</v>
      </c>
      <c r="X72" s="54" t="s">
        <v>46</v>
      </c>
      <c r="Y72" s="54" t="s">
        <v>69</v>
      </c>
      <c r="Z72" s="54" t="s">
        <v>55</v>
      </c>
      <c r="AA72" s="54" t="s">
        <v>47</v>
      </c>
      <c r="AB72" s="54" t="s">
        <v>285</v>
      </c>
    </row>
    <row r="73" spans="1:28" x14ac:dyDescent="0.15">
      <c r="A73" s="54" t="s">
        <v>34</v>
      </c>
      <c r="B73" s="53" t="s">
        <v>232</v>
      </c>
      <c r="C73" s="53">
        <v>2019</v>
      </c>
      <c r="D73" s="217" t="s">
        <v>370</v>
      </c>
      <c r="E73" s="36" t="s">
        <v>379</v>
      </c>
      <c r="F73" s="36" t="s">
        <v>380</v>
      </c>
      <c r="G73" s="54" t="s">
        <v>36</v>
      </c>
      <c r="H73" s="53" t="s">
        <v>160</v>
      </c>
      <c r="I73" s="54" t="s">
        <v>159</v>
      </c>
      <c r="J73" s="54" t="s">
        <v>38</v>
      </c>
      <c r="K73" s="54" t="s">
        <v>161</v>
      </c>
      <c r="L73" s="53">
        <v>3</v>
      </c>
      <c r="N73" s="53">
        <v>4</v>
      </c>
      <c r="O73" s="53">
        <v>0.65</v>
      </c>
      <c r="P73" s="53">
        <v>0.7</v>
      </c>
      <c r="Q73" s="97">
        <f t="shared" si="0"/>
        <v>0.67500000000000004</v>
      </c>
      <c r="R73" s="53">
        <v>19.100000000000001</v>
      </c>
      <c r="S73" s="53">
        <v>107</v>
      </c>
      <c r="T73" s="16">
        <f t="shared" si="1"/>
        <v>33</v>
      </c>
      <c r="U73" s="53">
        <v>429</v>
      </c>
      <c r="V73" s="16">
        <f t="shared" si="2"/>
        <v>3539.25</v>
      </c>
      <c r="W73" s="53">
        <v>8</v>
      </c>
      <c r="X73" s="54" t="s">
        <v>46</v>
      </c>
      <c r="Y73" s="54" t="s">
        <v>69</v>
      </c>
      <c r="Z73" s="54" t="s">
        <v>55</v>
      </c>
      <c r="AA73" s="54" t="s">
        <v>47</v>
      </c>
      <c r="AB73" s="54" t="s">
        <v>285</v>
      </c>
    </row>
    <row r="74" spans="1:28" x14ac:dyDescent="0.15">
      <c r="A74" s="54" t="s">
        <v>34</v>
      </c>
      <c r="B74" s="53" t="s">
        <v>232</v>
      </c>
      <c r="C74" s="53">
        <v>2019</v>
      </c>
      <c r="D74" s="217" t="s">
        <v>370</v>
      </c>
      <c r="E74" s="36" t="s">
        <v>379</v>
      </c>
      <c r="F74" s="36" t="s">
        <v>380</v>
      </c>
      <c r="G74" s="54" t="s">
        <v>36</v>
      </c>
      <c r="H74" s="53" t="s">
        <v>165</v>
      </c>
      <c r="I74" s="54" t="s">
        <v>159</v>
      </c>
      <c r="J74" s="54" t="s">
        <v>38</v>
      </c>
      <c r="K74" s="54" t="s">
        <v>161</v>
      </c>
      <c r="L74" s="54">
        <v>1</v>
      </c>
      <c r="N74" s="53">
        <v>1</v>
      </c>
      <c r="O74" s="53">
        <v>0.65</v>
      </c>
      <c r="P74" s="53">
        <v>0.7</v>
      </c>
      <c r="Q74" s="97">
        <f t="shared" si="0"/>
        <v>0.67500000000000004</v>
      </c>
      <c r="R74" s="53">
        <v>17</v>
      </c>
      <c r="S74" s="53">
        <v>151</v>
      </c>
      <c r="T74" s="16">
        <f t="shared" si="1"/>
        <v>30</v>
      </c>
      <c r="U74" s="53">
        <v>127</v>
      </c>
      <c r="V74" s="16">
        <f t="shared" si="2"/>
        <v>3810</v>
      </c>
      <c r="W74" s="53">
        <v>2</v>
      </c>
      <c r="X74" s="54" t="s">
        <v>46</v>
      </c>
      <c r="Y74" s="54" t="s">
        <v>69</v>
      </c>
      <c r="Z74" s="54" t="s">
        <v>55</v>
      </c>
      <c r="AA74" s="54" t="s">
        <v>47</v>
      </c>
      <c r="AB74" s="54" t="s">
        <v>285</v>
      </c>
    </row>
    <row r="75" spans="1:28" x14ac:dyDescent="0.15">
      <c r="A75" s="54" t="s">
        <v>34</v>
      </c>
      <c r="B75" s="53" t="s">
        <v>232</v>
      </c>
      <c r="C75" s="53">
        <v>2019</v>
      </c>
      <c r="D75" s="217" t="s">
        <v>370</v>
      </c>
      <c r="E75" s="36" t="s">
        <v>379</v>
      </c>
      <c r="F75" s="36" t="s">
        <v>380</v>
      </c>
      <c r="G75" s="54" t="s">
        <v>36</v>
      </c>
      <c r="H75" s="53" t="s">
        <v>165</v>
      </c>
      <c r="I75" s="54" t="s">
        <v>159</v>
      </c>
      <c r="J75" s="54" t="s">
        <v>38</v>
      </c>
      <c r="K75" s="54" t="s">
        <v>161</v>
      </c>
      <c r="L75" s="53">
        <v>2</v>
      </c>
      <c r="N75" s="53">
        <v>1</v>
      </c>
      <c r="O75" s="53">
        <v>0.65</v>
      </c>
      <c r="P75" s="53">
        <v>0.75</v>
      </c>
      <c r="Q75" s="97">
        <f t="shared" si="0"/>
        <v>0.7</v>
      </c>
      <c r="R75" s="53">
        <v>17.100000000000001</v>
      </c>
      <c r="S75" s="53">
        <v>140</v>
      </c>
      <c r="T75" s="16">
        <f t="shared" si="1"/>
        <v>30</v>
      </c>
      <c r="U75" s="53">
        <v>127</v>
      </c>
      <c r="V75" s="16">
        <f t="shared" si="2"/>
        <v>3810</v>
      </c>
      <c r="W75" s="53">
        <v>2</v>
      </c>
      <c r="X75" s="54" t="s">
        <v>46</v>
      </c>
      <c r="Y75" s="54" t="s">
        <v>69</v>
      </c>
      <c r="Z75" s="54" t="s">
        <v>55</v>
      </c>
      <c r="AA75" s="54" t="s">
        <v>47</v>
      </c>
      <c r="AB75" s="54" t="s">
        <v>285</v>
      </c>
    </row>
    <row r="76" spans="1:28" x14ac:dyDescent="0.15">
      <c r="A76" s="54" t="s">
        <v>34</v>
      </c>
      <c r="B76" s="53" t="s">
        <v>232</v>
      </c>
      <c r="C76" s="53">
        <v>2019</v>
      </c>
      <c r="D76" s="217" t="s">
        <v>370</v>
      </c>
      <c r="E76" s="36" t="s">
        <v>379</v>
      </c>
      <c r="F76" s="36" t="s">
        <v>380</v>
      </c>
      <c r="G76" s="54" t="s">
        <v>36</v>
      </c>
      <c r="H76" s="53" t="s">
        <v>165</v>
      </c>
      <c r="I76" s="54" t="s">
        <v>159</v>
      </c>
      <c r="J76" s="54" t="s">
        <v>38</v>
      </c>
      <c r="K76" s="54" t="s">
        <v>161</v>
      </c>
      <c r="L76" s="53">
        <v>3</v>
      </c>
      <c r="N76" s="53">
        <v>1</v>
      </c>
      <c r="O76" s="53">
        <v>0.85</v>
      </c>
      <c r="P76" s="53">
        <v>0.95</v>
      </c>
      <c r="Q76" s="97">
        <f t="shared" si="0"/>
        <v>0.89999999999999991</v>
      </c>
      <c r="R76" s="53">
        <v>17.399999999999999</v>
      </c>
      <c r="S76" s="53">
        <v>138</v>
      </c>
      <c r="T76" s="16">
        <f t="shared" si="1"/>
        <v>30</v>
      </c>
      <c r="U76" s="53">
        <v>127</v>
      </c>
      <c r="V76" s="16">
        <f t="shared" si="2"/>
        <v>3810</v>
      </c>
      <c r="W76" s="53">
        <v>2</v>
      </c>
      <c r="X76" s="54" t="s">
        <v>46</v>
      </c>
      <c r="Y76" s="54" t="s">
        <v>69</v>
      </c>
      <c r="Z76" s="54" t="s">
        <v>55</v>
      </c>
      <c r="AA76" s="54" t="s">
        <v>47</v>
      </c>
      <c r="AB76" s="54" t="s">
        <v>285</v>
      </c>
    </row>
    <row r="77" spans="1:28" x14ac:dyDescent="0.15">
      <c r="A77" s="54" t="s">
        <v>34</v>
      </c>
      <c r="B77" s="53" t="s">
        <v>232</v>
      </c>
      <c r="C77" s="53">
        <v>2019</v>
      </c>
      <c r="D77" s="217" t="s">
        <v>370</v>
      </c>
      <c r="E77" s="36" t="s">
        <v>379</v>
      </c>
      <c r="F77" s="36" t="s">
        <v>380</v>
      </c>
      <c r="G77" s="54" t="s">
        <v>36</v>
      </c>
      <c r="H77" s="53" t="s">
        <v>165</v>
      </c>
      <c r="I77" s="54" t="s">
        <v>159</v>
      </c>
      <c r="J77" s="54" t="s">
        <v>38</v>
      </c>
      <c r="K77" s="54" t="s">
        <v>161</v>
      </c>
      <c r="L77" s="54">
        <v>1</v>
      </c>
      <c r="N77" s="53">
        <v>4</v>
      </c>
      <c r="O77" s="53">
        <v>0.8</v>
      </c>
      <c r="P77" s="53">
        <v>0.75</v>
      </c>
      <c r="Q77" s="97">
        <f t="shared" si="0"/>
        <v>0.77500000000000002</v>
      </c>
      <c r="R77" s="53">
        <v>17.399999999999999</v>
      </c>
      <c r="S77" s="53">
        <v>86</v>
      </c>
      <c r="T77" s="16">
        <f t="shared" si="1"/>
        <v>36</v>
      </c>
      <c r="U77" s="53">
        <v>429</v>
      </c>
      <c r="V77" s="16">
        <f t="shared" si="2"/>
        <v>3861</v>
      </c>
      <c r="W77" s="53">
        <v>2</v>
      </c>
      <c r="X77" s="54" t="s">
        <v>46</v>
      </c>
      <c r="Y77" s="54" t="s">
        <v>69</v>
      </c>
      <c r="Z77" s="54" t="s">
        <v>55</v>
      </c>
      <c r="AA77" s="54" t="s">
        <v>47</v>
      </c>
      <c r="AB77" s="54" t="s">
        <v>285</v>
      </c>
    </row>
    <row r="78" spans="1:28" x14ac:dyDescent="0.15">
      <c r="A78" s="54" t="s">
        <v>34</v>
      </c>
      <c r="B78" s="53" t="s">
        <v>232</v>
      </c>
      <c r="C78" s="53">
        <v>2019</v>
      </c>
      <c r="D78" s="217" t="s">
        <v>370</v>
      </c>
      <c r="E78" s="36" t="s">
        <v>379</v>
      </c>
      <c r="F78" s="36" t="s">
        <v>380</v>
      </c>
      <c r="G78" s="54" t="s">
        <v>36</v>
      </c>
      <c r="H78" s="53" t="s">
        <v>165</v>
      </c>
      <c r="I78" s="54" t="s">
        <v>159</v>
      </c>
      <c r="J78" s="54" t="s">
        <v>38</v>
      </c>
      <c r="K78" s="54" t="s">
        <v>161</v>
      </c>
      <c r="L78" s="53">
        <v>2</v>
      </c>
      <c r="N78" s="53">
        <v>4</v>
      </c>
      <c r="O78" s="53">
        <v>1.1000000000000001</v>
      </c>
      <c r="P78" s="53">
        <v>1.1000000000000001</v>
      </c>
      <c r="Q78" s="97">
        <f t="shared" si="0"/>
        <v>1.1000000000000001</v>
      </c>
      <c r="R78" s="53">
        <v>16.7</v>
      </c>
      <c r="S78" s="53">
        <v>92</v>
      </c>
      <c r="T78" s="16">
        <f t="shared" si="1"/>
        <v>36</v>
      </c>
      <c r="U78" s="53">
        <v>429</v>
      </c>
      <c r="V78" s="16">
        <f t="shared" si="2"/>
        <v>3861</v>
      </c>
      <c r="W78" s="53">
        <v>2</v>
      </c>
      <c r="X78" s="54" t="s">
        <v>46</v>
      </c>
      <c r="Y78" s="54" t="s">
        <v>69</v>
      </c>
      <c r="Z78" s="54" t="s">
        <v>55</v>
      </c>
      <c r="AA78" s="54" t="s">
        <v>47</v>
      </c>
      <c r="AB78" s="54" t="s">
        <v>285</v>
      </c>
    </row>
    <row r="79" spans="1:28" x14ac:dyDescent="0.15">
      <c r="A79" s="54" t="s">
        <v>34</v>
      </c>
      <c r="B79" s="53" t="s">
        <v>232</v>
      </c>
      <c r="C79" s="53">
        <v>2019</v>
      </c>
      <c r="D79" s="217" t="s">
        <v>370</v>
      </c>
      <c r="E79" s="36" t="s">
        <v>379</v>
      </c>
      <c r="F79" s="36" t="s">
        <v>380</v>
      </c>
      <c r="G79" s="54" t="s">
        <v>36</v>
      </c>
      <c r="H79" s="53" t="s">
        <v>165</v>
      </c>
      <c r="I79" s="54" t="s">
        <v>159</v>
      </c>
      <c r="J79" s="54" t="s">
        <v>38</v>
      </c>
      <c r="K79" s="54" t="s">
        <v>161</v>
      </c>
      <c r="L79" s="53">
        <v>3</v>
      </c>
      <c r="N79" s="53">
        <v>4</v>
      </c>
      <c r="O79" s="53">
        <v>0.8</v>
      </c>
      <c r="P79" s="53">
        <v>0.85</v>
      </c>
      <c r="Q79" s="97">
        <f t="shared" si="0"/>
        <v>0.82499999999999996</v>
      </c>
      <c r="R79" s="53">
        <v>17.2</v>
      </c>
      <c r="S79" s="53">
        <v>86</v>
      </c>
      <c r="T79" s="16">
        <f t="shared" si="1"/>
        <v>36</v>
      </c>
      <c r="U79" s="53">
        <v>429</v>
      </c>
      <c r="V79" s="16">
        <f t="shared" si="2"/>
        <v>3861</v>
      </c>
      <c r="W79" s="53">
        <v>2</v>
      </c>
      <c r="X79" s="54" t="s">
        <v>46</v>
      </c>
      <c r="Y79" s="54" t="s">
        <v>69</v>
      </c>
      <c r="Z79" s="54" t="s">
        <v>55</v>
      </c>
      <c r="AA79" s="54" t="s">
        <v>47</v>
      </c>
      <c r="AB79" s="54" t="s">
        <v>285</v>
      </c>
    </row>
    <row r="80" spans="1:28" x14ac:dyDescent="0.15">
      <c r="A80" s="54" t="s">
        <v>34</v>
      </c>
      <c r="B80" s="53" t="s">
        <v>232</v>
      </c>
      <c r="C80" s="53">
        <v>2019</v>
      </c>
      <c r="D80" s="217" t="s">
        <v>370</v>
      </c>
      <c r="E80" s="36" t="s">
        <v>381</v>
      </c>
      <c r="F80" s="36" t="s">
        <v>382</v>
      </c>
      <c r="G80" s="54" t="s">
        <v>36</v>
      </c>
      <c r="H80" s="53" t="s">
        <v>160</v>
      </c>
      <c r="I80" s="54" t="s">
        <v>159</v>
      </c>
      <c r="J80" s="54" t="s">
        <v>38</v>
      </c>
      <c r="K80" s="54" t="s">
        <v>161</v>
      </c>
      <c r="L80" s="54">
        <v>1</v>
      </c>
      <c r="N80" s="53">
        <v>1</v>
      </c>
      <c r="O80" s="53">
        <v>0.55000000000000004</v>
      </c>
      <c r="P80" s="53">
        <v>0.2</v>
      </c>
      <c r="Q80" s="97">
        <f t="shared" si="0"/>
        <v>0.375</v>
      </c>
      <c r="R80" s="53">
        <v>20.100000000000001</v>
      </c>
      <c r="S80" s="53">
        <v>120</v>
      </c>
      <c r="T80" s="16">
        <f t="shared" si="1"/>
        <v>30</v>
      </c>
      <c r="U80" s="53">
        <v>149</v>
      </c>
      <c r="V80" s="16">
        <f t="shared" si="2"/>
        <v>4470</v>
      </c>
      <c r="W80" s="53">
        <v>7</v>
      </c>
      <c r="X80" s="54" t="s">
        <v>46</v>
      </c>
      <c r="Y80" s="54" t="s">
        <v>55</v>
      </c>
      <c r="Z80" s="54" t="s">
        <v>90</v>
      </c>
      <c r="AA80" s="54" t="s">
        <v>47</v>
      </c>
      <c r="AB80" s="54" t="s">
        <v>285</v>
      </c>
    </row>
    <row r="81" spans="1:28" x14ac:dyDescent="0.15">
      <c r="A81" s="54" t="s">
        <v>34</v>
      </c>
      <c r="B81" s="53" t="s">
        <v>232</v>
      </c>
      <c r="C81" s="53">
        <v>2019</v>
      </c>
      <c r="D81" s="217" t="s">
        <v>370</v>
      </c>
      <c r="E81" s="36" t="s">
        <v>381</v>
      </c>
      <c r="F81" s="36" t="s">
        <v>382</v>
      </c>
      <c r="G81" s="54" t="s">
        <v>36</v>
      </c>
      <c r="H81" s="53" t="s">
        <v>160</v>
      </c>
      <c r="I81" s="54" t="s">
        <v>159</v>
      </c>
      <c r="J81" s="54" t="s">
        <v>38</v>
      </c>
      <c r="K81" s="54" t="s">
        <v>161</v>
      </c>
      <c r="L81" s="53">
        <v>2</v>
      </c>
      <c r="N81" s="53">
        <v>1</v>
      </c>
      <c r="O81" s="53">
        <v>0.5</v>
      </c>
      <c r="P81" s="53">
        <v>0.5</v>
      </c>
      <c r="Q81" s="97">
        <f t="shared" si="0"/>
        <v>0.5</v>
      </c>
      <c r="R81" s="53">
        <v>21.1</v>
      </c>
      <c r="S81" s="53">
        <v>118</v>
      </c>
      <c r="T81" s="16">
        <f t="shared" si="1"/>
        <v>30</v>
      </c>
      <c r="U81" s="53">
        <v>149</v>
      </c>
      <c r="V81" s="16">
        <f t="shared" si="2"/>
        <v>4470</v>
      </c>
      <c r="W81" s="53">
        <v>7</v>
      </c>
      <c r="X81" s="54" t="s">
        <v>46</v>
      </c>
      <c r="Y81" s="54" t="s">
        <v>55</v>
      </c>
      <c r="Z81" s="54" t="s">
        <v>90</v>
      </c>
      <c r="AA81" s="54" t="s">
        <v>47</v>
      </c>
      <c r="AB81" s="54" t="s">
        <v>285</v>
      </c>
    </row>
    <row r="82" spans="1:28" x14ac:dyDescent="0.15">
      <c r="A82" s="54" t="s">
        <v>34</v>
      </c>
      <c r="B82" s="53" t="s">
        <v>232</v>
      </c>
      <c r="C82" s="53">
        <v>2019</v>
      </c>
      <c r="D82" s="217" t="s">
        <v>370</v>
      </c>
      <c r="E82" s="36" t="s">
        <v>381</v>
      </c>
      <c r="F82" s="36" t="s">
        <v>382</v>
      </c>
      <c r="G82" s="54" t="s">
        <v>36</v>
      </c>
      <c r="H82" s="53" t="s">
        <v>160</v>
      </c>
      <c r="I82" s="54" t="s">
        <v>159</v>
      </c>
      <c r="J82" s="54" t="s">
        <v>38</v>
      </c>
      <c r="K82" s="54" t="s">
        <v>161</v>
      </c>
      <c r="L82" s="53">
        <v>3</v>
      </c>
      <c r="N82" s="53">
        <v>1</v>
      </c>
      <c r="O82" s="53">
        <v>0.2</v>
      </c>
      <c r="P82" s="53">
        <v>0.2</v>
      </c>
      <c r="Q82" s="97">
        <f t="shared" si="0"/>
        <v>0.2</v>
      </c>
      <c r="R82" s="53">
        <v>8.5</v>
      </c>
      <c r="S82" s="53">
        <v>116</v>
      </c>
      <c r="T82" s="16">
        <f t="shared" si="1"/>
        <v>30</v>
      </c>
      <c r="U82" s="53">
        <v>149</v>
      </c>
      <c r="V82" s="16">
        <f t="shared" si="2"/>
        <v>4470</v>
      </c>
      <c r="W82" s="53">
        <v>7</v>
      </c>
      <c r="X82" s="54" t="s">
        <v>46</v>
      </c>
      <c r="Y82" s="54" t="s">
        <v>55</v>
      </c>
      <c r="Z82" s="54" t="s">
        <v>90</v>
      </c>
      <c r="AA82" s="54" t="s">
        <v>47</v>
      </c>
      <c r="AB82" s="54" t="s">
        <v>285</v>
      </c>
    </row>
    <row r="83" spans="1:28" x14ac:dyDescent="0.15">
      <c r="A83" s="54" t="s">
        <v>34</v>
      </c>
      <c r="B83" s="53" t="s">
        <v>232</v>
      </c>
      <c r="C83" s="53">
        <v>2019</v>
      </c>
      <c r="D83" s="217" t="s">
        <v>370</v>
      </c>
      <c r="E83" s="36" t="s">
        <v>381</v>
      </c>
      <c r="F83" s="36" t="s">
        <v>382</v>
      </c>
      <c r="G83" s="54" t="s">
        <v>36</v>
      </c>
      <c r="H83" s="53" t="s">
        <v>160</v>
      </c>
      <c r="I83" s="54" t="s">
        <v>159</v>
      </c>
      <c r="J83" s="54" t="s">
        <v>38</v>
      </c>
      <c r="K83" s="54" t="s">
        <v>161</v>
      </c>
      <c r="L83" s="54">
        <v>1</v>
      </c>
      <c r="N83" s="53">
        <v>4</v>
      </c>
      <c r="O83" s="53">
        <v>0.6</v>
      </c>
      <c r="P83" s="53">
        <v>0.65</v>
      </c>
      <c r="Q83" s="97">
        <f t="shared" ref="Q83:Q109" si="5">IF(OR(O83="",P83=""),"",AVERAGE(O83,P83))</f>
        <v>0.625</v>
      </c>
      <c r="R83" s="53">
        <v>17.7</v>
      </c>
      <c r="S83" s="53">
        <v>87</v>
      </c>
      <c r="T83" s="16">
        <f t="shared" ref="T83:T109" si="6">IF(H83="","",IF(OR(H83="GREEN",H83="GK"),IF(S83&gt;=$AX$2,VLOOKUP(S83,$AX$2:$AY$9,2,1),""),IF(S83&gt;=$AZ$2,VLOOKUP(S83,$AZ$2:$BA$9,2,1),"")))</f>
        <v>36</v>
      </c>
      <c r="U83" s="53">
        <v>480</v>
      </c>
      <c r="V83" s="16">
        <f t="shared" ref="V83:V109" si="7">IF(OR(N83="",U83="",T83=""),"",U83/N83*T83)</f>
        <v>4320</v>
      </c>
      <c r="W83" s="53">
        <v>7</v>
      </c>
      <c r="X83" s="54" t="s">
        <v>46</v>
      </c>
      <c r="Y83" s="54" t="s">
        <v>55</v>
      </c>
      <c r="Z83" s="54" t="s">
        <v>90</v>
      </c>
      <c r="AA83" s="54" t="s">
        <v>47</v>
      </c>
      <c r="AB83" s="54" t="s">
        <v>285</v>
      </c>
    </row>
    <row r="84" spans="1:28" x14ac:dyDescent="0.15">
      <c r="A84" s="54" t="s">
        <v>34</v>
      </c>
      <c r="B84" s="53" t="s">
        <v>232</v>
      </c>
      <c r="C84" s="53">
        <v>2019</v>
      </c>
      <c r="D84" s="217" t="s">
        <v>370</v>
      </c>
      <c r="E84" s="36" t="s">
        <v>381</v>
      </c>
      <c r="F84" s="36" t="s">
        <v>382</v>
      </c>
      <c r="G84" s="54" t="s">
        <v>36</v>
      </c>
      <c r="H84" s="53" t="s">
        <v>160</v>
      </c>
      <c r="I84" s="54" t="s">
        <v>159</v>
      </c>
      <c r="J84" s="54" t="s">
        <v>38</v>
      </c>
      <c r="K84" s="54" t="s">
        <v>161</v>
      </c>
      <c r="L84" s="53">
        <v>2</v>
      </c>
      <c r="N84" s="53">
        <v>4</v>
      </c>
      <c r="O84" s="53">
        <v>0.45</v>
      </c>
      <c r="P84" s="53">
        <v>0.6</v>
      </c>
      <c r="Q84" s="97">
        <f t="shared" si="5"/>
        <v>0.52500000000000002</v>
      </c>
      <c r="R84" s="53">
        <v>19.2</v>
      </c>
      <c r="S84" s="53">
        <v>85</v>
      </c>
      <c r="T84" s="16">
        <f t="shared" si="6"/>
        <v>36</v>
      </c>
      <c r="U84" s="53">
        <v>480</v>
      </c>
      <c r="V84" s="16">
        <f t="shared" si="7"/>
        <v>4320</v>
      </c>
      <c r="W84" s="53">
        <v>7</v>
      </c>
      <c r="X84" s="54" t="s">
        <v>46</v>
      </c>
      <c r="Y84" s="54" t="s">
        <v>55</v>
      </c>
      <c r="Z84" s="54" t="s">
        <v>90</v>
      </c>
      <c r="AA84" s="54" t="s">
        <v>47</v>
      </c>
      <c r="AB84" s="54" t="s">
        <v>285</v>
      </c>
    </row>
    <row r="85" spans="1:28" x14ac:dyDescent="0.15">
      <c r="A85" s="54" t="s">
        <v>34</v>
      </c>
      <c r="B85" s="53" t="s">
        <v>232</v>
      </c>
      <c r="C85" s="53">
        <v>2019</v>
      </c>
      <c r="D85" s="217" t="s">
        <v>370</v>
      </c>
      <c r="E85" s="36" t="s">
        <v>381</v>
      </c>
      <c r="F85" s="36" t="s">
        <v>382</v>
      </c>
      <c r="G85" s="54" t="s">
        <v>36</v>
      </c>
      <c r="H85" s="53" t="s">
        <v>160</v>
      </c>
      <c r="I85" s="54" t="s">
        <v>159</v>
      </c>
      <c r="J85" s="54" t="s">
        <v>38</v>
      </c>
      <c r="K85" s="54" t="s">
        <v>161</v>
      </c>
      <c r="L85" s="53">
        <v>3</v>
      </c>
      <c r="N85" s="53">
        <v>4</v>
      </c>
      <c r="O85" s="53">
        <v>0.5</v>
      </c>
      <c r="P85" s="53">
        <v>0.5</v>
      </c>
      <c r="Q85" s="97">
        <f t="shared" si="5"/>
        <v>0.5</v>
      </c>
      <c r="R85" s="53">
        <v>19.2</v>
      </c>
      <c r="S85" s="53">
        <v>83</v>
      </c>
      <c r="T85" s="16">
        <f t="shared" si="6"/>
        <v>39</v>
      </c>
      <c r="U85" s="53">
        <v>480</v>
      </c>
      <c r="V85" s="16">
        <f t="shared" si="7"/>
        <v>4680</v>
      </c>
      <c r="W85" s="53">
        <v>7</v>
      </c>
      <c r="X85" s="54" t="s">
        <v>46</v>
      </c>
      <c r="Y85" s="54" t="s">
        <v>55</v>
      </c>
      <c r="Z85" s="54" t="s">
        <v>90</v>
      </c>
      <c r="AA85" s="54" t="s">
        <v>47</v>
      </c>
      <c r="AB85" s="54" t="s">
        <v>285</v>
      </c>
    </row>
    <row r="86" spans="1:28" x14ac:dyDescent="0.15">
      <c r="A86" s="54" t="s">
        <v>34</v>
      </c>
      <c r="B86" s="53" t="s">
        <v>232</v>
      </c>
      <c r="C86" s="53">
        <v>2019</v>
      </c>
      <c r="D86" s="217" t="s">
        <v>370</v>
      </c>
      <c r="E86" s="36" t="s">
        <v>381</v>
      </c>
      <c r="F86" s="36" t="s">
        <v>382</v>
      </c>
      <c r="G86" s="54" t="s">
        <v>36</v>
      </c>
      <c r="H86" s="53" t="s">
        <v>165</v>
      </c>
      <c r="I86" s="54" t="s">
        <v>159</v>
      </c>
      <c r="J86" s="54" t="s">
        <v>38</v>
      </c>
      <c r="K86" s="54" t="s">
        <v>161</v>
      </c>
      <c r="L86" s="54">
        <v>1</v>
      </c>
      <c r="N86" s="53">
        <v>1</v>
      </c>
      <c r="O86" s="53">
        <v>0.55000000000000004</v>
      </c>
      <c r="P86" s="53">
        <v>0.6</v>
      </c>
      <c r="Q86" s="97">
        <f t="shared" si="5"/>
        <v>0.57499999999999996</v>
      </c>
      <c r="R86" s="53">
        <v>17.2</v>
      </c>
      <c r="S86" s="53">
        <v>113</v>
      </c>
      <c r="T86" s="16">
        <f t="shared" si="6"/>
        <v>30</v>
      </c>
      <c r="U86" s="53">
        <v>138</v>
      </c>
      <c r="V86" s="16">
        <f t="shared" si="7"/>
        <v>4140</v>
      </c>
      <c r="W86" s="53">
        <v>2</v>
      </c>
      <c r="X86" s="54" t="s">
        <v>46</v>
      </c>
      <c r="Y86" s="54" t="s">
        <v>55</v>
      </c>
      <c r="Z86" s="54" t="s">
        <v>90</v>
      </c>
      <c r="AA86" s="54" t="s">
        <v>47</v>
      </c>
      <c r="AB86" s="54" t="s">
        <v>285</v>
      </c>
    </row>
    <row r="87" spans="1:28" x14ac:dyDescent="0.15">
      <c r="A87" s="54" t="s">
        <v>34</v>
      </c>
      <c r="B87" s="53" t="s">
        <v>232</v>
      </c>
      <c r="C87" s="53">
        <v>2019</v>
      </c>
      <c r="D87" s="217" t="s">
        <v>370</v>
      </c>
      <c r="E87" s="36" t="s">
        <v>381</v>
      </c>
      <c r="F87" s="36" t="s">
        <v>382</v>
      </c>
      <c r="G87" s="54" t="s">
        <v>36</v>
      </c>
      <c r="H87" s="53" t="s">
        <v>165</v>
      </c>
      <c r="I87" s="54" t="s">
        <v>159</v>
      </c>
      <c r="J87" s="54" t="s">
        <v>38</v>
      </c>
      <c r="K87" s="54" t="s">
        <v>161</v>
      </c>
      <c r="L87" s="53">
        <v>2</v>
      </c>
      <c r="N87" s="53">
        <v>1</v>
      </c>
      <c r="O87" s="53">
        <v>0.5</v>
      </c>
      <c r="P87" s="53">
        <v>0.6</v>
      </c>
      <c r="Q87" s="97">
        <f t="shared" si="5"/>
        <v>0.55000000000000004</v>
      </c>
      <c r="R87" s="53">
        <v>16.600000000000001</v>
      </c>
      <c r="S87" s="53">
        <v>109</v>
      </c>
      <c r="T87" s="16">
        <f t="shared" si="6"/>
        <v>33</v>
      </c>
      <c r="U87" s="53">
        <v>138</v>
      </c>
      <c r="V87" s="16">
        <f t="shared" si="7"/>
        <v>4554</v>
      </c>
      <c r="W87" s="53">
        <v>2</v>
      </c>
      <c r="X87" s="54" t="s">
        <v>46</v>
      </c>
      <c r="Y87" s="54" t="s">
        <v>55</v>
      </c>
      <c r="Z87" s="54" t="s">
        <v>90</v>
      </c>
      <c r="AA87" s="54" t="s">
        <v>47</v>
      </c>
      <c r="AB87" s="54" t="s">
        <v>285</v>
      </c>
    </row>
    <row r="88" spans="1:28" x14ac:dyDescent="0.15">
      <c r="A88" s="54" t="s">
        <v>34</v>
      </c>
      <c r="B88" s="53" t="s">
        <v>232</v>
      </c>
      <c r="C88" s="53">
        <v>2019</v>
      </c>
      <c r="D88" s="217" t="s">
        <v>370</v>
      </c>
      <c r="E88" s="36" t="s">
        <v>381</v>
      </c>
      <c r="F88" s="36" t="s">
        <v>382</v>
      </c>
      <c r="G88" s="54" t="s">
        <v>36</v>
      </c>
      <c r="H88" s="53" t="s">
        <v>165</v>
      </c>
      <c r="I88" s="54" t="s">
        <v>159</v>
      </c>
      <c r="J88" s="54" t="s">
        <v>38</v>
      </c>
      <c r="K88" s="54" t="s">
        <v>161</v>
      </c>
      <c r="L88" s="53">
        <v>3</v>
      </c>
      <c r="N88" s="53">
        <v>1</v>
      </c>
      <c r="O88" s="53">
        <v>0.8</v>
      </c>
      <c r="P88" s="53">
        <v>0.8</v>
      </c>
      <c r="Q88" s="97">
        <f t="shared" si="5"/>
        <v>0.8</v>
      </c>
      <c r="R88" s="53">
        <v>17.100000000000001</v>
      </c>
      <c r="S88" s="53">
        <v>113</v>
      </c>
      <c r="T88" s="16">
        <f t="shared" si="6"/>
        <v>30</v>
      </c>
      <c r="U88" s="53">
        <v>138</v>
      </c>
      <c r="V88" s="16">
        <f t="shared" si="7"/>
        <v>4140</v>
      </c>
      <c r="W88" s="53">
        <v>2</v>
      </c>
      <c r="X88" s="54" t="s">
        <v>46</v>
      </c>
      <c r="Y88" s="54" t="s">
        <v>55</v>
      </c>
      <c r="Z88" s="54" t="s">
        <v>90</v>
      </c>
      <c r="AA88" s="54" t="s">
        <v>47</v>
      </c>
      <c r="AB88" s="54" t="s">
        <v>285</v>
      </c>
    </row>
    <row r="89" spans="1:28" x14ac:dyDescent="0.15">
      <c r="A89" s="54" t="s">
        <v>34</v>
      </c>
      <c r="B89" s="53" t="s">
        <v>232</v>
      </c>
      <c r="C89" s="53">
        <v>2019</v>
      </c>
      <c r="D89" s="217" t="s">
        <v>370</v>
      </c>
      <c r="E89" s="36" t="s">
        <v>381</v>
      </c>
      <c r="F89" s="36" t="s">
        <v>382</v>
      </c>
      <c r="G89" s="54" t="s">
        <v>36</v>
      </c>
      <c r="H89" s="53" t="s">
        <v>165</v>
      </c>
      <c r="I89" s="54" t="s">
        <v>159</v>
      </c>
      <c r="J89" s="54" t="s">
        <v>38</v>
      </c>
      <c r="K89" s="54" t="s">
        <v>161</v>
      </c>
      <c r="L89" s="54">
        <v>1</v>
      </c>
      <c r="N89" s="53">
        <v>5</v>
      </c>
      <c r="O89" s="53">
        <v>0.6</v>
      </c>
      <c r="P89" s="53">
        <v>0.75</v>
      </c>
      <c r="Q89" s="97">
        <f t="shared" si="5"/>
        <v>0.67500000000000004</v>
      </c>
      <c r="R89" s="53">
        <v>14.4</v>
      </c>
      <c r="S89" s="53">
        <v>84</v>
      </c>
      <c r="T89" s="16">
        <f t="shared" si="6"/>
        <v>36</v>
      </c>
      <c r="U89" s="53">
        <v>429</v>
      </c>
      <c r="V89" s="16">
        <f t="shared" si="7"/>
        <v>3088.7999999999997</v>
      </c>
      <c r="W89" s="53">
        <v>2</v>
      </c>
      <c r="X89" s="54" t="s">
        <v>46</v>
      </c>
      <c r="Y89" s="54" t="s">
        <v>55</v>
      </c>
      <c r="Z89" s="54" t="s">
        <v>90</v>
      </c>
      <c r="AA89" s="54" t="s">
        <v>47</v>
      </c>
      <c r="AB89" s="54" t="s">
        <v>285</v>
      </c>
    </row>
    <row r="90" spans="1:28" x14ac:dyDescent="0.15">
      <c r="A90" s="54" t="s">
        <v>34</v>
      </c>
      <c r="B90" s="53" t="s">
        <v>232</v>
      </c>
      <c r="C90" s="53">
        <v>2019</v>
      </c>
      <c r="D90" s="217" t="s">
        <v>370</v>
      </c>
      <c r="E90" s="36" t="s">
        <v>381</v>
      </c>
      <c r="F90" s="36" t="s">
        <v>382</v>
      </c>
      <c r="G90" s="54" t="s">
        <v>36</v>
      </c>
      <c r="H90" s="53" t="s">
        <v>165</v>
      </c>
      <c r="I90" s="54" t="s">
        <v>159</v>
      </c>
      <c r="J90" s="54" t="s">
        <v>38</v>
      </c>
      <c r="K90" s="54" t="s">
        <v>161</v>
      </c>
      <c r="L90" s="53">
        <v>2</v>
      </c>
      <c r="N90" s="53">
        <v>5</v>
      </c>
      <c r="O90" s="53">
        <v>0.9</v>
      </c>
      <c r="P90" s="53">
        <v>0.85</v>
      </c>
      <c r="Q90" s="97">
        <f t="shared" si="5"/>
        <v>0.875</v>
      </c>
      <c r="R90" s="53">
        <v>17.399999999999999</v>
      </c>
      <c r="S90" s="53">
        <v>91</v>
      </c>
      <c r="T90" s="16">
        <f t="shared" si="6"/>
        <v>36</v>
      </c>
      <c r="U90" s="53">
        <v>429</v>
      </c>
      <c r="V90" s="16">
        <f t="shared" si="7"/>
        <v>3088.7999999999997</v>
      </c>
      <c r="W90" s="53">
        <v>2</v>
      </c>
      <c r="X90" s="54" t="s">
        <v>46</v>
      </c>
      <c r="Y90" s="54" t="s">
        <v>55</v>
      </c>
      <c r="Z90" s="54" t="s">
        <v>90</v>
      </c>
      <c r="AA90" s="54" t="s">
        <v>47</v>
      </c>
      <c r="AB90" s="54" t="s">
        <v>285</v>
      </c>
    </row>
    <row r="91" spans="1:28" x14ac:dyDescent="0.15">
      <c r="A91" s="54" t="s">
        <v>34</v>
      </c>
      <c r="B91" s="53" t="s">
        <v>232</v>
      </c>
      <c r="C91" s="53">
        <v>2019</v>
      </c>
      <c r="D91" s="217" t="s">
        <v>370</v>
      </c>
      <c r="E91" s="36" t="s">
        <v>381</v>
      </c>
      <c r="F91" s="36" t="s">
        <v>382</v>
      </c>
      <c r="G91" s="54" t="s">
        <v>36</v>
      </c>
      <c r="H91" s="53" t="s">
        <v>165</v>
      </c>
      <c r="I91" s="54" t="s">
        <v>159</v>
      </c>
      <c r="J91" s="54" t="s">
        <v>38</v>
      </c>
      <c r="K91" s="54" t="s">
        <v>161</v>
      </c>
      <c r="L91" s="53">
        <v>3</v>
      </c>
      <c r="N91" s="53">
        <v>5</v>
      </c>
      <c r="O91" s="53">
        <v>0.65</v>
      </c>
      <c r="P91" s="53">
        <v>0.6</v>
      </c>
      <c r="Q91" s="97">
        <f t="shared" si="5"/>
        <v>0.625</v>
      </c>
      <c r="R91" s="53">
        <v>17.600000000000001</v>
      </c>
      <c r="S91" s="53">
        <v>89</v>
      </c>
      <c r="T91" s="16">
        <f t="shared" si="6"/>
        <v>36</v>
      </c>
      <c r="U91" s="53">
        <v>429</v>
      </c>
      <c r="V91" s="16">
        <f t="shared" si="7"/>
        <v>3088.7999999999997</v>
      </c>
      <c r="W91" s="53">
        <v>2</v>
      </c>
      <c r="X91" s="54" t="s">
        <v>46</v>
      </c>
      <c r="Y91" s="54" t="s">
        <v>55</v>
      </c>
      <c r="Z91" s="54" t="s">
        <v>90</v>
      </c>
      <c r="AA91" s="54" t="s">
        <v>47</v>
      </c>
      <c r="AB91" s="54" t="s">
        <v>285</v>
      </c>
    </row>
    <row r="92" spans="1:28" x14ac:dyDescent="0.15">
      <c r="A92" s="54" t="s">
        <v>34</v>
      </c>
      <c r="B92" s="53" t="s">
        <v>232</v>
      </c>
      <c r="C92" s="53">
        <v>2019</v>
      </c>
      <c r="D92" s="217" t="s">
        <v>370</v>
      </c>
      <c r="E92" s="36" t="s">
        <v>381</v>
      </c>
      <c r="F92" s="36" t="s">
        <v>382</v>
      </c>
      <c r="G92" s="54" t="s">
        <v>36</v>
      </c>
      <c r="H92" s="53" t="s">
        <v>164</v>
      </c>
      <c r="I92" s="54" t="s">
        <v>159</v>
      </c>
      <c r="J92" s="54" t="s">
        <v>38</v>
      </c>
      <c r="K92" s="54" t="s">
        <v>161</v>
      </c>
      <c r="L92" s="54">
        <v>1</v>
      </c>
      <c r="N92" s="53">
        <v>6</v>
      </c>
      <c r="O92" s="53">
        <v>0.85</v>
      </c>
      <c r="P92" s="53">
        <v>1.1499999999999999</v>
      </c>
      <c r="Q92" s="97">
        <f t="shared" si="5"/>
        <v>1</v>
      </c>
      <c r="R92" s="53">
        <v>17.8</v>
      </c>
      <c r="S92" s="53">
        <v>76</v>
      </c>
      <c r="T92" s="16">
        <f t="shared" si="6"/>
        <v>39</v>
      </c>
      <c r="U92" s="53">
        <v>429</v>
      </c>
      <c r="V92" s="16">
        <f t="shared" si="7"/>
        <v>2788.5</v>
      </c>
      <c r="W92" s="53">
        <v>1</v>
      </c>
      <c r="X92" s="54" t="s">
        <v>46</v>
      </c>
      <c r="Y92" s="54" t="s">
        <v>55</v>
      </c>
      <c r="Z92" s="54" t="s">
        <v>90</v>
      </c>
      <c r="AA92" s="54" t="s">
        <v>47</v>
      </c>
      <c r="AB92" s="54" t="s">
        <v>285</v>
      </c>
    </row>
    <row r="93" spans="1:28" x14ac:dyDescent="0.15">
      <c r="A93" s="54" t="s">
        <v>34</v>
      </c>
      <c r="B93" s="53" t="s">
        <v>232</v>
      </c>
      <c r="C93" s="53">
        <v>2019</v>
      </c>
      <c r="D93" s="217" t="s">
        <v>370</v>
      </c>
      <c r="E93" s="36" t="s">
        <v>381</v>
      </c>
      <c r="F93" s="36" t="s">
        <v>382</v>
      </c>
      <c r="G93" s="54" t="s">
        <v>36</v>
      </c>
      <c r="H93" s="53" t="s">
        <v>164</v>
      </c>
      <c r="I93" s="54" t="s">
        <v>159</v>
      </c>
      <c r="J93" s="54" t="s">
        <v>38</v>
      </c>
      <c r="K93" s="54" t="s">
        <v>161</v>
      </c>
      <c r="L93" s="53">
        <v>2</v>
      </c>
      <c r="N93" s="53">
        <v>6</v>
      </c>
      <c r="O93" s="53">
        <v>0.7</v>
      </c>
      <c r="P93" s="53">
        <v>0.9</v>
      </c>
      <c r="Q93" s="97">
        <f t="shared" si="5"/>
        <v>0.8</v>
      </c>
      <c r="R93" s="53">
        <v>18.7</v>
      </c>
      <c r="S93" s="53">
        <v>74</v>
      </c>
      <c r="T93" s="16">
        <f t="shared" si="6"/>
        <v>42</v>
      </c>
      <c r="U93" s="53">
        <v>429</v>
      </c>
      <c r="V93" s="16">
        <f t="shared" si="7"/>
        <v>3003</v>
      </c>
      <c r="W93" s="53">
        <v>1</v>
      </c>
      <c r="X93" s="54" t="s">
        <v>46</v>
      </c>
      <c r="Y93" s="54" t="s">
        <v>55</v>
      </c>
      <c r="Z93" s="54" t="s">
        <v>90</v>
      </c>
      <c r="AA93" s="54" t="s">
        <v>47</v>
      </c>
      <c r="AB93" s="54" t="s">
        <v>285</v>
      </c>
    </row>
    <row r="94" spans="1:28" x14ac:dyDescent="0.15">
      <c r="A94" s="54" t="s">
        <v>34</v>
      </c>
      <c r="B94" s="53" t="s">
        <v>232</v>
      </c>
      <c r="C94" s="53">
        <v>2019</v>
      </c>
      <c r="D94" s="217" t="s">
        <v>370</v>
      </c>
      <c r="E94" s="36" t="s">
        <v>381</v>
      </c>
      <c r="F94" s="36" t="s">
        <v>382</v>
      </c>
      <c r="G94" s="54" t="s">
        <v>36</v>
      </c>
      <c r="H94" s="53" t="s">
        <v>164</v>
      </c>
      <c r="I94" s="54" t="s">
        <v>159</v>
      </c>
      <c r="J94" s="54" t="s">
        <v>38</v>
      </c>
      <c r="K94" s="54" t="s">
        <v>161</v>
      </c>
      <c r="L94" s="53">
        <v>3</v>
      </c>
      <c r="N94" s="53">
        <v>6</v>
      </c>
      <c r="O94" s="53">
        <v>0.7</v>
      </c>
      <c r="P94" s="53">
        <v>0.75</v>
      </c>
      <c r="Q94" s="97">
        <f t="shared" si="5"/>
        <v>0.72499999999999998</v>
      </c>
      <c r="R94" s="53">
        <v>20.5</v>
      </c>
      <c r="S94" s="53">
        <v>72</v>
      </c>
      <c r="T94" s="16">
        <f t="shared" si="6"/>
        <v>42</v>
      </c>
      <c r="U94" s="53">
        <v>429</v>
      </c>
      <c r="V94" s="16">
        <f t="shared" si="7"/>
        <v>3003</v>
      </c>
      <c r="W94" s="53">
        <v>1</v>
      </c>
      <c r="X94" s="54" t="s">
        <v>46</v>
      </c>
      <c r="Y94" s="54" t="s">
        <v>55</v>
      </c>
      <c r="Z94" s="54" t="s">
        <v>90</v>
      </c>
      <c r="AA94" s="54" t="s">
        <v>47</v>
      </c>
      <c r="AB94" s="54" t="s">
        <v>285</v>
      </c>
    </row>
    <row r="95" spans="1:28" x14ac:dyDescent="0.15">
      <c r="A95" s="54" t="s">
        <v>34</v>
      </c>
      <c r="B95" s="53" t="s">
        <v>232</v>
      </c>
      <c r="C95" s="53">
        <v>2019</v>
      </c>
      <c r="D95" s="217" t="s">
        <v>370</v>
      </c>
      <c r="E95" s="36" t="s">
        <v>268</v>
      </c>
      <c r="F95" s="36" t="s">
        <v>383</v>
      </c>
      <c r="G95" s="54" t="s">
        <v>36</v>
      </c>
      <c r="H95" s="53" t="s">
        <v>160</v>
      </c>
      <c r="I95" s="54" t="s">
        <v>159</v>
      </c>
      <c r="J95" s="54" t="s">
        <v>38</v>
      </c>
      <c r="K95" s="54" t="s">
        <v>161</v>
      </c>
      <c r="L95" s="54">
        <v>1</v>
      </c>
      <c r="N95" s="53">
        <v>1</v>
      </c>
      <c r="O95" s="53">
        <v>0.6</v>
      </c>
      <c r="P95" s="53">
        <v>0.5</v>
      </c>
      <c r="Q95" s="97">
        <f t="shared" si="5"/>
        <v>0.55000000000000004</v>
      </c>
      <c r="R95" s="53">
        <v>18.7</v>
      </c>
      <c r="S95" s="53">
        <v>130</v>
      </c>
      <c r="T95" s="16">
        <f t="shared" si="6"/>
        <v>30</v>
      </c>
      <c r="U95" s="53">
        <v>149</v>
      </c>
      <c r="V95" s="16">
        <f t="shared" si="7"/>
        <v>4470</v>
      </c>
      <c r="W95" s="53">
        <v>6</v>
      </c>
      <c r="X95" s="54" t="s">
        <v>46</v>
      </c>
      <c r="Y95" s="54" t="s">
        <v>78</v>
      </c>
      <c r="Z95" s="54" t="s">
        <v>55</v>
      </c>
      <c r="AA95" s="54" t="s">
        <v>69</v>
      </c>
      <c r="AB95" s="54" t="s">
        <v>285</v>
      </c>
    </row>
    <row r="96" spans="1:28" x14ac:dyDescent="0.15">
      <c r="A96" s="54" t="s">
        <v>34</v>
      </c>
      <c r="B96" s="53" t="s">
        <v>232</v>
      </c>
      <c r="C96" s="53">
        <v>2019</v>
      </c>
      <c r="D96" s="217" t="s">
        <v>370</v>
      </c>
      <c r="E96" s="36" t="s">
        <v>268</v>
      </c>
      <c r="F96" s="36" t="s">
        <v>383</v>
      </c>
      <c r="G96" s="54" t="s">
        <v>36</v>
      </c>
      <c r="H96" s="53" t="s">
        <v>160</v>
      </c>
      <c r="I96" s="54" t="s">
        <v>159</v>
      </c>
      <c r="J96" s="54" t="s">
        <v>38</v>
      </c>
      <c r="K96" s="54" t="s">
        <v>161</v>
      </c>
      <c r="L96" s="53">
        <v>2</v>
      </c>
      <c r="N96" s="53">
        <v>1</v>
      </c>
      <c r="O96" s="53">
        <v>0.6</v>
      </c>
      <c r="P96" s="53">
        <v>0.55000000000000004</v>
      </c>
      <c r="Q96" s="97">
        <f t="shared" si="5"/>
        <v>0.57499999999999996</v>
      </c>
      <c r="R96" s="53">
        <v>17.5</v>
      </c>
      <c r="S96" s="53">
        <v>132</v>
      </c>
      <c r="T96" s="16">
        <f t="shared" si="6"/>
        <v>30</v>
      </c>
      <c r="U96" s="53">
        <v>149</v>
      </c>
      <c r="V96" s="16">
        <f t="shared" si="7"/>
        <v>4470</v>
      </c>
      <c r="W96" s="53">
        <v>6</v>
      </c>
      <c r="X96" s="54" t="s">
        <v>46</v>
      </c>
      <c r="Y96" s="54" t="s">
        <v>78</v>
      </c>
      <c r="Z96" s="54" t="s">
        <v>55</v>
      </c>
      <c r="AA96" s="54" t="s">
        <v>69</v>
      </c>
      <c r="AB96" s="54" t="s">
        <v>285</v>
      </c>
    </row>
    <row r="97" spans="1:28" x14ac:dyDescent="0.15">
      <c r="A97" s="54" t="s">
        <v>34</v>
      </c>
      <c r="B97" s="53" t="s">
        <v>232</v>
      </c>
      <c r="C97" s="53">
        <v>2019</v>
      </c>
      <c r="D97" s="217" t="s">
        <v>370</v>
      </c>
      <c r="E97" s="36" t="s">
        <v>268</v>
      </c>
      <c r="F97" s="36" t="s">
        <v>383</v>
      </c>
      <c r="G97" s="54" t="s">
        <v>36</v>
      </c>
      <c r="H97" s="53" t="s">
        <v>160</v>
      </c>
      <c r="I97" s="54" t="s">
        <v>159</v>
      </c>
      <c r="J97" s="54" t="s">
        <v>38</v>
      </c>
      <c r="K97" s="54" t="s">
        <v>161</v>
      </c>
      <c r="L97" s="53">
        <v>3</v>
      </c>
      <c r="N97" s="53">
        <v>1</v>
      </c>
      <c r="O97" s="53">
        <v>0.5</v>
      </c>
      <c r="P97" s="53">
        <v>0.55000000000000004</v>
      </c>
      <c r="Q97" s="97">
        <f t="shared" si="5"/>
        <v>0.52500000000000002</v>
      </c>
      <c r="R97" s="53">
        <v>17.600000000000001</v>
      </c>
      <c r="S97" s="53">
        <v>132</v>
      </c>
      <c r="T97" s="16">
        <f t="shared" si="6"/>
        <v>30</v>
      </c>
      <c r="U97" s="53">
        <v>149</v>
      </c>
      <c r="V97" s="16">
        <f t="shared" si="7"/>
        <v>4470</v>
      </c>
      <c r="W97" s="53">
        <v>6</v>
      </c>
      <c r="X97" s="54" t="s">
        <v>46</v>
      </c>
      <c r="Y97" s="54" t="s">
        <v>78</v>
      </c>
      <c r="Z97" s="54" t="s">
        <v>55</v>
      </c>
      <c r="AA97" s="54" t="s">
        <v>69</v>
      </c>
      <c r="AB97" s="54" t="s">
        <v>285</v>
      </c>
    </row>
    <row r="98" spans="1:28" x14ac:dyDescent="0.15">
      <c r="A98" s="54" t="s">
        <v>34</v>
      </c>
      <c r="B98" s="53" t="s">
        <v>232</v>
      </c>
      <c r="C98" s="53">
        <v>2019</v>
      </c>
      <c r="D98" s="217" t="s">
        <v>370</v>
      </c>
      <c r="E98" s="36" t="s">
        <v>268</v>
      </c>
      <c r="F98" s="36" t="s">
        <v>383</v>
      </c>
      <c r="G98" s="54" t="s">
        <v>36</v>
      </c>
      <c r="H98" s="53" t="s">
        <v>160</v>
      </c>
      <c r="I98" s="54" t="s">
        <v>159</v>
      </c>
      <c r="J98" s="54" t="s">
        <v>38</v>
      </c>
      <c r="K98" s="54" t="s">
        <v>161</v>
      </c>
      <c r="L98" s="54">
        <v>1</v>
      </c>
      <c r="N98" s="53">
        <v>6</v>
      </c>
      <c r="O98" s="53">
        <v>0.6</v>
      </c>
      <c r="P98" s="53">
        <v>0.45</v>
      </c>
      <c r="Q98" s="97">
        <f t="shared" si="5"/>
        <v>0.52500000000000002</v>
      </c>
      <c r="R98" s="53">
        <v>19.399999999999999</v>
      </c>
      <c r="S98" s="53">
        <v>102</v>
      </c>
      <c r="T98" s="16">
        <f t="shared" si="6"/>
        <v>33</v>
      </c>
      <c r="U98" s="53">
        <v>626</v>
      </c>
      <c r="V98" s="16">
        <f t="shared" si="7"/>
        <v>3443</v>
      </c>
      <c r="W98" s="53">
        <v>6</v>
      </c>
      <c r="X98" s="54" t="s">
        <v>46</v>
      </c>
      <c r="Y98" s="54" t="s">
        <v>78</v>
      </c>
      <c r="Z98" s="54" t="s">
        <v>55</v>
      </c>
      <c r="AA98" s="54" t="s">
        <v>69</v>
      </c>
      <c r="AB98" s="54" t="s">
        <v>285</v>
      </c>
    </row>
    <row r="99" spans="1:28" x14ac:dyDescent="0.15">
      <c r="A99" s="54" t="s">
        <v>34</v>
      </c>
      <c r="B99" s="53" t="s">
        <v>232</v>
      </c>
      <c r="C99" s="53">
        <v>2019</v>
      </c>
      <c r="D99" s="217" t="s">
        <v>370</v>
      </c>
      <c r="E99" s="36" t="s">
        <v>268</v>
      </c>
      <c r="F99" s="36" t="s">
        <v>383</v>
      </c>
      <c r="G99" s="54" t="s">
        <v>36</v>
      </c>
      <c r="H99" s="53" t="s">
        <v>160</v>
      </c>
      <c r="I99" s="54" t="s">
        <v>159</v>
      </c>
      <c r="J99" s="54" t="s">
        <v>38</v>
      </c>
      <c r="K99" s="54" t="s">
        <v>161</v>
      </c>
      <c r="L99" s="53">
        <v>2</v>
      </c>
      <c r="N99" s="53">
        <v>6</v>
      </c>
      <c r="O99" s="53">
        <v>0.6</v>
      </c>
      <c r="P99" s="53">
        <v>0.5</v>
      </c>
      <c r="Q99" s="97">
        <f t="shared" si="5"/>
        <v>0.55000000000000004</v>
      </c>
      <c r="R99" s="53">
        <v>17.8</v>
      </c>
      <c r="S99" s="53">
        <v>97</v>
      </c>
      <c r="T99" s="16">
        <f t="shared" si="6"/>
        <v>36</v>
      </c>
      <c r="U99" s="53">
        <v>626</v>
      </c>
      <c r="V99" s="16">
        <f t="shared" si="7"/>
        <v>3756</v>
      </c>
      <c r="W99" s="53">
        <v>6</v>
      </c>
      <c r="X99" s="54" t="s">
        <v>46</v>
      </c>
      <c r="Y99" s="54" t="s">
        <v>78</v>
      </c>
      <c r="Z99" s="54" t="s">
        <v>55</v>
      </c>
      <c r="AA99" s="54" t="s">
        <v>69</v>
      </c>
      <c r="AB99" s="54" t="s">
        <v>285</v>
      </c>
    </row>
    <row r="100" spans="1:28" x14ac:dyDescent="0.15">
      <c r="A100" s="54" t="s">
        <v>34</v>
      </c>
      <c r="B100" s="53" t="s">
        <v>232</v>
      </c>
      <c r="C100" s="53">
        <v>2019</v>
      </c>
      <c r="D100" s="217" t="s">
        <v>370</v>
      </c>
      <c r="E100" s="36" t="s">
        <v>268</v>
      </c>
      <c r="F100" s="36" t="s">
        <v>383</v>
      </c>
      <c r="G100" s="54" t="s">
        <v>36</v>
      </c>
      <c r="H100" s="53" t="s">
        <v>160</v>
      </c>
      <c r="I100" s="54" t="s">
        <v>159</v>
      </c>
      <c r="J100" s="54" t="s">
        <v>38</v>
      </c>
      <c r="K100" s="54" t="s">
        <v>161</v>
      </c>
      <c r="L100" s="53">
        <v>3</v>
      </c>
      <c r="N100" s="53">
        <v>6</v>
      </c>
      <c r="O100" s="53">
        <v>0.6</v>
      </c>
      <c r="P100" s="53">
        <v>0.6</v>
      </c>
      <c r="Q100" s="97">
        <f t="shared" si="5"/>
        <v>0.6</v>
      </c>
      <c r="R100" s="53">
        <v>19</v>
      </c>
      <c r="S100" s="53">
        <v>101</v>
      </c>
      <c r="T100" s="16">
        <f t="shared" si="6"/>
        <v>33</v>
      </c>
      <c r="U100" s="53">
        <v>626</v>
      </c>
      <c r="V100" s="16">
        <f t="shared" si="7"/>
        <v>3443</v>
      </c>
      <c r="W100" s="53">
        <v>6</v>
      </c>
      <c r="X100" s="54" t="s">
        <v>46</v>
      </c>
      <c r="Y100" s="54" t="s">
        <v>78</v>
      </c>
      <c r="Z100" s="54" t="s">
        <v>55</v>
      </c>
      <c r="AA100" s="54" t="s">
        <v>69</v>
      </c>
      <c r="AB100" s="54" t="s">
        <v>285</v>
      </c>
    </row>
    <row r="101" spans="1:28" x14ac:dyDescent="0.15">
      <c r="A101" s="54" t="s">
        <v>34</v>
      </c>
      <c r="B101" s="53" t="s">
        <v>232</v>
      </c>
      <c r="C101" s="53">
        <v>2019</v>
      </c>
      <c r="D101" s="217" t="s">
        <v>370</v>
      </c>
      <c r="E101" s="36" t="s">
        <v>268</v>
      </c>
      <c r="F101" s="36" t="s">
        <v>383</v>
      </c>
      <c r="G101" s="54" t="s">
        <v>36</v>
      </c>
      <c r="H101" s="53" t="s">
        <v>165</v>
      </c>
      <c r="I101" s="54" t="s">
        <v>159</v>
      </c>
      <c r="J101" s="54" t="s">
        <v>38</v>
      </c>
      <c r="K101" s="54" t="s">
        <v>161</v>
      </c>
      <c r="L101" s="54">
        <v>1</v>
      </c>
      <c r="N101" s="53">
        <v>1</v>
      </c>
      <c r="O101" s="53">
        <v>0.7</v>
      </c>
      <c r="P101" s="53">
        <v>0.7</v>
      </c>
      <c r="Q101" s="97">
        <f t="shared" si="5"/>
        <v>0.7</v>
      </c>
      <c r="R101" s="53">
        <v>17.399999999999999</v>
      </c>
      <c r="S101" s="53">
        <v>117</v>
      </c>
      <c r="T101" s="16">
        <f t="shared" si="6"/>
        <v>30</v>
      </c>
      <c r="U101" s="53">
        <v>149</v>
      </c>
      <c r="V101" s="16">
        <f t="shared" si="7"/>
        <v>4470</v>
      </c>
      <c r="W101" s="53">
        <v>2</v>
      </c>
      <c r="X101" s="54" t="s">
        <v>46</v>
      </c>
      <c r="Y101" s="54" t="s">
        <v>78</v>
      </c>
      <c r="Z101" s="54" t="s">
        <v>55</v>
      </c>
      <c r="AA101" s="54" t="s">
        <v>69</v>
      </c>
      <c r="AB101" s="54" t="s">
        <v>285</v>
      </c>
    </row>
    <row r="102" spans="1:28" x14ac:dyDescent="0.15">
      <c r="A102" s="54" t="s">
        <v>34</v>
      </c>
      <c r="B102" s="53" t="s">
        <v>232</v>
      </c>
      <c r="C102" s="53">
        <v>2019</v>
      </c>
      <c r="D102" s="217" t="s">
        <v>370</v>
      </c>
      <c r="E102" s="36" t="s">
        <v>268</v>
      </c>
      <c r="F102" s="36" t="s">
        <v>383</v>
      </c>
      <c r="G102" s="54" t="s">
        <v>36</v>
      </c>
      <c r="H102" s="53" t="s">
        <v>165</v>
      </c>
      <c r="I102" s="54" t="s">
        <v>159</v>
      </c>
      <c r="J102" s="54" t="s">
        <v>38</v>
      </c>
      <c r="K102" s="54" t="s">
        <v>161</v>
      </c>
      <c r="L102" s="53">
        <v>2</v>
      </c>
      <c r="N102" s="53">
        <v>1</v>
      </c>
      <c r="O102" s="53">
        <v>0.6</v>
      </c>
      <c r="P102" s="53">
        <v>0.75</v>
      </c>
      <c r="Q102" s="97">
        <f t="shared" si="5"/>
        <v>0.67500000000000004</v>
      </c>
      <c r="R102" s="53">
        <v>17.100000000000001</v>
      </c>
      <c r="S102" s="53">
        <v>123</v>
      </c>
      <c r="T102" s="16">
        <f t="shared" si="6"/>
        <v>30</v>
      </c>
      <c r="U102" s="53">
        <v>149</v>
      </c>
      <c r="V102" s="16">
        <f t="shared" si="7"/>
        <v>4470</v>
      </c>
      <c r="W102" s="53">
        <v>2</v>
      </c>
      <c r="X102" s="54" t="s">
        <v>46</v>
      </c>
      <c r="Y102" s="54" t="s">
        <v>78</v>
      </c>
      <c r="Z102" s="54" t="s">
        <v>55</v>
      </c>
      <c r="AA102" s="54" t="s">
        <v>69</v>
      </c>
      <c r="AB102" s="54" t="s">
        <v>285</v>
      </c>
    </row>
    <row r="103" spans="1:28" x14ac:dyDescent="0.15">
      <c r="A103" s="54" t="s">
        <v>34</v>
      </c>
      <c r="B103" s="53" t="s">
        <v>232</v>
      </c>
      <c r="C103" s="53">
        <v>2019</v>
      </c>
      <c r="D103" s="217" t="s">
        <v>370</v>
      </c>
      <c r="E103" s="36" t="s">
        <v>268</v>
      </c>
      <c r="F103" s="36" t="s">
        <v>383</v>
      </c>
      <c r="G103" s="54" t="s">
        <v>36</v>
      </c>
      <c r="H103" s="53" t="s">
        <v>165</v>
      </c>
      <c r="I103" s="54" t="s">
        <v>159</v>
      </c>
      <c r="J103" s="54" t="s">
        <v>38</v>
      </c>
      <c r="K103" s="54" t="s">
        <v>161</v>
      </c>
      <c r="L103" s="53">
        <v>3</v>
      </c>
      <c r="N103" s="53">
        <v>1</v>
      </c>
      <c r="O103" s="53">
        <v>0.7</v>
      </c>
      <c r="P103" s="53">
        <v>0.8</v>
      </c>
      <c r="Q103" s="97">
        <f t="shared" si="5"/>
        <v>0.75</v>
      </c>
      <c r="R103" s="53">
        <v>17.5</v>
      </c>
      <c r="S103" s="53">
        <v>118</v>
      </c>
      <c r="T103" s="16">
        <f t="shared" si="6"/>
        <v>30</v>
      </c>
      <c r="U103" s="53">
        <v>149</v>
      </c>
      <c r="V103" s="16">
        <f t="shared" si="7"/>
        <v>4470</v>
      </c>
      <c r="W103" s="53">
        <v>2</v>
      </c>
      <c r="X103" s="54" t="s">
        <v>46</v>
      </c>
      <c r="Y103" s="54" t="s">
        <v>78</v>
      </c>
      <c r="Z103" s="54" t="s">
        <v>55</v>
      </c>
      <c r="AA103" s="54" t="s">
        <v>69</v>
      </c>
      <c r="AB103" s="54" t="s">
        <v>285</v>
      </c>
    </row>
    <row r="104" spans="1:28" x14ac:dyDescent="0.15">
      <c r="A104" s="54" t="s">
        <v>34</v>
      </c>
      <c r="B104" s="53" t="s">
        <v>232</v>
      </c>
      <c r="C104" s="53">
        <v>2019</v>
      </c>
      <c r="D104" s="217" t="s">
        <v>370</v>
      </c>
      <c r="E104" s="36" t="s">
        <v>268</v>
      </c>
      <c r="F104" s="36" t="s">
        <v>383</v>
      </c>
      <c r="G104" s="54" t="s">
        <v>36</v>
      </c>
      <c r="H104" s="53" t="s">
        <v>165</v>
      </c>
      <c r="I104" s="54" t="s">
        <v>159</v>
      </c>
      <c r="J104" s="54" t="s">
        <v>38</v>
      </c>
      <c r="K104" s="54" t="s">
        <v>161</v>
      </c>
      <c r="L104" s="54">
        <v>1</v>
      </c>
      <c r="N104" s="53">
        <v>5</v>
      </c>
      <c r="O104" s="53">
        <v>0.5</v>
      </c>
      <c r="P104" s="53">
        <v>0.2</v>
      </c>
      <c r="Q104" s="97">
        <f t="shared" si="5"/>
        <v>0.35</v>
      </c>
      <c r="R104" s="53">
        <v>17.399999999999999</v>
      </c>
      <c r="S104" s="53">
        <v>88</v>
      </c>
      <c r="T104" s="16">
        <f t="shared" si="6"/>
        <v>36</v>
      </c>
      <c r="U104" s="53">
        <v>429</v>
      </c>
      <c r="V104" s="16">
        <f t="shared" si="7"/>
        <v>3088.7999999999997</v>
      </c>
      <c r="W104" s="53">
        <v>2</v>
      </c>
      <c r="X104" s="54" t="s">
        <v>46</v>
      </c>
      <c r="Y104" s="54" t="s">
        <v>78</v>
      </c>
      <c r="Z104" s="54" t="s">
        <v>55</v>
      </c>
      <c r="AA104" s="54" t="s">
        <v>69</v>
      </c>
      <c r="AB104" s="54" t="s">
        <v>285</v>
      </c>
    </row>
    <row r="105" spans="1:28" x14ac:dyDescent="0.15">
      <c r="A105" s="54" t="s">
        <v>34</v>
      </c>
      <c r="B105" s="53" t="s">
        <v>232</v>
      </c>
      <c r="C105" s="53">
        <v>2019</v>
      </c>
      <c r="D105" s="217" t="s">
        <v>370</v>
      </c>
      <c r="E105" s="36" t="s">
        <v>268</v>
      </c>
      <c r="F105" s="36" t="s">
        <v>383</v>
      </c>
      <c r="G105" s="54" t="s">
        <v>36</v>
      </c>
      <c r="H105" s="53" t="s">
        <v>165</v>
      </c>
      <c r="I105" s="54" t="s">
        <v>159</v>
      </c>
      <c r="J105" s="54" t="s">
        <v>38</v>
      </c>
      <c r="K105" s="54" t="s">
        <v>161</v>
      </c>
      <c r="L105" s="53">
        <v>2</v>
      </c>
      <c r="N105" s="53">
        <v>5</v>
      </c>
      <c r="O105" s="53">
        <v>0.7</v>
      </c>
      <c r="P105" s="53">
        <v>0.75</v>
      </c>
      <c r="Q105" s="97">
        <f t="shared" si="5"/>
        <v>0.72499999999999998</v>
      </c>
      <c r="R105" s="53">
        <v>17.399999999999999</v>
      </c>
      <c r="S105" s="53">
        <v>90</v>
      </c>
      <c r="T105" s="16">
        <f t="shared" si="6"/>
        <v>36</v>
      </c>
      <c r="U105" s="53">
        <v>429</v>
      </c>
      <c r="V105" s="16">
        <f t="shared" si="7"/>
        <v>3088.7999999999997</v>
      </c>
      <c r="W105" s="53">
        <v>2</v>
      </c>
      <c r="X105" s="54" t="s">
        <v>46</v>
      </c>
      <c r="Y105" s="54" t="s">
        <v>78</v>
      </c>
      <c r="Z105" s="54" t="s">
        <v>55</v>
      </c>
      <c r="AA105" s="54" t="s">
        <v>69</v>
      </c>
      <c r="AB105" s="54" t="s">
        <v>285</v>
      </c>
    </row>
    <row r="106" spans="1:28" x14ac:dyDescent="0.15">
      <c r="A106" s="54" t="s">
        <v>34</v>
      </c>
      <c r="B106" s="53" t="s">
        <v>232</v>
      </c>
      <c r="C106" s="53">
        <v>2019</v>
      </c>
      <c r="D106" s="217" t="s">
        <v>370</v>
      </c>
      <c r="E106" s="36" t="s">
        <v>268</v>
      </c>
      <c r="F106" s="36" t="s">
        <v>383</v>
      </c>
      <c r="G106" s="54" t="s">
        <v>36</v>
      </c>
      <c r="H106" s="53" t="s">
        <v>165</v>
      </c>
      <c r="I106" s="54" t="s">
        <v>159</v>
      </c>
      <c r="J106" s="54" t="s">
        <v>38</v>
      </c>
      <c r="K106" s="54" t="s">
        <v>161</v>
      </c>
      <c r="L106" s="53">
        <v>3</v>
      </c>
      <c r="N106" s="53">
        <v>5</v>
      </c>
      <c r="O106" s="53">
        <v>0.7</v>
      </c>
      <c r="P106" s="53">
        <v>0.75</v>
      </c>
      <c r="Q106" s="97">
        <f t="shared" si="5"/>
        <v>0.72499999999999998</v>
      </c>
      <c r="R106" s="53">
        <v>17.5</v>
      </c>
      <c r="S106" s="53">
        <v>86</v>
      </c>
      <c r="T106" s="16">
        <f t="shared" si="6"/>
        <v>36</v>
      </c>
      <c r="U106" s="53">
        <v>429</v>
      </c>
      <c r="V106" s="16">
        <f t="shared" si="7"/>
        <v>3088.7999999999997</v>
      </c>
      <c r="W106" s="53">
        <v>2</v>
      </c>
      <c r="X106" s="54" t="s">
        <v>46</v>
      </c>
      <c r="Y106" s="54" t="s">
        <v>78</v>
      </c>
      <c r="Z106" s="54" t="s">
        <v>55</v>
      </c>
      <c r="AA106" s="54" t="s">
        <v>69</v>
      </c>
      <c r="AB106" s="54" t="s">
        <v>285</v>
      </c>
    </row>
    <row r="107" spans="1:28" x14ac:dyDescent="0.15">
      <c r="A107" s="54" t="s">
        <v>34</v>
      </c>
      <c r="B107" s="53" t="s">
        <v>232</v>
      </c>
      <c r="C107" s="53">
        <v>2019</v>
      </c>
      <c r="D107" s="217" t="s">
        <v>370</v>
      </c>
      <c r="E107" s="36" t="s">
        <v>268</v>
      </c>
      <c r="F107" s="36" t="s">
        <v>383</v>
      </c>
      <c r="G107" s="54" t="s">
        <v>36</v>
      </c>
      <c r="H107" s="53" t="s">
        <v>164</v>
      </c>
      <c r="I107" s="54" t="s">
        <v>159</v>
      </c>
      <c r="J107" s="54" t="s">
        <v>38</v>
      </c>
      <c r="K107" s="54" t="s">
        <v>161</v>
      </c>
      <c r="L107" s="54">
        <v>1</v>
      </c>
      <c r="N107" s="53">
        <v>4</v>
      </c>
      <c r="O107" s="53">
        <v>1</v>
      </c>
      <c r="P107" s="53">
        <v>1.05</v>
      </c>
      <c r="Q107" s="97">
        <f t="shared" si="5"/>
        <v>1.0249999999999999</v>
      </c>
      <c r="R107" s="53">
        <v>20.3</v>
      </c>
      <c r="S107" s="53">
        <v>102</v>
      </c>
      <c r="T107" s="16">
        <f t="shared" si="6"/>
        <v>33</v>
      </c>
      <c r="U107" s="53">
        <v>537</v>
      </c>
      <c r="V107" s="16">
        <f t="shared" si="7"/>
        <v>4430.25</v>
      </c>
      <c r="W107" s="53">
        <v>2</v>
      </c>
      <c r="X107" s="54" t="s">
        <v>46</v>
      </c>
      <c r="Y107" s="54" t="s">
        <v>78</v>
      </c>
      <c r="Z107" s="54" t="s">
        <v>55</v>
      </c>
      <c r="AA107" s="54" t="s">
        <v>69</v>
      </c>
      <c r="AB107" s="54" t="s">
        <v>285</v>
      </c>
    </row>
    <row r="108" spans="1:28" x14ac:dyDescent="0.15">
      <c r="A108" s="54" t="s">
        <v>34</v>
      </c>
      <c r="B108" s="53" t="s">
        <v>232</v>
      </c>
      <c r="C108" s="53">
        <v>2019</v>
      </c>
      <c r="D108" s="217" t="s">
        <v>370</v>
      </c>
      <c r="E108" s="36" t="s">
        <v>268</v>
      </c>
      <c r="F108" s="36" t="s">
        <v>383</v>
      </c>
      <c r="G108" s="54" t="s">
        <v>36</v>
      </c>
      <c r="H108" s="53" t="s">
        <v>164</v>
      </c>
      <c r="I108" s="54" t="s">
        <v>159</v>
      </c>
      <c r="J108" s="54" t="s">
        <v>38</v>
      </c>
      <c r="K108" s="54" t="s">
        <v>161</v>
      </c>
      <c r="L108" s="53">
        <v>2</v>
      </c>
      <c r="N108" s="53">
        <v>4</v>
      </c>
      <c r="O108" s="53">
        <v>1</v>
      </c>
      <c r="P108" s="53">
        <v>0.8</v>
      </c>
      <c r="Q108" s="97">
        <f t="shared" si="5"/>
        <v>0.9</v>
      </c>
      <c r="R108" s="53">
        <v>19.3</v>
      </c>
      <c r="S108" s="53">
        <v>98</v>
      </c>
      <c r="T108" s="16">
        <f t="shared" si="6"/>
        <v>36</v>
      </c>
      <c r="U108" s="53">
        <v>537</v>
      </c>
      <c r="V108" s="16">
        <f t="shared" si="7"/>
        <v>4833</v>
      </c>
      <c r="W108" s="53">
        <v>2</v>
      </c>
      <c r="X108" s="54" t="s">
        <v>46</v>
      </c>
      <c r="Y108" s="54" t="s">
        <v>78</v>
      </c>
      <c r="Z108" s="54" t="s">
        <v>55</v>
      </c>
      <c r="AA108" s="54" t="s">
        <v>69</v>
      </c>
      <c r="AB108" s="54" t="s">
        <v>285</v>
      </c>
    </row>
    <row r="109" spans="1:28" x14ac:dyDescent="0.15">
      <c r="A109" s="54" t="s">
        <v>34</v>
      </c>
      <c r="B109" s="53" t="s">
        <v>232</v>
      </c>
      <c r="C109" s="53">
        <v>2019</v>
      </c>
      <c r="D109" s="217" t="s">
        <v>370</v>
      </c>
      <c r="E109" s="36" t="s">
        <v>268</v>
      </c>
      <c r="F109" s="36" t="s">
        <v>383</v>
      </c>
      <c r="G109" s="54" t="s">
        <v>36</v>
      </c>
      <c r="H109" s="53" t="s">
        <v>164</v>
      </c>
      <c r="I109" s="54" t="s">
        <v>159</v>
      </c>
      <c r="J109" s="54" t="s">
        <v>38</v>
      </c>
      <c r="K109" s="54" t="s">
        <v>161</v>
      </c>
      <c r="L109" s="53">
        <v>3</v>
      </c>
      <c r="N109" s="53">
        <v>4</v>
      </c>
      <c r="O109" s="53">
        <v>0.95</v>
      </c>
      <c r="P109" s="53">
        <v>1</v>
      </c>
      <c r="Q109" s="97">
        <f t="shared" si="5"/>
        <v>0.97499999999999998</v>
      </c>
      <c r="R109" s="53">
        <v>20.399999999999999</v>
      </c>
      <c r="S109" s="53">
        <v>104</v>
      </c>
      <c r="T109" s="16">
        <f t="shared" si="6"/>
        <v>33</v>
      </c>
      <c r="U109" s="53">
        <v>537</v>
      </c>
      <c r="V109" s="16">
        <f t="shared" si="7"/>
        <v>4430.25</v>
      </c>
      <c r="W109" s="53">
        <v>2</v>
      </c>
      <c r="X109" s="54" t="s">
        <v>46</v>
      </c>
      <c r="Y109" s="54" t="s">
        <v>78</v>
      </c>
      <c r="Z109" s="54" t="s">
        <v>55</v>
      </c>
      <c r="AA109" s="54" t="s">
        <v>69</v>
      </c>
      <c r="AB109" s="54" t="s">
        <v>285</v>
      </c>
    </row>
    <row r="110" spans="1:28" x14ac:dyDescent="0.15">
      <c r="K110" s="54"/>
      <c r="L110" s="54"/>
    </row>
    <row r="111" spans="1:28" x14ac:dyDescent="0.15">
      <c r="K111" s="54"/>
    </row>
    <row r="112" spans="1:28" x14ac:dyDescent="0.15">
      <c r="K112" s="54"/>
    </row>
    <row r="113" spans="11:11" x14ac:dyDescent="0.15">
      <c r="K113" s="54"/>
    </row>
    <row r="114" spans="11:11" x14ac:dyDescent="0.15">
      <c r="K114" s="54"/>
    </row>
    <row r="115" spans="11:11" x14ac:dyDescent="0.15">
      <c r="K115" s="54"/>
    </row>
    <row r="116" spans="11:11" x14ac:dyDescent="0.15">
      <c r="K116" s="54"/>
    </row>
    <row r="117" spans="11:11" x14ac:dyDescent="0.15">
      <c r="K117" s="54"/>
    </row>
    <row r="118" spans="11:11" x14ac:dyDescent="0.15">
      <c r="K118" s="54"/>
    </row>
    <row r="119" spans="11:11" x14ac:dyDescent="0.15">
      <c r="K119" s="54"/>
    </row>
    <row r="120" spans="11:11" x14ac:dyDescent="0.15">
      <c r="K120" s="54"/>
    </row>
    <row r="121" spans="11:11" x14ac:dyDescent="0.15">
      <c r="K121" s="54"/>
    </row>
    <row r="122" spans="11:11" x14ac:dyDescent="0.15">
      <c r="K122" s="54"/>
    </row>
    <row r="123" spans="11:11" x14ac:dyDescent="0.15">
      <c r="K123" s="54"/>
    </row>
    <row r="124" spans="11:11" x14ac:dyDescent="0.15">
      <c r="K124" s="54"/>
    </row>
    <row r="125" spans="11:11" x14ac:dyDescent="0.15">
      <c r="K125" s="54"/>
    </row>
    <row r="126" spans="11:11" x14ac:dyDescent="0.15">
      <c r="K126" s="54"/>
    </row>
    <row r="127" spans="11:11" x14ac:dyDescent="0.15">
      <c r="K127" s="54"/>
    </row>
    <row r="128" spans="11:11"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row r="451" spans="11:11" x14ac:dyDescent="0.15">
      <c r="K451" s="54"/>
    </row>
    <row r="452" spans="11:11" x14ac:dyDescent="0.15">
      <c r="K452" s="54"/>
    </row>
    <row r="453" spans="11:11" x14ac:dyDescent="0.15">
      <c r="K453" s="54"/>
    </row>
    <row r="454" spans="11:11" x14ac:dyDescent="0.15">
      <c r="K454" s="54"/>
    </row>
    <row r="455" spans="11:11" x14ac:dyDescent="0.15">
      <c r="K455" s="54"/>
    </row>
    <row r="456" spans="11:11" x14ac:dyDescent="0.15">
      <c r="K456" s="54"/>
    </row>
    <row r="457" spans="11:11" x14ac:dyDescent="0.15">
      <c r="K457" s="54"/>
    </row>
    <row r="458" spans="11:11" x14ac:dyDescent="0.15">
      <c r="K458" s="54"/>
    </row>
    <row r="459" spans="11:11" x14ac:dyDescent="0.15">
      <c r="K459" s="54"/>
    </row>
    <row r="460" spans="11:11" x14ac:dyDescent="0.15">
      <c r="K460" s="54"/>
    </row>
    <row r="461" spans="11:11" x14ac:dyDescent="0.15">
      <c r="K461" s="54"/>
    </row>
    <row r="462" spans="11:11" x14ac:dyDescent="0.15">
      <c r="K462" s="54"/>
    </row>
    <row r="463" spans="11:11" x14ac:dyDescent="0.15">
      <c r="K463" s="54"/>
    </row>
    <row r="464" spans="11:11" x14ac:dyDescent="0.15">
      <c r="K464" s="54"/>
    </row>
    <row r="465" spans="11:11" x14ac:dyDescent="0.15">
      <c r="K465" s="54"/>
    </row>
    <row r="466" spans="11:11" x14ac:dyDescent="0.15">
      <c r="K466" s="54"/>
    </row>
    <row r="467" spans="11:11" x14ac:dyDescent="0.15">
      <c r="K467" s="54"/>
    </row>
    <row r="468" spans="11:11" x14ac:dyDescent="0.15">
      <c r="K468" s="54"/>
    </row>
    <row r="469" spans="11:11" x14ac:dyDescent="0.15">
      <c r="K469" s="54"/>
    </row>
    <row r="470" spans="11:11" x14ac:dyDescent="0.15">
      <c r="K470" s="54"/>
    </row>
    <row r="471" spans="11:11" x14ac:dyDescent="0.15">
      <c r="K471" s="54"/>
    </row>
    <row r="472" spans="11:11" x14ac:dyDescent="0.15">
      <c r="K472" s="54"/>
    </row>
    <row r="473" spans="11:11" x14ac:dyDescent="0.15">
      <c r="K473" s="54"/>
    </row>
    <row r="474" spans="11:11" x14ac:dyDescent="0.15">
      <c r="K474" s="54"/>
    </row>
    <row r="475" spans="11:11" x14ac:dyDescent="0.15">
      <c r="K475" s="54"/>
    </row>
    <row r="476" spans="11:11" x14ac:dyDescent="0.15">
      <c r="K476" s="54"/>
    </row>
    <row r="477" spans="11:11" x14ac:dyDescent="0.15">
      <c r="K477" s="54"/>
    </row>
    <row r="478" spans="11:11" x14ac:dyDescent="0.15">
      <c r="K478" s="54"/>
    </row>
    <row r="479" spans="11:11" x14ac:dyDescent="0.15">
      <c r="K479" s="54"/>
    </row>
    <row r="480" spans="11:11" x14ac:dyDescent="0.15">
      <c r="K480" s="54"/>
    </row>
    <row r="481" spans="11:11" x14ac:dyDescent="0.15">
      <c r="K481" s="54"/>
    </row>
    <row r="482" spans="11:11" x14ac:dyDescent="0.15">
      <c r="K482" s="54"/>
    </row>
    <row r="483" spans="11:11" x14ac:dyDescent="0.15">
      <c r="K483" s="54"/>
    </row>
    <row r="484" spans="11:11" x14ac:dyDescent="0.15">
      <c r="K484" s="54"/>
    </row>
    <row r="485" spans="11:11" x14ac:dyDescent="0.15">
      <c r="K485" s="54"/>
    </row>
    <row r="486" spans="11:11" x14ac:dyDescent="0.15">
      <c r="K486" s="54"/>
    </row>
    <row r="487" spans="11:11" x14ac:dyDescent="0.15">
      <c r="K487" s="54"/>
    </row>
    <row r="488" spans="11:11" x14ac:dyDescent="0.15">
      <c r="K488" s="54"/>
    </row>
    <row r="489" spans="11:11" x14ac:dyDescent="0.15">
      <c r="K489" s="54"/>
    </row>
    <row r="490" spans="11:11" x14ac:dyDescent="0.15">
      <c r="K490" s="54"/>
    </row>
    <row r="491" spans="11:11" x14ac:dyDescent="0.15">
      <c r="K491" s="54"/>
    </row>
    <row r="492" spans="11:11" x14ac:dyDescent="0.15">
      <c r="K492" s="54"/>
    </row>
    <row r="493" spans="11:11" x14ac:dyDescent="0.15">
      <c r="K493" s="54"/>
    </row>
    <row r="494" spans="11:11" x14ac:dyDescent="0.15">
      <c r="K494" s="54"/>
    </row>
    <row r="495" spans="11:11" x14ac:dyDescent="0.15">
      <c r="K495" s="54"/>
    </row>
    <row r="496" spans="11:11" x14ac:dyDescent="0.15">
      <c r="K496" s="54"/>
    </row>
    <row r="497" spans="11:11" x14ac:dyDescent="0.15">
      <c r="K497" s="54"/>
    </row>
    <row r="498" spans="11:11" x14ac:dyDescent="0.15">
      <c r="K498" s="54"/>
    </row>
    <row r="499" spans="11:11" x14ac:dyDescent="0.15">
      <c r="K499" s="54"/>
    </row>
    <row r="500" spans="11:11" x14ac:dyDescent="0.15">
      <c r="K500" s="54"/>
    </row>
    <row r="501" spans="11:11" x14ac:dyDescent="0.15">
      <c r="K501" s="54"/>
    </row>
    <row r="502" spans="11:11" x14ac:dyDescent="0.15">
      <c r="K502" s="54"/>
    </row>
    <row r="503" spans="11:11" x14ac:dyDescent="0.15">
      <c r="K503" s="54"/>
    </row>
    <row r="504" spans="11:11" x14ac:dyDescent="0.15">
      <c r="K504" s="54"/>
    </row>
    <row r="505" spans="11:11" x14ac:dyDescent="0.15">
      <c r="K505" s="54"/>
    </row>
    <row r="506" spans="11:11" x14ac:dyDescent="0.15">
      <c r="K506" s="54"/>
    </row>
    <row r="507" spans="11:11" x14ac:dyDescent="0.15">
      <c r="K507" s="54"/>
    </row>
    <row r="508" spans="11:11" x14ac:dyDescent="0.15">
      <c r="K508" s="54"/>
    </row>
    <row r="509" spans="11:11" x14ac:dyDescent="0.15">
      <c r="K509" s="54"/>
    </row>
    <row r="510" spans="11:11" x14ac:dyDescent="0.15">
      <c r="K510" s="54"/>
    </row>
    <row r="511" spans="11:11" x14ac:dyDescent="0.15">
      <c r="K511" s="54"/>
    </row>
    <row r="512" spans="11:11" x14ac:dyDescent="0.15">
      <c r="K512" s="54"/>
    </row>
    <row r="513" spans="11:11" x14ac:dyDescent="0.15">
      <c r="K513" s="54"/>
    </row>
    <row r="514" spans="11:11" x14ac:dyDescent="0.15">
      <c r="K514" s="54"/>
    </row>
    <row r="515" spans="11:11" x14ac:dyDescent="0.15">
      <c r="K515" s="54"/>
    </row>
    <row r="516" spans="11:11" x14ac:dyDescent="0.15">
      <c r="K516" s="54"/>
    </row>
    <row r="517" spans="11:11" x14ac:dyDescent="0.15">
      <c r="K517" s="54"/>
    </row>
    <row r="518" spans="11:11" x14ac:dyDescent="0.15">
      <c r="K518" s="54"/>
    </row>
    <row r="519" spans="11:11" x14ac:dyDescent="0.15">
      <c r="K519" s="54"/>
    </row>
    <row r="520" spans="11:11" x14ac:dyDescent="0.15">
      <c r="K520" s="54"/>
    </row>
    <row r="521" spans="11:11" x14ac:dyDescent="0.15">
      <c r="K521" s="54"/>
    </row>
    <row r="522" spans="11:11" x14ac:dyDescent="0.15">
      <c r="K522" s="54"/>
    </row>
    <row r="523" spans="11:11" x14ac:dyDescent="0.15">
      <c r="K523" s="54"/>
    </row>
    <row r="524" spans="11:11" x14ac:dyDescent="0.15">
      <c r="K524" s="54"/>
    </row>
    <row r="525" spans="11:11" x14ac:dyDescent="0.15">
      <c r="K525" s="54"/>
    </row>
    <row r="526" spans="11:11" x14ac:dyDescent="0.15">
      <c r="K526" s="54"/>
    </row>
    <row r="527" spans="11:11" x14ac:dyDescent="0.15">
      <c r="K527" s="54"/>
    </row>
    <row r="528" spans="11:11" x14ac:dyDescent="0.15">
      <c r="K528" s="54"/>
    </row>
    <row r="529" spans="11:11" x14ac:dyDescent="0.15">
      <c r="K529" s="54"/>
    </row>
    <row r="530" spans="11:11" x14ac:dyDescent="0.15">
      <c r="K530" s="54"/>
    </row>
    <row r="531" spans="11:11" x14ac:dyDescent="0.15">
      <c r="K531" s="54"/>
    </row>
    <row r="532" spans="11:11" x14ac:dyDescent="0.15">
      <c r="K532" s="54"/>
    </row>
    <row r="533" spans="11:11" x14ac:dyDescent="0.15">
      <c r="K533" s="54"/>
    </row>
    <row r="534" spans="11:11" x14ac:dyDescent="0.15">
      <c r="K534" s="54"/>
    </row>
    <row r="535" spans="11:11" x14ac:dyDescent="0.15">
      <c r="K535" s="54"/>
    </row>
    <row r="536" spans="11:11" x14ac:dyDescent="0.15">
      <c r="K536" s="54"/>
    </row>
    <row r="537" spans="11:11" x14ac:dyDescent="0.15">
      <c r="K537" s="54"/>
    </row>
    <row r="538" spans="11:11" x14ac:dyDescent="0.15">
      <c r="K538" s="54"/>
    </row>
    <row r="539" spans="11:11" x14ac:dyDescent="0.15">
      <c r="K539" s="54"/>
    </row>
    <row r="540" spans="11:11" x14ac:dyDescent="0.15">
      <c r="K540" s="54"/>
    </row>
    <row r="541" spans="11:11" x14ac:dyDescent="0.15">
      <c r="K541" s="54"/>
    </row>
    <row r="542" spans="11:11" x14ac:dyDescent="0.15">
      <c r="K542" s="54"/>
    </row>
    <row r="543" spans="11:11" x14ac:dyDescent="0.15">
      <c r="K543" s="54"/>
    </row>
    <row r="544" spans="11:11" x14ac:dyDescent="0.15">
      <c r="K544" s="54"/>
    </row>
    <row r="545" spans="11:11" x14ac:dyDescent="0.15">
      <c r="K545" s="54"/>
    </row>
    <row r="546" spans="11:11" x14ac:dyDescent="0.15">
      <c r="K546" s="54"/>
    </row>
    <row r="547" spans="11:11" x14ac:dyDescent="0.15">
      <c r="K547" s="54"/>
    </row>
    <row r="548" spans="11:11" x14ac:dyDescent="0.15">
      <c r="K548" s="54"/>
    </row>
    <row r="549" spans="11:11" x14ac:dyDescent="0.15">
      <c r="K549" s="54"/>
    </row>
    <row r="550" spans="11:11" x14ac:dyDescent="0.15">
      <c r="K550" s="54"/>
    </row>
    <row r="551" spans="11:11" x14ac:dyDescent="0.15">
      <c r="K551" s="54"/>
    </row>
    <row r="552" spans="11:11" x14ac:dyDescent="0.15">
      <c r="K552" s="54"/>
    </row>
    <row r="553" spans="11:11" x14ac:dyDescent="0.15">
      <c r="K553" s="54"/>
    </row>
    <row r="554" spans="11:11" x14ac:dyDescent="0.15">
      <c r="K554" s="54"/>
    </row>
    <row r="555" spans="11:11" x14ac:dyDescent="0.15">
      <c r="K555" s="54"/>
    </row>
    <row r="556" spans="11:11" x14ac:dyDescent="0.15">
      <c r="K556" s="54"/>
    </row>
    <row r="557" spans="11:11" x14ac:dyDescent="0.15">
      <c r="K557" s="54"/>
    </row>
    <row r="558" spans="11:11" x14ac:dyDescent="0.15">
      <c r="K558" s="54"/>
    </row>
    <row r="559" spans="11:11" x14ac:dyDescent="0.15">
      <c r="K559" s="54"/>
    </row>
    <row r="560" spans="11:11" x14ac:dyDescent="0.15">
      <c r="K560" s="54"/>
    </row>
    <row r="561" spans="11:11" x14ac:dyDescent="0.15">
      <c r="K561" s="54"/>
    </row>
    <row r="562" spans="11:11" x14ac:dyDescent="0.15">
      <c r="K562" s="54"/>
    </row>
    <row r="563" spans="11:11" x14ac:dyDescent="0.15">
      <c r="K563" s="54"/>
    </row>
    <row r="564" spans="11:11" x14ac:dyDescent="0.15">
      <c r="K564" s="54"/>
    </row>
    <row r="565" spans="11:11" x14ac:dyDescent="0.15">
      <c r="K565" s="54"/>
    </row>
    <row r="566" spans="11:11" x14ac:dyDescent="0.15">
      <c r="K566" s="54"/>
    </row>
    <row r="567" spans="11:11" x14ac:dyDescent="0.15">
      <c r="K567" s="54"/>
    </row>
    <row r="568" spans="11:11" x14ac:dyDescent="0.15">
      <c r="K568" s="54"/>
    </row>
    <row r="569" spans="11:11" x14ac:dyDescent="0.15">
      <c r="K569" s="54"/>
    </row>
    <row r="570" spans="11:11" x14ac:dyDescent="0.15">
      <c r="K570" s="54"/>
    </row>
    <row r="571" spans="11:11" x14ac:dyDescent="0.15">
      <c r="K571" s="54"/>
    </row>
    <row r="572" spans="11:11" x14ac:dyDescent="0.15">
      <c r="K572" s="54"/>
    </row>
    <row r="573" spans="11:11" x14ac:dyDescent="0.15">
      <c r="K573" s="54"/>
    </row>
    <row r="574" spans="11:11" x14ac:dyDescent="0.15">
      <c r="K574" s="54"/>
    </row>
    <row r="575" spans="11:11" x14ac:dyDescent="0.15">
      <c r="K575" s="54"/>
    </row>
    <row r="576" spans="11:11" x14ac:dyDescent="0.15">
      <c r="K576" s="54"/>
    </row>
    <row r="577" spans="11:11" x14ac:dyDescent="0.15">
      <c r="K577" s="54"/>
    </row>
    <row r="578" spans="11:11" x14ac:dyDescent="0.15">
      <c r="K578" s="54"/>
    </row>
    <row r="579" spans="11:11" x14ac:dyDescent="0.15">
      <c r="K579" s="54"/>
    </row>
    <row r="580" spans="11:11" x14ac:dyDescent="0.15">
      <c r="K580" s="54"/>
    </row>
    <row r="581" spans="11:11" x14ac:dyDescent="0.15">
      <c r="K581" s="54"/>
    </row>
    <row r="582" spans="11:11" x14ac:dyDescent="0.15">
      <c r="K582" s="54"/>
    </row>
    <row r="583" spans="11:11" x14ac:dyDescent="0.15">
      <c r="K583" s="54"/>
    </row>
    <row r="584" spans="11:11" x14ac:dyDescent="0.15">
      <c r="K584" s="54"/>
    </row>
    <row r="585" spans="11:11" x14ac:dyDescent="0.15">
      <c r="K585" s="54"/>
    </row>
    <row r="586" spans="11:11" x14ac:dyDescent="0.15">
      <c r="K586" s="54"/>
    </row>
    <row r="587" spans="11:11" x14ac:dyDescent="0.15">
      <c r="K587" s="54"/>
    </row>
    <row r="588" spans="11:11" x14ac:dyDescent="0.15">
      <c r="K588" s="54"/>
    </row>
    <row r="589" spans="11:11" x14ac:dyDescent="0.15">
      <c r="K589" s="54"/>
    </row>
    <row r="590" spans="11:11" x14ac:dyDescent="0.15">
      <c r="K590" s="54"/>
    </row>
    <row r="591" spans="11:11" x14ac:dyDescent="0.15">
      <c r="K591" s="54"/>
    </row>
    <row r="592" spans="11:11" x14ac:dyDescent="0.15">
      <c r="K592" s="54"/>
    </row>
    <row r="593" spans="11:11" x14ac:dyDescent="0.15">
      <c r="K593" s="54"/>
    </row>
    <row r="594" spans="11:11" x14ac:dyDescent="0.15">
      <c r="K594" s="54"/>
    </row>
    <row r="595" spans="11:11" x14ac:dyDescent="0.15">
      <c r="K595" s="54"/>
    </row>
    <row r="596" spans="11:11" x14ac:dyDescent="0.15">
      <c r="K596" s="54"/>
    </row>
    <row r="597" spans="11:11" x14ac:dyDescent="0.15">
      <c r="K597" s="54"/>
    </row>
    <row r="598" spans="11:11" x14ac:dyDescent="0.15">
      <c r="K598" s="54"/>
    </row>
    <row r="599" spans="11:11" x14ac:dyDescent="0.15">
      <c r="K599" s="54"/>
    </row>
    <row r="600" spans="11:11" x14ac:dyDescent="0.15">
      <c r="K600" s="54"/>
    </row>
    <row r="601" spans="11:11" x14ac:dyDescent="0.15">
      <c r="K601" s="54"/>
    </row>
    <row r="602" spans="11:11" x14ac:dyDescent="0.15">
      <c r="K602" s="54"/>
    </row>
    <row r="603" spans="11:11" x14ac:dyDescent="0.15">
      <c r="K603" s="54"/>
    </row>
    <row r="604" spans="11:11" x14ac:dyDescent="0.15">
      <c r="K604" s="54"/>
    </row>
    <row r="605" spans="11:11" x14ac:dyDescent="0.15">
      <c r="K605" s="54"/>
    </row>
    <row r="606" spans="11:11" x14ac:dyDescent="0.15">
      <c r="K606" s="54"/>
    </row>
    <row r="607" spans="11:11" x14ac:dyDescent="0.15">
      <c r="K607" s="54"/>
    </row>
    <row r="608" spans="11:11" x14ac:dyDescent="0.15">
      <c r="K608" s="54"/>
    </row>
    <row r="609" spans="11:11" x14ac:dyDescent="0.15">
      <c r="K609" s="54"/>
    </row>
    <row r="610" spans="11:11" x14ac:dyDescent="0.15">
      <c r="K610" s="54"/>
    </row>
    <row r="611" spans="11:11" x14ac:dyDescent="0.15">
      <c r="K611" s="54"/>
    </row>
    <row r="612" spans="11:11" x14ac:dyDescent="0.15">
      <c r="K612" s="54"/>
    </row>
    <row r="613" spans="11:11" x14ac:dyDescent="0.15">
      <c r="K613" s="54"/>
    </row>
    <row r="614" spans="11:11" x14ac:dyDescent="0.15">
      <c r="K614" s="54"/>
    </row>
    <row r="615" spans="11:11" x14ac:dyDescent="0.15">
      <c r="K615" s="54"/>
    </row>
    <row r="616" spans="11:11" x14ac:dyDescent="0.15">
      <c r="K616" s="54"/>
    </row>
    <row r="617" spans="11:11" x14ac:dyDescent="0.15">
      <c r="K617" s="54"/>
    </row>
    <row r="618" spans="11:11" x14ac:dyDescent="0.15">
      <c r="K618" s="54"/>
    </row>
    <row r="619" spans="11:11" x14ac:dyDescent="0.15">
      <c r="K619" s="54"/>
    </row>
    <row r="620" spans="11:11" x14ac:dyDescent="0.15">
      <c r="K620" s="54"/>
    </row>
    <row r="621" spans="11:11" x14ac:dyDescent="0.15">
      <c r="K621" s="54"/>
    </row>
    <row r="622" spans="11:11" x14ac:dyDescent="0.15">
      <c r="K622" s="54"/>
    </row>
    <row r="623" spans="11:11" x14ac:dyDescent="0.15">
      <c r="K623" s="54"/>
    </row>
    <row r="624" spans="11:11" x14ac:dyDescent="0.15">
      <c r="K624" s="54"/>
    </row>
    <row r="625" spans="11:11" x14ac:dyDescent="0.15">
      <c r="K625" s="54"/>
    </row>
    <row r="626" spans="11:11" x14ac:dyDescent="0.15">
      <c r="K626" s="54"/>
    </row>
    <row r="627" spans="11:11" x14ac:dyDescent="0.15">
      <c r="K627" s="54"/>
    </row>
    <row r="628" spans="11:11" x14ac:dyDescent="0.15">
      <c r="K628" s="54"/>
    </row>
    <row r="629" spans="11:11" x14ac:dyDescent="0.15">
      <c r="K629" s="54"/>
    </row>
    <row r="630" spans="11:11" x14ac:dyDescent="0.15">
      <c r="K630" s="54"/>
    </row>
    <row r="631" spans="11:11" x14ac:dyDescent="0.15">
      <c r="K631" s="54"/>
    </row>
    <row r="632" spans="11:11" x14ac:dyDescent="0.15">
      <c r="K632" s="54"/>
    </row>
    <row r="633" spans="11:11" x14ac:dyDescent="0.15">
      <c r="K633" s="54"/>
    </row>
    <row r="634" spans="11:11" x14ac:dyDescent="0.15">
      <c r="K634" s="54"/>
    </row>
    <row r="635" spans="11:11" x14ac:dyDescent="0.15">
      <c r="K635" s="54"/>
    </row>
    <row r="636" spans="11:11" x14ac:dyDescent="0.15">
      <c r="K636" s="54"/>
    </row>
    <row r="637" spans="11:11" x14ac:dyDescent="0.15">
      <c r="K637" s="54"/>
    </row>
    <row r="638" spans="11:11" x14ac:dyDescent="0.15">
      <c r="K638" s="54"/>
    </row>
    <row r="639" spans="11:11" x14ac:dyDescent="0.15">
      <c r="K639" s="54"/>
    </row>
    <row r="640" spans="11:11" x14ac:dyDescent="0.15">
      <c r="K640" s="54"/>
    </row>
    <row r="641" spans="11:11" x14ac:dyDescent="0.15">
      <c r="K641" s="54"/>
    </row>
    <row r="642" spans="11:11" x14ac:dyDescent="0.15">
      <c r="K642" s="54"/>
    </row>
    <row r="643" spans="11:11" x14ac:dyDescent="0.15">
      <c r="K643" s="54"/>
    </row>
    <row r="644" spans="11:11" x14ac:dyDescent="0.15">
      <c r="K644" s="54"/>
    </row>
    <row r="645" spans="11:11" x14ac:dyDescent="0.15">
      <c r="K645" s="54"/>
    </row>
    <row r="646" spans="11:11" x14ac:dyDescent="0.15">
      <c r="K646" s="54"/>
    </row>
    <row r="647" spans="11:11" x14ac:dyDescent="0.15">
      <c r="K647" s="54"/>
    </row>
    <row r="648" spans="11:11" x14ac:dyDescent="0.15">
      <c r="K648" s="54"/>
    </row>
    <row r="649" spans="11:11" x14ac:dyDescent="0.15">
      <c r="K649" s="54"/>
    </row>
    <row r="650" spans="11:11" x14ac:dyDescent="0.15">
      <c r="K650" s="54"/>
    </row>
    <row r="651" spans="11:11" x14ac:dyDescent="0.15">
      <c r="K651" s="54"/>
    </row>
    <row r="652" spans="11:11" x14ac:dyDescent="0.15">
      <c r="K652" s="54"/>
    </row>
    <row r="653" spans="11:11" x14ac:dyDescent="0.15">
      <c r="K653" s="54"/>
    </row>
    <row r="654" spans="11:11" x14ac:dyDescent="0.15">
      <c r="K654" s="54"/>
    </row>
    <row r="655" spans="11:11" x14ac:dyDescent="0.15">
      <c r="K655" s="54"/>
    </row>
    <row r="656" spans="11:11" x14ac:dyDescent="0.15">
      <c r="K656" s="54"/>
    </row>
    <row r="657" spans="11:11" x14ac:dyDescent="0.15">
      <c r="K657" s="54"/>
    </row>
    <row r="658" spans="11:11" x14ac:dyDescent="0.15">
      <c r="K658" s="54"/>
    </row>
    <row r="659" spans="11:11" x14ac:dyDescent="0.15">
      <c r="K659" s="54"/>
    </row>
    <row r="660" spans="11:11" x14ac:dyDescent="0.15">
      <c r="K660" s="54"/>
    </row>
    <row r="661" spans="11:11" x14ac:dyDescent="0.15">
      <c r="K661" s="54"/>
    </row>
    <row r="662" spans="11:11" x14ac:dyDescent="0.15">
      <c r="K662" s="54"/>
    </row>
    <row r="663" spans="11:11" x14ac:dyDescent="0.15">
      <c r="K663" s="54"/>
    </row>
    <row r="664" spans="11:11" x14ac:dyDescent="0.15">
      <c r="K664" s="54"/>
    </row>
    <row r="665" spans="11:11" x14ac:dyDescent="0.15">
      <c r="K665" s="54"/>
    </row>
    <row r="666" spans="11:11" x14ac:dyDescent="0.15">
      <c r="K666" s="54"/>
    </row>
    <row r="667" spans="11:11" x14ac:dyDescent="0.15">
      <c r="K667" s="54"/>
    </row>
    <row r="668" spans="11:11" x14ac:dyDescent="0.15">
      <c r="K668" s="54"/>
    </row>
    <row r="669" spans="11:11" x14ac:dyDescent="0.15">
      <c r="K669" s="54"/>
    </row>
    <row r="670" spans="11:11" x14ac:dyDescent="0.15">
      <c r="K670" s="54"/>
    </row>
    <row r="671" spans="11:11" x14ac:dyDescent="0.15">
      <c r="K671" s="54"/>
    </row>
    <row r="672" spans="11:11" x14ac:dyDescent="0.15">
      <c r="K672" s="54"/>
    </row>
    <row r="673" spans="11:11" x14ac:dyDescent="0.15">
      <c r="K673" s="54"/>
    </row>
    <row r="674" spans="11:11" x14ac:dyDescent="0.15">
      <c r="K674" s="54"/>
    </row>
    <row r="675" spans="11:11" x14ac:dyDescent="0.15">
      <c r="K675" s="54"/>
    </row>
    <row r="676" spans="11:11" x14ac:dyDescent="0.15">
      <c r="K676" s="54"/>
    </row>
    <row r="677" spans="11:11" x14ac:dyDescent="0.15">
      <c r="K677" s="54"/>
    </row>
    <row r="678" spans="11:11" x14ac:dyDescent="0.15">
      <c r="K678" s="54"/>
    </row>
    <row r="679" spans="11:11" x14ac:dyDescent="0.15">
      <c r="K679" s="54"/>
    </row>
    <row r="680" spans="11:11" x14ac:dyDescent="0.15">
      <c r="K680" s="54"/>
    </row>
    <row r="681" spans="11:11" x14ac:dyDescent="0.15">
      <c r="K681" s="54"/>
    </row>
    <row r="682" spans="11:11" x14ac:dyDescent="0.15">
      <c r="K682" s="54"/>
    </row>
    <row r="683" spans="11:11" x14ac:dyDescent="0.15">
      <c r="K683" s="54"/>
    </row>
    <row r="684" spans="11:11" x14ac:dyDescent="0.15">
      <c r="K684" s="54"/>
    </row>
    <row r="685" spans="11:11" x14ac:dyDescent="0.15">
      <c r="K685" s="54"/>
    </row>
    <row r="686" spans="11:11" x14ac:dyDescent="0.15">
      <c r="K686" s="54"/>
    </row>
    <row r="687" spans="11:11" x14ac:dyDescent="0.15">
      <c r="K687" s="54"/>
    </row>
    <row r="688" spans="11:11" x14ac:dyDescent="0.15">
      <c r="K688" s="54"/>
    </row>
    <row r="689" spans="11:11" x14ac:dyDescent="0.15">
      <c r="K689" s="54"/>
    </row>
    <row r="690" spans="11:11" x14ac:dyDescent="0.15">
      <c r="K690" s="54"/>
    </row>
    <row r="691" spans="11:11" x14ac:dyDescent="0.15">
      <c r="K691" s="54"/>
    </row>
    <row r="692" spans="11:11" x14ac:dyDescent="0.15">
      <c r="K692" s="54"/>
    </row>
    <row r="693" spans="11:11" x14ac:dyDescent="0.15">
      <c r="K693" s="54"/>
    </row>
    <row r="694" spans="11:11" x14ac:dyDescent="0.15">
      <c r="K694" s="54"/>
    </row>
    <row r="695" spans="11:11" x14ac:dyDescent="0.15">
      <c r="K695" s="54"/>
    </row>
    <row r="696" spans="11:11" x14ac:dyDescent="0.15">
      <c r="K696" s="54"/>
    </row>
    <row r="697" spans="11:11" x14ac:dyDescent="0.15">
      <c r="K697" s="54"/>
    </row>
    <row r="698" spans="11:11" x14ac:dyDescent="0.15">
      <c r="K698" s="54"/>
    </row>
    <row r="699" spans="11:11" x14ac:dyDescent="0.15">
      <c r="K699" s="54"/>
    </row>
    <row r="700" spans="11:11" x14ac:dyDescent="0.15">
      <c r="K700" s="54"/>
    </row>
    <row r="701" spans="11:11" x14ac:dyDescent="0.15">
      <c r="K701" s="54"/>
    </row>
    <row r="702" spans="11:11" x14ac:dyDescent="0.15">
      <c r="K702" s="54"/>
    </row>
    <row r="703" spans="11:11" x14ac:dyDescent="0.15">
      <c r="K703" s="54"/>
    </row>
    <row r="704" spans="11:11" x14ac:dyDescent="0.15">
      <c r="K704" s="54"/>
    </row>
    <row r="705" spans="11:11" x14ac:dyDescent="0.15">
      <c r="K705" s="54"/>
    </row>
    <row r="706" spans="11:11" x14ac:dyDescent="0.15">
      <c r="K706" s="54"/>
    </row>
    <row r="707" spans="11:11" x14ac:dyDescent="0.15">
      <c r="K707" s="54"/>
    </row>
    <row r="708" spans="11:11" x14ac:dyDescent="0.15">
      <c r="K708" s="54"/>
    </row>
    <row r="709" spans="11:11" x14ac:dyDescent="0.15">
      <c r="K709" s="54"/>
    </row>
    <row r="710" spans="11:11" x14ac:dyDescent="0.15">
      <c r="K710" s="54"/>
    </row>
    <row r="711" spans="11:11" x14ac:dyDescent="0.15">
      <c r="K711" s="54"/>
    </row>
    <row r="712" spans="11:11" x14ac:dyDescent="0.15">
      <c r="K712" s="54"/>
    </row>
    <row r="713" spans="11:11" x14ac:dyDescent="0.15">
      <c r="K713" s="54"/>
    </row>
    <row r="714" spans="11:11" x14ac:dyDescent="0.15">
      <c r="K714" s="54"/>
    </row>
    <row r="715" spans="11:11" x14ac:dyDescent="0.15">
      <c r="K715" s="54"/>
    </row>
    <row r="716" spans="11:11" x14ac:dyDescent="0.15">
      <c r="K716" s="54"/>
    </row>
    <row r="717" spans="11:11" x14ac:dyDescent="0.15">
      <c r="K717" s="54"/>
    </row>
    <row r="718" spans="11:11" x14ac:dyDescent="0.15">
      <c r="K718" s="54"/>
    </row>
    <row r="719" spans="11:11" x14ac:dyDescent="0.15">
      <c r="K719" s="54"/>
    </row>
    <row r="720" spans="11:11" x14ac:dyDescent="0.15">
      <c r="K720" s="54"/>
    </row>
    <row r="721" spans="11:11" x14ac:dyDescent="0.15">
      <c r="K721" s="54"/>
    </row>
    <row r="722" spans="11:11" x14ac:dyDescent="0.15">
      <c r="K722" s="54"/>
    </row>
    <row r="723" spans="11:11" x14ac:dyDescent="0.15">
      <c r="K723" s="54"/>
    </row>
    <row r="724" spans="11:11" x14ac:dyDescent="0.15">
      <c r="K724" s="54"/>
    </row>
    <row r="725" spans="11:11" x14ac:dyDescent="0.15">
      <c r="K725" s="54"/>
    </row>
    <row r="726" spans="11:11" x14ac:dyDescent="0.15">
      <c r="K726" s="54"/>
    </row>
    <row r="727" spans="11:11" x14ac:dyDescent="0.15">
      <c r="K727" s="54"/>
    </row>
    <row r="728" spans="11:11" x14ac:dyDescent="0.15">
      <c r="K728" s="54"/>
    </row>
    <row r="729" spans="11:11" x14ac:dyDescent="0.15">
      <c r="K729" s="54"/>
    </row>
    <row r="730" spans="11:11" x14ac:dyDescent="0.15">
      <c r="K730" s="54"/>
    </row>
    <row r="731" spans="11:11" x14ac:dyDescent="0.15">
      <c r="K731" s="54"/>
    </row>
    <row r="732" spans="11:11" x14ac:dyDescent="0.15">
      <c r="K732" s="54"/>
    </row>
    <row r="733" spans="11:11" x14ac:dyDescent="0.15">
      <c r="K733" s="54"/>
    </row>
    <row r="734" spans="11:11" x14ac:dyDescent="0.15">
      <c r="K734" s="54"/>
    </row>
    <row r="735" spans="11:11" x14ac:dyDescent="0.15">
      <c r="K735" s="54"/>
    </row>
    <row r="736" spans="11:11" x14ac:dyDescent="0.15">
      <c r="K736" s="54"/>
    </row>
    <row r="737" spans="11:11" x14ac:dyDescent="0.15">
      <c r="K737" s="54"/>
    </row>
    <row r="738" spans="11:11" x14ac:dyDescent="0.15">
      <c r="K738" s="54"/>
    </row>
    <row r="739" spans="11:11" x14ac:dyDescent="0.15">
      <c r="K739" s="54"/>
    </row>
    <row r="740" spans="11:11" x14ac:dyDescent="0.15">
      <c r="K740" s="54"/>
    </row>
    <row r="741" spans="11:11" x14ac:dyDescent="0.15">
      <c r="K741" s="54"/>
    </row>
    <row r="742" spans="11:11" x14ac:dyDescent="0.15">
      <c r="K742" s="54"/>
    </row>
    <row r="743" spans="11:11" x14ac:dyDescent="0.15">
      <c r="K743" s="54"/>
    </row>
    <row r="744" spans="11:11" x14ac:dyDescent="0.15">
      <c r="K744" s="54"/>
    </row>
    <row r="745" spans="11:11" x14ac:dyDescent="0.15">
      <c r="K745" s="54"/>
    </row>
  </sheetData>
  <phoneticPr fontId="3"/>
  <dataValidations count="12">
    <dataValidation type="list" allowBlank="1" showInputMessage="1" showErrorMessage="1" sqref="K2:K745" xr:uid="{E409217E-2455-4888-82D6-C8F5E3EE3D51}">
      <formula1>$AR$2:$AR$23</formula1>
    </dataValidation>
    <dataValidation type="list" allowBlank="1" showInputMessage="1" showErrorMessage="1" sqref="A2:A432" xr:uid="{AE328D7B-6F1A-4FFC-B85C-7FC90F3CB09C}">
      <formula1>$AE$2:$AE$19</formula1>
    </dataValidation>
    <dataValidation type="list" allowBlank="1" showInputMessage="1" showErrorMessage="1" sqref="Y2:AA433" xr:uid="{2016C380-6200-4989-90FC-5BCC51E6275B}">
      <formula1>$AV$2:$AV$21</formula1>
    </dataValidation>
    <dataValidation type="list" allowBlank="1" showInputMessage="1" showErrorMessage="1" sqref="H2:H433" xr:uid="{B33BC666-0119-4D62-A8FC-C2F068FA5DEB}">
      <formula1>$AL$2:$AL$8</formula1>
    </dataValidation>
    <dataValidation type="list" allowBlank="1" showInputMessage="1" showErrorMessage="1" sqref="X2:X433" xr:uid="{63C12B61-CC9F-433D-A491-B47FFAF95B80}">
      <formula1>$AT$2:$AT$3</formula1>
    </dataValidation>
    <dataValidation type="list" allowBlank="1" showInputMessage="1" showErrorMessage="1" sqref="G2:G433" xr:uid="{9FE9B273-C165-4CEC-8BDE-C255FCF069C3}">
      <formula1>$AJ$2:$AJ$4</formula1>
    </dataValidation>
    <dataValidation type="list" allowBlank="1" showInputMessage="1" showErrorMessage="1" sqref="I2:I433" xr:uid="{021335E8-3B72-4F9A-B133-DC7A82D6F386}">
      <formula1>$AN$5:$AN$6</formula1>
    </dataValidation>
    <dataValidation type="list" allowBlank="1" showInputMessage="1" showErrorMessage="1" sqref="J2:J433" xr:uid="{917C896D-EB2C-487C-BD30-69AEFE37812C}">
      <formula1>$AP$2:$AP$24</formula1>
    </dataValidation>
    <dataValidation type="list" allowBlank="1" showInputMessage="1" showErrorMessage="1" sqref="F2:F433" xr:uid="{3B2F4F1B-33BD-46EE-9A5F-B3233E159041}">
      <formula1>$AH$2:$AH$11</formula1>
    </dataValidation>
    <dataValidation type="list" allowBlank="1" showInputMessage="1" showErrorMessage="1" sqref="E2:E433" xr:uid="{068D043F-2422-4DEF-9293-3D3B7FE67A21}">
      <formula1>$AG$2:$AG$11</formula1>
    </dataValidation>
    <dataValidation type="decimal" allowBlank="1" showInputMessage="1" showErrorMessage="1" error="硬度を正しく入力して下さい。" sqref="O2:P49 O59:P433" xr:uid="{E7CC8C28-878C-41BF-8C66-304D0C500BD2}">
      <formula1>0</formula1>
      <formula2>7</formula2>
    </dataValidation>
    <dataValidation operator="equal" allowBlank="1" showInputMessage="1" showErrorMessage="1" sqref="B2:B109" xr:uid="{317BD90C-F0FF-4444-ADE9-3B63A725D6F4}"/>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B4EED2F-F48E-4C58-BD36-044696D03F94}"/>
</file>

<file path=customXml/itemProps2.xml><?xml version="1.0" encoding="utf-8"?>
<ds:datastoreItem xmlns:ds="http://schemas.openxmlformats.org/officeDocument/2006/customXml" ds:itemID="{0293152E-3C2C-4099-87DF-9F8E45F2848B}"/>
</file>

<file path=customXml/itemProps3.xml><?xml version="1.0" encoding="utf-8"?>
<ds:datastoreItem xmlns:ds="http://schemas.openxmlformats.org/officeDocument/2006/customXml" ds:itemID="{537931DB-AFAB-4755-8D5A-17F2C7461A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2019-05-13T02:29:32Z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