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026"/>
  <workbookPr defaultThemeVersion="124226"/>
  <mc:AlternateContent xmlns:mc="http://schemas.openxmlformats.org/markup-compatibility/2006">
    <mc:Choice Requires="x15">
      <x15ac:absPath xmlns:x15ac="http://schemas.microsoft.com/office/spreadsheetml/2010/11/ac" url="\\192.168.11.200\000_全国共有\2-Zespri\品質調査\2019\40週\"/>
    </mc:Choice>
  </mc:AlternateContent>
  <xr:revisionPtr revIDLastSave="0" documentId="13_ncr:1_{FFBD4C3B-3DBB-4EE7-91E1-BDF5E453352D}"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3" r:id="rId5"/>
    <sheet name="fukuoka" sheetId="24" r:id="rId6"/>
    <sheet name="tokyo-east(ota)" sheetId="21" r:id="rId7"/>
    <sheet name="tokyo-west(kato)" sheetId="22" r:id="rId8"/>
  </sheets>
  <definedNames>
    <definedName name="_xlnm._FilterDatabase" localSheetId="5" hidden="1">fukuoka!$A$1:$BA$145</definedName>
    <definedName name="_xlnm._FilterDatabase" localSheetId="4" hidden="1">hiroshima!$A$1:$BA$1</definedName>
    <definedName name="_xlnm._FilterDatabase" localSheetId="1" hidden="1">miyagi!$A$1:$BA$363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145" i="24" l="1"/>
  <c r="T145" i="24"/>
  <c r="Q145" i="24"/>
  <c r="V144" i="24"/>
  <c r="T144" i="24"/>
  <c r="Q144" i="24"/>
  <c r="V143" i="24"/>
  <c r="T143" i="24"/>
  <c r="Q143" i="24"/>
  <c r="V142" i="24"/>
  <c r="T142" i="24"/>
  <c r="Q142" i="24"/>
  <c r="V141" i="24"/>
  <c r="T141" i="24"/>
  <c r="Q141" i="24"/>
  <c r="V140" i="24"/>
  <c r="T140" i="24"/>
  <c r="Q140" i="24"/>
  <c r="V139" i="24"/>
  <c r="T139" i="24"/>
  <c r="Q139" i="24"/>
  <c r="V138" i="24"/>
  <c r="T138" i="24"/>
  <c r="Q138" i="24"/>
  <c r="V137" i="24"/>
  <c r="T137" i="24"/>
  <c r="Q137" i="24"/>
  <c r="V136" i="24"/>
  <c r="T136" i="24"/>
  <c r="Q136" i="24"/>
  <c r="V135" i="24"/>
  <c r="T135" i="24"/>
  <c r="Q135" i="24"/>
  <c r="V134" i="24"/>
  <c r="T134" i="24"/>
  <c r="Q134" i="24"/>
  <c r="V133" i="24"/>
  <c r="T133" i="24"/>
  <c r="Q133" i="24"/>
  <c r="V132" i="24"/>
  <c r="T132" i="24"/>
  <c r="Q132" i="24"/>
  <c r="V131" i="24"/>
  <c r="T131" i="24"/>
  <c r="Q131" i="24"/>
  <c r="V130" i="24"/>
  <c r="T130" i="24"/>
  <c r="Q130" i="24"/>
  <c r="V129" i="24"/>
  <c r="T129" i="24"/>
  <c r="Q129" i="24"/>
  <c r="V128" i="24"/>
  <c r="T128" i="24"/>
  <c r="Q128" i="24"/>
  <c r="V127" i="24"/>
  <c r="T127" i="24"/>
  <c r="Q127" i="24"/>
  <c r="V126" i="24"/>
  <c r="T126" i="24"/>
  <c r="Q126" i="24"/>
  <c r="V125" i="24"/>
  <c r="T125" i="24"/>
  <c r="Q125" i="24"/>
  <c r="V124" i="24"/>
  <c r="T124" i="24"/>
  <c r="Q124" i="24"/>
  <c r="V123" i="24"/>
  <c r="T123" i="24"/>
  <c r="Q123" i="24"/>
  <c r="V122" i="24"/>
  <c r="T122" i="24"/>
  <c r="Q122" i="24"/>
  <c r="V121" i="24"/>
  <c r="T121" i="24"/>
  <c r="Q121" i="24"/>
  <c r="V120" i="24"/>
  <c r="T120" i="24"/>
  <c r="Q120" i="24"/>
  <c r="V119" i="24"/>
  <c r="T119" i="24"/>
  <c r="Q119" i="24"/>
  <c r="V118" i="24"/>
  <c r="T118" i="24"/>
  <c r="Q118" i="24"/>
  <c r="V117" i="24"/>
  <c r="T117" i="24"/>
  <c r="Q117" i="24"/>
  <c r="V116" i="24"/>
  <c r="T116" i="24"/>
  <c r="Q116" i="24"/>
  <c r="V115" i="24"/>
  <c r="T115" i="24"/>
  <c r="Q115" i="24"/>
  <c r="V114" i="24"/>
  <c r="T114" i="24"/>
  <c r="Q114" i="24"/>
  <c r="V113" i="24"/>
  <c r="T113" i="24"/>
  <c r="Q113" i="24"/>
  <c r="V112" i="24"/>
  <c r="T112" i="24"/>
  <c r="Q112" i="24"/>
  <c r="V111" i="24"/>
  <c r="T111" i="24"/>
  <c r="Q111" i="24"/>
  <c r="V110" i="24"/>
  <c r="T110" i="24"/>
  <c r="Q110" i="24"/>
  <c r="V109" i="24"/>
  <c r="T109" i="24"/>
  <c r="Q109" i="24"/>
  <c r="V108" i="24"/>
  <c r="T108" i="24"/>
  <c r="Q108" i="24"/>
  <c r="V107" i="24"/>
  <c r="T107" i="24"/>
  <c r="Q107" i="24"/>
  <c r="V106" i="24"/>
  <c r="T106" i="24"/>
  <c r="Q106" i="24"/>
  <c r="V105" i="24"/>
  <c r="T105" i="24"/>
  <c r="Q105" i="24"/>
  <c r="V104" i="24"/>
  <c r="T104" i="24"/>
  <c r="Q104" i="24"/>
  <c r="V103" i="24"/>
  <c r="T103" i="24"/>
  <c r="Q103" i="24"/>
  <c r="V102" i="24"/>
  <c r="T102" i="24"/>
  <c r="Q102" i="24"/>
  <c r="V101" i="24"/>
  <c r="T101" i="24"/>
  <c r="Q101" i="24"/>
  <c r="V100" i="24"/>
  <c r="T100" i="24"/>
  <c r="Q100" i="24"/>
  <c r="V99" i="24"/>
  <c r="T99" i="24"/>
  <c r="Q99" i="24"/>
  <c r="V98" i="24"/>
  <c r="T98" i="24"/>
  <c r="Q98" i="24"/>
  <c r="V97" i="24"/>
  <c r="T97" i="24"/>
  <c r="Q97" i="24"/>
  <c r="V96" i="24"/>
  <c r="T96" i="24"/>
  <c r="Q96" i="24"/>
  <c r="V95" i="24"/>
  <c r="T95" i="24"/>
  <c r="Q95" i="24"/>
  <c r="V94" i="24"/>
  <c r="T94" i="24"/>
  <c r="Q94" i="24"/>
  <c r="V61" i="24"/>
  <c r="T61" i="24"/>
  <c r="Q61" i="24"/>
  <c r="V60" i="24"/>
  <c r="T60" i="24"/>
  <c r="Q60" i="24"/>
  <c r="V59" i="24"/>
  <c r="T59" i="24"/>
  <c r="Q59" i="24"/>
  <c r="V58" i="24"/>
  <c r="T58" i="24"/>
  <c r="Q58" i="24"/>
  <c r="V57" i="24"/>
  <c r="T57" i="24"/>
  <c r="Q57" i="24"/>
  <c r="V56" i="24"/>
  <c r="T56" i="24"/>
  <c r="Q56" i="24"/>
  <c r="V55" i="24"/>
  <c r="T55" i="24"/>
  <c r="Q55" i="24"/>
  <c r="V54" i="24"/>
  <c r="T54" i="24"/>
  <c r="Q54" i="24"/>
  <c r="V53" i="24"/>
  <c r="T53" i="24"/>
  <c r="Q53" i="24"/>
  <c r="V52" i="24"/>
  <c r="T52" i="24"/>
  <c r="Q52" i="24"/>
  <c r="V51" i="24"/>
  <c r="T51" i="24"/>
  <c r="Q51" i="24"/>
  <c r="V50" i="24"/>
  <c r="T50" i="24"/>
  <c r="Q50" i="24"/>
  <c r="V49" i="24"/>
  <c r="T49" i="24"/>
  <c r="Q49" i="24"/>
  <c r="V48" i="24"/>
  <c r="T48" i="24"/>
  <c r="Q48" i="24"/>
  <c r="V47" i="24"/>
  <c r="T47" i="24"/>
  <c r="Q47" i="24"/>
  <c r="V46" i="24"/>
  <c r="T46" i="24"/>
  <c r="Q46" i="24"/>
  <c r="V45" i="24"/>
  <c r="T45" i="24"/>
  <c r="Q45" i="24"/>
  <c r="V44" i="24"/>
  <c r="T44" i="24"/>
  <c r="Q44" i="24"/>
  <c r="V43" i="24"/>
  <c r="T43" i="24"/>
  <c r="Q43" i="24"/>
  <c r="V42" i="24"/>
  <c r="T42" i="24"/>
  <c r="Q42" i="24"/>
  <c r="V41" i="24"/>
  <c r="T41" i="24"/>
  <c r="Q41" i="24"/>
  <c r="V40" i="24"/>
  <c r="T40" i="24"/>
  <c r="Q40" i="24"/>
  <c r="V39" i="24"/>
  <c r="T39" i="24"/>
  <c r="Q39" i="24"/>
  <c r="V38" i="24"/>
  <c r="T38" i="24"/>
  <c r="Q38" i="24"/>
  <c r="V37" i="24"/>
  <c r="T37" i="24"/>
  <c r="Q37" i="24"/>
  <c r="V36" i="24"/>
  <c r="T36" i="24"/>
  <c r="Q36" i="24"/>
  <c r="V35" i="24"/>
  <c r="T35" i="24"/>
  <c r="Q35" i="24"/>
  <c r="V34" i="24"/>
  <c r="T34" i="24"/>
  <c r="Q34" i="24"/>
  <c r="V33" i="24"/>
  <c r="T33" i="24"/>
  <c r="Q33" i="24"/>
  <c r="V32" i="24"/>
  <c r="T32" i="24"/>
  <c r="Q32" i="24"/>
  <c r="V31" i="24"/>
  <c r="T31" i="24"/>
  <c r="Q31" i="24"/>
  <c r="V30" i="24"/>
  <c r="T30" i="24"/>
  <c r="Q30" i="24"/>
  <c r="V29" i="24"/>
  <c r="T29" i="24"/>
  <c r="Q29" i="24"/>
  <c r="V28" i="24"/>
  <c r="T28" i="24"/>
  <c r="Q28" i="24"/>
  <c r="V27" i="24"/>
  <c r="T27" i="24"/>
  <c r="Q27" i="24"/>
  <c r="V26" i="24"/>
  <c r="T26" i="24"/>
  <c r="Q26" i="24"/>
  <c r="V25" i="24"/>
  <c r="T25" i="24"/>
  <c r="Q25" i="24"/>
  <c r="V24" i="24"/>
  <c r="T24" i="24"/>
  <c r="Q24" i="24"/>
  <c r="V23" i="24"/>
  <c r="T23" i="24"/>
  <c r="Q23" i="24"/>
  <c r="V22" i="24"/>
  <c r="T22" i="24"/>
  <c r="Q22" i="24"/>
  <c r="V21" i="24"/>
  <c r="T21" i="24"/>
  <c r="Q21" i="24"/>
  <c r="V20" i="24"/>
  <c r="T20" i="24"/>
  <c r="Q20" i="24"/>
  <c r="V19" i="24"/>
  <c r="T19" i="24"/>
  <c r="Q19" i="24"/>
  <c r="V18" i="24"/>
  <c r="T18" i="24"/>
  <c r="Q18" i="24"/>
  <c r="V17" i="24"/>
  <c r="T17" i="24"/>
  <c r="Q17" i="24"/>
  <c r="V16" i="24"/>
  <c r="T16" i="24"/>
  <c r="Q16" i="24"/>
  <c r="V15" i="24"/>
  <c r="T15" i="24"/>
  <c r="Q15" i="24"/>
  <c r="V14" i="24"/>
  <c r="T14" i="24"/>
  <c r="Q14" i="24"/>
  <c r="V13" i="24"/>
  <c r="T13" i="24"/>
  <c r="Q13" i="24"/>
  <c r="V12" i="24"/>
  <c r="T12" i="24"/>
  <c r="Q12" i="24"/>
  <c r="V11" i="24"/>
  <c r="T11" i="24"/>
  <c r="Q11" i="24"/>
  <c r="V10" i="24"/>
  <c r="T10" i="24"/>
  <c r="Q10" i="24"/>
  <c r="V9" i="24"/>
  <c r="T9" i="24"/>
  <c r="Q9" i="24"/>
  <c r="V8" i="24"/>
  <c r="T8" i="24"/>
  <c r="Q8" i="24"/>
  <c r="V7" i="24"/>
  <c r="T7" i="24"/>
  <c r="Q7" i="24"/>
  <c r="V6" i="24"/>
  <c r="T6" i="24"/>
  <c r="Q6" i="24"/>
  <c r="V5" i="24"/>
  <c r="T5" i="24"/>
  <c r="Q5" i="24"/>
  <c r="V4" i="24"/>
  <c r="T4" i="24"/>
  <c r="Q4" i="24"/>
  <c r="V3" i="24"/>
  <c r="T3" i="24"/>
  <c r="Q3" i="24"/>
  <c r="V2" i="24"/>
  <c r="T2" i="24"/>
  <c r="Q2" i="24"/>
  <c r="T76" i="23" l="1"/>
  <c r="V76" i="23" s="1"/>
  <c r="Q76" i="23"/>
  <c r="T75" i="23"/>
  <c r="V75" i="23" s="1"/>
  <c r="Q75" i="23"/>
  <c r="T74" i="23"/>
  <c r="V74" i="23" s="1"/>
  <c r="Q74"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88" i="22" l="1"/>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T91" i="21" l="1"/>
  <c r="V91" i="21" s="1"/>
  <c r="Q91" i="21"/>
  <c r="T90" i="21"/>
  <c r="V90" i="21" s="1"/>
  <c r="Q90" i="21"/>
  <c r="T89" i="21"/>
  <c r="V89" i="21" s="1"/>
  <c r="Q89" i="21"/>
  <c r="T88" i="21"/>
  <c r="V88" i="21" s="1"/>
  <c r="Q88" i="21"/>
  <c r="T87" i="21"/>
  <c r="V87" i="21" s="1"/>
  <c r="Q87" i="21"/>
  <c r="T86" i="21"/>
  <c r="V86" i="21" s="1"/>
  <c r="Q86" i="21"/>
  <c r="T85" i="21"/>
  <c r="V85" i="21" s="1"/>
  <c r="Q85" i="21"/>
  <c r="T84" i="21"/>
  <c r="V84" i="21" s="1"/>
  <c r="Q84" i="21"/>
  <c r="T83" i="21"/>
  <c r="V83" i="21" s="1"/>
  <c r="Q83" i="21"/>
  <c r="T82" i="21"/>
  <c r="V82" i="21" s="1"/>
  <c r="Q82" i="21"/>
  <c r="T81" i="21"/>
  <c r="V81" i="21" s="1"/>
  <c r="Q81" i="21"/>
  <c r="T80" i="21"/>
  <c r="V80" i="21" s="1"/>
  <c r="Q80"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63" i="18" l="1"/>
  <c r="T362" i="18"/>
  <c r="T361" i="18"/>
  <c r="T360" i="18"/>
  <c r="T359" i="18"/>
  <c r="T358" i="18"/>
  <c r="T357" i="18"/>
  <c r="T356" i="18"/>
  <c r="T355" i="18"/>
  <c r="T354" i="18"/>
  <c r="T353" i="18"/>
  <c r="T352" i="18"/>
  <c r="T351" i="18"/>
  <c r="T350" i="18"/>
  <c r="T349" i="18"/>
  <c r="T348" i="18"/>
  <c r="T347" i="18"/>
  <c r="T346" i="18"/>
  <c r="T345" i="18"/>
  <c r="T344" i="18"/>
  <c r="T343" i="18"/>
  <c r="V343" i="18" s="1"/>
  <c r="T342" i="18"/>
  <c r="V342" i="18" s="1"/>
  <c r="T341" i="18"/>
  <c r="V341" i="18" s="1"/>
  <c r="T340" i="18"/>
  <c r="V340" i="18" s="1"/>
  <c r="T339" i="18"/>
  <c r="V339" i="18" s="1"/>
  <c r="T338" i="18"/>
  <c r="V338" i="18" s="1"/>
  <c r="V337" i="18"/>
  <c r="T337" i="18"/>
  <c r="T336" i="18"/>
  <c r="V336" i="18" s="1"/>
  <c r="V335" i="18"/>
  <c r="T335" i="18"/>
  <c r="Q335" i="18"/>
  <c r="T334" i="18"/>
  <c r="V334" i="18" s="1"/>
  <c r="Q334" i="18"/>
  <c r="V333" i="18"/>
  <c r="T333" i="18"/>
  <c r="Q333" i="18"/>
  <c r="T332" i="18"/>
  <c r="V332" i="18" s="1"/>
  <c r="Q332" i="18"/>
  <c r="V331" i="18"/>
  <c r="T331" i="18"/>
  <c r="Q331" i="18"/>
  <c r="T330" i="18"/>
  <c r="V330" i="18" s="1"/>
  <c r="Q330" i="18"/>
  <c r="V329" i="18"/>
  <c r="T329" i="18"/>
  <c r="Q329" i="18"/>
  <c r="T328" i="18"/>
  <c r="V328" i="18" s="1"/>
  <c r="Q328" i="18"/>
  <c r="V327" i="18"/>
  <c r="T327" i="18"/>
  <c r="Q327" i="18"/>
  <c r="T326" i="18"/>
  <c r="V326" i="18" s="1"/>
  <c r="Q326" i="18"/>
  <c r="V325" i="18"/>
  <c r="T325" i="18"/>
  <c r="Q325" i="18"/>
  <c r="T324" i="18"/>
  <c r="V324" i="18" s="1"/>
  <c r="Q324" i="18"/>
  <c r="V323" i="18"/>
  <c r="T323" i="18"/>
  <c r="Q323" i="18"/>
  <c r="T322" i="18"/>
  <c r="V322" i="18" s="1"/>
  <c r="Q322" i="18"/>
  <c r="V321" i="18"/>
  <c r="T321" i="18"/>
  <c r="Q321" i="18"/>
  <c r="T320" i="18"/>
  <c r="V320" i="18" s="1"/>
  <c r="Q320" i="18"/>
  <c r="V319" i="18"/>
  <c r="T319" i="18"/>
  <c r="Q319" i="18"/>
  <c r="T318" i="18"/>
  <c r="V318" i="18" s="1"/>
  <c r="Q318" i="18"/>
  <c r="V317" i="18"/>
  <c r="T317" i="18"/>
  <c r="Q317" i="18"/>
  <c r="T316" i="18"/>
  <c r="V316" i="18" s="1"/>
  <c r="Q316" i="18"/>
  <c r="V315" i="18"/>
  <c r="T315" i="18"/>
  <c r="Q315" i="18"/>
  <c r="T314" i="18"/>
  <c r="V314" i="18" s="1"/>
  <c r="Q314" i="18"/>
  <c r="V313" i="18"/>
  <c r="T313" i="18"/>
  <c r="Q313" i="18"/>
  <c r="T312" i="18"/>
  <c r="V312" i="18" s="1"/>
  <c r="Q312" i="18"/>
  <c r="V311" i="18"/>
  <c r="T311" i="18"/>
  <c r="Q311" i="18"/>
  <c r="T310" i="18"/>
  <c r="V310" i="18" s="1"/>
  <c r="Q310" i="18"/>
  <c r="V309" i="18"/>
  <c r="T309" i="18"/>
  <c r="Q309" i="18"/>
  <c r="T308" i="18"/>
  <c r="V308" i="18" s="1"/>
  <c r="Q308" i="18"/>
  <c r="V307" i="18"/>
  <c r="T307" i="18"/>
  <c r="Q307" i="18"/>
  <c r="T306" i="18"/>
  <c r="V306" i="18" s="1"/>
  <c r="Q306" i="18"/>
  <c r="V305" i="18"/>
  <c r="T305" i="18"/>
  <c r="Q305" i="18"/>
  <c r="T304" i="18"/>
  <c r="V304" i="18" s="1"/>
  <c r="Q304" i="18"/>
  <c r="V303" i="18"/>
  <c r="T303" i="18"/>
  <c r="Q303" i="18"/>
  <c r="T302" i="18"/>
  <c r="V302" i="18" s="1"/>
  <c r="Q302" i="18"/>
  <c r="V301" i="18"/>
  <c r="T301" i="18"/>
  <c r="Q301" i="18"/>
  <c r="T300" i="18"/>
  <c r="V300" i="18" s="1"/>
  <c r="Q300" i="18"/>
  <c r="V299" i="18"/>
  <c r="T299" i="18"/>
  <c r="Q299" i="18"/>
  <c r="T298" i="18"/>
  <c r="V298" i="18" s="1"/>
  <c r="Q298" i="18"/>
  <c r="V297" i="18"/>
  <c r="T297" i="18"/>
  <c r="Q297" i="18"/>
  <c r="T296" i="18"/>
  <c r="V296" i="18" s="1"/>
  <c r="Q296" i="18"/>
  <c r="V295" i="18"/>
  <c r="T295" i="18"/>
  <c r="Q295" i="18"/>
  <c r="T294" i="18"/>
  <c r="V294" i="18" s="1"/>
  <c r="Q294" i="18"/>
  <c r="V293" i="18"/>
  <c r="T293" i="18"/>
  <c r="Q293" i="18"/>
  <c r="T292" i="18"/>
  <c r="V292" i="18" s="1"/>
  <c r="Q292" i="18"/>
  <c r="V291" i="18"/>
  <c r="T291" i="18"/>
  <c r="Q291" i="18"/>
  <c r="T290" i="18"/>
  <c r="V290" i="18" s="1"/>
  <c r="Q290" i="18"/>
  <c r="V289" i="18"/>
  <c r="T289" i="18"/>
  <c r="Q289" i="18"/>
  <c r="T288" i="18"/>
  <c r="V288" i="18" s="1"/>
  <c r="Q288" i="18"/>
  <c r="V287" i="18"/>
  <c r="T287" i="18"/>
  <c r="Q287" i="18"/>
  <c r="T286" i="18"/>
  <c r="V286" i="18" s="1"/>
  <c r="Q286" i="18"/>
  <c r="V285" i="18"/>
  <c r="T285" i="18"/>
  <c r="Q285" i="18"/>
  <c r="T284" i="18"/>
  <c r="V284" i="18" s="1"/>
  <c r="Q284" i="18"/>
  <c r="V283" i="18"/>
  <c r="T283" i="18"/>
  <c r="Q283" i="18"/>
  <c r="T282" i="18"/>
  <c r="V282" i="18" s="1"/>
  <c r="Q282" i="18"/>
  <c r="V281" i="18"/>
  <c r="T281" i="18"/>
  <c r="Q281" i="18"/>
  <c r="T280" i="18"/>
  <c r="V280" i="18" s="1"/>
  <c r="Q280" i="18"/>
  <c r="V279" i="18"/>
  <c r="T279" i="18"/>
  <c r="Q279" i="18"/>
  <c r="T278" i="18"/>
  <c r="V278" i="18" s="1"/>
  <c r="Q278" i="18"/>
  <c r="V277" i="18"/>
  <c r="T277" i="18"/>
  <c r="Q277" i="18"/>
  <c r="T276" i="18"/>
  <c r="V276" i="18" s="1"/>
  <c r="Q276" i="18"/>
  <c r="V275" i="18"/>
  <c r="T275" i="18"/>
  <c r="Q275" i="18"/>
  <c r="T274" i="18"/>
  <c r="V274" i="18" s="1"/>
  <c r="Q274" i="18"/>
  <c r="V273" i="18"/>
  <c r="T273" i="18"/>
  <c r="Q273" i="18"/>
  <c r="T272" i="18"/>
  <c r="V272" i="18" s="1"/>
  <c r="Q272" i="18"/>
  <c r="V271" i="18"/>
  <c r="T271" i="18"/>
  <c r="Q271" i="18"/>
  <c r="T270" i="18"/>
  <c r="V270" i="18" s="1"/>
  <c r="Q270" i="18"/>
  <c r="V269" i="18"/>
  <c r="T269" i="18"/>
  <c r="Q269" i="18"/>
  <c r="T268" i="18"/>
  <c r="V268" i="18" s="1"/>
  <c r="Q268" i="18"/>
  <c r="V267" i="18"/>
  <c r="T267" i="18"/>
  <c r="Q267" i="18"/>
  <c r="T266" i="18"/>
  <c r="V266" i="18" s="1"/>
  <c r="Q266" i="18"/>
  <c r="V265" i="18"/>
  <c r="T265" i="18"/>
  <c r="Q265" i="18"/>
  <c r="T264" i="18"/>
  <c r="V264" i="18" s="1"/>
  <c r="Q264" i="18"/>
  <c r="V263" i="18"/>
  <c r="T263" i="18"/>
  <c r="Q263" i="18"/>
  <c r="T262" i="18"/>
  <c r="V262" i="18" s="1"/>
  <c r="Q262" i="18"/>
  <c r="V261" i="18"/>
  <c r="T261" i="18"/>
  <c r="Q261" i="18"/>
  <c r="T260" i="18"/>
  <c r="V260" i="18" s="1"/>
  <c r="Q260" i="18"/>
  <c r="V259" i="18"/>
  <c r="T259" i="18"/>
  <c r="Q259" i="18"/>
  <c r="T258" i="18"/>
  <c r="V258" i="18" s="1"/>
  <c r="Q258" i="18"/>
  <c r="V257" i="18"/>
  <c r="T257" i="18"/>
  <c r="Q257" i="18"/>
  <c r="T256" i="18"/>
  <c r="V256" i="18" s="1"/>
  <c r="Q256" i="18"/>
  <c r="V255" i="18"/>
  <c r="T255" i="18"/>
  <c r="Q255" i="18"/>
  <c r="T254" i="18"/>
  <c r="V254" i="18" s="1"/>
  <c r="Q254" i="18"/>
  <c r="V253" i="18"/>
  <c r="T253" i="18"/>
  <c r="Q253" i="18"/>
  <c r="T252" i="18"/>
  <c r="V252" i="18" s="1"/>
  <c r="Q252" i="18"/>
  <c r="V251" i="18"/>
  <c r="T251" i="18"/>
  <c r="Q251" i="18"/>
  <c r="T250" i="18"/>
  <c r="V250" i="18" s="1"/>
  <c r="Q250" i="18"/>
  <c r="V249" i="18"/>
  <c r="T249" i="18"/>
  <c r="Q249" i="18"/>
  <c r="T248" i="18"/>
  <c r="V248" i="18" s="1"/>
  <c r="Q248" i="18"/>
  <c r="V247" i="18"/>
  <c r="T247" i="18"/>
  <c r="Q247" i="18"/>
  <c r="T246" i="18"/>
  <c r="V246" i="18" s="1"/>
  <c r="Q246" i="18"/>
  <c r="V245" i="18"/>
  <c r="T245" i="18"/>
  <c r="Q245" i="18"/>
  <c r="T244" i="18"/>
  <c r="V244" i="18" s="1"/>
  <c r="Q244" i="18"/>
  <c r="V243" i="18"/>
  <c r="T243" i="18"/>
  <c r="Q243" i="18"/>
  <c r="T242" i="18"/>
  <c r="V242" i="18" s="1"/>
  <c r="Q242" i="18"/>
  <c r="V241" i="18"/>
  <c r="T241" i="18"/>
  <c r="Q241" i="18"/>
  <c r="T240" i="18"/>
  <c r="V240" i="18" s="1"/>
  <c r="Q240" i="18"/>
  <c r="V239" i="18"/>
  <c r="T239" i="18"/>
  <c r="Q239" i="18"/>
  <c r="T238" i="18"/>
  <c r="V238" i="18" s="1"/>
  <c r="Q238" i="18"/>
  <c r="V237" i="18"/>
  <c r="T237" i="18"/>
  <c r="Q237" i="18"/>
  <c r="T236" i="18"/>
  <c r="V236" i="18" s="1"/>
  <c r="Q236" i="18"/>
  <c r="V235" i="18"/>
  <c r="T235" i="18"/>
  <c r="Q235" i="18"/>
  <c r="T234" i="18"/>
  <c r="V234" i="18" s="1"/>
  <c r="Q234" i="18"/>
  <c r="V233" i="18"/>
  <c r="T233" i="18"/>
  <c r="Q233" i="18"/>
  <c r="T232" i="18"/>
  <c r="V232" i="18" s="1"/>
  <c r="Q232" i="18"/>
  <c r="V231" i="18"/>
  <c r="T231" i="18"/>
  <c r="Q231" i="18"/>
  <c r="T230" i="18"/>
  <c r="V230" i="18" s="1"/>
  <c r="Q230" i="18"/>
  <c r="V229" i="18"/>
  <c r="T229" i="18"/>
  <c r="Q229" i="18"/>
  <c r="T228" i="18"/>
  <c r="V228" i="18" s="1"/>
  <c r="Q228" i="18"/>
  <c r="V227" i="18"/>
  <c r="T227" i="18"/>
  <c r="Q227" i="18"/>
  <c r="T226" i="18"/>
  <c r="V226" i="18" s="1"/>
  <c r="Q226" i="18"/>
  <c r="V225" i="18"/>
  <c r="T225" i="18"/>
  <c r="Q225" i="18"/>
  <c r="T224" i="18"/>
  <c r="V224" i="18" s="1"/>
  <c r="Q224" i="18"/>
  <c r="V223" i="18"/>
  <c r="T223" i="18"/>
  <c r="Q223" i="18"/>
  <c r="T222" i="18"/>
  <c r="V222" i="18" s="1"/>
  <c r="Q222" i="18"/>
  <c r="V221" i="18"/>
  <c r="T221" i="18"/>
  <c r="Q221" i="18"/>
  <c r="T220" i="18"/>
  <c r="V220" i="18" s="1"/>
  <c r="Q220" i="18"/>
  <c r="V219" i="18"/>
  <c r="T219" i="18"/>
  <c r="Q219" i="18"/>
  <c r="T218" i="18"/>
  <c r="V218" i="18" s="1"/>
  <c r="Q218" i="18"/>
  <c r="V217" i="18"/>
  <c r="T217" i="18"/>
  <c r="Q217" i="18"/>
  <c r="T216" i="18"/>
  <c r="V216" i="18" s="1"/>
  <c r="Q216" i="18"/>
  <c r="V215" i="18"/>
  <c r="T215" i="18"/>
  <c r="Q215" i="18"/>
  <c r="T214" i="18"/>
  <c r="V214" i="18" s="1"/>
  <c r="Q214" i="18"/>
  <c r="V213" i="18"/>
  <c r="T213" i="18"/>
  <c r="Q213" i="18"/>
  <c r="T212" i="18"/>
  <c r="V212" i="18" s="1"/>
  <c r="Q212" i="18"/>
  <c r="V211" i="18"/>
  <c r="T211" i="18"/>
  <c r="Q211" i="18"/>
  <c r="T210" i="18"/>
  <c r="V210" i="18" s="1"/>
  <c r="Q210" i="18"/>
  <c r="V209" i="18"/>
  <c r="T209" i="18"/>
  <c r="Q209" i="18"/>
  <c r="T208" i="18"/>
  <c r="V208" i="18" s="1"/>
  <c r="Q208" i="18"/>
  <c r="V207" i="18"/>
  <c r="T207" i="18"/>
  <c r="Q207" i="18"/>
  <c r="T206" i="18"/>
  <c r="V206" i="18" s="1"/>
  <c r="Q206" i="18"/>
  <c r="V205" i="18"/>
  <c r="T205" i="18"/>
  <c r="Q205" i="18"/>
  <c r="T204" i="18"/>
  <c r="V204" i="18" s="1"/>
  <c r="Q204" i="18"/>
  <c r="V203" i="18"/>
  <c r="T203" i="18"/>
  <c r="Q203" i="18"/>
  <c r="T202" i="18"/>
  <c r="V202" i="18" s="1"/>
  <c r="Q202" i="18"/>
  <c r="V201" i="18"/>
  <c r="T201" i="18"/>
  <c r="Q201" i="18"/>
  <c r="T200" i="18"/>
  <c r="V200" i="18" s="1"/>
  <c r="Q200" i="18"/>
  <c r="V199" i="18"/>
  <c r="T199" i="18"/>
  <c r="Q199" i="18"/>
  <c r="T198" i="18"/>
  <c r="V198" i="18" s="1"/>
  <c r="Q198" i="18"/>
  <c r="V197" i="18"/>
  <c r="T197" i="18"/>
  <c r="Q197" i="18"/>
  <c r="T196" i="18"/>
  <c r="V196" i="18" s="1"/>
  <c r="Q196" i="18"/>
  <c r="V195" i="18"/>
  <c r="T195" i="18"/>
  <c r="Q195" i="18"/>
  <c r="T194" i="18"/>
  <c r="V194" i="18" s="1"/>
  <c r="Q194" i="18"/>
  <c r="V193" i="18"/>
  <c r="T193" i="18"/>
  <c r="Q193" i="18"/>
  <c r="T192" i="18"/>
  <c r="V192" i="18" s="1"/>
  <c r="Q192" i="18"/>
  <c r="V191" i="18"/>
  <c r="T191" i="18"/>
  <c r="Q191" i="18"/>
  <c r="T190" i="18"/>
  <c r="V190" i="18" s="1"/>
  <c r="Q190" i="18"/>
  <c r="V189" i="18"/>
  <c r="T189" i="18"/>
  <c r="Q189" i="18"/>
  <c r="T188" i="18"/>
  <c r="V188" i="18" s="1"/>
  <c r="Q188" i="18"/>
  <c r="V187" i="18"/>
  <c r="T187" i="18"/>
  <c r="Q187" i="18"/>
  <c r="T186" i="18"/>
  <c r="V186" i="18" s="1"/>
  <c r="Q186" i="18"/>
  <c r="V185" i="18"/>
  <c r="T185" i="18"/>
  <c r="Q185" i="18"/>
  <c r="T184" i="18"/>
  <c r="V184" i="18" s="1"/>
  <c r="Q184" i="18"/>
  <c r="V183" i="18"/>
  <c r="T183" i="18"/>
  <c r="Q183" i="18"/>
  <c r="T182" i="18"/>
  <c r="V182" i="18" s="1"/>
  <c r="Q182" i="18"/>
  <c r="V181" i="18"/>
  <c r="T181" i="18"/>
  <c r="Q181" i="18"/>
  <c r="T180" i="18"/>
  <c r="V180" i="18" s="1"/>
  <c r="Q180" i="18"/>
  <c r="V179" i="18"/>
  <c r="T179" i="18"/>
  <c r="Q179" i="18"/>
  <c r="T178" i="18"/>
  <c r="V178" i="18" s="1"/>
  <c r="Q178" i="18"/>
  <c r="V177" i="18"/>
  <c r="T177" i="18"/>
  <c r="Q177" i="18"/>
  <c r="T176" i="18"/>
  <c r="V176" i="18" s="1"/>
  <c r="Q176" i="18"/>
  <c r="V175" i="18"/>
  <c r="T175" i="18"/>
  <c r="Q175" i="18"/>
  <c r="T174" i="18"/>
  <c r="V174" i="18" s="1"/>
  <c r="Q174" i="18"/>
  <c r="V173" i="18"/>
  <c r="T173" i="18"/>
  <c r="Q173" i="18"/>
  <c r="T172" i="18"/>
  <c r="V172" i="18" s="1"/>
  <c r="Q172" i="18"/>
  <c r="V171" i="18"/>
  <c r="T171" i="18"/>
  <c r="Q171" i="18"/>
  <c r="T170" i="18"/>
  <c r="V170" i="18" s="1"/>
  <c r="Q170" i="18"/>
  <c r="V169" i="18"/>
  <c r="T169" i="18"/>
  <c r="Q169" i="18"/>
  <c r="T168" i="18"/>
  <c r="V168" i="18" s="1"/>
  <c r="Q168" i="18"/>
  <c r="V167" i="18"/>
  <c r="T167" i="18"/>
  <c r="Q167" i="18"/>
  <c r="T166" i="18"/>
  <c r="V166" i="18" s="1"/>
  <c r="Q166" i="18"/>
  <c r="V165" i="18"/>
  <c r="T165" i="18"/>
  <c r="Q165" i="18"/>
  <c r="T164" i="18"/>
  <c r="V164" i="18" s="1"/>
  <c r="Q164" i="18"/>
  <c r="V163" i="18"/>
  <c r="T163" i="18"/>
  <c r="Q163" i="18"/>
  <c r="T162" i="18"/>
  <c r="V162" i="18" s="1"/>
  <c r="Q162" i="18"/>
  <c r="V161" i="18"/>
  <c r="T161" i="18"/>
  <c r="Q161" i="18"/>
  <c r="T160" i="18"/>
  <c r="V160" i="18" s="1"/>
  <c r="Q160" i="18"/>
  <c r="V159" i="18"/>
  <c r="T159" i="18"/>
  <c r="Q159" i="18"/>
  <c r="T158" i="18"/>
  <c r="V158" i="18" s="1"/>
  <c r="Q158" i="18"/>
  <c r="V157" i="18"/>
  <c r="T157" i="18"/>
  <c r="Q157" i="18"/>
  <c r="T156" i="18"/>
  <c r="V156" i="18" s="1"/>
  <c r="Q156" i="18"/>
  <c r="V155" i="18"/>
  <c r="T155" i="18"/>
  <c r="Q155" i="18"/>
  <c r="T154" i="18"/>
  <c r="V154" i="18" s="1"/>
  <c r="Q154" i="18"/>
  <c r="V153" i="18"/>
  <c r="T153" i="18"/>
  <c r="Q153" i="18"/>
  <c r="T152" i="18"/>
  <c r="V152" i="18" s="1"/>
  <c r="Q152" i="18"/>
  <c r="V151" i="18"/>
  <c r="T151" i="18"/>
  <c r="Q151" i="18"/>
  <c r="T150" i="18"/>
  <c r="V150" i="18" s="1"/>
  <c r="Q150" i="18"/>
  <c r="V149" i="18"/>
  <c r="T149" i="18"/>
  <c r="Q149" i="18"/>
  <c r="T148" i="18"/>
  <c r="V148" i="18" s="1"/>
  <c r="Q148" i="18"/>
  <c r="V147" i="18"/>
  <c r="T147" i="18"/>
  <c r="Q147" i="18"/>
  <c r="T146" i="18"/>
  <c r="V146" i="18" s="1"/>
  <c r="Q146" i="18"/>
  <c r="V145" i="18"/>
  <c r="T145" i="18"/>
  <c r="Q145" i="18"/>
  <c r="T144" i="18"/>
  <c r="V144" i="18" s="1"/>
  <c r="Q144" i="18"/>
  <c r="V143" i="18"/>
  <c r="T143" i="18"/>
  <c r="Q143" i="18"/>
  <c r="T142" i="18"/>
  <c r="V142" i="18" s="1"/>
  <c r="Q142" i="18"/>
  <c r="V141" i="18"/>
  <c r="T141" i="18"/>
  <c r="Q141" i="18"/>
  <c r="T140" i="18"/>
  <c r="V140" i="18" s="1"/>
  <c r="Q140" i="18"/>
  <c r="V139" i="18"/>
  <c r="T139" i="18"/>
  <c r="Q139" i="18"/>
  <c r="T138" i="18"/>
  <c r="V138" i="18" s="1"/>
  <c r="Q138" i="18"/>
  <c r="V137" i="18"/>
  <c r="T137" i="18"/>
  <c r="Q137" i="18"/>
  <c r="T136" i="18"/>
  <c r="V136" i="18" s="1"/>
  <c r="Q136" i="18"/>
  <c r="V135" i="18"/>
  <c r="T135" i="18"/>
  <c r="Q135" i="18"/>
  <c r="T134" i="18"/>
  <c r="V134" i="18" s="1"/>
  <c r="Q134"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Q91" i="18"/>
  <c r="T90" i="18"/>
  <c r="Q90" i="18"/>
  <c r="T89" i="18"/>
  <c r="Q89" i="18"/>
  <c r="T88" i="18"/>
  <c r="Q88" i="18"/>
  <c r="T87" i="18"/>
  <c r="Q87" i="18"/>
  <c r="T86" i="18"/>
  <c r="Q86" i="18"/>
  <c r="T85" i="18"/>
  <c r="Q85" i="18"/>
  <c r="T84" i="18"/>
  <c r="Q84" i="18"/>
  <c r="T83" i="18"/>
  <c r="Q83" i="18"/>
  <c r="T82" i="18"/>
  <c r="Q82" i="18"/>
  <c r="T81" i="18"/>
  <c r="Q81" i="18"/>
  <c r="T80" i="18"/>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V42" i="18"/>
  <c r="T42" i="18"/>
  <c r="T41" i="18"/>
  <c r="V41" i="18" s="1"/>
  <c r="T40" i="18"/>
  <c r="V40" i="18" s="1"/>
  <c r="V39" i="18"/>
  <c r="T39" i="18"/>
  <c r="V38" i="18"/>
  <c r="T38" i="18"/>
  <c r="T37" i="18"/>
  <c r="V37" i="18" s="1"/>
  <c r="V36" i="18"/>
  <c r="T36" i="18"/>
  <c r="T35" i="18"/>
  <c r="V35" i="18" s="1"/>
  <c r="T34" i="18"/>
  <c r="V34" i="18" s="1"/>
  <c r="V33" i="18"/>
  <c r="T33" i="18"/>
  <c r="V32" i="18"/>
  <c r="T32" i="18"/>
  <c r="T31" i="18"/>
  <c r="V31" i="18" s="1"/>
  <c r="V30" i="18"/>
  <c r="T30" i="18"/>
  <c r="T29" i="18"/>
  <c r="V29" i="18" s="1"/>
  <c r="T28" i="18"/>
  <c r="V28" i="18" s="1"/>
  <c r="V27" i="18"/>
  <c r="T27" i="18"/>
  <c r="V26" i="18"/>
  <c r="T26" i="18"/>
  <c r="T25" i="18"/>
  <c r="V25" i="18" s="1"/>
  <c r="V24" i="18"/>
  <c r="T24" i="18"/>
  <c r="T23" i="18"/>
  <c r="V23" i="18" s="1"/>
  <c r="T22" i="18"/>
  <c r="V22" i="18" s="1"/>
  <c r="V21" i="18"/>
  <c r="T21" i="18"/>
  <c r="V20" i="18"/>
  <c r="T20" i="18"/>
  <c r="T19" i="18"/>
  <c r="V19" i="18" s="1"/>
  <c r="V18" i="18"/>
  <c r="T18" i="18"/>
  <c r="T17" i="18"/>
  <c r="V17" i="18" s="1"/>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<sst xmlns="http://schemas.openxmlformats.org/spreadsheetml/2006/main" count="9933" uniqueCount="390">
  <si>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</si>
  <si>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</si>
  <si>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</si>
  <si>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</si>
  <si>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</si>
  <si>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</si>
  <si>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</si>
  <si>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</si>
  <si>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</si>
  <si>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</si>
  <si>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</si>
  <si>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</si>
  <si>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</si>
  <si>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</si>
  <si>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</si>
  <si>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</si>
  <si>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</si>
  <si>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</si>
  <si>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</si>
  <si>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</si>
  <si>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</si>
  <si>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</si>
  <si>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</si>
  <si>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</si>
  <si>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</si>
  <si>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</si>
  <si>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</si>
  <si>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</si>
  <si>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</si>
  <si>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</si>
  <si>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</si>
  <si>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</si>
  <si>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</si>
  <si>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</si>
  <si>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</si>
  <si>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</si>
  <si>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</si>
  <si>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</si>
  <si>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</si>
  <si>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</si>
  <si>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</si>
  <si>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</si>
  <si>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</si>
  <si>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</si>
  <si>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</si>
  <si>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</si>
  <si>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</si>
  <si>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</si>
  <si>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</si>
  <si>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</si>
  <si>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</si>
  <si>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</si>
  <si>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</si>
  <si>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</si>
  <si>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</si>
  <si>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</si>
  <si>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</si>
  <si>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</si>
  <si>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</si>
  <si>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</si>
  <si>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</si>
  <si>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</si>
  <si>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</si>
  <si>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</si>
  <si>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</si>
  <si>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</si>
  <si>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</si>
  <si>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</si>
  <si>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</si>
  <si>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</si>
  <si>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</si>
  <si>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</si>
  <si>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</si>
  <si>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</si>
  <si>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</si>
  <si>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</si>
  <si>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</si>
  <si>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</si>
  <si>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</si>
  <si>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</si>
  <si>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</si>
  <si>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</si>
  <si>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</si>
  <si>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</si>
  <si>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</si>
  <si>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</si>
  <si>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</si>
  <si>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</si>
  <si>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</si>
  <si>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</si>
  <si>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</si>
  <si>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</si>
  <si>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</si>
  <si>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</si>
  <si>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</si>
  <si>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</si>
  <si>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</si>
  <si>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</si>
  <si>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</si>
  <si>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</si>
  <si>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</si>
  <si>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</si>
  <si>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</si>
  <si>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</si>
  <si>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</si>
  <si>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</si>
  <si>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</si>
  <si>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</si>
  <si>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</si>
  <si>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</si>
  <si>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</si>
  <si>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</si>
  <si>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</si>
  <si>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</si>
  <si>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</si>
  <si>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</si>
  <si>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</si>
  <si>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</si>
  <si>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</si>
  <si>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</si>
  <si>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</si>
  <si>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</si>
  <si>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</si>
  <si>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</si>
  <si>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</si>
  <si>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</si>
  <si>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</si>
  <si>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</si>
  <si>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</si>
  <si>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</si>
  <si>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</si>
  <si>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</si>
  <si>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</si>
  <si>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</si>
  <si>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</si>
  <si>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</si>
  <si>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</si>
  <si>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</si>
  <si>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</si>
  <si>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</si>
  <si>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</si>
  <si>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</si>
  <si>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</si>
  <si>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</si>
  <si>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</si>
  <si>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</si>
  <si>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</si>
  <si>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</si>
  <si>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</si>
  <si>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</si>
  <si>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</si>
  <si>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</si>
  <si>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</si>
  <si>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</si>
  <si>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</si>
  <si>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</si>
  <si>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</si>
  <si>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</si>
  <si>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</si>
  <si>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</si>
  <si>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</si>
  <si>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</si>
  <si>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</si>
  <si>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</si>
  <si>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</si>
  <si>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01.10.2019</t>
  </si>
  <si>
    <t>01.10.2019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</si>
  <si>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</si>
  <si>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</si>
  <si>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</si>
  <si>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</si>
  <si>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</si>
  <si>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</si>
  <si>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</si>
  <si>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</si>
  <si>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</si>
  <si>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</si>
  <si>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</si>
  <si>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</si>
  <si>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</si>
  <si>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</si>
  <si>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</si>
  <si>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</si>
  <si>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02.10.2019</t>
    <phoneticPr fontId="16"/>
  </si>
  <si>
    <t>利府店</t>
  </si>
  <si>
    <t>その他グリーン</t>
  </si>
  <si>
    <t>みやぎ生協</t>
  </si>
  <si>
    <t>その他ゴールド</t>
  </si>
  <si>
    <t>02.10.2019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</si>
  <si>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</si>
  <si>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</si>
  <si>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</si>
  <si>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</si>
  <si>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</si>
  <si>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</si>
  <si>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</si>
  <si>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</si>
  <si>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</si>
  <si>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</si>
  <si>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</si>
  <si>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</si>
  <si>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</si>
  <si>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</si>
  <si>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</si>
  <si>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</si>
  <si>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</si>
  <si>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</si>
  <si>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</si>
  <si>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</si>
  <si>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</si>
  <si>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</si>
  <si>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</si>
  <si>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</si>
  <si>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</si>
  <si>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</si>
  <si>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</si>
  <si>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</si>
  <si>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</si>
  <si>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</si>
  <si>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</si>
  <si>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</si>
  <si>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</si>
  <si>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</si>
  <si>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</si>
  <si>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</si>
  <si>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</si>
  <si>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</si>
  <si>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</si>
  <si>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</si>
  <si>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</si>
  <si>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</si>
  <si>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</si>
  <si>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</si>
  <si>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</si>
  <si>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02.10.2019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</si>
  <si>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</si>
  <si>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</si>
  <si>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</si>
  <si>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</si>
  <si>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</si>
  <si>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</si>
  <si>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</si>
  <si>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</si>
  <si>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</si>
  <si>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</si>
  <si>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</si>
  <si>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</si>
  <si>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</si>
  <si>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</si>
  <si>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</si>
  <si>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</si>
  <si>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</si>
  <si>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</si>
  <si>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</si>
  <si>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</si>
  <si>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</si>
  <si>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</si>
  <si>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</si>
  <si>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</si>
  <si>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</si>
  <si>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</si>
  <si>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</si>
  <si>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04.10.2019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</si>
  <si>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</si>
  <si>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</si>
  <si>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</si>
  <si>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</si>
  <si>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</si>
  <si>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</si>
  <si>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</si>
  <si>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</si>
  <si>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</si>
  <si>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</si>
  <si>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</si>
  <si>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</si>
  <si>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</si>
  <si>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</si>
  <si>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</si>
  <si>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</si>
  <si>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</si>
  <si>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</si>
  <si>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店舗名</t>
    <phoneticPr fontId="3"/>
  </si>
  <si>
    <t>03.10.2019</t>
    <phoneticPr fontId="3"/>
  </si>
  <si>
    <t>サミット</t>
  </si>
  <si>
    <t>久が原食品館</t>
  </si>
  <si>
    <t>03.10.2019</t>
  </si>
  <si>
    <t>東急ストア</t>
  </si>
  <si>
    <t>蒲田</t>
  </si>
  <si>
    <t>マルエツ</t>
  </si>
  <si>
    <t>大森西</t>
  </si>
  <si>
    <t>大森</t>
  </si>
  <si>
    <t>カドヤ</t>
  </si>
  <si>
    <t>大井町</t>
  </si>
  <si>
    <t>HW</t>
    <phoneticPr fontId="3"/>
  </si>
  <si>
    <t>品川シーサイド</t>
  </si>
  <si>
    <t>大崎ニューシティ</t>
  </si>
  <si>
    <t>U/P JPY</t>
    <phoneticPr fontId="4"/>
  </si>
  <si>
    <t>２番人気
果実</t>
    <phoneticPr fontId="3"/>
  </si>
  <si>
    <t>29.09.2019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</si>
  <si>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</si>
  <si>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</si>
  <si>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</si>
  <si>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</si>
  <si>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</si>
  <si>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</si>
  <si>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</si>
  <si>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</si>
  <si>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</si>
  <si>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</si>
  <si>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</si>
  <si>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</si>
  <si>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</si>
  <si>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</si>
  <si>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</si>
  <si>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</si>
  <si>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</si>
  <si>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</si>
  <si>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</si>
  <si>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</si>
  <si>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</si>
  <si>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</si>
  <si>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</si>
  <si>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</si>
  <si>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</si>
  <si>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</si>
  <si>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</si>
  <si>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</si>
  <si>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</si>
  <si>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</si>
  <si>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</si>
  <si>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</si>
  <si>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</si>
  <si>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</si>
  <si>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</si>
  <si>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</si>
  <si>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</si>
  <si>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</si>
  <si>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</si>
  <si>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</si>
  <si>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</si>
  <si>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</si>
  <si>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</si>
  <si>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</si>
  <si>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</si>
  <si>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</si>
  <si>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みかん</t>
    <phoneticPr fontId="4"/>
  </si>
  <si>
    <t>マンゴー</t>
    <phoneticPr fontId="3"/>
  </si>
  <si>
    <t>梨</t>
    <phoneticPr fontId="3"/>
  </si>
  <si>
    <t>販売
ユニット
個数</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</si>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</sst>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indexed="64"/>
      </left>
      <right style="thin">
        <color indexed="64"/>
      </right>
      <top style="thin">
        <color indexed="64"/>
      </top>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5" borderId="24"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0" xfId="1" applyFill="1"/>
    <xf numFmtId="0" fontId="1" fillId="4" borderId="29" xfId="1" applyFill="1" applyBorder="1"/>
    <xf numFmtId="0" fontId="1" fillId="4" borderId="30" xfId="1" applyFill="1" applyBorder="1"/>
    <xf numFmtId="0" fontId="1" fillId="4" borderId="31" xfId="1" applyFill="1" applyBorder="1"/>
    <xf numFmtId="178" fontId="1" fillId="3" borderId="28" xfId="1" applyNumberFormat="1" applyFill="1" applyBorder="1"/>
    <xf numFmtId="0" fontId="1" fillId="4" borderId="32" xfId="1" applyFill="1" applyBorder="1"/>
    <xf numFmtId="0" fontId="1" fillId="3" borderId="29" xfId="1" applyFill="1" applyBorder="1"/>
    <xf numFmtId="0" fontId="1" fillId="4" borderId="33" xfId="1" applyFill="1" applyBorder="1"/>
    <xf numFmtId="0" fontId="1" fillId="4" borderId="34" xfId="1" applyFill="1" applyBorder="1"/>
    <xf numFmtId="0" fontId="1" fillId="4" borderId="8" xfId="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Border="1"/>
    <xf numFmtId="0" fontId="1" fillId="0" borderId="41" xfId="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4" borderId="16" xfId="1" applyFill="1" applyBorder="1"/>
    <xf numFmtId="0" fontId="1" fillId="4" borderId="17" xfId="1" applyFill="1" applyBorder="1"/>
    <xf numFmtId="0" fontId="1" fillId="0" borderId="42" xfId="1" applyBorder="1"/>
    <xf numFmtId="0" fontId="1" fillId="0" borderId="34" xfId="1" applyBorder="1"/>
    <xf numFmtId="14" fontId="0" fillId="0" borderId="0" xfId="1" applyNumberFormat="1" applyFont="1"/>
    <xf numFmtId="49" fontId="8" fillId="0" borderId="4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44" xfId="1" applyFont="1" applyBorder="1" applyAlignment="1">
      <alignment horizontal="left" wrapText="1"/>
    </xf>
    <xf numFmtId="14" fontId="1" fillId="4" borderId="0" xfId="1" applyNumberFormat="1" applyFill="1"/>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56926607-9A54-40AA-A0DD-E98E6B702B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N35" sqref="N3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0.6</v>
      </c>
      <c r="P2" s="15">
        <v>0.75</v>
      </c>
      <c r="Q2" s="51">
        <f t="shared" ref="Q2:Q65" si="0">IF(OR(O2="",P2=""),"",AVERAGE(O2,P2))</f>
        <v>0.67500000000000004</v>
      </c>
      <c r="R2" s="15">
        <v>14.4</v>
      </c>
      <c r="S2" s="15">
        <v>120</v>
      </c>
      <c r="T2" s="38">
        <f t="shared" ref="T2:T59" si="1">IF(H2="","",IF(OR(H2="GREEN",H2="GK"),IF(S2&gt;=$AX$2,VLOOKUP(S2,$AX$2:$AY$12,2,1),""),IF(S2&gt;=$AZ$2,VLOOKUP(S2,$AZ$2:$BA$12,2,1),"")))</f>
        <v>30</v>
      </c>
      <c r="U2" s="15">
        <v>98</v>
      </c>
      <c r="V2" s="38">
        <f t="shared" ref="V2:V65" si="2">IF(OR(N2="",U2="",T2=""),"",U2/N2*T2)</f>
        <v>2940</v>
      </c>
      <c r="W2" s="15">
        <v>4</v>
      </c>
      <c r="X2" s="15" t="s">
        <v>46</v>
      </c>
      <c r="Y2" s="15" t="s">
        <v>50</v>
      </c>
      <c r="Z2" s="15" t="s">
        <v>90</v>
      </c>
      <c r="AA2" s="15" t="s">
        <v>78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0.55000000000000004</v>
      </c>
      <c r="P3" s="7">
        <v>0.7</v>
      </c>
      <c r="Q3" s="52">
        <f t="shared" si="0"/>
        <v>0.625</v>
      </c>
      <c r="R3" s="7">
        <v>13.4</v>
      </c>
      <c r="S3" s="7">
        <v>128</v>
      </c>
      <c r="T3" s="16">
        <f t="shared" si="1"/>
        <v>27</v>
      </c>
      <c r="U3" s="15">
        <v>98</v>
      </c>
      <c r="V3" s="16">
        <f t="shared" si="2"/>
        <v>2646</v>
      </c>
      <c r="W3" s="15">
        <v>4</v>
      </c>
      <c r="X3" s="15" t="s">
        <v>46</v>
      </c>
      <c r="Y3" s="15" t="s">
        <v>50</v>
      </c>
      <c r="Z3" s="15" t="s">
        <v>90</v>
      </c>
      <c r="AA3" s="15" t="s">
        <v>78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v>
      </c>
      <c r="P4" s="7">
        <v>0.65</v>
      </c>
      <c r="Q4" s="52">
        <f t="shared" si="0"/>
        <v>0.625</v>
      </c>
      <c r="R4" s="7">
        <v>12.9</v>
      </c>
      <c r="S4" s="7">
        <v>122</v>
      </c>
      <c r="T4" s="16">
        <f t="shared" si="1"/>
        <v>27</v>
      </c>
      <c r="U4" s="15">
        <v>98</v>
      </c>
      <c r="V4" s="16">
        <f t="shared" si="2"/>
        <v>2646</v>
      </c>
      <c r="W4" s="15">
        <v>4</v>
      </c>
      <c r="X4" s="15" t="s">
        <v>46</v>
      </c>
      <c r="Y4" s="54" t="s">
        <v>50</v>
      </c>
      <c r="Z4" s="54" t="s">
        <v>90</v>
      </c>
      <c r="AA4" s="54" t="s">
        <v>78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18.3</v>
      </c>
      <c r="S5" s="7">
        <v>118</v>
      </c>
      <c r="T5" s="16">
        <f t="shared" si="1"/>
        <v>30</v>
      </c>
      <c r="U5" s="15">
        <v>125</v>
      </c>
      <c r="V5" s="16">
        <f t="shared" si="2"/>
        <v>3750</v>
      </c>
      <c r="W5" s="15">
        <v>7</v>
      </c>
      <c r="X5" s="15" t="s">
        <v>46</v>
      </c>
      <c r="Y5" s="54" t="s">
        <v>50</v>
      </c>
      <c r="Z5" s="54" t="s">
        <v>90</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14.4</v>
      </c>
      <c r="S6" s="7">
        <v>127</v>
      </c>
      <c r="T6" s="16">
        <f t="shared" si="1"/>
        <v>27</v>
      </c>
      <c r="U6" s="15">
        <v>125</v>
      </c>
      <c r="V6" s="16">
        <f t="shared" si="2"/>
        <v>3375</v>
      </c>
      <c r="W6" s="15">
        <v>7</v>
      </c>
      <c r="X6" s="15" t="s">
        <v>46</v>
      </c>
      <c r="Y6" s="54" t="s">
        <v>50</v>
      </c>
      <c r="Z6" s="54" t="s">
        <v>90</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19.3</v>
      </c>
      <c r="S7" s="7">
        <v>117</v>
      </c>
      <c r="T7" s="16">
        <f t="shared" si="1"/>
        <v>30</v>
      </c>
      <c r="U7" s="15">
        <v>125</v>
      </c>
      <c r="V7" s="16">
        <f t="shared" si="2"/>
        <v>3750</v>
      </c>
      <c r="W7" s="15">
        <v>7</v>
      </c>
      <c r="X7" s="15" t="s">
        <v>46</v>
      </c>
      <c r="Y7" s="54" t="s">
        <v>50</v>
      </c>
      <c r="Z7" s="54" t="s">
        <v>90</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v>
      </c>
      <c r="P8" s="7">
        <v>0.5</v>
      </c>
      <c r="Q8" s="52">
        <f t="shared" si="0"/>
        <v>0.5</v>
      </c>
      <c r="R8" s="34">
        <v>15.2</v>
      </c>
      <c r="S8" s="7">
        <v>125</v>
      </c>
      <c r="T8" s="16">
        <f t="shared" si="1"/>
        <v>27</v>
      </c>
      <c r="U8" s="15">
        <v>98</v>
      </c>
      <c r="V8" s="16">
        <f t="shared" si="2"/>
        <v>2646</v>
      </c>
      <c r="W8" s="15">
        <v>10</v>
      </c>
      <c r="X8" s="15" t="s">
        <v>46</v>
      </c>
      <c r="Y8" s="54" t="s">
        <v>90</v>
      </c>
      <c r="Z8" s="54" t="s">
        <v>50</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0.65</v>
      </c>
      <c r="P9" s="7">
        <v>0.55000000000000004</v>
      </c>
      <c r="Q9" s="52">
        <f t="shared" si="0"/>
        <v>0.60000000000000009</v>
      </c>
      <c r="R9" s="7">
        <v>14.5</v>
      </c>
      <c r="S9" s="7">
        <v>124</v>
      </c>
      <c r="T9" s="16">
        <f t="shared" si="1"/>
        <v>27</v>
      </c>
      <c r="U9" s="15">
        <v>98</v>
      </c>
      <c r="V9" s="16">
        <f t="shared" si="2"/>
        <v>2646</v>
      </c>
      <c r="W9" s="15">
        <v>10</v>
      </c>
      <c r="X9" s="15" t="s">
        <v>46</v>
      </c>
      <c r="Y9" s="54" t="s">
        <v>90</v>
      </c>
      <c r="Z9" s="54" t="s">
        <v>50</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13.2</v>
      </c>
      <c r="S10" s="7">
        <v>123</v>
      </c>
      <c r="T10" s="16">
        <f t="shared" si="1"/>
        <v>27</v>
      </c>
      <c r="U10" s="15">
        <v>98</v>
      </c>
      <c r="V10" s="16">
        <f t="shared" si="2"/>
        <v>2646</v>
      </c>
      <c r="W10" s="15">
        <v>10</v>
      </c>
      <c r="X10" s="15" t="s">
        <v>46</v>
      </c>
      <c r="Y10" s="54" t="s">
        <v>90</v>
      </c>
      <c r="Z10" s="54" t="s">
        <v>50</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0.75</v>
      </c>
      <c r="P11" s="7">
        <v>0.65</v>
      </c>
      <c r="Q11" s="52">
        <f t="shared" si="0"/>
        <v>0.7</v>
      </c>
      <c r="R11" s="7">
        <v>13.8</v>
      </c>
      <c r="S11" s="7">
        <v>128</v>
      </c>
      <c r="T11" s="16">
        <f t="shared" si="1"/>
        <v>27</v>
      </c>
      <c r="U11" s="7">
        <v>98</v>
      </c>
      <c r="V11" s="16">
        <f t="shared" si="2"/>
        <v>2646</v>
      </c>
      <c r="W11" s="7">
        <v>4</v>
      </c>
      <c r="X11" s="15" t="s">
        <v>46</v>
      </c>
      <c r="Y11" s="54" t="s">
        <v>90</v>
      </c>
      <c r="Z11" s="54" t="s">
        <v>50</v>
      </c>
      <c r="AA11" s="54" t="s">
        <v>78</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0.55000000000000004</v>
      </c>
      <c r="P12" s="7">
        <v>0.5</v>
      </c>
      <c r="Q12" s="52">
        <f t="shared" si="0"/>
        <v>0.52500000000000002</v>
      </c>
      <c r="R12" s="34">
        <v>19.2</v>
      </c>
      <c r="S12" s="7">
        <v>126</v>
      </c>
      <c r="T12" s="16">
        <f t="shared" si="1"/>
        <v>27</v>
      </c>
      <c r="U12" s="7">
        <v>98</v>
      </c>
      <c r="V12" s="16">
        <f t="shared" si="2"/>
        <v>2646</v>
      </c>
      <c r="W12" s="7">
        <v>4</v>
      </c>
      <c r="X12" s="15" t="s">
        <v>46</v>
      </c>
      <c r="Y12" s="54" t="s">
        <v>90</v>
      </c>
      <c r="Z12" s="54" t="s">
        <v>50</v>
      </c>
      <c r="AA12" s="54" t="s">
        <v>78</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v>
      </c>
      <c r="P13" s="7">
        <v>0.55000000000000004</v>
      </c>
      <c r="Q13" s="52">
        <f t="shared" si="0"/>
        <v>0.52500000000000002</v>
      </c>
      <c r="R13" s="7">
        <v>17.7</v>
      </c>
      <c r="S13" s="7">
        <v>125</v>
      </c>
      <c r="T13" s="16">
        <f t="shared" si="1"/>
        <v>27</v>
      </c>
      <c r="U13" s="7">
        <v>98</v>
      </c>
      <c r="V13" s="16">
        <f t="shared" si="2"/>
        <v>2646</v>
      </c>
      <c r="W13" s="7">
        <v>4</v>
      </c>
      <c r="X13" s="15" t="s">
        <v>46</v>
      </c>
      <c r="Y13" s="54" t="s">
        <v>90</v>
      </c>
      <c r="Z13" s="54" t="s">
        <v>50</v>
      </c>
      <c r="AA13" s="54" t="s">
        <v>78</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0.55000000000000004</v>
      </c>
      <c r="Q14" s="52">
        <f t="shared" si="0"/>
        <v>0.52500000000000002</v>
      </c>
      <c r="R14" s="7">
        <v>13.9</v>
      </c>
      <c r="S14" s="7">
        <v>123</v>
      </c>
      <c r="T14" s="16">
        <f t="shared" si="1"/>
        <v>27</v>
      </c>
      <c r="U14" s="7">
        <v>128</v>
      </c>
      <c r="V14" s="16">
        <f t="shared" si="2"/>
        <v>3456</v>
      </c>
      <c r="W14" s="7">
        <v>4</v>
      </c>
      <c r="X14" s="15" t="s">
        <v>46</v>
      </c>
      <c r="Y14" s="54" t="s">
        <v>50</v>
      </c>
      <c r="Z14" s="54" t="s">
        <v>102</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v>
      </c>
      <c r="P15" s="7">
        <v>0.5</v>
      </c>
      <c r="Q15" s="52">
        <f t="shared" si="0"/>
        <v>0.5</v>
      </c>
      <c r="R15" s="7">
        <v>13.5</v>
      </c>
      <c r="S15" s="7">
        <v>126</v>
      </c>
      <c r="T15" s="16">
        <f t="shared" si="1"/>
        <v>27</v>
      </c>
      <c r="U15" s="7">
        <v>128</v>
      </c>
      <c r="V15" s="16">
        <f t="shared" si="2"/>
        <v>3456</v>
      </c>
      <c r="W15" s="7">
        <v>4</v>
      </c>
      <c r="X15" s="15" t="s">
        <v>46</v>
      </c>
      <c r="Y15" s="54" t="s">
        <v>50</v>
      </c>
      <c r="Z15" s="54" t="s">
        <v>102</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v>
      </c>
      <c r="P16" s="7">
        <v>0.5</v>
      </c>
      <c r="Q16" s="52">
        <f t="shared" si="0"/>
        <v>0.5</v>
      </c>
      <c r="R16" s="7">
        <v>12.6</v>
      </c>
      <c r="S16" s="7">
        <v>127</v>
      </c>
      <c r="T16" s="16">
        <f t="shared" si="1"/>
        <v>27</v>
      </c>
      <c r="U16" s="7">
        <v>128</v>
      </c>
      <c r="V16" s="16">
        <f t="shared" si="2"/>
        <v>3456</v>
      </c>
      <c r="W16" s="7">
        <v>4</v>
      </c>
      <c r="X16" s="15" t="s">
        <v>46</v>
      </c>
      <c r="Y16" s="54" t="s">
        <v>50</v>
      </c>
      <c r="Z16" s="54" t="s">
        <v>102</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0.7</v>
      </c>
      <c r="Q17" s="52">
        <f t="shared" si="0"/>
        <v>0.72499999999999998</v>
      </c>
      <c r="R17" s="7">
        <v>15.3</v>
      </c>
      <c r="S17" s="7">
        <v>133</v>
      </c>
      <c r="T17" s="16">
        <f t="shared" si="1"/>
        <v>25</v>
      </c>
      <c r="U17" s="7">
        <v>138</v>
      </c>
      <c r="V17" s="16">
        <f t="shared" si="2"/>
        <v>3450</v>
      </c>
      <c r="W17" s="7">
        <v>4</v>
      </c>
      <c r="X17" s="54" t="s">
        <v>46</v>
      </c>
      <c r="Y17" s="54" t="s">
        <v>50</v>
      </c>
      <c r="Z17" s="54" t="s">
        <v>102</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0.55000000000000004</v>
      </c>
      <c r="Q18" s="52">
        <f t="shared" si="0"/>
        <v>0.52500000000000002</v>
      </c>
      <c r="R18" s="7">
        <v>14.8</v>
      </c>
      <c r="S18" s="7">
        <v>127</v>
      </c>
      <c r="T18" s="16">
        <f t="shared" si="1"/>
        <v>27</v>
      </c>
      <c r="U18" s="7">
        <v>138</v>
      </c>
      <c r="V18" s="16">
        <f t="shared" si="2"/>
        <v>3726</v>
      </c>
      <c r="W18" s="7">
        <v>4</v>
      </c>
      <c r="X18" s="54" t="s">
        <v>46</v>
      </c>
      <c r="Y18" s="54" t="s">
        <v>50</v>
      </c>
      <c r="Z18" s="54" t="s">
        <v>102</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v>
      </c>
      <c r="P19" s="7">
        <v>0.5</v>
      </c>
      <c r="Q19" s="52">
        <f t="shared" si="0"/>
        <v>0.5</v>
      </c>
      <c r="R19" s="7">
        <v>14.9</v>
      </c>
      <c r="S19" s="7">
        <v>133</v>
      </c>
      <c r="T19" s="16">
        <f t="shared" si="1"/>
        <v>25</v>
      </c>
      <c r="U19" s="7">
        <v>138</v>
      </c>
      <c r="V19" s="16">
        <f t="shared" si="2"/>
        <v>3450</v>
      </c>
      <c r="W19" s="7">
        <v>4</v>
      </c>
      <c r="X19" s="54" t="s">
        <v>46</v>
      </c>
      <c r="Y19" s="54" t="s">
        <v>50</v>
      </c>
      <c r="Z19" s="54" t="s">
        <v>102</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0.55000000000000004</v>
      </c>
      <c r="P20" s="34">
        <v>0.5</v>
      </c>
      <c r="Q20" s="52">
        <f t="shared" si="0"/>
        <v>0.52500000000000002</v>
      </c>
      <c r="R20" s="7">
        <v>13.4</v>
      </c>
      <c r="S20" s="7">
        <v>115</v>
      </c>
      <c r="T20" s="16">
        <f t="shared" si="1"/>
        <v>30</v>
      </c>
      <c r="U20" s="7">
        <v>98</v>
      </c>
      <c r="V20" s="16">
        <f t="shared" si="2"/>
        <v>2940</v>
      </c>
      <c r="W20" s="7">
        <v>2</v>
      </c>
      <c r="X20" s="15" t="s">
        <v>39</v>
      </c>
      <c r="Y20" s="54" t="s">
        <v>50</v>
      </c>
      <c r="Z20" s="54" t="s">
        <v>78</v>
      </c>
      <c r="AA20" s="54" t="s">
        <v>90</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v>
      </c>
      <c r="P21" s="7">
        <v>0.5</v>
      </c>
      <c r="Q21" s="52">
        <f t="shared" si="0"/>
        <v>0.5</v>
      </c>
      <c r="R21" s="7">
        <v>14.3</v>
      </c>
      <c r="S21" s="7">
        <v>121</v>
      </c>
      <c r="T21" s="16">
        <f t="shared" si="1"/>
        <v>27</v>
      </c>
      <c r="U21" s="7">
        <v>98</v>
      </c>
      <c r="V21" s="16">
        <f t="shared" si="2"/>
        <v>2646</v>
      </c>
      <c r="W21" s="7">
        <v>2</v>
      </c>
      <c r="X21" s="54" t="s">
        <v>39</v>
      </c>
      <c r="Y21" s="54" t="s">
        <v>50</v>
      </c>
      <c r="Z21" s="54" t="s">
        <v>78</v>
      </c>
      <c r="AA21" s="54" t="s">
        <v>90</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v>
      </c>
      <c r="P22" s="7">
        <v>0.55000000000000004</v>
      </c>
      <c r="Q22" s="52">
        <f t="shared" si="0"/>
        <v>0.52500000000000002</v>
      </c>
      <c r="R22" s="7">
        <v>13.6</v>
      </c>
      <c r="S22" s="7">
        <v>117</v>
      </c>
      <c r="T22" s="16">
        <f t="shared" si="1"/>
        <v>30</v>
      </c>
      <c r="U22" s="7">
        <v>98</v>
      </c>
      <c r="V22" s="16">
        <f t="shared" si="2"/>
        <v>2940</v>
      </c>
      <c r="W22" s="7">
        <v>2</v>
      </c>
      <c r="X22" s="54" t="s">
        <v>39</v>
      </c>
      <c r="Y22" s="54" t="s">
        <v>50</v>
      </c>
      <c r="Z22" s="54" t="s">
        <v>78</v>
      </c>
      <c r="AA22" s="54" t="s">
        <v>90</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0.55000000000000004</v>
      </c>
      <c r="P23" s="7">
        <v>0.55000000000000004</v>
      </c>
      <c r="Q23" s="52">
        <f t="shared" si="0"/>
        <v>0.55000000000000004</v>
      </c>
      <c r="R23" s="7">
        <v>14.1</v>
      </c>
      <c r="S23" s="7">
        <v>120</v>
      </c>
      <c r="T23" s="16">
        <f t="shared" si="1"/>
        <v>30</v>
      </c>
      <c r="U23" s="7">
        <v>128</v>
      </c>
      <c r="V23" s="16">
        <f t="shared" si="2"/>
        <v>3840</v>
      </c>
      <c r="W23" s="7">
        <v>2</v>
      </c>
      <c r="X23" s="54" t="s">
        <v>39</v>
      </c>
      <c r="Y23" s="54" t="s">
        <v>50</v>
      </c>
      <c r="Z23" s="54" t="s">
        <v>78</v>
      </c>
      <c r="AA23" s="54" t="s">
        <v>90</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15.1</v>
      </c>
      <c r="S24" s="7">
        <v>123</v>
      </c>
      <c r="T24" s="16">
        <f t="shared" si="1"/>
        <v>27</v>
      </c>
      <c r="U24" s="7">
        <v>128</v>
      </c>
      <c r="V24" s="16">
        <f t="shared" si="2"/>
        <v>3456</v>
      </c>
      <c r="W24" s="7">
        <v>2</v>
      </c>
      <c r="X24" s="54" t="s">
        <v>39</v>
      </c>
      <c r="Y24" s="54" t="s">
        <v>50</v>
      </c>
      <c r="Z24" s="54" t="s">
        <v>78</v>
      </c>
      <c r="AA24" s="54" t="s">
        <v>90</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13.6</v>
      </c>
      <c r="S25" s="7">
        <v>125</v>
      </c>
      <c r="T25" s="16">
        <f t="shared" si="1"/>
        <v>27</v>
      </c>
      <c r="U25" s="7">
        <v>128</v>
      </c>
      <c r="V25" s="16">
        <f t="shared" si="2"/>
        <v>3456</v>
      </c>
      <c r="W25" s="7">
        <v>2</v>
      </c>
      <c r="X25" s="54" t="s">
        <v>39</v>
      </c>
      <c r="Y25" s="54" t="s">
        <v>50</v>
      </c>
      <c r="Z25" s="54" t="s">
        <v>78</v>
      </c>
      <c r="AA25" s="54" t="s">
        <v>90</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0.75</v>
      </c>
      <c r="P26" s="7">
        <v>0.8</v>
      </c>
      <c r="Q26" s="52">
        <f t="shared" si="0"/>
        <v>0.77500000000000002</v>
      </c>
      <c r="R26" s="7">
        <v>13.8</v>
      </c>
      <c r="S26" s="7">
        <v>135</v>
      </c>
      <c r="T26" s="16">
        <f t="shared" si="1"/>
        <v>25</v>
      </c>
      <c r="U26" s="7">
        <v>138</v>
      </c>
      <c r="V26" s="16">
        <f t="shared" si="2"/>
        <v>3450</v>
      </c>
      <c r="W26" s="7">
        <v>4</v>
      </c>
      <c r="X26" s="15" t="s">
        <v>46</v>
      </c>
      <c r="Y26" s="54" t="s">
        <v>78</v>
      </c>
      <c r="Z26" s="54" t="s">
        <v>102</v>
      </c>
      <c r="AA26" s="54" t="s">
        <v>50</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0.6</v>
      </c>
      <c r="P27" s="7">
        <v>0.6</v>
      </c>
      <c r="Q27" s="52">
        <f t="shared" si="0"/>
        <v>0.6</v>
      </c>
      <c r="R27" s="7">
        <v>14.6</v>
      </c>
      <c r="S27" s="7">
        <v>128</v>
      </c>
      <c r="T27" s="16">
        <f t="shared" si="1"/>
        <v>27</v>
      </c>
      <c r="U27" s="7">
        <v>138</v>
      </c>
      <c r="V27" s="16">
        <f t="shared" si="2"/>
        <v>3726</v>
      </c>
      <c r="W27" s="7">
        <v>4</v>
      </c>
      <c r="X27" s="54" t="s">
        <v>46</v>
      </c>
      <c r="Y27" s="54" t="s">
        <v>78</v>
      </c>
      <c r="Z27" s="54" t="s">
        <v>102</v>
      </c>
      <c r="AA27" s="54" t="s">
        <v>50</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v>
      </c>
      <c r="P28" s="7">
        <v>0.75</v>
      </c>
      <c r="Q28" s="52">
        <f t="shared" si="0"/>
        <v>0.72499999999999998</v>
      </c>
      <c r="R28" s="7">
        <v>12.1</v>
      </c>
      <c r="S28" s="7">
        <v>134</v>
      </c>
      <c r="T28" s="16">
        <f t="shared" si="1"/>
        <v>25</v>
      </c>
      <c r="U28" s="7">
        <v>138</v>
      </c>
      <c r="V28" s="16">
        <f t="shared" si="2"/>
        <v>3450</v>
      </c>
      <c r="W28" s="7">
        <v>4</v>
      </c>
      <c r="X28" s="54" t="s">
        <v>46</v>
      </c>
      <c r="Y28" s="54" t="s">
        <v>78</v>
      </c>
      <c r="Z28" s="54" t="s">
        <v>102</v>
      </c>
      <c r="AA28" s="54" t="s">
        <v>50</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17.100000000000001</v>
      </c>
      <c r="S29" s="7">
        <v>125</v>
      </c>
      <c r="T29" s="16">
        <f t="shared" si="1"/>
        <v>27</v>
      </c>
      <c r="U29" s="7">
        <v>138</v>
      </c>
      <c r="V29" s="16">
        <f t="shared" si="2"/>
        <v>3726</v>
      </c>
      <c r="W29" s="7">
        <v>4</v>
      </c>
      <c r="X29" s="54" t="s">
        <v>46</v>
      </c>
      <c r="Y29" s="54" t="s">
        <v>78</v>
      </c>
      <c r="Z29" s="54" t="s">
        <v>102</v>
      </c>
      <c r="AA29" s="54" t="s">
        <v>50</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13.5</v>
      </c>
      <c r="S30" s="7">
        <v>117</v>
      </c>
      <c r="T30" s="16">
        <f t="shared" si="1"/>
        <v>30</v>
      </c>
      <c r="U30" s="7">
        <v>138</v>
      </c>
      <c r="V30" s="16">
        <f t="shared" si="2"/>
        <v>4140</v>
      </c>
      <c r="W30" s="7">
        <v>4</v>
      </c>
      <c r="X30" s="54" t="s">
        <v>46</v>
      </c>
      <c r="Y30" s="54" t="s">
        <v>78</v>
      </c>
      <c r="Z30" s="54" t="s">
        <v>102</v>
      </c>
      <c r="AA30" s="54" t="s">
        <v>50</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13.5</v>
      </c>
      <c r="S31" s="7">
        <v>126</v>
      </c>
      <c r="T31" s="16">
        <f t="shared" si="1"/>
        <v>27</v>
      </c>
      <c r="U31" s="7">
        <v>138</v>
      </c>
      <c r="V31" s="16">
        <f t="shared" si="2"/>
        <v>3726</v>
      </c>
      <c r="W31" s="7">
        <v>4</v>
      </c>
      <c r="X31" s="54" t="s">
        <v>46</v>
      </c>
      <c r="Y31" s="54" t="s">
        <v>78</v>
      </c>
      <c r="Z31" s="54" t="s">
        <v>102</v>
      </c>
      <c r="AA31" s="54" t="s">
        <v>50</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0.8</v>
      </c>
      <c r="P32" s="7">
        <v>0.75</v>
      </c>
      <c r="Q32" s="52">
        <f t="shared" si="0"/>
        <v>0.77500000000000002</v>
      </c>
      <c r="R32" s="7">
        <v>16.8</v>
      </c>
      <c r="S32" s="7">
        <v>111</v>
      </c>
      <c r="T32" s="16">
        <f t="shared" si="1"/>
        <v>33</v>
      </c>
      <c r="U32" s="7">
        <v>100</v>
      </c>
      <c r="V32" s="16">
        <f t="shared" si="2"/>
        <v>3300</v>
      </c>
      <c r="W32" s="7">
        <v>6</v>
      </c>
      <c r="X32" s="54" t="s">
        <v>46</v>
      </c>
      <c r="Y32" s="54" t="s">
        <v>50</v>
      </c>
      <c r="Z32" s="54" t="s">
        <v>78</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0.55000000000000004</v>
      </c>
      <c r="P33" s="7">
        <v>0.6</v>
      </c>
      <c r="Q33" s="52">
        <f t="shared" si="0"/>
        <v>0.57499999999999996</v>
      </c>
      <c r="R33" s="7">
        <v>16.100000000000001</v>
      </c>
      <c r="S33" s="7">
        <v>116</v>
      </c>
      <c r="T33" s="16">
        <f t="shared" si="1"/>
        <v>30</v>
      </c>
      <c r="U33" s="7">
        <v>100</v>
      </c>
      <c r="V33" s="16">
        <f t="shared" si="2"/>
        <v>3000</v>
      </c>
      <c r="W33" s="7">
        <v>6</v>
      </c>
      <c r="X33" s="15" t="s">
        <v>46</v>
      </c>
      <c r="Y33" s="54" t="s">
        <v>50</v>
      </c>
      <c r="Z33" s="54" t="s">
        <v>78</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0.7</v>
      </c>
      <c r="P34" s="7">
        <v>0.8</v>
      </c>
      <c r="Q34" s="52">
        <f t="shared" si="0"/>
        <v>0.75</v>
      </c>
      <c r="R34" s="7">
        <v>13.5</v>
      </c>
      <c r="S34" s="7">
        <v>116</v>
      </c>
      <c r="T34" s="16">
        <f t="shared" si="1"/>
        <v>30</v>
      </c>
      <c r="U34" s="7">
        <v>100</v>
      </c>
      <c r="V34" s="16">
        <f t="shared" si="2"/>
        <v>3000</v>
      </c>
      <c r="W34" s="7">
        <v>6</v>
      </c>
      <c r="X34" s="15" t="s">
        <v>46</v>
      </c>
      <c r="Y34" s="54" t="s">
        <v>50</v>
      </c>
      <c r="Z34" s="54" t="s">
        <v>78</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15.6</v>
      </c>
      <c r="S35" s="7">
        <v>121</v>
      </c>
      <c r="T35" s="16">
        <f t="shared" si="1"/>
        <v>27</v>
      </c>
      <c r="U35" s="7">
        <v>100</v>
      </c>
      <c r="V35" s="16">
        <f t="shared" si="2"/>
        <v>2700</v>
      </c>
      <c r="W35" s="7">
        <v>8</v>
      </c>
      <c r="X35" s="15" t="s">
        <v>46</v>
      </c>
      <c r="Y35" s="54" t="s">
        <v>50</v>
      </c>
      <c r="Z35" s="54" t="s">
        <v>78</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18.2</v>
      </c>
      <c r="S36" s="7">
        <v>119</v>
      </c>
      <c r="T36" s="16">
        <f t="shared" si="1"/>
        <v>30</v>
      </c>
      <c r="U36" s="7">
        <v>100</v>
      </c>
      <c r="V36" s="16">
        <f t="shared" si="2"/>
        <v>3000</v>
      </c>
      <c r="W36" s="7">
        <v>8</v>
      </c>
      <c r="X36" s="15" t="s">
        <v>46</v>
      </c>
      <c r="Y36" s="54" t="s">
        <v>50</v>
      </c>
      <c r="Z36" s="54" t="s">
        <v>78</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14.4</v>
      </c>
      <c r="S37" s="7">
        <v>122</v>
      </c>
      <c r="T37" s="16">
        <f t="shared" si="1"/>
        <v>27</v>
      </c>
      <c r="U37" s="7">
        <v>100</v>
      </c>
      <c r="V37" s="16">
        <f t="shared" si="2"/>
        <v>2700</v>
      </c>
      <c r="W37" s="7">
        <v>8</v>
      </c>
      <c r="X37" s="15" t="s">
        <v>46</v>
      </c>
      <c r="Y37" s="54" t="s">
        <v>50</v>
      </c>
      <c r="Z37" s="54" t="s">
        <v>78</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0.6</v>
      </c>
      <c r="P38" s="34">
        <v>0.55000000000000004</v>
      </c>
      <c r="Q38" s="52">
        <f t="shared" si="0"/>
        <v>0.57499999999999996</v>
      </c>
      <c r="R38" s="7">
        <v>14.3</v>
      </c>
      <c r="S38" s="7">
        <v>123</v>
      </c>
      <c r="T38" s="16">
        <f t="shared" si="1"/>
        <v>27</v>
      </c>
      <c r="U38" s="7">
        <v>98</v>
      </c>
      <c r="V38" s="16">
        <f t="shared" si="2"/>
        <v>2646</v>
      </c>
      <c r="W38" s="7">
        <v>4</v>
      </c>
      <c r="X38" s="15" t="s">
        <v>46</v>
      </c>
      <c r="Y38" s="54" t="s">
        <v>50</v>
      </c>
      <c r="Z38" s="54" t="s">
        <v>90</v>
      </c>
      <c r="AA38" s="54" t="s">
        <v>55</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0.55000000000000004</v>
      </c>
      <c r="P39" s="7">
        <v>0.55000000000000004</v>
      </c>
      <c r="Q39" s="52">
        <f t="shared" si="0"/>
        <v>0.55000000000000004</v>
      </c>
      <c r="R39" s="34">
        <v>17</v>
      </c>
      <c r="S39" s="7">
        <v>120</v>
      </c>
      <c r="T39" s="16">
        <f t="shared" si="1"/>
        <v>30</v>
      </c>
      <c r="U39" s="7">
        <v>98</v>
      </c>
      <c r="V39" s="16">
        <f t="shared" si="2"/>
        <v>2940</v>
      </c>
      <c r="W39" s="7">
        <v>4</v>
      </c>
      <c r="X39" s="15" t="s">
        <v>46</v>
      </c>
      <c r="Y39" s="54" t="s">
        <v>50</v>
      </c>
      <c r="Z39" s="54" t="s">
        <v>90</v>
      </c>
      <c r="AA39" s="54" t="s">
        <v>55</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0.6</v>
      </c>
      <c r="P40" s="7">
        <v>0.6</v>
      </c>
      <c r="Q40" s="52">
        <f t="shared" si="0"/>
        <v>0.6</v>
      </c>
      <c r="R40" s="7">
        <v>13.4</v>
      </c>
      <c r="S40" s="7">
        <v>121</v>
      </c>
      <c r="T40" s="16">
        <f t="shared" si="1"/>
        <v>27</v>
      </c>
      <c r="U40" s="7">
        <v>98</v>
      </c>
      <c r="V40" s="16">
        <f t="shared" si="2"/>
        <v>2646</v>
      </c>
      <c r="W40" s="7">
        <v>4</v>
      </c>
      <c r="X40" s="15" t="s">
        <v>46</v>
      </c>
      <c r="Y40" s="54" t="s">
        <v>50</v>
      </c>
      <c r="Z40" s="54" t="s">
        <v>90</v>
      </c>
      <c r="AA40" s="54" t="s">
        <v>55</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0.65</v>
      </c>
      <c r="P41" s="7">
        <v>0.6</v>
      </c>
      <c r="Q41" s="52">
        <f t="shared" si="0"/>
        <v>0.625</v>
      </c>
      <c r="R41" s="7">
        <v>12.6</v>
      </c>
      <c r="S41" s="7">
        <v>132</v>
      </c>
      <c r="T41" s="16">
        <f t="shared" si="1"/>
        <v>25</v>
      </c>
      <c r="U41" s="7">
        <v>95</v>
      </c>
      <c r="V41" s="16">
        <f t="shared" si="2"/>
        <v>2375</v>
      </c>
      <c r="W41" s="7">
        <v>5</v>
      </c>
      <c r="X41" s="15" t="s">
        <v>46</v>
      </c>
      <c r="Y41" s="54" t="s">
        <v>50</v>
      </c>
      <c r="Z41" s="54" t="s">
        <v>90</v>
      </c>
      <c r="AA41" s="54" t="s">
        <v>55</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v>
      </c>
      <c r="P42" s="7">
        <v>0.5</v>
      </c>
      <c r="Q42" s="52">
        <f t="shared" si="0"/>
        <v>0.5</v>
      </c>
      <c r="R42" s="7">
        <v>18.399999999999999</v>
      </c>
      <c r="S42" s="7">
        <v>134</v>
      </c>
      <c r="T42" s="16">
        <f t="shared" si="1"/>
        <v>25</v>
      </c>
      <c r="U42" s="7">
        <v>95</v>
      </c>
      <c r="V42" s="16">
        <f t="shared" si="2"/>
        <v>2375</v>
      </c>
      <c r="W42" s="7">
        <v>5</v>
      </c>
      <c r="X42" s="15" t="s">
        <v>46</v>
      </c>
      <c r="Y42" s="54" t="s">
        <v>50</v>
      </c>
      <c r="Z42" s="54" t="s">
        <v>90</v>
      </c>
      <c r="AA42" s="54" t="s">
        <v>55</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v>
      </c>
      <c r="Q43" s="52">
        <f t="shared" si="0"/>
        <v>0.5</v>
      </c>
      <c r="R43" s="7">
        <v>18</v>
      </c>
      <c r="S43" s="7">
        <v>133</v>
      </c>
      <c r="T43" s="16">
        <f t="shared" si="1"/>
        <v>25</v>
      </c>
      <c r="U43" s="7">
        <v>95</v>
      </c>
      <c r="V43" s="16">
        <f t="shared" si="2"/>
        <v>2375</v>
      </c>
      <c r="W43" s="7">
        <v>5</v>
      </c>
      <c r="X43" s="15" t="s">
        <v>46</v>
      </c>
      <c r="Y43" s="54" t="s">
        <v>50</v>
      </c>
      <c r="Z43" s="54" t="s">
        <v>90</v>
      </c>
      <c r="AA43" s="54" t="s">
        <v>55</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0.5</v>
      </c>
      <c r="P44" s="7">
        <v>0.5</v>
      </c>
      <c r="Q44" s="52">
        <f t="shared" si="0"/>
        <v>0.5</v>
      </c>
      <c r="R44" s="7">
        <v>12.7</v>
      </c>
      <c r="S44" s="7">
        <v>119</v>
      </c>
      <c r="T44" s="16">
        <f t="shared" si="1"/>
        <v>30</v>
      </c>
      <c r="U44" s="7">
        <v>98</v>
      </c>
      <c r="V44" s="16">
        <f t="shared" si="2"/>
        <v>2940</v>
      </c>
      <c r="W44" s="7">
        <v>4</v>
      </c>
      <c r="X44" s="15" t="s">
        <v>46</v>
      </c>
      <c r="Y44" s="54" t="s">
        <v>50</v>
      </c>
      <c r="Z44" s="54" t="s">
        <v>90</v>
      </c>
      <c r="AA44" s="54" t="s">
        <v>78</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0.5</v>
      </c>
      <c r="P45" s="7">
        <v>0.5</v>
      </c>
      <c r="Q45" s="52">
        <f t="shared" si="0"/>
        <v>0.5</v>
      </c>
      <c r="R45" s="7">
        <v>13.2</v>
      </c>
      <c r="S45" s="7">
        <v>123</v>
      </c>
      <c r="T45" s="16">
        <f t="shared" si="1"/>
        <v>27</v>
      </c>
      <c r="U45" s="7">
        <v>98</v>
      </c>
      <c r="V45" s="16">
        <f t="shared" si="2"/>
        <v>2646</v>
      </c>
      <c r="W45" s="7">
        <v>4</v>
      </c>
      <c r="X45" s="15" t="s">
        <v>46</v>
      </c>
      <c r="Y45" s="54" t="s">
        <v>50</v>
      </c>
      <c r="Z45" s="54" t="s">
        <v>90</v>
      </c>
      <c r="AA45" s="54" t="s">
        <v>78</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0.55000000000000004</v>
      </c>
      <c r="P46" s="34">
        <v>0.6</v>
      </c>
      <c r="Q46" s="52">
        <f t="shared" si="0"/>
        <v>0.57499999999999996</v>
      </c>
      <c r="R46" s="7">
        <v>14.6</v>
      </c>
      <c r="S46" s="7">
        <v>121</v>
      </c>
      <c r="T46" s="16">
        <f t="shared" si="1"/>
        <v>27</v>
      </c>
      <c r="U46" s="7">
        <v>98</v>
      </c>
      <c r="V46" s="16">
        <f t="shared" si="2"/>
        <v>2646</v>
      </c>
      <c r="W46" s="7">
        <v>4</v>
      </c>
      <c r="X46" s="15" t="s">
        <v>46</v>
      </c>
      <c r="Y46" s="54" t="s">
        <v>50</v>
      </c>
      <c r="Z46" s="54" t="s">
        <v>90</v>
      </c>
      <c r="AA46" s="54" t="s">
        <v>78</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19.5</v>
      </c>
      <c r="S47" s="7">
        <v>127</v>
      </c>
      <c r="T47" s="16">
        <f t="shared" si="1"/>
        <v>27</v>
      </c>
      <c r="U47" s="7">
        <v>125</v>
      </c>
      <c r="V47" s="16">
        <f t="shared" si="2"/>
        <v>3375</v>
      </c>
      <c r="W47" s="7">
        <v>8</v>
      </c>
      <c r="X47" s="15" t="s">
        <v>46</v>
      </c>
      <c r="Y47" s="54" t="s">
        <v>50</v>
      </c>
      <c r="Z47" s="54" t="s">
        <v>90</v>
      </c>
      <c r="AA47" s="54" t="s">
        <v>78</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0.55000000000000004</v>
      </c>
      <c r="P48" s="7">
        <v>0.5</v>
      </c>
      <c r="Q48" s="52">
        <f t="shared" si="0"/>
        <v>0.52500000000000002</v>
      </c>
      <c r="R48" s="7">
        <v>13.7</v>
      </c>
      <c r="S48" s="7">
        <v>121</v>
      </c>
      <c r="T48" s="16">
        <f t="shared" si="1"/>
        <v>27</v>
      </c>
      <c r="U48" s="7">
        <v>125</v>
      </c>
      <c r="V48" s="16">
        <f t="shared" si="2"/>
        <v>3375</v>
      </c>
      <c r="W48" s="7">
        <v>8</v>
      </c>
      <c r="X48" s="15" t="s">
        <v>46</v>
      </c>
      <c r="Y48" s="54" t="s">
        <v>50</v>
      </c>
      <c r="Z48" s="54" t="s">
        <v>90</v>
      </c>
      <c r="AA48" s="54" t="s">
        <v>78</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0.55000000000000004</v>
      </c>
      <c r="Q49" s="52">
        <f t="shared" si="0"/>
        <v>0.52500000000000002</v>
      </c>
      <c r="R49" s="7">
        <v>14.8</v>
      </c>
      <c r="S49" s="7">
        <v>125</v>
      </c>
      <c r="T49" s="16">
        <f t="shared" si="1"/>
        <v>27</v>
      </c>
      <c r="U49" s="7">
        <v>125</v>
      </c>
      <c r="V49" s="16">
        <f t="shared" si="2"/>
        <v>3375</v>
      </c>
      <c r="W49" s="7">
        <v>8</v>
      </c>
      <c r="X49" s="15" t="s">
        <v>46</v>
      </c>
      <c r="Y49" s="54" t="s">
        <v>50</v>
      </c>
      <c r="Z49" s="54" t="s">
        <v>90</v>
      </c>
      <c r="AA49" s="54" t="s">
        <v>78</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v>
      </c>
      <c r="P50" s="7">
        <v>0.5</v>
      </c>
      <c r="Q50" s="52">
        <f t="shared" si="0"/>
        <v>0.5</v>
      </c>
      <c r="R50" s="7">
        <v>12</v>
      </c>
      <c r="S50" s="7">
        <v>127</v>
      </c>
      <c r="T50" s="16">
        <f t="shared" si="1"/>
        <v>27</v>
      </c>
      <c r="U50" s="7">
        <v>138</v>
      </c>
      <c r="V50" s="16">
        <f t="shared" si="2"/>
        <v>3726</v>
      </c>
      <c r="W50" s="7">
        <v>4</v>
      </c>
      <c r="X50" s="15" t="s">
        <v>46</v>
      </c>
      <c r="Y50" s="54" t="s">
        <v>78</v>
      </c>
      <c r="Z50" s="54" t="s">
        <v>90</v>
      </c>
      <c r="AA50" s="54" t="s">
        <v>50</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0.55000000000000004</v>
      </c>
      <c r="P51" s="7">
        <v>0.55000000000000004</v>
      </c>
      <c r="Q51" s="52">
        <f t="shared" si="0"/>
        <v>0.55000000000000004</v>
      </c>
      <c r="R51" s="7">
        <v>13.3</v>
      </c>
      <c r="S51" s="7">
        <v>129</v>
      </c>
      <c r="T51" s="16">
        <f t="shared" si="1"/>
        <v>25</v>
      </c>
      <c r="U51" s="7">
        <v>138</v>
      </c>
      <c r="V51" s="16">
        <f t="shared" si="2"/>
        <v>3450</v>
      </c>
      <c r="W51" s="7">
        <v>4</v>
      </c>
      <c r="X51" s="15" t="s">
        <v>46</v>
      </c>
      <c r="Y51" s="54" t="s">
        <v>78</v>
      </c>
      <c r="Z51" s="54" t="s">
        <v>90</v>
      </c>
      <c r="AA51" s="54" t="s">
        <v>50</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0.5</v>
      </c>
      <c r="P52" s="7">
        <v>0.5</v>
      </c>
      <c r="Q52" s="52">
        <f t="shared" si="0"/>
        <v>0.5</v>
      </c>
      <c r="R52" s="7">
        <v>13.5</v>
      </c>
      <c r="S52" s="7">
        <v>131</v>
      </c>
      <c r="T52" s="16">
        <f t="shared" si="1"/>
        <v>25</v>
      </c>
      <c r="U52" s="7">
        <v>138</v>
      </c>
      <c r="V52" s="16">
        <f t="shared" si="2"/>
        <v>3450</v>
      </c>
      <c r="W52" s="7">
        <v>4</v>
      </c>
      <c r="X52" s="15" t="s">
        <v>46</v>
      </c>
      <c r="Y52" s="54" t="s">
        <v>78</v>
      </c>
      <c r="Z52" s="54" t="s">
        <v>90</v>
      </c>
      <c r="AA52" s="54" t="s">
        <v>50</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v>
      </c>
      <c r="P53" s="7">
        <v>0.5</v>
      </c>
      <c r="Q53" s="52">
        <f t="shared" si="0"/>
        <v>0.5</v>
      </c>
      <c r="R53" s="7">
        <v>15.6</v>
      </c>
      <c r="S53" s="7">
        <v>125</v>
      </c>
      <c r="T53" s="16">
        <f t="shared" si="1"/>
        <v>27</v>
      </c>
      <c r="U53" s="7">
        <v>138</v>
      </c>
      <c r="V53" s="16">
        <f t="shared" si="2"/>
        <v>3726</v>
      </c>
      <c r="W53" s="7">
        <v>4</v>
      </c>
      <c r="X53" s="15" t="s">
        <v>46</v>
      </c>
      <c r="Y53" s="54" t="s">
        <v>78</v>
      </c>
      <c r="Z53" s="54" t="s">
        <v>90</v>
      </c>
      <c r="AA53" s="54" t="s">
        <v>50</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v>
      </c>
      <c r="P54" s="7">
        <v>0.5</v>
      </c>
      <c r="Q54" s="52">
        <f t="shared" si="0"/>
        <v>0.5</v>
      </c>
      <c r="R54" s="7">
        <v>15.4</v>
      </c>
      <c r="S54" s="7">
        <v>123</v>
      </c>
      <c r="T54" s="16">
        <f t="shared" si="1"/>
        <v>27</v>
      </c>
      <c r="U54" s="7">
        <v>138</v>
      </c>
      <c r="V54" s="16">
        <f t="shared" si="2"/>
        <v>3726</v>
      </c>
      <c r="W54" s="7">
        <v>4</v>
      </c>
      <c r="X54" s="15" t="s">
        <v>46</v>
      </c>
      <c r="Y54" s="54" t="s">
        <v>78</v>
      </c>
      <c r="Z54" s="54" t="s">
        <v>90</v>
      </c>
      <c r="AA54" s="54" t="s">
        <v>50</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v>
      </c>
      <c r="Q55" s="52">
        <f t="shared" si="0"/>
        <v>0.5</v>
      </c>
      <c r="R55" s="7">
        <v>16.100000000000001</v>
      </c>
      <c r="S55" s="7">
        <v>119</v>
      </c>
      <c r="T55" s="16">
        <f t="shared" si="1"/>
        <v>30</v>
      </c>
      <c r="U55" s="7">
        <v>138</v>
      </c>
      <c r="V55" s="16">
        <f t="shared" si="2"/>
        <v>4140</v>
      </c>
      <c r="W55" s="7">
        <v>4</v>
      </c>
      <c r="X55" s="15" t="s">
        <v>46</v>
      </c>
      <c r="Y55" s="54" t="s">
        <v>78</v>
      </c>
      <c r="Z55" s="54" t="s">
        <v>90</v>
      </c>
      <c r="AA55" s="54" t="s">
        <v>50</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0.55000000000000004</v>
      </c>
      <c r="P56" s="7">
        <v>0.55000000000000004</v>
      </c>
      <c r="Q56" s="52">
        <f t="shared" si="0"/>
        <v>0.55000000000000004</v>
      </c>
      <c r="R56" s="7">
        <v>12.5</v>
      </c>
      <c r="S56" s="7">
        <v>93</v>
      </c>
      <c r="T56" s="16">
        <f t="shared" si="1"/>
        <v>36</v>
      </c>
      <c r="U56" s="7">
        <v>84</v>
      </c>
      <c r="V56" s="16">
        <f t="shared" si="2"/>
        <v>3024</v>
      </c>
      <c r="W56" s="7">
        <v>2</v>
      </c>
      <c r="X56" s="15" t="s">
        <v>46</v>
      </c>
      <c r="Y56" s="54" t="s">
        <v>90</v>
      </c>
      <c r="Z56" s="54" t="s">
        <v>50</v>
      </c>
      <c r="AA56" s="54" t="s">
        <v>78</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0.55000000000000004</v>
      </c>
      <c r="P57" s="7">
        <v>0.6</v>
      </c>
      <c r="Q57" s="52">
        <f t="shared" si="0"/>
        <v>0.57499999999999996</v>
      </c>
      <c r="R57" s="7">
        <v>15</v>
      </c>
      <c r="S57" s="7">
        <v>92</v>
      </c>
      <c r="T57" s="16">
        <f t="shared" si="1"/>
        <v>36</v>
      </c>
      <c r="U57" s="7">
        <v>84</v>
      </c>
      <c r="V57" s="16">
        <f t="shared" si="2"/>
        <v>3024</v>
      </c>
      <c r="W57" s="7">
        <v>2</v>
      </c>
      <c r="X57" s="15" t="s">
        <v>46</v>
      </c>
      <c r="Y57" s="54" t="s">
        <v>90</v>
      </c>
      <c r="Z57" s="54" t="s">
        <v>50</v>
      </c>
      <c r="AA57" s="54" t="s">
        <v>78</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v>
      </c>
      <c r="P58" s="7">
        <v>0.5</v>
      </c>
      <c r="Q58" s="52">
        <f t="shared" si="0"/>
        <v>0.5</v>
      </c>
      <c r="R58" s="7">
        <v>13.5</v>
      </c>
      <c r="S58" s="7">
        <v>84</v>
      </c>
      <c r="T58" s="16">
        <f t="shared" si="1"/>
        <v>36</v>
      </c>
      <c r="U58" s="7">
        <v>84</v>
      </c>
      <c r="V58" s="16">
        <f t="shared" si="2"/>
        <v>3024</v>
      </c>
      <c r="W58" s="7">
        <v>2</v>
      </c>
      <c r="X58" s="15" t="s">
        <v>46</v>
      </c>
      <c r="Y58" s="54" t="s">
        <v>90</v>
      </c>
      <c r="Z58" s="54" t="s">
        <v>50</v>
      </c>
      <c r="AA58" s="54" t="s">
        <v>78</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2</v>
      </c>
      <c r="O59" s="7">
        <v>0.5</v>
      </c>
      <c r="P59" s="7">
        <v>0.5</v>
      </c>
      <c r="Q59" s="52">
        <f t="shared" si="0"/>
        <v>0.5</v>
      </c>
      <c r="R59" s="7">
        <v>15.2</v>
      </c>
      <c r="S59" s="7">
        <v>127</v>
      </c>
      <c r="T59" s="16">
        <f t="shared" si="1"/>
        <v>27</v>
      </c>
      <c r="U59" s="7">
        <v>321</v>
      </c>
      <c r="V59" s="16">
        <f t="shared" si="2"/>
        <v>4333.5</v>
      </c>
      <c r="W59" s="7">
        <v>2</v>
      </c>
      <c r="X59" s="54" t="s">
        <v>46</v>
      </c>
      <c r="Y59" s="54" t="s">
        <v>90</v>
      </c>
      <c r="Z59" s="54" t="s">
        <v>50</v>
      </c>
      <c r="AA59" s="54" t="s">
        <v>78</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2</v>
      </c>
      <c r="O60" s="7">
        <v>0.5</v>
      </c>
      <c r="P60" s="7">
        <v>0.5</v>
      </c>
      <c r="Q60" s="52">
        <f t="shared" si="0"/>
        <v>0.5</v>
      </c>
      <c r="R60" s="7">
        <v>19.100000000000001</v>
      </c>
      <c r="S60" s="7">
        <v>133</v>
      </c>
      <c r="T60" s="16">
        <f>IF(H60="","",IF(OR(H60="GREEN",H60="GK"),IF(S60&gt;=$AX$2,VLOOKUP(S60,$AX$2:$AY$12,2,1),""),IF(S60&gt;=$AZ$2,VLOOKUP(S60,$AZ$2:$BA$12,2,1),"")))</f>
        <v>25</v>
      </c>
      <c r="U60" s="7">
        <v>321</v>
      </c>
      <c r="V60" s="16">
        <f t="shared" si="2"/>
        <v>4012.5</v>
      </c>
      <c r="W60" s="7">
        <v>2</v>
      </c>
      <c r="X60" s="54" t="s">
        <v>46</v>
      </c>
      <c r="Y60" s="54" t="s">
        <v>90</v>
      </c>
      <c r="Z60" s="54" t="s">
        <v>50</v>
      </c>
      <c r="AA60" s="54" t="s">
        <v>78</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2</v>
      </c>
      <c r="O61" s="7">
        <v>0.5</v>
      </c>
      <c r="P61" s="7">
        <v>0.5</v>
      </c>
      <c r="Q61" s="52">
        <f t="shared" si="0"/>
        <v>0.5</v>
      </c>
      <c r="R61" s="7">
        <v>17.600000000000001</v>
      </c>
      <c r="S61" s="7">
        <v>132</v>
      </c>
      <c r="T61" s="16">
        <f>IF(H61="","",IF(OR(H61="GREEN",H61="GK"),IF(S61&gt;=$AX$2,VLOOKUP(S61,$AX$2:$AY$12,2,1),""),IF(S61&gt;=$AZ$2,VLOOKUP(S61,$AZ$2:$BA$12,2,1),"")))</f>
        <v>25</v>
      </c>
      <c r="U61" s="7">
        <v>321</v>
      </c>
      <c r="V61" s="16">
        <f t="shared" si="2"/>
        <v>4012.5</v>
      </c>
      <c r="W61" s="7">
        <v>2</v>
      </c>
      <c r="X61" s="54" t="s">
        <v>46</v>
      </c>
      <c r="Y61" s="54" t="s">
        <v>90</v>
      </c>
      <c r="Z61" s="54" t="s">
        <v>50</v>
      </c>
      <c r="AA61" s="54" t="s">
        <v>78</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B1C7-9C15-4E42-80EC-23A772AABED0}">
  <dimension ref="A1:BA363"/>
  <sheetViews>
    <sheetView topLeftCell="A94" zoomScale="70" zoomScaleNormal="70" workbookViewId="0">
      <selection activeCell="AE35" sqref="AE35"/>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0.5</v>
      </c>
      <c r="P2" s="53">
        <v>0.5</v>
      </c>
      <c r="Q2" s="16">
        <f t="shared" ref="Q2:Q16" si="0">IF(OR(O2="",P2=""),"",AVERAGE(O2,P2))</f>
        <v>0.5</v>
      </c>
      <c r="R2" s="53">
        <v>10.199999999999999</v>
      </c>
      <c r="S2" s="53">
        <v>127</v>
      </c>
      <c r="T2" s="16">
        <f t="shared" ref="T2:T65" si="1">IF(H2="","",IF(OR(H2="GREEN",H2="GK"),IF(S2&gt;=$AX$2,VLOOKUP(S2,$AX$2:$AY$10,2,1),""),IF(S2&gt;=$AZ$2,VLOOKUP(S2,$AZ$2:$BA$10,2,1),"")))</f>
        <v>27</v>
      </c>
      <c r="U2" s="53">
        <v>105</v>
      </c>
      <c r="V2" s="16">
        <f t="shared" ref="V2:V65" si="2">IF(OR(N2="",U2="",T2=""),"",U2/N2*T2)</f>
        <v>2835</v>
      </c>
      <c r="W2" s="53">
        <v>3</v>
      </c>
      <c r="X2" s="53" t="s">
        <v>46</v>
      </c>
      <c r="Y2" s="53" t="s">
        <v>102</v>
      </c>
      <c r="Z2" s="53" t="s">
        <v>78</v>
      </c>
      <c r="AA2" s="53" t="s">
        <v>50</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0.5</v>
      </c>
      <c r="P3" s="53">
        <v>0.65</v>
      </c>
      <c r="Q3" s="16">
        <f t="shared" si="0"/>
        <v>0.57499999999999996</v>
      </c>
      <c r="R3" s="53">
        <v>13.2</v>
      </c>
      <c r="S3" s="53">
        <v>125</v>
      </c>
      <c r="T3" s="16">
        <f t="shared" si="1"/>
        <v>27</v>
      </c>
      <c r="U3" s="53">
        <v>105</v>
      </c>
      <c r="V3" s="16">
        <f t="shared" si="2"/>
        <v>2835</v>
      </c>
      <c r="W3" s="53">
        <v>3</v>
      </c>
      <c r="X3" s="53" t="s">
        <v>46</v>
      </c>
      <c r="Y3" s="53" t="s">
        <v>102</v>
      </c>
      <c r="Z3" s="53" t="s">
        <v>78</v>
      </c>
      <c r="AA3" s="53" t="s">
        <v>50</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0.6</v>
      </c>
      <c r="P4" s="53">
        <v>0.6</v>
      </c>
      <c r="Q4" s="16">
        <f t="shared" si="0"/>
        <v>0.6</v>
      </c>
      <c r="R4" s="53">
        <v>14.2</v>
      </c>
      <c r="S4" s="53">
        <v>127</v>
      </c>
      <c r="T4" s="16">
        <f t="shared" si="1"/>
        <v>27</v>
      </c>
      <c r="U4" s="53">
        <v>105</v>
      </c>
      <c r="V4" s="16">
        <f t="shared" si="2"/>
        <v>2835</v>
      </c>
      <c r="W4" s="53">
        <v>3</v>
      </c>
      <c r="X4" s="53" t="s">
        <v>46</v>
      </c>
      <c r="Y4" s="53" t="s">
        <v>102</v>
      </c>
      <c r="Z4" s="53" t="s">
        <v>78</v>
      </c>
      <c r="AA4" s="53" t="s">
        <v>50</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0.8</v>
      </c>
      <c r="P5" s="53">
        <v>0.85</v>
      </c>
      <c r="Q5" s="72">
        <f t="shared" si="0"/>
        <v>0.82499999999999996</v>
      </c>
      <c r="R5" s="53">
        <v>12.6</v>
      </c>
      <c r="S5" s="53">
        <v>120</v>
      </c>
      <c r="T5" s="16">
        <f t="shared" si="1"/>
        <v>30</v>
      </c>
      <c r="U5" s="53">
        <v>645</v>
      </c>
      <c r="V5" s="16">
        <f t="shared" si="2"/>
        <v>2418.75</v>
      </c>
      <c r="W5" s="53">
        <v>2</v>
      </c>
      <c r="X5" s="53" t="s">
        <v>46</v>
      </c>
      <c r="Y5" s="53" t="s">
        <v>102</v>
      </c>
      <c r="Z5" s="53" t="s">
        <v>78</v>
      </c>
      <c r="AA5" s="53" t="s">
        <v>50</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0.95</v>
      </c>
      <c r="P6" s="53">
        <v>0.9</v>
      </c>
      <c r="Q6" s="72">
        <f t="shared" si="0"/>
        <v>0.92500000000000004</v>
      </c>
      <c r="R6" s="53">
        <v>13.2</v>
      </c>
      <c r="S6" s="53">
        <v>114</v>
      </c>
      <c r="T6" s="16">
        <f t="shared" si="1"/>
        <v>30</v>
      </c>
      <c r="U6" s="53">
        <v>645</v>
      </c>
      <c r="V6" s="16">
        <f t="shared" si="2"/>
        <v>2418.75</v>
      </c>
      <c r="W6" s="53">
        <v>2</v>
      </c>
      <c r="X6" s="53" t="s">
        <v>46</v>
      </c>
      <c r="Y6" s="53" t="s">
        <v>102</v>
      </c>
      <c r="Z6" s="53" t="s">
        <v>78</v>
      </c>
      <c r="AA6" s="53" t="s">
        <v>50</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1</v>
      </c>
      <c r="P7" s="53">
        <v>1.2</v>
      </c>
      <c r="Q7" s="72">
        <f t="shared" si="0"/>
        <v>1.1000000000000001</v>
      </c>
      <c r="R7" s="53">
        <v>15.4</v>
      </c>
      <c r="S7" s="53">
        <v>117</v>
      </c>
      <c r="T7" s="16">
        <f t="shared" si="1"/>
        <v>30</v>
      </c>
      <c r="U7" s="53">
        <v>645</v>
      </c>
      <c r="V7" s="16">
        <f t="shared" si="2"/>
        <v>2418.75</v>
      </c>
      <c r="W7" s="53">
        <v>2</v>
      </c>
      <c r="X7" s="53" t="s">
        <v>46</v>
      </c>
      <c r="Y7" s="53" t="s">
        <v>102</v>
      </c>
      <c r="Z7" s="53" t="s">
        <v>78</v>
      </c>
      <c r="AA7" s="53" t="s">
        <v>50</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164</v>
      </c>
      <c r="I8" s="53" t="s">
        <v>159</v>
      </c>
      <c r="J8" s="53" t="s">
        <v>38</v>
      </c>
      <c r="K8" s="53" t="s">
        <v>161</v>
      </c>
      <c r="L8" s="53">
        <v>1</v>
      </c>
      <c r="N8" s="53">
        <v>15</v>
      </c>
      <c r="O8" s="53">
        <v>0.45</v>
      </c>
      <c r="P8" s="53">
        <v>0.35</v>
      </c>
      <c r="Q8" s="75">
        <f t="shared" si="0"/>
        <v>0.4</v>
      </c>
      <c r="R8" s="53">
        <v>16.5</v>
      </c>
      <c r="S8" s="53">
        <v>98</v>
      </c>
      <c r="T8" s="16">
        <f t="shared" si="1"/>
        <v>36</v>
      </c>
      <c r="U8" s="53">
        <v>950</v>
      </c>
      <c r="V8" s="16">
        <f t="shared" si="2"/>
        <v>2280</v>
      </c>
      <c r="W8" s="53">
        <v>2</v>
      </c>
      <c r="X8" s="53" t="s">
        <v>46</v>
      </c>
      <c r="Y8" s="53" t="s">
        <v>102</v>
      </c>
      <c r="Z8" s="53" t="s">
        <v>78</v>
      </c>
      <c r="AA8" s="53" t="s">
        <v>50</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164</v>
      </c>
      <c r="I9" s="53" t="s">
        <v>159</v>
      </c>
      <c r="J9" s="53" t="s">
        <v>38</v>
      </c>
      <c r="K9" s="53" t="s">
        <v>161</v>
      </c>
      <c r="L9" s="53">
        <v>2</v>
      </c>
      <c r="M9" s="76"/>
      <c r="N9" s="53">
        <v>15</v>
      </c>
      <c r="O9" s="53">
        <v>0.6</v>
      </c>
      <c r="P9" s="53">
        <v>0.65</v>
      </c>
      <c r="Q9" s="75">
        <f t="shared" si="0"/>
        <v>0.625</v>
      </c>
      <c r="R9" s="53">
        <v>14.1</v>
      </c>
      <c r="S9" s="53">
        <v>91</v>
      </c>
      <c r="T9" s="16">
        <f t="shared" si="1"/>
        <v>36</v>
      </c>
      <c r="U9" s="53">
        <v>950</v>
      </c>
      <c r="V9" s="16">
        <f t="shared" si="2"/>
        <v>2280</v>
      </c>
      <c r="W9" s="53">
        <v>2</v>
      </c>
      <c r="X9" s="53" t="s">
        <v>46</v>
      </c>
      <c r="Y9" s="53" t="s">
        <v>102</v>
      </c>
      <c r="Z9" s="53" t="s">
        <v>78</v>
      </c>
      <c r="AA9" s="53" t="s">
        <v>50</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164</v>
      </c>
      <c r="I10" s="53" t="s">
        <v>159</v>
      </c>
      <c r="J10" s="53" t="s">
        <v>38</v>
      </c>
      <c r="K10" s="53" t="s">
        <v>161</v>
      </c>
      <c r="L10" s="53">
        <v>3</v>
      </c>
      <c r="M10" s="76"/>
      <c r="N10" s="53">
        <v>15</v>
      </c>
      <c r="O10" s="53">
        <v>0.8</v>
      </c>
      <c r="P10" s="53">
        <v>0.75</v>
      </c>
      <c r="Q10" s="75">
        <f t="shared" si="0"/>
        <v>0.77500000000000002</v>
      </c>
      <c r="R10" s="53">
        <v>14.8</v>
      </c>
      <c r="S10" s="53">
        <v>95</v>
      </c>
      <c r="T10" s="16">
        <f t="shared" si="1"/>
        <v>36</v>
      </c>
      <c r="U10" s="53">
        <v>950</v>
      </c>
      <c r="V10" s="16">
        <f t="shared" si="2"/>
        <v>2280</v>
      </c>
      <c r="W10" s="53">
        <v>2</v>
      </c>
      <c r="X10" s="53" t="s">
        <v>46</v>
      </c>
      <c r="Y10" s="53" t="s">
        <v>102</v>
      </c>
      <c r="Z10" s="53" t="s">
        <v>78</v>
      </c>
      <c r="AA10" s="53" t="s">
        <v>50</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164</v>
      </c>
      <c r="I11" s="53" t="s">
        <v>159</v>
      </c>
      <c r="J11" s="53" t="s">
        <v>38</v>
      </c>
      <c r="K11" s="53" t="s">
        <v>161</v>
      </c>
      <c r="L11" s="53">
        <v>1</v>
      </c>
      <c r="N11" s="53">
        <v>10</v>
      </c>
      <c r="O11" s="53">
        <v>0.65</v>
      </c>
      <c r="P11" s="53">
        <v>0.7</v>
      </c>
      <c r="Q11" s="72">
        <f t="shared" si="0"/>
        <v>0.67500000000000004</v>
      </c>
      <c r="R11" s="53">
        <v>11.2</v>
      </c>
      <c r="S11" s="53">
        <v>114</v>
      </c>
      <c r="T11" s="16">
        <f t="shared" si="1"/>
        <v>30</v>
      </c>
      <c r="U11" s="53">
        <v>1080</v>
      </c>
      <c r="V11" s="16">
        <f t="shared" si="2"/>
        <v>3240</v>
      </c>
      <c r="W11" s="53">
        <v>4</v>
      </c>
      <c r="X11" s="53" t="s">
        <v>46</v>
      </c>
      <c r="Y11" s="53" t="s">
        <v>102</v>
      </c>
      <c r="Z11" s="53" t="s">
        <v>78</v>
      </c>
      <c r="AA11" s="53" t="s">
        <v>50</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164</v>
      </c>
      <c r="I12" s="53" t="s">
        <v>159</v>
      </c>
      <c r="J12" s="53" t="s">
        <v>38</v>
      </c>
      <c r="K12" s="53" t="s">
        <v>161</v>
      </c>
      <c r="L12" s="53">
        <v>2</v>
      </c>
      <c r="M12" s="76"/>
      <c r="N12" s="53">
        <v>10</v>
      </c>
      <c r="O12" s="53">
        <v>0.5</v>
      </c>
      <c r="P12" s="53">
        <v>0.45</v>
      </c>
      <c r="Q12" s="72">
        <f t="shared" si="0"/>
        <v>0.47499999999999998</v>
      </c>
      <c r="R12" s="53">
        <v>13.1</v>
      </c>
      <c r="S12" s="53">
        <v>115</v>
      </c>
      <c r="T12" s="16">
        <f t="shared" si="1"/>
        <v>30</v>
      </c>
      <c r="U12" s="53">
        <v>1080</v>
      </c>
      <c r="V12" s="16">
        <f t="shared" si="2"/>
        <v>3240</v>
      </c>
      <c r="W12" s="53">
        <v>4</v>
      </c>
      <c r="X12" s="53" t="s">
        <v>46</v>
      </c>
      <c r="Y12" s="53" t="s">
        <v>102</v>
      </c>
      <c r="Z12" s="53" t="s">
        <v>78</v>
      </c>
      <c r="AA12" s="53" t="s">
        <v>50</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164</v>
      </c>
      <c r="I13" s="53" t="s">
        <v>159</v>
      </c>
      <c r="J13" s="53" t="s">
        <v>38</v>
      </c>
      <c r="K13" s="53" t="s">
        <v>161</v>
      </c>
      <c r="L13" s="53">
        <v>3</v>
      </c>
      <c r="M13" s="76"/>
      <c r="N13" s="53">
        <v>10</v>
      </c>
      <c r="O13" s="53">
        <v>0.8</v>
      </c>
      <c r="P13" s="53">
        <v>0.65</v>
      </c>
      <c r="Q13" s="72">
        <f t="shared" si="0"/>
        <v>0.72500000000000009</v>
      </c>
      <c r="R13" s="53">
        <v>12.7</v>
      </c>
      <c r="S13" s="53">
        <v>117</v>
      </c>
      <c r="T13" s="16">
        <f t="shared" si="1"/>
        <v>30</v>
      </c>
      <c r="U13" s="53">
        <v>1080</v>
      </c>
      <c r="V13" s="16">
        <f t="shared" si="2"/>
        <v>3240</v>
      </c>
      <c r="W13" s="53">
        <v>4</v>
      </c>
      <c r="X13" s="53" t="s">
        <v>46</v>
      </c>
      <c r="Y13" s="53" t="s">
        <v>102</v>
      </c>
      <c r="Z13" s="53" t="s">
        <v>78</v>
      </c>
      <c r="AA13" s="53" t="s">
        <v>50</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160</v>
      </c>
      <c r="I14" s="53" t="s">
        <v>159</v>
      </c>
      <c r="J14" s="53" t="s">
        <v>38</v>
      </c>
      <c r="K14" s="53" t="s">
        <v>161</v>
      </c>
      <c r="L14" s="53">
        <v>1</v>
      </c>
      <c r="M14" s="76"/>
      <c r="N14" s="53">
        <v>1</v>
      </c>
      <c r="O14" s="53">
        <v>0.25</v>
      </c>
      <c r="P14" s="53">
        <v>0.25</v>
      </c>
      <c r="Q14" s="72">
        <f t="shared" si="0"/>
        <v>0.25</v>
      </c>
      <c r="R14" s="53">
        <v>14.2</v>
      </c>
      <c r="S14" s="53">
        <v>128</v>
      </c>
      <c r="T14" s="16">
        <f t="shared" si="1"/>
        <v>27</v>
      </c>
      <c r="U14" s="53">
        <v>148</v>
      </c>
      <c r="V14" s="16">
        <f t="shared" si="2"/>
        <v>3996</v>
      </c>
      <c r="W14" s="53">
        <v>22</v>
      </c>
      <c r="X14" s="53" t="s">
        <v>46</v>
      </c>
      <c r="Y14" s="53" t="s">
        <v>102</v>
      </c>
      <c r="Z14" s="53" t="s">
        <v>78</v>
      </c>
      <c r="AA14" s="53" t="s">
        <v>50</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160</v>
      </c>
      <c r="I15" s="53" t="s">
        <v>159</v>
      </c>
      <c r="J15" s="53" t="s">
        <v>38</v>
      </c>
      <c r="K15" s="53" t="s">
        <v>161</v>
      </c>
      <c r="L15" s="53">
        <v>2</v>
      </c>
      <c r="M15" s="76"/>
      <c r="N15" s="53">
        <v>1</v>
      </c>
      <c r="O15" s="53">
        <v>0.25</v>
      </c>
      <c r="P15" s="53">
        <v>0.25</v>
      </c>
      <c r="Q15" s="72">
        <f t="shared" si="0"/>
        <v>0.25</v>
      </c>
      <c r="R15" s="53">
        <v>13.8</v>
      </c>
      <c r="S15" s="53">
        <v>127</v>
      </c>
      <c r="T15" s="16">
        <f t="shared" si="1"/>
        <v>27</v>
      </c>
      <c r="U15" s="53">
        <v>148</v>
      </c>
      <c r="V15" s="16">
        <f t="shared" si="2"/>
        <v>3996</v>
      </c>
      <c r="W15" s="53">
        <v>2</v>
      </c>
      <c r="X15" s="53" t="s">
        <v>46</v>
      </c>
      <c r="Y15" s="53" t="s">
        <v>102</v>
      </c>
      <c r="Z15" s="53" t="s">
        <v>78</v>
      </c>
      <c r="AA15" s="53" t="s">
        <v>50</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160</v>
      </c>
      <c r="I16" s="53" t="s">
        <v>159</v>
      </c>
      <c r="J16" s="53" t="s">
        <v>38</v>
      </c>
      <c r="K16" s="53" t="s">
        <v>161</v>
      </c>
      <c r="L16" s="53">
        <v>3</v>
      </c>
      <c r="M16" s="76"/>
      <c r="N16" s="53">
        <v>1</v>
      </c>
      <c r="O16" s="53">
        <v>0.25</v>
      </c>
      <c r="P16" s="53">
        <v>0.3</v>
      </c>
      <c r="Q16" s="72">
        <f t="shared" si="0"/>
        <v>0.27500000000000002</v>
      </c>
      <c r="R16" s="53">
        <v>15</v>
      </c>
      <c r="S16" s="53">
        <v>125</v>
      </c>
      <c r="T16" s="16">
        <f t="shared" si="1"/>
        <v>27</v>
      </c>
      <c r="U16" s="53">
        <v>148</v>
      </c>
      <c r="V16" s="16">
        <f t="shared" si="2"/>
        <v>3996</v>
      </c>
      <c r="W16" s="53">
        <v>2</v>
      </c>
      <c r="X16" s="53" t="s">
        <v>46</v>
      </c>
      <c r="Y16" s="53" t="s">
        <v>102</v>
      </c>
      <c r="Z16" s="53" t="s">
        <v>78</v>
      </c>
      <c r="AA16" s="53" t="s">
        <v>50</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133</v>
      </c>
      <c r="F17" s="53" t="s">
        <v>184</v>
      </c>
      <c r="G17" s="53" t="s">
        <v>42</v>
      </c>
      <c r="H17" s="53" t="s">
        <v>160</v>
      </c>
      <c r="I17" s="53" t="s">
        <v>159</v>
      </c>
      <c r="J17" s="53" t="s">
        <v>38</v>
      </c>
      <c r="K17" s="53" t="s">
        <v>161</v>
      </c>
      <c r="L17" s="53">
        <v>1</v>
      </c>
      <c r="M17" s="76"/>
      <c r="N17" s="53">
        <v>6</v>
      </c>
      <c r="O17" s="53">
        <v>0.3</v>
      </c>
      <c r="P17" s="53">
        <v>0.3</v>
      </c>
      <c r="Q17" s="75">
        <v>1.05</v>
      </c>
      <c r="R17" s="53">
        <v>14.7</v>
      </c>
      <c r="S17" s="53">
        <v>124</v>
      </c>
      <c r="T17" s="16">
        <f t="shared" si="1"/>
        <v>27</v>
      </c>
      <c r="U17" s="53">
        <v>754</v>
      </c>
      <c r="V17" s="16">
        <f t="shared" si="2"/>
        <v>3393</v>
      </c>
      <c r="W17" s="53">
        <v>1</v>
      </c>
      <c r="X17" s="53" t="s">
        <v>46</v>
      </c>
      <c r="Y17" s="53" t="s">
        <v>102</v>
      </c>
      <c r="Z17" s="53" t="s">
        <v>78</v>
      </c>
      <c r="AA17" s="53" t="s">
        <v>50</v>
      </c>
      <c r="AB17" s="53" t="s">
        <v>158</v>
      </c>
      <c r="AE17" s="22" t="s">
        <v>220</v>
      </c>
      <c r="AP17" s="27" t="s">
        <v>221</v>
      </c>
      <c r="AR17" s="23" t="s">
        <v>96</v>
      </c>
      <c r="AV17" s="23" t="s">
        <v>86</v>
      </c>
    </row>
    <row r="18" spans="1:48" x14ac:dyDescent="0.15">
      <c r="A18" s="53" t="s">
        <v>41</v>
      </c>
      <c r="B18" s="53" t="s">
        <v>157</v>
      </c>
      <c r="C18" s="62">
        <v>2019</v>
      </c>
      <c r="D18" s="63" t="s">
        <v>188</v>
      </c>
      <c r="E18" s="53" t="s">
        <v>133</v>
      </c>
      <c r="F18" s="53" t="s">
        <v>184</v>
      </c>
      <c r="G18" s="53" t="s">
        <v>42</v>
      </c>
      <c r="H18" s="53" t="s">
        <v>160</v>
      </c>
      <c r="I18" s="53" t="s">
        <v>159</v>
      </c>
      <c r="J18" s="53" t="s">
        <v>38</v>
      </c>
      <c r="K18" s="53" t="s">
        <v>161</v>
      </c>
      <c r="L18" s="53">
        <v>2</v>
      </c>
      <c r="M18" s="76"/>
      <c r="N18" s="53">
        <v>6</v>
      </c>
      <c r="O18" s="53">
        <v>0.4</v>
      </c>
      <c r="P18" s="53">
        <v>0.6</v>
      </c>
      <c r="Q18" s="75">
        <v>1.25</v>
      </c>
      <c r="R18" s="53">
        <v>16.399999999999999</v>
      </c>
      <c r="S18" s="53">
        <v>125</v>
      </c>
      <c r="T18" s="16">
        <f t="shared" si="1"/>
        <v>27</v>
      </c>
      <c r="U18" s="53">
        <v>754</v>
      </c>
      <c r="V18" s="16">
        <f t="shared" si="2"/>
        <v>3393</v>
      </c>
      <c r="W18" s="53">
        <v>1</v>
      </c>
      <c r="X18" s="53" t="s">
        <v>46</v>
      </c>
      <c r="Y18" s="53" t="s">
        <v>102</v>
      </c>
      <c r="Z18" s="53" t="s">
        <v>78</v>
      </c>
      <c r="AA18" s="53" t="s">
        <v>50</v>
      </c>
      <c r="AB18" s="53" t="s">
        <v>158</v>
      </c>
      <c r="AE18" s="22" t="s">
        <v>213</v>
      </c>
      <c r="AP18" s="27" t="s">
        <v>222</v>
      </c>
      <c r="AR18" s="23" t="s">
        <v>101</v>
      </c>
      <c r="AV18" s="23" t="s">
        <v>88</v>
      </c>
    </row>
    <row r="19" spans="1:48" x14ac:dyDescent="0.15">
      <c r="A19" s="53" t="s">
        <v>41</v>
      </c>
      <c r="B19" s="53" t="s">
        <v>157</v>
      </c>
      <c r="C19" s="62">
        <v>2019</v>
      </c>
      <c r="D19" s="63" t="s">
        <v>188</v>
      </c>
      <c r="E19" s="53" t="s">
        <v>133</v>
      </c>
      <c r="F19" s="53" t="s">
        <v>184</v>
      </c>
      <c r="G19" s="53" t="s">
        <v>42</v>
      </c>
      <c r="H19" s="53" t="s">
        <v>160</v>
      </c>
      <c r="I19" s="53" t="s">
        <v>159</v>
      </c>
      <c r="J19" s="53" t="s">
        <v>38</v>
      </c>
      <c r="K19" s="53" t="s">
        <v>161</v>
      </c>
      <c r="L19" s="53">
        <v>3</v>
      </c>
      <c r="M19" s="76"/>
      <c r="N19" s="53">
        <v>6</v>
      </c>
      <c r="O19" s="53">
        <v>0.6</v>
      </c>
      <c r="P19" s="53">
        <v>0.5</v>
      </c>
      <c r="Q19" s="75">
        <v>0.83</v>
      </c>
      <c r="R19" s="53">
        <v>16.2</v>
      </c>
      <c r="S19" s="53">
        <v>125</v>
      </c>
      <c r="T19" s="16">
        <f t="shared" si="1"/>
        <v>27</v>
      </c>
      <c r="U19" s="53">
        <v>754</v>
      </c>
      <c r="V19" s="16">
        <f t="shared" si="2"/>
        <v>3393</v>
      </c>
      <c r="W19" s="53">
        <v>1</v>
      </c>
      <c r="X19" s="53" t="s">
        <v>46</v>
      </c>
      <c r="Y19" s="53" t="s">
        <v>102</v>
      </c>
      <c r="Z19" s="53" t="s">
        <v>78</v>
      </c>
      <c r="AA19" s="53" t="s">
        <v>50</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M20" s="76"/>
      <c r="N20" s="53">
        <v>1</v>
      </c>
      <c r="O20" s="53">
        <v>0.5</v>
      </c>
      <c r="P20" s="53">
        <v>0.45</v>
      </c>
      <c r="Q20" s="75">
        <v>1.05</v>
      </c>
      <c r="R20" s="53">
        <v>12.3</v>
      </c>
      <c r="S20" s="53">
        <v>124</v>
      </c>
      <c r="T20" s="16">
        <f t="shared" si="1"/>
        <v>27</v>
      </c>
      <c r="U20" s="53">
        <v>117</v>
      </c>
      <c r="V20" s="16">
        <f t="shared" si="2"/>
        <v>3159</v>
      </c>
      <c r="W20" s="53">
        <v>2</v>
      </c>
      <c r="X20" s="53" t="s">
        <v>46</v>
      </c>
      <c r="Y20" s="53" t="s">
        <v>78</v>
      </c>
      <c r="Z20" s="53" t="s">
        <v>102</v>
      </c>
      <c r="AA20" s="53" t="s">
        <v>69</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M21" s="76"/>
      <c r="N21" s="53">
        <v>1</v>
      </c>
      <c r="O21" s="53">
        <v>0.8</v>
      </c>
      <c r="P21" s="53">
        <v>0.8</v>
      </c>
      <c r="Q21" s="75">
        <v>1.25</v>
      </c>
      <c r="R21" s="53">
        <v>13.5</v>
      </c>
      <c r="S21" s="53">
        <v>124</v>
      </c>
      <c r="T21" s="16">
        <f t="shared" si="1"/>
        <v>27</v>
      </c>
      <c r="U21" s="53">
        <v>117</v>
      </c>
      <c r="V21" s="16">
        <f t="shared" si="2"/>
        <v>3159</v>
      </c>
      <c r="W21" s="53">
        <v>2</v>
      </c>
      <c r="X21" s="53" t="s">
        <v>46</v>
      </c>
      <c r="Y21" s="53" t="s">
        <v>78</v>
      </c>
      <c r="Z21" s="53" t="s">
        <v>102</v>
      </c>
      <c r="AA21" s="53" t="s">
        <v>69</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M22" s="76"/>
      <c r="N22" s="53">
        <v>1</v>
      </c>
      <c r="O22" s="53">
        <v>0.65</v>
      </c>
      <c r="P22" s="53">
        <v>0.6</v>
      </c>
      <c r="Q22" s="75">
        <v>0.83</v>
      </c>
      <c r="R22" s="53">
        <v>14.1</v>
      </c>
      <c r="S22" s="53">
        <v>123</v>
      </c>
      <c r="T22" s="16">
        <f t="shared" si="1"/>
        <v>27</v>
      </c>
      <c r="U22" s="53">
        <v>117</v>
      </c>
      <c r="V22" s="16">
        <f t="shared" si="2"/>
        <v>3159</v>
      </c>
      <c r="W22" s="53">
        <v>2</v>
      </c>
      <c r="X22" s="53" t="s">
        <v>46</v>
      </c>
      <c r="Y22" s="53" t="s">
        <v>78</v>
      </c>
      <c r="Z22" s="53" t="s">
        <v>102</v>
      </c>
      <c r="AA22" s="53" t="s">
        <v>69</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160</v>
      </c>
      <c r="I23" s="53" t="s">
        <v>159</v>
      </c>
      <c r="J23" s="53" t="s">
        <v>38</v>
      </c>
      <c r="K23" s="53" t="s">
        <v>161</v>
      </c>
      <c r="L23" s="53">
        <v>1</v>
      </c>
      <c r="M23" s="76"/>
      <c r="N23" s="53">
        <v>4</v>
      </c>
      <c r="O23" s="53">
        <v>0.75</v>
      </c>
      <c r="P23" s="53">
        <v>0.7</v>
      </c>
      <c r="Q23" s="75">
        <v>0.6</v>
      </c>
      <c r="R23" s="53">
        <v>14.5</v>
      </c>
      <c r="S23" s="53">
        <v>120</v>
      </c>
      <c r="T23" s="16">
        <f t="shared" si="1"/>
        <v>30</v>
      </c>
      <c r="U23" s="53">
        <v>538</v>
      </c>
      <c r="V23" s="16">
        <f t="shared" si="2"/>
        <v>4035</v>
      </c>
      <c r="W23" s="53">
        <v>1</v>
      </c>
      <c r="X23" s="53" t="s">
        <v>46</v>
      </c>
      <c r="Y23" s="53" t="s">
        <v>78</v>
      </c>
      <c r="Z23" s="53" t="s">
        <v>102</v>
      </c>
      <c r="AA23" s="53" t="s">
        <v>69</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160</v>
      </c>
      <c r="I24" s="53" t="s">
        <v>159</v>
      </c>
      <c r="J24" s="53" t="s">
        <v>38</v>
      </c>
      <c r="K24" s="53" t="s">
        <v>161</v>
      </c>
      <c r="L24" s="53">
        <v>2</v>
      </c>
      <c r="M24" s="76"/>
      <c r="N24" s="53">
        <v>4</v>
      </c>
      <c r="O24" s="53">
        <v>0.65</v>
      </c>
      <c r="P24" s="53">
        <v>0.75</v>
      </c>
      <c r="Q24" s="75">
        <v>0.7</v>
      </c>
      <c r="R24" s="53">
        <v>14.4</v>
      </c>
      <c r="S24" s="53">
        <v>118</v>
      </c>
      <c r="T24" s="16">
        <f t="shared" si="1"/>
        <v>30</v>
      </c>
      <c r="U24" s="53">
        <v>538</v>
      </c>
      <c r="V24" s="16">
        <f t="shared" si="2"/>
        <v>4035</v>
      </c>
      <c r="W24" s="53">
        <v>1</v>
      </c>
      <c r="X24" s="53" t="s">
        <v>46</v>
      </c>
      <c r="Y24" s="53" t="s">
        <v>78</v>
      </c>
      <c r="Z24" s="53" t="s">
        <v>102</v>
      </c>
      <c r="AA24" s="53" t="s">
        <v>69</v>
      </c>
      <c r="AB24" s="53" t="s">
        <v>158</v>
      </c>
      <c r="AP24" s="27" t="s">
        <v>232</v>
      </c>
    </row>
    <row r="25" spans="1:48" x14ac:dyDescent="0.15">
      <c r="A25" s="53" t="s">
        <v>41</v>
      </c>
      <c r="B25" s="53" t="s">
        <v>157</v>
      </c>
      <c r="C25" s="62">
        <v>2019</v>
      </c>
      <c r="D25" s="63" t="s">
        <v>188</v>
      </c>
      <c r="E25" s="53" t="s">
        <v>186</v>
      </c>
      <c r="F25" s="53" t="s">
        <v>184</v>
      </c>
      <c r="G25" s="53" t="s">
        <v>42</v>
      </c>
      <c r="H25" s="53" t="s">
        <v>160</v>
      </c>
      <c r="I25" s="53" t="s">
        <v>159</v>
      </c>
      <c r="J25" s="53" t="s">
        <v>38</v>
      </c>
      <c r="K25" s="53" t="s">
        <v>161</v>
      </c>
      <c r="L25" s="53">
        <v>3</v>
      </c>
      <c r="M25" s="76"/>
      <c r="N25" s="53">
        <v>4</v>
      </c>
      <c r="O25" s="53">
        <v>0.5</v>
      </c>
      <c r="P25" s="53">
        <v>0.65</v>
      </c>
      <c r="Q25" s="75">
        <v>0.48</v>
      </c>
      <c r="R25" s="53">
        <v>15.2</v>
      </c>
      <c r="S25" s="53">
        <v>115</v>
      </c>
      <c r="T25" s="16">
        <f t="shared" si="1"/>
        <v>30</v>
      </c>
      <c r="U25" s="53">
        <v>538</v>
      </c>
      <c r="V25" s="16">
        <f t="shared" si="2"/>
        <v>4035</v>
      </c>
      <c r="W25" s="53">
        <v>1</v>
      </c>
      <c r="X25" s="53" t="s">
        <v>46</v>
      </c>
      <c r="Y25" s="53" t="s">
        <v>78</v>
      </c>
      <c r="Z25" s="53" t="s">
        <v>102</v>
      </c>
      <c r="AA25" s="53" t="s">
        <v>69</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6"/>
      <c r="N26" s="53">
        <v>1</v>
      </c>
      <c r="O26" s="53">
        <v>0.65</v>
      </c>
      <c r="P26" s="53">
        <v>0.75</v>
      </c>
      <c r="Q26" s="75">
        <v>0.55000000000000004</v>
      </c>
      <c r="R26" s="53">
        <v>12.2</v>
      </c>
      <c r="S26" s="53">
        <v>128</v>
      </c>
      <c r="T26" s="16">
        <f t="shared" si="1"/>
        <v>27</v>
      </c>
      <c r="U26" s="53">
        <v>105</v>
      </c>
      <c r="V26" s="16">
        <f t="shared" si="2"/>
        <v>2835</v>
      </c>
      <c r="W26" s="53">
        <v>2</v>
      </c>
      <c r="X26" s="53" t="s">
        <v>46</v>
      </c>
      <c r="Y26" s="53" t="s">
        <v>78</v>
      </c>
      <c r="Z26" s="53" t="s">
        <v>102</v>
      </c>
      <c r="AA26" s="53" t="s">
        <v>69</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6"/>
      <c r="N27" s="53">
        <v>1</v>
      </c>
      <c r="O27" s="53">
        <v>0.8</v>
      </c>
      <c r="P27" s="53">
        <v>0.85</v>
      </c>
      <c r="Q27" s="75">
        <v>0.65</v>
      </c>
      <c r="R27" s="53">
        <v>13.1</v>
      </c>
      <c r="S27" s="53">
        <v>128</v>
      </c>
      <c r="T27" s="16">
        <f t="shared" si="1"/>
        <v>27</v>
      </c>
      <c r="U27" s="53">
        <v>105</v>
      </c>
      <c r="V27" s="16">
        <f t="shared" si="2"/>
        <v>2835</v>
      </c>
      <c r="W27" s="53">
        <v>2</v>
      </c>
      <c r="X27" s="53" t="s">
        <v>46</v>
      </c>
      <c r="Y27" s="53" t="s">
        <v>78</v>
      </c>
      <c r="Z27" s="53" t="s">
        <v>102</v>
      </c>
      <c r="AA27" s="53" t="s">
        <v>69</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6"/>
      <c r="N28" s="53">
        <v>1</v>
      </c>
      <c r="O28" s="53">
        <v>0.9</v>
      </c>
      <c r="P28" s="53">
        <v>0.7</v>
      </c>
      <c r="Q28" s="75">
        <v>0.57999999999999996</v>
      </c>
      <c r="R28" s="53">
        <v>11.2</v>
      </c>
      <c r="S28" s="53">
        <v>127</v>
      </c>
      <c r="T28" s="16">
        <f t="shared" si="1"/>
        <v>27</v>
      </c>
      <c r="U28" s="53">
        <v>105</v>
      </c>
      <c r="V28" s="16">
        <f t="shared" si="2"/>
        <v>2835</v>
      </c>
      <c r="W28" s="53">
        <v>2</v>
      </c>
      <c r="X28" s="53" t="s">
        <v>46</v>
      </c>
      <c r="Y28" s="53" t="s">
        <v>78</v>
      </c>
      <c r="Z28" s="53" t="s">
        <v>102</v>
      </c>
      <c r="AA28" s="53" t="s">
        <v>69</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M29" s="76"/>
      <c r="N29" s="53">
        <v>5</v>
      </c>
      <c r="O29" s="53">
        <v>1</v>
      </c>
      <c r="P29" s="53">
        <v>1.1000000000000001</v>
      </c>
      <c r="Q29" s="75">
        <v>0.63</v>
      </c>
      <c r="R29" s="53">
        <v>11.8</v>
      </c>
      <c r="S29" s="53">
        <v>120</v>
      </c>
      <c r="T29" s="16">
        <f t="shared" si="1"/>
        <v>30</v>
      </c>
      <c r="U29" s="53">
        <v>429</v>
      </c>
      <c r="V29" s="16">
        <f t="shared" si="2"/>
        <v>2574</v>
      </c>
      <c r="W29" s="53">
        <v>1</v>
      </c>
      <c r="X29" s="53" t="s">
        <v>46</v>
      </c>
      <c r="Y29" s="53" t="s">
        <v>78</v>
      </c>
      <c r="Z29" s="53" t="s">
        <v>102</v>
      </c>
      <c r="AA29" s="53" t="s">
        <v>69</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M30" s="76"/>
      <c r="N30" s="53">
        <v>5</v>
      </c>
      <c r="O30" s="53">
        <v>1.1000000000000001</v>
      </c>
      <c r="P30" s="53">
        <v>1.05</v>
      </c>
      <c r="Q30" s="75">
        <v>0.78</v>
      </c>
      <c r="R30" s="53">
        <v>10.7</v>
      </c>
      <c r="S30" s="53">
        <v>120</v>
      </c>
      <c r="T30" s="16">
        <f t="shared" si="1"/>
        <v>30</v>
      </c>
      <c r="U30" s="53">
        <v>429</v>
      </c>
      <c r="V30" s="16">
        <f t="shared" si="2"/>
        <v>2574</v>
      </c>
      <c r="W30" s="53">
        <v>1</v>
      </c>
      <c r="X30" s="53" t="s">
        <v>46</v>
      </c>
      <c r="Y30" s="53" t="s">
        <v>78</v>
      </c>
      <c r="Z30" s="53" t="s">
        <v>102</v>
      </c>
      <c r="AA30" s="53" t="s">
        <v>69</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M31" s="76"/>
      <c r="N31" s="53">
        <v>5</v>
      </c>
      <c r="O31" s="53">
        <v>1.3</v>
      </c>
      <c r="P31" s="53">
        <v>1.25</v>
      </c>
      <c r="Q31" s="75">
        <v>0.65</v>
      </c>
      <c r="R31" s="53">
        <v>11.7</v>
      </c>
      <c r="S31" s="53">
        <v>120</v>
      </c>
      <c r="T31" s="16">
        <f t="shared" si="1"/>
        <v>30</v>
      </c>
      <c r="U31" s="53">
        <v>429</v>
      </c>
      <c r="V31" s="16">
        <f t="shared" si="2"/>
        <v>2574</v>
      </c>
      <c r="W31" s="53">
        <v>1</v>
      </c>
      <c r="X31" s="53" t="s">
        <v>46</v>
      </c>
      <c r="Y31" s="53" t="s">
        <v>78</v>
      </c>
      <c r="Z31" s="53" t="s">
        <v>102</v>
      </c>
      <c r="AA31" s="53" t="s">
        <v>69</v>
      </c>
      <c r="AB31" s="53" t="s">
        <v>158</v>
      </c>
    </row>
    <row r="32" spans="1:48" x14ac:dyDescent="0.15">
      <c r="A32" s="53" t="s">
        <v>41</v>
      </c>
      <c r="B32" s="53" t="s">
        <v>157</v>
      </c>
      <c r="C32" s="62">
        <v>2019</v>
      </c>
      <c r="D32" s="63" t="s">
        <v>188</v>
      </c>
      <c r="E32" s="53" t="s">
        <v>186</v>
      </c>
      <c r="F32" s="53" t="s">
        <v>189</v>
      </c>
      <c r="G32" s="53" t="s">
        <v>42</v>
      </c>
      <c r="H32" s="53" t="s">
        <v>160</v>
      </c>
      <c r="I32" s="53" t="s">
        <v>159</v>
      </c>
      <c r="J32" s="53" t="s">
        <v>38</v>
      </c>
      <c r="K32" s="53" t="s">
        <v>161</v>
      </c>
      <c r="L32" s="53">
        <v>1</v>
      </c>
      <c r="M32" s="76"/>
      <c r="N32" s="53">
        <v>1</v>
      </c>
      <c r="O32" s="53">
        <v>0.4</v>
      </c>
      <c r="P32" s="53">
        <v>0.35</v>
      </c>
      <c r="Q32" s="16">
        <v>0.38</v>
      </c>
      <c r="R32" s="53">
        <v>16.5</v>
      </c>
      <c r="S32" s="53">
        <v>124</v>
      </c>
      <c r="T32" s="16">
        <f t="shared" si="1"/>
        <v>27</v>
      </c>
      <c r="U32" s="53">
        <v>117</v>
      </c>
      <c r="V32" s="16">
        <f t="shared" si="2"/>
        <v>3159</v>
      </c>
      <c r="W32" s="53">
        <v>1</v>
      </c>
      <c r="X32" s="53" t="s">
        <v>39</v>
      </c>
      <c r="Y32" s="53" t="s">
        <v>50</v>
      </c>
      <c r="Z32" s="53" t="s">
        <v>78</v>
      </c>
      <c r="AA32" s="53" t="s">
        <v>69</v>
      </c>
      <c r="AB32" s="53" t="s">
        <v>158</v>
      </c>
    </row>
    <row r="33" spans="1:28" x14ac:dyDescent="0.15">
      <c r="A33" s="53" t="s">
        <v>41</v>
      </c>
      <c r="B33" s="53" t="s">
        <v>157</v>
      </c>
      <c r="C33" s="62">
        <v>2019</v>
      </c>
      <c r="D33" s="63" t="s">
        <v>188</v>
      </c>
      <c r="E33" s="53" t="s">
        <v>186</v>
      </c>
      <c r="F33" s="53" t="s">
        <v>189</v>
      </c>
      <c r="G33" s="53" t="s">
        <v>42</v>
      </c>
      <c r="H33" s="53" t="s">
        <v>160</v>
      </c>
      <c r="I33" s="53" t="s">
        <v>159</v>
      </c>
      <c r="J33" s="53" t="s">
        <v>38</v>
      </c>
      <c r="K33" s="53" t="s">
        <v>161</v>
      </c>
      <c r="L33" s="53">
        <v>2</v>
      </c>
      <c r="M33" s="76"/>
      <c r="N33" s="53">
        <v>1</v>
      </c>
      <c r="O33" s="53">
        <v>0.3</v>
      </c>
      <c r="P33" s="53">
        <v>0.25</v>
      </c>
      <c r="Q33" s="16">
        <v>0.83</v>
      </c>
      <c r="R33" s="53">
        <v>15.8</v>
      </c>
      <c r="S33" s="53">
        <v>123</v>
      </c>
      <c r="T33" s="16">
        <f t="shared" si="1"/>
        <v>27</v>
      </c>
      <c r="U33" s="53">
        <v>117</v>
      </c>
      <c r="V33" s="16">
        <f t="shared" si="2"/>
        <v>3159</v>
      </c>
      <c r="W33" s="53">
        <v>1</v>
      </c>
      <c r="X33" s="53" t="s">
        <v>39</v>
      </c>
      <c r="Y33" s="53" t="s">
        <v>50</v>
      </c>
      <c r="Z33" s="53" t="s">
        <v>78</v>
      </c>
      <c r="AA33" s="53" t="s">
        <v>69</v>
      </c>
      <c r="AB33" s="53" t="s">
        <v>158</v>
      </c>
    </row>
    <row r="34" spans="1:28" x14ac:dyDescent="0.15">
      <c r="A34" s="53" t="s">
        <v>41</v>
      </c>
      <c r="B34" s="53" t="s">
        <v>157</v>
      </c>
      <c r="C34" s="62">
        <v>2019</v>
      </c>
      <c r="D34" s="63" t="s">
        <v>188</v>
      </c>
      <c r="E34" s="53" t="s">
        <v>186</v>
      </c>
      <c r="F34" s="53" t="s">
        <v>189</v>
      </c>
      <c r="G34" s="53" t="s">
        <v>42</v>
      </c>
      <c r="H34" s="53" t="s">
        <v>160</v>
      </c>
      <c r="I34" s="53" t="s">
        <v>159</v>
      </c>
      <c r="J34" s="53" t="s">
        <v>38</v>
      </c>
      <c r="K34" s="53" t="s">
        <v>161</v>
      </c>
      <c r="L34" s="53">
        <v>3</v>
      </c>
      <c r="M34" s="76"/>
      <c r="N34" s="53">
        <v>1</v>
      </c>
      <c r="O34" s="53">
        <v>0.25</v>
      </c>
      <c r="P34" s="53">
        <v>0.35</v>
      </c>
      <c r="Q34" s="16">
        <v>0.5</v>
      </c>
      <c r="R34" s="53">
        <v>17</v>
      </c>
      <c r="S34" s="53">
        <v>125</v>
      </c>
      <c r="T34" s="16">
        <f t="shared" si="1"/>
        <v>27</v>
      </c>
      <c r="U34" s="53">
        <v>117</v>
      </c>
      <c r="V34" s="16">
        <f t="shared" si="2"/>
        <v>3159</v>
      </c>
      <c r="W34" s="53">
        <v>1</v>
      </c>
      <c r="X34" s="53" t="s">
        <v>39</v>
      </c>
      <c r="Y34" s="53" t="s">
        <v>50</v>
      </c>
      <c r="Z34" s="53" t="s">
        <v>78</v>
      </c>
      <c r="AA34" s="53" t="s">
        <v>69</v>
      </c>
      <c r="AB34" s="53" t="s">
        <v>158</v>
      </c>
    </row>
    <row r="35" spans="1:28" x14ac:dyDescent="0.15">
      <c r="A35" s="53" t="s">
        <v>41</v>
      </c>
      <c r="B35" s="53" t="s">
        <v>157</v>
      </c>
      <c r="C35" s="62">
        <v>2019</v>
      </c>
      <c r="D35" s="63" t="s">
        <v>188</v>
      </c>
      <c r="E35" s="53" t="s">
        <v>186</v>
      </c>
      <c r="F35" s="53" t="s">
        <v>189</v>
      </c>
      <c r="G35" s="53" t="s">
        <v>42</v>
      </c>
      <c r="H35" s="53" t="s">
        <v>160</v>
      </c>
      <c r="I35" s="53" t="s">
        <v>159</v>
      </c>
      <c r="J35" s="53" t="s">
        <v>38</v>
      </c>
      <c r="K35" s="53" t="s">
        <v>161</v>
      </c>
      <c r="L35" s="53">
        <v>1</v>
      </c>
      <c r="M35" s="76"/>
      <c r="N35" s="53">
        <v>4</v>
      </c>
      <c r="O35" s="53">
        <v>1</v>
      </c>
      <c r="P35" s="53">
        <v>0.95</v>
      </c>
      <c r="Q35" s="16">
        <v>0.8</v>
      </c>
      <c r="R35" s="53">
        <v>15.1</v>
      </c>
      <c r="S35" s="53">
        <v>120</v>
      </c>
      <c r="T35" s="16">
        <f t="shared" si="1"/>
        <v>30</v>
      </c>
      <c r="U35" s="53">
        <v>429</v>
      </c>
      <c r="V35" s="16">
        <f t="shared" si="2"/>
        <v>3217.5</v>
      </c>
      <c r="W35" s="53">
        <v>2</v>
      </c>
      <c r="X35" s="53" t="s">
        <v>39</v>
      </c>
      <c r="Y35" s="53" t="s">
        <v>50</v>
      </c>
      <c r="Z35" s="53" t="s">
        <v>78</v>
      </c>
      <c r="AA35" s="53" t="s">
        <v>69</v>
      </c>
      <c r="AB35" s="53" t="s">
        <v>158</v>
      </c>
    </row>
    <row r="36" spans="1:28" x14ac:dyDescent="0.15">
      <c r="A36" s="53" t="s">
        <v>41</v>
      </c>
      <c r="B36" s="53" t="s">
        <v>157</v>
      </c>
      <c r="C36" s="62">
        <v>2019</v>
      </c>
      <c r="D36" s="63" t="s">
        <v>188</v>
      </c>
      <c r="E36" s="53" t="s">
        <v>186</v>
      </c>
      <c r="F36" s="53" t="s">
        <v>189</v>
      </c>
      <c r="G36" s="53" t="s">
        <v>42</v>
      </c>
      <c r="H36" s="53" t="s">
        <v>160</v>
      </c>
      <c r="I36" s="53" t="s">
        <v>159</v>
      </c>
      <c r="J36" s="53" t="s">
        <v>38</v>
      </c>
      <c r="K36" s="53" t="s">
        <v>161</v>
      </c>
      <c r="L36" s="53">
        <v>2</v>
      </c>
      <c r="M36" s="76"/>
      <c r="N36" s="53">
        <v>4</v>
      </c>
      <c r="O36" s="53">
        <v>1.2</v>
      </c>
      <c r="P36" s="53">
        <v>1.1000000000000001</v>
      </c>
      <c r="Q36" s="16">
        <v>0.2</v>
      </c>
      <c r="R36" s="53">
        <v>13.2</v>
      </c>
      <c r="S36" s="53">
        <v>117</v>
      </c>
      <c r="T36" s="16">
        <f t="shared" si="1"/>
        <v>30</v>
      </c>
      <c r="U36" s="53">
        <v>429</v>
      </c>
      <c r="V36" s="16">
        <f t="shared" si="2"/>
        <v>3217.5</v>
      </c>
      <c r="W36" s="53">
        <v>2</v>
      </c>
      <c r="X36" s="53" t="s">
        <v>39</v>
      </c>
      <c r="Y36" s="53" t="s">
        <v>50</v>
      </c>
      <c r="Z36" s="53" t="s">
        <v>78</v>
      </c>
      <c r="AA36" s="53" t="s">
        <v>69</v>
      </c>
      <c r="AB36" s="53" t="s">
        <v>158</v>
      </c>
    </row>
    <row r="37" spans="1:28" x14ac:dyDescent="0.15">
      <c r="A37" s="53" t="s">
        <v>41</v>
      </c>
      <c r="B37" s="53" t="s">
        <v>157</v>
      </c>
      <c r="C37" s="62">
        <v>2019</v>
      </c>
      <c r="D37" s="63" t="s">
        <v>188</v>
      </c>
      <c r="E37" s="53" t="s">
        <v>186</v>
      </c>
      <c r="F37" s="53" t="s">
        <v>189</v>
      </c>
      <c r="G37" s="53" t="s">
        <v>42</v>
      </c>
      <c r="H37" s="53" t="s">
        <v>160</v>
      </c>
      <c r="I37" s="53" t="s">
        <v>159</v>
      </c>
      <c r="J37" s="53" t="s">
        <v>38</v>
      </c>
      <c r="K37" s="53" t="s">
        <v>161</v>
      </c>
      <c r="L37" s="53">
        <v>3</v>
      </c>
      <c r="M37" s="76"/>
      <c r="N37" s="53">
        <v>4</v>
      </c>
      <c r="O37" s="53">
        <v>0.95</v>
      </c>
      <c r="P37" s="53">
        <v>1</v>
      </c>
      <c r="Q37" s="16">
        <v>0.6</v>
      </c>
      <c r="R37" s="53">
        <v>14.3</v>
      </c>
      <c r="S37" s="53">
        <v>118</v>
      </c>
      <c r="T37" s="16">
        <f t="shared" si="1"/>
        <v>30</v>
      </c>
      <c r="U37" s="53">
        <v>429</v>
      </c>
      <c r="V37" s="16">
        <f t="shared" si="2"/>
        <v>3217.5</v>
      </c>
      <c r="W37" s="53">
        <v>2</v>
      </c>
      <c r="X37" s="53" t="s">
        <v>39</v>
      </c>
      <c r="Y37" s="53" t="s">
        <v>50</v>
      </c>
      <c r="Z37" s="53" t="s">
        <v>78</v>
      </c>
      <c r="AA37" s="53" t="s">
        <v>69</v>
      </c>
      <c r="AB37" s="53" t="s">
        <v>158</v>
      </c>
    </row>
    <row r="38" spans="1:28" x14ac:dyDescent="0.15">
      <c r="A38" s="53" t="s">
        <v>41</v>
      </c>
      <c r="B38" s="53" t="s">
        <v>157</v>
      </c>
      <c r="C38" s="62">
        <v>2019</v>
      </c>
      <c r="D38" s="63" t="s">
        <v>188</v>
      </c>
      <c r="E38" s="53" t="s">
        <v>186</v>
      </c>
      <c r="F38" s="53" t="s">
        <v>189</v>
      </c>
      <c r="G38" s="53" t="s">
        <v>42</v>
      </c>
      <c r="H38" s="53" t="s">
        <v>164</v>
      </c>
      <c r="I38" s="53" t="s">
        <v>159</v>
      </c>
      <c r="J38" s="53" t="s">
        <v>38</v>
      </c>
      <c r="K38" s="53" t="s">
        <v>161</v>
      </c>
      <c r="L38" s="53">
        <v>1</v>
      </c>
      <c r="M38" s="76"/>
      <c r="N38" s="53">
        <v>1</v>
      </c>
      <c r="O38" s="53">
        <v>0.45</v>
      </c>
      <c r="P38" s="53">
        <v>0.5</v>
      </c>
      <c r="Q38" s="16">
        <v>2.4</v>
      </c>
      <c r="R38" s="53">
        <v>10.5</v>
      </c>
      <c r="S38" s="53">
        <v>127</v>
      </c>
      <c r="T38" s="16">
        <f t="shared" si="1"/>
        <v>27</v>
      </c>
      <c r="U38" s="53">
        <v>117</v>
      </c>
      <c r="V38" s="16">
        <f t="shared" si="2"/>
        <v>3159</v>
      </c>
      <c r="W38" s="53">
        <v>1</v>
      </c>
      <c r="X38" s="53" t="s">
        <v>39</v>
      </c>
      <c r="Y38" s="53" t="s">
        <v>50</v>
      </c>
      <c r="Z38" s="53" t="s">
        <v>78</v>
      </c>
      <c r="AA38" s="53" t="s">
        <v>69</v>
      </c>
      <c r="AB38" s="53" t="s">
        <v>158</v>
      </c>
    </row>
    <row r="39" spans="1:28" x14ac:dyDescent="0.15">
      <c r="A39" s="53" t="s">
        <v>41</v>
      </c>
      <c r="B39" s="53" t="s">
        <v>157</v>
      </c>
      <c r="C39" s="62">
        <v>2019</v>
      </c>
      <c r="D39" s="63" t="s">
        <v>188</v>
      </c>
      <c r="E39" s="53" t="s">
        <v>186</v>
      </c>
      <c r="F39" s="53" t="s">
        <v>189</v>
      </c>
      <c r="G39" s="53" t="s">
        <v>42</v>
      </c>
      <c r="H39" s="53" t="s">
        <v>164</v>
      </c>
      <c r="I39" s="53" t="s">
        <v>159</v>
      </c>
      <c r="J39" s="53" t="s">
        <v>38</v>
      </c>
      <c r="K39" s="53" t="s">
        <v>161</v>
      </c>
      <c r="L39" s="53">
        <v>2</v>
      </c>
      <c r="M39" s="76"/>
      <c r="N39" s="53">
        <v>1</v>
      </c>
      <c r="O39" s="53">
        <v>0.45</v>
      </c>
      <c r="P39" s="53">
        <v>0.6</v>
      </c>
      <c r="Q39" s="16">
        <v>1.73</v>
      </c>
      <c r="R39" s="53">
        <v>11.4</v>
      </c>
      <c r="S39" s="53">
        <v>125</v>
      </c>
      <c r="T39" s="16">
        <f t="shared" si="1"/>
        <v>27</v>
      </c>
      <c r="U39" s="53">
        <v>117</v>
      </c>
      <c r="V39" s="16">
        <f t="shared" si="2"/>
        <v>3159</v>
      </c>
      <c r="W39" s="53">
        <v>1</v>
      </c>
      <c r="X39" s="53" t="s">
        <v>39</v>
      </c>
      <c r="Y39" s="53" t="s">
        <v>50</v>
      </c>
      <c r="Z39" s="53" t="s">
        <v>78</v>
      </c>
      <c r="AA39" s="53" t="s">
        <v>69</v>
      </c>
      <c r="AB39" s="53" t="s">
        <v>158</v>
      </c>
    </row>
    <row r="40" spans="1:28" x14ac:dyDescent="0.15">
      <c r="A40" s="53" t="s">
        <v>41</v>
      </c>
      <c r="B40" s="53" t="s">
        <v>157</v>
      </c>
      <c r="C40" s="62">
        <v>2019</v>
      </c>
      <c r="D40" s="63" t="s">
        <v>188</v>
      </c>
      <c r="E40" s="53" t="s">
        <v>186</v>
      </c>
      <c r="F40" s="53" t="s">
        <v>189</v>
      </c>
      <c r="G40" s="53" t="s">
        <v>42</v>
      </c>
      <c r="H40" s="53" t="s">
        <v>164</v>
      </c>
      <c r="I40" s="53" t="s">
        <v>159</v>
      </c>
      <c r="J40" s="53" t="s">
        <v>38</v>
      </c>
      <c r="K40" s="53" t="s">
        <v>161</v>
      </c>
      <c r="L40" s="53">
        <v>3</v>
      </c>
      <c r="M40" s="76"/>
      <c r="N40" s="53">
        <v>1</v>
      </c>
      <c r="O40" s="53">
        <v>0.6</v>
      </c>
      <c r="P40" s="53">
        <v>0.5</v>
      </c>
      <c r="Q40" s="16">
        <v>1.88</v>
      </c>
      <c r="R40" s="53">
        <v>12.7</v>
      </c>
      <c r="S40" s="53">
        <v>126</v>
      </c>
      <c r="T40" s="16">
        <f t="shared" si="1"/>
        <v>27</v>
      </c>
      <c r="U40" s="53">
        <v>117</v>
      </c>
      <c r="V40" s="16">
        <f t="shared" si="2"/>
        <v>3159</v>
      </c>
      <c r="W40" s="53">
        <v>1</v>
      </c>
      <c r="X40" s="53" t="s">
        <v>39</v>
      </c>
      <c r="Y40" s="53" t="s">
        <v>50</v>
      </c>
      <c r="Z40" s="53" t="s">
        <v>78</v>
      </c>
      <c r="AA40" s="53" t="s">
        <v>69</v>
      </c>
      <c r="AB40" s="53" t="s">
        <v>158</v>
      </c>
    </row>
    <row r="41" spans="1:28" x14ac:dyDescent="0.15">
      <c r="A41" s="53" t="s">
        <v>41</v>
      </c>
      <c r="B41" s="53" t="s">
        <v>157</v>
      </c>
      <c r="C41" s="62">
        <v>2019</v>
      </c>
      <c r="D41" s="63" t="s">
        <v>188</v>
      </c>
      <c r="E41" s="53" t="s">
        <v>186</v>
      </c>
      <c r="F41" s="53" t="s">
        <v>189</v>
      </c>
      <c r="G41" s="53" t="s">
        <v>42</v>
      </c>
      <c r="H41" s="53" t="s">
        <v>164</v>
      </c>
      <c r="I41" s="53" t="s">
        <v>159</v>
      </c>
      <c r="J41" s="53" t="s">
        <v>38</v>
      </c>
      <c r="K41" s="53" t="s">
        <v>161</v>
      </c>
      <c r="L41" s="53">
        <v>1</v>
      </c>
      <c r="M41" s="76"/>
      <c r="N41" s="53">
        <v>5</v>
      </c>
      <c r="O41" s="53">
        <v>1.2</v>
      </c>
      <c r="P41" s="53">
        <v>1.5</v>
      </c>
      <c r="Q41" s="16">
        <v>1.1299999999999999</v>
      </c>
      <c r="R41" s="53">
        <v>13</v>
      </c>
      <c r="S41" s="53">
        <v>111</v>
      </c>
      <c r="T41" s="16">
        <f t="shared" si="1"/>
        <v>33</v>
      </c>
      <c r="U41" s="53">
        <v>429</v>
      </c>
      <c r="V41" s="16">
        <f t="shared" si="2"/>
        <v>2831.4</v>
      </c>
      <c r="W41" s="53">
        <v>2</v>
      </c>
      <c r="X41" s="53" t="s">
        <v>39</v>
      </c>
      <c r="Y41" s="53" t="s">
        <v>50</v>
      </c>
      <c r="Z41" s="53" t="s">
        <v>78</v>
      </c>
      <c r="AA41" s="53" t="s">
        <v>69</v>
      </c>
      <c r="AB41" s="53" t="s">
        <v>158</v>
      </c>
    </row>
    <row r="42" spans="1:28" x14ac:dyDescent="0.15">
      <c r="A42" s="53" t="s">
        <v>41</v>
      </c>
      <c r="B42" s="53" t="s">
        <v>157</v>
      </c>
      <c r="C42" s="62">
        <v>2019</v>
      </c>
      <c r="D42" s="63" t="s">
        <v>188</v>
      </c>
      <c r="E42" s="53" t="s">
        <v>186</v>
      </c>
      <c r="F42" s="53" t="s">
        <v>189</v>
      </c>
      <c r="G42" s="53" t="s">
        <v>42</v>
      </c>
      <c r="H42" s="53" t="s">
        <v>164</v>
      </c>
      <c r="I42" s="53" t="s">
        <v>159</v>
      </c>
      <c r="J42" s="53" t="s">
        <v>38</v>
      </c>
      <c r="K42" s="53" t="s">
        <v>161</v>
      </c>
      <c r="L42" s="53">
        <v>2</v>
      </c>
      <c r="M42" s="76"/>
      <c r="N42" s="53">
        <v>5</v>
      </c>
      <c r="O42" s="53">
        <v>1.3</v>
      </c>
      <c r="P42" s="53">
        <v>1.4</v>
      </c>
      <c r="Q42" s="16">
        <v>1.2</v>
      </c>
      <c r="R42" s="53">
        <v>13.3</v>
      </c>
      <c r="S42" s="53">
        <v>110</v>
      </c>
      <c r="T42" s="16">
        <f t="shared" si="1"/>
        <v>33</v>
      </c>
      <c r="U42" s="53">
        <v>429</v>
      </c>
      <c r="V42" s="16">
        <f t="shared" si="2"/>
        <v>2831.4</v>
      </c>
      <c r="W42" s="53">
        <v>2</v>
      </c>
      <c r="X42" s="53" t="s">
        <v>39</v>
      </c>
      <c r="Y42" s="53" t="s">
        <v>50</v>
      </c>
      <c r="Z42" s="53" t="s">
        <v>78</v>
      </c>
      <c r="AA42" s="53" t="s">
        <v>69</v>
      </c>
      <c r="AB42" s="53" t="s">
        <v>158</v>
      </c>
    </row>
    <row r="43" spans="1:28" x14ac:dyDescent="0.15">
      <c r="A43" s="53" t="s">
        <v>41</v>
      </c>
      <c r="B43" s="53" t="s">
        <v>157</v>
      </c>
      <c r="C43" s="62">
        <v>2019</v>
      </c>
      <c r="D43" s="63" t="s">
        <v>188</v>
      </c>
      <c r="E43" s="53" t="s">
        <v>186</v>
      </c>
      <c r="F43" s="53" t="s">
        <v>189</v>
      </c>
      <c r="G43" s="53" t="s">
        <v>42</v>
      </c>
      <c r="H43" s="53" t="s">
        <v>164</v>
      </c>
      <c r="I43" s="53" t="s">
        <v>159</v>
      </c>
      <c r="J43" s="53" t="s">
        <v>38</v>
      </c>
      <c r="K43" s="53" t="s">
        <v>161</v>
      </c>
      <c r="L43" s="53">
        <v>3</v>
      </c>
      <c r="M43" s="76"/>
      <c r="N43" s="53">
        <v>5</v>
      </c>
      <c r="O43" s="53">
        <v>1</v>
      </c>
      <c r="P43" s="53">
        <v>1.3</v>
      </c>
      <c r="Q43" s="16">
        <v>1.1299999999999999</v>
      </c>
      <c r="R43" s="53">
        <v>13.3</v>
      </c>
      <c r="S43" s="53">
        <v>110</v>
      </c>
      <c r="T43" s="16">
        <f t="shared" si="1"/>
        <v>33</v>
      </c>
      <c r="U43" s="53">
        <v>429</v>
      </c>
      <c r="V43" s="16">
        <f t="shared" si="2"/>
        <v>2831.4</v>
      </c>
      <c r="W43" s="53">
        <v>2</v>
      </c>
      <c r="X43" s="53" t="s">
        <v>39</v>
      </c>
      <c r="Y43" s="53" t="s">
        <v>50</v>
      </c>
      <c r="Z43" s="53" t="s">
        <v>78</v>
      </c>
      <c r="AA43" s="53" t="s">
        <v>69</v>
      </c>
      <c r="AB43" s="53" t="s">
        <v>158</v>
      </c>
    </row>
    <row r="44" spans="1:28" x14ac:dyDescent="0.15">
      <c r="A44" s="53" t="s">
        <v>41</v>
      </c>
      <c r="B44" s="53" t="s">
        <v>157</v>
      </c>
      <c r="C44" s="62">
        <v>2019</v>
      </c>
      <c r="D44" s="63" t="s">
        <v>188</v>
      </c>
      <c r="E44" s="53" t="s">
        <v>194</v>
      </c>
      <c r="F44" s="53" t="s">
        <v>184</v>
      </c>
      <c r="G44" s="53" t="s">
        <v>42</v>
      </c>
      <c r="H44" s="53" t="s">
        <v>164</v>
      </c>
      <c r="I44" s="53" t="s">
        <v>159</v>
      </c>
      <c r="J44" s="53" t="s">
        <v>38</v>
      </c>
      <c r="K44" s="53" t="s">
        <v>161</v>
      </c>
      <c r="L44" s="53">
        <v>1</v>
      </c>
      <c r="N44" s="53">
        <v>1</v>
      </c>
      <c r="O44" s="53">
        <v>0.9</v>
      </c>
      <c r="P44" s="53">
        <v>0.95</v>
      </c>
      <c r="Q44" s="75">
        <f t="shared" ref="Q44:Q107" si="3">IF(OR(O44="",P44=""),"",AVERAGE(O44,P44))</f>
        <v>0.92500000000000004</v>
      </c>
      <c r="R44" s="53">
        <v>10.8</v>
      </c>
      <c r="S44" s="53">
        <v>123</v>
      </c>
      <c r="T44" s="16">
        <f t="shared" si="1"/>
        <v>27</v>
      </c>
      <c r="U44" s="53">
        <v>108</v>
      </c>
      <c r="V44" s="16">
        <f t="shared" si="2"/>
        <v>2916</v>
      </c>
      <c r="W44" s="53">
        <v>2</v>
      </c>
      <c r="X44" s="53" t="s">
        <v>46</v>
      </c>
      <c r="Y44" s="53" t="s">
        <v>102</v>
      </c>
      <c r="Z44" s="53" t="s">
        <v>78</v>
      </c>
      <c r="AA44" s="53" t="s">
        <v>69</v>
      </c>
      <c r="AB44" s="53" t="s">
        <v>158</v>
      </c>
    </row>
    <row r="45" spans="1:28" x14ac:dyDescent="0.15">
      <c r="A45" s="53" t="s">
        <v>41</v>
      </c>
      <c r="B45" s="53" t="s">
        <v>157</v>
      </c>
      <c r="C45" s="62">
        <v>2019</v>
      </c>
      <c r="D45" s="63" t="s">
        <v>188</v>
      </c>
      <c r="E45" s="53" t="s">
        <v>194</v>
      </c>
      <c r="F45" s="53" t="s">
        <v>184</v>
      </c>
      <c r="G45" s="53" t="s">
        <v>42</v>
      </c>
      <c r="H45" s="53" t="s">
        <v>164</v>
      </c>
      <c r="I45" s="53" t="s">
        <v>159</v>
      </c>
      <c r="J45" s="53" t="s">
        <v>38</v>
      </c>
      <c r="K45" s="53" t="s">
        <v>161</v>
      </c>
      <c r="L45" s="53">
        <v>2</v>
      </c>
      <c r="M45" s="76"/>
      <c r="N45" s="53">
        <v>1</v>
      </c>
      <c r="O45" s="53">
        <v>1</v>
      </c>
      <c r="P45" s="53">
        <v>0.8</v>
      </c>
      <c r="Q45" s="75">
        <f t="shared" si="3"/>
        <v>0.9</v>
      </c>
      <c r="R45" s="53">
        <v>13.4</v>
      </c>
      <c r="S45" s="53">
        <v>124</v>
      </c>
      <c r="T45" s="16">
        <f t="shared" si="1"/>
        <v>27</v>
      </c>
      <c r="U45" s="53">
        <v>108</v>
      </c>
      <c r="V45" s="16">
        <f t="shared" si="2"/>
        <v>2916</v>
      </c>
      <c r="W45" s="53">
        <v>2</v>
      </c>
      <c r="X45" s="53" t="s">
        <v>46</v>
      </c>
      <c r="Y45" s="53" t="s">
        <v>102</v>
      </c>
      <c r="Z45" s="53" t="s">
        <v>78</v>
      </c>
      <c r="AA45" s="53" t="s">
        <v>69</v>
      </c>
      <c r="AB45" s="53" t="s">
        <v>158</v>
      </c>
    </row>
    <row r="46" spans="1:28" x14ac:dyDescent="0.15">
      <c r="A46" s="53" t="s">
        <v>41</v>
      </c>
      <c r="B46" s="53" t="s">
        <v>157</v>
      </c>
      <c r="C46" s="62">
        <v>2019</v>
      </c>
      <c r="D46" s="63" t="s">
        <v>188</v>
      </c>
      <c r="E46" s="53" t="s">
        <v>194</v>
      </c>
      <c r="F46" s="53" t="s">
        <v>184</v>
      </c>
      <c r="G46" s="53" t="s">
        <v>42</v>
      </c>
      <c r="H46" s="53" t="s">
        <v>164</v>
      </c>
      <c r="I46" s="53" t="s">
        <v>159</v>
      </c>
      <c r="J46" s="53" t="s">
        <v>38</v>
      </c>
      <c r="K46" s="53" t="s">
        <v>161</v>
      </c>
      <c r="L46" s="53">
        <v>3</v>
      </c>
      <c r="M46" s="76"/>
      <c r="N46" s="53">
        <v>1</v>
      </c>
      <c r="O46" s="53">
        <v>0.95</v>
      </c>
      <c r="P46" s="53">
        <v>1.1000000000000001</v>
      </c>
      <c r="Q46" s="75">
        <f t="shared" si="3"/>
        <v>1.0249999999999999</v>
      </c>
      <c r="R46" s="53">
        <v>14.1</v>
      </c>
      <c r="S46" s="53">
        <v>125</v>
      </c>
      <c r="T46" s="16">
        <f t="shared" si="1"/>
        <v>27</v>
      </c>
      <c r="U46" s="53">
        <v>108</v>
      </c>
      <c r="V46" s="16">
        <f t="shared" si="2"/>
        <v>2916</v>
      </c>
      <c r="W46" s="53">
        <v>2</v>
      </c>
      <c r="X46" s="53" t="s">
        <v>46</v>
      </c>
      <c r="Y46" s="53" t="s">
        <v>102</v>
      </c>
      <c r="Z46" s="53" t="s">
        <v>78</v>
      </c>
      <c r="AA46" s="53" t="s">
        <v>69</v>
      </c>
      <c r="AB46" s="53" t="s">
        <v>158</v>
      </c>
    </row>
    <row r="47" spans="1:28" x14ac:dyDescent="0.15">
      <c r="A47" s="53" t="s">
        <v>41</v>
      </c>
      <c r="B47" s="53" t="s">
        <v>157</v>
      </c>
      <c r="C47" s="62">
        <v>2019</v>
      </c>
      <c r="D47" s="63" t="s">
        <v>188</v>
      </c>
      <c r="E47" s="53" t="s">
        <v>194</v>
      </c>
      <c r="F47" s="53" t="s">
        <v>184</v>
      </c>
      <c r="G47" s="53" t="s">
        <v>42</v>
      </c>
      <c r="H47" s="53" t="s">
        <v>164</v>
      </c>
      <c r="I47" s="53" t="s">
        <v>159</v>
      </c>
      <c r="J47" s="53" t="s">
        <v>38</v>
      </c>
      <c r="K47" s="53" t="s">
        <v>161</v>
      </c>
      <c r="L47" s="53">
        <v>1</v>
      </c>
      <c r="N47" s="53">
        <v>10</v>
      </c>
      <c r="O47" s="53">
        <v>1.2</v>
      </c>
      <c r="P47" s="53">
        <v>1</v>
      </c>
      <c r="Q47" s="75">
        <f t="shared" si="3"/>
        <v>1.1000000000000001</v>
      </c>
      <c r="R47" s="53">
        <v>10.1</v>
      </c>
      <c r="S47" s="53">
        <v>101</v>
      </c>
      <c r="T47" s="16">
        <f t="shared" si="1"/>
        <v>33</v>
      </c>
      <c r="U47" s="53">
        <v>1058</v>
      </c>
      <c r="V47" s="16">
        <f t="shared" si="2"/>
        <v>3491.4</v>
      </c>
      <c r="W47" s="53">
        <v>1</v>
      </c>
      <c r="X47" s="53" t="s">
        <v>46</v>
      </c>
      <c r="Y47" s="53" t="s">
        <v>102</v>
      </c>
      <c r="Z47" s="53" t="s">
        <v>78</v>
      </c>
      <c r="AA47" s="53" t="s">
        <v>69</v>
      </c>
      <c r="AB47" s="53" t="s">
        <v>158</v>
      </c>
    </row>
    <row r="48" spans="1:28" x14ac:dyDescent="0.15">
      <c r="A48" s="53" t="s">
        <v>41</v>
      </c>
      <c r="B48" s="53" t="s">
        <v>157</v>
      </c>
      <c r="C48" s="62">
        <v>2019</v>
      </c>
      <c r="D48" s="63" t="s">
        <v>188</v>
      </c>
      <c r="E48" s="53" t="s">
        <v>194</v>
      </c>
      <c r="F48" s="53" t="s">
        <v>184</v>
      </c>
      <c r="G48" s="53" t="s">
        <v>42</v>
      </c>
      <c r="H48" s="53" t="s">
        <v>164</v>
      </c>
      <c r="I48" s="53" t="s">
        <v>159</v>
      </c>
      <c r="J48" s="53" t="s">
        <v>38</v>
      </c>
      <c r="K48" s="53" t="s">
        <v>161</v>
      </c>
      <c r="L48" s="53">
        <v>2</v>
      </c>
      <c r="M48" s="76"/>
      <c r="N48" s="53">
        <v>10</v>
      </c>
      <c r="O48" s="53">
        <v>0.85</v>
      </c>
      <c r="P48" s="53">
        <v>0.7</v>
      </c>
      <c r="Q48" s="75">
        <f t="shared" si="3"/>
        <v>0.77499999999999991</v>
      </c>
      <c r="R48" s="53">
        <v>11.2</v>
      </c>
      <c r="S48" s="53">
        <v>110</v>
      </c>
      <c r="T48" s="16">
        <f t="shared" si="1"/>
        <v>33</v>
      </c>
      <c r="U48" s="53">
        <v>1058</v>
      </c>
      <c r="V48" s="16">
        <f t="shared" si="2"/>
        <v>3491.4</v>
      </c>
      <c r="W48" s="53">
        <v>1</v>
      </c>
      <c r="X48" s="53" t="s">
        <v>46</v>
      </c>
      <c r="Y48" s="53" t="s">
        <v>102</v>
      </c>
      <c r="Z48" s="53" t="s">
        <v>78</v>
      </c>
      <c r="AA48" s="53" t="s">
        <v>69</v>
      </c>
      <c r="AB48" s="53" t="s">
        <v>158</v>
      </c>
    </row>
    <row r="49" spans="1:34" x14ac:dyDescent="0.15">
      <c r="A49" s="53" t="s">
        <v>41</v>
      </c>
      <c r="B49" s="53" t="s">
        <v>157</v>
      </c>
      <c r="C49" s="62">
        <v>2019</v>
      </c>
      <c r="D49" s="63" t="s">
        <v>188</v>
      </c>
      <c r="E49" s="53" t="s">
        <v>194</v>
      </c>
      <c r="F49" s="53" t="s">
        <v>184</v>
      </c>
      <c r="G49" s="53" t="s">
        <v>42</v>
      </c>
      <c r="H49" s="53" t="s">
        <v>164</v>
      </c>
      <c r="I49" s="53" t="s">
        <v>159</v>
      </c>
      <c r="J49" s="53" t="s">
        <v>38</v>
      </c>
      <c r="K49" s="53" t="s">
        <v>161</v>
      </c>
      <c r="L49" s="53">
        <v>3</v>
      </c>
      <c r="M49" s="76"/>
      <c r="N49" s="53">
        <v>10</v>
      </c>
      <c r="O49" s="53">
        <v>1.2</v>
      </c>
      <c r="P49" s="53">
        <v>1</v>
      </c>
      <c r="Q49" s="75">
        <f t="shared" si="3"/>
        <v>1.1000000000000001</v>
      </c>
      <c r="R49" s="53">
        <v>13</v>
      </c>
      <c r="S49" s="53">
        <v>110</v>
      </c>
      <c r="T49" s="16">
        <f t="shared" si="1"/>
        <v>33</v>
      </c>
      <c r="U49" s="53">
        <v>1058</v>
      </c>
      <c r="V49" s="16">
        <f t="shared" si="2"/>
        <v>3491.4</v>
      </c>
      <c r="W49" s="53">
        <v>1</v>
      </c>
      <c r="X49" s="53" t="s">
        <v>46</v>
      </c>
      <c r="Y49" s="53" t="s">
        <v>102</v>
      </c>
      <c r="Z49" s="53" t="s">
        <v>78</v>
      </c>
      <c r="AA49" s="53" t="s">
        <v>69</v>
      </c>
      <c r="AB49" s="53" t="s">
        <v>158</v>
      </c>
    </row>
    <row r="50" spans="1:34" x14ac:dyDescent="0.15">
      <c r="A50" s="53" t="s">
        <v>41</v>
      </c>
      <c r="B50" s="53" t="s">
        <v>157</v>
      </c>
      <c r="C50" s="62">
        <v>2019</v>
      </c>
      <c r="D50" s="63" t="s">
        <v>188</v>
      </c>
      <c r="E50" s="53" t="s">
        <v>194</v>
      </c>
      <c r="F50" s="53" t="s">
        <v>184</v>
      </c>
      <c r="G50" s="53" t="s">
        <v>42</v>
      </c>
      <c r="H50" s="53" t="s">
        <v>160</v>
      </c>
      <c r="I50" s="53" t="s">
        <v>159</v>
      </c>
      <c r="J50" s="53" t="s">
        <v>38</v>
      </c>
      <c r="K50" s="53" t="s">
        <v>161</v>
      </c>
      <c r="L50" s="53">
        <v>1</v>
      </c>
      <c r="N50" s="53">
        <v>1</v>
      </c>
      <c r="O50" s="53">
        <v>0.25</v>
      </c>
      <c r="P50" s="53">
        <v>0.25</v>
      </c>
      <c r="Q50" s="75">
        <f t="shared" si="3"/>
        <v>0.25</v>
      </c>
      <c r="R50" s="53">
        <v>15.2</v>
      </c>
      <c r="S50" s="53">
        <v>123</v>
      </c>
      <c r="T50" s="16">
        <f t="shared" si="1"/>
        <v>27</v>
      </c>
      <c r="U50" s="53">
        <v>160</v>
      </c>
      <c r="V50" s="16">
        <f t="shared" si="2"/>
        <v>4320</v>
      </c>
      <c r="W50" s="53">
        <v>3</v>
      </c>
      <c r="X50" s="53" t="s">
        <v>46</v>
      </c>
      <c r="Y50" s="53" t="s">
        <v>102</v>
      </c>
      <c r="Z50" s="53" t="s">
        <v>78</v>
      </c>
      <c r="AA50" s="53" t="s">
        <v>69</v>
      </c>
      <c r="AB50" s="53" t="s">
        <v>158</v>
      </c>
    </row>
    <row r="51" spans="1:34" x14ac:dyDescent="0.15">
      <c r="A51" s="53" t="s">
        <v>41</v>
      </c>
      <c r="B51" s="53" t="s">
        <v>157</v>
      </c>
      <c r="C51" s="62">
        <v>2019</v>
      </c>
      <c r="D51" s="63" t="s">
        <v>188</v>
      </c>
      <c r="E51" s="53" t="s">
        <v>194</v>
      </c>
      <c r="F51" s="53" t="s">
        <v>184</v>
      </c>
      <c r="G51" s="53" t="s">
        <v>42</v>
      </c>
      <c r="H51" s="53" t="s">
        <v>160</v>
      </c>
      <c r="I51" s="53" t="s">
        <v>159</v>
      </c>
      <c r="J51" s="53" t="s">
        <v>38</v>
      </c>
      <c r="K51" s="53" t="s">
        <v>161</v>
      </c>
      <c r="L51" s="53">
        <v>2</v>
      </c>
      <c r="M51" s="76"/>
      <c r="N51" s="53">
        <v>1</v>
      </c>
      <c r="O51" s="53">
        <v>0.25</v>
      </c>
      <c r="P51" s="53">
        <v>0.25</v>
      </c>
      <c r="Q51" s="75">
        <f t="shared" si="3"/>
        <v>0.25</v>
      </c>
      <c r="R51" s="53">
        <v>16.399999999999999</v>
      </c>
      <c r="S51" s="53">
        <v>125</v>
      </c>
      <c r="T51" s="16">
        <f t="shared" si="1"/>
        <v>27</v>
      </c>
      <c r="U51" s="53">
        <v>160</v>
      </c>
      <c r="V51" s="16">
        <f t="shared" si="2"/>
        <v>4320</v>
      </c>
      <c r="W51" s="53">
        <v>3</v>
      </c>
      <c r="X51" s="53" t="s">
        <v>46</v>
      </c>
      <c r="Y51" s="53" t="s">
        <v>102</v>
      </c>
      <c r="Z51" s="53" t="s">
        <v>78</v>
      </c>
      <c r="AA51" s="53" t="s">
        <v>69</v>
      </c>
      <c r="AB51" s="53" t="s">
        <v>158</v>
      </c>
    </row>
    <row r="52" spans="1:34" x14ac:dyDescent="0.15">
      <c r="A52" s="53" t="s">
        <v>41</v>
      </c>
      <c r="B52" s="53" t="s">
        <v>157</v>
      </c>
      <c r="C52" s="62">
        <v>2019</v>
      </c>
      <c r="D52" s="63" t="s">
        <v>188</v>
      </c>
      <c r="E52" s="53" t="s">
        <v>194</v>
      </c>
      <c r="F52" s="53" t="s">
        <v>184</v>
      </c>
      <c r="G52" s="53" t="s">
        <v>42</v>
      </c>
      <c r="H52" s="53" t="s">
        <v>160</v>
      </c>
      <c r="I52" s="53" t="s">
        <v>159</v>
      </c>
      <c r="J52" s="53" t="s">
        <v>38</v>
      </c>
      <c r="K52" s="53" t="s">
        <v>161</v>
      </c>
      <c r="L52" s="53">
        <v>3</v>
      </c>
      <c r="M52" s="76"/>
      <c r="N52" s="53">
        <v>1</v>
      </c>
      <c r="O52" s="53">
        <v>0.25</v>
      </c>
      <c r="P52" s="53">
        <v>0.25</v>
      </c>
      <c r="Q52" s="75">
        <f t="shared" si="3"/>
        <v>0.25</v>
      </c>
      <c r="R52" s="53">
        <v>16</v>
      </c>
      <c r="S52" s="53">
        <v>122</v>
      </c>
      <c r="T52" s="16">
        <f t="shared" si="1"/>
        <v>27</v>
      </c>
      <c r="U52" s="53">
        <v>160</v>
      </c>
      <c r="V52" s="16">
        <f t="shared" si="2"/>
        <v>4320</v>
      </c>
      <c r="W52" s="53">
        <v>3</v>
      </c>
      <c r="X52" s="53" t="s">
        <v>46</v>
      </c>
      <c r="Y52" s="53" t="s">
        <v>102</v>
      </c>
      <c r="Z52" s="53" t="s">
        <v>78</v>
      </c>
      <c r="AA52" s="53" t="s">
        <v>69</v>
      </c>
      <c r="AB52" s="53" t="s">
        <v>158</v>
      </c>
    </row>
    <row r="53" spans="1:34" x14ac:dyDescent="0.15">
      <c r="A53" s="53" t="s">
        <v>41</v>
      </c>
      <c r="B53" s="53" t="s">
        <v>157</v>
      </c>
      <c r="C53" s="62">
        <v>2019</v>
      </c>
      <c r="D53" s="63" t="s">
        <v>188</v>
      </c>
      <c r="E53" s="53" t="s">
        <v>194</v>
      </c>
      <c r="F53" s="53" t="s">
        <v>184</v>
      </c>
      <c r="G53" s="53" t="s">
        <v>42</v>
      </c>
      <c r="H53" s="53" t="s">
        <v>160</v>
      </c>
      <c r="I53" s="53" t="s">
        <v>159</v>
      </c>
      <c r="J53" s="53" t="s">
        <v>38</v>
      </c>
      <c r="K53" s="53" t="s">
        <v>161</v>
      </c>
      <c r="L53" s="53">
        <v>1</v>
      </c>
      <c r="N53" s="53">
        <v>10</v>
      </c>
      <c r="O53" s="53">
        <v>0.65</v>
      </c>
      <c r="P53" s="53">
        <v>0.5</v>
      </c>
      <c r="Q53" s="75">
        <f t="shared" si="3"/>
        <v>0.57499999999999996</v>
      </c>
      <c r="R53" s="53">
        <v>15.8</v>
      </c>
      <c r="S53" s="53">
        <v>100</v>
      </c>
      <c r="T53" s="16">
        <f t="shared" si="1"/>
        <v>33</v>
      </c>
      <c r="U53" s="53">
        <v>1490</v>
      </c>
      <c r="V53" s="16">
        <f t="shared" si="2"/>
        <v>4917</v>
      </c>
      <c r="W53" s="53">
        <v>1</v>
      </c>
      <c r="X53" s="53" t="s">
        <v>46</v>
      </c>
      <c r="Y53" s="53" t="s">
        <v>102</v>
      </c>
      <c r="Z53" s="53" t="s">
        <v>78</v>
      </c>
      <c r="AA53" s="53" t="s">
        <v>69</v>
      </c>
      <c r="AB53" s="53" t="s">
        <v>158</v>
      </c>
    </row>
    <row r="54" spans="1:34" x14ac:dyDescent="0.15">
      <c r="A54" s="53" t="s">
        <v>41</v>
      </c>
      <c r="B54" s="53" t="s">
        <v>157</v>
      </c>
      <c r="C54" s="62">
        <v>2019</v>
      </c>
      <c r="D54" s="63" t="s">
        <v>188</v>
      </c>
      <c r="E54" s="53" t="s">
        <v>194</v>
      </c>
      <c r="F54" s="53" t="s">
        <v>184</v>
      </c>
      <c r="G54" s="53" t="s">
        <v>42</v>
      </c>
      <c r="H54" s="53" t="s">
        <v>160</v>
      </c>
      <c r="I54" s="53" t="s">
        <v>159</v>
      </c>
      <c r="J54" s="53" t="s">
        <v>38</v>
      </c>
      <c r="K54" s="53" t="s">
        <v>161</v>
      </c>
      <c r="L54" s="53">
        <v>2</v>
      </c>
      <c r="M54" s="76"/>
      <c r="N54" s="53">
        <v>10</v>
      </c>
      <c r="O54" s="53">
        <v>0.4</v>
      </c>
      <c r="P54" s="53">
        <v>0.4</v>
      </c>
      <c r="Q54" s="75">
        <f t="shared" si="3"/>
        <v>0.4</v>
      </c>
      <c r="R54" s="53">
        <v>14</v>
      </c>
      <c r="S54" s="53">
        <v>107</v>
      </c>
      <c r="T54" s="16">
        <f t="shared" si="1"/>
        <v>33</v>
      </c>
      <c r="U54" s="53">
        <v>1490</v>
      </c>
      <c r="V54" s="16">
        <f t="shared" si="2"/>
        <v>4917</v>
      </c>
      <c r="W54" s="53">
        <v>1</v>
      </c>
      <c r="X54" s="53" t="s">
        <v>46</v>
      </c>
      <c r="Y54" s="53" t="s">
        <v>102</v>
      </c>
      <c r="Z54" s="53" t="s">
        <v>78</v>
      </c>
      <c r="AA54" s="53" t="s">
        <v>69</v>
      </c>
      <c r="AB54" s="53" t="s">
        <v>158</v>
      </c>
    </row>
    <row r="55" spans="1:34" x14ac:dyDescent="0.15">
      <c r="A55" s="53" t="s">
        <v>41</v>
      </c>
      <c r="B55" s="53" t="s">
        <v>157</v>
      </c>
      <c r="C55" s="62">
        <v>2019</v>
      </c>
      <c r="D55" s="63" t="s">
        <v>188</v>
      </c>
      <c r="E55" s="53" t="s">
        <v>194</v>
      </c>
      <c r="F55" s="53" t="s">
        <v>184</v>
      </c>
      <c r="G55" s="53" t="s">
        <v>42</v>
      </c>
      <c r="H55" s="53" t="s">
        <v>160</v>
      </c>
      <c r="I55" s="53" t="s">
        <v>159</v>
      </c>
      <c r="J55" s="53" t="s">
        <v>38</v>
      </c>
      <c r="K55" s="53" t="s">
        <v>161</v>
      </c>
      <c r="L55" s="53">
        <v>3</v>
      </c>
      <c r="M55" s="76"/>
      <c r="N55" s="53">
        <v>10</v>
      </c>
      <c r="O55" s="53">
        <v>0.5</v>
      </c>
      <c r="P55" s="53">
        <v>0.45</v>
      </c>
      <c r="Q55" s="75">
        <f t="shared" si="3"/>
        <v>0.47499999999999998</v>
      </c>
      <c r="R55" s="53">
        <v>14.6</v>
      </c>
      <c r="S55" s="53">
        <v>110</v>
      </c>
      <c r="T55" s="16">
        <f t="shared" si="1"/>
        <v>33</v>
      </c>
      <c r="U55" s="53">
        <v>1490</v>
      </c>
      <c r="V55" s="16">
        <f t="shared" si="2"/>
        <v>4917</v>
      </c>
      <c r="W55" s="53">
        <v>1</v>
      </c>
      <c r="X55" s="53" t="s">
        <v>46</v>
      </c>
      <c r="Y55" s="53" t="s">
        <v>102</v>
      </c>
      <c r="Z55" s="53" t="s">
        <v>78</v>
      </c>
      <c r="AA55" s="53" t="s">
        <v>69</v>
      </c>
      <c r="AB55" s="53" t="s">
        <v>158</v>
      </c>
    </row>
    <row r="56" spans="1:34" x14ac:dyDescent="0.15">
      <c r="A56" s="53" t="s">
        <v>41</v>
      </c>
      <c r="B56" s="53" t="s">
        <v>157</v>
      </c>
      <c r="C56" s="62">
        <v>2019</v>
      </c>
      <c r="D56" s="63" t="s">
        <v>188</v>
      </c>
      <c r="E56" s="53" t="s">
        <v>194</v>
      </c>
      <c r="F56" s="53" t="s">
        <v>196</v>
      </c>
      <c r="G56" s="53" t="s">
        <v>42</v>
      </c>
      <c r="H56" s="53" t="s">
        <v>164</v>
      </c>
      <c r="I56" s="53" t="s">
        <v>159</v>
      </c>
      <c r="J56" s="53" t="s">
        <v>38</v>
      </c>
      <c r="K56" s="53" t="s">
        <v>161</v>
      </c>
      <c r="L56" s="53">
        <v>1</v>
      </c>
      <c r="N56" s="53">
        <v>1</v>
      </c>
      <c r="O56" s="53">
        <v>0.65</v>
      </c>
      <c r="P56" s="53">
        <v>0.75</v>
      </c>
      <c r="Q56" s="75">
        <f t="shared" si="3"/>
        <v>0.7</v>
      </c>
      <c r="R56" s="53">
        <v>10.199999999999999</v>
      </c>
      <c r="S56" s="53">
        <v>124</v>
      </c>
      <c r="T56" s="16">
        <f t="shared" si="1"/>
        <v>27</v>
      </c>
      <c r="U56" s="53">
        <v>84</v>
      </c>
      <c r="V56" s="16">
        <f t="shared" si="2"/>
        <v>2268</v>
      </c>
      <c r="W56" s="53">
        <v>1</v>
      </c>
      <c r="X56" s="53" t="s">
        <v>46</v>
      </c>
      <c r="Y56" s="53" t="s">
        <v>102</v>
      </c>
      <c r="Z56" s="53" t="s">
        <v>50</v>
      </c>
      <c r="AA56" s="53" t="s">
        <v>78</v>
      </c>
      <c r="AB56" s="53" t="s">
        <v>158</v>
      </c>
    </row>
    <row r="57" spans="1:34" x14ac:dyDescent="0.15">
      <c r="A57" s="53" t="s">
        <v>41</v>
      </c>
      <c r="B57" s="53" t="s">
        <v>157</v>
      </c>
      <c r="C57" s="62">
        <v>2019</v>
      </c>
      <c r="D57" s="63" t="s">
        <v>188</v>
      </c>
      <c r="E57" s="53" t="s">
        <v>194</v>
      </c>
      <c r="F57" s="53" t="s">
        <v>196</v>
      </c>
      <c r="G57" s="53" t="s">
        <v>42</v>
      </c>
      <c r="H57" s="53" t="s">
        <v>164</v>
      </c>
      <c r="I57" s="53" t="s">
        <v>159</v>
      </c>
      <c r="J57" s="53" t="s">
        <v>38</v>
      </c>
      <c r="K57" s="53" t="s">
        <v>161</v>
      </c>
      <c r="L57" s="53">
        <v>2</v>
      </c>
      <c r="M57" s="76"/>
      <c r="N57" s="53">
        <v>1</v>
      </c>
      <c r="O57" s="53">
        <v>0.75</v>
      </c>
      <c r="P57" s="53">
        <v>0.55000000000000004</v>
      </c>
      <c r="Q57" s="75">
        <f t="shared" si="3"/>
        <v>0.65</v>
      </c>
      <c r="R57" s="53">
        <v>13.2</v>
      </c>
      <c r="S57" s="53">
        <v>125</v>
      </c>
      <c r="T57" s="16">
        <f t="shared" si="1"/>
        <v>27</v>
      </c>
      <c r="U57" s="53">
        <v>84</v>
      </c>
      <c r="V57" s="16">
        <f t="shared" si="2"/>
        <v>2268</v>
      </c>
      <c r="W57" s="53">
        <v>1</v>
      </c>
      <c r="X57" s="53" t="s">
        <v>46</v>
      </c>
      <c r="Y57" s="53" t="s">
        <v>102</v>
      </c>
      <c r="Z57" s="53" t="s">
        <v>50</v>
      </c>
      <c r="AA57" s="53" t="s">
        <v>78</v>
      </c>
      <c r="AB57" s="53" t="s">
        <v>158</v>
      </c>
    </row>
    <row r="58" spans="1:34" x14ac:dyDescent="0.15">
      <c r="A58" s="53" t="s">
        <v>41</v>
      </c>
      <c r="B58" s="53" t="s">
        <v>157</v>
      </c>
      <c r="C58" s="62">
        <v>2019</v>
      </c>
      <c r="D58" s="63" t="s">
        <v>188</v>
      </c>
      <c r="E58" s="53" t="s">
        <v>194</v>
      </c>
      <c r="F58" s="53" t="s">
        <v>196</v>
      </c>
      <c r="G58" s="53" t="s">
        <v>42</v>
      </c>
      <c r="H58" s="53" t="s">
        <v>164</v>
      </c>
      <c r="I58" s="53" t="s">
        <v>159</v>
      </c>
      <c r="J58" s="53" t="s">
        <v>38</v>
      </c>
      <c r="K58" s="53" t="s">
        <v>161</v>
      </c>
      <c r="L58" s="53">
        <v>3</v>
      </c>
      <c r="M58" s="76"/>
      <c r="N58" s="53">
        <v>1</v>
      </c>
      <c r="O58" s="53">
        <v>0.8</v>
      </c>
      <c r="P58" s="53">
        <v>0.9</v>
      </c>
      <c r="Q58" s="75">
        <f t="shared" si="3"/>
        <v>0.85000000000000009</v>
      </c>
      <c r="R58" s="53">
        <v>11.2</v>
      </c>
      <c r="S58" s="53">
        <v>122</v>
      </c>
      <c r="T58" s="16">
        <f t="shared" si="1"/>
        <v>27</v>
      </c>
      <c r="U58" s="53">
        <v>84</v>
      </c>
      <c r="V58" s="16">
        <f t="shared" si="2"/>
        <v>2268</v>
      </c>
      <c r="W58" s="53">
        <v>1</v>
      </c>
      <c r="X58" s="53" t="s">
        <v>46</v>
      </c>
      <c r="Y58" s="53" t="s">
        <v>102</v>
      </c>
      <c r="Z58" s="53" t="s">
        <v>50</v>
      </c>
      <c r="AA58" s="53" t="s">
        <v>78</v>
      </c>
      <c r="AB58" s="53" t="s">
        <v>158</v>
      </c>
    </row>
    <row r="59" spans="1:34" x14ac:dyDescent="0.15">
      <c r="A59" s="53" t="s">
        <v>41</v>
      </c>
      <c r="B59" s="53" t="s">
        <v>157</v>
      </c>
      <c r="C59" s="62">
        <v>2019</v>
      </c>
      <c r="D59" s="63" t="s">
        <v>188</v>
      </c>
      <c r="E59" s="53" t="s">
        <v>194</v>
      </c>
      <c r="F59" s="53" t="s">
        <v>196</v>
      </c>
      <c r="G59" s="53" t="s">
        <v>42</v>
      </c>
      <c r="H59" s="53" t="s">
        <v>164</v>
      </c>
      <c r="I59" s="53" t="s">
        <v>159</v>
      </c>
      <c r="J59" s="53" t="s">
        <v>38</v>
      </c>
      <c r="K59" s="53" t="s">
        <v>161</v>
      </c>
      <c r="L59" s="53">
        <v>1</v>
      </c>
      <c r="N59" s="53">
        <v>4</v>
      </c>
      <c r="O59" s="53">
        <v>0.45</v>
      </c>
      <c r="P59" s="53">
        <v>0.5</v>
      </c>
      <c r="Q59" s="75">
        <f t="shared" si="3"/>
        <v>0.47499999999999998</v>
      </c>
      <c r="R59" s="53">
        <v>12.8</v>
      </c>
      <c r="S59" s="53">
        <v>110</v>
      </c>
      <c r="T59" s="16">
        <f t="shared" si="1"/>
        <v>33</v>
      </c>
      <c r="U59" s="53">
        <v>421</v>
      </c>
      <c r="V59" s="16">
        <f t="shared" si="2"/>
        <v>3473.25</v>
      </c>
      <c r="W59" s="53">
        <v>2</v>
      </c>
      <c r="X59" s="53" t="s">
        <v>46</v>
      </c>
      <c r="Y59" s="53" t="s">
        <v>102</v>
      </c>
      <c r="Z59" s="53" t="s">
        <v>50</v>
      </c>
      <c r="AA59" s="53" t="s">
        <v>78</v>
      </c>
      <c r="AB59" s="53" t="s">
        <v>158</v>
      </c>
      <c r="AC59" s="76"/>
      <c r="AD59" s="76"/>
      <c r="AE59" s="76"/>
      <c r="AF59" s="76"/>
      <c r="AG59" s="76"/>
      <c r="AH59" s="76"/>
    </row>
    <row r="60" spans="1:34" x14ac:dyDescent="0.15">
      <c r="A60" s="53" t="s">
        <v>41</v>
      </c>
      <c r="B60" s="53" t="s">
        <v>157</v>
      </c>
      <c r="C60" s="62">
        <v>2019</v>
      </c>
      <c r="D60" s="63" t="s">
        <v>188</v>
      </c>
      <c r="E60" s="53" t="s">
        <v>194</v>
      </c>
      <c r="F60" s="53" t="s">
        <v>196</v>
      </c>
      <c r="G60" s="53" t="s">
        <v>42</v>
      </c>
      <c r="H60" s="53" t="s">
        <v>164</v>
      </c>
      <c r="I60" s="53" t="s">
        <v>159</v>
      </c>
      <c r="J60" s="53" t="s">
        <v>38</v>
      </c>
      <c r="K60" s="53" t="s">
        <v>161</v>
      </c>
      <c r="L60" s="53">
        <v>2</v>
      </c>
      <c r="M60" s="76"/>
      <c r="N60" s="53">
        <v>4</v>
      </c>
      <c r="O60" s="53">
        <v>0.35</v>
      </c>
      <c r="P60" s="53">
        <v>0.45</v>
      </c>
      <c r="Q60" s="75">
        <f t="shared" si="3"/>
        <v>0.4</v>
      </c>
      <c r="R60" s="53">
        <v>11</v>
      </c>
      <c r="S60" s="53">
        <v>108</v>
      </c>
      <c r="T60" s="16">
        <f t="shared" si="1"/>
        <v>33</v>
      </c>
      <c r="U60" s="53">
        <v>421</v>
      </c>
      <c r="V60" s="16">
        <f t="shared" si="2"/>
        <v>3473.25</v>
      </c>
      <c r="W60" s="53">
        <v>2</v>
      </c>
      <c r="X60" s="53" t="s">
        <v>46</v>
      </c>
      <c r="Y60" s="53" t="s">
        <v>102</v>
      </c>
      <c r="Z60" s="53" t="s">
        <v>50</v>
      </c>
      <c r="AA60" s="53" t="s">
        <v>78</v>
      </c>
      <c r="AB60" s="53" t="s">
        <v>158</v>
      </c>
      <c r="AC60" s="76"/>
      <c r="AD60" s="76"/>
      <c r="AE60" s="76"/>
      <c r="AF60" s="76"/>
      <c r="AG60" s="76"/>
      <c r="AH60" s="76"/>
    </row>
    <row r="61" spans="1:34" x14ac:dyDescent="0.15">
      <c r="A61" s="53" t="s">
        <v>41</v>
      </c>
      <c r="B61" s="53" t="s">
        <v>157</v>
      </c>
      <c r="C61" s="62">
        <v>2019</v>
      </c>
      <c r="D61" s="63" t="s">
        <v>188</v>
      </c>
      <c r="E61" s="53" t="s">
        <v>194</v>
      </c>
      <c r="F61" s="53" t="s">
        <v>196</v>
      </c>
      <c r="G61" s="53" t="s">
        <v>42</v>
      </c>
      <c r="H61" s="53" t="s">
        <v>164</v>
      </c>
      <c r="I61" s="53" t="s">
        <v>159</v>
      </c>
      <c r="J61" s="53" t="s">
        <v>38</v>
      </c>
      <c r="K61" s="53" t="s">
        <v>161</v>
      </c>
      <c r="L61" s="53">
        <v>3</v>
      </c>
      <c r="M61" s="76"/>
      <c r="N61" s="53">
        <v>4</v>
      </c>
      <c r="O61" s="53">
        <v>0.35</v>
      </c>
      <c r="P61" s="53">
        <v>0.35</v>
      </c>
      <c r="Q61" s="75">
        <f t="shared" si="3"/>
        <v>0.35</v>
      </c>
      <c r="R61" s="53">
        <v>11.5</v>
      </c>
      <c r="S61" s="53">
        <v>105</v>
      </c>
      <c r="T61" s="16">
        <f t="shared" si="1"/>
        <v>33</v>
      </c>
      <c r="U61" s="53">
        <v>421</v>
      </c>
      <c r="V61" s="16">
        <f t="shared" si="2"/>
        <v>3473.25</v>
      </c>
      <c r="W61" s="53">
        <v>2</v>
      </c>
      <c r="X61" s="53" t="s">
        <v>46</v>
      </c>
      <c r="Y61" s="53" t="s">
        <v>102</v>
      </c>
      <c r="Z61" s="53" t="s">
        <v>50</v>
      </c>
      <c r="AA61" s="53" t="s">
        <v>78</v>
      </c>
      <c r="AB61" s="53" t="s">
        <v>158</v>
      </c>
      <c r="AC61" s="76"/>
      <c r="AD61" s="76"/>
      <c r="AE61" s="76"/>
      <c r="AF61" s="76"/>
      <c r="AG61" s="76"/>
      <c r="AH61" s="76"/>
    </row>
    <row r="62" spans="1:34" x14ac:dyDescent="0.15">
      <c r="A62" s="53" t="s">
        <v>41</v>
      </c>
      <c r="B62" s="53" t="s">
        <v>157</v>
      </c>
      <c r="C62" s="62">
        <v>2019</v>
      </c>
      <c r="D62" s="63" t="s">
        <v>188</v>
      </c>
      <c r="E62" s="53" t="s">
        <v>194</v>
      </c>
      <c r="F62" s="53" t="s">
        <v>196</v>
      </c>
      <c r="G62" s="53" t="s">
        <v>42</v>
      </c>
      <c r="H62" s="53" t="s">
        <v>164</v>
      </c>
      <c r="I62" s="53" t="s">
        <v>159</v>
      </c>
      <c r="J62" s="53" t="s">
        <v>38</v>
      </c>
      <c r="K62" s="53" t="s">
        <v>161</v>
      </c>
      <c r="L62" s="53">
        <v>1</v>
      </c>
      <c r="N62" s="53">
        <v>8</v>
      </c>
      <c r="O62" s="53">
        <v>0.45</v>
      </c>
      <c r="P62" s="53">
        <v>0.35</v>
      </c>
      <c r="Q62" s="75">
        <f t="shared" si="3"/>
        <v>0.4</v>
      </c>
      <c r="R62" s="53">
        <v>12.6</v>
      </c>
      <c r="S62" s="53">
        <v>100</v>
      </c>
      <c r="T62" s="16">
        <f t="shared" si="1"/>
        <v>33</v>
      </c>
      <c r="U62" s="53">
        <v>842</v>
      </c>
      <c r="V62" s="16">
        <f t="shared" si="2"/>
        <v>3473.25</v>
      </c>
      <c r="W62" s="53">
        <v>2</v>
      </c>
      <c r="X62" s="53" t="s">
        <v>46</v>
      </c>
      <c r="Y62" s="53" t="s">
        <v>102</v>
      </c>
      <c r="Z62" s="53" t="s">
        <v>50</v>
      </c>
      <c r="AA62" s="53" t="s">
        <v>78</v>
      </c>
      <c r="AB62" s="53" t="s">
        <v>158</v>
      </c>
      <c r="AC62" s="76"/>
      <c r="AD62" s="76"/>
      <c r="AE62" s="76"/>
      <c r="AF62" s="76"/>
      <c r="AG62" s="76"/>
      <c r="AH62" s="76"/>
    </row>
    <row r="63" spans="1:34" x14ac:dyDescent="0.15">
      <c r="A63" s="53" t="s">
        <v>41</v>
      </c>
      <c r="B63" s="53" t="s">
        <v>157</v>
      </c>
      <c r="C63" s="62">
        <v>2019</v>
      </c>
      <c r="D63" s="63" t="s">
        <v>188</v>
      </c>
      <c r="E63" s="53" t="s">
        <v>194</v>
      </c>
      <c r="F63" s="53" t="s">
        <v>196</v>
      </c>
      <c r="G63" s="53" t="s">
        <v>42</v>
      </c>
      <c r="H63" s="53" t="s">
        <v>164</v>
      </c>
      <c r="I63" s="53" t="s">
        <v>159</v>
      </c>
      <c r="J63" s="53" t="s">
        <v>38</v>
      </c>
      <c r="K63" s="53" t="s">
        <v>161</v>
      </c>
      <c r="L63" s="53">
        <v>2</v>
      </c>
      <c r="M63" s="76"/>
      <c r="N63" s="53">
        <v>8</v>
      </c>
      <c r="O63" s="53">
        <v>0.65</v>
      </c>
      <c r="P63" s="53">
        <v>0.4</v>
      </c>
      <c r="Q63" s="75">
        <f t="shared" si="3"/>
        <v>0.52500000000000002</v>
      </c>
      <c r="R63" s="53">
        <v>13</v>
      </c>
      <c r="S63" s="53">
        <v>96</v>
      </c>
      <c r="T63" s="16">
        <f t="shared" si="1"/>
        <v>36</v>
      </c>
      <c r="U63" s="53">
        <v>842</v>
      </c>
      <c r="V63" s="16">
        <f t="shared" si="2"/>
        <v>3789</v>
      </c>
      <c r="W63" s="53">
        <v>2</v>
      </c>
      <c r="X63" s="53" t="s">
        <v>46</v>
      </c>
      <c r="Y63" s="53" t="s">
        <v>102</v>
      </c>
      <c r="Z63" s="53" t="s">
        <v>50</v>
      </c>
      <c r="AA63" s="53" t="s">
        <v>78</v>
      </c>
      <c r="AB63" s="53" t="s">
        <v>158</v>
      </c>
      <c r="AC63" s="76"/>
      <c r="AD63" s="76"/>
      <c r="AE63" s="76"/>
      <c r="AF63" s="76"/>
      <c r="AG63" s="76"/>
      <c r="AH63" s="76"/>
    </row>
    <row r="64" spans="1:34" x14ac:dyDescent="0.15">
      <c r="A64" s="53" t="s">
        <v>41</v>
      </c>
      <c r="B64" s="53" t="s">
        <v>157</v>
      </c>
      <c r="C64" s="62">
        <v>2019</v>
      </c>
      <c r="D64" s="63" t="s">
        <v>188</v>
      </c>
      <c r="E64" s="53" t="s">
        <v>194</v>
      </c>
      <c r="F64" s="53" t="s">
        <v>196</v>
      </c>
      <c r="G64" s="53" t="s">
        <v>42</v>
      </c>
      <c r="H64" s="53" t="s">
        <v>164</v>
      </c>
      <c r="I64" s="53" t="s">
        <v>159</v>
      </c>
      <c r="J64" s="53" t="s">
        <v>38</v>
      </c>
      <c r="K64" s="53" t="s">
        <v>161</v>
      </c>
      <c r="L64" s="53">
        <v>3</v>
      </c>
      <c r="M64" s="76"/>
      <c r="N64" s="53">
        <v>8</v>
      </c>
      <c r="O64" s="53">
        <v>0.5</v>
      </c>
      <c r="P64" s="53">
        <v>0.55000000000000004</v>
      </c>
      <c r="Q64" s="75">
        <f t="shared" si="3"/>
        <v>0.52500000000000002</v>
      </c>
      <c r="R64" s="53">
        <v>11.5</v>
      </c>
      <c r="S64" s="53">
        <v>97</v>
      </c>
      <c r="T64" s="16">
        <f t="shared" si="1"/>
        <v>36</v>
      </c>
      <c r="U64" s="53">
        <v>842</v>
      </c>
      <c r="V64" s="16">
        <f t="shared" si="2"/>
        <v>3789</v>
      </c>
      <c r="W64" s="53">
        <v>2</v>
      </c>
      <c r="X64" s="53" t="s">
        <v>46</v>
      </c>
      <c r="Y64" s="53" t="s">
        <v>102</v>
      </c>
      <c r="Z64" s="53" t="s">
        <v>50</v>
      </c>
      <c r="AA64" s="53" t="s">
        <v>78</v>
      </c>
      <c r="AB64" s="53" t="s">
        <v>158</v>
      </c>
      <c r="AC64" s="76"/>
      <c r="AD64" s="76"/>
      <c r="AE64" s="76"/>
      <c r="AF64" s="76"/>
      <c r="AG64" s="76"/>
      <c r="AH64" s="76"/>
    </row>
    <row r="65" spans="1:34" x14ac:dyDescent="0.15">
      <c r="A65" s="53" t="s">
        <v>41</v>
      </c>
      <c r="B65" s="53" t="s">
        <v>157</v>
      </c>
      <c r="C65" s="62">
        <v>2019</v>
      </c>
      <c r="D65" s="63" t="s">
        <v>188</v>
      </c>
      <c r="E65" s="53" t="s">
        <v>194</v>
      </c>
      <c r="F65" s="53" t="s">
        <v>196</v>
      </c>
      <c r="G65" s="53" t="s">
        <v>42</v>
      </c>
      <c r="H65" s="53" t="s">
        <v>160</v>
      </c>
      <c r="I65" s="53" t="s">
        <v>159</v>
      </c>
      <c r="J65" s="53" t="s">
        <v>38</v>
      </c>
      <c r="K65" s="53" t="s">
        <v>161</v>
      </c>
      <c r="L65" s="53">
        <v>1</v>
      </c>
      <c r="N65" s="53">
        <v>1</v>
      </c>
      <c r="O65" s="53">
        <v>0.75</v>
      </c>
      <c r="P65" s="53">
        <v>0.9</v>
      </c>
      <c r="Q65" s="75">
        <f t="shared" si="3"/>
        <v>0.82499999999999996</v>
      </c>
      <c r="R65" s="53">
        <v>15.2</v>
      </c>
      <c r="S65" s="53">
        <v>122</v>
      </c>
      <c r="T65" s="16">
        <f t="shared" si="1"/>
        <v>27</v>
      </c>
      <c r="U65" s="53">
        <v>84</v>
      </c>
      <c r="V65" s="16">
        <f t="shared" si="2"/>
        <v>2268</v>
      </c>
      <c r="W65" s="53">
        <v>1</v>
      </c>
      <c r="X65" s="53" t="s">
        <v>46</v>
      </c>
      <c r="Y65" s="53" t="s">
        <v>102</v>
      </c>
      <c r="Z65" s="53" t="s">
        <v>50</v>
      </c>
      <c r="AA65" s="53" t="s">
        <v>78</v>
      </c>
      <c r="AB65" s="53" t="s">
        <v>158</v>
      </c>
      <c r="AC65" s="76"/>
      <c r="AD65" s="76"/>
      <c r="AE65" s="76"/>
      <c r="AF65" s="76"/>
      <c r="AG65" s="76"/>
      <c r="AH65" s="76"/>
    </row>
    <row r="66" spans="1:34" x14ac:dyDescent="0.15">
      <c r="A66" s="53" t="s">
        <v>41</v>
      </c>
      <c r="B66" s="53" t="s">
        <v>157</v>
      </c>
      <c r="C66" s="62">
        <v>2019</v>
      </c>
      <c r="D66" s="63" t="s">
        <v>188</v>
      </c>
      <c r="E66" s="53" t="s">
        <v>194</v>
      </c>
      <c r="F66" s="53" t="s">
        <v>196</v>
      </c>
      <c r="G66" s="53" t="s">
        <v>42</v>
      </c>
      <c r="H66" s="53" t="s">
        <v>160</v>
      </c>
      <c r="I66" s="53" t="s">
        <v>159</v>
      </c>
      <c r="J66" s="53" t="s">
        <v>38</v>
      </c>
      <c r="K66" s="53" t="s">
        <v>161</v>
      </c>
      <c r="L66" s="53">
        <v>2</v>
      </c>
      <c r="M66" s="76"/>
      <c r="N66" s="53">
        <v>1</v>
      </c>
      <c r="O66" s="53">
        <v>0.75</v>
      </c>
      <c r="P66" s="53">
        <v>0.75</v>
      </c>
      <c r="Q66" s="75">
        <f t="shared" si="3"/>
        <v>0.75</v>
      </c>
      <c r="R66" s="53">
        <v>13.4</v>
      </c>
      <c r="S66" s="53">
        <v>121</v>
      </c>
      <c r="T66" s="16">
        <f t="shared" ref="T66:T127" si="4">IF(H66="","",IF(OR(H66="GREEN",H66="GK"),IF(S66&gt;=$AX$2,VLOOKUP(S66,$AX$2:$AY$10,2,1),""),IF(S66&gt;=$AZ$2,VLOOKUP(S66,$AZ$2:$BA$10,2,1),"")))</f>
        <v>27</v>
      </c>
      <c r="U66" s="53">
        <v>84</v>
      </c>
      <c r="V66" s="16">
        <f t="shared" ref="V66:V103" si="5">IF(OR(N66="",U66="",T66=""),"",U66/N66*T66)</f>
        <v>2268</v>
      </c>
      <c r="W66" s="53">
        <v>1</v>
      </c>
      <c r="X66" s="53" t="s">
        <v>46</v>
      </c>
      <c r="Y66" s="53" t="s">
        <v>102</v>
      </c>
      <c r="Z66" s="53" t="s">
        <v>50</v>
      </c>
      <c r="AA66" s="53" t="s">
        <v>78</v>
      </c>
      <c r="AB66" s="53" t="s">
        <v>158</v>
      </c>
      <c r="AC66" s="76"/>
      <c r="AD66" s="76"/>
      <c r="AE66" s="76"/>
      <c r="AF66" s="76"/>
      <c r="AG66" s="76"/>
      <c r="AH66" s="76"/>
    </row>
    <row r="67" spans="1:34" x14ac:dyDescent="0.15">
      <c r="A67" s="53" t="s">
        <v>41</v>
      </c>
      <c r="B67" s="53" t="s">
        <v>157</v>
      </c>
      <c r="C67" s="62">
        <v>2019</v>
      </c>
      <c r="D67" s="63" t="s">
        <v>188</v>
      </c>
      <c r="E67" s="53" t="s">
        <v>194</v>
      </c>
      <c r="F67" s="53" t="s">
        <v>196</v>
      </c>
      <c r="G67" s="53" t="s">
        <v>42</v>
      </c>
      <c r="H67" s="53" t="s">
        <v>160</v>
      </c>
      <c r="I67" s="53" t="s">
        <v>159</v>
      </c>
      <c r="J67" s="53" t="s">
        <v>38</v>
      </c>
      <c r="K67" s="53" t="s">
        <v>161</v>
      </c>
      <c r="L67" s="53">
        <v>3</v>
      </c>
      <c r="M67" s="76"/>
      <c r="N67" s="53">
        <v>1</v>
      </c>
      <c r="O67" s="53">
        <v>0.65</v>
      </c>
      <c r="P67" s="53">
        <v>0.5</v>
      </c>
      <c r="Q67" s="75">
        <f t="shared" si="3"/>
        <v>0.57499999999999996</v>
      </c>
      <c r="R67" s="53">
        <v>16.100000000000001</v>
      </c>
      <c r="S67" s="53">
        <v>118</v>
      </c>
      <c r="T67" s="16">
        <f t="shared" si="4"/>
        <v>30</v>
      </c>
      <c r="U67" s="53">
        <v>84</v>
      </c>
      <c r="V67" s="16">
        <f t="shared" si="5"/>
        <v>2520</v>
      </c>
      <c r="W67" s="53">
        <v>1</v>
      </c>
      <c r="X67" s="53" t="s">
        <v>46</v>
      </c>
      <c r="Y67" s="53" t="s">
        <v>102</v>
      </c>
      <c r="Z67" s="53" t="s">
        <v>50</v>
      </c>
      <c r="AA67" s="53" t="s">
        <v>78</v>
      </c>
      <c r="AB67" s="53" t="s">
        <v>158</v>
      </c>
      <c r="AC67" s="76"/>
      <c r="AD67" s="76"/>
      <c r="AE67" s="76"/>
      <c r="AF67" s="76"/>
      <c r="AG67" s="76"/>
      <c r="AH67" s="76"/>
    </row>
    <row r="68" spans="1:34" x14ac:dyDescent="0.15">
      <c r="A68" s="53" t="s">
        <v>41</v>
      </c>
      <c r="B68" s="53" t="s">
        <v>157</v>
      </c>
      <c r="C68" s="62">
        <v>2019</v>
      </c>
      <c r="D68" s="63" t="s">
        <v>188</v>
      </c>
      <c r="E68" s="53" t="s">
        <v>194</v>
      </c>
      <c r="F68" s="53" t="s">
        <v>196</v>
      </c>
      <c r="G68" s="53" t="s">
        <v>42</v>
      </c>
      <c r="H68" s="53" t="s">
        <v>160</v>
      </c>
      <c r="I68" s="53" t="s">
        <v>159</v>
      </c>
      <c r="J68" s="53" t="s">
        <v>38</v>
      </c>
      <c r="K68" s="53" t="s">
        <v>161</v>
      </c>
      <c r="L68" s="53">
        <v>1</v>
      </c>
      <c r="N68" s="53">
        <v>5</v>
      </c>
      <c r="O68" s="53">
        <v>0.85</v>
      </c>
      <c r="P68" s="53">
        <v>0.7</v>
      </c>
      <c r="Q68" s="75">
        <f t="shared" si="3"/>
        <v>0.77499999999999991</v>
      </c>
      <c r="R68" s="53">
        <v>15.7</v>
      </c>
      <c r="S68" s="53">
        <v>110</v>
      </c>
      <c r="T68" s="16">
        <f t="shared" si="4"/>
        <v>33</v>
      </c>
      <c r="U68" s="53">
        <v>421</v>
      </c>
      <c r="V68" s="16">
        <f t="shared" si="5"/>
        <v>2778.6</v>
      </c>
      <c r="W68" s="53">
        <v>2</v>
      </c>
      <c r="X68" s="53" t="s">
        <v>46</v>
      </c>
      <c r="Y68" s="53" t="s">
        <v>102</v>
      </c>
      <c r="Z68" s="53" t="s">
        <v>50</v>
      </c>
      <c r="AA68" s="53" t="s">
        <v>78</v>
      </c>
      <c r="AB68" s="53" t="s">
        <v>158</v>
      </c>
      <c r="AC68" s="76"/>
      <c r="AD68" s="76"/>
      <c r="AE68" s="76"/>
      <c r="AF68" s="76"/>
      <c r="AG68" s="76"/>
      <c r="AH68" s="76"/>
    </row>
    <row r="69" spans="1:34" x14ac:dyDescent="0.15">
      <c r="A69" s="53" t="s">
        <v>41</v>
      </c>
      <c r="B69" s="53" t="s">
        <v>157</v>
      </c>
      <c r="C69" s="62">
        <v>2019</v>
      </c>
      <c r="D69" s="63" t="s">
        <v>188</v>
      </c>
      <c r="E69" s="53" t="s">
        <v>194</v>
      </c>
      <c r="F69" s="53" t="s">
        <v>196</v>
      </c>
      <c r="G69" s="53" t="s">
        <v>42</v>
      </c>
      <c r="H69" s="53" t="s">
        <v>160</v>
      </c>
      <c r="I69" s="53" t="s">
        <v>159</v>
      </c>
      <c r="J69" s="53" t="s">
        <v>38</v>
      </c>
      <c r="K69" s="53" t="s">
        <v>161</v>
      </c>
      <c r="L69" s="53">
        <v>2</v>
      </c>
      <c r="M69" s="76"/>
      <c r="N69" s="53">
        <v>5</v>
      </c>
      <c r="O69" s="53">
        <v>0.7</v>
      </c>
      <c r="P69" s="53">
        <v>0.85</v>
      </c>
      <c r="Q69" s="75">
        <f t="shared" si="3"/>
        <v>0.77499999999999991</v>
      </c>
      <c r="R69" s="53">
        <v>14.1</v>
      </c>
      <c r="S69" s="53">
        <v>112</v>
      </c>
      <c r="T69" s="16">
        <f t="shared" si="4"/>
        <v>33</v>
      </c>
      <c r="U69" s="53">
        <v>421</v>
      </c>
      <c r="V69" s="16">
        <f t="shared" si="5"/>
        <v>2778.6</v>
      </c>
      <c r="W69" s="53">
        <v>2</v>
      </c>
      <c r="X69" s="53" t="s">
        <v>46</v>
      </c>
      <c r="Y69" s="53" t="s">
        <v>102</v>
      </c>
      <c r="Z69" s="53" t="s">
        <v>50</v>
      </c>
      <c r="AA69" s="53" t="s">
        <v>78</v>
      </c>
      <c r="AB69" s="53" t="s">
        <v>158</v>
      </c>
      <c r="AC69" s="76"/>
      <c r="AD69" s="76"/>
      <c r="AE69" s="76"/>
      <c r="AF69" s="76"/>
      <c r="AG69" s="76"/>
      <c r="AH69" s="76"/>
    </row>
    <row r="70" spans="1:34" x14ac:dyDescent="0.15">
      <c r="A70" s="53" t="s">
        <v>41</v>
      </c>
      <c r="B70" s="53" t="s">
        <v>157</v>
      </c>
      <c r="C70" s="62">
        <v>2019</v>
      </c>
      <c r="D70" s="63" t="s">
        <v>188</v>
      </c>
      <c r="E70" s="53" t="s">
        <v>194</v>
      </c>
      <c r="F70" s="53" t="s">
        <v>196</v>
      </c>
      <c r="G70" s="53" t="s">
        <v>42</v>
      </c>
      <c r="H70" s="53" t="s">
        <v>160</v>
      </c>
      <c r="I70" s="53" t="s">
        <v>159</v>
      </c>
      <c r="J70" s="53" t="s">
        <v>38</v>
      </c>
      <c r="K70" s="53" t="s">
        <v>161</v>
      </c>
      <c r="L70" s="53">
        <v>3</v>
      </c>
      <c r="M70" s="76"/>
      <c r="N70" s="53">
        <v>5</v>
      </c>
      <c r="O70" s="53">
        <v>0.65</v>
      </c>
      <c r="P70" s="53">
        <v>0.65</v>
      </c>
      <c r="Q70" s="75">
        <f t="shared" si="3"/>
        <v>0.65</v>
      </c>
      <c r="R70" s="53">
        <v>15.2</v>
      </c>
      <c r="S70" s="53">
        <v>111</v>
      </c>
      <c r="T70" s="16">
        <f t="shared" si="4"/>
        <v>33</v>
      </c>
      <c r="U70" s="53">
        <v>421</v>
      </c>
      <c r="V70" s="16">
        <f t="shared" si="5"/>
        <v>2778.6</v>
      </c>
      <c r="W70" s="53">
        <v>2</v>
      </c>
      <c r="X70" s="53" t="s">
        <v>46</v>
      </c>
      <c r="Y70" s="53" t="s">
        <v>102</v>
      </c>
      <c r="Z70" s="53" t="s">
        <v>50</v>
      </c>
      <c r="AA70" s="53" t="s">
        <v>78</v>
      </c>
      <c r="AB70" s="53" t="s">
        <v>158</v>
      </c>
      <c r="AC70" s="76"/>
      <c r="AD70" s="76"/>
      <c r="AE70" s="76"/>
      <c r="AF70" s="76"/>
      <c r="AG70" s="76"/>
      <c r="AH70" s="76"/>
    </row>
    <row r="71" spans="1:34" x14ac:dyDescent="0.15">
      <c r="A71" s="53" t="s">
        <v>41</v>
      </c>
      <c r="B71" s="53" t="s">
        <v>157</v>
      </c>
      <c r="C71" s="62">
        <v>2019</v>
      </c>
      <c r="D71" s="63" t="s">
        <v>188</v>
      </c>
      <c r="E71" s="53" t="s">
        <v>194</v>
      </c>
      <c r="F71" s="53" t="s">
        <v>196</v>
      </c>
      <c r="G71" s="53" t="s">
        <v>42</v>
      </c>
      <c r="H71" s="53" t="s">
        <v>160</v>
      </c>
      <c r="I71" s="53" t="s">
        <v>159</v>
      </c>
      <c r="J71" s="53" t="s">
        <v>38</v>
      </c>
      <c r="K71" s="53" t="s">
        <v>161</v>
      </c>
      <c r="L71" s="53">
        <v>1</v>
      </c>
      <c r="N71" s="53">
        <v>7</v>
      </c>
      <c r="O71" s="53">
        <v>0.45</v>
      </c>
      <c r="P71" s="53">
        <v>0.35</v>
      </c>
      <c r="Q71" s="75">
        <f t="shared" si="3"/>
        <v>0.4</v>
      </c>
      <c r="R71" s="53">
        <v>12.8</v>
      </c>
      <c r="S71" s="53">
        <v>110</v>
      </c>
      <c r="T71" s="16">
        <f t="shared" si="4"/>
        <v>33</v>
      </c>
      <c r="U71" s="53">
        <v>842</v>
      </c>
      <c r="V71" s="16">
        <f t="shared" si="5"/>
        <v>3969.4285714285716</v>
      </c>
      <c r="W71" s="53">
        <v>2</v>
      </c>
      <c r="X71" s="53" t="s">
        <v>46</v>
      </c>
      <c r="Y71" s="53" t="s">
        <v>102</v>
      </c>
      <c r="Z71" s="53" t="s">
        <v>50</v>
      </c>
      <c r="AA71" s="53" t="s">
        <v>78</v>
      </c>
      <c r="AB71" s="53" t="s">
        <v>158</v>
      </c>
      <c r="AC71" s="76"/>
      <c r="AD71" s="76"/>
      <c r="AE71" s="76"/>
      <c r="AF71" s="76"/>
      <c r="AG71" s="76"/>
      <c r="AH71" s="76"/>
    </row>
    <row r="72" spans="1:34" x14ac:dyDescent="0.15">
      <c r="A72" s="53" t="s">
        <v>41</v>
      </c>
      <c r="B72" s="53" t="s">
        <v>157</v>
      </c>
      <c r="C72" s="62">
        <v>2019</v>
      </c>
      <c r="D72" s="63" t="s">
        <v>188</v>
      </c>
      <c r="E72" s="53" t="s">
        <v>194</v>
      </c>
      <c r="F72" s="53" t="s">
        <v>196</v>
      </c>
      <c r="G72" s="53" t="s">
        <v>42</v>
      </c>
      <c r="H72" s="53" t="s">
        <v>160</v>
      </c>
      <c r="I72" s="53" t="s">
        <v>159</v>
      </c>
      <c r="J72" s="53" t="s">
        <v>38</v>
      </c>
      <c r="K72" s="53" t="s">
        <v>161</v>
      </c>
      <c r="L72" s="53">
        <v>2</v>
      </c>
      <c r="M72" s="76"/>
      <c r="N72" s="53">
        <v>7</v>
      </c>
      <c r="O72" s="53">
        <v>0.25</v>
      </c>
      <c r="P72" s="53">
        <v>0.3</v>
      </c>
      <c r="Q72" s="75">
        <f t="shared" si="3"/>
        <v>0.27500000000000002</v>
      </c>
      <c r="R72" s="53">
        <v>13.1</v>
      </c>
      <c r="S72" s="53">
        <v>111</v>
      </c>
      <c r="T72" s="16">
        <f t="shared" si="4"/>
        <v>33</v>
      </c>
      <c r="U72" s="53">
        <v>842</v>
      </c>
      <c r="V72" s="16">
        <f t="shared" si="5"/>
        <v>3969.4285714285716</v>
      </c>
      <c r="W72" s="53">
        <v>2</v>
      </c>
      <c r="X72" s="53" t="s">
        <v>46</v>
      </c>
      <c r="Y72" s="53" t="s">
        <v>102</v>
      </c>
      <c r="Z72" s="53" t="s">
        <v>50</v>
      </c>
      <c r="AA72" s="53" t="s">
        <v>78</v>
      </c>
      <c r="AB72" s="53" t="s">
        <v>158</v>
      </c>
      <c r="AC72" s="76"/>
      <c r="AD72" s="76"/>
      <c r="AE72" s="76"/>
      <c r="AF72" s="76"/>
      <c r="AG72" s="76"/>
      <c r="AH72" s="76"/>
    </row>
    <row r="73" spans="1:34" x14ac:dyDescent="0.15">
      <c r="A73" s="53" t="s">
        <v>41</v>
      </c>
      <c r="B73" s="53" t="s">
        <v>157</v>
      </c>
      <c r="C73" s="62">
        <v>2019</v>
      </c>
      <c r="D73" s="63" t="s">
        <v>188</v>
      </c>
      <c r="E73" s="53" t="s">
        <v>194</v>
      </c>
      <c r="F73" s="53" t="s">
        <v>196</v>
      </c>
      <c r="G73" s="53" t="s">
        <v>42</v>
      </c>
      <c r="H73" s="53" t="s">
        <v>160</v>
      </c>
      <c r="I73" s="53" t="s">
        <v>159</v>
      </c>
      <c r="J73" s="53" t="s">
        <v>38</v>
      </c>
      <c r="K73" s="53" t="s">
        <v>161</v>
      </c>
      <c r="L73" s="53">
        <v>3</v>
      </c>
      <c r="M73" s="76"/>
      <c r="N73" s="53">
        <v>7</v>
      </c>
      <c r="O73" s="53">
        <v>0.25</v>
      </c>
      <c r="P73" s="53">
        <v>0.35</v>
      </c>
      <c r="Q73" s="75">
        <f t="shared" si="3"/>
        <v>0.3</v>
      </c>
      <c r="R73" s="53">
        <v>16.2</v>
      </c>
      <c r="S73" s="53">
        <v>112</v>
      </c>
      <c r="T73" s="16">
        <f t="shared" si="4"/>
        <v>33</v>
      </c>
      <c r="U73" s="53">
        <v>842</v>
      </c>
      <c r="V73" s="16">
        <f t="shared" si="5"/>
        <v>3969.4285714285716</v>
      </c>
      <c r="W73" s="53">
        <v>2</v>
      </c>
      <c r="X73" s="53" t="s">
        <v>46</v>
      </c>
      <c r="Y73" s="53" t="s">
        <v>102</v>
      </c>
      <c r="Z73" s="53" t="s">
        <v>50</v>
      </c>
      <c r="AA73" s="53" t="s">
        <v>78</v>
      </c>
      <c r="AB73" s="53" t="s">
        <v>158</v>
      </c>
      <c r="AC73" s="76"/>
      <c r="AD73" s="76"/>
      <c r="AE73" s="76"/>
      <c r="AF73" s="76"/>
      <c r="AG73" s="76"/>
      <c r="AH73" s="76"/>
    </row>
    <row r="74" spans="1:34" x14ac:dyDescent="0.15">
      <c r="A74" s="53" t="s">
        <v>41</v>
      </c>
      <c r="B74" s="53" t="s">
        <v>157</v>
      </c>
      <c r="C74" s="62">
        <v>2019</v>
      </c>
      <c r="D74" s="63" t="s">
        <v>188</v>
      </c>
      <c r="E74" s="53" t="s">
        <v>199</v>
      </c>
      <c r="F74" s="53" t="s">
        <v>196</v>
      </c>
      <c r="G74" s="53" t="s">
        <v>42</v>
      </c>
      <c r="H74" s="53" t="s">
        <v>160</v>
      </c>
      <c r="I74" s="53" t="s">
        <v>159</v>
      </c>
      <c r="J74" s="53" t="s">
        <v>38</v>
      </c>
      <c r="K74" s="53" t="s">
        <v>161</v>
      </c>
      <c r="L74" s="53">
        <v>1</v>
      </c>
      <c r="N74" s="53">
        <v>1</v>
      </c>
      <c r="O74" s="53">
        <v>0.8</v>
      </c>
      <c r="P74" s="53">
        <v>1</v>
      </c>
      <c r="Q74" s="72">
        <f t="shared" si="3"/>
        <v>0.9</v>
      </c>
      <c r="R74" s="53">
        <v>16.3</v>
      </c>
      <c r="S74" s="53">
        <v>122</v>
      </c>
      <c r="T74" s="16">
        <f t="shared" si="4"/>
        <v>27</v>
      </c>
      <c r="U74" s="53">
        <v>104</v>
      </c>
      <c r="V74" s="16">
        <f t="shared" si="5"/>
        <v>2808</v>
      </c>
      <c r="W74" s="53">
        <v>4</v>
      </c>
      <c r="X74" s="53" t="s">
        <v>46</v>
      </c>
      <c r="Y74" s="53" t="s">
        <v>78</v>
      </c>
      <c r="Z74" s="53" t="s">
        <v>69</v>
      </c>
      <c r="AA74" s="53" t="s">
        <v>50</v>
      </c>
      <c r="AB74" s="53" t="s">
        <v>158</v>
      </c>
      <c r="AC74" s="76"/>
      <c r="AD74" s="76"/>
      <c r="AE74" s="76"/>
      <c r="AF74" s="76"/>
      <c r="AG74" s="76"/>
      <c r="AH74" s="76"/>
    </row>
    <row r="75" spans="1:34" x14ac:dyDescent="0.15">
      <c r="A75" s="53" t="s">
        <v>41</v>
      </c>
      <c r="B75" s="53" t="s">
        <v>157</v>
      </c>
      <c r="C75" s="62">
        <v>2019</v>
      </c>
      <c r="D75" s="63" t="s">
        <v>188</v>
      </c>
      <c r="E75" s="53" t="s">
        <v>199</v>
      </c>
      <c r="F75" s="53" t="s">
        <v>196</v>
      </c>
      <c r="G75" s="53" t="s">
        <v>42</v>
      </c>
      <c r="H75" s="53" t="s">
        <v>160</v>
      </c>
      <c r="I75" s="53" t="s">
        <v>159</v>
      </c>
      <c r="J75" s="53" t="s">
        <v>38</v>
      </c>
      <c r="K75" s="53" t="s">
        <v>161</v>
      </c>
      <c r="L75" s="53">
        <v>2</v>
      </c>
      <c r="M75" s="76"/>
      <c r="N75" s="53">
        <v>1</v>
      </c>
      <c r="O75" s="53">
        <v>0.65</v>
      </c>
      <c r="P75" s="53">
        <v>0.7</v>
      </c>
      <c r="Q75" s="72">
        <f t="shared" si="3"/>
        <v>0.67500000000000004</v>
      </c>
      <c r="R75" s="53">
        <v>12.5</v>
      </c>
      <c r="S75" s="53">
        <v>119</v>
      </c>
      <c r="T75" s="16">
        <f t="shared" si="4"/>
        <v>30</v>
      </c>
      <c r="U75" s="53">
        <v>104</v>
      </c>
      <c r="V75" s="16">
        <f t="shared" si="5"/>
        <v>3120</v>
      </c>
      <c r="W75" s="53">
        <v>4</v>
      </c>
      <c r="X75" s="53" t="s">
        <v>46</v>
      </c>
      <c r="Y75" s="53" t="s">
        <v>78</v>
      </c>
      <c r="Z75" s="53" t="s">
        <v>69</v>
      </c>
      <c r="AA75" s="53" t="s">
        <v>50</v>
      </c>
      <c r="AB75" s="53" t="s">
        <v>158</v>
      </c>
      <c r="AC75" s="76"/>
      <c r="AD75" s="76"/>
      <c r="AE75" s="76"/>
      <c r="AF75" s="76"/>
      <c r="AG75" s="76"/>
      <c r="AH75" s="76"/>
    </row>
    <row r="76" spans="1:34" x14ac:dyDescent="0.15">
      <c r="A76" s="53" t="s">
        <v>41</v>
      </c>
      <c r="B76" s="53" t="s">
        <v>157</v>
      </c>
      <c r="C76" s="62">
        <v>2019</v>
      </c>
      <c r="D76" s="63" t="s">
        <v>188</v>
      </c>
      <c r="E76" s="53" t="s">
        <v>199</v>
      </c>
      <c r="F76" s="53" t="s">
        <v>196</v>
      </c>
      <c r="G76" s="53" t="s">
        <v>42</v>
      </c>
      <c r="H76" s="53" t="s">
        <v>160</v>
      </c>
      <c r="I76" s="53" t="s">
        <v>159</v>
      </c>
      <c r="J76" s="53" t="s">
        <v>38</v>
      </c>
      <c r="K76" s="53" t="s">
        <v>161</v>
      </c>
      <c r="L76" s="53">
        <v>3</v>
      </c>
      <c r="M76" s="76"/>
      <c r="N76" s="53">
        <v>1</v>
      </c>
      <c r="O76" s="53">
        <v>0.7</v>
      </c>
      <c r="P76" s="53">
        <v>0.65</v>
      </c>
      <c r="Q76" s="72">
        <f t="shared" si="3"/>
        <v>0.67500000000000004</v>
      </c>
      <c r="R76" s="53">
        <v>11.8</v>
      </c>
      <c r="S76" s="53">
        <v>121</v>
      </c>
      <c r="T76" s="16">
        <f t="shared" si="4"/>
        <v>27</v>
      </c>
      <c r="U76" s="53">
        <v>104</v>
      </c>
      <c r="V76" s="38">
        <f t="shared" si="5"/>
        <v>2808</v>
      </c>
      <c r="W76" s="53">
        <v>4</v>
      </c>
      <c r="X76" s="53" t="s">
        <v>46</v>
      </c>
      <c r="Y76" s="53" t="s">
        <v>78</v>
      </c>
      <c r="Z76" s="53" t="s">
        <v>69</v>
      </c>
      <c r="AA76" s="53" t="s">
        <v>50</v>
      </c>
      <c r="AB76" s="53" t="s">
        <v>158</v>
      </c>
      <c r="AC76" s="76"/>
      <c r="AD76" s="76"/>
      <c r="AE76" s="76"/>
      <c r="AF76" s="76"/>
      <c r="AG76" s="76"/>
      <c r="AH76" s="76"/>
    </row>
    <row r="77" spans="1:34" x14ac:dyDescent="0.15">
      <c r="A77" s="53" t="s">
        <v>41</v>
      </c>
      <c r="B77" s="53" t="s">
        <v>157</v>
      </c>
      <c r="C77" s="62">
        <v>2019</v>
      </c>
      <c r="D77" s="63" t="s">
        <v>188</v>
      </c>
      <c r="E77" s="53" t="s">
        <v>199</v>
      </c>
      <c r="F77" s="53" t="s">
        <v>196</v>
      </c>
      <c r="G77" s="53" t="s">
        <v>42</v>
      </c>
      <c r="H77" s="53" t="s">
        <v>164</v>
      </c>
      <c r="I77" s="53" t="s">
        <v>159</v>
      </c>
      <c r="J77" s="53" t="s">
        <v>38</v>
      </c>
      <c r="K77" s="53" t="s">
        <v>161</v>
      </c>
      <c r="L77" s="53">
        <v>1</v>
      </c>
      <c r="N77" s="53">
        <v>1</v>
      </c>
      <c r="O77" s="53">
        <v>0.35</v>
      </c>
      <c r="P77" s="74">
        <v>0.45</v>
      </c>
      <c r="Q77" s="72">
        <f t="shared" si="3"/>
        <v>0.4</v>
      </c>
      <c r="R77" s="53">
        <v>13.1</v>
      </c>
      <c r="S77" s="53">
        <v>124</v>
      </c>
      <c r="T77" s="16">
        <f t="shared" si="4"/>
        <v>27</v>
      </c>
      <c r="U77" s="53">
        <v>104</v>
      </c>
      <c r="V77" s="16">
        <f t="shared" si="5"/>
        <v>2808</v>
      </c>
      <c r="W77" s="53">
        <v>2</v>
      </c>
      <c r="X77" s="53" t="s">
        <v>46</v>
      </c>
      <c r="Y77" s="53" t="s">
        <v>78</v>
      </c>
      <c r="Z77" s="53" t="s">
        <v>69</v>
      </c>
      <c r="AA77" s="53" t="s">
        <v>50</v>
      </c>
      <c r="AB77" s="53" t="s">
        <v>158</v>
      </c>
      <c r="AC77" s="76"/>
      <c r="AD77" s="76"/>
      <c r="AE77" s="76"/>
      <c r="AF77" s="76"/>
      <c r="AG77" s="76"/>
      <c r="AH77" s="76"/>
    </row>
    <row r="78" spans="1:34" x14ac:dyDescent="0.15">
      <c r="A78" s="53" t="s">
        <v>41</v>
      </c>
      <c r="B78" s="53" t="s">
        <v>157</v>
      </c>
      <c r="C78" s="62">
        <v>2019</v>
      </c>
      <c r="D78" s="63" t="s">
        <v>188</v>
      </c>
      <c r="E78" s="53" t="s">
        <v>199</v>
      </c>
      <c r="F78" s="53" t="s">
        <v>196</v>
      </c>
      <c r="G78" s="53" t="s">
        <v>42</v>
      </c>
      <c r="H78" s="53" t="s">
        <v>164</v>
      </c>
      <c r="I78" s="53" t="s">
        <v>159</v>
      </c>
      <c r="J78" s="53" t="s">
        <v>38</v>
      </c>
      <c r="K78" s="53" t="s">
        <v>161</v>
      </c>
      <c r="L78" s="53">
        <v>2</v>
      </c>
      <c r="M78" s="76"/>
      <c r="N78" s="53">
        <v>1</v>
      </c>
      <c r="O78" s="53">
        <v>0.4</v>
      </c>
      <c r="P78" s="53">
        <v>0.6</v>
      </c>
      <c r="Q78" s="72">
        <f t="shared" si="3"/>
        <v>0.5</v>
      </c>
      <c r="R78" s="53">
        <v>10.8</v>
      </c>
      <c r="S78" s="53">
        <v>120</v>
      </c>
      <c r="T78" s="16">
        <f t="shared" si="4"/>
        <v>30</v>
      </c>
      <c r="U78" s="53">
        <v>104</v>
      </c>
      <c r="V78" s="16">
        <f t="shared" si="5"/>
        <v>3120</v>
      </c>
      <c r="W78" s="53">
        <v>2</v>
      </c>
      <c r="X78" s="53" t="s">
        <v>46</v>
      </c>
      <c r="Y78" s="53" t="s">
        <v>78</v>
      </c>
      <c r="Z78" s="53" t="s">
        <v>69</v>
      </c>
      <c r="AA78" s="53" t="s">
        <v>50</v>
      </c>
      <c r="AB78" s="53" t="s">
        <v>158</v>
      </c>
      <c r="AC78" s="76"/>
      <c r="AD78" s="76"/>
      <c r="AE78" s="76"/>
      <c r="AF78" s="76"/>
      <c r="AG78" s="76"/>
      <c r="AH78" s="76"/>
    </row>
    <row r="79" spans="1:34" x14ac:dyDescent="0.15">
      <c r="A79" s="53" t="s">
        <v>41</v>
      </c>
      <c r="B79" s="53" t="s">
        <v>157</v>
      </c>
      <c r="C79" s="62">
        <v>2019</v>
      </c>
      <c r="D79" s="63" t="s">
        <v>188</v>
      </c>
      <c r="E79" s="53" t="s">
        <v>199</v>
      </c>
      <c r="F79" s="53" t="s">
        <v>196</v>
      </c>
      <c r="G79" s="53" t="s">
        <v>42</v>
      </c>
      <c r="H79" s="53" t="s">
        <v>164</v>
      </c>
      <c r="I79" s="53" t="s">
        <v>159</v>
      </c>
      <c r="J79" s="53" t="s">
        <v>38</v>
      </c>
      <c r="K79" s="53" t="s">
        <v>161</v>
      </c>
      <c r="L79" s="53">
        <v>3</v>
      </c>
      <c r="M79" s="76"/>
      <c r="N79" s="53">
        <v>1</v>
      </c>
      <c r="O79" s="53">
        <v>0.65</v>
      </c>
      <c r="P79" s="53">
        <v>0.65</v>
      </c>
      <c r="Q79" s="72">
        <f t="shared" si="3"/>
        <v>0.65</v>
      </c>
      <c r="R79" s="53">
        <v>11.7</v>
      </c>
      <c r="S79" s="53">
        <v>120</v>
      </c>
      <c r="T79" s="16">
        <f t="shared" si="4"/>
        <v>30</v>
      </c>
      <c r="U79" s="53">
        <v>104</v>
      </c>
      <c r="V79" s="16">
        <f t="shared" si="5"/>
        <v>3120</v>
      </c>
      <c r="W79" s="53">
        <v>2</v>
      </c>
      <c r="X79" s="53" t="s">
        <v>46</v>
      </c>
      <c r="Y79" s="53" t="s">
        <v>78</v>
      </c>
      <c r="Z79" s="53" t="s">
        <v>69</v>
      </c>
      <c r="AA79" s="53" t="s">
        <v>50</v>
      </c>
      <c r="AB79" s="53" t="s">
        <v>158</v>
      </c>
      <c r="AC79" s="76"/>
      <c r="AD79" s="76"/>
      <c r="AE79" s="76"/>
      <c r="AF79" s="76"/>
      <c r="AG79" s="76"/>
      <c r="AH79" s="76"/>
    </row>
    <row r="80" spans="1:34" x14ac:dyDescent="0.15">
      <c r="A80" s="53" t="s">
        <v>41</v>
      </c>
      <c r="B80" s="53" t="s">
        <v>157</v>
      </c>
      <c r="C80" s="62">
        <v>2019</v>
      </c>
      <c r="D80" s="63" t="s">
        <v>188</v>
      </c>
      <c r="E80" s="53" t="s">
        <v>202</v>
      </c>
      <c r="F80" s="53" t="s">
        <v>203</v>
      </c>
      <c r="G80" s="53" t="s">
        <v>42</v>
      </c>
      <c r="H80" s="53" t="s">
        <v>160</v>
      </c>
      <c r="I80" s="53" t="s">
        <v>159</v>
      </c>
      <c r="J80" s="53" t="s">
        <v>38</v>
      </c>
      <c r="K80" s="53" t="s">
        <v>161</v>
      </c>
      <c r="L80" s="53">
        <v>1</v>
      </c>
      <c r="N80" s="53">
        <v>1</v>
      </c>
      <c r="O80" s="53">
        <v>0.35</v>
      </c>
      <c r="P80" s="53">
        <v>0.3</v>
      </c>
      <c r="Q80" s="75">
        <f t="shared" si="3"/>
        <v>0.32499999999999996</v>
      </c>
      <c r="R80" s="53">
        <v>15.2</v>
      </c>
      <c r="S80" s="53">
        <v>123</v>
      </c>
      <c r="T80" s="16">
        <f t="shared" si="4"/>
        <v>27</v>
      </c>
      <c r="U80" s="53">
        <v>138</v>
      </c>
      <c r="V80" s="16">
        <v>3726</v>
      </c>
      <c r="W80" s="53">
        <v>3</v>
      </c>
      <c r="X80" s="53" t="s">
        <v>46</v>
      </c>
      <c r="Y80" s="53" t="s">
        <v>50</v>
      </c>
      <c r="Z80" s="53" t="s">
        <v>102</v>
      </c>
      <c r="AA80" s="53" t="s">
        <v>69</v>
      </c>
      <c r="AB80" s="53" t="s">
        <v>158</v>
      </c>
      <c r="AC80" s="76"/>
      <c r="AD80" s="76"/>
      <c r="AE80" s="76"/>
      <c r="AF80" s="76"/>
      <c r="AG80" s="76"/>
      <c r="AH80" s="76"/>
    </row>
    <row r="81" spans="1:34" x14ac:dyDescent="0.15">
      <c r="A81" s="53" t="s">
        <v>41</v>
      </c>
      <c r="B81" s="53" t="s">
        <v>157</v>
      </c>
      <c r="C81" s="62">
        <v>2019</v>
      </c>
      <c r="D81" s="63" t="s">
        <v>188</v>
      </c>
      <c r="E81" s="53" t="s">
        <v>202</v>
      </c>
      <c r="F81" s="53" t="s">
        <v>203</v>
      </c>
      <c r="G81" s="53" t="s">
        <v>42</v>
      </c>
      <c r="H81" s="53" t="s">
        <v>160</v>
      </c>
      <c r="I81" s="53" t="s">
        <v>159</v>
      </c>
      <c r="J81" s="53" t="s">
        <v>38</v>
      </c>
      <c r="K81" s="53" t="s">
        <v>161</v>
      </c>
      <c r="L81" s="53">
        <v>2</v>
      </c>
      <c r="N81" s="53">
        <v>1</v>
      </c>
      <c r="O81" s="53">
        <v>0.35</v>
      </c>
      <c r="P81" s="53">
        <v>0.35</v>
      </c>
      <c r="Q81" s="75">
        <f t="shared" si="3"/>
        <v>0.35</v>
      </c>
      <c r="R81" s="53">
        <v>14.4</v>
      </c>
      <c r="S81" s="53">
        <v>124</v>
      </c>
      <c r="T81" s="16">
        <f t="shared" si="4"/>
        <v>27</v>
      </c>
      <c r="U81" s="53">
        <v>138</v>
      </c>
      <c r="V81" s="16">
        <v>3726</v>
      </c>
      <c r="W81" s="53">
        <v>3</v>
      </c>
      <c r="X81" s="53" t="s">
        <v>46</v>
      </c>
      <c r="Y81" s="53" t="s">
        <v>50</v>
      </c>
      <c r="Z81" s="53" t="s">
        <v>102</v>
      </c>
      <c r="AA81" s="53" t="s">
        <v>69</v>
      </c>
      <c r="AB81" s="53" t="s">
        <v>158</v>
      </c>
      <c r="AC81" s="76"/>
      <c r="AD81" s="76"/>
      <c r="AE81" s="76"/>
      <c r="AF81" s="76"/>
      <c r="AG81" s="76"/>
      <c r="AH81" s="76"/>
    </row>
    <row r="82" spans="1:34" x14ac:dyDescent="0.15">
      <c r="A82" s="53" t="s">
        <v>41</v>
      </c>
      <c r="B82" s="53" t="s">
        <v>157</v>
      </c>
      <c r="C82" s="62">
        <v>2019</v>
      </c>
      <c r="D82" s="63" t="s">
        <v>188</v>
      </c>
      <c r="E82" s="53" t="s">
        <v>202</v>
      </c>
      <c r="F82" s="53" t="s">
        <v>203</v>
      </c>
      <c r="G82" s="53" t="s">
        <v>42</v>
      </c>
      <c r="H82" s="53" t="s">
        <v>160</v>
      </c>
      <c r="I82" s="53" t="s">
        <v>159</v>
      </c>
      <c r="J82" s="53" t="s">
        <v>38</v>
      </c>
      <c r="K82" s="53" t="s">
        <v>161</v>
      </c>
      <c r="L82" s="53">
        <v>3</v>
      </c>
      <c r="N82" s="53">
        <v>1</v>
      </c>
      <c r="O82" s="53">
        <v>0.5</v>
      </c>
      <c r="P82" s="53">
        <v>0.35</v>
      </c>
      <c r="Q82" s="75">
        <f t="shared" si="3"/>
        <v>0.42499999999999999</v>
      </c>
      <c r="R82" s="53">
        <v>12.2</v>
      </c>
      <c r="S82" s="53">
        <v>122</v>
      </c>
      <c r="T82" s="16">
        <f t="shared" si="4"/>
        <v>27</v>
      </c>
      <c r="U82" s="53">
        <v>138</v>
      </c>
      <c r="V82" s="16">
        <v>3726</v>
      </c>
      <c r="W82" s="53">
        <v>3</v>
      </c>
      <c r="X82" s="53" t="s">
        <v>46</v>
      </c>
      <c r="Y82" s="53" t="s">
        <v>50</v>
      </c>
      <c r="Z82" s="53" t="s">
        <v>102</v>
      </c>
      <c r="AA82" s="53" t="s">
        <v>69</v>
      </c>
      <c r="AB82" s="53" t="s">
        <v>158</v>
      </c>
      <c r="AC82" s="76"/>
      <c r="AD82" s="76"/>
      <c r="AE82" s="76"/>
      <c r="AF82" s="76"/>
      <c r="AG82" s="76"/>
      <c r="AH82" s="76"/>
    </row>
    <row r="83" spans="1:34" x14ac:dyDescent="0.15">
      <c r="A83" s="53" t="s">
        <v>41</v>
      </c>
      <c r="B83" s="53" t="s">
        <v>157</v>
      </c>
      <c r="C83" s="62">
        <v>2019</v>
      </c>
      <c r="D83" s="63" t="s">
        <v>188</v>
      </c>
      <c r="E83" s="53" t="s">
        <v>202</v>
      </c>
      <c r="F83" s="53" t="s">
        <v>203</v>
      </c>
      <c r="G83" s="53" t="s">
        <v>42</v>
      </c>
      <c r="H83" s="53" t="s">
        <v>160</v>
      </c>
      <c r="I83" s="53" t="s">
        <v>159</v>
      </c>
      <c r="J83" s="53" t="s">
        <v>38</v>
      </c>
      <c r="K83" s="53" t="s">
        <v>161</v>
      </c>
      <c r="L83" s="53">
        <v>1</v>
      </c>
      <c r="N83" s="53">
        <v>5</v>
      </c>
      <c r="O83" s="53">
        <v>0.75</v>
      </c>
      <c r="P83" s="53">
        <v>0.65</v>
      </c>
      <c r="Q83" s="75">
        <f t="shared" si="3"/>
        <v>0.7</v>
      </c>
      <c r="R83" s="53">
        <v>14.7</v>
      </c>
      <c r="S83" s="53">
        <v>105</v>
      </c>
      <c r="T83" s="16">
        <f t="shared" si="4"/>
        <v>33</v>
      </c>
      <c r="U83" s="53">
        <v>538</v>
      </c>
      <c r="V83" s="16">
        <v>3726</v>
      </c>
      <c r="W83" s="53">
        <v>2</v>
      </c>
      <c r="X83" s="53" t="s">
        <v>46</v>
      </c>
      <c r="Y83" s="53" t="s">
        <v>50</v>
      </c>
      <c r="Z83" s="53" t="s">
        <v>102</v>
      </c>
      <c r="AA83" s="53" t="s">
        <v>69</v>
      </c>
      <c r="AB83" s="53" t="s">
        <v>158</v>
      </c>
      <c r="AC83" s="76"/>
      <c r="AD83" s="76"/>
      <c r="AE83" s="76"/>
      <c r="AF83" s="76"/>
      <c r="AG83" s="76"/>
      <c r="AH83" s="76"/>
    </row>
    <row r="84" spans="1:34" x14ac:dyDescent="0.15">
      <c r="A84" s="53" t="s">
        <v>41</v>
      </c>
      <c r="B84" s="53" t="s">
        <v>157</v>
      </c>
      <c r="C84" s="62">
        <v>2019</v>
      </c>
      <c r="D84" s="63" t="s">
        <v>188</v>
      </c>
      <c r="E84" s="53" t="s">
        <v>202</v>
      </c>
      <c r="F84" s="53" t="s">
        <v>203</v>
      </c>
      <c r="G84" s="53" t="s">
        <v>42</v>
      </c>
      <c r="H84" s="53" t="s">
        <v>160</v>
      </c>
      <c r="I84" s="53" t="s">
        <v>159</v>
      </c>
      <c r="J84" s="53" t="s">
        <v>38</v>
      </c>
      <c r="K84" s="53" t="s">
        <v>161</v>
      </c>
      <c r="L84" s="53">
        <v>2</v>
      </c>
      <c r="M84" s="76"/>
      <c r="N84" s="53">
        <v>5</v>
      </c>
      <c r="O84" s="53">
        <v>0.9</v>
      </c>
      <c r="P84" s="53">
        <v>0.8</v>
      </c>
      <c r="Q84" s="75">
        <f t="shared" si="3"/>
        <v>0.85000000000000009</v>
      </c>
      <c r="R84" s="53">
        <v>11.3</v>
      </c>
      <c r="S84" s="53">
        <v>103</v>
      </c>
      <c r="T84" s="16">
        <f t="shared" si="4"/>
        <v>33</v>
      </c>
      <c r="U84" s="53">
        <v>538</v>
      </c>
      <c r="V84" s="16">
        <v>3726</v>
      </c>
      <c r="W84" s="53">
        <v>2</v>
      </c>
      <c r="X84" s="53" t="s">
        <v>46</v>
      </c>
      <c r="Y84" s="53" t="s">
        <v>50</v>
      </c>
      <c r="Z84" s="53" t="s">
        <v>102</v>
      </c>
      <c r="AA84" s="53" t="s">
        <v>69</v>
      </c>
      <c r="AB84" s="53" t="s">
        <v>158</v>
      </c>
      <c r="AC84" s="76"/>
      <c r="AD84" s="76"/>
      <c r="AE84" s="76"/>
      <c r="AF84" s="76"/>
      <c r="AG84" s="76"/>
      <c r="AH84" s="76"/>
    </row>
    <row r="85" spans="1:34" x14ac:dyDescent="0.15">
      <c r="A85" s="53" t="s">
        <v>41</v>
      </c>
      <c r="B85" s="53" t="s">
        <v>157</v>
      </c>
      <c r="C85" s="62">
        <v>2019</v>
      </c>
      <c r="D85" s="63" t="s">
        <v>188</v>
      </c>
      <c r="E85" s="53" t="s">
        <v>202</v>
      </c>
      <c r="F85" s="53" t="s">
        <v>203</v>
      </c>
      <c r="G85" s="53" t="s">
        <v>42</v>
      </c>
      <c r="H85" s="53" t="s">
        <v>160</v>
      </c>
      <c r="I85" s="53" t="s">
        <v>159</v>
      </c>
      <c r="J85" s="53" t="s">
        <v>38</v>
      </c>
      <c r="K85" s="53" t="s">
        <v>161</v>
      </c>
      <c r="L85" s="53">
        <v>3</v>
      </c>
      <c r="M85" s="76"/>
      <c r="N85" s="53">
        <v>5</v>
      </c>
      <c r="O85" s="53">
        <v>0.85</v>
      </c>
      <c r="P85" s="53">
        <v>0.9</v>
      </c>
      <c r="Q85" s="75">
        <f t="shared" si="3"/>
        <v>0.875</v>
      </c>
      <c r="R85" s="53">
        <v>16.5</v>
      </c>
      <c r="S85" s="53">
        <v>104</v>
      </c>
      <c r="T85" s="16">
        <f t="shared" si="4"/>
        <v>33</v>
      </c>
      <c r="U85" s="53">
        <v>538</v>
      </c>
      <c r="V85" s="16">
        <v>3726</v>
      </c>
      <c r="W85" s="53">
        <v>2</v>
      </c>
      <c r="X85" s="53" t="s">
        <v>46</v>
      </c>
      <c r="Y85" s="53" t="s">
        <v>50</v>
      </c>
      <c r="Z85" s="53" t="s">
        <v>102</v>
      </c>
      <c r="AA85" s="53" t="s">
        <v>69</v>
      </c>
      <c r="AB85" s="53" t="s">
        <v>158</v>
      </c>
      <c r="AC85" s="76"/>
      <c r="AD85" s="76"/>
      <c r="AE85" s="76"/>
      <c r="AF85" s="76"/>
      <c r="AG85" s="76"/>
      <c r="AH85" s="76"/>
    </row>
    <row r="86" spans="1:34" x14ac:dyDescent="0.15">
      <c r="A86" s="53" t="s">
        <v>41</v>
      </c>
      <c r="B86" s="53" t="s">
        <v>157</v>
      </c>
      <c r="C86" s="62">
        <v>2019</v>
      </c>
      <c r="D86" s="63" t="s">
        <v>188</v>
      </c>
      <c r="E86" s="53" t="s">
        <v>202</v>
      </c>
      <c r="F86" s="53" t="s">
        <v>203</v>
      </c>
      <c r="G86" s="53" t="s">
        <v>42</v>
      </c>
      <c r="H86" s="53" t="s">
        <v>164</v>
      </c>
      <c r="I86" s="53" t="s">
        <v>159</v>
      </c>
      <c r="J86" s="53" t="s">
        <v>38</v>
      </c>
      <c r="K86" s="53" t="s">
        <v>161</v>
      </c>
      <c r="L86" s="53">
        <v>1</v>
      </c>
      <c r="N86" s="53">
        <v>1</v>
      </c>
      <c r="O86" s="53">
        <v>0.9</v>
      </c>
      <c r="P86" s="53">
        <v>0.85</v>
      </c>
      <c r="Q86" s="75">
        <f t="shared" si="3"/>
        <v>0.875</v>
      </c>
      <c r="R86" s="53">
        <v>9.8000000000000007</v>
      </c>
      <c r="S86" s="53">
        <v>128</v>
      </c>
      <c r="T86" s="16">
        <f t="shared" si="4"/>
        <v>27</v>
      </c>
      <c r="U86" s="53">
        <v>138</v>
      </c>
      <c r="V86" s="38">
        <v>3146</v>
      </c>
      <c r="W86" s="53">
        <v>3</v>
      </c>
      <c r="X86" s="53" t="s">
        <v>46</v>
      </c>
      <c r="Y86" s="53" t="s">
        <v>50</v>
      </c>
      <c r="Z86" s="53" t="s">
        <v>102</v>
      </c>
      <c r="AA86" s="53" t="s">
        <v>69</v>
      </c>
      <c r="AB86" s="53" t="s">
        <v>158</v>
      </c>
      <c r="AC86" s="76"/>
      <c r="AD86" s="76"/>
      <c r="AE86" s="76"/>
      <c r="AF86" s="76"/>
      <c r="AG86" s="76"/>
      <c r="AH86" s="76"/>
    </row>
    <row r="87" spans="1:34" x14ac:dyDescent="0.15">
      <c r="A87" s="53" t="s">
        <v>41</v>
      </c>
      <c r="B87" s="53" t="s">
        <v>157</v>
      </c>
      <c r="C87" s="62">
        <v>2019</v>
      </c>
      <c r="D87" s="63" t="s">
        <v>188</v>
      </c>
      <c r="E87" s="53" t="s">
        <v>202</v>
      </c>
      <c r="F87" s="53" t="s">
        <v>203</v>
      </c>
      <c r="G87" s="53" t="s">
        <v>42</v>
      </c>
      <c r="H87" s="53" t="s">
        <v>164</v>
      </c>
      <c r="I87" s="53" t="s">
        <v>159</v>
      </c>
      <c r="J87" s="53" t="s">
        <v>38</v>
      </c>
      <c r="K87" s="53" t="s">
        <v>161</v>
      </c>
      <c r="L87" s="53">
        <v>2</v>
      </c>
      <c r="N87" s="53">
        <v>1</v>
      </c>
      <c r="O87" s="53">
        <v>0.75</v>
      </c>
      <c r="P87" s="53">
        <v>0.75</v>
      </c>
      <c r="Q87" s="75">
        <f t="shared" si="3"/>
        <v>0.75</v>
      </c>
      <c r="R87" s="53">
        <v>11.2</v>
      </c>
      <c r="S87" s="53">
        <v>127</v>
      </c>
      <c r="T87" s="16">
        <f t="shared" si="4"/>
        <v>27</v>
      </c>
      <c r="U87" s="53">
        <v>138</v>
      </c>
      <c r="V87" s="38">
        <v>3146</v>
      </c>
      <c r="W87" s="53">
        <v>3</v>
      </c>
      <c r="X87" s="53" t="s">
        <v>46</v>
      </c>
      <c r="Y87" s="53" t="s">
        <v>50</v>
      </c>
      <c r="Z87" s="53" t="s">
        <v>102</v>
      </c>
      <c r="AA87" s="53" t="s">
        <v>69</v>
      </c>
      <c r="AB87" s="53" t="s">
        <v>158</v>
      </c>
      <c r="AC87" s="76"/>
      <c r="AD87" s="76"/>
      <c r="AE87" s="76"/>
      <c r="AF87" s="76"/>
      <c r="AG87" s="76"/>
      <c r="AH87" s="76"/>
    </row>
    <row r="88" spans="1:34" x14ac:dyDescent="0.15">
      <c r="A88" s="53" t="s">
        <v>41</v>
      </c>
      <c r="B88" s="53" t="s">
        <v>157</v>
      </c>
      <c r="C88" s="62">
        <v>2019</v>
      </c>
      <c r="D88" s="63" t="s">
        <v>188</v>
      </c>
      <c r="E88" s="53" t="s">
        <v>202</v>
      </c>
      <c r="F88" s="53" t="s">
        <v>203</v>
      </c>
      <c r="G88" s="53" t="s">
        <v>42</v>
      </c>
      <c r="H88" s="53" t="s">
        <v>164</v>
      </c>
      <c r="I88" s="53" t="s">
        <v>159</v>
      </c>
      <c r="J88" s="53" t="s">
        <v>38</v>
      </c>
      <c r="K88" s="53" t="s">
        <v>161</v>
      </c>
      <c r="L88" s="53">
        <v>3</v>
      </c>
      <c r="N88" s="53">
        <v>1</v>
      </c>
      <c r="O88" s="53">
        <v>0.65</v>
      </c>
      <c r="P88" s="53">
        <v>0.6</v>
      </c>
      <c r="Q88" s="75">
        <f t="shared" si="3"/>
        <v>0.625</v>
      </c>
      <c r="R88" s="53">
        <v>13.8</v>
      </c>
      <c r="S88" s="53">
        <v>123</v>
      </c>
      <c r="T88" s="16">
        <f t="shared" si="4"/>
        <v>27</v>
      </c>
      <c r="U88" s="53">
        <v>138</v>
      </c>
      <c r="V88" s="38">
        <v>3146</v>
      </c>
      <c r="W88" s="53">
        <v>3</v>
      </c>
      <c r="X88" s="53" t="s">
        <v>46</v>
      </c>
      <c r="Y88" s="53" t="s">
        <v>50</v>
      </c>
      <c r="Z88" s="53" t="s">
        <v>102</v>
      </c>
      <c r="AA88" s="53" t="s">
        <v>69</v>
      </c>
      <c r="AB88" s="53" t="s">
        <v>158</v>
      </c>
      <c r="AC88" s="76"/>
      <c r="AD88" s="76"/>
      <c r="AE88" s="76"/>
      <c r="AF88" s="76"/>
      <c r="AG88" s="76"/>
      <c r="AH88" s="76"/>
    </row>
    <row r="89" spans="1:34" x14ac:dyDescent="0.15">
      <c r="A89" s="53" t="s">
        <v>41</v>
      </c>
      <c r="B89" s="53" t="s">
        <v>157</v>
      </c>
      <c r="C89" s="62">
        <v>2019</v>
      </c>
      <c r="D89" s="63" t="s">
        <v>188</v>
      </c>
      <c r="E89" s="53" t="s">
        <v>202</v>
      </c>
      <c r="F89" s="53" t="s">
        <v>203</v>
      </c>
      <c r="G89" s="53" t="s">
        <v>42</v>
      </c>
      <c r="H89" s="53" t="s">
        <v>164</v>
      </c>
      <c r="I89" s="53" t="s">
        <v>159</v>
      </c>
      <c r="J89" s="53" t="s">
        <v>38</v>
      </c>
      <c r="K89" s="53" t="s">
        <v>161</v>
      </c>
      <c r="L89" s="53">
        <v>1</v>
      </c>
      <c r="N89" s="53">
        <v>6</v>
      </c>
      <c r="O89" s="53">
        <v>0.45</v>
      </c>
      <c r="P89" s="53">
        <v>0.45</v>
      </c>
      <c r="Q89" s="75">
        <f t="shared" si="3"/>
        <v>0.45</v>
      </c>
      <c r="R89" s="53">
        <v>15</v>
      </c>
      <c r="S89" s="53">
        <v>118</v>
      </c>
      <c r="T89" s="16">
        <f t="shared" si="4"/>
        <v>30</v>
      </c>
      <c r="U89" s="53">
        <v>538</v>
      </c>
      <c r="V89" s="38">
        <v>3670</v>
      </c>
      <c r="W89" s="53">
        <v>2</v>
      </c>
      <c r="X89" s="53" t="s">
        <v>46</v>
      </c>
      <c r="Y89" s="53" t="s">
        <v>50</v>
      </c>
      <c r="Z89" s="53" t="s">
        <v>102</v>
      </c>
      <c r="AA89" s="53" t="s">
        <v>69</v>
      </c>
      <c r="AB89" s="53" t="s">
        <v>158</v>
      </c>
      <c r="AC89" s="76"/>
      <c r="AD89" s="76"/>
      <c r="AE89" s="76"/>
      <c r="AF89" s="76"/>
      <c r="AG89" s="76"/>
      <c r="AH89" s="76"/>
    </row>
    <row r="90" spans="1:34" x14ac:dyDescent="0.15">
      <c r="A90" s="53" t="s">
        <v>41</v>
      </c>
      <c r="B90" s="53" t="s">
        <v>157</v>
      </c>
      <c r="C90" s="62">
        <v>2019</v>
      </c>
      <c r="D90" s="63" t="s">
        <v>188</v>
      </c>
      <c r="E90" s="53" t="s">
        <v>202</v>
      </c>
      <c r="F90" s="53" t="s">
        <v>203</v>
      </c>
      <c r="G90" s="53" t="s">
        <v>42</v>
      </c>
      <c r="H90" s="53" t="s">
        <v>164</v>
      </c>
      <c r="I90" s="53" t="s">
        <v>159</v>
      </c>
      <c r="J90" s="53" t="s">
        <v>38</v>
      </c>
      <c r="K90" s="53" t="s">
        <v>161</v>
      </c>
      <c r="L90" s="53">
        <v>2</v>
      </c>
      <c r="N90" s="53">
        <v>6</v>
      </c>
      <c r="O90" s="53">
        <v>0.6</v>
      </c>
      <c r="P90" s="53">
        <v>0.6</v>
      </c>
      <c r="Q90" s="75">
        <f t="shared" si="3"/>
        <v>0.6</v>
      </c>
      <c r="R90" s="53">
        <v>12.4</v>
      </c>
      <c r="S90" s="53">
        <v>115</v>
      </c>
      <c r="T90" s="16">
        <f t="shared" si="4"/>
        <v>30</v>
      </c>
      <c r="U90" s="53">
        <v>538</v>
      </c>
      <c r="V90" s="38">
        <v>3303</v>
      </c>
      <c r="W90" s="53">
        <v>2</v>
      </c>
      <c r="X90" s="53" t="s">
        <v>46</v>
      </c>
      <c r="Y90" s="53" t="s">
        <v>50</v>
      </c>
      <c r="Z90" s="53" t="s">
        <v>102</v>
      </c>
      <c r="AA90" s="53" t="s">
        <v>69</v>
      </c>
      <c r="AB90" s="53" t="s">
        <v>158</v>
      </c>
      <c r="AC90" s="76"/>
      <c r="AD90" s="76"/>
      <c r="AE90" s="76"/>
      <c r="AF90" s="76"/>
      <c r="AG90" s="76"/>
      <c r="AH90" s="76"/>
    </row>
    <row r="91" spans="1:34" x14ac:dyDescent="0.15">
      <c r="A91" s="53" t="s">
        <v>41</v>
      </c>
      <c r="B91" s="53" t="s">
        <v>157</v>
      </c>
      <c r="C91" s="62">
        <v>2019</v>
      </c>
      <c r="D91" s="63" t="s">
        <v>188</v>
      </c>
      <c r="E91" s="53" t="s">
        <v>202</v>
      </c>
      <c r="F91" s="53" t="s">
        <v>203</v>
      </c>
      <c r="G91" s="53" t="s">
        <v>42</v>
      </c>
      <c r="H91" s="53" t="s">
        <v>164</v>
      </c>
      <c r="I91" s="53" t="s">
        <v>159</v>
      </c>
      <c r="J91" s="53" t="s">
        <v>38</v>
      </c>
      <c r="K91" s="53" t="s">
        <v>161</v>
      </c>
      <c r="L91" s="53">
        <v>3</v>
      </c>
      <c r="N91" s="53">
        <v>6</v>
      </c>
      <c r="O91" s="53">
        <v>0.8</v>
      </c>
      <c r="P91" s="53">
        <v>0.85</v>
      </c>
      <c r="Q91" s="75">
        <f t="shared" si="3"/>
        <v>0.82499999999999996</v>
      </c>
      <c r="R91" s="53">
        <v>13.4</v>
      </c>
      <c r="S91" s="53">
        <v>120</v>
      </c>
      <c r="T91" s="16">
        <f t="shared" si="4"/>
        <v>30</v>
      </c>
      <c r="U91" s="53">
        <v>538</v>
      </c>
      <c r="V91" s="38">
        <v>3670</v>
      </c>
      <c r="W91" s="53">
        <v>2</v>
      </c>
      <c r="X91" s="53" t="s">
        <v>46</v>
      </c>
      <c r="Y91" s="53" t="s">
        <v>50</v>
      </c>
      <c r="Z91" s="53" t="s">
        <v>102</v>
      </c>
      <c r="AA91" s="53" t="s">
        <v>69</v>
      </c>
      <c r="AB91" s="53" t="s">
        <v>158</v>
      </c>
      <c r="AC91" s="76"/>
      <c r="AD91" s="76"/>
      <c r="AE91" s="76"/>
      <c r="AF91" s="76"/>
      <c r="AG91" s="76"/>
      <c r="AH91" s="76"/>
    </row>
    <row r="92" spans="1:34" x14ac:dyDescent="0.15">
      <c r="A92" s="53" t="s">
        <v>41</v>
      </c>
      <c r="B92" s="53" t="s">
        <v>157</v>
      </c>
      <c r="C92" s="62">
        <v>2019</v>
      </c>
      <c r="D92" s="63" t="s">
        <v>188</v>
      </c>
      <c r="E92" s="53" t="s">
        <v>202</v>
      </c>
      <c r="F92" s="53" t="s">
        <v>209</v>
      </c>
      <c r="G92" s="53" t="s">
        <v>42</v>
      </c>
      <c r="H92" s="53" t="s">
        <v>160</v>
      </c>
      <c r="I92" s="53" t="s">
        <v>159</v>
      </c>
      <c r="J92" s="53" t="s">
        <v>38</v>
      </c>
      <c r="K92" s="53" t="s">
        <v>161</v>
      </c>
      <c r="L92" s="53">
        <v>1</v>
      </c>
      <c r="N92" s="53">
        <v>1</v>
      </c>
      <c r="O92" s="53">
        <v>0.75</v>
      </c>
      <c r="P92" s="53">
        <v>0.65</v>
      </c>
      <c r="Q92" s="75">
        <f t="shared" si="3"/>
        <v>0.7</v>
      </c>
      <c r="R92" s="53">
        <v>12.2</v>
      </c>
      <c r="S92" s="53">
        <v>127</v>
      </c>
      <c r="T92" s="16">
        <f t="shared" si="4"/>
        <v>27</v>
      </c>
      <c r="U92" s="53">
        <v>138</v>
      </c>
      <c r="V92" s="16">
        <f t="shared" ref="V92:V127" si="6">IF(OR(N92="",U92="",T92=""),"",U92/N92*T92)</f>
        <v>3726</v>
      </c>
      <c r="W92" s="53">
        <v>2</v>
      </c>
      <c r="X92" s="53" t="s">
        <v>46</v>
      </c>
      <c r="Y92" s="53" t="s">
        <v>50</v>
      </c>
      <c r="Z92" s="53" t="s">
        <v>78</v>
      </c>
      <c r="AA92" s="53" t="s">
        <v>69</v>
      </c>
      <c r="AB92" s="53" t="s">
        <v>158</v>
      </c>
      <c r="AC92" s="76"/>
      <c r="AD92" s="76"/>
      <c r="AE92" s="76"/>
      <c r="AF92" s="76"/>
      <c r="AG92" s="76"/>
      <c r="AH92" s="76"/>
    </row>
    <row r="93" spans="1:34" x14ac:dyDescent="0.15">
      <c r="A93" s="53" t="s">
        <v>41</v>
      </c>
      <c r="B93" s="53" t="s">
        <v>157</v>
      </c>
      <c r="C93" s="62">
        <v>2019</v>
      </c>
      <c r="D93" s="63" t="s">
        <v>188</v>
      </c>
      <c r="E93" s="53" t="s">
        <v>202</v>
      </c>
      <c r="F93" s="53" t="s">
        <v>209</v>
      </c>
      <c r="G93" s="53" t="s">
        <v>42</v>
      </c>
      <c r="H93" s="53" t="s">
        <v>160</v>
      </c>
      <c r="I93" s="53" t="s">
        <v>159</v>
      </c>
      <c r="J93" s="53" t="s">
        <v>38</v>
      </c>
      <c r="K93" s="53" t="s">
        <v>161</v>
      </c>
      <c r="L93" s="53">
        <v>2</v>
      </c>
      <c r="N93" s="53">
        <v>1</v>
      </c>
      <c r="O93" s="53">
        <v>0.4</v>
      </c>
      <c r="P93" s="53">
        <v>0.55000000000000004</v>
      </c>
      <c r="Q93" s="75">
        <f t="shared" si="3"/>
        <v>0.47500000000000003</v>
      </c>
      <c r="R93" s="53">
        <v>15.3</v>
      </c>
      <c r="S93" s="53">
        <v>128</v>
      </c>
      <c r="T93" s="16">
        <f t="shared" si="4"/>
        <v>27</v>
      </c>
      <c r="U93" s="53">
        <v>138</v>
      </c>
      <c r="V93" s="16">
        <f t="shared" si="6"/>
        <v>3726</v>
      </c>
      <c r="W93" s="53">
        <v>2</v>
      </c>
      <c r="X93" s="53" t="s">
        <v>46</v>
      </c>
      <c r="Y93" s="53" t="s">
        <v>50</v>
      </c>
      <c r="Z93" s="53" t="s">
        <v>78</v>
      </c>
      <c r="AA93" s="53" t="s">
        <v>69</v>
      </c>
      <c r="AB93" s="53" t="s">
        <v>158</v>
      </c>
      <c r="AC93" s="76"/>
      <c r="AD93" s="76"/>
      <c r="AE93" s="76"/>
      <c r="AF93" s="76"/>
      <c r="AG93" s="76"/>
      <c r="AH93" s="76"/>
    </row>
    <row r="94" spans="1:34" x14ac:dyDescent="0.15">
      <c r="A94" s="53" t="s">
        <v>41</v>
      </c>
      <c r="B94" s="53" t="s">
        <v>157</v>
      </c>
      <c r="C94" s="62">
        <v>2019</v>
      </c>
      <c r="D94" s="63" t="s">
        <v>188</v>
      </c>
      <c r="E94" s="53" t="s">
        <v>202</v>
      </c>
      <c r="F94" s="53" t="s">
        <v>209</v>
      </c>
      <c r="G94" s="53" t="s">
        <v>42</v>
      </c>
      <c r="H94" s="53" t="s">
        <v>160</v>
      </c>
      <c r="I94" s="53" t="s">
        <v>159</v>
      </c>
      <c r="J94" s="53" t="s">
        <v>38</v>
      </c>
      <c r="K94" s="53" t="s">
        <v>161</v>
      </c>
      <c r="L94" s="53">
        <v>3</v>
      </c>
      <c r="N94" s="53">
        <v>1</v>
      </c>
      <c r="O94" s="53">
        <v>0.65</v>
      </c>
      <c r="P94" s="53">
        <v>0.6</v>
      </c>
      <c r="Q94" s="75">
        <f t="shared" si="3"/>
        <v>0.625</v>
      </c>
      <c r="R94" s="53">
        <v>16.2</v>
      </c>
      <c r="S94" s="53">
        <v>125</v>
      </c>
      <c r="T94" s="16">
        <f t="shared" si="4"/>
        <v>27</v>
      </c>
      <c r="U94" s="53">
        <v>138</v>
      </c>
      <c r="V94" s="16">
        <f t="shared" si="6"/>
        <v>3726</v>
      </c>
      <c r="W94" s="53">
        <v>2</v>
      </c>
      <c r="X94" s="53" t="s">
        <v>46</v>
      </c>
      <c r="Y94" s="53" t="s">
        <v>50</v>
      </c>
      <c r="Z94" s="53" t="s">
        <v>78</v>
      </c>
      <c r="AA94" s="53" t="s">
        <v>69</v>
      </c>
      <c r="AB94" s="53" t="s">
        <v>158</v>
      </c>
      <c r="AC94" s="76"/>
      <c r="AD94" s="76"/>
      <c r="AE94" s="76"/>
      <c r="AF94" s="76"/>
      <c r="AG94" s="76"/>
      <c r="AH94" s="76"/>
    </row>
    <row r="95" spans="1:34" x14ac:dyDescent="0.15">
      <c r="A95" s="53" t="s">
        <v>41</v>
      </c>
      <c r="B95" s="53" t="s">
        <v>157</v>
      </c>
      <c r="C95" s="62">
        <v>2019</v>
      </c>
      <c r="D95" s="63" t="s">
        <v>188</v>
      </c>
      <c r="E95" s="53" t="s">
        <v>202</v>
      </c>
      <c r="F95" s="53" t="s">
        <v>209</v>
      </c>
      <c r="G95" s="53" t="s">
        <v>42</v>
      </c>
      <c r="H95" s="53" t="s">
        <v>160</v>
      </c>
      <c r="I95" s="53" t="s">
        <v>159</v>
      </c>
      <c r="J95" s="53" t="s">
        <v>38</v>
      </c>
      <c r="K95" s="53" t="s">
        <v>161</v>
      </c>
      <c r="L95" s="53">
        <v>1</v>
      </c>
      <c r="N95" s="53">
        <v>6</v>
      </c>
      <c r="O95" s="53">
        <v>0.25</v>
      </c>
      <c r="P95" s="53">
        <v>0.25</v>
      </c>
      <c r="Q95" s="16">
        <f t="shared" si="3"/>
        <v>0.25</v>
      </c>
      <c r="R95" s="53">
        <v>17.399999999999999</v>
      </c>
      <c r="S95" s="53">
        <v>114</v>
      </c>
      <c r="T95" s="16">
        <f t="shared" si="4"/>
        <v>30</v>
      </c>
      <c r="U95" s="53">
        <v>537</v>
      </c>
      <c r="V95" s="16">
        <f t="shared" si="6"/>
        <v>2685</v>
      </c>
      <c r="W95" s="53">
        <v>1</v>
      </c>
      <c r="X95" s="53" t="s">
        <v>46</v>
      </c>
      <c r="Y95" s="53" t="s">
        <v>50</v>
      </c>
      <c r="Z95" s="53" t="s">
        <v>78</v>
      </c>
      <c r="AA95" s="53" t="s">
        <v>69</v>
      </c>
      <c r="AB95" s="53" t="s">
        <v>158</v>
      </c>
      <c r="AC95" s="76"/>
      <c r="AD95" s="76"/>
      <c r="AE95" s="76"/>
      <c r="AF95" s="76"/>
      <c r="AG95" s="76"/>
      <c r="AH95" s="76"/>
    </row>
    <row r="96" spans="1:34" x14ac:dyDescent="0.15">
      <c r="A96" s="53" t="s">
        <v>41</v>
      </c>
      <c r="B96" s="53" t="s">
        <v>157</v>
      </c>
      <c r="C96" s="62">
        <v>2019</v>
      </c>
      <c r="D96" s="63" t="s">
        <v>188</v>
      </c>
      <c r="E96" s="53" t="s">
        <v>202</v>
      </c>
      <c r="F96" s="53" t="s">
        <v>209</v>
      </c>
      <c r="G96" s="53" t="s">
        <v>42</v>
      </c>
      <c r="H96" s="53" t="s">
        <v>160</v>
      </c>
      <c r="I96" s="53" t="s">
        <v>159</v>
      </c>
      <c r="J96" s="53" t="s">
        <v>38</v>
      </c>
      <c r="K96" s="53" t="s">
        <v>161</v>
      </c>
      <c r="L96" s="53">
        <v>2</v>
      </c>
      <c r="M96" s="76"/>
      <c r="N96" s="53">
        <v>6</v>
      </c>
      <c r="O96" s="53">
        <v>0.25</v>
      </c>
      <c r="P96" s="53">
        <v>0.25</v>
      </c>
      <c r="Q96" s="16">
        <f t="shared" si="3"/>
        <v>0.25</v>
      </c>
      <c r="R96" s="53">
        <v>15.2</v>
      </c>
      <c r="S96" s="53">
        <v>116</v>
      </c>
      <c r="T96" s="16">
        <f t="shared" si="4"/>
        <v>30</v>
      </c>
      <c r="U96" s="53">
        <v>537</v>
      </c>
      <c r="V96" s="16">
        <f t="shared" si="6"/>
        <v>2685</v>
      </c>
      <c r="W96" s="53">
        <v>1</v>
      </c>
      <c r="X96" s="53" t="s">
        <v>46</v>
      </c>
      <c r="Y96" s="53" t="s">
        <v>50</v>
      </c>
      <c r="Z96" s="53" t="s">
        <v>78</v>
      </c>
      <c r="AA96" s="53" t="s">
        <v>69</v>
      </c>
      <c r="AB96" s="53" t="s">
        <v>158</v>
      </c>
      <c r="AC96" s="76"/>
      <c r="AD96" s="76"/>
      <c r="AE96" s="76"/>
      <c r="AF96" s="76"/>
      <c r="AG96" s="76"/>
      <c r="AH96" s="76"/>
    </row>
    <row r="97" spans="1:34" x14ac:dyDescent="0.15">
      <c r="A97" s="53" t="s">
        <v>41</v>
      </c>
      <c r="B97" s="53" t="s">
        <v>157</v>
      </c>
      <c r="C97" s="62">
        <v>2019</v>
      </c>
      <c r="D97" s="63" t="s">
        <v>188</v>
      </c>
      <c r="E97" s="53" t="s">
        <v>202</v>
      </c>
      <c r="F97" s="53" t="s">
        <v>209</v>
      </c>
      <c r="G97" s="53" t="s">
        <v>42</v>
      </c>
      <c r="H97" s="53" t="s">
        <v>160</v>
      </c>
      <c r="I97" s="53" t="s">
        <v>159</v>
      </c>
      <c r="J97" s="53" t="s">
        <v>38</v>
      </c>
      <c r="K97" s="53" t="s">
        <v>161</v>
      </c>
      <c r="L97" s="53">
        <v>3</v>
      </c>
      <c r="M97" s="76"/>
      <c r="N97" s="53">
        <v>6</v>
      </c>
      <c r="O97" s="53">
        <v>0.25</v>
      </c>
      <c r="P97" s="53">
        <v>0.25</v>
      </c>
      <c r="Q97" s="16">
        <f t="shared" si="3"/>
        <v>0.25</v>
      </c>
      <c r="R97" s="53">
        <v>15</v>
      </c>
      <c r="S97" s="53">
        <v>115</v>
      </c>
      <c r="T97" s="16">
        <f t="shared" si="4"/>
        <v>30</v>
      </c>
      <c r="U97" s="53">
        <v>537</v>
      </c>
      <c r="V97" s="16">
        <f t="shared" si="6"/>
        <v>2685</v>
      </c>
      <c r="W97" s="53">
        <v>1</v>
      </c>
      <c r="X97" s="53" t="s">
        <v>46</v>
      </c>
      <c r="Y97" s="53" t="s">
        <v>50</v>
      </c>
      <c r="Z97" s="53" t="s">
        <v>78</v>
      </c>
      <c r="AA97" s="53" t="s">
        <v>69</v>
      </c>
      <c r="AB97" s="53" t="s">
        <v>158</v>
      </c>
      <c r="AC97" s="76"/>
      <c r="AD97" s="76"/>
      <c r="AE97" s="76"/>
      <c r="AF97" s="76"/>
      <c r="AG97" s="76"/>
      <c r="AH97" s="76"/>
    </row>
    <row r="98" spans="1:34" x14ac:dyDescent="0.15">
      <c r="A98" s="53" t="s">
        <v>41</v>
      </c>
      <c r="B98" s="53" t="s">
        <v>157</v>
      </c>
      <c r="C98" s="62">
        <v>2019</v>
      </c>
      <c r="D98" s="63" t="s">
        <v>188</v>
      </c>
      <c r="E98" s="53" t="s">
        <v>202</v>
      </c>
      <c r="F98" s="53" t="s">
        <v>209</v>
      </c>
      <c r="G98" s="53" t="s">
        <v>42</v>
      </c>
      <c r="H98" s="53" t="s">
        <v>164</v>
      </c>
      <c r="I98" s="53" t="s">
        <v>159</v>
      </c>
      <c r="J98" s="53" t="s">
        <v>38</v>
      </c>
      <c r="K98" s="53" t="s">
        <v>161</v>
      </c>
      <c r="L98" s="53">
        <v>1</v>
      </c>
      <c r="N98" s="53">
        <v>1</v>
      </c>
      <c r="O98" s="53">
        <v>0.8</v>
      </c>
      <c r="P98" s="53">
        <v>0.8</v>
      </c>
      <c r="Q98" s="16">
        <f t="shared" si="3"/>
        <v>0.8</v>
      </c>
      <c r="R98" s="53">
        <v>12.4</v>
      </c>
      <c r="S98" s="53">
        <v>126</v>
      </c>
      <c r="T98" s="16">
        <f t="shared" si="4"/>
        <v>27</v>
      </c>
      <c r="U98" s="53">
        <v>105</v>
      </c>
      <c r="V98" s="38">
        <f t="shared" si="6"/>
        <v>2835</v>
      </c>
      <c r="W98" s="53">
        <v>2</v>
      </c>
      <c r="X98" s="53" t="s">
        <v>46</v>
      </c>
      <c r="Y98" s="53" t="s">
        <v>50</v>
      </c>
      <c r="Z98" s="53" t="s">
        <v>78</v>
      </c>
      <c r="AA98" s="53" t="s">
        <v>69</v>
      </c>
      <c r="AB98" s="53" t="s">
        <v>158</v>
      </c>
      <c r="AC98" s="76"/>
      <c r="AD98" s="76"/>
      <c r="AE98" s="76"/>
      <c r="AF98" s="76"/>
      <c r="AG98" s="76"/>
      <c r="AH98" s="76"/>
    </row>
    <row r="99" spans="1:34" x14ac:dyDescent="0.15">
      <c r="A99" s="53" t="s">
        <v>41</v>
      </c>
      <c r="B99" s="53" t="s">
        <v>157</v>
      </c>
      <c r="C99" s="62">
        <v>2019</v>
      </c>
      <c r="D99" s="63" t="s">
        <v>188</v>
      </c>
      <c r="E99" s="53" t="s">
        <v>202</v>
      </c>
      <c r="F99" s="53" t="s">
        <v>209</v>
      </c>
      <c r="G99" s="53" t="s">
        <v>42</v>
      </c>
      <c r="H99" s="53" t="s">
        <v>164</v>
      </c>
      <c r="I99" s="53" t="s">
        <v>159</v>
      </c>
      <c r="J99" s="53" t="s">
        <v>38</v>
      </c>
      <c r="K99" s="53" t="s">
        <v>161</v>
      </c>
      <c r="L99" s="53">
        <v>2</v>
      </c>
      <c r="N99" s="53">
        <v>1</v>
      </c>
      <c r="O99" s="53">
        <v>0.7</v>
      </c>
      <c r="P99" s="53">
        <v>0.95</v>
      </c>
      <c r="Q99" s="16">
        <f t="shared" si="3"/>
        <v>0.82499999999999996</v>
      </c>
      <c r="R99" s="53">
        <v>14.1</v>
      </c>
      <c r="S99" s="53">
        <v>128</v>
      </c>
      <c r="T99" s="16">
        <f t="shared" si="4"/>
        <v>27</v>
      </c>
      <c r="U99" s="53">
        <v>105</v>
      </c>
      <c r="V99" s="38">
        <f t="shared" si="6"/>
        <v>2835</v>
      </c>
      <c r="W99" s="53">
        <v>2</v>
      </c>
      <c r="X99" s="53" t="s">
        <v>46</v>
      </c>
      <c r="Y99" s="53" t="s">
        <v>50</v>
      </c>
      <c r="Z99" s="53" t="s">
        <v>78</v>
      </c>
      <c r="AA99" s="53" t="s">
        <v>69</v>
      </c>
      <c r="AB99" s="53" t="s">
        <v>158</v>
      </c>
      <c r="AC99" s="76"/>
      <c r="AD99" s="76"/>
      <c r="AE99" s="76"/>
      <c r="AF99" s="76"/>
      <c r="AG99" s="76"/>
      <c r="AH99" s="76"/>
    </row>
    <row r="100" spans="1:34" x14ac:dyDescent="0.15">
      <c r="A100" s="53" t="s">
        <v>41</v>
      </c>
      <c r="B100" s="53" t="s">
        <v>157</v>
      </c>
      <c r="C100" s="62">
        <v>2019</v>
      </c>
      <c r="D100" s="63" t="s">
        <v>188</v>
      </c>
      <c r="E100" s="53" t="s">
        <v>202</v>
      </c>
      <c r="F100" s="53" t="s">
        <v>209</v>
      </c>
      <c r="G100" s="53" t="s">
        <v>42</v>
      </c>
      <c r="H100" s="53" t="s">
        <v>164</v>
      </c>
      <c r="I100" s="53" t="s">
        <v>159</v>
      </c>
      <c r="J100" s="53" t="s">
        <v>38</v>
      </c>
      <c r="K100" s="53" t="s">
        <v>161</v>
      </c>
      <c r="L100" s="53">
        <v>3</v>
      </c>
      <c r="N100" s="53">
        <v>1</v>
      </c>
      <c r="O100" s="53">
        <v>1</v>
      </c>
      <c r="P100" s="53">
        <v>0.7</v>
      </c>
      <c r="Q100" s="16">
        <f t="shared" si="3"/>
        <v>0.85</v>
      </c>
      <c r="R100" s="53">
        <v>13.2</v>
      </c>
      <c r="S100" s="53">
        <v>126</v>
      </c>
      <c r="T100" s="16">
        <f t="shared" si="4"/>
        <v>27</v>
      </c>
      <c r="U100" s="53">
        <v>105</v>
      </c>
      <c r="V100" s="38">
        <f t="shared" si="6"/>
        <v>2835</v>
      </c>
      <c r="W100" s="53">
        <v>2</v>
      </c>
      <c r="X100" s="53" t="s">
        <v>46</v>
      </c>
      <c r="Y100" s="53" t="s">
        <v>50</v>
      </c>
      <c r="Z100" s="53" t="s">
        <v>78</v>
      </c>
      <c r="AA100" s="53" t="s">
        <v>69</v>
      </c>
      <c r="AB100" s="53" t="s">
        <v>158</v>
      </c>
      <c r="AC100" s="76"/>
      <c r="AD100" s="76"/>
      <c r="AE100" s="76"/>
      <c r="AF100" s="76"/>
      <c r="AG100" s="76"/>
      <c r="AH100" s="76"/>
    </row>
    <row r="101" spans="1:34" x14ac:dyDescent="0.15">
      <c r="A101" s="53" t="s">
        <v>41</v>
      </c>
      <c r="B101" s="53" t="s">
        <v>157</v>
      </c>
      <c r="C101" s="62">
        <v>2019</v>
      </c>
      <c r="D101" s="63" t="s">
        <v>188</v>
      </c>
      <c r="E101" s="53" t="s">
        <v>202</v>
      </c>
      <c r="F101" s="53" t="s">
        <v>209</v>
      </c>
      <c r="G101" s="53" t="s">
        <v>42</v>
      </c>
      <c r="H101" s="53" t="s">
        <v>164</v>
      </c>
      <c r="I101" s="53" t="s">
        <v>159</v>
      </c>
      <c r="J101" s="53" t="s">
        <v>38</v>
      </c>
      <c r="K101" s="53" t="s">
        <v>161</v>
      </c>
      <c r="L101" s="53">
        <v>1</v>
      </c>
      <c r="N101" s="53">
        <v>7</v>
      </c>
      <c r="O101" s="53">
        <v>0.4</v>
      </c>
      <c r="P101" s="53">
        <v>0.3</v>
      </c>
      <c r="Q101" s="16">
        <f t="shared" si="3"/>
        <v>0.35</v>
      </c>
      <c r="R101" s="53">
        <v>13.1</v>
      </c>
      <c r="S101" s="53">
        <v>114</v>
      </c>
      <c r="T101" s="16">
        <f t="shared" si="4"/>
        <v>30</v>
      </c>
      <c r="U101" s="53">
        <v>537</v>
      </c>
      <c r="V101" s="16">
        <f t="shared" si="6"/>
        <v>2301.4285714285711</v>
      </c>
      <c r="W101" s="53">
        <v>1</v>
      </c>
      <c r="X101" s="53" t="s">
        <v>46</v>
      </c>
      <c r="Y101" s="53" t="s">
        <v>50</v>
      </c>
      <c r="Z101" s="53" t="s">
        <v>78</v>
      </c>
      <c r="AA101" s="53" t="s">
        <v>69</v>
      </c>
      <c r="AB101" s="53" t="s">
        <v>158</v>
      </c>
      <c r="AC101" s="76"/>
      <c r="AD101" s="76"/>
      <c r="AE101" s="76"/>
      <c r="AF101" s="76"/>
      <c r="AG101" s="76"/>
      <c r="AH101" s="76"/>
    </row>
    <row r="102" spans="1:34" x14ac:dyDescent="0.15">
      <c r="A102" s="53" t="s">
        <v>41</v>
      </c>
      <c r="B102" s="53" t="s">
        <v>157</v>
      </c>
      <c r="C102" s="62">
        <v>2019</v>
      </c>
      <c r="D102" s="63" t="s">
        <v>188</v>
      </c>
      <c r="E102" s="53" t="s">
        <v>202</v>
      </c>
      <c r="F102" s="53" t="s">
        <v>209</v>
      </c>
      <c r="G102" s="53" t="s">
        <v>42</v>
      </c>
      <c r="H102" s="53" t="s">
        <v>164</v>
      </c>
      <c r="I102" s="53" t="s">
        <v>159</v>
      </c>
      <c r="J102" s="53" t="s">
        <v>38</v>
      </c>
      <c r="K102" s="53" t="s">
        <v>161</v>
      </c>
      <c r="L102" s="53">
        <v>2</v>
      </c>
      <c r="N102" s="53">
        <v>7</v>
      </c>
      <c r="O102" s="53">
        <v>0.5</v>
      </c>
      <c r="P102" s="53">
        <v>0.6</v>
      </c>
      <c r="Q102" s="16">
        <f t="shared" si="3"/>
        <v>0.55000000000000004</v>
      </c>
      <c r="R102" s="53">
        <v>13</v>
      </c>
      <c r="S102" s="53">
        <v>120</v>
      </c>
      <c r="T102" s="16">
        <f t="shared" si="4"/>
        <v>30</v>
      </c>
      <c r="U102" s="53">
        <v>537</v>
      </c>
      <c r="V102" s="16">
        <f t="shared" si="6"/>
        <v>2301.4285714285711</v>
      </c>
      <c r="W102" s="53">
        <v>1</v>
      </c>
      <c r="X102" s="53" t="s">
        <v>46</v>
      </c>
      <c r="Y102" s="53" t="s">
        <v>50</v>
      </c>
      <c r="Z102" s="53" t="s">
        <v>78</v>
      </c>
      <c r="AA102" s="53" t="s">
        <v>69</v>
      </c>
      <c r="AB102" s="53" t="s">
        <v>158</v>
      </c>
      <c r="AC102" s="76"/>
      <c r="AD102" s="76"/>
      <c r="AE102" s="76"/>
      <c r="AF102" s="76"/>
      <c r="AG102" s="76"/>
      <c r="AH102" s="76"/>
    </row>
    <row r="103" spans="1:34" x14ac:dyDescent="0.15">
      <c r="A103" s="53" t="s">
        <v>41</v>
      </c>
      <c r="B103" s="53" t="s">
        <v>157</v>
      </c>
      <c r="C103" s="62">
        <v>2019</v>
      </c>
      <c r="D103" s="63" t="s">
        <v>188</v>
      </c>
      <c r="E103" s="53" t="s">
        <v>202</v>
      </c>
      <c r="F103" s="53" t="s">
        <v>209</v>
      </c>
      <c r="G103" s="53" t="s">
        <v>42</v>
      </c>
      <c r="H103" s="53" t="s">
        <v>164</v>
      </c>
      <c r="I103" s="53" t="s">
        <v>159</v>
      </c>
      <c r="J103" s="53" t="s">
        <v>38</v>
      </c>
      <c r="K103" s="53" t="s">
        <v>161</v>
      </c>
      <c r="L103" s="53">
        <v>3</v>
      </c>
      <c r="N103" s="53">
        <v>7</v>
      </c>
      <c r="O103" s="53">
        <v>0.35</v>
      </c>
      <c r="P103" s="53">
        <v>0.45</v>
      </c>
      <c r="Q103" s="16">
        <f t="shared" si="3"/>
        <v>0.4</v>
      </c>
      <c r="R103" s="53">
        <v>12.4</v>
      </c>
      <c r="S103" s="53">
        <v>120</v>
      </c>
      <c r="T103" s="16">
        <f t="shared" si="4"/>
        <v>30</v>
      </c>
      <c r="U103" s="53">
        <v>537</v>
      </c>
      <c r="V103" s="16">
        <f t="shared" si="6"/>
        <v>2301.4285714285711</v>
      </c>
      <c r="W103" s="53">
        <v>1</v>
      </c>
      <c r="X103" s="53" t="s">
        <v>46</v>
      </c>
      <c r="Y103" s="53" t="s">
        <v>50</v>
      </c>
      <c r="Z103" s="53" t="s">
        <v>78</v>
      </c>
      <c r="AA103" s="53" t="s">
        <v>69</v>
      </c>
      <c r="AB103" s="53" t="s">
        <v>158</v>
      </c>
      <c r="AC103" s="76"/>
      <c r="AD103" s="76"/>
      <c r="AE103" s="76"/>
      <c r="AF103" s="76"/>
      <c r="AG103" s="76"/>
      <c r="AH103" s="76"/>
    </row>
    <row r="104" spans="1:34" x14ac:dyDescent="0.15">
      <c r="A104" s="53" t="s">
        <v>41</v>
      </c>
      <c r="B104" s="53" t="s">
        <v>157</v>
      </c>
      <c r="C104" s="62">
        <v>2019</v>
      </c>
      <c r="D104" s="63" t="s">
        <v>188</v>
      </c>
      <c r="E104" s="53" t="s">
        <v>205</v>
      </c>
      <c r="F104" s="53" t="s">
        <v>206</v>
      </c>
      <c r="G104" s="53" t="s">
        <v>42</v>
      </c>
      <c r="H104" s="53" t="s">
        <v>164</v>
      </c>
      <c r="I104" s="53" t="s">
        <v>159</v>
      </c>
      <c r="J104" s="53" t="s">
        <v>38</v>
      </c>
      <c r="K104" s="53" t="s">
        <v>161</v>
      </c>
      <c r="L104" s="53">
        <v>1</v>
      </c>
      <c r="N104" s="53">
        <v>1</v>
      </c>
      <c r="O104" s="53">
        <v>0.65</v>
      </c>
      <c r="P104" s="53">
        <v>0.7</v>
      </c>
      <c r="Q104" s="75">
        <f t="shared" si="3"/>
        <v>0.67500000000000004</v>
      </c>
      <c r="R104" s="53">
        <v>11.3</v>
      </c>
      <c r="S104" s="53">
        <v>123</v>
      </c>
      <c r="T104" s="16">
        <f t="shared" si="4"/>
        <v>27</v>
      </c>
      <c r="U104" s="53">
        <v>105</v>
      </c>
      <c r="V104" s="16">
        <f t="shared" si="6"/>
        <v>2835</v>
      </c>
      <c r="W104" s="53">
        <v>2</v>
      </c>
      <c r="X104" s="53" t="s">
        <v>46</v>
      </c>
      <c r="Y104" s="53" t="s">
        <v>78</v>
      </c>
      <c r="Z104" s="53" t="s">
        <v>102</v>
      </c>
      <c r="AA104" s="53" t="s">
        <v>50</v>
      </c>
      <c r="AB104" s="53" t="s">
        <v>158</v>
      </c>
    </row>
    <row r="105" spans="1:34" x14ac:dyDescent="0.15">
      <c r="A105" s="53" t="s">
        <v>41</v>
      </c>
      <c r="B105" s="53" t="s">
        <v>157</v>
      </c>
      <c r="C105" s="62">
        <v>2019</v>
      </c>
      <c r="D105" s="63" t="s">
        <v>188</v>
      </c>
      <c r="E105" s="53" t="s">
        <v>205</v>
      </c>
      <c r="F105" s="53" t="s">
        <v>206</v>
      </c>
      <c r="G105" s="53" t="s">
        <v>42</v>
      </c>
      <c r="H105" s="53" t="s">
        <v>164</v>
      </c>
      <c r="I105" s="53" t="s">
        <v>159</v>
      </c>
      <c r="J105" s="53" t="s">
        <v>38</v>
      </c>
      <c r="K105" s="53" t="s">
        <v>161</v>
      </c>
      <c r="L105" s="53">
        <v>2</v>
      </c>
      <c r="N105" s="53">
        <v>1</v>
      </c>
      <c r="O105" s="53">
        <v>0.8</v>
      </c>
      <c r="P105" s="53">
        <v>0.75</v>
      </c>
      <c r="Q105" s="75">
        <f t="shared" si="3"/>
        <v>0.77500000000000002</v>
      </c>
      <c r="R105" s="53">
        <v>12.3</v>
      </c>
      <c r="S105" s="53">
        <v>124</v>
      </c>
      <c r="T105" s="16">
        <f t="shared" si="4"/>
        <v>27</v>
      </c>
      <c r="U105" s="53">
        <v>105</v>
      </c>
      <c r="V105" s="16">
        <f t="shared" si="6"/>
        <v>2835</v>
      </c>
      <c r="W105" s="53">
        <v>2</v>
      </c>
      <c r="X105" s="53" t="s">
        <v>46</v>
      </c>
      <c r="Y105" s="53" t="s">
        <v>78</v>
      </c>
      <c r="Z105" s="53" t="s">
        <v>102</v>
      </c>
      <c r="AA105" s="53" t="s">
        <v>50</v>
      </c>
      <c r="AB105" s="53" t="s">
        <v>158</v>
      </c>
    </row>
    <row r="106" spans="1:34" x14ac:dyDescent="0.15">
      <c r="A106" s="53" t="s">
        <v>41</v>
      </c>
      <c r="B106" s="53" t="s">
        <v>157</v>
      </c>
      <c r="C106" s="62">
        <v>2019</v>
      </c>
      <c r="D106" s="63" t="s">
        <v>188</v>
      </c>
      <c r="E106" s="53" t="s">
        <v>205</v>
      </c>
      <c r="F106" s="53" t="s">
        <v>206</v>
      </c>
      <c r="G106" s="53" t="s">
        <v>42</v>
      </c>
      <c r="H106" s="53" t="s">
        <v>164</v>
      </c>
      <c r="I106" s="53" t="s">
        <v>159</v>
      </c>
      <c r="J106" s="53" t="s">
        <v>38</v>
      </c>
      <c r="K106" s="53" t="s">
        <v>161</v>
      </c>
      <c r="L106" s="53">
        <v>3</v>
      </c>
      <c r="N106" s="53">
        <v>1</v>
      </c>
      <c r="O106" s="53">
        <v>0.5</v>
      </c>
      <c r="P106" s="53">
        <v>0.55000000000000004</v>
      </c>
      <c r="Q106" s="75">
        <f t="shared" si="3"/>
        <v>0.52500000000000002</v>
      </c>
      <c r="R106" s="53">
        <v>12.1</v>
      </c>
      <c r="S106" s="53">
        <v>122</v>
      </c>
      <c r="T106" s="16">
        <f t="shared" si="4"/>
        <v>27</v>
      </c>
      <c r="U106" s="53">
        <v>105</v>
      </c>
      <c r="V106" s="38">
        <f t="shared" si="6"/>
        <v>2835</v>
      </c>
      <c r="W106" s="53">
        <v>2</v>
      </c>
      <c r="X106" s="53" t="s">
        <v>46</v>
      </c>
      <c r="Y106" s="53" t="s">
        <v>78</v>
      </c>
      <c r="Z106" s="53" t="s">
        <v>102</v>
      </c>
      <c r="AA106" s="53" t="s">
        <v>50</v>
      </c>
      <c r="AB106" s="53" t="s">
        <v>158</v>
      </c>
    </row>
    <row r="107" spans="1:34" x14ac:dyDescent="0.15">
      <c r="A107" s="53" t="s">
        <v>41</v>
      </c>
      <c r="B107" s="53" t="s">
        <v>157</v>
      </c>
      <c r="C107" s="62">
        <v>2018</v>
      </c>
      <c r="D107" s="63" t="s">
        <v>188</v>
      </c>
      <c r="E107" s="53" t="s">
        <v>205</v>
      </c>
      <c r="F107" s="53" t="s">
        <v>206</v>
      </c>
      <c r="G107" s="53" t="s">
        <v>42</v>
      </c>
      <c r="H107" s="53" t="s">
        <v>164</v>
      </c>
      <c r="I107" s="53" t="s">
        <v>159</v>
      </c>
      <c r="J107" s="53" t="s">
        <v>38</v>
      </c>
      <c r="K107" s="53" t="s">
        <v>161</v>
      </c>
      <c r="L107" s="53">
        <v>1</v>
      </c>
      <c r="N107" s="53">
        <v>5</v>
      </c>
      <c r="O107" s="53">
        <v>1</v>
      </c>
      <c r="P107" s="53">
        <v>1.1000000000000001</v>
      </c>
      <c r="Q107" s="75">
        <f t="shared" si="3"/>
        <v>1.05</v>
      </c>
      <c r="R107" s="53">
        <v>12.3</v>
      </c>
      <c r="S107" s="53">
        <v>114</v>
      </c>
      <c r="T107" s="16">
        <f t="shared" si="4"/>
        <v>30</v>
      </c>
      <c r="U107" s="53">
        <v>419</v>
      </c>
      <c r="V107" s="16">
        <f t="shared" si="6"/>
        <v>2514</v>
      </c>
      <c r="W107" s="53">
        <v>1</v>
      </c>
      <c r="X107" s="53" t="s">
        <v>46</v>
      </c>
      <c r="Y107" s="53" t="s">
        <v>78</v>
      </c>
      <c r="Z107" s="53" t="s">
        <v>102</v>
      </c>
      <c r="AA107" s="53" t="s">
        <v>50</v>
      </c>
      <c r="AB107" s="53" t="s">
        <v>158</v>
      </c>
      <c r="AC107" s="76"/>
      <c r="AD107" s="76"/>
      <c r="AE107" s="76"/>
      <c r="AF107" s="76"/>
      <c r="AG107" s="76"/>
      <c r="AH107" s="76"/>
    </row>
    <row r="108" spans="1:34" x14ac:dyDescent="0.15">
      <c r="A108" s="53" t="s">
        <v>41</v>
      </c>
      <c r="B108" s="53" t="s">
        <v>157</v>
      </c>
      <c r="C108" s="62">
        <v>2018</v>
      </c>
      <c r="D108" s="63" t="s">
        <v>188</v>
      </c>
      <c r="E108" s="53" t="s">
        <v>205</v>
      </c>
      <c r="F108" s="53" t="s">
        <v>206</v>
      </c>
      <c r="G108" s="53" t="s">
        <v>42</v>
      </c>
      <c r="H108" s="53" t="s">
        <v>164</v>
      </c>
      <c r="I108" s="53" t="s">
        <v>159</v>
      </c>
      <c r="J108" s="53" t="s">
        <v>38</v>
      </c>
      <c r="K108" s="53" t="s">
        <v>161</v>
      </c>
      <c r="L108" s="53">
        <v>2</v>
      </c>
      <c r="N108" s="53">
        <v>5</v>
      </c>
      <c r="O108" s="53">
        <v>1.2</v>
      </c>
      <c r="P108" s="53">
        <v>1.25</v>
      </c>
      <c r="Q108" s="75">
        <f t="shared" ref="Q108:Q159" si="7">IF(OR(O108="",P108=""),"",AVERAGE(O108,P108))</f>
        <v>1.2250000000000001</v>
      </c>
      <c r="R108" s="53">
        <v>13.5</v>
      </c>
      <c r="S108" s="53">
        <v>120</v>
      </c>
      <c r="T108" s="16">
        <f t="shared" si="4"/>
        <v>30</v>
      </c>
      <c r="U108" s="53">
        <v>419</v>
      </c>
      <c r="V108" s="16">
        <f t="shared" si="6"/>
        <v>2514</v>
      </c>
      <c r="W108" s="53">
        <v>1</v>
      </c>
      <c r="X108" s="53" t="s">
        <v>46</v>
      </c>
      <c r="Y108" s="53" t="s">
        <v>78</v>
      </c>
      <c r="Z108" s="53" t="s">
        <v>102</v>
      </c>
      <c r="AA108" s="53" t="s">
        <v>50</v>
      </c>
      <c r="AB108" s="53" t="s">
        <v>158</v>
      </c>
      <c r="AC108" s="76"/>
      <c r="AD108" s="76"/>
      <c r="AE108" s="76"/>
      <c r="AF108" s="76"/>
      <c r="AG108" s="76"/>
      <c r="AH108" s="76"/>
    </row>
    <row r="109" spans="1:34" x14ac:dyDescent="0.15">
      <c r="A109" s="53" t="s">
        <v>41</v>
      </c>
      <c r="B109" s="53" t="s">
        <v>157</v>
      </c>
      <c r="C109" s="62">
        <v>2018</v>
      </c>
      <c r="D109" s="63" t="s">
        <v>188</v>
      </c>
      <c r="E109" s="53" t="s">
        <v>205</v>
      </c>
      <c r="F109" s="53" t="s">
        <v>206</v>
      </c>
      <c r="G109" s="53" t="s">
        <v>42</v>
      </c>
      <c r="H109" s="53" t="s">
        <v>164</v>
      </c>
      <c r="I109" s="53" t="s">
        <v>159</v>
      </c>
      <c r="J109" s="53" t="s">
        <v>38</v>
      </c>
      <c r="K109" s="53" t="s">
        <v>161</v>
      </c>
      <c r="L109" s="53">
        <v>3</v>
      </c>
      <c r="N109" s="53">
        <v>5</v>
      </c>
      <c r="O109" s="53">
        <v>1</v>
      </c>
      <c r="P109" s="53">
        <v>1.3</v>
      </c>
      <c r="Q109" s="75">
        <f t="shared" si="7"/>
        <v>1.1499999999999999</v>
      </c>
      <c r="R109" s="53">
        <v>12.3</v>
      </c>
      <c r="S109" s="53">
        <v>113</v>
      </c>
      <c r="T109" s="16">
        <f t="shared" si="4"/>
        <v>30</v>
      </c>
      <c r="U109" s="53">
        <v>419</v>
      </c>
      <c r="V109" s="16">
        <f t="shared" si="6"/>
        <v>2514</v>
      </c>
      <c r="W109" s="53">
        <v>1</v>
      </c>
      <c r="X109" s="53" t="s">
        <v>46</v>
      </c>
      <c r="Y109" s="53" t="s">
        <v>78</v>
      </c>
      <c r="Z109" s="53" t="s">
        <v>102</v>
      </c>
      <c r="AA109" s="53" t="s">
        <v>50</v>
      </c>
      <c r="AB109" s="53" t="s">
        <v>158</v>
      </c>
      <c r="AC109" s="76"/>
      <c r="AD109" s="76"/>
      <c r="AE109" s="76"/>
      <c r="AF109" s="76"/>
      <c r="AG109" s="76"/>
      <c r="AH109" s="76"/>
    </row>
    <row r="110" spans="1:34" x14ac:dyDescent="0.15">
      <c r="A110" s="53" t="s">
        <v>41</v>
      </c>
      <c r="B110" s="53" t="s">
        <v>157</v>
      </c>
      <c r="C110" s="62">
        <v>2019</v>
      </c>
      <c r="D110" s="63" t="s">
        <v>188</v>
      </c>
      <c r="E110" s="53" t="s">
        <v>205</v>
      </c>
      <c r="F110" s="53" t="s">
        <v>206</v>
      </c>
      <c r="G110" s="53" t="s">
        <v>42</v>
      </c>
      <c r="H110" s="53" t="s">
        <v>160</v>
      </c>
      <c r="I110" s="53" t="s">
        <v>159</v>
      </c>
      <c r="J110" s="53" t="s">
        <v>38</v>
      </c>
      <c r="K110" s="53" t="s">
        <v>161</v>
      </c>
      <c r="L110" s="53">
        <v>1</v>
      </c>
      <c r="N110" s="53">
        <v>1</v>
      </c>
      <c r="O110" s="53">
        <v>0.35</v>
      </c>
      <c r="P110" s="53">
        <v>0.35</v>
      </c>
      <c r="Q110" s="75">
        <f t="shared" si="7"/>
        <v>0.35</v>
      </c>
      <c r="R110" s="53">
        <v>13.6</v>
      </c>
      <c r="S110" s="53">
        <v>124</v>
      </c>
      <c r="T110" s="16">
        <f t="shared" si="4"/>
        <v>27</v>
      </c>
      <c r="U110" s="53">
        <v>138</v>
      </c>
      <c r="V110" s="16">
        <f t="shared" si="6"/>
        <v>3726</v>
      </c>
      <c r="W110" s="53">
        <v>1</v>
      </c>
      <c r="X110" s="53" t="s">
        <v>46</v>
      </c>
      <c r="Y110" s="53" t="s">
        <v>78</v>
      </c>
      <c r="Z110" s="53" t="s">
        <v>102</v>
      </c>
      <c r="AA110" s="53" t="s">
        <v>50</v>
      </c>
      <c r="AB110" s="53" t="s">
        <v>158</v>
      </c>
      <c r="AC110" s="76"/>
      <c r="AD110" s="76"/>
      <c r="AE110" s="76"/>
      <c r="AF110" s="76"/>
      <c r="AG110" s="76"/>
      <c r="AH110" s="76"/>
    </row>
    <row r="111" spans="1:34" x14ac:dyDescent="0.15">
      <c r="A111" s="53" t="s">
        <v>41</v>
      </c>
      <c r="B111" s="53" t="s">
        <v>157</v>
      </c>
      <c r="C111" s="62">
        <v>2019</v>
      </c>
      <c r="D111" s="63" t="s">
        <v>188</v>
      </c>
      <c r="E111" s="53" t="s">
        <v>205</v>
      </c>
      <c r="F111" s="53" t="s">
        <v>206</v>
      </c>
      <c r="G111" s="53" t="s">
        <v>42</v>
      </c>
      <c r="H111" s="53" t="s">
        <v>160</v>
      </c>
      <c r="I111" s="53" t="s">
        <v>159</v>
      </c>
      <c r="J111" s="53" t="s">
        <v>38</v>
      </c>
      <c r="K111" s="53" t="s">
        <v>161</v>
      </c>
      <c r="L111" s="53">
        <v>2</v>
      </c>
      <c r="N111" s="53">
        <v>1</v>
      </c>
      <c r="O111" s="53">
        <v>0.3</v>
      </c>
      <c r="P111" s="53">
        <v>0.35</v>
      </c>
      <c r="Q111" s="75">
        <f t="shared" si="7"/>
        <v>0.32499999999999996</v>
      </c>
      <c r="R111" s="53">
        <v>14.2</v>
      </c>
      <c r="S111" s="53">
        <v>123</v>
      </c>
      <c r="T111" s="16">
        <f t="shared" si="4"/>
        <v>27</v>
      </c>
      <c r="U111" s="53">
        <v>138</v>
      </c>
      <c r="V111" s="16">
        <f t="shared" si="6"/>
        <v>3726</v>
      </c>
      <c r="W111" s="53">
        <v>1</v>
      </c>
      <c r="X111" s="53" t="s">
        <v>46</v>
      </c>
      <c r="Y111" s="53" t="s">
        <v>78</v>
      </c>
      <c r="Z111" s="53" t="s">
        <v>102</v>
      </c>
      <c r="AA111" s="53" t="s">
        <v>50</v>
      </c>
      <c r="AB111" s="53" t="s">
        <v>158</v>
      </c>
      <c r="AC111" s="76"/>
      <c r="AD111" s="76"/>
      <c r="AE111" s="76"/>
      <c r="AF111" s="76"/>
      <c r="AG111" s="76"/>
      <c r="AH111" s="76"/>
    </row>
    <row r="112" spans="1:34" x14ac:dyDescent="0.15">
      <c r="A112" s="53" t="s">
        <v>41</v>
      </c>
      <c r="B112" s="53" t="s">
        <v>157</v>
      </c>
      <c r="C112" s="62">
        <v>2019</v>
      </c>
      <c r="D112" s="63" t="s">
        <v>188</v>
      </c>
      <c r="E112" s="53" t="s">
        <v>205</v>
      </c>
      <c r="F112" s="53" t="s">
        <v>206</v>
      </c>
      <c r="G112" s="53" t="s">
        <v>42</v>
      </c>
      <c r="H112" s="53" t="s">
        <v>160</v>
      </c>
      <c r="I112" s="53" t="s">
        <v>159</v>
      </c>
      <c r="J112" s="53" t="s">
        <v>38</v>
      </c>
      <c r="K112" s="53" t="s">
        <v>161</v>
      </c>
      <c r="L112" s="53">
        <v>3</v>
      </c>
      <c r="N112" s="53">
        <v>1</v>
      </c>
      <c r="O112" s="53">
        <v>0.25</v>
      </c>
      <c r="P112" s="53">
        <v>0.3</v>
      </c>
      <c r="Q112" s="75">
        <f t="shared" si="7"/>
        <v>0.27500000000000002</v>
      </c>
      <c r="R112" s="53">
        <v>13.1</v>
      </c>
      <c r="S112" s="53">
        <v>122</v>
      </c>
      <c r="T112" s="16">
        <f t="shared" si="4"/>
        <v>27</v>
      </c>
      <c r="U112" s="53">
        <v>138</v>
      </c>
      <c r="V112" s="38">
        <f t="shared" si="6"/>
        <v>3726</v>
      </c>
      <c r="W112" s="53">
        <v>1</v>
      </c>
      <c r="X112" s="53" t="s">
        <v>46</v>
      </c>
      <c r="Y112" s="53" t="s">
        <v>78</v>
      </c>
      <c r="Z112" s="53" t="s">
        <v>102</v>
      </c>
      <c r="AA112" s="53" t="s">
        <v>50</v>
      </c>
      <c r="AB112" s="53" t="s">
        <v>158</v>
      </c>
      <c r="AC112" s="76"/>
      <c r="AD112" s="76"/>
      <c r="AE112" s="76"/>
      <c r="AF112" s="76"/>
      <c r="AG112" s="76"/>
      <c r="AH112" s="76"/>
    </row>
    <row r="113" spans="1:34" x14ac:dyDescent="0.15">
      <c r="A113" s="53" t="s">
        <v>41</v>
      </c>
      <c r="B113" s="53" t="s">
        <v>157</v>
      </c>
      <c r="C113" s="62">
        <v>2019</v>
      </c>
      <c r="D113" s="63" t="s">
        <v>188</v>
      </c>
      <c r="E113" s="53" t="s">
        <v>205</v>
      </c>
      <c r="F113" s="53" t="s">
        <v>206</v>
      </c>
      <c r="G113" s="53" t="s">
        <v>42</v>
      </c>
      <c r="H113" s="53" t="s">
        <v>160</v>
      </c>
      <c r="I113" s="53" t="s">
        <v>159</v>
      </c>
      <c r="J113" s="53" t="s">
        <v>38</v>
      </c>
      <c r="K113" s="53" t="s">
        <v>161</v>
      </c>
      <c r="L113" s="53">
        <v>1</v>
      </c>
      <c r="N113" s="53">
        <v>5</v>
      </c>
      <c r="O113" s="53">
        <v>0.25</v>
      </c>
      <c r="P113" s="53">
        <v>0.4</v>
      </c>
      <c r="Q113" s="75">
        <f t="shared" si="7"/>
        <v>0.32500000000000001</v>
      </c>
      <c r="R113" s="53">
        <v>14.1</v>
      </c>
      <c r="S113" s="53">
        <v>115</v>
      </c>
      <c r="T113" s="16">
        <f t="shared" si="4"/>
        <v>30</v>
      </c>
      <c r="U113" s="53">
        <v>537</v>
      </c>
      <c r="V113" s="16">
        <f t="shared" si="6"/>
        <v>3222</v>
      </c>
      <c r="W113" s="53">
        <v>1</v>
      </c>
      <c r="X113" s="53" t="s">
        <v>46</v>
      </c>
      <c r="Y113" s="53" t="s">
        <v>78</v>
      </c>
      <c r="Z113" s="53" t="s">
        <v>102</v>
      </c>
      <c r="AA113" s="53" t="s">
        <v>50</v>
      </c>
      <c r="AB113" s="53" t="s">
        <v>158</v>
      </c>
    </row>
    <row r="114" spans="1:34" x14ac:dyDescent="0.15">
      <c r="A114" s="53" t="s">
        <v>41</v>
      </c>
      <c r="B114" s="53" t="s">
        <v>157</v>
      </c>
      <c r="C114" s="62">
        <v>2019</v>
      </c>
      <c r="D114" s="63" t="s">
        <v>188</v>
      </c>
      <c r="E114" s="53" t="s">
        <v>205</v>
      </c>
      <c r="F114" s="53" t="s">
        <v>206</v>
      </c>
      <c r="G114" s="53" t="s">
        <v>42</v>
      </c>
      <c r="H114" s="53" t="s">
        <v>160</v>
      </c>
      <c r="I114" s="53" t="s">
        <v>159</v>
      </c>
      <c r="J114" s="53" t="s">
        <v>38</v>
      </c>
      <c r="K114" s="53" t="s">
        <v>161</v>
      </c>
      <c r="L114" s="53">
        <v>2</v>
      </c>
      <c r="N114" s="53">
        <v>5</v>
      </c>
      <c r="O114" s="53">
        <v>0.3</v>
      </c>
      <c r="P114" s="53">
        <v>0.45</v>
      </c>
      <c r="Q114" s="75">
        <f t="shared" si="7"/>
        <v>0.375</v>
      </c>
      <c r="R114" s="53">
        <v>15.6</v>
      </c>
      <c r="S114" s="53">
        <v>117</v>
      </c>
      <c r="T114" s="16">
        <f t="shared" si="4"/>
        <v>30</v>
      </c>
      <c r="U114" s="53">
        <v>537</v>
      </c>
      <c r="V114" s="16">
        <f t="shared" si="6"/>
        <v>3222</v>
      </c>
      <c r="W114" s="53">
        <v>1</v>
      </c>
      <c r="X114" s="53" t="s">
        <v>46</v>
      </c>
      <c r="Y114" s="53" t="s">
        <v>78</v>
      </c>
      <c r="Z114" s="53" t="s">
        <v>102</v>
      </c>
      <c r="AA114" s="53" t="s">
        <v>50</v>
      </c>
      <c r="AB114" s="53" t="s">
        <v>158</v>
      </c>
    </row>
    <row r="115" spans="1:34" x14ac:dyDescent="0.15">
      <c r="A115" s="53" t="s">
        <v>41</v>
      </c>
      <c r="B115" s="53" t="s">
        <v>157</v>
      </c>
      <c r="C115" s="62">
        <v>2019</v>
      </c>
      <c r="D115" s="63" t="s">
        <v>188</v>
      </c>
      <c r="E115" s="53" t="s">
        <v>205</v>
      </c>
      <c r="F115" s="53" t="s">
        <v>206</v>
      </c>
      <c r="G115" s="53" t="s">
        <v>42</v>
      </c>
      <c r="H115" s="53" t="s">
        <v>160</v>
      </c>
      <c r="I115" s="53" t="s">
        <v>159</v>
      </c>
      <c r="J115" s="53" t="s">
        <v>38</v>
      </c>
      <c r="K115" s="53" t="s">
        <v>161</v>
      </c>
      <c r="L115" s="53">
        <v>3</v>
      </c>
      <c r="N115" s="53">
        <v>5</v>
      </c>
      <c r="O115" s="53">
        <v>0.35</v>
      </c>
      <c r="P115" s="53">
        <v>0.25</v>
      </c>
      <c r="Q115" s="75">
        <f t="shared" si="7"/>
        <v>0.3</v>
      </c>
      <c r="R115" s="53">
        <v>14</v>
      </c>
      <c r="S115" s="53">
        <v>116</v>
      </c>
      <c r="T115" s="16">
        <f t="shared" si="4"/>
        <v>30</v>
      </c>
      <c r="U115" s="53">
        <v>537</v>
      </c>
      <c r="V115" s="38">
        <f t="shared" si="6"/>
        <v>3222</v>
      </c>
      <c r="W115" s="53">
        <v>1</v>
      </c>
      <c r="X115" s="53" t="s">
        <v>46</v>
      </c>
      <c r="Y115" s="53" t="s">
        <v>78</v>
      </c>
      <c r="Z115" s="53" t="s">
        <v>102</v>
      </c>
      <c r="AA115" s="53" t="s">
        <v>50</v>
      </c>
      <c r="AB115" s="53" t="s">
        <v>158</v>
      </c>
    </row>
    <row r="116" spans="1:34" x14ac:dyDescent="0.15">
      <c r="A116" s="53" t="s">
        <v>41</v>
      </c>
      <c r="B116" s="53" t="s">
        <v>157</v>
      </c>
      <c r="C116" s="62">
        <v>2019</v>
      </c>
      <c r="D116" s="63" t="s">
        <v>188</v>
      </c>
      <c r="E116" s="53" t="s">
        <v>211</v>
      </c>
      <c r="F116" s="53" t="s">
        <v>212</v>
      </c>
      <c r="G116" s="53" t="s">
        <v>42</v>
      </c>
      <c r="H116" s="53" t="s">
        <v>160</v>
      </c>
      <c r="I116" s="53" t="s">
        <v>159</v>
      </c>
      <c r="J116" s="53" t="s">
        <v>38</v>
      </c>
      <c r="K116" s="53" t="s">
        <v>161</v>
      </c>
      <c r="L116" s="53">
        <v>1</v>
      </c>
      <c r="N116" s="53">
        <v>1</v>
      </c>
      <c r="O116" s="53">
        <v>1.3</v>
      </c>
      <c r="P116" s="53">
        <v>1.2</v>
      </c>
      <c r="Q116" s="75">
        <f t="shared" si="7"/>
        <v>1.25</v>
      </c>
      <c r="R116" s="53">
        <v>15.2</v>
      </c>
      <c r="S116" s="53">
        <v>124</v>
      </c>
      <c r="T116" s="16">
        <f t="shared" si="4"/>
        <v>27</v>
      </c>
      <c r="U116" s="53">
        <v>137</v>
      </c>
      <c r="V116" s="38">
        <f t="shared" si="6"/>
        <v>3699</v>
      </c>
      <c r="W116" s="53">
        <v>2</v>
      </c>
      <c r="X116" s="53" t="s">
        <v>46</v>
      </c>
      <c r="Y116" s="53" t="s">
        <v>78</v>
      </c>
      <c r="Z116" s="53" t="s">
        <v>50</v>
      </c>
      <c r="AA116" s="53" t="s">
        <v>69</v>
      </c>
      <c r="AB116" s="53" t="s">
        <v>158</v>
      </c>
      <c r="AC116" s="76"/>
      <c r="AD116" s="76"/>
      <c r="AE116" s="76"/>
      <c r="AF116" s="76"/>
      <c r="AG116" s="76"/>
      <c r="AH116" s="76"/>
    </row>
    <row r="117" spans="1:34" x14ac:dyDescent="0.15">
      <c r="A117" s="53" t="s">
        <v>41</v>
      </c>
      <c r="B117" s="53" t="s">
        <v>157</v>
      </c>
      <c r="C117" s="62">
        <v>2019</v>
      </c>
      <c r="D117" s="63" t="s">
        <v>188</v>
      </c>
      <c r="E117" s="53" t="s">
        <v>211</v>
      </c>
      <c r="F117" s="53" t="s">
        <v>212</v>
      </c>
      <c r="G117" s="53" t="s">
        <v>42</v>
      </c>
      <c r="H117" s="53" t="s">
        <v>160</v>
      </c>
      <c r="I117" s="53" t="s">
        <v>159</v>
      </c>
      <c r="J117" s="53" t="s">
        <v>38</v>
      </c>
      <c r="K117" s="53" t="s">
        <v>161</v>
      </c>
      <c r="L117" s="53">
        <v>2</v>
      </c>
      <c r="N117" s="53">
        <v>1</v>
      </c>
      <c r="O117" s="53">
        <v>0.95</v>
      </c>
      <c r="P117" s="53">
        <v>1.1000000000000001</v>
      </c>
      <c r="Q117" s="75">
        <f t="shared" si="7"/>
        <v>1.0249999999999999</v>
      </c>
      <c r="R117" s="53">
        <v>13.8</v>
      </c>
      <c r="S117" s="53">
        <v>126</v>
      </c>
      <c r="T117" s="16">
        <f t="shared" si="4"/>
        <v>27</v>
      </c>
      <c r="U117" s="53">
        <v>137</v>
      </c>
      <c r="V117" s="38">
        <f t="shared" si="6"/>
        <v>3699</v>
      </c>
      <c r="W117" s="53">
        <v>2</v>
      </c>
      <c r="X117" s="53" t="s">
        <v>46</v>
      </c>
      <c r="Y117" s="53" t="s">
        <v>78</v>
      </c>
      <c r="Z117" s="53" t="s">
        <v>50</v>
      </c>
      <c r="AA117" s="53" t="s">
        <v>69</v>
      </c>
      <c r="AB117" s="53" t="s">
        <v>158</v>
      </c>
      <c r="AC117" s="76"/>
      <c r="AD117" s="76"/>
      <c r="AE117" s="76"/>
      <c r="AF117" s="76"/>
      <c r="AG117" s="76"/>
      <c r="AH117" s="76"/>
    </row>
    <row r="118" spans="1:34" x14ac:dyDescent="0.15">
      <c r="A118" s="53" t="s">
        <v>41</v>
      </c>
      <c r="B118" s="53" t="s">
        <v>157</v>
      </c>
      <c r="C118" s="62">
        <v>2019</v>
      </c>
      <c r="D118" s="63" t="s">
        <v>188</v>
      </c>
      <c r="E118" s="53" t="s">
        <v>211</v>
      </c>
      <c r="F118" s="53" t="s">
        <v>212</v>
      </c>
      <c r="G118" s="53" t="s">
        <v>42</v>
      </c>
      <c r="H118" s="53" t="s">
        <v>160</v>
      </c>
      <c r="I118" s="53" t="s">
        <v>159</v>
      </c>
      <c r="J118" s="53" t="s">
        <v>38</v>
      </c>
      <c r="K118" s="53" t="s">
        <v>161</v>
      </c>
      <c r="L118" s="53">
        <v>3</v>
      </c>
      <c r="N118" s="53">
        <v>1</v>
      </c>
      <c r="O118" s="53">
        <v>1</v>
      </c>
      <c r="P118" s="53">
        <v>0.9</v>
      </c>
      <c r="Q118" s="75">
        <f t="shared" si="7"/>
        <v>0.95</v>
      </c>
      <c r="R118" s="53">
        <v>14.4</v>
      </c>
      <c r="S118" s="53">
        <v>127</v>
      </c>
      <c r="T118" s="16">
        <f t="shared" si="4"/>
        <v>27</v>
      </c>
      <c r="U118" s="53">
        <v>137</v>
      </c>
      <c r="V118" s="38">
        <f t="shared" si="6"/>
        <v>3699</v>
      </c>
      <c r="W118" s="53">
        <v>2</v>
      </c>
      <c r="X118" s="53" t="s">
        <v>46</v>
      </c>
      <c r="Y118" s="53" t="s">
        <v>78</v>
      </c>
      <c r="Z118" s="53" t="s">
        <v>50</v>
      </c>
      <c r="AA118" s="53" t="s">
        <v>69</v>
      </c>
      <c r="AB118" s="53" t="s">
        <v>158</v>
      </c>
      <c r="AC118" s="76"/>
      <c r="AD118" s="76"/>
      <c r="AE118" s="76"/>
      <c r="AF118" s="76"/>
      <c r="AG118" s="76"/>
      <c r="AH118" s="76"/>
    </row>
    <row r="119" spans="1:34" x14ac:dyDescent="0.15">
      <c r="A119" s="53" t="s">
        <v>41</v>
      </c>
      <c r="B119" s="53" t="s">
        <v>157</v>
      </c>
      <c r="C119" s="62">
        <v>2019</v>
      </c>
      <c r="D119" s="63" t="s">
        <v>188</v>
      </c>
      <c r="E119" s="53" t="s">
        <v>211</v>
      </c>
      <c r="F119" s="53" t="s">
        <v>212</v>
      </c>
      <c r="G119" s="53" t="s">
        <v>42</v>
      </c>
      <c r="H119" s="53" t="s">
        <v>160</v>
      </c>
      <c r="I119" s="53" t="s">
        <v>159</v>
      </c>
      <c r="J119" s="53" t="s">
        <v>38</v>
      </c>
      <c r="K119" s="53" t="s">
        <v>161</v>
      </c>
      <c r="L119" s="53">
        <v>1</v>
      </c>
      <c r="N119" s="53">
        <v>4</v>
      </c>
      <c r="O119" s="53">
        <v>0.85</v>
      </c>
      <c r="P119" s="53">
        <v>0.9</v>
      </c>
      <c r="Q119" s="75">
        <f t="shared" si="7"/>
        <v>0.875</v>
      </c>
      <c r="R119" s="53">
        <v>12.4</v>
      </c>
      <c r="S119" s="53">
        <v>121</v>
      </c>
      <c r="T119" s="16">
        <f t="shared" si="4"/>
        <v>27</v>
      </c>
      <c r="U119" s="53">
        <v>407</v>
      </c>
      <c r="V119" s="38">
        <f t="shared" si="6"/>
        <v>2747.25</v>
      </c>
      <c r="W119" s="53">
        <v>2</v>
      </c>
      <c r="X119" s="53" t="s">
        <v>46</v>
      </c>
      <c r="Y119" s="53" t="s">
        <v>78</v>
      </c>
      <c r="Z119" s="53" t="s">
        <v>50</v>
      </c>
      <c r="AA119" s="53" t="s">
        <v>69</v>
      </c>
      <c r="AB119" s="53" t="s">
        <v>158</v>
      </c>
      <c r="AC119" s="76"/>
      <c r="AD119" s="76"/>
      <c r="AE119" s="76"/>
      <c r="AF119" s="76"/>
      <c r="AG119" s="76"/>
      <c r="AH119" s="76"/>
    </row>
    <row r="120" spans="1:34" x14ac:dyDescent="0.15">
      <c r="A120" s="53" t="s">
        <v>41</v>
      </c>
      <c r="B120" s="53" t="s">
        <v>157</v>
      </c>
      <c r="C120" s="62">
        <v>2019</v>
      </c>
      <c r="D120" s="63" t="s">
        <v>188</v>
      </c>
      <c r="E120" s="53" t="s">
        <v>211</v>
      </c>
      <c r="F120" s="53" t="s">
        <v>212</v>
      </c>
      <c r="G120" s="53" t="s">
        <v>42</v>
      </c>
      <c r="H120" s="53" t="s">
        <v>160</v>
      </c>
      <c r="I120" s="53" t="s">
        <v>159</v>
      </c>
      <c r="J120" s="53" t="s">
        <v>38</v>
      </c>
      <c r="K120" s="53" t="s">
        <v>161</v>
      </c>
      <c r="L120" s="53">
        <v>2</v>
      </c>
      <c r="N120" s="53">
        <v>4</v>
      </c>
      <c r="O120" s="53">
        <v>0.9</v>
      </c>
      <c r="P120" s="53">
        <v>1</v>
      </c>
      <c r="Q120" s="75">
        <f t="shared" si="7"/>
        <v>0.95</v>
      </c>
      <c r="R120" s="53">
        <v>14.5</v>
      </c>
      <c r="S120" s="53">
        <v>120</v>
      </c>
      <c r="T120" s="16">
        <f t="shared" si="4"/>
        <v>30</v>
      </c>
      <c r="U120" s="53">
        <v>407</v>
      </c>
      <c r="V120" s="38">
        <f t="shared" si="6"/>
        <v>3052.5</v>
      </c>
      <c r="W120" s="53">
        <v>2</v>
      </c>
      <c r="X120" s="53" t="s">
        <v>46</v>
      </c>
      <c r="Y120" s="53" t="s">
        <v>78</v>
      </c>
      <c r="Z120" s="53" t="s">
        <v>50</v>
      </c>
      <c r="AA120" s="53" t="s">
        <v>69</v>
      </c>
      <c r="AB120" s="53" t="s">
        <v>158</v>
      </c>
      <c r="AC120" s="76"/>
      <c r="AD120" s="76"/>
      <c r="AE120" s="76"/>
      <c r="AF120" s="76"/>
      <c r="AG120" s="76"/>
      <c r="AH120" s="76"/>
    </row>
    <row r="121" spans="1:34" x14ac:dyDescent="0.15">
      <c r="A121" s="53" t="s">
        <v>41</v>
      </c>
      <c r="B121" s="53" t="s">
        <v>157</v>
      </c>
      <c r="C121" s="62">
        <v>2019</v>
      </c>
      <c r="D121" s="63" t="s">
        <v>188</v>
      </c>
      <c r="E121" s="53" t="s">
        <v>211</v>
      </c>
      <c r="F121" s="53" t="s">
        <v>212</v>
      </c>
      <c r="G121" s="53" t="s">
        <v>42</v>
      </c>
      <c r="H121" s="53" t="s">
        <v>160</v>
      </c>
      <c r="I121" s="53" t="s">
        <v>159</v>
      </c>
      <c r="J121" s="53" t="s">
        <v>38</v>
      </c>
      <c r="K121" s="53" t="s">
        <v>161</v>
      </c>
      <c r="L121" s="53">
        <v>3</v>
      </c>
      <c r="N121" s="53">
        <v>4</v>
      </c>
      <c r="O121" s="53">
        <v>0.9</v>
      </c>
      <c r="P121" s="53">
        <v>0.95</v>
      </c>
      <c r="Q121" s="75">
        <f t="shared" si="7"/>
        <v>0.92500000000000004</v>
      </c>
      <c r="R121" s="53">
        <v>16.5</v>
      </c>
      <c r="S121" s="53">
        <v>123</v>
      </c>
      <c r="T121" s="16">
        <f t="shared" si="4"/>
        <v>27</v>
      </c>
      <c r="U121" s="53">
        <v>407</v>
      </c>
      <c r="V121" s="38">
        <f t="shared" si="6"/>
        <v>2747.25</v>
      </c>
      <c r="W121" s="53">
        <v>2</v>
      </c>
      <c r="X121" s="53" t="s">
        <v>46</v>
      </c>
      <c r="Y121" s="53" t="s">
        <v>78</v>
      </c>
      <c r="Z121" s="53" t="s">
        <v>50</v>
      </c>
      <c r="AA121" s="53" t="s">
        <v>69</v>
      </c>
      <c r="AB121" s="53" t="s">
        <v>158</v>
      </c>
      <c r="AC121" s="76"/>
      <c r="AD121" s="76"/>
      <c r="AE121" s="76"/>
      <c r="AF121" s="76"/>
      <c r="AG121" s="76"/>
      <c r="AH121" s="76"/>
    </row>
    <row r="122" spans="1:34" x14ac:dyDescent="0.15">
      <c r="A122" s="53" t="s">
        <v>41</v>
      </c>
      <c r="B122" s="53" t="s">
        <v>157</v>
      </c>
      <c r="C122" s="62">
        <v>2019</v>
      </c>
      <c r="D122" s="63" t="s">
        <v>188</v>
      </c>
      <c r="E122" s="53" t="s">
        <v>211</v>
      </c>
      <c r="F122" s="53" t="s">
        <v>212</v>
      </c>
      <c r="G122" s="53" t="s">
        <v>42</v>
      </c>
      <c r="H122" s="53" t="s">
        <v>164</v>
      </c>
      <c r="I122" s="53" t="s">
        <v>159</v>
      </c>
      <c r="J122" s="53" t="s">
        <v>38</v>
      </c>
      <c r="K122" s="53" t="s">
        <v>161</v>
      </c>
      <c r="L122" s="53">
        <v>1</v>
      </c>
      <c r="N122" s="53">
        <v>1</v>
      </c>
      <c r="O122" s="53">
        <v>1.1000000000000001</v>
      </c>
      <c r="P122" s="53">
        <v>1.1000000000000001</v>
      </c>
      <c r="Q122" s="16">
        <f t="shared" si="7"/>
        <v>1.1000000000000001</v>
      </c>
      <c r="R122" s="53">
        <v>10.4</v>
      </c>
      <c r="S122" s="53">
        <v>124</v>
      </c>
      <c r="T122" s="16">
        <f t="shared" si="4"/>
        <v>27</v>
      </c>
      <c r="U122" s="53">
        <v>137</v>
      </c>
      <c r="V122" s="38">
        <f t="shared" si="6"/>
        <v>3699</v>
      </c>
      <c r="W122" s="53">
        <v>2</v>
      </c>
      <c r="X122" s="53" t="s">
        <v>46</v>
      </c>
      <c r="Y122" s="53" t="s">
        <v>78</v>
      </c>
      <c r="Z122" s="53" t="s">
        <v>50</v>
      </c>
      <c r="AA122" s="53" t="s">
        <v>69</v>
      </c>
      <c r="AB122" s="53" t="s">
        <v>158</v>
      </c>
      <c r="AC122" s="76"/>
      <c r="AD122" s="76"/>
      <c r="AE122" s="76"/>
      <c r="AF122" s="76"/>
      <c r="AG122" s="76"/>
      <c r="AH122" s="76"/>
    </row>
    <row r="123" spans="1:34" x14ac:dyDescent="0.15">
      <c r="A123" s="53" t="s">
        <v>41</v>
      </c>
      <c r="B123" s="53" t="s">
        <v>157</v>
      </c>
      <c r="C123" s="62">
        <v>2019</v>
      </c>
      <c r="D123" s="63" t="s">
        <v>188</v>
      </c>
      <c r="E123" s="53" t="s">
        <v>211</v>
      </c>
      <c r="F123" s="53" t="s">
        <v>212</v>
      </c>
      <c r="G123" s="53" t="s">
        <v>42</v>
      </c>
      <c r="H123" s="53" t="s">
        <v>164</v>
      </c>
      <c r="I123" s="53" t="s">
        <v>159</v>
      </c>
      <c r="J123" s="53" t="s">
        <v>38</v>
      </c>
      <c r="K123" s="53" t="s">
        <v>161</v>
      </c>
      <c r="L123" s="53">
        <v>2</v>
      </c>
      <c r="N123" s="53">
        <v>1</v>
      </c>
      <c r="O123" s="53">
        <v>0.8</v>
      </c>
      <c r="P123" s="53">
        <v>0.9</v>
      </c>
      <c r="Q123" s="16">
        <f t="shared" si="7"/>
        <v>0.85000000000000009</v>
      </c>
      <c r="R123" s="53">
        <v>11.5</v>
      </c>
      <c r="S123" s="53">
        <v>126</v>
      </c>
      <c r="T123" s="16">
        <f t="shared" si="4"/>
        <v>27</v>
      </c>
      <c r="U123" s="53">
        <v>137</v>
      </c>
      <c r="V123" s="38">
        <f t="shared" si="6"/>
        <v>3699</v>
      </c>
      <c r="W123" s="53">
        <v>2</v>
      </c>
      <c r="X123" s="53" t="s">
        <v>46</v>
      </c>
      <c r="Y123" s="53" t="s">
        <v>78</v>
      </c>
      <c r="Z123" s="53" t="s">
        <v>50</v>
      </c>
      <c r="AA123" s="53" t="s">
        <v>69</v>
      </c>
      <c r="AB123" s="53" t="s">
        <v>158</v>
      </c>
      <c r="AC123" s="76"/>
      <c r="AD123" s="76"/>
      <c r="AE123" s="76"/>
      <c r="AF123" s="76"/>
      <c r="AG123" s="76"/>
      <c r="AH123" s="76"/>
    </row>
    <row r="124" spans="1:34" x14ac:dyDescent="0.15">
      <c r="A124" s="53" t="s">
        <v>41</v>
      </c>
      <c r="B124" s="53" t="s">
        <v>157</v>
      </c>
      <c r="C124" s="62">
        <v>2019</v>
      </c>
      <c r="D124" s="63" t="s">
        <v>188</v>
      </c>
      <c r="E124" s="53" t="s">
        <v>211</v>
      </c>
      <c r="F124" s="53" t="s">
        <v>212</v>
      </c>
      <c r="G124" s="53" t="s">
        <v>42</v>
      </c>
      <c r="H124" s="53" t="s">
        <v>164</v>
      </c>
      <c r="I124" s="53" t="s">
        <v>159</v>
      </c>
      <c r="J124" s="53" t="s">
        <v>38</v>
      </c>
      <c r="K124" s="53" t="s">
        <v>161</v>
      </c>
      <c r="L124" s="53">
        <v>3</v>
      </c>
      <c r="N124" s="53">
        <v>1</v>
      </c>
      <c r="O124" s="53">
        <v>0.9</v>
      </c>
      <c r="P124" s="53">
        <v>0.8</v>
      </c>
      <c r="Q124" s="16">
        <f t="shared" si="7"/>
        <v>0.85000000000000009</v>
      </c>
      <c r="R124" s="53">
        <v>12.3</v>
      </c>
      <c r="S124" s="53">
        <v>129</v>
      </c>
      <c r="T124" s="38">
        <f t="shared" si="4"/>
        <v>25</v>
      </c>
      <c r="U124" s="53">
        <v>137</v>
      </c>
      <c r="V124" s="38">
        <f t="shared" si="6"/>
        <v>3425</v>
      </c>
      <c r="W124" s="53">
        <v>2</v>
      </c>
      <c r="X124" s="53" t="s">
        <v>46</v>
      </c>
      <c r="Y124" s="53" t="s">
        <v>78</v>
      </c>
      <c r="Z124" s="53" t="s">
        <v>50</v>
      </c>
      <c r="AA124" s="53" t="s">
        <v>69</v>
      </c>
      <c r="AB124" s="53" t="s">
        <v>158</v>
      </c>
      <c r="AC124" s="76"/>
      <c r="AD124" s="76"/>
      <c r="AE124" s="76"/>
      <c r="AF124" s="76"/>
      <c r="AG124" s="76"/>
      <c r="AH124" s="76"/>
    </row>
    <row r="125" spans="1:34" x14ac:dyDescent="0.15">
      <c r="A125" s="53" t="s">
        <v>41</v>
      </c>
      <c r="B125" s="53" t="s">
        <v>157</v>
      </c>
      <c r="C125" s="62">
        <v>2019</v>
      </c>
      <c r="D125" s="63" t="s">
        <v>188</v>
      </c>
      <c r="E125" s="53" t="s">
        <v>211</v>
      </c>
      <c r="F125" s="53" t="s">
        <v>212</v>
      </c>
      <c r="G125" s="53" t="s">
        <v>42</v>
      </c>
      <c r="H125" s="53" t="s">
        <v>164</v>
      </c>
      <c r="I125" s="53" t="s">
        <v>159</v>
      </c>
      <c r="J125" s="53" t="s">
        <v>38</v>
      </c>
      <c r="K125" s="53" t="s">
        <v>161</v>
      </c>
      <c r="L125" s="53">
        <v>1</v>
      </c>
      <c r="N125" s="53">
        <v>4</v>
      </c>
      <c r="O125" s="53">
        <v>1.1000000000000001</v>
      </c>
      <c r="P125" s="53">
        <v>1.05</v>
      </c>
      <c r="Q125" s="16">
        <f t="shared" si="7"/>
        <v>1.0750000000000002</v>
      </c>
      <c r="R125" s="53">
        <v>13</v>
      </c>
      <c r="S125" s="53">
        <v>118</v>
      </c>
      <c r="T125" s="38">
        <f t="shared" si="4"/>
        <v>30</v>
      </c>
      <c r="U125" s="53">
        <v>407</v>
      </c>
      <c r="V125" s="38">
        <f t="shared" si="6"/>
        <v>3052.5</v>
      </c>
      <c r="W125" s="53">
        <v>2</v>
      </c>
      <c r="X125" s="53" t="s">
        <v>46</v>
      </c>
      <c r="Y125" s="53" t="s">
        <v>78</v>
      </c>
      <c r="Z125" s="53" t="s">
        <v>50</v>
      </c>
      <c r="AA125" s="53" t="s">
        <v>69</v>
      </c>
      <c r="AB125" s="53" t="s">
        <v>158</v>
      </c>
    </row>
    <row r="126" spans="1:34" x14ac:dyDescent="0.15">
      <c r="A126" s="53" t="s">
        <v>41</v>
      </c>
      <c r="B126" s="53" t="s">
        <v>157</v>
      </c>
      <c r="C126" s="62">
        <v>2019</v>
      </c>
      <c r="D126" s="63" t="s">
        <v>188</v>
      </c>
      <c r="E126" s="53" t="s">
        <v>211</v>
      </c>
      <c r="F126" s="53" t="s">
        <v>212</v>
      </c>
      <c r="G126" s="53" t="s">
        <v>42</v>
      </c>
      <c r="H126" s="53" t="s">
        <v>164</v>
      </c>
      <c r="I126" s="53" t="s">
        <v>159</v>
      </c>
      <c r="J126" s="53" t="s">
        <v>38</v>
      </c>
      <c r="K126" s="53" t="s">
        <v>161</v>
      </c>
      <c r="L126" s="53">
        <v>2</v>
      </c>
      <c r="N126" s="53">
        <v>4</v>
      </c>
      <c r="O126" s="53">
        <v>1</v>
      </c>
      <c r="P126" s="53">
        <v>1.2</v>
      </c>
      <c r="Q126" s="16">
        <f t="shared" si="7"/>
        <v>1.1000000000000001</v>
      </c>
      <c r="R126" s="53">
        <v>14.1</v>
      </c>
      <c r="S126" s="53">
        <v>115</v>
      </c>
      <c r="T126" s="38">
        <f t="shared" si="4"/>
        <v>30</v>
      </c>
      <c r="U126" s="53">
        <v>407</v>
      </c>
      <c r="V126" s="38">
        <f t="shared" si="6"/>
        <v>3052.5</v>
      </c>
      <c r="W126" s="53">
        <v>2</v>
      </c>
      <c r="X126" s="53" t="s">
        <v>46</v>
      </c>
      <c r="Y126" s="53" t="s">
        <v>78</v>
      </c>
      <c r="Z126" s="53" t="s">
        <v>50</v>
      </c>
      <c r="AA126" s="53" t="s">
        <v>69</v>
      </c>
      <c r="AB126" s="53" t="s">
        <v>158</v>
      </c>
    </row>
    <row r="127" spans="1:34" x14ac:dyDescent="0.15">
      <c r="A127" s="53" t="s">
        <v>41</v>
      </c>
      <c r="B127" s="53" t="s">
        <v>157</v>
      </c>
      <c r="C127" s="62">
        <v>2019</v>
      </c>
      <c r="D127" s="63" t="s">
        <v>188</v>
      </c>
      <c r="E127" s="53" t="s">
        <v>211</v>
      </c>
      <c r="F127" s="53" t="s">
        <v>212</v>
      </c>
      <c r="G127" s="53" t="s">
        <v>42</v>
      </c>
      <c r="H127" s="53" t="s">
        <v>164</v>
      </c>
      <c r="I127" s="53" t="s">
        <v>159</v>
      </c>
      <c r="J127" s="53" t="s">
        <v>38</v>
      </c>
      <c r="K127" s="53" t="s">
        <v>161</v>
      </c>
      <c r="L127" s="53">
        <v>3</v>
      </c>
      <c r="N127" s="53">
        <v>4</v>
      </c>
      <c r="O127" s="53">
        <v>1.2</v>
      </c>
      <c r="P127" s="53">
        <v>1.1499999999999999</v>
      </c>
      <c r="Q127" s="16">
        <f t="shared" si="7"/>
        <v>1.1749999999999998</v>
      </c>
      <c r="R127" s="53">
        <v>14</v>
      </c>
      <c r="S127" s="53">
        <v>113</v>
      </c>
      <c r="T127" s="38">
        <f t="shared" si="4"/>
        <v>30</v>
      </c>
      <c r="U127" s="53">
        <v>407</v>
      </c>
      <c r="V127" s="38">
        <f t="shared" si="6"/>
        <v>3052.5</v>
      </c>
      <c r="W127" s="53">
        <v>2</v>
      </c>
      <c r="X127" s="53" t="s">
        <v>46</v>
      </c>
      <c r="Y127" s="53" t="s">
        <v>78</v>
      </c>
      <c r="Z127" s="53" t="s">
        <v>50</v>
      </c>
      <c r="AA127" s="53" t="s">
        <v>69</v>
      </c>
      <c r="AB127" s="53" t="s">
        <v>158</v>
      </c>
    </row>
    <row r="128" spans="1:34" x14ac:dyDescent="0.15">
      <c r="C128" s="62"/>
      <c r="D128" s="63"/>
      <c r="T128" s="38"/>
      <c r="V128" s="38"/>
    </row>
    <row r="129" spans="3:22" x14ac:dyDescent="0.15">
      <c r="C129" s="62"/>
      <c r="D129" s="63"/>
      <c r="T129" s="38"/>
      <c r="V129" s="38"/>
    </row>
    <row r="130" spans="3:22" x14ac:dyDescent="0.15">
      <c r="C130" s="62"/>
      <c r="D130" s="63"/>
      <c r="T130" s="38"/>
      <c r="V130" s="38"/>
    </row>
    <row r="131" spans="3:22" x14ac:dyDescent="0.15">
      <c r="Q131" s="75"/>
    </row>
    <row r="132" spans="3:22" x14ac:dyDescent="0.15">
      <c r="Q132" s="75"/>
    </row>
    <row r="133" spans="3:22" x14ac:dyDescent="0.15">
      <c r="Q133" s="75"/>
    </row>
    <row r="134" spans="3:22" x14ac:dyDescent="0.15">
      <c r="Q134" s="75" t="str">
        <f t="shared" ref="Q134:Q197" si="8">IF(OR(O134="",P134=""),"",AVERAGE(O134,P134))</f>
        <v/>
      </c>
      <c r="T134" s="16" t="str">
        <f t="shared" ref="T134:T197" si="9">IF(H134="","",IF(OR(H134="GREEN",H134="GK"),IF(S134&gt;=$AX$2,VLOOKUP(S134,$AX$2:$AY$10,2,1),""),IF(S134&gt;=$AZ$2,VLOOKUP(S134,$AZ$2:$BA$10,2,1),"")))</f>
        <v/>
      </c>
      <c r="V134" s="16" t="str">
        <f t="shared" ref="V134:V197" si="10">IF(OR(N134="",U134="",T134=""),"",U134/N134*T134)</f>
        <v/>
      </c>
    </row>
    <row r="135" spans="3:22" x14ac:dyDescent="0.15">
      <c r="Q135" s="75" t="str">
        <f t="shared" si="8"/>
        <v/>
      </c>
      <c r="T135" s="16" t="str">
        <f t="shared" si="9"/>
        <v/>
      </c>
      <c r="V135" s="16" t="str">
        <f t="shared" si="10"/>
        <v/>
      </c>
    </row>
    <row r="136" spans="3:22" x14ac:dyDescent="0.15">
      <c r="Q136" s="75" t="str">
        <f t="shared" si="8"/>
        <v/>
      </c>
      <c r="T136" s="16" t="str">
        <f t="shared" si="9"/>
        <v/>
      </c>
      <c r="V136" s="16" t="str">
        <f t="shared" si="10"/>
        <v/>
      </c>
    </row>
    <row r="137" spans="3:22" x14ac:dyDescent="0.15">
      <c r="Q137" s="75" t="str">
        <f t="shared" si="8"/>
        <v/>
      </c>
      <c r="T137" s="16" t="str">
        <f t="shared" si="9"/>
        <v/>
      </c>
      <c r="V137" s="16" t="str">
        <f t="shared" si="10"/>
        <v/>
      </c>
    </row>
    <row r="138" spans="3:22" x14ac:dyDescent="0.15">
      <c r="Q138" s="75" t="str">
        <f t="shared" si="8"/>
        <v/>
      </c>
      <c r="T138" s="16" t="str">
        <f t="shared" si="9"/>
        <v/>
      </c>
      <c r="V138" s="16" t="str">
        <f t="shared" si="10"/>
        <v/>
      </c>
    </row>
    <row r="139" spans="3:22" x14ac:dyDescent="0.15">
      <c r="Q139" s="75" t="str">
        <f t="shared" si="8"/>
        <v/>
      </c>
      <c r="T139" s="16" t="str">
        <f t="shared" si="9"/>
        <v/>
      </c>
      <c r="V139" s="16" t="str">
        <f t="shared" si="10"/>
        <v/>
      </c>
    </row>
    <row r="140" spans="3:22" x14ac:dyDescent="0.15">
      <c r="Q140" s="75" t="str">
        <f t="shared" si="8"/>
        <v/>
      </c>
      <c r="T140" s="16" t="str">
        <f t="shared" si="9"/>
        <v/>
      </c>
      <c r="V140" s="16" t="str">
        <f t="shared" si="10"/>
        <v/>
      </c>
    </row>
    <row r="141" spans="3:22" x14ac:dyDescent="0.15">
      <c r="Q141" s="75" t="str">
        <f t="shared" si="8"/>
        <v/>
      </c>
      <c r="T141" s="16" t="str">
        <f t="shared" si="9"/>
        <v/>
      </c>
      <c r="V141" s="16" t="str">
        <f t="shared" si="10"/>
        <v/>
      </c>
    </row>
    <row r="142" spans="3:22" x14ac:dyDescent="0.15">
      <c r="Q142" s="75" t="str">
        <f t="shared" si="8"/>
        <v/>
      </c>
      <c r="T142" s="16" t="str">
        <f t="shared" si="9"/>
        <v/>
      </c>
      <c r="V142" s="16" t="str">
        <f t="shared" si="10"/>
        <v/>
      </c>
    </row>
    <row r="143" spans="3:22" x14ac:dyDescent="0.15">
      <c r="Q143" s="75" t="str">
        <f t="shared" si="8"/>
        <v/>
      </c>
      <c r="T143" s="16" t="str">
        <f t="shared" si="9"/>
        <v/>
      </c>
      <c r="V143" s="16" t="str">
        <f t="shared" si="10"/>
        <v/>
      </c>
    </row>
    <row r="144" spans="3:22" x14ac:dyDescent="0.15">
      <c r="Q144" s="75" t="str">
        <f t="shared" si="8"/>
        <v/>
      </c>
      <c r="T144" s="16" t="str">
        <f t="shared" si="9"/>
        <v/>
      </c>
      <c r="V144" s="16" t="str">
        <f t="shared" si="10"/>
        <v/>
      </c>
    </row>
    <row r="145" spans="17:22" x14ac:dyDescent="0.15">
      <c r="Q145" s="75" t="str">
        <f t="shared" si="8"/>
        <v/>
      </c>
      <c r="T145" s="16" t="str">
        <f t="shared" si="9"/>
        <v/>
      </c>
      <c r="V145" s="16" t="str">
        <f t="shared" si="10"/>
        <v/>
      </c>
    </row>
    <row r="146" spans="17:22" x14ac:dyDescent="0.15">
      <c r="Q146" s="75" t="str">
        <f t="shared" si="8"/>
        <v/>
      </c>
      <c r="T146" s="16" t="str">
        <f t="shared" si="9"/>
        <v/>
      </c>
      <c r="V146" s="16" t="str">
        <f t="shared" si="10"/>
        <v/>
      </c>
    </row>
    <row r="147" spans="17:22" x14ac:dyDescent="0.15">
      <c r="Q147" s="75" t="str">
        <f t="shared" si="8"/>
        <v/>
      </c>
      <c r="T147" s="16" t="str">
        <f t="shared" si="9"/>
        <v/>
      </c>
      <c r="V147" s="16" t="str">
        <f t="shared" si="10"/>
        <v/>
      </c>
    </row>
    <row r="148" spans="17:22" x14ac:dyDescent="0.15">
      <c r="Q148" s="75" t="str">
        <f t="shared" si="8"/>
        <v/>
      </c>
      <c r="T148" s="16" t="str">
        <f t="shared" si="9"/>
        <v/>
      </c>
      <c r="V148" s="16" t="str">
        <f t="shared" si="10"/>
        <v/>
      </c>
    </row>
    <row r="149" spans="17:22" x14ac:dyDescent="0.15">
      <c r="Q149" s="75" t="str">
        <f t="shared" si="8"/>
        <v/>
      </c>
      <c r="T149" s="16" t="str">
        <f t="shared" si="9"/>
        <v/>
      </c>
      <c r="V149" s="16" t="str">
        <f t="shared" si="10"/>
        <v/>
      </c>
    </row>
    <row r="150" spans="17:22" x14ac:dyDescent="0.15">
      <c r="Q150" s="75" t="str">
        <f t="shared" si="8"/>
        <v/>
      </c>
      <c r="T150" s="16" t="str">
        <f t="shared" si="9"/>
        <v/>
      </c>
      <c r="V150" s="16" t="str">
        <f t="shared" si="10"/>
        <v/>
      </c>
    </row>
    <row r="151" spans="17:22" x14ac:dyDescent="0.15">
      <c r="Q151" s="75" t="str">
        <f t="shared" si="8"/>
        <v/>
      </c>
      <c r="T151" s="16" t="str">
        <f t="shared" si="9"/>
        <v/>
      </c>
      <c r="V151" s="16" t="str">
        <f t="shared" si="10"/>
        <v/>
      </c>
    </row>
    <row r="152" spans="17:22" x14ac:dyDescent="0.15">
      <c r="Q152" s="75" t="str">
        <f t="shared" si="8"/>
        <v/>
      </c>
      <c r="T152" s="16" t="str">
        <f t="shared" si="9"/>
        <v/>
      </c>
      <c r="V152" s="16" t="str">
        <f t="shared" si="10"/>
        <v/>
      </c>
    </row>
    <row r="153" spans="17:22" x14ac:dyDescent="0.15">
      <c r="Q153" s="75" t="str">
        <f t="shared" si="8"/>
        <v/>
      </c>
      <c r="T153" s="16" t="str">
        <f t="shared" si="9"/>
        <v/>
      </c>
      <c r="V153" s="16" t="str">
        <f t="shared" si="10"/>
        <v/>
      </c>
    </row>
    <row r="154" spans="17:22" x14ac:dyDescent="0.15">
      <c r="Q154" s="75" t="str">
        <f t="shared" si="8"/>
        <v/>
      </c>
      <c r="T154" s="16" t="str">
        <f t="shared" si="9"/>
        <v/>
      </c>
      <c r="V154" s="16" t="str">
        <f t="shared" si="10"/>
        <v/>
      </c>
    </row>
    <row r="155" spans="17:22" x14ac:dyDescent="0.15">
      <c r="Q155" s="75" t="str">
        <f t="shared" si="8"/>
        <v/>
      </c>
      <c r="T155" s="16" t="str">
        <f t="shared" si="9"/>
        <v/>
      </c>
      <c r="V155" s="16" t="str">
        <f t="shared" si="10"/>
        <v/>
      </c>
    </row>
    <row r="156" spans="17:22" x14ac:dyDescent="0.15">
      <c r="Q156" s="75" t="str">
        <f t="shared" si="8"/>
        <v/>
      </c>
      <c r="T156" s="16" t="str">
        <f t="shared" si="9"/>
        <v/>
      </c>
      <c r="V156" s="16" t="str">
        <f t="shared" si="10"/>
        <v/>
      </c>
    </row>
    <row r="157" spans="17:22" x14ac:dyDescent="0.15">
      <c r="Q157" s="75" t="str">
        <f t="shared" si="8"/>
        <v/>
      </c>
      <c r="T157" s="16" t="str">
        <f t="shared" si="9"/>
        <v/>
      </c>
      <c r="V157" s="16" t="str">
        <f t="shared" si="10"/>
        <v/>
      </c>
    </row>
    <row r="158" spans="17:22" x14ac:dyDescent="0.15">
      <c r="Q158" s="75" t="str">
        <f t="shared" si="8"/>
        <v/>
      </c>
      <c r="T158" s="16" t="str">
        <f t="shared" si="9"/>
        <v/>
      </c>
      <c r="V158" s="16" t="str">
        <f t="shared" si="10"/>
        <v/>
      </c>
    </row>
    <row r="159" spans="17:22" x14ac:dyDescent="0.15">
      <c r="Q159" s="75" t="str">
        <f t="shared" si="8"/>
        <v/>
      </c>
      <c r="T159" s="16" t="str">
        <f t="shared" si="9"/>
        <v/>
      </c>
      <c r="V159" s="16" t="str">
        <f t="shared" si="10"/>
        <v/>
      </c>
    </row>
    <row r="160" spans="17:22" x14ac:dyDescent="0.15">
      <c r="Q160" s="75" t="str">
        <f t="shared" si="8"/>
        <v/>
      </c>
      <c r="T160" s="16" t="str">
        <f t="shared" si="9"/>
        <v/>
      </c>
      <c r="V160" s="16" t="str">
        <f t="shared" si="10"/>
        <v/>
      </c>
    </row>
    <row r="161" spans="17:22" x14ac:dyDescent="0.15">
      <c r="Q161" s="75" t="str">
        <f t="shared" si="8"/>
        <v/>
      </c>
      <c r="T161" s="16" t="str">
        <f t="shared" si="9"/>
        <v/>
      </c>
      <c r="V161" s="16" t="str">
        <f t="shared" si="10"/>
        <v/>
      </c>
    </row>
    <row r="162" spans="17:22" x14ac:dyDescent="0.15">
      <c r="Q162" s="75" t="str">
        <f t="shared" si="8"/>
        <v/>
      </c>
      <c r="T162" s="16" t="str">
        <f t="shared" si="9"/>
        <v/>
      </c>
      <c r="V162" s="16" t="str">
        <f t="shared" si="10"/>
        <v/>
      </c>
    </row>
    <row r="163" spans="17:22" x14ac:dyDescent="0.15">
      <c r="Q163" s="75" t="str">
        <f t="shared" si="8"/>
        <v/>
      </c>
      <c r="T163" s="16" t="str">
        <f t="shared" si="9"/>
        <v/>
      </c>
      <c r="V163" s="16" t="str">
        <f t="shared" si="10"/>
        <v/>
      </c>
    </row>
    <row r="164" spans="17:22" x14ac:dyDescent="0.15">
      <c r="Q164" s="75" t="str">
        <f t="shared" si="8"/>
        <v/>
      </c>
      <c r="T164" s="16" t="str">
        <f t="shared" si="9"/>
        <v/>
      </c>
      <c r="V164" s="16" t="str">
        <f t="shared" si="10"/>
        <v/>
      </c>
    </row>
    <row r="165" spans="17:22" x14ac:dyDescent="0.15">
      <c r="Q165" s="75" t="str">
        <f t="shared" si="8"/>
        <v/>
      </c>
      <c r="T165" s="16" t="str">
        <f t="shared" si="9"/>
        <v/>
      </c>
      <c r="V165" s="16" t="str">
        <f t="shared" si="10"/>
        <v/>
      </c>
    </row>
    <row r="166" spans="17:22" x14ac:dyDescent="0.15">
      <c r="Q166" s="75" t="str">
        <f t="shared" si="8"/>
        <v/>
      </c>
      <c r="T166" s="16" t="str">
        <f t="shared" si="9"/>
        <v/>
      </c>
      <c r="V166" s="16" t="str">
        <f t="shared" si="10"/>
        <v/>
      </c>
    </row>
    <row r="167" spans="17:22" x14ac:dyDescent="0.15">
      <c r="Q167" s="75" t="str">
        <f t="shared" si="8"/>
        <v/>
      </c>
      <c r="T167" s="16" t="str">
        <f t="shared" si="9"/>
        <v/>
      </c>
      <c r="V167" s="16" t="str">
        <f t="shared" si="10"/>
        <v/>
      </c>
    </row>
    <row r="168" spans="17:22" x14ac:dyDescent="0.15">
      <c r="Q168" s="75" t="str">
        <f t="shared" si="8"/>
        <v/>
      </c>
      <c r="T168" s="16" t="str">
        <f t="shared" si="9"/>
        <v/>
      </c>
      <c r="V168" s="16" t="str">
        <f t="shared" si="10"/>
        <v/>
      </c>
    </row>
    <row r="169" spans="17:22" x14ac:dyDescent="0.15">
      <c r="Q169" s="75" t="str">
        <f t="shared" si="8"/>
        <v/>
      </c>
      <c r="T169" s="16" t="str">
        <f t="shared" si="9"/>
        <v/>
      </c>
      <c r="V169" s="16" t="str">
        <f t="shared" si="10"/>
        <v/>
      </c>
    </row>
    <row r="170" spans="17:22" x14ac:dyDescent="0.15">
      <c r="Q170" s="75" t="str">
        <f t="shared" si="8"/>
        <v/>
      </c>
      <c r="T170" s="16" t="str">
        <f t="shared" si="9"/>
        <v/>
      </c>
      <c r="V170" s="16" t="str">
        <f t="shared" si="10"/>
        <v/>
      </c>
    </row>
    <row r="171" spans="17:22" x14ac:dyDescent="0.15">
      <c r="Q171" s="75" t="str">
        <f t="shared" si="8"/>
        <v/>
      </c>
      <c r="T171" s="16" t="str">
        <f t="shared" si="9"/>
        <v/>
      </c>
      <c r="V171" s="16" t="str">
        <f t="shared" si="10"/>
        <v/>
      </c>
    </row>
    <row r="172" spans="17:22" x14ac:dyDescent="0.15">
      <c r="Q172" s="75" t="str">
        <f t="shared" si="8"/>
        <v/>
      </c>
      <c r="T172" s="16" t="str">
        <f t="shared" si="9"/>
        <v/>
      </c>
      <c r="V172" s="16" t="str">
        <f t="shared" si="10"/>
        <v/>
      </c>
    </row>
    <row r="173" spans="17:22" x14ac:dyDescent="0.15">
      <c r="Q173" s="75" t="str">
        <f t="shared" si="8"/>
        <v/>
      </c>
      <c r="T173" s="16" t="str">
        <f t="shared" si="9"/>
        <v/>
      </c>
      <c r="V173" s="16" t="str">
        <f t="shared" si="10"/>
        <v/>
      </c>
    </row>
    <row r="174" spans="17:22" x14ac:dyDescent="0.15">
      <c r="Q174" s="75" t="str">
        <f t="shared" si="8"/>
        <v/>
      </c>
      <c r="T174" s="16" t="str">
        <f t="shared" si="9"/>
        <v/>
      </c>
      <c r="V174" s="16" t="str">
        <f t="shared" si="10"/>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si="8"/>
        <v/>
      </c>
      <c r="T181" s="16" t="str">
        <f t="shared" si="9"/>
        <v/>
      </c>
      <c r="V181" s="16" t="str">
        <f t="shared" si="10"/>
        <v/>
      </c>
    </row>
    <row r="182" spans="17:22" x14ac:dyDescent="0.15">
      <c r="Q182" s="75" t="str">
        <f t="shared" si="8"/>
        <v/>
      </c>
      <c r="T182" s="16" t="str">
        <f t="shared" si="9"/>
        <v/>
      </c>
      <c r="V182" s="16" t="str">
        <f t="shared" si="10"/>
        <v/>
      </c>
    </row>
    <row r="183" spans="17:22" x14ac:dyDescent="0.15">
      <c r="Q183" s="75" t="str">
        <f t="shared" si="8"/>
        <v/>
      </c>
      <c r="T183" s="16" t="str">
        <f t="shared" si="9"/>
        <v/>
      </c>
      <c r="V183" s="16" t="str">
        <f t="shared" si="10"/>
        <v/>
      </c>
    </row>
    <row r="184" spans="17:22" x14ac:dyDescent="0.15">
      <c r="Q184" s="75" t="str">
        <f t="shared" si="8"/>
        <v/>
      </c>
      <c r="T184" s="16" t="str">
        <f t="shared" si="9"/>
        <v/>
      </c>
      <c r="V184" s="16" t="str">
        <f t="shared" si="10"/>
        <v/>
      </c>
    </row>
    <row r="185" spans="17:22" x14ac:dyDescent="0.15">
      <c r="Q185" s="75" t="str">
        <f t="shared" si="8"/>
        <v/>
      </c>
      <c r="T185" s="16" t="str">
        <f t="shared" si="9"/>
        <v/>
      </c>
      <c r="V185" s="16" t="str">
        <f t="shared" si="10"/>
        <v/>
      </c>
    </row>
    <row r="186" spans="17:22" x14ac:dyDescent="0.15">
      <c r="Q186" s="75" t="str">
        <f t="shared" si="8"/>
        <v/>
      </c>
      <c r="T186" s="16" t="str">
        <f t="shared" si="9"/>
        <v/>
      </c>
      <c r="V186" s="16" t="str">
        <f t="shared" si="10"/>
        <v/>
      </c>
    </row>
    <row r="187" spans="17:22" x14ac:dyDescent="0.15">
      <c r="Q187" s="75" t="str">
        <f t="shared" si="8"/>
        <v/>
      </c>
      <c r="T187" s="16" t="str">
        <f t="shared" si="9"/>
        <v/>
      </c>
      <c r="V187" s="16" t="str">
        <f t="shared" si="10"/>
        <v/>
      </c>
    </row>
    <row r="188" spans="17:22" x14ac:dyDescent="0.15">
      <c r="Q188" s="75" t="str">
        <f t="shared" si="8"/>
        <v/>
      </c>
      <c r="T188" s="16" t="str">
        <f t="shared" si="9"/>
        <v/>
      </c>
      <c r="V188" s="16" t="str">
        <f t="shared" si="10"/>
        <v/>
      </c>
    </row>
    <row r="189" spans="17:22" x14ac:dyDescent="0.15">
      <c r="Q189" s="75" t="str">
        <f t="shared" si="8"/>
        <v/>
      </c>
      <c r="T189" s="16" t="str">
        <f t="shared" si="9"/>
        <v/>
      </c>
      <c r="V189" s="16" t="str">
        <f t="shared" si="10"/>
        <v/>
      </c>
    </row>
    <row r="190" spans="17:22" x14ac:dyDescent="0.15">
      <c r="Q190" s="75" t="str">
        <f t="shared" si="8"/>
        <v/>
      </c>
      <c r="T190" s="16" t="str">
        <f t="shared" si="9"/>
        <v/>
      </c>
      <c r="V190" s="16" t="str">
        <f t="shared" si="10"/>
        <v/>
      </c>
    </row>
    <row r="191" spans="17:22" x14ac:dyDescent="0.15">
      <c r="Q191" s="75" t="str">
        <f t="shared" si="8"/>
        <v/>
      </c>
      <c r="T191" s="16" t="str">
        <f t="shared" si="9"/>
        <v/>
      </c>
      <c r="V191" s="16" t="str">
        <f t="shared" si="10"/>
        <v/>
      </c>
    </row>
    <row r="192" spans="17:22" x14ac:dyDescent="0.15">
      <c r="Q192" s="75" t="str">
        <f t="shared" si="8"/>
        <v/>
      </c>
      <c r="T192" s="16" t="str">
        <f t="shared" si="9"/>
        <v/>
      </c>
      <c r="V192" s="16" t="str">
        <f t="shared" si="10"/>
        <v/>
      </c>
    </row>
    <row r="193" spans="17:22" x14ac:dyDescent="0.15">
      <c r="Q193" s="75" t="str">
        <f t="shared" si="8"/>
        <v/>
      </c>
      <c r="T193" s="16" t="str">
        <f t="shared" si="9"/>
        <v/>
      </c>
      <c r="V193" s="16" t="str">
        <f t="shared" si="10"/>
        <v/>
      </c>
    </row>
    <row r="194" spans="17:22" x14ac:dyDescent="0.15">
      <c r="Q194" s="75" t="str">
        <f t="shared" si="8"/>
        <v/>
      </c>
      <c r="T194" s="16" t="str">
        <f t="shared" si="9"/>
        <v/>
      </c>
      <c r="V194" s="16" t="str">
        <f t="shared" si="10"/>
        <v/>
      </c>
    </row>
    <row r="195" spans="17:22" x14ac:dyDescent="0.15">
      <c r="Q195" s="75" t="str">
        <f t="shared" si="8"/>
        <v/>
      </c>
      <c r="T195" s="16" t="str">
        <f t="shared" si="9"/>
        <v/>
      </c>
      <c r="V195" s="16" t="str">
        <f t="shared" si="10"/>
        <v/>
      </c>
    </row>
    <row r="196" spans="17:22" x14ac:dyDescent="0.15">
      <c r="Q196" s="75" t="str">
        <f t="shared" si="8"/>
        <v/>
      </c>
      <c r="T196" s="16" t="str">
        <f t="shared" si="9"/>
        <v/>
      </c>
      <c r="V196" s="16" t="str">
        <f t="shared" si="10"/>
        <v/>
      </c>
    </row>
    <row r="197" spans="17:22" x14ac:dyDescent="0.15">
      <c r="Q197" s="75" t="str">
        <f t="shared" si="8"/>
        <v/>
      </c>
      <c r="T197" s="16" t="str">
        <f t="shared" si="9"/>
        <v/>
      </c>
      <c r="V197" s="16" t="str">
        <f t="shared" si="10"/>
        <v/>
      </c>
    </row>
    <row r="198" spans="17:22" x14ac:dyDescent="0.15">
      <c r="Q198" s="75" t="str">
        <f t="shared" ref="Q198:Q261" si="11">IF(OR(O198="",P198=""),"",AVERAGE(O198,P198))</f>
        <v/>
      </c>
      <c r="T198" s="16" t="str">
        <f t="shared" ref="T198:T261" si="12">IF(H198="","",IF(OR(H198="GREEN",H198="GK"),IF(S198&gt;=$AX$2,VLOOKUP(S198,$AX$2:$AY$10,2,1),""),IF(S198&gt;=$AZ$2,VLOOKUP(S198,$AZ$2:$BA$10,2,1),"")))</f>
        <v/>
      </c>
      <c r="V198" s="16" t="str">
        <f t="shared" ref="V198:V261" si="13">IF(OR(N198="",U198="",T198=""),"",U198/N198*T198)</f>
        <v/>
      </c>
    </row>
    <row r="199" spans="17:22" x14ac:dyDescent="0.15">
      <c r="Q199" s="75" t="str">
        <f t="shared" si="11"/>
        <v/>
      </c>
      <c r="T199" s="16" t="str">
        <f t="shared" si="12"/>
        <v/>
      </c>
      <c r="V199" s="16" t="str">
        <f t="shared" si="13"/>
        <v/>
      </c>
    </row>
    <row r="200" spans="17:22" x14ac:dyDescent="0.15">
      <c r="Q200" s="75" t="str">
        <f t="shared" si="11"/>
        <v/>
      </c>
      <c r="T200" s="16" t="str">
        <f t="shared" si="12"/>
        <v/>
      </c>
      <c r="V200" s="16" t="str">
        <f t="shared" si="13"/>
        <v/>
      </c>
    </row>
    <row r="201" spans="17:22" x14ac:dyDescent="0.15">
      <c r="Q201" s="75" t="str">
        <f t="shared" si="11"/>
        <v/>
      </c>
      <c r="T201" s="16" t="str">
        <f t="shared" si="12"/>
        <v/>
      </c>
      <c r="V201" s="16" t="str">
        <f t="shared" si="13"/>
        <v/>
      </c>
    </row>
    <row r="202" spans="17:22" x14ac:dyDescent="0.15">
      <c r="Q202" s="75" t="str">
        <f t="shared" si="11"/>
        <v/>
      </c>
      <c r="T202" s="16" t="str">
        <f t="shared" si="12"/>
        <v/>
      </c>
      <c r="V202" s="16" t="str">
        <f t="shared" si="13"/>
        <v/>
      </c>
    </row>
    <row r="203" spans="17:22" x14ac:dyDescent="0.15">
      <c r="Q203" s="75" t="str">
        <f t="shared" si="11"/>
        <v/>
      </c>
      <c r="T203" s="16" t="str">
        <f t="shared" si="12"/>
        <v/>
      </c>
      <c r="V203" s="16" t="str">
        <f t="shared" si="13"/>
        <v/>
      </c>
    </row>
    <row r="204" spans="17:22" x14ac:dyDescent="0.15">
      <c r="Q204" s="75" t="str">
        <f t="shared" si="11"/>
        <v/>
      </c>
      <c r="T204" s="16" t="str">
        <f t="shared" si="12"/>
        <v/>
      </c>
      <c r="V204" s="16" t="str">
        <f t="shared" si="13"/>
        <v/>
      </c>
    </row>
    <row r="205" spans="17:22" x14ac:dyDescent="0.15">
      <c r="Q205" s="75" t="str">
        <f t="shared" si="11"/>
        <v/>
      </c>
      <c r="T205" s="16" t="str">
        <f t="shared" si="12"/>
        <v/>
      </c>
      <c r="V205" s="16" t="str">
        <f t="shared" si="13"/>
        <v/>
      </c>
    </row>
    <row r="206" spans="17:22" x14ac:dyDescent="0.15">
      <c r="Q206" s="75" t="str">
        <f t="shared" si="11"/>
        <v/>
      </c>
      <c r="T206" s="16" t="str">
        <f t="shared" si="12"/>
        <v/>
      </c>
      <c r="V206" s="16" t="str">
        <f t="shared" si="13"/>
        <v/>
      </c>
    </row>
    <row r="207" spans="17:22" x14ac:dyDescent="0.15">
      <c r="Q207" s="75" t="str">
        <f t="shared" si="11"/>
        <v/>
      </c>
      <c r="T207" s="16" t="str">
        <f t="shared" si="12"/>
        <v/>
      </c>
      <c r="V207" s="16" t="str">
        <f t="shared" si="13"/>
        <v/>
      </c>
    </row>
    <row r="208" spans="17:22" x14ac:dyDescent="0.15">
      <c r="Q208" s="75" t="str">
        <f t="shared" si="11"/>
        <v/>
      </c>
      <c r="T208" s="16" t="str">
        <f t="shared" si="12"/>
        <v/>
      </c>
      <c r="V208" s="16" t="str">
        <f t="shared" si="13"/>
        <v/>
      </c>
    </row>
    <row r="209" spans="17:22" x14ac:dyDescent="0.15">
      <c r="Q209" s="75" t="str">
        <f t="shared" si="11"/>
        <v/>
      </c>
      <c r="T209" s="16" t="str">
        <f t="shared" si="12"/>
        <v/>
      </c>
      <c r="V209" s="16" t="str">
        <f t="shared" si="13"/>
        <v/>
      </c>
    </row>
    <row r="210" spans="17:22" x14ac:dyDescent="0.15">
      <c r="Q210" s="75" t="str">
        <f t="shared" si="11"/>
        <v/>
      </c>
      <c r="T210" s="16" t="str">
        <f t="shared" si="12"/>
        <v/>
      </c>
      <c r="V210" s="16" t="str">
        <f t="shared" si="13"/>
        <v/>
      </c>
    </row>
    <row r="211" spans="17:22" x14ac:dyDescent="0.15">
      <c r="Q211" s="75" t="str">
        <f t="shared" si="11"/>
        <v/>
      </c>
      <c r="T211" s="16" t="str">
        <f t="shared" si="12"/>
        <v/>
      </c>
      <c r="V211" s="16" t="str">
        <f t="shared" si="13"/>
        <v/>
      </c>
    </row>
    <row r="212" spans="17:22" x14ac:dyDescent="0.15">
      <c r="Q212" s="75" t="str">
        <f t="shared" si="11"/>
        <v/>
      </c>
      <c r="T212" s="16" t="str">
        <f t="shared" si="12"/>
        <v/>
      </c>
      <c r="V212" s="16" t="str">
        <f t="shared" si="13"/>
        <v/>
      </c>
    </row>
    <row r="213" spans="17:22" x14ac:dyDescent="0.15">
      <c r="Q213" s="75" t="str">
        <f t="shared" si="11"/>
        <v/>
      </c>
      <c r="T213" s="16" t="str">
        <f t="shared" si="12"/>
        <v/>
      </c>
      <c r="V213" s="16" t="str">
        <f t="shared" si="13"/>
        <v/>
      </c>
    </row>
    <row r="214" spans="17:22" x14ac:dyDescent="0.15">
      <c r="Q214" s="75" t="str">
        <f t="shared" si="11"/>
        <v/>
      </c>
      <c r="T214" s="16" t="str">
        <f t="shared" si="12"/>
        <v/>
      </c>
      <c r="V214" s="16" t="str">
        <f t="shared" si="13"/>
        <v/>
      </c>
    </row>
    <row r="215" spans="17:22" x14ac:dyDescent="0.15">
      <c r="Q215" s="75" t="str">
        <f t="shared" si="11"/>
        <v/>
      </c>
      <c r="T215" s="16" t="str">
        <f t="shared" si="12"/>
        <v/>
      </c>
      <c r="V215" s="16" t="str">
        <f t="shared" si="13"/>
        <v/>
      </c>
    </row>
    <row r="216" spans="17:22" x14ac:dyDescent="0.15">
      <c r="Q216" s="75" t="str">
        <f t="shared" si="11"/>
        <v/>
      </c>
      <c r="T216" s="16" t="str">
        <f t="shared" si="12"/>
        <v/>
      </c>
      <c r="V216" s="16" t="str">
        <f t="shared" si="13"/>
        <v/>
      </c>
    </row>
    <row r="217" spans="17:22" x14ac:dyDescent="0.15">
      <c r="Q217" s="75" t="str">
        <f t="shared" si="11"/>
        <v/>
      </c>
      <c r="T217" s="16" t="str">
        <f t="shared" si="12"/>
        <v/>
      </c>
      <c r="V217" s="16" t="str">
        <f t="shared" si="13"/>
        <v/>
      </c>
    </row>
    <row r="218" spans="17:22" x14ac:dyDescent="0.15">
      <c r="Q218" s="75" t="str">
        <f t="shared" si="11"/>
        <v/>
      </c>
      <c r="T218" s="16" t="str">
        <f t="shared" si="12"/>
        <v/>
      </c>
      <c r="V218" s="16" t="str">
        <f t="shared" si="13"/>
        <v/>
      </c>
    </row>
    <row r="219" spans="17:22" x14ac:dyDescent="0.15">
      <c r="Q219" s="75" t="str">
        <f t="shared" si="11"/>
        <v/>
      </c>
      <c r="T219" s="16" t="str">
        <f t="shared" si="12"/>
        <v/>
      </c>
      <c r="V219" s="16" t="str">
        <f t="shared" si="13"/>
        <v/>
      </c>
    </row>
    <row r="220" spans="17:22" x14ac:dyDescent="0.15">
      <c r="Q220" s="75" t="str">
        <f t="shared" si="11"/>
        <v/>
      </c>
      <c r="T220" s="16" t="str">
        <f t="shared" si="12"/>
        <v/>
      </c>
      <c r="V220" s="16" t="str">
        <f t="shared" si="13"/>
        <v/>
      </c>
    </row>
    <row r="221" spans="17:22" x14ac:dyDescent="0.15">
      <c r="Q221" s="75" t="str">
        <f t="shared" si="11"/>
        <v/>
      </c>
      <c r="T221" s="16" t="str">
        <f t="shared" si="12"/>
        <v/>
      </c>
      <c r="V221" s="16" t="str">
        <f t="shared" si="13"/>
        <v/>
      </c>
    </row>
    <row r="222" spans="17:22" x14ac:dyDescent="0.15">
      <c r="Q222" s="75" t="str">
        <f t="shared" si="11"/>
        <v/>
      </c>
      <c r="T222" s="16" t="str">
        <f t="shared" si="12"/>
        <v/>
      </c>
      <c r="V222" s="16" t="str">
        <f t="shared" si="13"/>
        <v/>
      </c>
    </row>
    <row r="223" spans="17:22" x14ac:dyDescent="0.15">
      <c r="Q223" s="75" t="str">
        <f t="shared" si="11"/>
        <v/>
      </c>
      <c r="T223" s="16" t="str">
        <f t="shared" si="12"/>
        <v/>
      </c>
      <c r="V223" s="16" t="str">
        <f t="shared" si="13"/>
        <v/>
      </c>
    </row>
    <row r="224" spans="17:22" x14ac:dyDescent="0.15">
      <c r="Q224" s="75" t="str">
        <f t="shared" si="11"/>
        <v/>
      </c>
      <c r="T224" s="16" t="str">
        <f t="shared" si="12"/>
        <v/>
      </c>
      <c r="V224" s="16" t="str">
        <f t="shared" si="13"/>
        <v/>
      </c>
    </row>
    <row r="225" spans="17:22" x14ac:dyDescent="0.15">
      <c r="Q225" s="75" t="str">
        <f t="shared" si="11"/>
        <v/>
      </c>
      <c r="T225" s="16" t="str">
        <f t="shared" si="12"/>
        <v/>
      </c>
      <c r="V225" s="16" t="str">
        <f t="shared" si="13"/>
        <v/>
      </c>
    </row>
    <row r="226" spans="17:22" x14ac:dyDescent="0.15">
      <c r="Q226" s="75" t="str">
        <f t="shared" si="11"/>
        <v/>
      </c>
      <c r="T226" s="16" t="str">
        <f t="shared" si="12"/>
        <v/>
      </c>
      <c r="V226" s="16" t="str">
        <f t="shared" si="13"/>
        <v/>
      </c>
    </row>
    <row r="227" spans="17:22" x14ac:dyDescent="0.15">
      <c r="Q227" s="75" t="str">
        <f t="shared" si="11"/>
        <v/>
      </c>
      <c r="T227" s="16" t="str">
        <f t="shared" si="12"/>
        <v/>
      </c>
      <c r="V227" s="16" t="str">
        <f t="shared" si="13"/>
        <v/>
      </c>
    </row>
    <row r="228" spans="17:22" x14ac:dyDescent="0.15">
      <c r="Q228" s="75" t="str">
        <f t="shared" si="11"/>
        <v/>
      </c>
      <c r="T228" s="16" t="str">
        <f t="shared" si="12"/>
        <v/>
      </c>
      <c r="V228" s="16" t="str">
        <f t="shared" si="13"/>
        <v/>
      </c>
    </row>
    <row r="229" spans="17:22" x14ac:dyDescent="0.15">
      <c r="Q229" s="75" t="str">
        <f t="shared" si="11"/>
        <v/>
      </c>
      <c r="T229" s="16" t="str">
        <f t="shared" si="12"/>
        <v/>
      </c>
      <c r="V229" s="16" t="str">
        <f t="shared" si="13"/>
        <v/>
      </c>
    </row>
    <row r="230" spans="17:22" x14ac:dyDescent="0.15">
      <c r="Q230" s="75" t="str">
        <f t="shared" si="11"/>
        <v/>
      </c>
      <c r="T230" s="16" t="str">
        <f t="shared" si="12"/>
        <v/>
      </c>
      <c r="V230" s="16" t="str">
        <f t="shared" si="13"/>
        <v/>
      </c>
    </row>
    <row r="231" spans="17:22" x14ac:dyDescent="0.15">
      <c r="Q231" s="75" t="str">
        <f t="shared" si="11"/>
        <v/>
      </c>
      <c r="T231" s="16" t="str">
        <f t="shared" si="12"/>
        <v/>
      </c>
      <c r="V231" s="16" t="str">
        <f t="shared" si="13"/>
        <v/>
      </c>
    </row>
    <row r="232" spans="17:22" x14ac:dyDescent="0.15">
      <c r="Q232" s="75" t="str">
        <f t="shared" si="11"/>
        <v/>
      </c>
      <c r="T232" s="16" t="str">
        <f t="shared" si="12"/>
        <v/>
      </c>
      <c r="V232" s="16" t="str">
        <f t="shared" si="13"/>
        <v/>
      </c>
    </row>
    <row r="233" spans="17:22" x14ac:dyDescent="0.15">
      <c r="Q233" s="75" t="str">
        <f t="shared" si="11"/>
        <v/>
      </c>
      <c r="T233" s="16" t="str">
        <f t="shared" si="12"/>
        <v/>
      </c>
      <c r="V233" s="16" t="str">
        <f t="shared" si="13"/>
        <v/>
      </c>
    </row>
    <row r="234" spans="17:22" x14ac:dyDescent="0.15">
      <c r="Q234" s="75" t="str">
        <f t="shared" si="11"/>
        <v/>
      </c>
      <c r="T234" s="16" t="str">
        <f t="shared" si="12"/>
        <v/>
      </c>
      <c r="V234" s="16" t="str">
        <f t="shared" si="13"/>
        <v/>
      </c>
    </row>
    <row r="235" spans="17:22" x14ac:dyDescent="0.15">
      <c r="Q235" s="75" t="str">
        <f t="shared" si="11"/>
        <v/>
      </c>
      <c r="T235" s="16" t="str">
        <f t="shared" si="12"/>
        <v/>
      </c>
      <c r="V235" s="16" t="str">
        <f t="shared" si="13"/>
        <v/>
      </c>
    </row>
    <row r="236" spans="17:22" x14ac:dyDescent="0.15">
      <c r="Q236" s="75" t="str">
        <f t="shared" si="11"/>
        <v/>
      </c>
      <c r="T236" s="16" t="str">
        <f t="shared" si="12"/>
        <v/>
      </c>
      <c r="V236" s="16" t="str">
        <f t="shared" si="13"/>
        <v/>
      </c>
    </row>
    <row r="237" spans="17:22" x14ac:dyDescent="0.15">
      <c r="Q237" s="75" t="str">
        <f t="shared" si="11"/>
        <v/>
      </c>
      <c r="T237" s="16" t="str">
        <f t="shared" si="12"/>
        <v/>
      </c>
      <c r="V237" s="16" t="str">
        <f t="shared" si="13"/>
        <v/>
      </c>
    </row>
    <row r="238" spans="17:22" x14ac:dyDescent="0.15">
      <c r="Q238" s="75" t="str">
        <f t="shared" si="11"/>
        <v/>
      </c>
      <c r="T238" s="16" t="str">
        <f t="shared" si="12"/>
        <v/>
      </c>
      <c r="V238" s="16" t="str">
        <f t="shared" si="13"/>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si="11"/>
        <v/>
      </c>
      <c r="T245" s="16" t="str">
        <f t="shared" si="12"/>
        <v/>
      </c>
      <c r="V245" s="16" t="str">
        <f t="shared" si="13"/>
        <v/>
      </c>
    </row>
    <row r="246" spans="17:22" x14ac:dyDescent="0.15">
      <c r="Q246" s="75" t="str">
        <f t="shared" si="11"/>
        <v/>
      </c>
      <c r="T246" s="16" t="str">
        <f t="shared" si="12"/>
        <v/>
      </c>
      <c r="V246" s="16" t="str">
        <f t="shared" si="13"/>
        <v/>
      </c>
    </row>
    <row r="247" spans="17:22" x14ac:dyDescent="0.15">
      <c r="Q247" s="75" t="str">
        <f t="shared" si="11"/>
        <v/>
      </c>
      <c r="T247" s="16" t="str">
        <f t="shared" si="12"/>
        <v/>
      </c>
      <c r="V247" s="16" t="str">
        <f t="shared" si="13"/>
        <v/>
      </c>
    </row>
    <row r="248" spans="17:22" x14ac:dyDescent="0.15">
      <c r="Q248" s="75" t="str">
        <f t="shared" si="11"/>
        <v/>
      </c>
      <c r="T248" s="16" t="str">
        <f t="shared" si="12"/>
        <v/>
      </c>
      <c r="V248" s="16" t="str">
        <f t="shared" si="13"/>
        <v/>
      </c>
    </row>
    <row r="249" spans="17:22" x14ac:dyDescent="0.15">
      <c r="Q249" s="75" t="str">
        <f t="shared" si="11"/>
        <v/>
      </c>
      <c r="T249" s="16" t="str">
        <f t="shared" si="12"/>
        <v/>
      </c>
      <c r="V249" s="16" t="str">
        <f t="shared" si="13"/>
        <v/>
      </c>
    </row>
    <row r="250" spans="17:22" x14ac:dyDescent="0.15">
      <c r="Q250" s="75" t="str">
        <f t="shared" si="11"/>
        <v/>
      </c>
      <c r="T250" s="16" t="str">
        <f t="shared" si="12"/>
        <v/>
      </c>
      <c r="V250" s="16" t="str">
        <f t="shared" si="13"/>
        <v/>
      </c>
    </row>
    <row r="251" spans="17:22" x14ac:dyDescent="0.15">
      <c r="Q251" s="75" t="str">
        <f t="shared" si="11"/>
        <v/>
      </c>
      <c r="T251" s="16" t="str">
        <f t="shared" si="12"/>
        <v/>
      </c>
      <c r="V251" s="16" t="str">
        <f t="shared" si="13"/>
        <v/>
      </c>
    </row>
    <row r="252" spans="17:22" x14ac:dyDescent="0.15">
      <c r="Q252" s="75" t="str">
        <f t="shared" si="11"/>
        <v/>
      </c>
      <c r="T252" s="16" t="str">
        <f t="shared" si="12"/>
        <v/>
      </c>
      <c r="V252" s="16" t="str">
        <f t="shared" si="13"/>
        <v/>
      </c>
    </row>
    <row r="253" spans="17:22" x14ac:dyDescent="0.15">
      <c r="Q253" s="75" t="str">
        <f t="shared" si="11"/>
        <v/>
      </c>
      <c r="T253" s="16" t="str">
        <f t="shared" si="12"/>
        <v/>
      </c>
      <c r="V253" s="16" t="str">
        <f t="shared" si="13"/>
        <v/>
      </c>
    </row>
    <row r="254" spans="17:22" x14ac:dyDescent="0.15">
      <c r="Q254" s="75" t="str">
        <f t="shared" si="11"/>
        <v/>
      </c>
      <c r="T254" s="16" t="str">
        <f t="shared" si="12"/>
        <v/>
      </c>
      <c r="V254" s="16" t="str">
        <f t="shared" si="13"/>
        <v/>
      </c>
    </row>
    <row r="255" spans="17:22" x14ac:dyDescent="0.15">
      <c r="Q255" s="75" t="str">
        <f t="shared" si="11"/>
        <v/>
      </c>
      <c r="T255" s="16" t="str">
        <f t="shared" si="12"/>
        <v/>
      </c>
      <c r="V255" s="16" t="str">
        <f t="shared" si="13"/>
        <v/>
      </c>
    </row>
    <row r="256" spans="17:22" x14ac:dyDescent="0.15">
      <c r="Q256" s="75" t="str">
        <f t="shared" si="11"/>
        <v/>
      </c>
      <c r="T256" s="16" t="str">
        <f t="shared" si="12"/>
        <v/>
      </c>
      <c r="V256" s="16" t="str">
        <f t="shared" si="13"/>
        <v/>
      </c>
    </row>
    <row r="257" spans="17:22" x14ac:dyDescent="0.15">
      <c r="Q257" s="75" t="str">
        <f t="shared" si="11"/>
        <v/>
      </c>
      <c r="T257" s="16" t="str">
        <f t="shared" si="12"/>
        <v/>
      </c>
      <c r="V257" s="16" t="str">
        <f t="shared" si="13"/>
        <v/>
      </c>
    </row>
    <row r="258" spans="17:22" x14ac:dyDescent="0.15">
      <c r="Q258" s="75" t="str">
        <f t="shared" si="11"/>
        <v/>
      </c>
      <c r="T258" s="16" t="str">
        <f t="shared" si="12"/>
        <v/>
      </c>
      <c r="V258" s="16" t="str">
        <f t="shared" si="13"/>
        <v/>
      </c>
    </row>
    <row r="259" spans="17:22" x14ac:dyDescent="0.15">
      <c r="Q259" s="75" t="str">
        <f t="shared" si="11"/>
        <v/>
      </c>
      <c r="T259" s="16" t="str">
        <f t="shared" si="12"/>
        <v/>
      </c>
      <c r="V259" s="16" t="str">
        <f t="shared" si="13"/>
        <v/>
      </c>
    </row>
    <row r="260" spans="17:22" x14ac:dyDescent="0.15">
      <c r="Q260" s="75" t="str">
        <f t="shared" si="11"/>
        <v/>
      </c>
      <c r="T260" s="16" t="str">
        <f t="shared" si="12"/>
        <v/>
      </c>
      <c r="V260" s="16" t="str">
        <f t="shared" si="13"/>
        <v/>
      </c>
    </row>
    <row r="261" spans="17:22" x14ac:dyDescent="0.15">
      <c r="Q261" s="75" t="str">
        <f t="shared" si="11"/>
        <v/>
      </c>
      <c r="T261" s="16" t="str">
        <f t="shared" si="12"/>
        <v/>
      </c>
      <c r="V261" s="16" t="str">
        <f t="shared" si="13"/>
        <v/>
      </c>
    </row>
    <row r="262" spans="17:22" x14ac:dyDescent="0.15">
      <c r="Q262" s="75" t="str">
        <f t="shared" ref="Q262:Q325" si="14">IF(OR(O262="",P262=""),"",AVERAGE(O262,P262))</f>
        <v/>
      </c>
      <c r="T262" s="16" t="str">
        <f t="shared" ref="T262:T325" si="15">IF(H262="","",IF(OR(H262="GREEN",H262="GK"),IF(S262&gt;=$AX$2,VLOOKUP(S262,$AX$2:$AY$10,2,1),""),IF(S262&gt;=$AZ$2,VLOOKUP(S262,$AZ$2:$BA$10,2,1),"")))</f>
        <v/>
      </c>
      <c r="V262" s="16" t="str">
        <f t="shared" ref="V262:V325" si="16">IF(OR(N262="",U262="",T262=""),"",U262/N262*T262)</f>
        <v/>
      </c>
    </row>
    <row r="263" spans="17:22" x14ac:dyDescent="0.15">
      <c r="Q263" s="75" t="str">
        <f t="shared" si="14"/>
        <v/>
      </c>
      <c r="T263" s="16" t="str">
        <f t="shared" si="15"/>
        <v/>
      </c>
      <c r="V263" s="16" t="str">
        <f t="shared" si="16"/>
        <v/>
      </c>
    </row>
    <row r="264" spans="17:22" x14ac:dyDescent="0.15">
      <c r="Q264" s="75" t="str">
        <f t="shared" si="14"/>
        <v/>
      </c>
      <c r="T264" s="16" t="str">
        <f t="shared" si="15"/>
        <v/>
      </c>
      <c r="V264" s="16" t="str">
        <f t="shared" si="16"/>
        <v/>
      </c>
    </row>
    <row r="265" spans="17:22" x14ac:dyDescent="0.15">
      <c r="Q265" s="75" t="str">
        <f t="shared" si="14"/>
        <v/>
      </c>
      <c r="T265" s="16" t="str">
        <f t="shared" si="15"/>
        <v/>
      </c>
      <c r="V265" s="16" t="str">
        <f t="shared" si="16"/>
        <v/>
      </c>
    </row>
    <row r="266" spans="17:22" x14ac:dyDescent="0.15">
      <c r="Q266" s="75" t="str">
        <f t="shared" si="14"/>
        <v/>
      </c>
      <c r="T266" s="16" t="str">
        <f t="shared" si="15"/>
        <v/>
      </c>
      <c r="V266" s="16" t="str">
        <f t="shared" si="16"/>
        <v/>
      </c>
    </row>
    <row r="267" spans="17:22" x14ac:dyDescent="0.15">
      <c r="Q267" s="75" t="str">
        <f t="shared" si="14"/>
        <v/>
      </c>
      <c r="T267" s="16" t="str">
        <f t="shared" si="15"/>
        <v/>
      </c>
      <c r="V267" s="16" t="str">
        <f t="shared" si="16"/>
        <v/>
      </c>
    </row>
    <row r="268" spans="17:22" x14ac:dyDescent="0.15">
      <c r="Q268" s="75" t="str">
        <f t="shared" si="14"/>
        <v/>
      </c>
      <c r="T268" s="16" t="str">
        <f t="shared" si="15"/>
        <v/>
      </c>
      <c r="V268" s="16" t="str">
        <f t="shared" si="16"/>
        <v/>
      </c>
    </row>
    <row r="269" spans="17:22" x14ac:dyDescent="0.15">
      <c r="Q269" s="75" t="str">
        <f t="shared" si="14"/>
        <v/>
      </c>
      <c r="T269" s="16" t="str">
        <f t="shared" si="15"/>
        <v/>
      </c>
      <c r="V269" s="16" t="str">
        <f t="shared" si="16"/>
        <v/>
      </c>
    </row>
    <row r="270" spans="17:22" x14ac:dyDescent="0.15">
      <c r="Q270" s="75" t="str">
        <f t="shared" si="14"/>
        <v/>
      </c>
      <c r="T270" s="16" t="str">
        <f t="shared" si="15"/>
        <v/>
      </c>
      <c r="V270" s="16" t="str">
        <f t="shared" si="16"/>
        <v/>
      </c>
    </row>
    <row r="271" spans="17:22" x14ac:dyDescent="0.15">
      <c r="Q271" s="75" t="str">
        <f t="shared" si="14"/>
        <v/>
      </c>
      <c r="T271" s="16" t="str">
        <f t="shared" si="15"/>
        <v/>
      </c>
      <c r="V271" s="16" t="str">
        <f t="shared" si="16"/>
        <v/>
      </c>
    </row>
    <row r="272" spans="17:22" x14ac:dyDescent="0.15">
      <c r="Q272" s="75" t="str">
        <f t="shared" si="14"/>
        <v/>
      </c>
      <c r="T272" s="16" t="str">
        <f t="shared" si="15"/>
        <v/>
      </c>
      <c r="V272" s="16" t="str">
        <f t="shared" si="16"/>
        <v/>
      </c>
    </row>
    <row r="273" spans="17:22" x14ac:dyDescent="0.15">
      <c r="Q273" s="75" t="str">
        <f t="shared" si="14"/>
        <v/>
      </c>
      <c r="T273" s="16" t="str">
        <f t="shared" si="15"/>
        <v/>
      </c>
      <c r="V273" s="16" t="str">
        <f t="shared" si="16"/>
        <v/>
      </c>
    </row>
    <row r="274" spans="17:22" x14ac:dyDescent="0.15">
      <c r="Q274" s="75" t="str">
        <f t="shared" si="14"/>
        <v/>
      </c>
      <c r="T274" s="16" t="str">
        <f t="shared" si="15"/>
        <v/>
      </c>
      <c r="V274" s="16" t="str">
        <f t="shared" si="16"/>
        <v/>
      </c>
    </row>
    <row r="275" spans="17:22" x14ac:dyDescent="0.15">
      <c r="Q275" s="75" t="str">
        <f t="shared" si="14"/>
        <v/>
      </c>
      <c r="T275" s="16" t="str">
        <f t="shared" si="15"/>
        <v/>
      </c>
      <c r="V275" s="16" t="str">
        <f t="shared" si="16"/>
        <v/>
      </c>
    </row>
    <row r="276" spans="17:22" x14ac:dyDescent="0.15">
      <c r="Q276" s="75" t="str">
        <f t="shared" si="14"/>
        <v/>
      </c>
      <c r="T276" s="16" t="str">
        <f t="shared" si="15"/>
        <v/>
      </c>
      <c r="V276" s="16" t="str">
        <f t="shared" si="16"/>
        <v/>
      </c>
    </row>
    <row r="277" spans="17:22" x14ac:dyDescent="0.15">
      <c r="Q277" s="75" t="str">
        <f t="shared" si="14"/>
        <v/>
      </c>
      <c r="T277" s="16" t="str">
        <f t="shared" si="15"/>
        <v/>
      </c>
      <c r="V277" s="16" t="str">
        <f t="shared" si="16"/>
        <v/>
      </c>
    </row>
    <row r="278" spans="17:22" x14ac:dyDescent="0.15">
      <c r="Q278" s="75" t="str">
        <f t="shared" si="14"/>
        <v/>
      </c>
      <c r="T278" s="16" t="str">
        <f t="shared" si="15"/>
        <v/>
      </c>
      <c r="V278" s="16" t="str">
        <f t="shared" si="16"/>
        <v/>
      </c>
    </row>
    <row r="279" spans="17:22" x14ac:dyDescent="0.15">
      <c r="Q279" s="75" t="str">
        <f t="shared" si="14"/>
        <v/>
      </c>
      <c r="T279" s="16" t="str">
        <f t="shared" si="15"/>
        <v/>
      </c>
      <c r="V279" s="16" t="str">
        <f t="shared" si="16"/>
        <v/>
      </c>
    </row>
    <row r="280" spans="17:22" x14ac:dyDescent="0.15">
      <c r="Q280" s="75" t="str">
        <f t="shared" si="14"/>
        <v/>
      </c>
      <c r="T280" s="16" t="str">
        <f t="shared" si="15"/>
        <v/>
      </c>
      <c r="V280" s="16" t="str">
        <f t="shared" si="16"/>
        <v/>
      </c>
    </row>
    <row r="281" spans="17:22" x14ac:dyDescent="0.15">
      <c r="Q281" s="75" t="str">
        <f t="shared" si="14"/>
        <v/>
      </c>
      <c r="T281" s="16" t="str">
        <f t="shared" si="15"/>
        <v/>
      </c>
      <c r="V281" s="16" t="str">
        <f t="shared" si="16"/>
        <v/>
      </c>
    </row>
    <row r="282" spans="17:22" x14ac:dyDescent="0.15">
      <c r="Q282" s="75" t="str">
        <f t="shared" si="14"/>
        <v/>
      </c>
      <c r="T282" s="16" t="str">
        <f t="shared" si="15"/>
        <v/>
      </c>
      <c r="V282" s="16" t="str">
        <f t="shared" si="16"/>
        <v/>
      </c>
    </row>
    <row r="283" spans="17:22" x14ac:dyDescent="0.15">
      <c r="Q283" s="75" t="str">
        <f t="shared" si="14"/>
        <v/>
      </c>
      <c r="T283" s="16" t="str">
        <f t="shared" si="15"/>
        <v/>
      </c>
      <c r="V283" s="16" t="str">
        <f t="shared" si="16"/>
        <v/>
      </c>
    </row>
    <row r="284" spans="17:22" x14ac:dyDescent="0.15">
      <c r="Q284" s="75" t="str">
        <f t="shared" si="14"/>
        <v/>
      </c>
      <c r="T284" s="16" t="str">
        <f t="shared" si="15"/>
        <v/>
      </c>
      <c r="V284" s="16" t="str">
        <f t="shared" si="16"/>
        <v/>
      </c>
    </row>
    <row r="285" spans="17:22" x14ac:dyDescent="0.15">
      <c r="Q285" s="75" t="str">
        <f t="shared" si="14"/>
        <v/>
      </c>
      <c r="T285" s="16" t="str">
        <f t="shared" si="15"/>
        <v/>
      </c>
      <c r="V285" s="16" t="str">
        <f t="shared" si="16"/>
        <v/>
      </c>
    </row>
    <row r="286" spans="17:22" x14ac:dyDescent="0.15">
      <c r="Q286" s="75" t="str">
        <f t="shared" si="14"/>
        <v/>
      </c>
      <c r="T286" s="16" t="str">
        <f t="shared" si="15"/>
        <v/>
      </c>
      <c r="V286" s="16" t="str">
        <f t="shared" si="16"/>
        <v/>
      </c>
    </row>
    <row r="287" spans="17:22" x14ac:dyDescent="0.15">
      <c r="Q287" s="75" t="str">
        <f t="shared" si="14"/>
        <v/>
      </c>
      <c r="T287" s="16" t="str">
        <f t="shared" si="15"/>
        <v/>
      </c>
      <c r="V287" s="16" t="str">
        <f t="shared" si="16"/>
        <v/>
      </c>
    </row>
    <row r="288" spans="17:22" x14ac:dyDescent="0.15">
      <c r="Q288" s="75" t="str">
        <f t="shared" si="14"/>
        <v/>
      </c>
      <c r="T288" s="16" t="str">
        <f t="shared" si="15"/>
        <v/>
      </c>
      <c r="V288" s="16" t="str">
        <f t="shared" si="16"/>
        <v/>
      </c>
    </row>
    <row r="289" spans="17:22" x14ac:dyDescent="0.15">
      <c r="Q289" s="75" t="str">
        <f t="shared" si="14"/>
        <v/>
      </c>
      <c r="T289" s="16" t="str">
        <f t="shared" si="15"/>
        <v/>
      </c>
      <c r="V289" s="16" t="str">
        <f t="shared" si="16"/>
        <v/>
      </c>
    </row>
    <row r="290" spans="17:22" x14ac:dyDescent="0.15">
      <c r="Q290" s="75" t="str">
        <f t="shared" si="14"/>
        <v/>
      </c>
      <c r="T290" s="16" t="str">
        <f t="shared" si="15"/>
        <v/>
      </c>
      <c r="V290" s="16" t="str">
        <f t="shared" si="16"/>
        <v/>
      </c>
    </row>
    <row r="291" spans="17:22" x14ac:dyDescent="0.15">
      <c r="Q291" s="75" t="str">
        <f t="shared" si="14"/>
        <v/>
      </c>
      <c r="T291" s="16" t="str">
        <f t="shared" si="15"/>
        <v/>
      </c>
      <c r="V291" s="16" t="str">
        <f t="shared" si="16"/>
        <v/>
      </c>
    </row>
    <row r="292" spans="17:22" x14ac:dyDescent="0.15">
      <c r="Q292" s="75" t="str">
        <f t="shared" si="14"/>
        <v/>
      </c>
      <c r="T292" s="16" t="str">
        <f t="shared" si="15"/>
        <v/>
      </c>
      <c r="V292" s="16" t="str">
        <f t="shared" si="16"/>
        <v/>
      </c>
    </row>
    <row r="293" spans="17:22" x14ac:dyDescent="0.15">
      <c r="Q293" s="75" t="str">
        <f t="shared" si="14"/>
        <v/>
      </c>
      <c r="T293" s="16" t="str">
        <f t="shared" si="15"/>
        <v/>
      </c>
      <c r="V293" s="16" t="str">
        <f t="shared" si="16"/>
        <v/>
      </c>
    </row>
    <row r="294" spans="17:22" x14ac:dyDescent="0.15">
      <c r="Q294" s="75" t="str">
        <f t="shared" si="14"/>
        <v/>
      </c>
      <c r="T294" s="16" t="str">
        <f t="shared" si="15"/>
        <v/>
      </c>
      <c r="V294" s="16" t="str">
        <f t="shared" si="16"/>
        <v/>
      </c>
    </row>
    <row r="295" spans="17:22" x14ac:dyDescent="0.15">
      <c r="Q295" s="75" t="str">
        <f t="shared" si="14"/>
        <v/>
      </c>
      <c r="T295" s="16" t="str">
        <f t="shared" si="15"/>
        <v/>
      </c>
      <c r="V295" s="16" t="str">
        <f t="shared" si="16"/>
        <v/>
      </c>
    </row>
    <row r="296" spans="17:22" x14ac:dyDescent="0.15">
      <c r="Q296" s="75" t="str">
        <f t="shared" si="14"/>
        <v/>
      </c>
      <c r="T296" s="16" t="str">
        <f t="shared" si="15"/>
        <v/>
      </c>
      <c r="V296" s="16" t="str">
        <f t="shared" si="16"/>
        <v/>
      </c>
    </row>
    <row r="297" spans="17:22" x14ac:dyDescent="0.15">
      <c r="Q297" s="75" t="str">
        <f t="shared" si="14"/>
        <v/>
      </c>
      <c r="T297" s="16" t="str">
        <f t="shared" si="15"/>
        <v/>
      </c>
      <c r="V297" s="16" t="str">
        <f t="shared" si="16"/>
        <v/>
      </c>
    </row>
    <row r="298" spans="17:22" x14ac:dyDescent="0.15">
      <c r="Q298" s="75" t="str">
        <f t="shared" si="14"/>
        <v/>
      </c>
      <c r="T298" s="16" t="str">
        <f t="shared" si="15"/>
        <v/>
      </c>
      <c r="V298" s="16" t="str">
        <f t="shared" si="16"/>
        <v/>
      </c>
    </row>
    <row r="299" spans="17:22" x14ac:dyDescent="0.15">
      <c r="Q299" s="75" t="str">
        <f t="shared" si="14"/>
        <v/>
      </c>
      <c r="T299" s="16" t="str">
        <f t="shared" si="15"/>
        <v/>
      </c>
      <c r="V299" s="16" t="str">
        <f t="shared" si="16"/>
        <v/>
      </c>
    </row>
    <row r="300" spans="17:22" x14ac:dyDescent="0.15">
      <c r="Q300" s="75" t="str">
        <f t="shared" si="14"/>
        <v/>
      </c>
      <c r="T300" s="16" t="str">
        <f t="shared" si="15"/>
        <v/>
      </c>
      <c r="V300" s="16" t="str">
        <f t="shared" si="16"/>
        <v/>
      </c>
    </row>
    <row r="301" spans="17:22" x14ac:dyDescent="0.15">
      <c r="Q301" s="75" t="str">
        <f t="shared" si="14"/>
        <v/>
      </c>
      <c r="T301" s="16" t="str">
        <f t="shared" si="15"/>
        <v/>
      </c>
      <c r="V301" s="16" t="str">
        <f t="shared" si="16"/>
        <v/>
      </c>
    </row>
    <row r="302" spans="17:22" x14ac:dyDescent="0.15">
      <c r="Q302" s="75" t="str">
        <f t="shared" si="14"/>
        <v/>
      </c>
      <c r="T302" s="16" t="str">
        <f t="shared" si="15"/>
        <v/>
      </c>
      <c r="V302" s="16" t="str">
        <f t="shared" si="16"/>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si="14"/>
        <v/>
      </c>
      <c r="T309" s="16" t="str">
        <f t="shared" si="15"/>
        <v/>
      </c>
      <c r="V309" s="16" t="str">
        <f t="shared" si="16"/>
        <v/>
      </c>
    </row>
    <row r="310" spans="17:22" x14ac:dyDescent="0.15">
      <c r="Q310" s="75" t="str">
        <f t="shared" si="14"/>
        <v/>
      </c>
      <c r="T310" s="16" t="str">
        <f t="shared" si="15"/>
        <v/>
      </c>
      <c r="V310" s="16" t="str">
        <f t="shared" si="16"/>
        <v/>
      </c>
    </row>
    <row r="311" spans="17:22" x14ac:dyDescent="0.15">
      <c r="Q311" s="75" t="str">
        <f t="shared" si="14"/>
        <v/>
      </c>
      <c r="T311" s="16" t="str">
        <f t="shared" si="15"/>
        <v/>
      </c>
      <c r="V311" s="16" t="str">
        <f t="shared" si="16"/>
        <v/>
      </c>
    </row>
    <row r="312" spans="17:22" x14ac:dyDescent="0.15">
      <c r="Q312" s="75" t="str">
        <f t="shared" si="14"/>
        <v/>
      </c>
      <c r="T312" s="16" t="str">
        <f t="shared" si="15"/>
        <v/>
      </c>
      <c r="V312" s="16" t="str">
        <f t="shared" si="16"/>
        <v/>
      </c>
    </row>
    <row r="313" spans="17:22" x14ac:dyDescent="0.15">
      <c r="Q313" s="75" t="str">
        <f t="shared" si="14"/>
        <v/>
      </c>
      <c r="T313" s="16" t="str">
        <f t="shared" si="15"/>
        <v/>
      </c>
      <c r="V313" s="16" t="str">
        <f t="shared" si="16"/>
        <v/>
      </c>
    </row>
    <row r="314" spans="17:22" x14ac:dyDescent="0.15">
      <c r="Q314" s="75" t="str">
        <f t="shared" si="14"/>
        <v/>
      </c>
      <c r="T314" s="16" t="str">
        <f t="shared" si="15"/>
        <v/>
      </c>
      <c r="V314" s="16" t="str">
        <f t="shared" si="16"/>
        <v/>
      </c>
    </row>
    <row r="315" spans="17:22" x14ac:dyDescent="0.15">
      <c r="Q315" s="75" t="str">
        <f t="shared" si="14"/>
        <v/>
      </c>
      <c r="T315" s="16" t="str">
        <f t="shared" si="15"/>
        <v/>
      </c>
      <c r="V315" s="16" t="str">
        <f t="shared" si="16"/>
        <v/>
      </c>
    </row>
    <row r="316" spans="17:22" x14ac:dyDescent="0.15">
      <c r="Q316" s="75" t="str">
        <f t="shared" si="14"/>
        <v/>
      </c>
      <c r="T316" s="16" t="str">
        <f t="shared" si="15"/>
        <v/>
      </c>
      <c r="V316" s="16" t="str">
        <f t="shared" si="16"/>
        <v/>
      </c>
    </row>
    <row r="317" spans="17:22" x14ac:dyDescent="0.15">
      <c r="Q317" s="75" t="str">
        <f t="shared" si="14"/>
        <v/>
      </c>
      <c r="T317" s="16" t="str">
        <f t="shared" si="15"/>
        <v/>
      </c>
      <c r="V317" s="16" t="str">
        <f t="shared" si="16"/>
        <v/>
      </c>
    </row>
    <row r="318" spans="17:22" x14ac:dyDescent="0.15">
      <c r="Q318" s="75" t="str">
        <f t="shared" si="14"/>
        <v/>
      </c>
      <c r="T318" s="16" t="str">
        <f t="shared" si="15"/>
        <v/>
      </c>
      <c r="V318" s="16" t="str">
        <f t="shared" si="16"/>
        <v/>
      </c>
    </row>
    <row r="319" spans="17:22" x14ac:dyDescent="0.15">
      <c r="Q319" s="75" t="str">
        <f t="shared" si="14"/>
        <v/>
      </c>
      <c r="T319" s="16" t="str">
        <f t="shared" si="15"/>
        <v/>
      </c>
      <c r="V319" s="16" t="str">
        <f t="shared" si="16"/>
        <v/>
      </c>
    </row>
    <row r="320" spans="17:22" x14ac:dyDescent="0.15">
      <c r="Q320" s="75" t="str">
        <f t="shared" si="14"/>
        <v/>
      </c>
      <c r="T320" s="16" t="str">
        <f t="shared" si="15"/>
        <v/>
      </c>
      <c r="V320" s="16" t="str">
        <f t="shared" si="16"/>
        <v/>
      </c>
    </row>
    <row r="321" spans="17:22" x14ac:dyDescent="0.15">
      <c r="Q321" s="75" t="str">
        <f t="shared" si="14"/>
        <v/>
      </c>
      <c r="T321" s="16" t="str">
        <f t="shared" si="15"/>
        <v/>
      </c>
      <c r="V321" s="16" t="str">
        <f t="shared" si="16"/>
        <v/>
      </c>
    </row>
    <row r="322" spans="17:22" x14ac:dyDescent="0.15">
      <c r="Q322" s="75" t="str">
        <f t="shared" si="14"/>
        <v/>
      </c>
      <c r="T322" s="16" t="str">
        <f t="shared" si="15"/>
        <v/>
      </c>
      <c r="V322" s="16" t="str">
        <f t="shared" si="16"/>
        <v/>
      </c>
    </row>
    <row r="323" spans="17:22" x14ac:dyDescent="0.15">
      <c r="Q323" s="75" t="str">
        <f t="shared" si="14"/>
        <v/>
      </c>
      <c r="T323" s="16" t="str">
        <f t="shared" si="15"/>
        <v/>
      </c>
      <c r="V323" s="16" t="str">
        <f t="shared" si="16"/>
        <v/>
      </c>
    </row>
    <row r="324" spans="17:22" x14ac:dyDescent="0.15">
      <c r="Q324" s="75" t="str">
        <f t="shared" si="14"/>
        <v/>
      </c>
      <c r="T324" s="16" t="str">
        <f t="shared" si="15"/>
        <v/>
      </c>
      <c r="V324" s="16" t="str">
        <f t="shared" si="16"/>
        <v/>
      </c>
    </row>
    <row r="325" spans="17:22" x14ac:dyDescent="0.15">
      <c r="Q325" s="75" t="str">
        <f t="shared" si="14"/>
        <v/>
      </c>
      <c r="T325" s="16" t="str">
        <f t="shared" si="15"/>
        <v/>
      </c>
      <c r="V325" s="16" t="str">
        <f t="shared" si="16"/>
        <v/>
      </c>
    </row>
    <row r="326" spans="17:22" x14ac:dyDescent="0.15">
      <c r="Q326" s="75" t="str">
        <f t="shared" ref="Q326:Q384" si="17">IF(OR(O326="",P326=""),"",AVERAGE(O326,P326))</f>
        <v/>
      </c>
      <c r="T326" s="16" t="str">
        <f t="shared" ref="T326:T384" si="18">IF(H326="","",IF(OR(H326="GREEN",H326="GK"),IF(S326&gt;=$AX$2,VLOOKUP(S326,$AX$2:$AY$10,2,1),""),IF(S326&gt;=$AZ$2,VLOOKUP(S326,$AZ$2:$BA$10,2,1),"")))</f>
        <v/>
      </c>
      <c r="V326" s="16" t="str">
        <f t="shared" ref="V326:V389" si="19">IF(OR(N326="",U326="",T326=""),"",U326/N326*T326)</f>
        <v/>
      </c>
    </row>
    <row r="327" spans="17:22" x14ac:dyDescent="0.15">
      <c r="Q327" s="75" t="str">
        <f t="shared" si="17"/>
        <v/>
      </c>
      <c r="T327" s="16" t="str">
        <f t="shared" si="18"/>
        <v/>
      </c>
      <c r="V327" s="16" t="str">
        <f t="shared" si="19"/>
        <v/>
      </c>
    </row>
    <row r="328" spans="17:22" x14ac:dyDescent="0.15">
      <c r="Q328" s="75" t="str">
        <f t="shared" si="17"/>
        <v/>
      </c>
      <c r="T328" s="16" t="str">
        <f t="shared" si="18"/>
        <v/>
      </c>
      <c r="V328" s="16" t="str">
        <f t="shared" si="19"/>
        <v/>
      </c>
    </row>
    <row r="329" spans="17:22" x14ac:dyDescent="0.15">
      <c r="Q329" s="75" t="str">
        <f t="shared" si="17"/>
        <v/>
      </c>
      <c r="T329" s="16" t="str">
        <f t="shared" si="18"/>
        <v/>
      </c>
      <c r="V329" s="16" t="str">
        <f t="shared" si="19"/>
        <v/>
      </c>
    </row>
    <row r="330" spans="17:22" x14ac:dyDescent="0.15">
      <c r="Q330" s="75" t="str">
        <f t="shared" si="17"/>
        <v/>
      </c>
      <c r="T330" s="16" t="str">
        <f t="shared" si="18"/>
        <v/>
      </c>
      <c r="V330" s="16" t="str">
        <f t="shared" si="19"/>
        <v/>
      </c>
    </row>
    <row r="331" spans="17:22" x14ac:dyDescent="0.15">
      <c r="Q331" s="75" t="str">
        <f t="shared" si="17"/>
        <v/>
      </c>
      <c r="T331" s="16" t="str">
        <f t="shared" si="18"/>
        <v/>
      </c>
      <c r="V331" s="16" t="str">
        <f t="shared" si="19"/>
        <v/>
      </c>
    </row>
    <row r="332" spans="17:22" x14ac:dyDescent="0.15">
      <c r="Q332" s="75" t="str">
        <f t="shared" si="17"/>
        <v/>
      </c>
      <c r="T332" s="16" t="str">
        <f t="shared" si="18"/>
        <v/>
      </c>
      <c r="V332" s="16" t="str">
        <f t="shared" si="19"/>
        <v/>
      </c>
    </row>
    <row r="333" spans="17:22" x14ac:dyDescent="0.15">
      <c r="Q333" s="75" t="str">
        <f t="shared" si="17"/>
        <v/>
      </c>
      <c r="T333" s="16" t="str">
        <f t="shared" si="18"/>
        <v/>
      </c>
      <c r="V333" s="16" t="str">
        <f t="shared" si="19"/>
        <v/>
      </c>
    </row>
    <row r="334" spans="17:22" x14ac:dyDescent="0.15">
      <c r="Q334" s="75" t="str">
        <f t="shared" si="17"/>
        <v/>
      </c>
      <c r="T334" s="16" t="str">
        <f t="shared" si="18"/>
        <v/>
      </c>
      <c r="V334" s="16" t="str">
        <f t="shared" si="19"/>
        <v/>
      </c>
    </row>
    <row r="335" spans="17:22" x14ac:dyDescent="0.15">
      <c r="Q335" s="75" t="str">
        <f t="shared" si="17"/>
        <v/>
      </c>
      <c r="T335" s="16" t="str">
        <f t="shared" si="18"/>
        <v/>
      </c>
      <c r="V335" s="16" t="str">
        <f t="shared" si="19"/>
        <v/>
      </c>
    </row>
    <row r="336" spans="17:22" x14ac:dyDescent="0.15">
      <c r="T336" s="16" t="str">
        <f t="shared" si="18"/>
        <v/>
      </c>
      <c r="V336" s="16" t="str">
        <f t="shared" si="19"/>
        <v/>
      </c>
    </row>
    <row r="337" spans="20:22" x14ac:dyDescent="0.15">
      <c r="T337" s="16" t="str">
        <f t="shared" si="18"/>
        <v/>
      </c>
      <c r="V337" s="16" t="str">
        <f t="shared" si="19"/>
        <v/>
      </c>
    </row>
    <row r="338" spans="20:22" x14ac:dyDescent="0.15">
      <c r="T338" s="16" t="str">
        <f t="shared" si="18"/>
        <v/>
      </c>
      <c r="V338" s="16" t="str">
        <f t="shared" si="19"/>
        <v/>
      </c>
    </row>
    <row r="339" spans="20:22" x14ac:dyDescent="0.15">
      <c r="T339" s="16" t="str">
        <f t="shared" si="18"/>
        <v/>
      </c>
      <c r="V339" s="16" t="str">
        <f t="shared" si="19"/>
        <v/>
      </c>
    </row>
    <row r="340" spans="20:22" x14ac:dyDescent="0.15">
      <c r="T340" s="16" t="str">
        <f t="shared" si="18"/>
        <v/>
      </c>
      <c r="V340" s="16" t="str">
        <f t="shared" si="19"/>
        <v/>
      </c>
    </row>
    <row r="341" spans="20:22" x14ac:dyDescent="0.15">
      <c r="T341" s="16" t="str">
        <f t="shared" si="18"/>
        <v/>
      </c>
      <c r="V341" s="16" t="str">
        <f t="shared" si="19"/>
        <v/>
      </c>
    </row>
    <row r="342" spans="20:22" x14ac:dyDescent="0.15">
      <c r="T342" s="16" t="str">
        <f t="shared" si="18"/>
        <v/>
      </c>
      <c r="V342" s="16" t="str">
        <f t="shared" si="19"/>
        <v/>
      </c>
    </row>
    <row r="343" spans="20:22" x14ac:dyDescent="0.15">
      <c r="T343" s="16" t="str">
        <f t="shared" si="18"/>
        <v/>
      </c>
      <c r="V343" s="16" t="str">
        <f t="shared" si="19"/>
        <v/>
      </c>
    </row>
    <row r="344" spans="20:22" x14ac:dyDescent="0.15">
      <c r="T344" s="16" t="str">
        <f t="shared" si="18"/>
        <v/>
      </c>
    </row>
    <row r="345" spans="20:22" x14ac:dyDescent="0.15">
      <c r="T345" s="16" t="str">
        <f t="shared" si="18"/>
        <v/>
      </c>
    </row>
    <row r="346" spans="20:22" x14ac:dyDescent="0.15">
      <c r="T346" s="16" t="str">
        <f t="shared" si="18"/>
        <v/>
      </c>
    </row>
    <row r="347" spans="20:22" x14ac:dyDescent="0.15">
      <c r="T347" s="16" t="str">
        <f t="shared" si="18"/>
        <v/>
      </c>
    </row>
    <row r="348" spans="20:22" x14ac:dyDescent="0.15">
      <c r="T348" s="16" t="str">
        <f t="shared" si="18"/>
        <v/>
      </c>
    </row>
    <row r="349" spans="20:22" x14ac:dyDescent="0.15">
      <c r="T349" s="16" t="str">
        <f t="shared" si="18"/>
        <v/>
      </c>
    </row>
    <row r="350" spans="20:22" x14ac:dyDescent="0.15">
      <c r="T350" s="16" t="str">
        <f t="shared" si="18"/>
        <v/>
      </c>
    </row>
    <row r="351" spans="20:22" x14ac:dyDescent="0.15">
      <c r="T351" s="16" t="str">
        <f t="shared" si="18"/>
        <v/>
      </c>
    </row>
    <row r="352" spans="20:22" x14ac:dyDescent="0.15">
      <c r="T352" s="16" t="str">
        <f t="shared" si="18"/>
        <v/>
      </c>
    </row>
    <row r="353" spans="20:20" x14ac:dyDescent="0.15">
      <c r="T353" s="16" t="str">
        <f t="shared" si="18"/>
        <v/>
      </c>
    </row>
    <row r="354" spans="20:20" x14ac:dyDescent="0.15">
      <c r="T354" s="16" t="str">
        <f t="shared" si="18"/>
        <v/>
      </c>
    </row>
    <row r="355" spans="20:20" x14ac:dyDescent="0.15">
      <c r="T355" s="16" t="str">
        <f t="shared" si="18"/>
        <v/>
      </c>
    </row>
    <row r="356" spans="20:20" x14ac:dyDescent="0.15">
      <c r="T356" s="16" t="str">
        <f t="shared" si="18"/>
        <v/>
      </c>
    </row>
    <row r="357" spans="20:20" x14ac:dyDescent="0.15">
      <c r="T357" s="16" t="str">
        <f t="shared" si="18"/>
        <v/>
      </c>
    </row>
    <row r="358" spans="20:20" x14ac:dyDescent="0.15">
      <c r="T358" s="16" t="str">
        <f t="shared" si="18"/>
        <v/>
      </c>
    </row>
    <row r="359" spans="20:20" x14ac:dyDescent="0.15">
      <c r="T359" s="16" t="str">
        <f t="shared" si="18"/>
        <v/>
      </c>
    </row>
    <row r="360" spans="20:20" x14ac:dyDescent="0.15">
      <c r="T360" s="16" t="str">
        <f t="shared" si="18"/>
        <v/>
      </c>
    </row>
    <row r="361" spans="20:20" x14ac:dyDescent="0.15">
      <c r="T361" s="16" t="str">
        <f t="shared" si="18"/>
        <v/>
      </c>
    </row>
    <row r="362" spans="20:20" x14ac:dyDescent="0.15">
      <c r="T362" s="16" t="str">
        <f t="shared" si="18"/>
        <v/>
      </c>
    </row>
    <row r="363" spans="20:20" x14ac:dyDescent="0.15">
      <c r="T363" s="16" t="str">
        <f t="shared" si="18"/>
        <v/>
      </c>
    </row>
  </sheetData>
  <autoFilter ref="A1:BA363" xr:uid="{00000000-0009-0000-0000-000001000000}"/>
  <phoneticPr fontId="3"/>
  <dataValidations count="14">
    <dataValidation type="list" allowBlank="1" showInputMessage="1" showErrorMessage="1" sqref="X2:X319" xr:uid="{C62486C9-F1C1-4D04-8B99-37DBA2ACD80A}">
      <formula1>$AT$2:$AT$3</formula1>
    </dataValidation>
    <dataValidation type="decimal" allowBlank="1" showInputMessage="1" showErrorMessage="1" error="硬度を正しく入力して下さい。" sqref="O2:P319" xr:uid="{4257A091-DCF7-4738-A6D2-48D290D01574}">
      <formula1>0</formula1>
      <formula2>7</formula2>
    </dataValidation>
    <dataValidation type="list" allowBlank="1" showInputMessage="1" showErrorMessage="1" sqref="K2:K135" xr:uid="{D1259C88-A12C-4057-B35A-2EE4EDC9D063}">
      <formula1>$AR$2:$AR$23</formula1>
    </dataValidation>
    <dataValidation type="list" allowBlank="1" showInputMessage="1" showErrorMessage="1" sqref="H2:H319" xr:uid="{1AF0AD9A-D868-472D-89CC-0900013646F8}">
      <formula1>$AL$2:$AL$8</formula1>
    </dataValidation>
    <dataValidation type="list" allowBlank="1" showInputMessage="1" showErrorMessage="1" sqref="G2:G319" xr:uid="{C7286A56-7247-4EE9-9AFA-3DFD79680355}">
      <formula1>$AJ$2:$AJ$4</formula1>
    </dataValidation>
    <dataValidation type="list" allowBlank="1" showInputMessage="1" showErrorMessage="1" sqref="I2:I319" xr:uid="{034ADC00-BF9A-4F9E-9ABC-FD7877270B3A}">
      <formula1>$AN$5:$AN$6</formula1>
    </dataValidation>
    <dataValidation allowBlank="1" showInputMessage="1" showErrorMessage="1" sqref="B2:B130" xr:uid="{96C514FC-EF4A-4E8A-BF37-453B3D4418A5}"/>
    <dataValidation type="list" allowBlank="1" showInputMessage="1" showErrorMessage="1" sqref="E1:E65473" xr:uid="{6E92D357-73E6-43E4-AE9D-5E75797B0F90}">
      <formula1>$AG$2:$AG$11</formula1>
    </dataValidation>
    <dataValidation type="list" allowBlank="1" showInputMessage="1" showErrorMessage="1" sqref="J2:J319" xr:uid="{1876330C-1389-4877-BC42-A6AD6FAC4D18}">
      <formula1>$AP$2:$AP$19</formula1>
    </dataValidation>
    <dataValidation type="list" allowBlank="1" showInputMessage="1" showErrorMessage="1" sqref="F1:F65473" xr:uid="{A3496607-E5C6-47B8-A9BA-D0BE6766E31A}">
      <formula1>$AH$2:$AH$11</formula1>
    </dataValidation>
    <dataValidation type="list" allowBlank="1" showInputMessage="1" showErrorMessage="1" sqref="Y2:AA130" xr:uid="{D39B725C-3665-4284-9A3B-8E43FE674E56}">
      <formula1>$AV$2:$AV$23</formula1>
    </dataValidation>
    <dataValidation type="list" allowBlank="1" showInputMessage="1" showErrorMessage="1" sqref="A2:A319" xr:uid="{99988E4E-BE08-43E2-9253-CE10F0D3B9AB}">
      <formula1>$AE$2:$AE$16</formula1>
    </dataValidation>
    <dataValidation type="list" allowBlank="1" showInputMessage="1" showErrorMessage="1" sqref="Y131:AA319" xr:uid="{0187E33B-A45E-4EC1-98F4-81E8302F2836}">
      <formula1>$AV$2:$AV$16</formula1>
    </dataValidation>
    <dataValidation type="list" allowBlank="1" showInputMessage="1" showErrorMessage="1" sqref="K136:K319" xr:uid="{8510E4A6-0AD4-4FD0-98C9-9B94F8D4B5F1}">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6A9D-C0DE-4A69-9A95-F8902825A94E}">
  <dimension ref="A1:BA82"/>
  <sheetViews>
    <sheetView topLeftCell="A28"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0.85</v>
      </c>
      <c r="P2" s="53">
        <v>0.75</v>
      </c>
      <c r="Q2" s="75">
        <f t="shared" ref="Q2:Q55" si="0">IF(OR(O2="",P2=""),"",AVERAGE(O2,P2))</f>
        <v>0.8</v>
      </c>
      <c r="R2" s="53">
        <v>11.5</v>
      </c>
      <c r="S2" s="53">
        <v>95</v>
      </c>
      <c r="T2" s="16">
        <f t="shared" ref="T2:T55" si="1">IF(H2="","",IF(OR(H2="GREEN",H2="GK"),IF(S2&gt;=$AX$2,VLOOKUP(S2,$AX$2:$AY$10,2,1),""),IF(S2&gt;=$AZ$2,VLOOKUP(S2,$AZ$2:$BA$10,2,1),"")))</f>
        <v>36</v>
      </c>
      <c r="U2" s="53">
        <v>539</v>
      </c>
      <c r="V2" s="16">
        <f t="shared" ref="V2:V55" si="2">IF(OR(N2="",U2="",T2=""),"",U2/N2*T2)</f>
        <v>3880.7999999999997</v>
      </c>
      <c r="W2" s="53">
        <v>1</v>
      </c>
      <c r="X2" s="53" t="s">
        <v>46</v>
      </c>
      <c r="Y2" s="53" t="s">
        <v>90</v>
      </c>
      <c r="Z2" s="53" t="s">
        <v>78</v>
      </c>
      <c r="AA2" s="53" t="s">
        <v>84</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0.9</v>
      </c>
      <c r="P3" s="53">
        <v>0.9</v>
      </c>
      <c r="Q3" s="75">
        <f t="shared" si="0"/>
        <v>0.9</v>
      </c>
      <c r="R3" s="53">
        <v>11.3</v>
      </c>
      <c r="S3" s="53">
        <v>97</v>
      </c>
      <c r="T3" s="16">
        <f t="shared" si="1"/>
        <v>36</v>
      </c>
      <c r="U3" s="53">
        <v>539</v>
      </c>
      <c r="V3" s="16">
        <f t="shared" si="2"/>
        <v>3880.7999999999997</v>
      </c>
      <c r="W3" s="53">
        <v>1</v>
      </c>
      <c r="X3" s="53" t="s">
        <v>46</v>
      </c>
      <c r="Y3" s="53" t="s">
        <v>90</v>
      </c>
      <c r="Z3" s="53" t="s">
        <v>78</v>
      </c>
      <c r="AA3" s="53" t="s">
        <v>84</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0.85</v>
      </c>
      <c r="P4" s="53">
        <v>0.85</v>
      </c>
      <c r="Q4" s="75">
        <f t="shared" si="0"/>
        <v>0.85</v>
      </c>
      <c r="R4" s="53">
        <v>12</v>
      </c>
      <c r="S4" s="53">
        <v>92</v>
      </c>
      <c r="T4" s="16">
        <f t="shared" si="1"/>
        <v>36</v>
      </c>
      <c r="U4" s="53">
        <v>539</v>
      </c>
      <c r="V4" s="16">
        <f t="shared" si="2"/>
        <v>3880.7999999999997</v>
      </c>
      <c r="W4" s="53">
        <v>1</v>
      </c>
      <c r="X4" s="53" t="s">
        <v>46</v>
      </c>
      <c r="Y4" s="53" t="s">
        <v>90</v>
      </c>
      <c r="Z4" s="53" t="s">
        <v>78</v>
      </c>
      <c r="AA4" s="53" t="s">
        <v>84</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198</v>
      </c>
      <c r="J5" s="53" t="s">
        <v>38</v>
      </c>
      <c r="K5" s="53" t="s">
        <v>161</v>
      </c>
      <c r="L5" s="53">
        <v>1</v>
      </c>
      <c r="N5" s="53">
        <v>1</v>
      </c>
      <c r="O5" s="53">
        <v>0.5</v>
      </c>
      <c r="P5" s="53">
        <v>0.5</v>
      </c>
      <c r="Q5" s="75">
        <f t="shared" si="0"/>
        <v>0.5</v>
      </c>
      <c r="R5" s="53">
        <v>14.3</v>
      </c>
      <c r="S5" s="53">
        <v>142</v>
      </c>
      <c r="T5" s="16">
        <f t="shared" si="1"/>
        <v>22</v>
      </c>
      <c r="U5" s="53">
        <v>183</v>
      </c>
      <c r="V5" s="16">
        <f t="shared" si="2"/>
        <v>4026</v>
      </c>
      <c r="W5" s="53">
        <v>2</v>
      </c>
      <c r="X5" s="53" t="s">
        <v>46</v>
      </c>
      <c r="Y5" s="53" t="s">
        <v>90</v>
      </c>
      <c r="Z5" s="53" t="s">
        <v>78</v>
      </c>
      <c r="AA5" s="53" t="s">
        <v>84</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198</v>
      </c>
      <c r="J6" s="53" t="s">
        <v>38</v>
      </c>
      <c r="K6" s="53" t="s">
        <v>161</v>
      </c>
      <c r="L6" s="53">
        <v>2</v>
      </c>
      <c r="N6" s="53">
        <v>1</v>
      </c>
      <c r="O6" s="53">
        <v>0.5</v>
      </c>
      <c r="P6" s="53">
        <v>0.5</v>
      </c>
      <c r="Q6" s="75">
        <f t="shared" si="0"/>
        <v>0.5</v>
      </c>
      <c r="R6" s="53">
        <v>15.4</v>
      </c>
      <c r="S6" s="53">
        <v>152</v>
      </c>
      <c r="T6" s="16">
        <f t="shared" si="1"/>
        <v>22</v>
      </c>
      <c r="U6" s="53">
        <v>183</v>
      </c>
      <c r="V6" s="16">
        <f t="shared" si="2"/>
        <v>4026</v>
      </c>
      <c r="W6" s="53">
        <v>2</v>
      </c>
      <c r="X6" s="53" t="s">
        <v>46</v>
      </c>
      <c r="Y6" s="53" t="s">
        <v>90</v>
      </c>
      <c r="Z6" s="53" t="s">
        <v>78</v>
      </c>
      <c r="AA6" s="53" t="s">
        <v>84</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198</v>
      </c>
      <c r="J7" s="53" t="s">
        <v>38</v>
      </c>
      <c r="K7" s="53" t="s">
        <v>161</v>
      </c>
      <c r="L7" s="53">
        <v>3</v>
      </c>
      <c r="N7" s="53">
        <v>1</v>
      </c>
      <c r="O7" s="53">
        <v>0.5</v>
      </c>
      <c r="P7" s="53">
        <v>0.5</v>
      </c>
      <c r="Q7" s="75">
        <f t="shared" si="0"/>
        <v>0.5</v>
      </c>
      <c r="R7" s="53">
        <v>17.399999999999999</v>
      </c>
      <c r="S7" s="53">
        <v>156</v>
      </c>
      <c r="T7" s="16">
        <f t="shared" si="1"/>
        <v>22</v>
      </c>
      <c r="U7" s="53">
        <v>183</v>
      </c>
      <c r="V7" s="16">
        <f t="shared" si="2"/>
        <v>4026</v>
      </c>
      <c r="W7" s="53">
        <v>2</v>
      </c>
      <c r="X7" s="53" t="s">
        <v>46</v>
      </c>
      <c r="Y7" s="53" t="s">
        <v>90</v>
      </c>
      <c r="Z7" s="53" t="s">
        <v>78</v>
      </c>
      <c r="AA7" s="53" t="s">
        <v>84</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1</v>
      </c>
      <c r="O8" s="53">
        <v>0.55000000000000004</v>
      </c>
      <c r="P8" s="53">
        <v>0.6</v>
      </c>
      <c r="Q8" s="75">
        <f t="shared" si="0"/>
        <v>0.57499999999999996</v>
      </c>
      <c r="R8" s="53">
        <v>14.3</v>
      </c>
      <c r="S8" s="53">
        <v>137</v>
      </c>
      <c r="T8" s="16">
        <f t="shared" si="1"/>
        <v>25</v>
      </c>
      <c r="U8" s="53">
        <v>138</v>
      </c>
      <c r="V8" s="16">
        <f t="shared" si="2"/>
        <v>3450</v>
      </c>
      <c r="W8" s="53">
        <v>3</v>
      </c>
      <c r="X8" s="53" t="s">
        <v>46</v>
      </c>
      <c r="Y8" s="53" t="s">
        <v>102</v>
      </c>
      <c r="Z8" s="53" t="s">
        <v>78</v>
      </c>
      <c r="AA8" s="53" t="s">
        <v>90</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1</v>
      </c>
      <c r="O9" s="53">
        <v>0.6</v>
      </c>
      <c r="P9" s="53">
        <v>0.65</v>
      </c>
      <c r="Q9" s="75">
        <f t="shared" si="0"/>
        <v>0.625</v>
      </c>
      <c r="R9" s="53">
        <v>15.1</v>
      </c>
      <c r="S9" s="53">
        <v>136</v>
      </c>
      <c r="T9" s="16">
        <f t="shared" si="1"/>
        <v>25</v>
      </c>
      <c r="U9" s="53">
        <v>138</v>
      </c>
      <c r="V9" s="16">
        <f t="shared" si="2"/>
        <v>3450</v>
      </c>
      <c r="W9" s="53">
        <v>3</v>
      </c>
      <c r="X9" s="53" t="s">
        <v>46</v>
      </c>
      <c r="Y9" s="53" t="s">
        <v>102</v>
      </c>
      <c r="Z9" s="53" t="s">
        <v>78</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1</v>
      </c>
      <c r="O10" s="53">
        <v>0.6</v>
      </c>
      <c r="P10" s="53">
        <v>0.65</v>
      </c>
      <c r="Q10" s="75">
        <f t="shared" si="0"/>
        <v>0.625</v>
      </c>
      <c r="R10" s="53">
        <v>13.9</v>
      </c>
      <c r="S10" s="53">
        <v>142</v>
      </c>
      <c r="T10" s="16">
        <f t="shared" si="1"/>
        <v>22</v>
      </c>
      <c r="U10" s="53">
        <v>138</v>
      </c>
      <c r="V10" s="16">
        <f t="shared" si="2"/>
        <v>3036</v>
      </c>
      <c r="W10" s="53">
        <v>3</v>
      </c>
      <c r="X10" s="53" t="s">
        <v>46</v>
      </c>
      <c r="Y10" s="53" t="s">
        <v>102</v>
      </c>
      <c r="Z10" s="53" t="s">
        <v>78</v>
      </c>
      <c r="AA10" s="53" t="s">
        <v>90</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1</v>
      </c>
      <c r="O11" s="53">
        <v>0.75</v>
      </c>
      <c r="P11" s="53">
        <v>0.65</v>
      </c>
      <c r="Q11" s="75">
        <f t="shared" si="0"/>
        <v>0.7</v>
      </c>
      <c r="R11" s="53">
        <v>15</v>
      </c>
      <c r="S11" s="53">
        <v>125</v>
      </c>
      <c r="T11" s="16">
        <f t="shared" si="1"/>
        <v>27</v>
      </c>
      <c r="U11" s="53">
        <v>138</v>
      </c>
      <c r="V11" s="16">
        <f t="shared" si="2"/>
        <v>3726</v>
      </c>
      <c r="W11" s="53">
        <v>4</v>
      </c>
      <c r="X11" s="53" t="s">
        <v>46</v>
      </c>
      <c r="Y11" s="53" t="s">
        <v>102</v>
      </c>
      <c r="Z11" s="53" t="s">
        <v>78</v>
      </c>
      <c r="AA11" s="53" t="s">
        <v>90</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1</v>
      </c>
      <c r="O12" s="53">
        <v>0.65</v>
      </c>
      <c r="P12" s="53">
        <v>0.6</v>
      </c>
      <c r="Q12" s="75">
        <f t="shared" si="0"/>
        <v>0.625</v>
      </c>
      <c r="R12" s="53">
        <v>15.3</v>
      </c>
      <c r="S12" s="53">
        <v>127</v>
      </c>
      <c r="T12" s="16">
        <f t="shared" si="1"/>
        <v>27</v>
      </c>
      <c r="U12" s="53">
        <v>138</v>
      </c>
      <c r="V12" s="16">
        <f t="shared" si="2"/>
        <v>3726</v>
      </c>
      <c r="W12" s="53">
        <v>4</v>
      </c>
      <c r="X12" s="53" t="s">
        <v>46</v>
      </c>
      <c r="Y12" s="53" t="s">
        <v>102</v>
      </c>
      <c r="Z12" s="53" t="s">
        <v>78</v>
      </c>
      <c r="AA12" s="53" t="s">
        <v>90</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1</v>
      </c>
      <c r="O13" s="53">
        <v>0.75</v>
      </c>
      <c r="P13" s="53">
        <v>0.6</v>
      </c>
      <c r="Q13" s="75">
        <f t="shared" si="0"/>
        <v>0.67500000000000004</v>
      </c>
      <c r="R13" s="53">
        <v>17</v>
      </c>
      <c r="S13" s="53">
        <v>133</v>
      </c>
      <c r="T13" s="16">
        <f t="shared" si="1"/>
        <v>25</v>
      </c>
      <c r="U13" s="53">
        <v>138</v>
      </c>
      <c r="V13" s="16">
        <f t="shared" si="2"/>
        <v>3450</v>
      </c>
      <c r="W13" s="53">
        <v>4</v>
      </c>
      <c r="X13" s="53" t="s">
        <v>46</v>
      </c>
      <c r="Y13" s="53" t="s">
        <v>102</v>
      </c>
      <c r="Z13" s="53" t="s">
        <v>78</v>
      </c>
      <c r="AA13" s="53" t="s">
        <v>90</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0.6</v>
      </c>
      <c r="P14" s="53">
        <v>0.6</v>
      </c>
      <c r="Q14" s="75">
        <f t="shared" si="0"/>
        <v>0.6</v>
      </c>
      <c r="R14" s="53">
        <v>11.3</v>
      </c>
      <c r="S14" s="53">
        <v>119</v>
      </c>
      <c r="T14" s="16">
        <f t="shared" si="1"/>
        <v>30</v>
      </c>
      <c r="U14" s="53">
        <v>84</v>
      </c>
      <c r="V14" s="16">
        <f t="shared" si="2"/>
        <v>2520</v>
      </c>
      <c r="W14" s="53">
        <v>2</v>
      </c>
      <c r="X14" s="53" t="s">
        <v>46</v>
      </c>
      <c r="Y14" s="53" t="s">
        <v>84</v>
      </c>
      <c r="Z14" s="53" t="s">
        <v>90</v>
      </c>
      <c r="AA14" s="53" t="s">
        <v>50</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0.55000000000000004</v>
      </c>
      <c r="P15" s="53">
        <v>0.5</v>
      </c>
      <c r="Q15" s="75">
        <f t="shared" si="0"/>
        <v>0.52500000000000002</v>
      </c>
      <c r="R15" s="53">
        <v>11.9</v>
      </c>
      <c r="S15" s="53">
        <v>116</v>
      </c>
      <c r="T15" s="16">
        <f t="shared" si="1"/>
        <v>30</v>
      </c>
      <c r="U15" s="53">
        <v>84</v>
      </c>
      <c r="V15" s="16">
        <f t="shared" si="2"/>
        <v>2520</v>
      </c>
      <c r="W15" s="53">
        <v>2</v>
      </c>
      <c r="X15" s="53" t="s">
        <v>46</v>
      </c>
      <c r="Y15" s="53" t="s">
        <v>84</v>
      </c>
      <c r="Z15" s="53" t="s">
        <v>90</v>
      </c>
      <c r="AA15" s="53" t="s">
        <v>50</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0.55000000000000004</v>
      </c>
      <c r="P16" s="53">
        <v>0.55000000000000004</v>
      </c>
      <c r="Q16" s="75">
        <f t="shared" si="0"/>
        <v>0.55000000000000004</v>
      </c>
      <c r="R16" s="53">
        <v>12.1</v>
      </c>
      <c r="S16" s="53">
        <v>118</v>
      </c>
      <c r="T16" s="16">
        <f t="shared" si="1"/>
        <v>30</v>
      </c>
      <c r="U16" s="53">
        <v>84</v>
      </c>
      <c r="V16" s="16">
        <f t="shared" si="2"/>
        <v>2520</v>
      </c>
      <c r="W16" s="53">
        <v>2</v>
      </c>
      <c r="X16" s="53" t="s">
        <v>46</v>
      </c>
      <c r="Y16" s="53" t="s">
        <v>84</v>
      </c>
      <c r="Z16" s="53" t="s">
        <v>90</v>
      </c>
      <c r="AA16" s="53" t="s">
        <v>50</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v>
      </c>
      <c r="P17" s="53">
        <v>0.55000000000000004</v>
      </c>
      <c r="Q17" s="75">
        <f t="shared" si="0"/>
        <v>0.57499999999999996</v>
      </c>
      <c r="R17" s="53">
        <v>13.7</v>
      </c>
      <c r="S17" s="53">
        <v>106</v>
      </c>
      <c r="T17" s="16">
        <f t="shared" si="1"/>
        <v>33</v>
      </c>
      <c r="U17" s="53">
        <v>138</v>
      </c>
      <c r="V17" s="16">
        <f t="shared" si="2"/>
        <v>4554</v>
      </c>
      <c r="W17" s="53">
        <v>2</v>
      </c>
      <c r="X17" s="53" t="s">
        <v>46</v>
      </c>
      <c r="Y17" s="53" t="s">
        <v>84</v>
      </c>
      <c r="Z17" s="53" t="s">
        <v>90</v>
      </c>
      <c r="AA17" s="53" t="s">
        <v>50</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0.65</v>
      </c>
      <c r="P18" s="53">
        <v>0.65</v>
      </c>
      <c r="Q18" s="75">
        <f t="shared" si="0"/>
        <v>0.65</v>
      </c>
      <c r="R18" s="53">
        <v>14.6</v>
      </c>
      <c r="S18" s="53">
        <v>112</v>
      </c>
      <c r="T18" s="16">
        <f t="shared" si="1"/>
        <v>33</v>
      </c>
      <c r="U18" s="53">
        <v>138</v>
      </c>
      <c r="V18" s="16">
        <f t="shared" si="2"/>
        <v>4554</v>
      </c>
      <c r="W18" s="53">
        <v>2</v>
      </c>
      <c r="X18" s="53" t="s">
        <v>46</v>
      </c>
      <c r="Y18" s="53" t="s">
        <v>84</v>
      </c>
      <c r="Z18" s="53" t="s">
        <v>90</v>
      </c>
      <c r="AA18" s="53" t="s">
        <v>50</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0.55000000000000004</v>
      </c>
      <c r="P19" s="53">
        <v>0.55000000000000004</v>
      </c>
      <c r="Q19" s="75">
        <f t="shared" si="0"/>
        <v>0.55000000000000004</v>
      </c>
      <c r="R19" s="53">
        <v>15.6</v>
      </c>
      <c r="S19" s="53">
        <v>105</v>
      </c>
      <c r="T19" s="16">
        <f t="shared" si="1"/>
        <v>33</v>
      </c>
      <c r="U19" s="53">
        <v>138</v>
      </c>
      <c r="V19" s="16">
        <f t="shared" si="2"/>
        <v>4554</v>
      </c>
      <c r="W19" s="53">
        <v>2</v>
      </c>
      <c r="X19" s="53" t="s">
        <v>46</v>
      </c>
      <c r="Y19" s="53" t="s">
        <v>84</v>
      </c>
      <c r="Z19" s="53" t="s">
        <v>90</v>
      </c>
      <c r="AA19" s="53" t="s">
        <v>50</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0.85</v>
      </c>
      <c r="P20" s="53">
        <v>0.8</v>
      </c>
      <c r="Q20" s="75">
        <f t="shared" si="0"/>
        <v>0.82499999999999996</v>
      </c>
      <c r="R20" s="53">
        <v>14.6</v>
      </c>
      <c r="S20" s="53">
        <v>124</v>
      </c>
      <c r="T20" s="16">
        <f t="shared" si="1"/>
        <v>27</v>
      </c>
      <c r="U20" s="53">
        <v>138</v>
      </c>
      <c r="V20" s="16">
        <f t="shared" si="2"/>
        <v>3726</v>
      </c>
      <c r="W20" s="53">
        <v>2</v>
      </c>
      <c r="X20" s="53" t="s">
        <v>46</v>
      </c>
      <c r="Y20" s="53" t="s">
        <v>78</v>
      </c>
      <c r="Z20" s="53" t="s">
        <v>84</v>
      </c>
      <c r="AA20" s="53" t="s">
        <v>50</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0.7</v>
      </c>
      <c r="P21" s="53">
        <v>0.7</v>
      </c>
      <c r="Q21" s="75">
        <f t="shared" si="0"/>
        <v>0.7</v>
      </c>
      <c r="R21" s="53">
        <v>13.3</v>
      </c>
      <c r="S21" s="53">
        <v>124</v>
      </c>
      <c r="T21" s="16">
        <f t="shared" si="1"/>
        <v>27</v>
      </c>
      <c r="U21" s="53">
        <v>138</v>
      </c>
      <c r="V21" s="16">
        <f t="shared" si="2"/>
        <v>3726</v>
      </c>
      <c r="W21" s="53">
        <v>2</v>
      </c>
      <c r="X21" s="53" t="s">
        <v>46</v>
      </c>
      <c r="Y21" s="53" t="s">
        <v>78</v>
      </c>
      <c r="Z21" s="53" t="s">
        <v>84</v>
      </c>
      <c r="AA21" s="53" t="s">
        <v>50</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0.7</v>
      </c>
      <c r="P22" s="53">
        <v>0.7</v>
      </c>
      <c r="Q22" s="75">
        <f t="shared" si="0"/>
        <v>0.7</v>
      </c>
      <c r="R22" s="53">
        <v>11.4</v>
      </c>
      <c r="S22" s="53">
        <v>117</v>
      </c>
      <c r="T22" s="16">
        <f t="shared" si="1"/>
        <v>30</v>
      </c>
      <c r="U22" s="53">
        <v>138</v>
      </c>
      <c r="V22" s="16">
        <f t="shared" si="2"/>
        <v>4140</v>
      </c>
      <c r="W22" s="53">
        <v>2</v>
      </c>
      <c r="X22" s="53" t="s">
        <v>46</v>
      </c>
      <c r="Y22" s="53" t="s">
        <v>78</v>
      </c>
      <c r="Z22" s="53" t="s">
        <v>84</v>
      </c>
      <c r="AA22" s="53" t="s">
        <v>50</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0.6</v>
      </c>
      <c r="P23" s="53">
        <v>0.55000000000000004</v>
      </c>
      <c r="Q23" s="75">
        <f t="shared" si="0"/>
        <v>0.57499999999999996</v>
      </c>
      <c r="R23" s="53">
        <v>12.3</v>
      </c>
      <c r="S23" s="53">
        <v>134</v>
      </c>
      <c r="T23" s="16">
        <f t="shared" si="1"/>
        <v>25</v>
      </c>
      <c r="U23" s="53">
        <v>138</v>
      </c>
      <c r="V23" s="16">
        <f t="shared" si="2"/>
        <v>3450</v>
      </c>
      <c r="W23" s="53">
        <v>2</v>
      </c>
      <c r="X23" s="53" t="s">
        <v>46</v>
      </c>
      <c r="Y23" s="53" t="s">
        <v>78</v>
      </c>
      <c r="Z23" s="53" t="s">
        <v>84</v>
      </c>
      <c r="AA23" s="53" t="s">
        <v>50</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0.6</v>
      </c>
      <c r="P24" s="53">
        <v>0.6</v>
      </c>
      <c r="Q24" s="75">
        <f t="shared" si="0"/>
        <v>0.6</v>
      </c>
      <c r="R24" s="53">
        <v>16</v>
      </c>
      <c r="S24" s="53">
        <v>134</v>
      </c>
      <c r="T24" s="16">
        <f t="shared" si="1"/>
        <v>25</v>
      </c>
      <c r="U24" s="53">
        <v>138</v>
      </c>
      <c r="V24" s="16">
        <f t="shared" si="2"/>
        <v>3450</v>
      </c>
      <c r="W24" s="53">
        <v>2</v>
      </c>
      <c r="X24" s="53" t="s">
        <v>46</v>
      </c>
      <c r="Y24" s="53" t="s">
        <v>78</v>
      </c>
      <c r="Z24" s="53" t="s">
        <v>84</v>
      </c>
      <c r="AA24" s="53" t="s">
        <v>50</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0.6</v>
      </c>
      <c r="P25" s="53">
        <v>0.55000000000000004</v>
      </c>
      <c r="Q25" s="75">
        <f t="shared" si="0"/>
        <v>0.57499999999999996</v>
      </c>
      <c r="R25" s="53">
        <v>15.8</v>
      </c>
      <c r="S25" s="53">
        <v>125</v>
      </c>
      <c r="T25" s="16">
        <f t="shared" si="1"/>
        <v>27</v>
      </c>
      <c r="U25" s="53">
        <v>138</v>
      </c>
      <c r="V25" s="16">
        <f t="shared" si="2"/>
        <v>3726</v>
      </c>
      <c r="W25" s="53">
        <v>2</v>
      </c>
      <c r="X25" s="53" t="s">
        <v>46</v>
      </c>
      <c r="Y25" s="53" t="s">
        <v>78</v>
      </c>
      <c r="Z25" s="53" t="s">
        <v>84</v>
      </c>
      <c r="AA25" s="53" t="s">
        <v>50</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1</v>
      </c>
      <c r="O26" s="53">
        <v>0.6</v>
      </c>
      <c r="P26" s="53">
        <v>0.7</v>
      </c>
      <c r="Q26" s="16">
        <f t="shared" si="0"/>
        <v>0.64999999999999991</v>
      </c>
      <c r="R26" s="53">
        <v>13.6</v>
      </c>
      <c r="S26" s="53">
        <v>124</v>
      </c>
      <c r="T26" s="16">
        <f t="shared" si="1"/>
        <v>27</v>
      </c>
      <c r="U26" s="53">
        <v>105</v>
      </c>
      <c r="V26" s="16">
        <f t="shared" si="2"/>
        <v>2835</v>
      </c>
      <c r="W26" s="53">
        <v>2</v>
      </c>
      <c r="X26" s="53" t="s">
        <v>39</v>
      </c>
      <c r="Y26" s="53" t="s">
        <v>90</v>
      </c>
      <c r="Z26" s="53" t="s">
        <v>78</v>
      </c>
      <c r="AA26" s="53" t="s">
        <v>84</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1</v>
      </c>
      <c r="O27" s="53">
        <v>0.55000000000000004</v>
      </c>
      <c r="P27" s="53">
        <v>0.6</v>
      </c>
      <c r="Q27" s="16">
        <f t="shared" si="0"/>
        <v>0.57499999999999996</v>
      </c>
      <c r="R27" s="53">
        <v>14.3</v>
      </c>
      <c r="S27" s="53">
        <v>126</v>
      </c>
      <c r="T27" s="16">
        <f t="shared" si="1"/>
        <v>27</v>
      </c>
      <c r="U27" s="53">
        <v>105</v>
      </c>
      <c r="V27" s="16">
        <f t="shared" si="2"/>
        <v>2835</v>
      </c>
      <c r="W27" s="53">
        <v>2</v>
      </c>
      <c r="X27" s="53" t="s">
        <v>39</v>
      </c>
      <c r="Y27" s="53" t="s">
        <v>90</v>
      </c>
      <c r="Z27" s="53" t="s">
        <v>78</v>
      </c>
      <c r="AA27" s="53" t="s">
        <v>84</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1</v>
      </c>
      <c r="O28" s="53">
        <v>0.55000000000000004</v>
      </c>
      <c r="P28" s="53">
        <v>0.6</v>
      </c>
      <c r="Q28" s="16">
        <f t="shared" si="0"/>
        <v>0.57499999999999996</v>
      </c>
      <c r="R28" s="53">
        <v>15</v>
      </c>
      <c r="S28" s="53">
        <v>129</v>
      </c>
      <c r="T28" s="16">
        <f t="shared" si="1"/>
        <v>25</v>
      </c>
      <c r="U28" s="53">
        <v>105</v>
      </c>
      <c r="V28" s="16">
        <f t="shared" si="2"/>
        <v>2625</v>
      </c>
      <c r="W28" s="53">
        <v>2</v>
      </c>
      <c r="X28" s="53" t="s">
        <v>39</v>
      </c>
      <c r="Y28" s="53" t="s">
        <v>90</v>
      </c>
      <c r="Z28" s="53" t="s">
        <v>78</v>
      </c>
      <c r="AA28" s="53" t="s">
        <v>84</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4</v>
      </c>
      <c r="O29" s="53">
        <v>0.6</v>
      </c>
      <c r="P29" s="53">
        <v>0.65</v>
      </c>
      <c r="Q29" s="16">
        <f t="shared" si="0"/>
        <v>0.625</v>
      </c>
      <c r="R29" s="53">
        <v>16.100000000000001</v>
      </c>
      <c r="S29" s="53">
        <v>94</v>
      </c>
      <c r="T29" s="16">
        <f t="shared" si="1"/>
        <v>36</v>
      </c>
      <c r="U29" s="53">
        <v>430</v>
      </c>
      <c r="V29" s="16">
        <f t="shared" si="2"/>
        <v>3870</v>
      </c>
      <c r="W29" s="53">
        <v>2</v>
      </c>
      <c r="X29" s="53" t="s">
        <v>39</v>
      </c>
      <c r="Y29" s="53" t="s">
        <v>90</v>
      </c>
      <c r="Z29" s="53" t="s">
        <v>78</v>
      </c>
      <c r="AA29" s="53" t="s">
        <v>84</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4</v>
      </c>
      <c r="O30" s="53">
        <v>0.7</v>
      </c>
      <c r="P30" s="53">
        <v>0.65</v>
      </c>
      <c r="Q30" s="16">
        <f t="shared" si="0"/>
        <v>0.67500000000000004</v>
      </c>
      <c r="R30" s="53">
        <v>16.100000000000001</v>
      </c>
      <c r="S30" s="53">
        <v>102</v>
      </c>
      <c r="T30" s="16">
        <f t="shared" si="1"/>
        <v>33</v>
      </c>
      <c r="U30" s="53">
        <v>430</v>
      </c>
      <c r="V30" s="16">
        <f t="shared" si="2"/>
        <v>3547.5</v>
      </c>
      <c r="W30" s="53">
        <v>2</v>
      </c>
      <c r="X30" s="53" t="s">
        <v>39</v>
      </c>
      <c r="Y30" s="53" t="s">
        <v>90</v>
      </c>
      <c r="Z30" s="53" t="s">
        <v>78</v>
      </c>
      <c r="AA30" s="53" t="s">
        <v>84</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4</v>
      </c>
      <c r="O31" s="53">
        <v>0.65</v>
      </c>
      <c r="P31" s="53">
        <v>0.65</v>
      </c>
      <c r="Q31" s="16">
        <f t="shared" si="0"/>
        <v>0.65</v>
      </c>
      <c r="R31" s="53">
        <v>16.5</v>
      </c>
      <c r="S31" s="53">
        <v>98</v>
      </c>
      <c r="T31" s="16">
        <f t="shared" si="1"/>
        <v>36</v>
      </c>
      <c r="U31" s="53">
        <v>430</v>
      </c>
      <c r="V31" s="16">
        <f t="shared" si="2"/>
        <v>3870</v>
      </c>
      <c r="W31" s="53">
        <v>2</v>
      </c>
      <c r="X31" s="53" t="s">
        <v>39</v>
      </c>
      <c r="Y31" s="53" t="s">
        <v>90</v>
      </c>
      <c r="Z31" s="53" t="s">
        <v>78</v>
      </c>
      <c r="AA31" s="53" t="s">
        <v>84</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0.6</v>
      </c>
      <c r="P32" s="53">
        <v>0.5</v>
      </c>
      <c r="Q32" s="16">
        <f t="shared" si="0"/>
        <v>0.55000000000000004</v>
      </c>
      <c r="R32" s="53">
        <v>15.2</v>
      </c>
      <c r="S32" s="53">
        <v>122</v>
      </c>
      <c r="T32" s="16">
        <f t="shared" si="1"/>
        <v>27</v>
      </c>
      <c r="U32" s="53">
        <v>84</v>
      </c>
      <c r="V32" s="16">
        <f t="shared" si="2"/>
        <v>2268</v>
      </c>
      <c r="W32" s="53">
        <v>2</v>
      </c>
      <c r="X32" s="53" t="s">
        <v>46</v>
      </c>
      <c r="Y32" s="53" t="s">
        <v>78</v>
      </c>
      <c r="Z32" s="53" t="s">
        <v>90</v>
      </c>
      <c r="AA32" s="53" t="s">
        <v>55</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v>
      </c>
      <c r="P33" s="53">
        <v>0.65</v>
      </c>
      <c r="Q33" s="16">
        <f t="shared" si="0"/>
        <v>0.67500000000000004</v>
      </c>
      <c r="R33" s="53">
        <v>13.5</v>
      </c>
      <c r="S33" s="53">
        <v>118</v>
      </c>
      <c r="T33" s="16">
        <f t="shared" si="1"/>
        <v>30</v>
      </c>
      <c r="U33" s="53">
        <v>84</v>
      </c>
      <c r="V33" s="16">
        <f t="shared" si="2"/>
        <v>2520</v>
      </c>
      <c r="W33" s="53">
        <v>2</v>
      </c>
      <c r="X33" s="53" t="s">
        <v>46</v>
      </c>
      <c r="Y33" s="53" t="s">
        <v>78</v>
      </c>
      <c r="Z33" s="53" t="s">
        <v>90</v>
      </c>
      <c r="AA33" s="53" t="s">
        <v>55</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0.6</v>
      </c>
      <c r="P34" s="53">
        <v>0.65</v>
      </c>
      <c r="Q34" s="16">
        <f t="shared" si="0"/>
        <v>0.625</v>
      </c>
      <c r="R34" s="53">
        <v>14</v>
      </c>
      <c r="S34" s="53">
        <v>121</v>
      </c>
      <c r="T34" s="16">
        <f t="shared" si="1"/>
        <v>27</v>
      </c>
      <c r="U34" s="53">
        <v>84</v>
      </c>
      <c r="V34" s="16">
        <f t="shared" si="2"/>
        <v>2268</v>
      </c>
      <c r="W34" s="53">
        <v>2</v>
      </c>
      <c r="X34" s="53" t="s">
        <v>46</v>
      </c>
      <c r="Y34" s="53" t="s">
        <v>78</v>
      </c>
      <c r="Z34" s="53" t="s">
        <v>90</v>
      </c>
      <c r="AA34" s="53" t="s">
        <v>55</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0.6</v>
      </c>
      <c r="P35" s="53">
        <v>0.6</v>
      </c>
      <c r="Q35" s="16">
        <f t="shared" si="0"/>
        <v>0.6</v>
      </c>
      <c r="R35" s="53">
        <v>15.3</v>
      </c>
      <c r="S35" s="53">
        <v>110</v>
      </c>
      <c r="T35" s="16">
        <f t="shared" si="1"/>
        <v>33</v>
      </c>
      <c r="U35" s="53">
        <v>138</v>
      </c>
      <c r="V35" s="16">
        <f t="shared" si="2"/>
        <v>4554</v>
      </c>
      <c r="W35" s="53">
        <v>2</v>
      </c>
      <c r="X35" s="53" t="s">
        <v>46</v>
      </c>
      <c r="Y35" s="53" t="s">
        <v>78</v>
      </c>
      <c r="Z35" s="53" t="s">
        <v>90</v>
      </c>
      <c r="AA35" s="53" t="s">
        <v>55</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0.65</v>
      </c>
      <c r="P36" s="53">
        <v>0.7</v>
      </c>
      <c r="Q36" s="16">
        <f t="shared" si="0"/>
        <v>0.67500000000000004</v>
      </c>
      <c r="R36" s="53">
        <v>15.6</v>
      </c>
      <c r="S36" s="53">
        <v>104</v>
      </c>
      <c r="T36" s="16">
        <f t="shared" si="1"/>
        <v>33</v>
      </c>
      <c r="U36" s="53">
        <v>138</v>
      </c>
      <c r="V36" s="16">
        <f t="shared" si="2"/>
        <v>4554</v>
      </c>
      <c r="W36" s="53">
        <v>2</v>
      </c>
      <c r="X36" s="53" t="s">
        <v>46</v>
      </c>
      <c r="Y36" s="53" t="s">
        <v>78</v>
      </c>
      <c r="Z36" s="53" t="s">
        <v>90</v>
      </c>
      <c r="AA36" s="53" t="s">
        <v>55</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0.65</v>
      </c>
      <c r="P37" s="53">
        <v>0.65</v>
      </c>
      <c r="Q37" s="16">
        <f t="shared" si="0"/>
        <v>0.65</v>
      </c>
      <c r="R37" s="53">
        <v>15.9</v>
      </c>
      <c r="S37" s="53">
        <v>107</v>
      </c>
      <c r="T37" s="16">
        <f t="shared" si="1"/>
        <v>33</v>
      </c>
      <c r="U37" s="53">
        <v>138</v>
      </c>
      <c r="V37" s="16">
        <f t="shared" si="2"/>
        <v>4554</v>
      </c>
      <c r="W37" s="53">
        <v>2</v>
      </c>
      <c r="X37" s="53" t="s">
        <v>46</v>
      </c>
      <c r="Y37" s="53" t="s">
        <v>78</v>
      </c>
      <c r="Z37" s="53" t="s">
        <v>90</v>
      </c>
      <c r="AA37" s="53" t="s">
        <v>55</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0.9</v>
      </c>
      <c r="P38" s="53">
        <v>0.8</v>
      </c>
      <c r="Q38" s="16">
        <f t="shared" si="0"/>
        <v>0.85000000000000009</v>
      </c>
      <c r="R38" s="53">
        <v>15.7</v>
      </c>
      <c r="S38" s="53">
        <v>136</v>
      </c>
      <c r="T38" s="16">
        <f t="shared" si="1"/>
        <v>25</v>
      </c>
      <c r="U38" s="53">
        <v>138</v>
      </c>
      <c r="V38" s="16">
        <f t="shared" si="2"/>
        <v>3450</v>
      </c>
      <c r="W38" s="53">
        <v>1</v>
      </c>
      <c r="X38" s="53" t="s">
        <v>39</v>
      </c>
      <c r="Y38" s="53" t="s">
        <v>84</v>
      </c>
      <c r="Z38" s="53" t="s">
        <v>78</v>
      </c>
      <c r="AA38" s="53" t="s">
        <v>69</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0.7</v>
      </c>
      <c r="P39" s="53">
        <v>0.7</v>
      </c>
      <c r="Q39" s="16">
        <f t="shared" si="0"/>
        <v>0.7</v>
      </c>
      <c r="R39" s="53">
        <v>15.7</v>
      </c>
      <c r="S39" s="53">
        <v>125</v>
      </c>
      <c r="T39" s="16">
        <f t="shared" si="1"/>
        <v>27</v>
      </c>
      <c r="U39" s="53">
        <v>138</v>
      </c>
      <c r="V39" s="16">
        <f t="shared" si="2"/>
        <v>3726</v>
      </c>
      <c r="W39" s="53">
        <v>1</v>
      </c>
      <c r="X39" s="53" t="s">
        <v>39</v>
      </c>
      <c r="Y39" s="53" t="s">
        <v>84</v>
      </c>
      <c r="Z39" s="53" t="s">
        <v>78</v>
      </c>
      <c r="AA39" s="53" t="s">
        <v>69</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0.8</v>
      </c>
      <c r="P40" s="53">
        <v>0.8</v>
      </c>
      <c r="Q40" s="16">
        <f t="shared" si="0"/>
        <v>0.8</v>
      </c>
      <c r="R40" s="53">
        <v>15</v>
      </c>
      <c r="S40" s="53">
        <v>136</v>
      </c>
      <c r="T40" s="16">
        <f t="shared" si="1"/>
        <v>25</v>
      </c>
      <c r="U40" s="53">
        <v>138</v>
      </c>
      <c r="V40" s="16">
        <f t="shared" si="2"/>
        <v>3450</v>
      </c>
      <c r="W40" s="53">
        <v>1</v>
      </c>
      <c r="X40" s="53" t="s">
        <v>39</v>
      </c>
      <c r="Y40" s="53" t="s">
        <v>84</v>
      </c>
      <c r="Z40" s="53" t="s">
        <v>78</v>
      </c>
      <c r="AA40" s="53" t="s">
        <v>69</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0.6</v>
      </c>
      <c r="P41" s="53">
        <v>0.55000000000000004</v>
      </c>
      <c r="Q41" s="16">
        <f t="shared" si="0"/>
        <v>0.57499999999999996</v>
      </c>
      <c r="R41" s="53">
        <v>15.5</v>
      </c>
      <c r="S41" s="53">
        <v>135</v>
      </c>
      <c r="T41" s="16">
        <f t="shared" si="1"/>
        <v>25</v>
      </c>
      <c r="U41" s="53">
        <v>150</v>
      </c>
      <c r="V41" s="16">
        <f t="shared" si="2"/>
        <v>3750</v>
      </c>
      <c r="W41" s="53">
        <v>1</v>
      </c>
      <c r="X41" s="53" t="s">
        <v>39</v>
      </c>
      <c r="Y41" s="53" t="s">
        <v>84</v>
      </c>
      <c r="Z41" s="53" t="s">
        <v>78</v>
      </c>
      <c r="AA41" s="53" t="s">
        <v>69</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0.6</v>
      </c>
      <c r="P42" s="53">
        <v>0.6</v>
      </c>
      <c r="Q42" s="16">
        <f t="shared" si="0"/>
        <v>0.6</v>
      </c>
      <c r="R42" s="53">
        <v>16.399999999999999</v>
      </c>
      <c r="S42" s="53">
        <v>137</v>
      </c>
      <c r="T42" s="16">
        <f t="shared" si="1"/>
        <v>25</v>
      </c>
      <c r="U42" s="53">
        <v>150</v>
      </c>
      <c r="V42" s="16">
        <f t="shared" si="2"/>
        <v>3750</v>
      </c>
      <c r="W42" s="53">
        <v>1</v>
      </c>
      <c r="X42" s="53" t="s">
        <v>39</v>
      </c>
      <c r="Y42" s="53" t="s">
        <v>84</v>
      </c>
      <c r="Z42" s="53" t="s">
        <v>78</v>
      </c>
      <c r="AA42" s="53" t="s">
        <v>69</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0.55000000000000004</v>
      </c>
      <c r="P43" s="53">
        <v>0.5</v>
      </c>
      <c r="Q43" s="16">
        <f t="shared" si="0"/>
        <v>0.52500000000000002</v>
      </c>
      <c r="R43" s="53">
        <v>16.2</v>
      </c>
      <c r="S43" s="53">
        <v>136</v>
      </c>
      <c r="T43" s="16">
        <f t="shared" si="1"/>
        <v>25</v>
      </c>
      <c r="U43" s="53">
        <v>150</v>
      </c>
      <c r="V43" s="16">
        <f t="shared" si="2"/>
        <v>3750</v>
      </c>
      <c r="W43" s="53">
        <v>1</v>
      </c>
      <c r="X43" s="53" t="s">
        <v>39</v>
      </c>
      <c r="Y43" s="53" t="s">
        <v>84</v>
      </c>
      <c r="Z43" s="53" t="s">
        <v>78</v>
      </c>
      <c r="AA43" s="53" t="s">
        <v>69</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1</v>
      </c>
      <c r="O44" s="53">
        <v>0.55000000000000004</v>
      </c>
      <c r="P44" s="53">
        <v>0.55000000000000004</v>
      </c>
      <c r="Q44" s="16">
        <f t="shared" si="0"/>
        <v>0.55000000000000004</v>
      </c>
      <c r="R44" s="53">
        <v>15.3</v>
      </c>
      <c r="S44" s="53">
        <v>94</v>
      </c>
      <c r="T44" s="16">
        <f t="shared" si="1"/>
        <v>36</v>
      </c>
      <c r="U44" s="53">
        <v>417</v>
      </c>
      <c r="V44" s="16">
        <f t="shared" si="2"/>
        <v>15012</v>
      </c>
      <c r="W44" s="53">
        <v>1</v>
      </c>
      <c r="X44" s="53" t="s">
        <v>39</v>
      </c>
      <c r="Y44" s="53" t="s">
        <v>90</v>
      </c>
      <c r="Z44" s="53" t="s">
        <v>84</v>
      </c>
      <c r="AA44" s="53" t="s">
        <v>102</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1</v>
      </c>
      <c r="O45" s="53">
        <v>0.65</v>
      </c>
      <c r="P45" s="53">
        <v>0.65</v>
      </c>
      <c r="Q45" s="16">
        <f t="shared" si="0"/>
        <v>0.65</v>
      </c>
      <c r="R45" s="53">
        <v>15.5</v>
      </c>
      <c r="S45" s="53">
        <v>104</v>
      </c>
      <c r="T45" s="16">
        <f t="shared" si="1"/>
        <v>33</v>
      </c>
      <c r="U45" s="53">
        <v>417</v>
      </c>
      <c r="V45" s="16">
        <f t="shared" si="2"/>
        <v>13761</v>
      </c>
      <c r="W45" s="53">
        <v>1</v>
      </c>
      <c r="X45" s="53" t="s">
        <v>39</v>
      </c>
      <c r="Y45" s="53" t="s">
        <v>90</v>
      </c>
      <c r="Z45" s="53" t="s">
        <v>84</v>
      </c>
      <c r="AA45" s="53" t="s">
        <v>102</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1</v>
      </c>
      <c r="O46" s="53">
        <v>0.75</v>
      </c>
      <c r="P46" s="53">
        <v>0.75</v>
      </c>
      <c r="Q46" s="16">
        <f t="shared" si="0"/>
        <v>0.75</v>
      </c>
      <c r="R46" s="53">
        <v>13.9</v>
      </c>
      <c r="S46" s="53">
        <v>99</v>
      </c>
      <c r="T46" s="16">
        <f t="shared" si="1"/>
        <v>33</v>
      </c>
      <c r="U46" s="53">
        <v>417</v>
      </c>
      <c r="V46" s="16">
        <f t="shared" si="2"/>
        <v>13761</v>
      </c>
      <c r="W46" s="53">
        <v>1</v>
      </c>
      <c r="X46" s="53" t="s">
        <v>39</v>
      </c>
      <c r="Y46" s="53" t="s">
        <v>90</v>
      </c>
      <c r="Z46" s="53" t="s">
        <v>84</v>
      </c>
      <c r="AA46" s="53" t="s">
        <v>102</v>
      </c>
      <c r="AB46" s="53" t="s">
        <v>237</v>
      </c>
    </row>
    <row r="47" spans="1:28" x14ac:dyDescent="0.15">
      <c r="A47" s="53" t="s">
        <v>56</v>
      </c>
      <c r="B47" s="53" t="s">
        <v>233</v>
      </c>
      <c r="C47" s="53">
        <v>2019</v>
      </c>
      <c r="D47" s="81" t="s">
        <v>234</v>
      </c>
      <c r="E47" s="53" t="s">
        <v>250</v>
      </c>
      <c r="F47" s="53" t="s">
        <v>252</v>
      </c>
      <c r="G47" s="53" t="s">
        <v>42</v>
      </c>
      <c r="H47" s="53" t="s">
        <v>164</v>
      </c>
      <c r="I47" s="53" t="s">
        <v>159</v>
      </c>
      <c r="J47" s="53" t="s">
        <v>38</v>
      </c>
      <c r="K47" s="53" t="s">
        <v>161</v>
      </c>
      <c r="L47" s="53">
        <v>1</v>
      </c>
      <c r="N47" s="53">
        <v>6</v>
      </c>
      <c r="O47" s="53">
        <v>0.6</v>
      </c>
      <c r="P47" s="53">
        <v>0.55000000000000004</v>
      </c>
      <c r="Q47" s="16">
        <f t="shared" si="0"/>
        <v>0.57499999999999996</v>
      </c>
      <c r="R47" s="53">
        <v>15.5</v>
      </c>
      <c r="S47" s="53">
        <v>104</v>
      </c>
      <c r="T47" s="16">
        <f t="shared" si="1"/>
        <v>33</v>
      </c>
      <c r="U47" s="53">
        <v>429</v>
      </c>
      <c r="V47" s="16">
        <f t="shared" si="2"/>
        <v>2359.5</v>
      </c>
      <c r="W47" s="53">
        <v>4</v>
      </c>
      <c r="X47" s="53" t="s">
        <v>46</v>
      </c>
      <c r="Y47" s="53" t="s">
        <v>78</v>
      </c>
      <c r="Z47" s="53" t="s">
        <v>84</v>
      </c>
      <c r="AA47" s="53" t="s">
        <v>90</v>
      </c>
      <c r="AB47" s="53" t="s">
        <v>237</v>
      </c>
    </row>
    <row r="48" spans="1:28" x14ac:dyDescent="0.15">
      <c r="A48" s="53" t="s">
        <v>56</v>
      </c>
      <c r="B48" s="53" t="s">
        <v>233</v>
      </c>
      <c r="C48" s="53">
        <v>2019</v>
      </c>
      <c r="D48" s="81" t="s">
        <v>234</v>
      </c>
      <c r="E48" s="53" t="s">
        <v>250</v>
      </c>
      <c r="F48" s="53" t="s">
        <v>252</v>
      </c>
      <c r="G48" s="53" t="s">
        <v>42</v>
      </c>
      <c r="H48" s="53" t="s">
        <v>164</v>
      </c>
      <c r="I48" s="53" t="s">
        <v>159</v>
      </c>
      <c r="J48" s="53" t="s">
        <v>38</v>
      </c>
      <c r="K48" s="53" t="s">
        <v>161</v>
      </c>
      <c r="L48" s="53">
        <v>2</v>
      </c>
      <c r="N48" s="53">
        <v>6</v>
      </c>
      <c r="O48" s="53">
        <v>0.55000000000000004</v>
      </c>
      <c r="P48" s="53">
        <v>0.55000000000000004</v>
      </c>
      <c r="Q48" s="16">
        <f t="shared" si="0"/>
        <v>0.55000000000000004</v>
      </c>
      <c r="R48" s="53">
        <v>14.1</v>
      </c>
      <c r="S48" s="53">
        <v>104</v>
      </c>
      <c r="T48" s="16">
        <f t="shared" si="1"/>
        <v>33</v>
      </c>
      <c r="U48" s="53">
        <v>429</v>
      </c>
      <c r="V48" s="16">
        <f t="shared" si="2"/>
        <v>2359.5</v>
      </c>
      <c r="W48" s="53">
        <v>4</v>
      </c>
      <c r="X48" s="53" t="s">
        <v>46</v>
      </c>
      <c r="Y48" s="53" t="s">
        <v>78</v>
      </c>
      <c r="Z48" s="53" t="s">
        <v>84</v>
      </c>
      <c r="AA48" s="53" t="s">
        <v>90</v>
      </c>
      <c r="AB48" s="53" t="s">
        <v>237</v>
      </c>
    </row>
    <row r="49" spans="1:28" x14ac:dyDescent="0.15">
      <c r="A49" s="53" t="s">
        <v>56</v>
      </c>
      <c r="B49" s="53" t="s">
        <v>233</v>
      </c>
      <c r="C49" s="53">
        <v>2019</v>
      </c>
      <c r="D49" s="81" t="s">
        <v>234</v>
      </c>
      <c r="E49" s="53" t="s">
        <v>250</v>
      </c>
      <c r="F49" s="53" t="s">
        <v>252</v>
      </c>
      <c r="G49" s="53" t="s">
        <v>42</v>
      </c>
      <c r="H49" s="53" t="s">
        <v>164</v>
      </c>
      <c r="I49" s="53" t="s">
        <v>159</v>
      </c>
      <c r="J49" s="53" t="s">
        <v>38</v>
      </c>
      <c r="K49" s="53" t="s">
        <v>161</v>
      </c>
      <c r="L49" s="53">
        <v>3</v>
      </c>
      <c r="N49" s="53">
        <v>6</v>
      </c>
      <c r="O49" s="53">
        <v>0.6</v>
      </c>
      <c r="P49" s="53">
        <v>0.5</v>
      </c>
      <c r="Q49" s="16">
        <f t="shared" si="0"/>
        <v>0.55000000000000004</v>
      </c>
      <c r="R49" s="53">
        <v>14.9</v>
      </c>
      <c r="S49" s="53">
        <v>94</v>
      </c>
      <c r="T49" s="16">
        <f t="shared" si="1"/>
        <v>36</v>
      </c>
      <c r="U49" s="53">
        <v>429</v>
      </c>
      <c r="V49" s="16">
        <f t="shared" si="2"/>
        <v>2574</v>
      </c>
      <c r="W49" s="53">
        <v>4</v>
      </c>
      <c r="X49" s="53" t="s">
        <v>46</v>
      </c>
      <c r="Y49" s="53" t="s">
        <v>78</v>
      </c>
      <c r="Z49" s="53" t="s">
        <v>84</v>
      </c>
      <c r="AA49" s="53" t="s">
        <v>90</v>
      </c>
      <c r="AB49" s="53" t="s">
        <v>237</v>
      </c>
    </row>
    <row r="50" spans="1:28" x14ac:dyDescent="0.15">
      <c r="A50" s="53" t="s">
        <v>56</v>
      </c>
      <c r="B50" s="53" t="s">
        <v>233</v>
      </c>
      <c r="C50" s="53">
        <v>2019</v>
      </c>
      <c r="D50" s="81" t="s">
        <v>234</v>
      </c>
      <c r="E50" s="53" t="s">
        <v>259</v>
      </c>
      <c r="F50" s="53" t="s">
        <v>252</v>
      </c>
      <c r="G50" s="53" t="s">
        <v>42</v>
      </c>
      <c r="H50" s="53" t="s">
        <v>164</v>
      </c>
      <c r="I50" s="53" t="s">
        <v>159</v>
      </c>
      <c r="J50" s="53" t="s">
        <v>38</v>
      </c>
      <c r="K50" s="53" t="s">
        <v>161</v>
      </c>
      <c r="L50" s="53">
        <v>1</v>
      </c>
      <c r="N50" s="53">
        <v>5</v>
      </c>
      <c r="O50" s="53">
        <v>0.6</v>
      </c>
      <c r="P50" s="53">
        <v>0.6</v>
      </c>
      <c r="Q50" s="16">
        <f t="shared" si="0"/>
        <v>0.6</v>
      </c>
      <c r="R50" s="53">
        <v>13.6</v>
      </c>
      <c r="S50" s="53">
        <v>91</v>
      </c>
      <c r="T50" s="16">
        <f t="shared" si="1"/>
        <v>36</v>
      </c>
      <c r="U50" s="53">
        <v>430</v>
      </c>
      <c r="V50" s="16">
        <f t="shared" si="2"/>
        <v>3096</v>
      </c>
      <c r="W50" s="53">
        <v>6</v>
      </c>
      <c r="X50" s="53" t="s">
        <v>46</v>
      </c>
      <c r="Y50" s="53" t="s">
        <v>78</v>
      </c>
      <c r="Z50" s="53" t="s">
        <v>102</v>
      </c>
      <c r="AA50" s="53" t="s">
        <v>84</v>
      </c>
      <c r="AB50" s="53" t="s">
        <v>237</v>
      </c>
    </row>
    <row r="51" spans="1:28" x14ac:dyDescent="0.15">
      <c r="A51" s="53" t="s">
        <v>56</v>
      </c>
      <c r="B51" s="53" t="s">
        <v>233</v>
      </c>
      <c r="C51" s="53">
        <v>2019</v>
      </c>
      <c r="D51" s="81" t="s">
        <v>234</v>
      </c>
      <c r="E51" s="53" t="s">
        <v>259</v>
      </c>
      <c r="F51" s="53" t="s">
        <v>252</v>
      </c>
      <c r="G51" s="53" t="s">
        <v>42</v>
      </c>
      <c r="H51" s="53" t="s">
        <v>164</v>
      </c>
      <c r="I51" s="53" t="s">
        <v>159</v>
      </c>
      <c r="J51" s="53" t="s">
        <v>38</v>
      </c>
      <c r="K51" s="53" t="s">
        <v>161</v>
      </c>
      <c r="L51" s="53">
        <v>2</v>
      </c>
      <c r="N51" s="53">
        <v>5</v>
      </c>
      <c r="O51" s="53">
        <v>0.7</v>
      </c>
      <c r="P51" s="53">
        <v>0.7</v>
      </c>
      <c r="Q51" s="16">
        <f t="shared" si="0"/>
        <v>0.7</v>
      </c>
      <c r="R51" s="53">
        <v>12.1</v>
      </c>
      <c r="S51" s="53">
        <v>80</v>
      </c>
      <c r="T51" s="16">
        <f t="shared" si="1"/>
        <v>39</v>
      </c>
      <c r="U51" s="53">
        <v>430</v>
      </c>
      <c r="V51" s="16">
        <f t="shared" si="2"/>
        <v>3354</v>
      </c>
      <c r="W51" s="53">
        <v>6</v>
      </c>
      <c r="X51" s="53" t="s">
        <v>46</v>
      </c>
      <c r="Y51" s="53" t="s">
        <v>78</v>
      </c>
      <c r="Z51" s="53" t="s">
        <v>102</v>
      </c>
      <c r="AA51" s="53" t="s">
        <v>84</v>
      </c>
      <c r="AB51" s="53" t="s">
        <v>237</v>
      </c>
    </row>
    <row r="52" spans="1:28" x14ac:dyDescent="0.15">
      <c r="A52" s="53" t="s">
        <v>56</v>
      </c>
      <c r="B52" s="53" t="s">
        <v>233</v>
      </c>
      <c r="C52" s="53">
        <v>2019</v>
      </c>
      <c r="D52" s="81" t="s">
        <v>234</v>
      </c>
      <c r="E52" s="53" t="s">
        <v>259</v>
      </c>
      <c r="F52" s="53" t="s">
        <v>252</v>
      </c>
      <c r="G52" s="53" t="s">
        <v>42</v>
      </c>
      <c r="H52" s="53" t="s">
        <v>164</v>
      </c>
      <c r="I52" s="53" t="s">
        <v>159</v>
      </c>
      <c r="J52" s="53" t="s">
        <v>38</v>
      </c>
      <c r="K52" s="53" t="s">
        <v>161</v>
      </c>
      <c r="L52" s="53">
        <v>3</v>
      </c>
      <c r="N52" s="53">
        <v>5</v>
      </c>
      <c r="O52" s="53">
        <v>0.6</v>
      </c>
      <c r="P52" s="53">
        <v>0.7</v>
      </c>
      <c r="Q52" s="16">
        <f t="shared" si="0"/>
        <v>0.64999999999999991</v>
      </c>
      <c r="R52" s="53">
        <v>14.9</v>
      </c>
      <c r="S52" s="53">
        <v>103</v>
      </c>
      <c r="T52" s="16">
        <f t="shared" si="1"/>
        <v>33</v>
      </c>
      <c r="U52" s="53">
        <v>430</v>
      </c>
      <c r="V52" s="16">
        <f t="shared" si="2"/>
        <v>2838</v>
      </c>
      <c r="W52" s="53">
        <v>6</v>
      </c>
      <c r="X52" s="53" t="s">
        <v>46</v>
      </c>
      <c r="Y52" s="53" t="s">
        <v>78</v>
      </c>
      <c r="Z52" s="53" t="s">
        <v>102</v>
      </c>
      <c r="AA52" s="53" t="s">
        <v>84</v>
      </c>
      <c r="AB52" s="53" t="s">
        <v>237</v>
      </c>
    </row>
    <row r="53" spans="1:28" x14ac:dyDescent="0.15">
      <c r="A53" s="53" t="s">
        <v>56</v>
      </c>
      <c r="B53" s="53" t="s">
        <v>233</v>
      </c>
      <c r="C53" s="53">
        <v>2019</v>
      </c>
      <c r="D53" s="81" t="s">
        <v>234</v>
      </c>
      <c r="E53" s="53" t="s">
        <v>259</v>
      </c>
      <c r="F53" s="53" t="s">
        <v>252</v>
      </c>
      <c r="G53" s="53" t="s">
        <v>42</v>
      </c>
      <c r="H53" s="53" t="s">
        <v>160</v>
      </c>
      <c r="I53" s="53" t="s">
        <v>159</v>
      </c>
      <c r="J53" s="53" t="s">
        <v>38</v>
      </c>
      <c r="K53" s="53" t="s">
        <v>161</v>
      </c>
      <c r="L53" s="53">
        <v>1</v>
      </c>
      <c r="N53" s="53">
        <v>5</v>
      </c>
      <c r="O53" s="53">
        <v>0.55000000000000004</v>
      </c>
      <c r="P53" s="53">
        <v>0.55000000000000004</v>
      </c>
      <c r="Q53" s="16">
        <f t="shared" si="0"/>
        <v>0.55000000000000004</v>
      </c>
      <c r="R53" s="53">
        <v>15</v>
      </c>
      <c r="S53" s="53">
        <v>122</v>
      </c>
      <c r="T53" s="16">
        <f t="shared" si="1"/>
        <v>27</v>
      </c>
      <c r="U53" s="53">
        <v>646</v>
      </c>
      <c r="V53" s="16">
        <f t="shared" si="2"/>
        <v>3488.3999999999996</v>
      </c>
      <c r="W53" s="53">
        <v>6</v>
      </c>
      <c r="X53" s="53" t="s">
        <v>46</v>
      </c>
      <c r="Y53" s="53" t="s">
        <v>78</v>
      </c>
      <c r="Z53" s="53" t="s">
        <v>102</v>
      </c>
      <c r="AA53" s="53" t="s">
        <v>84</v>
      </c>
      <c r="AB53" s="53" t="s">
        <v>237</v>
      </c>
    </row>
    <row r="54" spans="1:28" x14ac:dyDescent="0.15">
      <c r="A54" s="53" t="s">
        <v>56</v>
      </c>
      <c r="B54" s="53" t="s">
        <v>233</v>
      </c>
      <c r="C54" s="53">
        <v>2019</v>
      </c>
      <c r="D54" s="81" t="s">
        <v>234</v>
      </c>
      <c r="E54" s="53" t="s">
        <v>259</v>
      </c>
      <c r="F54" s="53" t="s">
        <v>252</v>
      </c>
      <c r="G54" s="53" t="s">
        <v>42</v>
      </c>
      <c r="H54" s="53" t="s">
        <v>160</v>
      </c>
      <c r="I54" s="53" t="s">
        <v>159</v>
      </c>
      <c r="J54" s="53" t="s">
        <v>38</v>
      </c>
      <c r="K54" s="53" t="s">
        <v>161</v>
      </c>
      <c r="L54" s="53">
        <v>2</v>
      </c>
      <c r="N54" s="53">
        <v>5</v>
      </c>
      <c r="O54" s="53">
        <v>0.55000000000000004</v>
      </c>
      <c r="P54" s="53">
        <v>0.55000000000000004</v>
      </c>
      <c r="Q54" s="16">
        <f t="shared" si="0"/>
        <v>0.55000000000000004</v>
      </c>
      <c r="R54" s="53">
        <v>16.399999999999999</v>
      </c>
      <c r="S54" s="53">
        <v>110</v>
      </c>
      <c r="T54" s="16">
        <f t="shared" si="1"/>
        <v>33</v>
      </c>
      <c r="U54" s="53">
        <v>646</v>
      </c>
      <c r="V54" s="16">
        <f t="shared" si="2"/>
        <v>4263.5999999999995</v>
      </c>
      <c r="W54" s="53">
        <v>6</v>
      </c>
      <c r="X54" s="53" t="s">
        <v>46</v>
      </c>
      <c r="Y54" s="53" t="s">
        <v>78</v>
      </c>
      <c r="Z54" s="53" t="s">
        <v>102</v>
      </c>
      <c r="AA54" s="53" t="s">
        <v>84</v>
      </c>
      <c r="AB54" s="53" t="s">
        <v>237</v>
      </c>
    </row>
    <row r="55" spans="1:28" x14ac:dyDescent="0.15">
      <c r="A55" s="53" t="s">
        <v>56</v>
      </c>
      <c r="B55" s="53" t="s">
        <v>233</v>
      </c>
      <c r="C55" s="53">
        <v>2019</v>
      </c>
      <c r="D55" s="81" t="s">
        <v>234</v>
      </c>
      <c r="E55" s="53" t="s">
        <v>259</v>
      </c>
      <c r="F55" s="53" t="s">
        <v>252</v>
      </c>
      <c r="G55" s="53" t="s">
        <v>42</v>
      </c>
      <c r="H55" s="53" t="s">
        <v>160</v>
      </c>
      <c r="I55" s="53" t="s">
        <v>159</v>
      </c>
      <c r="J55" s="53" t="s">
        <v>38</v>
      </c>
      <c r="K55" s="53" t="s">
        <v>161</v>
      </c>
      <c r="L55" s="53">
        <v>3</v>
      </c>
      <c r="N55" s="53">
        <v>5</v>
      </c>
      <c r="O55" s="53">
        <v>0.55000000000000004</v>
      </c>
      <c r="P55" s="53">
        <v>0.55000000000000004</v>
      </c>
      <c r="Q55" s="16">
        <f t="shared" si="0"/>
        <v>0.55000000000000004</v>
      </c>
      <c r="R55" s="53">
        <v>15.1</v>
      </c>
      <c r="S55" s="53">
        <v>108</v>
      </c>
      <c r="T55" s="16">
        <f t="shared" si="1"/>
        <v>33</v>
      </c>
      <c r="U55" s="53">
        <v>646</v>
      </c>
      <c r="V55" s="16">
        <f t="shared" si="2"/>
        <v>4263.5999999999995</v>
      </c>
      <c r="W55" s="53">
        <v>6</v>
      </c>
      <c r="X55" s="53" t="s">
        <v>46</v>
      </c>
      <c r="Y55" s="53" t="s">
        <v>78</v>
      </c>
      <c r="Z55" s="53" t="s">
        <v>102</v>
      </c>
      <c r="AA55" s="53" t="s">
        <v>84</v>
      </c>
      <c r="AB55" s="53" t="s">
        <v>237</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5C1E6CC7-C24A-4B0D-B318-7FA23992A9D2}">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67AF931D-34B9-45B3-BAFC-4089515C4153}">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DCEC85F7-66CE-455B-9EF1-B0368422D5C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50495E9B-6DDA-4D37-B9A1-7F737DB6BF8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C7EA619-EECA-430B-9ABF-5C889EEDC6C0}">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55B7C1B4-AADD-4651-8708-674A1F32E6AF}"/>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50662208-448B-438B-A590-6E3786D3EA0B}">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D6C3E03B-1614-4CDA-BFB0-FD04DF57C60C}">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6CF473D0-B16C-41B7-95AD-E9C2F1EDB81D}">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2D09F2EB-7850-4EEC-96B6-41DAECEC10C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40DFE1C2-A70B-494D-8899-F599BE856844}">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FF6BD4AC-342A-4DB4-92F9-9C6E6DAF8A04}">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B86AB61A-5699-4952-A355-16C56E9B8097}">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2AF283A7-177F-4B2E-BE10-D04F0376C85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70F0507-A91C-490B-A571-547B62E9F4E8}">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C355FED6-7604-43C9-BB36-1580CEADDE37}">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500DCDC7-17B9-4584-B92D-49E54855C95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A6C45745-6F08-426C-A86E-1875B51A9CBA}">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FC80-E5C1-4203-B710-C26DBBF74F3C}">
  <dimension ref="A1:BA91"/>
  <sheetViews>
    <sheetView zoomScale="70" zoomScaleNormal="70" workbookViewId="0">
      <selection activeCell="N25" sqref="N25"/>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260</v>
      </c>
      <c r="AY1" s="99" t="s">
        <v>180</v>
      </c>
      <c r="AZ1" s="99" t="s">
        <v>261</v>
      </c>
      <c r="BA1" s="100" t="s">
        <v>182</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0.75</v>
      </c>
      <c r="P2" s="93">
        <v>0.75</v>
      </c>
      <c r="Q2" s="102">
        <f t="shared" ref="Q2:Q65" si="0">IF(OR(O2="",P2=""),"",AVERAGE(O2,P2))</f>
        <v>0.75</v>
      </c>
      <c r="R2" s="93">
        <v>16.3</v>
      </c>
      <c r="S2" s="93">
        <v>114</v>
      </c>
      <c r="T2" s="103">
        <f t="shared" ref="T2:T65" si="1">IF(H2="","",IF(OR(H2="GREEN",H2="GK"),IF(S2&gt;=$AX$2,VLOOKUP(S2,$AX$2:$AY$12,2,1),""),IF(S2&gt;=$AZ$2,VLOOKUP(S2,$AZ$2:$BA$12,2,1),"")))</f>
        <v>30</v>
      </c>
      <c r="U2" s="93">
        <v>98</v>
      </c>
      <c r="V2" s="104">
        <f t="shared" ref="V2:V65" si="2">IF(OR(N2="",U2="",T2=""),"",U2/N2*T2)</f>
        <v>2940</v>
      </c>
      <c r="W2" s="93">
        <v>12</v>
      </c>
      <c r="X2" s="93" t="s">
        <v>46</v>
      </c>
      <c r="Y2" s="93" t="s">
        <v>69</v>
      </c>
      <c r="Z2" s="93" t="s">
        <v>50</v>
      </c>
      <c r="AA2" s="93" t="s">
        <v>102</v>
      </c>
      <c r="AB2" s="93" t="s">
        <v>158</v>
      </c>
      <c r="AE2" s="105" t="s">
        <v>35</v>
      </c>
      <c r="AG2" s="106" t="s">
        <v>211</v>
      </c>
      <c r="AH2" s="106" t="s">
        <v>265</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0.75</v>
      </c>
      <c r="P3" s="93">
        <v>0.7</v>
      </c>
      <c r="Q3" s="102">
        <f t="shared" si="0"/>
        <v>0.72499999999999998</v>
      </c>
      <c r="R3" s="93">
        <v>16.600000000000001</v>
      </c>
      <c r="S3" s="93">
        <v>116</v>
      </c>
      <c r="T3" s="103">
        <f t="shared" si="1"/>
        <v>30</v>
      </c>
      <c r="U3" s="93">
        <v>98</v>
      </c>
      <c r="V3" s="104">
        <f t="shared" si="2"/>
        <v>2940</v>
      </c>
      <c r="W3" s="93">
        <v>12</v>
      </c>
      <c r="X3" s="93" t="s">
        <v>46</v>
      </c>
      <c r="Y3" s="93" t="s">
        <v>69</v>
      </c>
      <c r="Z3" s="93" t="s">
        <v>50</v>
      </c>
      <c r="AA3" s="93" t="s">
        <v>102</v>
      </c>
      <c r="AB3" s="93" t="s">
        <v>158</v>
      </c>
      <c r="AE3" s="110" t="s">
        <v>41</v>
      </c>
      <c r="AG3" s="106" t="s">
        <v>266</v>
      </c>
      <c r="AH3" s="106" t="s">
        <v>267</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0.7</v>
      </c>
      <c r="P4" s="93">
        <v>0.65</v>
      </c>
      <c r="Q4" s="102">
        <f t="shared" si="0"/>
        <v>0.67500000000000004</v>
      </c>
      <c r="R4" s="93">
        <v>17</v>
      </c>
      <c r="S4" s="93">
        <v>116</v>
      </c>
      <c r="T4" s="103">
        <f t="shared" si="1"/>
        <v>30</v>
      </c>
      <c r="U4" s="93">
        <v>98</v>
      </c>
      <c r="V4" s="104">
        <f t="shared" si="2"/>
        <v>2940</v>
      </c>
      <c r="W4" s="93">
        <v>12</v>
      </c>
      <c r="X4" s="93" t="s">
        <v>46</v>
      </c>
      <c r="Y4" s="93" t="s">
        <v>69</v>
      </c>
      <c r="Z4" s="93" t="s">
        <v>50</v>
      </c>
      <c r="AA4" s="93" t="s">
        <v>102</v>
      </c>
      <c r="AB4" s="93" t="s">
        <v>158</v>
      </c>
      <c r="AE4" s="110" t="s">
        <v>34</v>
      </c>
      <c r="AG4" s="106" t="s">
        <v>268</v>
      </c>
      <c r="AH4" s="106" t="s">
        <v>269</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262</v>
      </c>
      <c r="E5" s="93" t="s">
        <v>263</v>
      </c>
      <c r="F5" s="93" t="s">
        <v>264</v>
      </c>
      <c r="G5" s="93" t="s">
        <v>42</v>
      </c>
      <c r="H5" s="93" t="s">
        <v>160</v>
      </c>
      <c r="I5" s="93" t="s">
        <v>159</v>
      </c>
      <c r="J5" s="93" t="s">
        <v>38</v>
      </c>
      <c r="K5" s="93" t="s">
        <v>161</v>
      </c>
      <c r="L5" s="93">
        <v>1</v>
      </c>
      <c r="N5" s="93">
        <v>1</v>
      </c>
      <c r="O5" s="93">
        <v>0.75</v>
      </c>
      <c r="P5" s="93">
        <v>0.6</v>
      </c>
      <c r="Q5" s="102">
        <f t="shared" si="0"/>
        <v>0.67500000000000004</v>
      </c>
      <c r="R5" s="93">
        <v>17.5</v>
      </c>
      <c r="S5" s="93">
        <v>130</v>
      </c>
      <c r="T5" s="103">
        <f t="shared" si="1"/>
        <v>25</v>
      </c>
      <c r="U5" s="93">
        <v>138</v>
      </c>
      <c r="V5" s="104">
        <f t="shared" si="2"/>
        <v>3450</v>
      </c>
      <c r="W5" s="93">
        <v>12</v>
      </c>
      <c r="X5" s="93" t="s">
        <v>46</v>
      </c>
      <c r="Y5" s="93" t="s">
        <v>69</v>
      </c>
      <c r="Z5" s="93" t="s">
        <v>50</v>
      </c>
      <c r="AA5" s="93" t="s">
        <v>102</v>
      </c>
      <c r="AB5" s="93" t="s">
        <v>158</v>
      </c>
      <c r="AE5" s="110" t="s">
        <v>51</v>
      </c>
      <c r="AG5" s="106" t="s">
        <v>270</v>
      </c>
      <c r="AH5" s="106" t="s">
        <v>264</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262</v>
      </c>
      <c r="E6" s="93" t="s">
        <v>263</v>
      </c>
      <c r="F6" s="93" t="s">
        <v>264</v>
      </c>
      <c r="G6" s="93" t="s">
        <v>42</v>
      </c>
      <c r="H6" s="93" t="s">
        <v>160</v>
      </c>
      <c r="I6" s="93" t="s">
        <v>159</v>
      </c>
      <c r="J6" s="93" t="s">
        <v>38</v>
      </c>
      <c r="K6" s="93" t="s">
        <v>161</v>
      </c>
      <c r="L6" s="93">
        <v>2</v>
      </c>
      <c r="N6" s="93">
        <v>1</v>
      </c>
      <c r="O6" s="93">
        <v>0.75</v>
      </c>
      <c r="P6" s="93">
        <v>0.6</v>
      </c>
      <c r="Q6" s="102">
        <f t="shared" si="0"/>
        <v>0.67500000000000004</v>
      </c>
      <c r="R6" s="93">
        <v>16.899999999999999</v>
      </c>
      <c r="S6" s="93">
        <v>134</v>
      </c>
      <c r="T6" s="103">
        <f t="shared" si="1"/>
        <v>25</v>
      </c>
      <c r="U6" s="93">
        <v>138</v>
      </c>
      <c r="V6" s="104">
        <f t="shared" si="2"/>
        <v>3450</v>
      </c>
      <c r="W6" s="93">
        <v>12</v>
      </c>
      <c r="X6" s="93" t="s">
        <v>46</v>
      </c>
      <c r="Y6" s="93" t="s">
        <v>69</v>
      </c>
      <c r="Z6" s="93" t="s">
        <v>50</v>
      </c>
      <c r="AA6" s="93" t="s">
        <v>102</v>
      </c>
      <c r="AB6" s="93" t="s">
        <v>158</v>
      </c>
      <c r="AE6" s="110" t="s">
        <v>56</v>
      </c>
      <c r="AG6" s="106" t="s">
        <v>271</v>
      </c>
      <c r="AH6" s="106" t="s">
        <v>272</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263</v>
      </c>
      <c r="F7" s="93" t="s">
        <v>264</v>
      </c>
      <c r="G7" s="93" t="s">
        <v>42</v>
      </c>
      <c r="H7" s="93" t="s">
        <v>160</v>
      </c>
      <c r="I7" s="93" t="s">
        <v>159</v>
      </c>
      <c r="J7" s="93" t="s">
        <v>38</v>
      </c>
      <c r="K7" s="93" t="s">
        <v>161</v>
      </c>
      <c r="L7" s="93">
        <v>3</v>
      </c>
      <c r="N7" s="93">
        <v>1</v>
      </c>
      <c r="O7" s="93">
        <v>0.7</v>
      </c>
      <c r="P7" s="93">
        <v>0.7</v>
      </c>
      <c r="Q7" s="102">
        <f t="shared" si="0"/>
        <v>0.7</v>
      </c>
      <c r="R7" s="93">
        <v>17.2</v>
      </c>
      <c r="S7" s="93">
        <v>128</v>
      </c>
      <c r="T7" s="103">
        <f t="shared" si="1"/>
        <v>27</v>
      </c>
      <c r="U7" s="93">
        <v>138</v>
      </c>
      <c r="V7" s="104">
        <f t="shared" si="2"/>
        <v>3726</v>
      </c>
      <c r="W7" s="93">
        <v>12</v>
      </c>
      <c r="X7" s="93" t="s">
        <v>46</v>
      </c>
      <c r="Y7" s="93" t="s">
        <v>69</v>
      </c>
      <c r="Z7" s="93" t="s">
        <v>50</v>
      </c>
      <c r="AA7" s="93" t="s">
        <v>102</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164</v>
      </c>
      <c r="I8" s="93" t="s">
        <v>159</v>
      </c>
      <c r="J8" s="93" t="s">
        <v>38</v>
      </c>
      <c r="K8" s="93" t="s">
        <v>161</v>
      </c>
      <c r="L8" s="93">
        <v>1</v>
      </c>
      <c r="N8" s="93">
        <v>1</v>
      </c>
      <c r="O8" s="93">
        <v>0.8</v>
      </c>
      <c r="P8" s="93">
        <v>0.8</v>
      </c>
      <c r="Q8" s="102">
        <f t="shared" si="0"/>
        <v>0.8</v>
      </c>
      <c r="R8" s="93">
        <v>16.899999999999999</v>
      </c>
      <c r="S8" s="93">
        <v>148</v>
      </c>
      <c r="T8" s="103">
        <f t="shared" si="1"/>
        <v>22</v>
      </c>
      <c r="U8" s="93">
        <v>138</v>
      </c>
      <c r="V8" s="104">
        <f t="shared" si="2"/>
        <v>3036</v>
      </c>
      <c r="W8" s="93">
        <v>6</v>
      </c>
      <c r="X8" s="93" t="s">
        <v>46</v>
      </c>
      <c r="Y8" s="93" t="s">
        <v>78</v>
      </c>
      <c r="Z8" s="93" t="s">
        <v>102</v>
      </c>
      <c r="AA8" s="93" t="s">
        <v>90</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164</v>
      </c>
      <c r="I9" s="93" t="s">
        <v>159</v>
      </c>
      <c r="J9" s="93" t="s">
        <v>38</v>
      </c>
      <c r="K9" s="93" t="s">
        <v>161</v>
      </c>
      <c r="L9" s="93">
        <v>2</v>
      </c>
      <c r="N9" s="93">
        <v>1</v>
      </c>
      <c r="O9" s="93">
        <v>0.75</v>
      </c>
      <c r="P9" s="93">
        <v>0.7</v>
      </c>
      <c r="Q9" s="102">
        <f t="shared" si="0"/>
        <v>0.72499999999999998</v>
      </c>
      <c r="R9" s="93">
        <v>17.600000000000001</v>
      </c>
      <c r="S9" s="93">
        <v>150</v>
      </c>
      <c r="T9" s="103">
        <f t="shared" si="1"/>
        <v>22</v>
      </c>
      <c r="U9" s="93">
        <v>138</v>
      </c>
      <c r="V9" s="104">
        <f t="shared" si="2"/>
        <v>3036</v>
      </c>
      <c r="W9" s="93">
        <v>6</v>
      </c>
      <c r="X9" s="93" t="s">
        <v>46</v>
      </c>
      <c r="Y9" s="93" t="s">
        <v>78</v>
      </c>
      <c r="Z9" s="93" t="s">
        <v>102</v>
      </c>
      <c r="AA9" s="93" t="s">
        <v>90</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164</v>
      </c>
      <c r="I10" s="93" t="s">
        <v>159</v>
      </c>
      <c r="J10" s="93" t="s">
        <v>38</v>
      </c>
      <c r="K10" s="93" t="s">
        <v>161</v>
      </c>
      <c r="L10" s="93">
        <v>3</v>
      </c>
      <c r="N10" s="93">
        <v>1</v>
      </c>
      <c r="O10" s="93">
        <v>0.75</v>
      </c>
      <c r="P10" s="93">
        <v>0.85</v>
      </c>
      <c r="Q10" s="102">
        <f t="shared" si="0"/>
        <v>0.8</v>
      </c>
      <c r="R10" s="93">
        <v>16.399999999999999</v>
      </c>
      <c r="S10" s="93">
        <v>136</v>
      </c>
      <c r="T10" s="103">
        <f t="shared" si="1"/>
        <v>25</v>
      </c>
      <c r="U10" s="93">
        <v>138</v>
      </c>
      <c r="V10" s="104">
        <f t="shared" si="2"/>
        <v>3450</v>
      </c>
      <c r="W10" s="93">
        <v>6</v>
      </c>
      <c r="X10" s="93" t="s">
        <v>46</v>
      </c>
      <c r="Y10" s="93" t="s">
        <v>78</v>
      </c>
      <c r="Z10" s="93" t="s">
        <v>102</v>
      </c>
      <c r="AA10" s="93" t="s">
        <v>90</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266</v>
      </c>
      <c r="F11" s="93" t="s">
        <v>267</v>
      </c>
      <c r="G11" s="93" t="s">
        <v>36</v>
      </c>
      <c r="H11" s="93" t="s">
        <v>160</v>
      </c>
      <c r="I11" s="93" t="s">
        <v>159</v>
      </c>
      <c r="J11" s="93" t="s">
        <v>38</v>
      </c>
      <c r="K11" s="93" t="s">
        <v>161</v>
      </c>
      <c r="L11" s="93">
        <v>1</v>
      </c>
      <c r="N11" s="93">
        <v>1</v>
      </c>
      <c r="O11" s="93">
        <v>0.5</v>
      </c>
      <c r="P11" s="93">
        <v>0.5</v>
      </c>
      <c r="Q11" s="102">
        <f t="shared" si="0"/>
        <v>0.5</v>
      </c>
      <c r="R11" s="93">
        <v>19.600000000000001</v>
      </c>
      <c r="S11" s="93">
        <v>140</v>
      </c>
      <c r="T11" s="103">
        <f t="shared" si="1"/>
        <v>22</v>
      </c>
      <c r="U11" s="93">
        <v>138</v>
      </c>
      <c r="V11" s="104">
        <f t="shared" si="2"/>
        <v>3036</v>
      </c>
      <c r="W11" s="93">
        <v>6</v>
      </c>
      <c r="X11" s="93" t="s">
        <v>46</v>
      </c>
      <c r="Y11" s="93" t="s">
        <v>78</v>
      </c>
      <c r="Z11" s="93" t="s">
        <v>102</v>
      </c>
      <c r="AA11" s="93" t="s">
        <v>90</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266</v>
      </c>
      <c r="F12" s="93" t="s">
        <v>267</v>
      </c>
      <c r="G12" s="93" t="s">
        <v>36</v>
      </c>
      <c r="H12" s="93" t="s">
        <v>160</v>
      </c>
      <c r="I12" s="93" t="s">
        <v>159</v>
      </c>
      <c r="J12" s="93" t="s">
        <v>38</v>
      </c>
      <c r="K12" s="93" t="s">
        <v>161</v>
      </c>
      <c r="L12" s="93">
        <v>2</v>
      </c>
      <c r="N12" s="93">
        <v>1</v>
      </c>
      <c r="O12" s="93">
        <v>0.75</v>
      </c>
      <c r="P12" s="93">
        <v>0.7</v>
      </c>
      <c r="Q12" s="102">
        <f t="shared" si="0"/>
        <v>0.72499999999999998</v>
      </c>
      <c r="R12" s="93">
        <v>17.8</v>
      </c>
      <c r="S12" s="93">
        <v>144</v>
      </c>
      <c r="T12" s="103">
        <f t="shared" si="1"/>
        <v>22</v>
      </c>
      <c r="U12" s="93">
        <v>138</v>
      </c>
      <c r="V12" s="104">
        <f t="shared" si="2"/>
        <v>3036</v>
      </c>
      <c r="W12" s="93">
        <v>6</v>
      </c>
      <c r="X12" s="93" t="s">
        <v>46</v>
      </c>
      <c r="Y12" s="93" t="s">
        <v>78</v>
      </c>
      <c r="Z12" s="93" t="s">
        <v>102</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266</v>
      </c>
      <c r="F13" s="93" t="s">
        <v>267</v>
      </c>
      <c r="G13" s="93" t="s">
        <v>36</v>
      </c>
      <c r="H13" s="93" t="s">
        <v>160</v>
      </c>
      <c r="I13" s="93" t="s">
        <v>159</v>
      </c>
      <c r="J13" s="93" t="s">
        <v>38</v>
      </c>
      <c r="K13" s="93" t="s">
        <v>161</v>
      </c>
      <c r="L13" s="93">
        <v>3</v>
      </c>
      <c r="N13" s="93">
        <v>1</v>
      </c>
      <c r="O13" s="93">
        <v>0.7</v>
      </c>
      <c r="P13" s="93">
        <v>0.7</v>
      </c>
      <c r="Q13" s="102">
        <f t="shared" si="0"/>
        <v>0.7</v>
      </c>
      <c r="R13" s="93">
        <v>18.2</v>
      </c>
      <c r="S13" s="93">
        <v>144</v>
      </c>
      <c r="T13" s="103">
        <f t="shared" si="1"/>
        <v>22</v>
      </c>
      <c r="U13" s="93">
        <v>138</v>
      </c>
      <c r="V13" s="104">
        <f t="shared" si="2"/>
        <v>3036</v>
      </c>
      <c r="W13" s="93">
        <v>6</v>
      </c>
      <c r="X13" s="93" t="s">
        <v>46</v>
      </c>
      <c r="Y13" s="93" t="s">
        <v>78</v>
      </c>
      <c r="Z13" s="93" t="s">
        <v>102</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164</v>
      </c>
      <c r="I14" s="93" t="s">
        <v>159</v>
      </c>
      <c r="J14" s="93" t="s">
        <v>38</v>
      </c>
      <c r="K14" s="93" t="s">
        <v>161</v>
      </c>
      <c r="L14" s="93">
        <v>1</v>
      </c>
      <c r="N14" s="93">
        <v>1</v>
      </c>
      <c r="O14" s="93">
        <v>0.8</v>
      </c>
      <c r="P14" s="93">
        <v>0.9</v>
      </c>
      <c r="Q14" s="102">
        <f t="shared" si="0"/>
        <v>0.85000000000000009</v>
      </c>
      <c r="R14" s="93">
        <v>16.600000000000001</v>
      </c>
      <c r="S14" s="93">
        <v>118</v>
      </c>
      <c r="T14" s="103">
        <f t="shared" si="1"/>
        <v>30</v>
      </c>
      <c r="U14" s="93">
        <v>98</v>
      </c>
      <c r="V14" s="104">
        <f t="shared" si="2"/>
        <v>2940</v>
      </c>
      <c r="W14" s="93">
        <v>10</v>
      </c>
      <c r="X14" s="93" t="s">
        <v>46</v>
      </c>
      <c r="Y14" s="93" t="s">
        <v>90</v>
      </c>
      <c r="Z14" s="93" t="s">
        <v>78</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164</v>
      </c>
      <c r="I15" s="93" t="s">
        <v>159</v>
      </c>
      <c r="J15" s="93" t="s">
        <v>38</v>
      </c>
      <c r="K15" s="93" t="s">
        <v>161</v>
      </c>
      <c r="L15" s="93">
        <v>2</v>
      </c>
      <c r="N15" s="93">
        <v>1</v>
      </c>
      <c r="O15" s="93">
        <v>0.7</v>
      </c>
      <c r="P15" s="93">
        <v>0.85</v>
      </c>
      <c r="Q15" s="102">
        <f t="shared" si="0"/>
        <v>0.77499999999999991</v>
      </c>
      <c r="R15" s="93">
        <v>17.5</v>
      </c>
      <c r="S15" s="93">
        <v>120</v>
      </c>
      <c r="T15" s="103">
        <f t="shared" si="1"/>
        <v>30</v>
      </c>
      <c r="U15" s="93">
        <v>98</v>
      </c>
      <c r="V15" s="104">
        <f t="shared" si="2"/>
        <v>2940</v>
      </c>
      <c r="W15" s="93">
        <v>10</v>
      </c>
      <c r="X15" s="93" t="s">
        <v>46</v>
      </c>
      <c r="Y15" s="93" t="s">
        <v>90</v>
      </c>
      <c r="Z15" s="93" t="s">
        <v>78</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164</v>
      </c>
      <c r="I16" s="93" t="s">
        <v>159</v>
      </c>
      <c r="J16" s="93" t="s">
        <v>38</v>
      </c>
      <c r="K16" s="93" t="s">
        <v>161</v>
      </c>
      <c r="L16" s="93">
        <v>3</v>
      </c>
      <c r="N16" s="93">
        <v>1</v>
      </c>
      <c r="O16" s="93">
        <v>0.85</v>
      </c>
      <c r="P16" s="93">
        <v>0.85</v>
      </c>
      <c r="Q16" s="102">
        <f t="shared" si="0"/>
        <v>0.85</v>
      </c>
      <c r="R16" s="93">
        <v>17.2</v>
      </c>
      <c r="S16" s="93">
        <v>112</v>
      </c>
      <c r="T16" s="103">
        <f t="shared" si="1"/>
        <v>33</v>
      </c>
      <c r="U16" s="93">
        <v>98</v>
      </c>
      <c r="V16" s="104">
        <f t="shared" si="2"/>
        <v>3234</v>
      </c>
      <c r="W16" s="93">
        <v>10</v>
      </c>
      <c r="X16" s="93" t="s">
        <v>46</v>
      </c>
      <c r="Y16" s="93" t="s">
        <v>90</v>
      </c>
      <c r="Z16" s="93" t="s">
        <v>78</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160</v>
      </c>
      <c r="I17" s="93" t="s">
        <v>159</v>
      </c>
      <c r="J17" s="93" t="s">
        <v>38</v>
      </c>
      <c r="K17" s="93" t="s">
        <v>161</v>
      </c>
      <c r="L17" s="93">
        <v>1</v>
      </c>
      <c r="N17" s="93">
        <v>1</v>
      </c>
      <c r="O17" s="93">
        <v>0.5</v>
      </c>
      <c r="P17" s="93">
        <v>0.5</v>
      </c>
      <c r="Q17" s="102">
        <f t="shared" si="0"/>
        <v>0.5</v>
      </c>
      <c r="R17" s="93">
        <v>19</v>
      </c>
      <c r="S17" s="93">
        <v>110</v>
      </c>
      <c r="T17" s="103">
        <f t="shared" si="1"/>
        <v>33</v>
      </c>
      <c r="U17" s="93">
        <v>98</v>
      </c>
      <c r="V17" s="104">
        <f t="shared" si="2"/>
        <v>3234</v>
      </c>
      <c r="W17" s="93">
        <v>10</v>
      </c>
      <c r="X17" s="93" t="s">
        <v>46</v>
      </c>
      <c r="Y17" s="93" t="s">
        <v>90</v>
      </c>
      <c r="Z17" s="93" t="s">
        <v>78</v>
      </c>
      <c r="AA17" s="93" t="s">
        <v>69</v>
      </c>
      <c r="AB17" s="93" t="s">
        <v>158</v>
      </c>
      <c r="AE17" s="110" t="s">
        <v>220</v>
      </c>
      <c r="AP17" s="115" t="s">
        <v>221</v>
      </c>
      <c r="AR17" s="111" t="s">
        <v>96</v>
      </c>
      <c r="AV17" s="111" t="s">
        <v>86</v>
      </c>
    </row>
    <row r="18" spans="1:48" x14ac:dyDescent="0.15">
      <c r="A18" s="93" t="s">
        <v>51</v>
      </c>
      <c r="B18" s="93" t="s">
        <v>157</v>
      </c>
      <c r="C18" s="93">
        <v>2019</v>
      </c>
      <c r="D18" s="101" t="s">
        <v>262</v>
      </c>
      <c r="E18" s="93" t="s">
        <v>139</v>
      </c>
      <c r="F18" s="93" t="s">
        <v>277</v>
      </c>
      <c r="G18" s="93" t="s">
        <v>42</v>
      </c>
      <c r="H18" s="93" t="s">
        <v>160</v>
      </c>
      <c r="I18" s="93" t="s">
        <v>159</v>
      </c>
      <c r="J18" s="93" t="s">
        <v>38</v>
      </c>
      <c r="K18" s="93" t="s">
        <v>161</v>
      </c>
      <c r="L18" s="93">
        <v>2</v>
      </c>
      <c r="N18" s="93">
        <v>1</v>
      </c>
      <c r="O18" s="93">
        <v>0.55000000000000004</v>
      </c>
      <c r="P18" s="93">
        <v>0.6</v>
      </c>
      <c r="Q18" s="102">
        <f t="shared" si="0"/>
        <v>0.57499999999999996</v>
      </c>
      <c r="R18" s="93">
        <v>17.7</v>
      </c>
      <c r="S18" s="93">
        <v>116</v>
      </c>
      <c r="T18" s="103">
        <f t="shared" si="1"/>
        <v>30</v>
      </c>
      <c r="U18" s="93">
        <v>98</v>
      </c>
      <c r="V18" s="104">
        <f t="shared" si="2"/>
        <v>2940</v>
      </c>
      <c r="W18" s="93">
        <v>10</v>
      </c>
      <c r="X18" s="93" t="s">
        <v>46</v>
      </c>
      <c r="Y18" s="93" t="s">
        <v>90</v>
      </c>
      <c r="Z18" s="93" t="s">
        <v>78</v>
      </c>
      <c r="AA18" s="93" t="s">
        <v>69</v>
      </c>
      <c r="AB18" s="93" t="s">
        <v>158</v>
      </c>
      <c r="AE18" s="110" t="s">
        <v>213</v>
      </c>
      <c r="AP18" s="115" t="s">
        <v>222</v>
      </c>
      <c r="AR18" s="111" t="s">
        <v>101</v>
      </c>
      <c r="AV18" s="111" t="s">
        <v>88</v>
      </c>
    </row>
    <row r="19" spans="1:48" x14ac:dyDescent="0.15">
      <c r="A19" s="93" t="s">
        <v>51</v>
      </c>
      <c r="B19" s="93" t="s">
        <v>157</v>
      </c>
      <c r="C19" s="93">
        <v>2019</v>
      </c>
      <c r="D19" s="101" t="s">
        <v>262</v>
      </c>
      <c r="E19" s="93" t="s">
        <v>139</v>
      </c>
      <c r="F19" s="93" t="s">
        <v>277</v>
      </c>
      <c r="G19" s="93" t="s">
        <v>42</v>
      </c>
      <c r="H19" s="93" t="s">
        <v>160</v>
      </c>
      <c r="I19" s="93" t="s">
        <v>159</v>
      </c>
      <c r="J19" s="93" t="s">
        <v>38</v>
      </c>
      <c r="K19" s="93" t="s">
        <v>161</v>
      </c>
      <c r="L19" s="93">
        <v>3</v>
      </c>
      <c r="N19" s="93">
        <v>1</v>
      </c>
      <c r="O19" s="93">
        <v>0.7</v>
      </c>
      <c r="P19" s="93">
        <v>0.65</v>
      </c>
      <c r="Q19" s="102">
        <f t="shared" si="0"/>
        <v>0.67500000000000004</v>
      </c>
      <c r="R19" s="93">
        <v>17.3</v>
      </c>
      <c r="S19" s="93">
        <v>110</v>
      </c>
      <c r="T19" s="103">
        <f t="shared" si="1"/>
        <v>33</v>
      </c>
      <c r="U19" s="93">
        <v>98</v>
      </c>
      <c r="V19" s="104">
        <f t="shared" si="2"/>
        <v>3234</v>
      </c>
      <c r="W19" s="93">
        <v>10</v>
      </c>
      <c r="X19" s="93" t="s">
        <v>46</v>
      </c>
      <c r="Y19" s="93" t="s">
        <v>90</v>
      </c>
      <c r="Z19" s="93" t="s">
        <v>78</v>
      </c>
      <c r="AA19" s="93" t="s">
        <v>69</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164</v>
      </c>
      <c r="I20" s="93" t="s">
        <v>159</v>
      </c>
      <c r="J20" s="93" t="s">
        <v>38</v>
      </c>
      <c r="K20" s="93" t="s">
        <v>161</v>
      </c>
      <c r="L20" s="93">
        <v>1</v>
      </c>
      <c r="N20" s="93">
        <v>1</v>
      </c>
      <c r="O20" s="93">
        <v>0.65</v>
      </c>
      <c r="P20" s="93">
        <v>0.65</v>
      </c>
      <c r="Q20" s="102">
        <f t="shared" si="0"/>
        <v>0.65</v>
      </c>
      <c r="R20" s="93">
        <v>15.2</v>
      </c>
      <c r="S20" s="93">
        <v>140</v>
      </c>
      <c r="T20" s="103">
        <f t="shared" si="1"/>
        <v>22</v>
      </c>
      <c r="U20" s="93">
        <v>98</v>
      </c>
      <c r="V20" s="104">
        <f t="shared" si="2"/>
        <v>2156</v>
      </c>
      <c r="W20" s="93">
        <v>10</v>
      </c>
      <c r="X20" s="93" t="s">
        <v>46</v>
      </c>
      <c r="Y20" s="93" t="s">
        <v>69</v>
      </c>
      <c r="Z20" s="93" t="s">
        <v>78</v>
      </c>
      <c r="AA20" s="93" t="s">
        <v>102</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164</v>
      </c>
      <c r="I21" s="93" t="s">
        <v>159</v>
      </c>
      <c r="J21" s="93" t="s">
        <v>38</v>
      </c>
      <c r="K21" s="93" t="s">
        <v>161</v>
      </c>
      <c r="L21" s="93">
        <v>2</v>
      </c>
      <c r="N21" s="93">
        <v>1</v>
      </c>
      <c r="O21" s="93">
        <v>0.6</v>
      </c>
      <c r="P21" s="93">
        <v>0.65</v>
      </c>
      <c r="Q21" s="102">
        <f t="shared" si="0"/>
        <v>0.625</v>
      </c>
      <c r="R21" s="93">
        <v>15.6</v>
      </c>
      <c r="S21" s="93">
        <v>140</v>
      </c>
      <c r="T21" s="103">
        <f t="shared" si="1"/>
        <v>22</v>
      </c>
      <c r="U21" s="93">
        <v>98</v>
      </c>
      <c r="V21" s="104">
        <f t="shared" si="2"/>
        <v>2156</v>
      </c>
      <c r="W21" s="93">
        <v>10</v>
      </c>
      <c r="X21" s="93" t="s">
        <v>46</v>
      </c>
      <c r="Y21" s="93" t="s">
        <v>69</v>
      </c>
      <c r="Z21" s="93" t="s">
        <v>78</v>
      </c>
      <c r="AA21" s="93" t="s">
        <v>102</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164</v>
      </c>
      <c r="I22" s="93" t="s">
        <v>159</v>
      </c>
      <c r="J22" s="93" t="s">
        <v>38</v>
      </c>
      <c r="K22" s="93" t="s">
        <v>161</v>
      </c>
      <c r="L22" s="93">
        <v>3</v>
      </c>
      <c r="N22" s="93">
        <v>1</v>
      </c>
      <c r="O22" s="93">
        <v>0.8</v>
      </c>
      <c r="P22" s="93">
        <v>0.7</v>
      </c>
      <c r="Q22" s="102">
        <f t="shared" si="0"/>
        <v>0.75</v>
      </c>
      <c r="R22" s="93">
        <v>15</v>
      </c>
      <c r="S22" s="93">
        <v>140</v>
      </c>
      <c r="T22" s="103">
        <f t="shared" si="1"/>
        <v>22</v>
      </c>
      <c r="U22" s="93">
        <v>98</v>
      </c>
      <c r="V22" s="104">
        <f t="shared" si="2"/>
        <v>2156</v>
      </c>
      <c r="W22" s="93">
        <v>10</v>
      </c>
      <c r="X22" s="93" t="s">
        <v>46</v>
      </c>
      <c r="Y22" s="93" t="s">
        <v>69</v>
      </c>
      <c r="Z22" s="93" t="s">
        <v>78</v>
      </c>
      <c r="AA22" s="93" t="s">
        <v>102</v>
      </c>
      <c r="AB22" s="93" t="s">
        <v>158</v>
      </c>
      <c r="AP22" s="115" t="s">
        <v>229</v>
      </c>
      <c r="AR22" s="111" t="s">
        <v>83</v>
      </c>
      <c r="AV22" s="115"/>
    </row>
    <row r="23" spans="1:48" x14ac:dyDescent="0.15">
      <c r="A23" s="93" t="s">
        <v>51</v>
      </c>
      <c r="B23" s="93" t="s">
        <v>157</v>
      </c>
      <c r="C23" s="93">
        <v>2019</v>
      </c>
      <c r="D23" s="101" t="s">
        <v>262</v>
      </c>
      <c r="E23" s="93" t="s">
        <v>271</v>
      </c>
      <c r="F23" s="93" t="s">
        <v>272</v>
      </c>
      <c r="G23" s="93" t="s">
        <v>36</v>
      </c>
      <c r="H23" s="93" t="s">
        <v>160</v>
      </c>
      <c r="I23" s="93" t="s">
        <v>159</v>
      </c>
      <c r="J23" s="93" t="s">
        <v>38</v>
      </c>
      <c r="K23" s="93" t="s">
        <v>161</v>
      </c>
      <c r="L23" s="93">
        <v>1</v>
      </c>
      <c r="N23" s="93">
        <v>1</v>
      </c>
      <c r="O23" s="93">
        <v>0.75</v>
      </c>
      <c r="P23" s="93">
        <v>0.7</v>
      </c>
      <c r="Q23" s="102">
        <f t="shared" si="0"/>
        <v>0.72499999999999998</v>
      </c>
      <c r="R23" s="93">
        <v>16.399999999999999</v>
      </c>
      <c r="S23" s="93">
        <v>144</v>
      </c>
      <c r="T23" s="103">
        <f t="shared" si="1"/>
        <v>22</v>
      </c>
      <c r="U23" s="93">
        <v>128</v>
      </c>
      <c r="V23" s="104">
        <f t="shared" si="2"/>
        <v>2816</v>
      </c>
      <c r="W23" s="93">
        <v>10</v>
      </c>
      <c r="X23" s="93" t="s">
        <v>46</v>
      </c>
      <c r="Y23" s="93" t="s">
        <v>69</v>
      </c>
      <c r="Z23" s="93" t="s">
        <v>78</v>
      </c>
      <c r="AA23" s="93" t="s">
        <v>102</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160</v>
      </c>
      <c r="I24" s="93" t="s">
        <v>159</v>
      </c>
      <c r="J24" s="93" t="s">
        <v>38</v>
      </c>
      <c r="K24" s="93" t="s">
        <v>161</v>
      </c>
      <c r="L24" s="93">
        <v>2</v>
      </c>
      <c r="N24" s="93">
        <v>1</v>
      </c>
      <c r="O24" s="93">
        <v>0.7</v>
      </c>
      <c r="P24" s="93">
        <v>0.7</v>
      </c>
      <c r="Q24" s="102">
        <f t="shared" si="0"/>
        <v>0.7</v>
      </c>
      <c r="R24" s="93">
        <v>16.8</v>
      </c>
      <c r="S24" s="93">
        <v>148</v>
      </c>
      <c r="T24" s="103">
        <f t="shared" si="1"/>
        <v>22</v>
      </c>
      <c r="U24" s="93">
        <v>128</v>
      </c>
      <c r="V24" s="104">
        <f t="shared" si="2"/>
        <v>2816</v>
      </c>
      <c r="W24" s="93">
        <v>10</v>
      </c>
      <c r="X24" s="93" t="s">
        <v>46</v>
      </c>
      <c r="Y24" s="93" t="s">
        <v>69</v>
      </c>
      <c r="Z24" s="93" t="s">
        <v>78</v>
      </c>
      <c r="AA24" s="93" t="s">
        <v>102</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160</v>
      </c>
      <c r="I25" s="93" t="s">
        <v>159</v>
      </c>
      <c r="J25" s="93" t="s">
        <v>38</v>
      </c>
      <c r="K25" s="93" t="s">
        <v>161</v>
      </c>
      <c r="L25" s="93">
        <v>3</v>
      </c>
      <c r="N25" s="93">
        <v>1</v>
      </c>
      <c r="O25" s="93">
        <v>0.75</v>
      </c>
      <c r="P25" s="93">
        <v>0.65</v>
      </c>
      <c r="Q25" s="102">
        <f>IF(OR(O25="",P25=""),"",AVERAGE(O25,P25))</f>
        <v>0.7</v>
      </c>
      <c r="R25" s="93">
        <v>17.7</v>
      </c>
      <c r="S25" s="93">
        <v>150</v>
      </c>
      <c r="T25" s="103">
        <f t="shared" si="1"/>
        <v>22</v>
      </c>
      <c r="U25" s="93">
        <v>128</v>
      </c>
      <c r="V25" s="104">
        <f t="shared" si="2"/>
        <v>2816</v>
      </c>
      <c r="W25" s="93">
        <v>10</v>
      </c>
      <c r="X25" s="93" t="s">
        <v>46</v>
      </c>
      <c r="Y25" s="93" t="s">
        <v>69</v>
      </c>
      <c r="Z25" s="93" t="s">
        <v>78</v>
      </c>
      <c r="AA25" s="93" t="s">
        <v>102</v>
      </c>
      <c r="AB25" s="93" t="s">
        <v>158</v>
      </c>
      <c r="AP25" s="115" t="s">
        <v>280</v>
      </c>
      <c r="AR25" s="115" t="s">
        <v>51</v>
      </c>
    </row>
    <row r="26" spans="1:48" x14ac:dyDescent="0.15">
      <c r="A26" s="93" t="s">
        <v>51</v>
      </c>
      <c r="B26" s="93" t="s">
        <v>157</v>
      </c>
      <c r="C26" s="93">
        <v>2019</v>
      </c>
      <c r="D26" s="101" t="s">
        <v>262</v>
      </c>
      <c r="E26" s="93" t="s">
        <v>211</v>
      </c>
      <c r="F26" s="93" t="s">
        <v>265</v>
      </c>
      <c r="G26" s="93" t="s">
        <v>42</v>
      </c>
      <c r="H26" s="93" t="s">
        <v>164</v>
      </c>
      <c r="I26" s="93" t="s">
        <v>159</v>
      </c>
      <c r="J26" s="93" t="s">
        <v>38</v>
      </c>
      <c r="K26" s="93" t="s">
        <v>161</v>
      </c>
      <c r="L26" s="93">
        <v>1</v>
      </c>
      <c r="N26" s="93">
        <v>1</v>
      </c>
      <c r="O26" s="93">
        <v>0.75</v>
      </c>
      <c r="P26" s="93">
        <v>0.85</v>
      </c>
      <c r="Q26" s="102">
        <f t="shared" si="0"/>
        <v>0.8</v>
      </c>
      <c r="R26" s="93">
        <v>16.8</v>
      </c>
      <c r="S26" s="93">
        <v>128</v>
      </c>
      <c r="T26" s="103">
        <f t="shared" si="1"/>
        <v>27</v>
      </c>
      <c r="U26" s="93">
        <v>127</v>
      </c>
      <c r="V26" s="104">
        <f t="shared" si="2"/>
        <v>3429</v>
      </c>
      <c r="W26" s="93">
        <v>9</v>
      </c>
      <c r="X26" s="93" t="s">
        <v>46</v>
      </c>
      <c r="Y26" s="93" t="s">
        <v>102</v>
      </c>
      <c r="Z26" s="93" t="s">
        <v>50</v>
      </c>
      <c r="AA26" s="93" t="s">
        <v>90</v>
      </c>
      <c r="AB26" s="93" t="s">
        <v>158</v>
      </c>
      <c r="AP26" s="115" t="s">
        <v>230</v>
      </c>
      <c r="AR26" s="93" t="s">
        <v>231</v>
      </c>
    </row>
    <row r="27" spans="1:48" x14ac:dyDescent="0.15">
      <c r="A27" s="93" t="s">
        <v>51</v>
      </c>
      <c r="B27" s="93" t="s">
        <v>157</v>
      </c>
      <c r="C27" s="93">
        <v>2019</v>
      </c>
      <c r="D27" s="101" t="s">
        <v>262</v>
      </c>
      <c r="E27" s="93" t="s">
        <v>211</v>
      </c>
      <c r="F27" s="93" t="s">
        <v>265</v>
      </c>
      <c r="G27" s="93" t="s">
        <v>42</v>
      </c>
      <c r="H27" s="93" t="s">
        <v>164</v>
      </c>
      <c r="I27" s="93" t="s">
        <v>159</v>
      </c>
      <c r="J27" s="93" t="s">
        <v>38</v>
      </c>
      <c r="K27" s="93" t="s">
        <v>161</v>
      </c>
      <c r="L27" s="93">
        <v>2</v>
      </c>
      <c r="N27" s="93">
        <v>1</v>
      </c>
      <c r="O27" s="93">
        <v>0.8</v>
      </c>
      <c r="P27" s="93">
        <v>0.7</v>
      </c>
      <c r="Q27" s="102">
        <f t="shared" si="0"/>
        <v>0.75</v>
      </c>
      <c r="R27" s="93">
        <v>17.100000000000001</v>
      </c>
      <c r="S27" s="93">
        <v>132</v>
      </c>
      <c r="T27" s="103">
        <f t="shared" si="1"/>
        <v>25</v>
      </c>
      <c r="U27" s="93">
        <v>127</v>
      </c>
      <c r="V27" s="104">
        <f t="shared" si="2"/>
        <v>3175</v>
      </c>
      <c r="W27" s="93">
        <v>9</v>
      </c>
      <c r="X27" s="93" t="s">
        <v>46</v>
      </c>
      <c r="Y27" s="93" t="s">
        <v>102</v>
      </c>
      <c r="Z27" s="93" t="s">
        <v>50</v>
      </c>
      <c r="AA27" s="93" t="s">
        <v>90</v>
      </c>
      <c r="AB27" s="93" t="s">
        <v>158</v>
      </c>
      <c r="AP27" s="115" t="s">
        <v>232</v>
      </c>
    </row>
    <row r="28" spans="1:48" x14ac:dyDescent="0.15">
      <c r="A28" s="93" t="s">
        <v>51</v>
      </c>
      <c r="B28" s="93" t="s">
        <v>157</v>
      </c>
      <c r="C28" s="93">
        <v>2019</v>
      </c>
      <c r="D28" s="101" t="s">
        <v>262</v>
      </c>
      <c r="E28" s="93" t="s">
        <v>211</v>
      </c>
      <c r="F28" s="93" t="s">
        <v>265</v>
      </c>
      <c r="G28" s="93" t="s">
        <v>42</v>
      </c>
      <c r="H28" s="93" t="s">
        <v>164</v>
      </c>
      <c r="I28" s="93" t="s">
        <v>159</v>
      </c>
      <c r="J28" s="93" t="s">
        <v>38</v>
      </c>
      <c r="K28" s="93" t="s">
        <v>161</v>
      </c>
      <c r="L28" s="93">
        <v>3</v>
      </c>
      <c r="N28" s="93">
        <v>1</v>
      </c>
      <c r="O28" s="93">
        <v>0.7</v>
      </c>
      <c r="P28" s="93">
        <v>0.75</v>
      </c>
      <c r="Q28" s="102">
        <f t="shared" si="0"/>
        <v>0.72499999999999998</v>
      </c>
      <c r="R28" s="93">
        <v>16.600000000000001</v>
      </c>
      <c r="S28" s="93">
        <v>128</v>
      </c>
      <c r="T28" s="103">
        <f t="shared" si="1"/>
        <v>27</v>
      </c>
      <c r="U28" s="93">
        <v>127</v>
      </c>
      <c r="V28" s="104">
        <f t="shared" si="2"/>
        <v>3429</v>
      </c>
      <c r="W28" s="93">
        <v>9</v>
      </c>
      <c r="X28" s="93" t="s">
        <v>46</v>
      </c>
      <c r="Y28" s="93" t="s">
        <v>102</v>
      </c>
      <c r="Z28" s="93" t="s">
        <v>50</v>
      </c>
      <c r="AA28" s="93" t="s">
        <v>90</v>
      </c>
      <c r="AB28" s="93" t="s">
        <v>158</v>
      </c>
    </row>
    <row r="29" spans="1:48" x14ac:dyDescent="0.15">
      <c r="A29" s="93" t="s">
        <v>51</v>
      </c>
      <c r="B29" s="93" t="s">
        <v>157</v>
      </c>
      <c r="C29" s="93">
        <v>2019</v>
      </c>
      <c r="D29" s="101" t="s">
        <v>262</v>
      </c>
      <c r="E29" s="93" t="s">
        <v>211</v>
      </c>
      <c r="F29" s="93" t="s">
        <v>265</v>
      </c>
      <c r="G29" s="93" t="s">
        <v>42</v>
      </c>
      <c r="H29" s="93" t="s">
        <v>160</v>
      </c>
      <c r="I29" s="93" t="s">
        <v>159</v>
      </c>
      <c r="J29" s="93" t="s">
        <v>38</v>
      </c>
      <c r="K29" s="93" t="s">
        <v>161</v>
      </c>
      <c r="L29" s="93">
        <v>1</v>
      </c>
      <c r="N29" s="93">
        <v>1</v>
      </c>
      <c r="O29" s="93">
        <v>0.75</v>
      </c>
      <c r="P29" s="93">
        <v>0.75</v>
      </c>
      <c r="Q29" s="102">
        <f t="shared" si="0"/>
        <v>0.75</v>
      </c>
      <c r="R29" s="93">
        <v>18.3</v>
      </c>
      <c r="S29" s="93">
        <v>176</v>
      </c>
      <c r="T29" s="103">
        <f t="shared" si="1"/>
        <v>18</v>
      </c>
      <c r="U29" s="93">
        <v>127</v>
      </c>
      <c r="V29" s="104">
        <f t="shared" si="2"/>
        <v>2286</v>
      </c>
      <c r="W29" s="93">
        <v>9</v>
      </c>
      <c r="X29" s="93" t="s">
        <v>46</v>
      </c>
      <c r="Y29" s="93" t="s">
        <v>102</v>
      </c>
      <c r="Z29" s="93" t="s">
        <v>50</v>
      </c>
      <c r="AA29" s="93" t="s">
        <v>90</v>
      </c>
      <c r="AB29" s="93" t="s">
        <v>158</v>
      </c>
    </row>
    <row r="30" spans="1:48" x14ac:dyDescent="0.15">
      <c r="A30" s="93" t="s">
        <v>51</v>
      </c>
      <c r="B30" s="93" t="s">
        <v>157</v>
      </c>
      <c r="C30" s="93">
        <v>2019</v>
      </c>
      <c r="D30" s="101" t="s">
        <v>262</v>
      </c>
      <c r="E30" s="93" t="s">
        <v>211</v>
      </c>
      <c r="F30" s="93" t="s">
        <v>265</v>
      </c>
      <c r="G30" s="93" t="s">
        <v>42</v>
      </c>
      <c r="H30" s="93" t="s">
        <v>160</v>
      </c>
      <c r="I30" s="93" t="s">
        <v>159</v>
      </c>
      <c r="J30" s="93" t="s">
        <v>38</v>
      </c>
      <c r="K30" s="93" t="s">
        <v>161</v>
      </c>
      <c r="L30" s="93">
        <v>2</v>
      </c>
      <c r="N30" s="93">
        <v>1</v>
      </c>
      <c r="O30" s="93">
        <v>0.8</v>
      </c>
      <c r="P30" s="93">
        <v>0.65</v>
      </c>
      <c r="Q30" s="102">
        <f t="shared" si="0"/>
        <v>0.72500000000000009</v>
      </c>
      <c r="R30" s="93">
        <v>17.2</v>
      </c>
      <c r="S30" s="93">
        <v>154</v>
      </c>
      <c r="T30" s="103">
        <f t="shared" si="1"/>
        <v>18</v>
      </c>
      <c r="U30" s="93">
        <v>127</v>
      </c>
      <c r="V30" s="104">
        <f t="shared" si="2"/>
        <v>2286</v>
      </c>
      <c r="W30" s="93">
        <v>9</v>
      </c>
      <c r="X30" s="93" t="s">
        <v>46</v>
      </c>
      <c r="Y30" s="93" t="s">
        <v>102</v>
      </c>
      <c r="Z30" s="93" t="s">
        <v>50</v>
      </c>
      <c r="AA30" s="93" t="s">
        <v>90</v>
      </c>
      <c r="AB30" s="93" t="s">
        <v>158</v>
      </c>
    </row>
    <row r="31" spans="1:48" x14ac:dyDescent="0.15">
      <c r="A31" s="93" t="s">
        <v>51</v>
      </c>
      <c r="B31" s="93" t="s">
        <v>157</v>
      </c>
      <c r="C31" s="93">
        <v>2019</v>
      </c>
      <c r="D31" s="101" t="s">
        <v>262</v>
      </c>
      <c r="E31" s="93" t="s">
        <v>211</v>
      </c>
      <c r="F31" s="93" t="s">
        <v>265</v>
      </c>
      <c r="G31" s="93" t="s">
        <v>42</v>
      </c>
      <c r="H31" s="93" t="s">
        <v>160</v>
      </c>
      <c r="I31" s="93" t="s">
        <v>159</v>
      </c>
      <c r="J31" s="93" t="s">
        <v>38</v>
      </c>
      <c r="K31" s="93" t="s">
        <v>161</v>
      </c>
      <c r="L31" s="93">
        <v>3</v>
      </c>
      <c r="N31" s="93">
        <v>1</v>
      </c>
      <c r="O31" s="93">
        <v>0.75</v>
      </c>
      <c r="P31" s="93">
        <v>0.7</v>
      </c>
      <c r="Q31" s="102">
        <f t="shared" si="0"/>
        <v>0.72499999999999998</v>
      </c>
      <c r="R31" s="93">
        <v>17.5</v>
      </c>
      <c r="S31" s="93">
        <v>156</v>
      </c>
      <c r="T31" s="103">
        <f t="shared" si="1"/>
        <v>18</v>
      </c>
      <c r="U31" s="93">
        <v>127</v>
      </c>
      <c r="V31" s="104">
        <f t="shared" si="2"/>
        <v>2286</v>
      </c>
      <c r="W31" s="93">
        <v>9</v>
      </c>
      <c r="X31" s="93" t="s">
        <v>46</v>
      </c>
      <c r="Y31" s="93" t="s">
        <v>102</v>
      </c>
      <c r="Z31" s="93" t="s">
        <v>50</v>
      </c>
      <c r="AA31" s="93" t="s">
        <v>90</v>
      </c>
      <c r="AB31" s="93" t="s">
        <v>158</v>
      </c>
    </row>
    <row r="32" spans="1:48" x14ac:dyDescent="0.15">
      <c r="A32" s="93" t="s">
        <v>51</v>
      </c>
      <c r="B32" s="93" t="s">
        <v>157</v>
      </c>
      <c r="C32" s="93">
        <v>2019</v>
      </c>
      <c r="D32" s="101" t="s">
        <v>262</v>
      </c>
      <c r="E32" s="93" t="s">
        <v>273</v>
      </c>
      <c r="F32" s="93" t="s">
        <v>265</v>
      </c>
      <c r="G32" s="93" t="s">
        <v>42</v>
      </c>
      <c r="H32" s="93" t="s">
        <v>164</v>
      </c>
      <c r="I32" s="93" t="s">
        <v>159</v>
      </c>
      <c r="J32" s="93" t="s">
        <v>38</v>
      </c>
      <c r="K32" s="93" t="s">
        <v>161</v>
      </c>
      <c r="L32" s="93">
        <v>1</v>
      </c>
      <c r="N32" s="93">
        <v>1</v>
      </c>
      <c r="O32" s="93">
        <v>0.7</v>
      </c>
      <c r="P32" s="93">
        <v>0.75</v>
      </c>
      <c r="Q32" s="102">
        <f t="shared" si="0"/>
        <v>0.72499999999999998</v>
      </c>
      <c r="R32" s="93">
        <v>13.7</v>
      </c>
      <c r="S32" s="93">
        <v>140</v>
      </c>
      <c r="T32" s="103">
        <f t="shared" si="1"/>
        <v>22</v>
      </c>
      <c r="U32" s="93">
        <v>158</v>
      </c>
      <c r="V32" s="104">
        <f t="shared" si="2"/>
        <v>3476</v>
      </c>
      <c r="W32" s="93">
        <v>10</v>
      </c>
      <c r="X32" s="93" t="s">
        <v>39</v>
      </c>
      <c r="Y32" s="93" t="s">
        <v>84</v>
      </c>
      <c r="Z32" s="93" t="s">
        <v>78</v>
      </c>
      <c r="AA32" s="93" t="s">
        <v>69</v>
      </c>
      <c r="AB32" s="93" t="s">
        <v>158</v>
      </c>
    </row>
    <row r="33" spans="1:28" x14ac:dyDescent="0.15">
      <c r="A33" s="93" t="s">
        <v>51</v>
      </c>
      <c r="B33" s="93" t="s">
        <v>157</v>
      </c>
      <c r="C33" s="93">
        <v>2019</v>
      </c>
      <c r="D33" s="101" t="s">
        <v>262</v>
      </c>
      <c r="E33" s="93" t="s">
        <v>273</v>
      </c>
      <c r="F33" s="93" t="s">
        <v>265</v>
      </c>
      <c r="G33" s="93" t="s">
        <v>42</v>
      </c>
      <c r="H33" s="93" t="s">
        <v>164</v>
      </c>
      <c r="I33" s="93" t="s">
        <v>159</v>
      </c>
      <c r="J33" s="93" t="s">
        <v>38</v>
      </c>
      <c r="K33" s="93" t="s">
        <v>161</v>
      </c>
      <c r="L33" s="93">
        <v>2</v>
      </c>
      <c r="N33" s="93">
        <v>1</v>
      </c>
      <c r="O33" s="93">
        <v>0.8</v>
      </c>
      <c r="P33" s="93">
        <v>0.7</v>
      </c>
      <c r="Q33" s="102">
        <f t="shared" si="0"/>
        <v>0.75</v>
      </c>
      <c r="R33" s="93">
        <v>14.3</v>
      </c>
      <c r="S33" s="93">
        <v>148</v>
      </c>
      <c r="T33" s="103">
        <f t="shared" si="1"/>
        <v>22</v>
      </c>
      <c r="U33" s="93">
        <v>158</v>
      </c>
      <c r="V33" s="104">
        <f t="shared" si="2"/>
        <v>3476</v>
      </c>
      <c r="W33" s="93">
        <v>10</v>
      </c>
      <c r="X33" s="93" t="s">
        <v>39</v>
      </c>
      <c r="Y33" s="93" t="s">
        <v>84</v>
      </c>
      <c r="Z33" s="93" t="s">
        <v>78</v>
      </c>
      <c r="AA33" s="93" t="s">
        <v>69</v>
      </c>
      <c r="AB33" s="93" t="s">
        <v>158</v>
      </c>
    </row>
    <row r="34" spans="1:28" x14ac:dyDescent="0.15">
      <c r="A34" s="93" t="s">
        <v>51</v>
      </c>
      <c r="B34" s="93" t="s">
        <v>157</v>
      </c>
      <c r="C34" s="93">
        <v>2019</v>
      </c>
      <c r="D34" s="101" t="s">
        <v>262</v>
      </c>
      <c r="E34" s="93" t="s">
        <v>273</v>
      </c>
      <c r="F34" s="93" t="s">
        <v>265</v>
      </c>
      <c r="G34" s="93" t="s">
        <v>42</v>
      </c>
      <c r="H34" s="93" t="s">
        <v>164</v>
      </c>
      <c r="I34" s="93" t="s">
        <v>159</v>
      </c>
      <c r="J34" s="93" t="s">
        <v>38</v>
      </c>
      <c r="K34" s="93" t="s">
        <v>161</v>
      </c>
      <c r="L34" s="93">
        <v>3</v>
      </c>
      <c r="N34" s="93">
        <v>1</v>
      </c>
      <c r="O34" s="93">
        <v>0.7</v>
      </c>
      <c r="P34" s="93">
        <v>0.7</v>
      </c>
      <c r="Q34" s="102">
        <f t="shared" si="0"/>
        <v>0.7</v>
      </c>
      <c r="R34" s="93">
        <v>14.5</v>
      </c>
      <c r="S34" s="93">
        <v>140</v>
      </c>
      <c r="T34" s="103">
        <f t="shared" si="1"/>
        <v>22</v>
      </c>
      <c r="U34" s="93">
        <v>158</v>
      </c>
      <c r="V34" s="104">
        <f t="shared" si="2"/>
        <v>3476</v>
      </c>
      <c r="W34" s="93">
        <v>10</v>
      </c>
      <c r="X34" s="93" t="s">
        <v>39</v>
      </c>
      <c r="Y34" s="93" t="s">
        <v>84</v>
      </c>
      <c r="Z34" s="93" t="s">
        <v>78</v>
      </c>
      <c r="AA34" s="93" t="s">
        <v>69</v>
      </c>
      <c r="AB34" s="93" t="s">
        <v>158</v>
      </c>
    </row>
    <row r="35" spans="1:28" x14ac:dyDescent="0.15">
      <c r="A35" s="93" t="s">
        <v>51</v>
      </c>
      <c r="B35" s="93" t="s">
        <v>157</v>
      </c>
      <c r="C35" s="93">
        <v>2019</v>
      </c>
      <c r="D35" s="101" t="s">
        <v>262</v>
      </c>
      <c r="E35" s="93" t="s">
        <v>273</v>
      </c>
      <c r="F35" s="93" t="s">
        <v>265</v>
      </c>
      <c r="G35" s="93" t="s">
        <v>42</v>
      </c>
      <c r="H35" s="93" t="s">
        <v>164</v>
      </c>
      <c r="I35" s="93" t="s">
        <v>198</v>
      </c>
      <c r="J35" s="93" t="s">
        <v>38</v>
      </c>
      <c r="K35" s="93" t="s">
        <v>161</v>
      </c>
      <c r="L35" s="93">
        <v>1</v>
      </c>
      <c r="N35" s="93">
        <v>4</v>
      </c>
      <c r="O35" s="93">
        <v>0.95</v>
      </c>
      <c r="P35" s="93">
        <v>1</v>
      </c>
      <c r="Q35" s="102">
        <f t="shared" si="0"/>
        <v>0.97499999999999998</v>
      </c>
      <c r="R35" s="93">
        <v>17.2</v>
      </c>
      <c r="S35" s="93">
        <v>104</v>
      </c>
      <c r="T35" s="103">
        <f t="shared" si="1"/>
        <v>33</v>
      </c>
      <c r="U35" s="93">
        <v>398</v>
      </c>
      <c r="V35" s="104">
        <f t="shared" si="2"/>
        <v>3283.5</v>
      </c>
      <c r="W35" s="93">
        <v>10</v>
      </c>
      <c r="X35" s="93" t="s">
        <v>39</v>
      </c>
      <c r="Y35" s="93" t="s">
        <v>84</v>
      </c>
      <c r="Z35" s="93" t="s">
        <v>78</v>
      </c>
      <c r="AA35" s="93" t="s">
        <v>69</v>
      </c>
      <c r="AB35" s="93" t="s">
        <v>158</v>
      </c>
    </row>
    <row r="36" spans="1:28" x14ac:dyDescent="0.15">
      <c r="A36" s="93" t="s">
        <v>51</v>
      </c>
      <c r="B36" s="93" t="s">
        <v>157</v>
      </c>
      <c r="C36" s="93">
        <v>2019</v>
      </c>
      <c r="D36" s="101" t="s">
        <v>262</v>
      </c>
      <c r="E36" s="93" t="s">
        <v>273</v>
      </c>
      <c r="F36" s="93" t="s">
        <v>265</v>
      </c>
      <c r="G36" s="93" t="s">
        <v>42</v>
      </c>
      <c r="H36" s="93" t="s">
        <v>164</v>
      </c>
      <c r="I36" s="93" t="s">
        <v>198</v>
      </c>
      <c r="J36" s="93" t="s">
        <v>38</v>
      </c>
      <c r="K36" s="93" t="s">
        <v>161</v>
      </c>
      <c r="L36" s="93">
        <v>2</v>
      </c>
      <c r="N36" s="93">
        <v>4</v>
      </c>
      <c r="O36" s="93">
        <v>1</v>
      </c>
      <c r="P36" s="93">
        <v>0.85</v>
      </c>
      <c r="Q36" s="102">
        <f t="shared" si="0"/>
        <v>0.92500000000000004</v>
      </c>
      <c r="R36" s="93">
        <v>17.600000000000001</v>
      </c>
      <c r="S36" s="93">
        <v>108</v>
      </c>
      <c r="T36" s="103">
        <f t="shared" si="1"/>
        <v>33</v>
      </c>
      <c r="U36" s="93">
        <v>398</v>
      </c>
      <c r="V36" s="104">
        <f t="shared" si="2"/>
        <v>3283.5</v>
      </c>
      <c r="W36" s="93">
        <v>10</v>
      </c>
      <c r="X36" s="93" t="s">
        <v>39</v>
      </c>
      <c r="Y36" s="93" t="s">
        <v>84</v>
      </c>
      <c r="Z36" s="93" t="s">
        <v>78</v>
      </c>
      <c r="AA36" s="93" t="s">
        <v>69</v>
      </c>
      <c r="AB36" s="93" t="s">
        <v>158</v>
      </c>
    </row>
    <row r="37" spans="1:28" x14ac:dyDescent="0.15">
      <c r="A37" s="93" t="s">
        <v>51</v>
      </c>
      <c r="B37" s="93" t="s">
        <v>157</v>
      </c>
      <c r="C37" s="93">
        <v>2019</v>
      </c>
      <c r="D37" s="101" t="s">
        <v>262</v>
      </c>
      <c r="E37" s="93" t="s">
        <v>273</v>
      </c>
      <c r="F37" s="93" t="s">
        <v>265</v>
      </c>
      <c r="G37" s="93" t="s">
        <v>42</v>
      </c>
      <c r="H37" s="93" t="s">
        <v>164</v>
      </c>
      <c r="I37" s="93" t="s">
        <v>198</v>
      </c>
      <c r="J37" s="93" t="s">
        <v>38</v>
      </c>
      <c r="K37" s="93" t="s">
        <v>161</v>
      </c>
      <c r="L37" s="93">
        <v>3</v>
      </c>
      <c r="N37" s="93">
        <v>4</v>
      </c>
      <c r="O37" s="93">
        <v>0.85</v>
      </c>
      <c r="P37" s="93">
        <v>0.9</v>
      </c>
      <c r="Q37" s="102">
        <f t="shared" si="0"/>
        <v>0.875</v>
      </c>
      <c r="R37" s="93">
        <v>16.899999999999999</v>
      </c>
      <c r="S37" s="93">
        <v>106</v>
      </c>
      <c r="T37" s="103">
        <f t="shared" si="1"/>
        <v>33</v>
      </c>
      <c r="U37" s="93">
        <v>398</v>
      </c>
      <c r="V37" s="104">
        <f t="shared" si="2"/>
        <v>3283.5</v>
      </c>
      <c r="W37" s="93">
        <v>10</v>
      </c>
      <c r="X37" s="93" t="s">
        <v>39</v>
      </c>
      <c r="Y37" s="93" t="s">
        <v>84</v>
      </c>
      <c r="Z37" s="93" t="s">
        <v>78</v>
      </c>
      <c r="AA37" s="93" t="s">
        <v>69</v>
      </c>
      <c r="AB37" s="93" t="s">
        <v>158</v>
      </c>
    </row>
    <row r="38" spans="1:28" x14ac:dyDescent="0.15">
      <c r="A38" s="93" t="s">
        <v>51</v>
      </c>
      <c r="B38" s="93" t="s">
        <v>157</v>
      </c>
      <c r="C38" s="93">
        <v>2019</v>
      </c>
      <c r="D38" s="101" t="s">
        <v>262</v>
      </c>
      <c r="E38" s="93" t="s">
        <v>273</v>
      </c>
      <c r="F38" s="93" t="s">
        <v>265</v>
      </c>
      <c r="G38" s="93" t="s">
        <v>42</v>
      </c>
      <c r="H38" s="93" t="s">
        <v>160</v>
      </c>
      <c r="I38" s="93" t="s">
        <v>159</v>
      </c>
      <c r="J38" s="93" t="s">
        <v>38</v>
      </c>
      <c r="K38" s="93" t="s">
        <v>161</v>
      </c>
      <c r="L38" s="93">
        <v>1</v>
      </c>
      <c r="N38" s="93">
        <v>1</v>
      </c>
      <c r="O38" s="93">
        <v>0.75</v>
      </c>
      <c r="P38" s="93">
        <v>0.8</v>
      </c>
      <c r="Q38" s="102">
        <f t="shared" si="0"/>
        <v>0.77500000000000002</v>
      </c>
      <c r="R38" s="93">
        <v>17.8</v>
      </c>
      <c r="S38" s="93">
        <v>154</v>
      </c>
      <c r="T38" s="103">
        <f t="shared" si="1"/>
        <v>18</v>
      </c>
      <c r="U38" s="93">
        <v>158</v>
      </c>
      <c r="V38" s="104">
        <f t="shared" si="2"/>
        <v>2844</v>
      </c>
      <c r="W38" s="93">
        <v>10</v>
      </c>
      <c r="X38" s="93" t="s">
        <v>39</v>
      </c>
      <c r="Y38" s="93" t="s">
        <v>84</v>
      </c>
      <c r="Z38" s="93" t="s">
        <v>78</v>
      </c>
      <c r="AA38" s="93" t="s">
        <v>69</v>
      </c>
      <c r="AB38" s="93" t="s">
        <v>158</v>
      </c>
    </row>
    <row r="39" spans="1:28" x14ac:dyDescent="0.15">
      <c r="A39" s="93" t="s">
        <v>51</v>
      </c>
      <c r="B39" s="93" t="s">
        <v>157</v>
      </c>
      <c r="C39" s="93">
        <v>2019</v>
      </c>
      <c r="D39" s="101" t="s">
        <v>262</v>
      </c>
      <c r="E39" s="93" t="s">
        <v>273</v>
      </c>
      <c r="F39" s="93" t="s">
        <v>265</v>
      </c>
      <c r="G39" s="93" t="s">
        <v>42</v>
      </c>
      <c r="H39" s="93" t="s">
        <v>160</v>
      </c>
      <c r="I39" s="93" t="s">
        <v>159</v>
      </c>
      <c r="J39" s="93" t="s">
        <v>38</v>
      </c>
      <c r="K39" s="93" t="s">
        <v>161</v>
      </c>
      <c r="L39" s="93">
        <v>2</v>
      </c>
      <c r="N39" s="93">
        <v>1</v>
      </c>
      <c r="O39" s="93">
        <v>0.75</v>
      </c>
      <c r="P39" s="93">
        <v>0.7</v>
      </c>
      <c r="Q39" s="102">
        <f t="shared" si="0"/>
        <v>0.72499999999999998</v>
      </c>
      <c r="R39" s="93">
        <v>17.399999999999999</v>
      </c>
      <c r="S39" s="93">
        <v>152</v>
      </c>
      <c r="T39" s="103">
        <f t="shared" si="1"/>
        <v>18</v>
      </c>
      <c r="U39" s="93">
        <v>158</v>
      </c>
      <c r="V39" s="104">
        <f t="shared" si="2"/>
        <v>2844</v>
      </c>
      <c r="W39" s="93">
        <v>10</v>
      </c>
      <c r="X39" s="93" t="s">
        <v>39</v>
      </c>
      <c r="Y39" s="93" t="s">
        <v>84</v>
      </c>
      <c r="Z39" s="93" t="s">
        <v>78</v>
      </c>
      <c r="AA39" s="93" t="s">
        <v>69</v>
      </c>
      <c r="AB39" s="93" t="s">
        <v>158</v>
      </c>
    </row>
    <row r="40" spans="1:28" x14ac:dyDescent="0.15">
      <c r="A40" s="93" t="s">
        <v>51</v>
      </c>
      <c r="B40" s="93" t="s">
        <v>157</v>
      </c>
      <c r="C40" s="93">
        <v>2019</v>
      </c>
      <c r="D40" s="101" t="s">
        <v>262</v>
      </c>
      <c r="E40" s="93" t="s">
        <v>273</v>
      </c>
      <c r="F40" s="93" t="s">
        <v>265</v>
      </c>
      <c r="G40" s="93" t="s">
        <v>42</v>
      </c>
      <c r="H40" s="93" t="s">
        <v>160</v>
      </c>
      <c r="I40" s="93" t="s">
        <v>159</v>
      </c>
      <c r="J40" s="93" t="s">
        <v>38</v>
      </c>
      <c r="K40" s="93" t="s">
        <v>161</v>
      </c>
      <c r="L40" s="93">
        <v>3</v>
      </c>
      <c r="N40" s="93">
        <v>1</v>
      </c>
      <c r="O40" s="93">
        <v>0.7</v>
      </c>
      <c r="P40" s="93">
        <v>0.8</v>
      </c>
      <c r="Q40" s="102">
        <f t="shared" si="0"/>
        <v>0.75</v>
      </c>
      <c r="R40" s="93">
        <v>17.100000000000001</v>
      </c>
      <c r="S40" s="93">
        <v>152</v>
      </c>
      <c r="T40" s="103">
        <f t="shared" si="1"/>
        <v>18</v>
      </c>
      <c r="U40" s="93">
        <v>158</v>
      </c>
      <c r="V40" s="104">
        <f t="shared" si="2"/>
        <v>2844</v>
      </c>
      <c r="W40" s="93">
        <v>10</v>
      </c>
      <c r="X40" s="93" t="s">
        <v>39</v>
      </c>
      <c r="Y40" s="93" t="s">
        <v>84</v>
      </c>
      <c r="Z40" s="93" t="s">
        <v>78</v>
      </c>
      <c r="AA40" s="93" t="s">
        <v>69</v>
      </c>
      <c r="AB40" s="93" t="s">
        <v>158</v>
      </c>
    </row>
    <row r="41" spans="1:28" x14ac:dyDescent="0.15">
      <c r="A41" s="93" t="s">
        <v>51</v>
      </c>
      <c r="B41" s="93" t="s">
        <v>157</v>
      </c>
      <c r="C41" s="93">
        <v>2019</v>
      </c>
      <c r="D41" s="101" t="s">
        <v>262</v>
      </c>
      <c r="E41" s="93" t="s">
        <v>268</v>
      </c>
      <c r="F41" s="93" t="s">
        <v>269</v>
      </c>
      <c r="G41" s="93" t="s">
        <v>42</v>
      </c>
      <c r="H41" s="93" t="s">
        <v>164</v>
      </c>
      <c r="I41" s="93" t="s">
        <v>159</v>
      </c>
      <c r="J41" s="93" t="s">
        <v>38</v>
      </c>
      <c r="K41" s="93" t="s">
        <v>161</v>
      </c>
      <c r="L41" s="93">
        <v>1</v>
      </c>
      <c r="N41" s="93">
        <v>1</v>
      </c>
      <c r="O41" s="93">
        <v>0.65</v>
      </c>
      <c r="P41" s="93">
        <v>0.25</v>
      </c>
      <c r="Q41" s="102">
        <f t="shared" si="0"/>
        <v>0.45</v>
      </c>
      <c r="R41" s="93">
        <v>17</v>
      </c>
      <c r="S41" s="93">
        <v>128</v>
      </c>
      <c r="T41" s="103">
        <f t="shared" si="1"/>
        <v>27</v>
      </c>
      <c r="U41" s="93">
        <v>99</v>
      </c>
      <c r="V41" s="104">
        <f t="shared" si="2"/>
        <v>2673</v>
      </c>
      <c r="W41" s="93">
        <v>4</v>
      </c>
      <c r="X41" s="93" t="s">
        <v>39</v>
      </c>
      <c r="Y41" s="93" t="s">
        <v>90</v>
      </c>
      <c r="Z41" s="93" t="s">
        <v>69</v>
      </c>
      <c r="AA41" s="93" t="s">
        <v>78</v>
      </c>
      <c r="AB41" s="93" t="s">
        <v>158</v>
      </c>
    </row>
    <row r="42" spans="1:28" x14ac:dyDescent="0.15">
      <c r="A42" s="93" t="s">
        <v>51</v>
      </c>
      <c r="B42" s="93" t="s">
        <v>157</v>
      </c>
      <c r="C42" s="93">
        <v>2019</v>
      </c>
      <c r="D42" s="101" t="s">
        <v>262</v>
      </c>
      <c r="E42" s="93" t="s">
        <v>268</v>
      </c>
      <c r="F42" s="93" t="s">
        <v>269</v>
      </c>
      <c r="G42" s="93" t="s">
        <v>42</v>
      </c>
      <c r="H42" s="93" t="s">
        <v>164</v>
      </c>
      <c r="I42" s="93" t="s">
        <v>159</v>
      </c>
      <c r="J42" s="93" t="s">
        <v>38</v>
      </c>
      <c r="K42" s="93" t="s">
        <v>161</v>
      </c>
      <c r="L42" s="93">
        <v>2</v>
      </c>
      <c r="N42" s="93">
        <v>1</v>
      </c>
      <c r="O42" s="93">
        <v>0.7</v>
      </c>
      <c r="P42" s="93">
        <v>0.7</v>
      </c>
      <c r="Q42" s="102">
        <f t="shared" si="0"/>
        <v>0.7</v>
      </c>
      <c r="R42" s="93">
        <v>17.399999999999999</v>
      </c>
      <c r="S42" s="93">
        <v>136</v>
      </c>
      <c r="T42" s="103">
        <f t="shared" si="1"/>
        <v>25</v>
      </c>
      <c r="U42" s="93">
        <v>99</v>
      </c>
      <c r="V42" s="104">
        <f t="shared" si="2"/>
        <v>2475</v>
      </c>
      <c r="W42" s="93">
        <v>4</v>
      </c>
      <c r="X42" s="93" t="s">
        <v>39</v>
      </c>
      <c r="Y42" s="93" t="s">
        <v>90</v>
      </c>
      <c r="Z42" s="93" t="s">
        <v>69</v>
      </c>
      <c r="AA42" s="93" t="s">
        <v>78</v>
      </c>
      <c r="AB42" s="93" t="s">
        <v>158</v>
      </c>
    </row>
    <row r="43" spans="1:28" x14ac:dyDescent="0.15">
      <c r="A43" s="93" t="s">
        <v>51</v>
      </c>
      <c r="B43" s="93" t="s">
        <v>157</v>
      </c>
      <c r="C43" s="93">
        <v>2019</v>
      </c>
      <c r="D43" s="101" t="s">
        <v>262</v>
      </c>
      <c r="E43" s="93" t="s">
        <v>268</v>
      </c>
      <c r="F43" s="93" t="s">
        <v>269</v>
      </c>
      <c r="G43" s="93" t="s">
        <v>42</v>
      </c>
      <c r="H43" s="93" t="s">
        <v>164</v>
      </c>
      <c r="I43" s="93" t="s">
        <v>159</v>
      </c>
      <c r="J43" s="93" t="s">
        <v>38</v>
      </c>
      <c r="K43" s="93" t="s">
        <v>161</v>
      </c>
      <c r="L43" s="93">
        <v>3</v>
      </c>
      <c r="N43" s="93">
        <v>1</v>
      </c>
      <c r="O43" s="93">
        <v>0.75</v>
      </c>
      <c r="P43" s="93">
        <v>0.8</v>
      </c>
      <c r="Q43" s="102">
        <f t="shared" si="0"/>
        <v>0.77500000000000002</v>
      </c>
      <c r="R43" s="93">
        <v>16.8</v>
      </c>
      <c r="S43" s="93">
        <v>136</v>
      </c>
      <c r="T43" s="103">
        <f t="shared" si="1"/>
        <v>25</v>
      </c>
      <c r="U43" s="93">
        <v>99</v>
      </c>
      <c r="V43" s="104">
        <f t="shared" si="2"/>
        <v>2475</v>
      </c>
      <c r="W43" s="93">
        <v>4</v>
      </c>
      <c r="X43" s="93" t="s">
        <v>39</v>
      </c>
      <c r="Y43" s="93" t="s">
        <v>90</v>
      </c>
      <c r="Z43" s="93" t="s">
        <v>69</v>
      </c>
      <c r="AA43" s="93" t="s">
        <v>78</v>
      </c>
      <c r="AB43" s="93" t="s">
        <v>158</v>
      </c>
    </row>
    <row r="44" spans="1:28" x14ac:dyDescent="0.15">
      <c r="A44" s="93" t="s">
        <v>51</v>
      </c>
      <c r="B44" s="93" t="s">
        <v>157</v>
      </c>
      <c r="C44" s="93">
        <v>2019</v>
      </c>
      <c r="D44" s="101" t="s">
        <v>262</v>
      </c>
      <c r="E44" s="93" t="s">
        <v>268</v>
      </c>
      <c r="F44" s="93" t="s">
        <v>269</v>
      </c>
      <c r="G44" s="93" t="s">
        <v>42</v>
      </c>
      <c r="H44" s="93" t="s">
        <v>160</v>
      </c>
      <c r="I44" s="93" t="s">
        <v>159</v>
      </c>
      <c r="J44" s="93" t="s">
        <v>38</v>
      </c>
      <c r="K44" s="93" t="s">
        <v>161</v>
      </c>
      <c r="L44" s="93">
        <v>1</v>
      </c>
      <c r="N44" s="93">
        <v>1</v>
      </c>
      <c r="O44" s="93">
        <v>0.65</v>
      </c>
      <c r="P44" s="93">
        <v>0.65</v>
      </c>
      <c r="Q44" s="102">
        <f t="shared" si="0"/>
        <v>0.65</v>
      </c>
      <c r="R44" s="93">
        <v>17.8</v>
      </c>
      <c r="S44" s="93">
        <v>134</v>
      </c>
      <c r="T44" s="103">
        <f t="shared" si="1"/>
        <v>25</v>
      </c>
      <c r="U44" s="93">
        <v>99</v>
      </c>
      <c r="V44" s="104">
        <f t="shared" si="2"/>
        <v>2475</v>
      </c>
      <c r="W44" s="93">
        <v>4</v>
      </c>
      <c r="X44" s="93" t="s">
        <v>39</v>
      </c>
      <c r="Y44" s="93" t="s">
        <v>90</v>
      </c>
      <c r="Z44" s="93" t="s">
        <v>69</v>
      </c>
      <c r="AA44" s="93" t="s">
        <v>78</v>
      </c>
      <c r="AB44" s="93" t="s">
        <v>158</v>
      </c>
    </row>
    <row r="45" spans="1:28" x14ac:dyDescent="0.15">
      <c r="A45" s="93" t="s">
        <v>51</v>
      </c>
      <c r="B45" s="93" t="s">
        <v>157</v>
      </c>
      <c r="C45" s="93">
        <v>2019</v>
      </c>
      <c r="D45" s="101" t="s">
        <v>262</v>
      </c>
      <c r="E45" s="93" t="s">
        <v>268</v>
      </c>
      <c r="F45" s="93" t="s">
        <v>269</v>
      </c>
      <c r="G45" s="93" t="s">
        <v>42</v>
      </c>
      <c r="H45" s="93" t="s">
        <v>160</v>
      </c>
      <c r="I45" s="93" t="s">
        <v>159</v>
      </c>
      <c r="J45" s="93" t="s">
        <v>38</v>
      </c>
      <c r="K45" s="93" t="s">
        <v>161</v>
      </c>
      <c r="L45" s="93">
        <v>2</v>
      </c>
      <c r="N45" s="93">
        <v>1</v>
      </c>
      <c r="O45" s="93">
        <v>0.65</v>
      </c>
      <c r="P45" s="93">
        <v>0.6</v>
      </c>
      <c r="Q45" s="102">
        <f t="shared" si="0"/>
        <v>0.625</v>
      </c>
      <c r="R45" s="93">
        <v>17.5</v>
      </c>
      <c r="S45" s="93">
        <v>134</v>
      </c>
      <c r="T45" s="103">
        <f t="shared" si="1"/>
        <v>25</v>
      </c>
      <c r="U45" s="93">
        <v>99</v>
      </c>
      <c r="V45" s="104">
        <f t="shared" si="2"/>
        <v>2475</v>
      </c>
      <c r="W45" s="93">
        <v>4</v>
      </c>
      <c r="X45" s="93" t="s">
        <v>39</v>
      </c>
      <c r="Y45" s="93" t="s">
        <v>90</v>
      </c>
      <c r="Z45" s="93" t="s">
        <v>69</v>
      </c>
      <c r="AA45" s="93" t="s">
        <v>78</v>
      </c>
      <c r="AB45" s="93" t="s">
        <v>158</v>
      </c>
    </row>
    <row r="46" spans="1:28" x14ac:dyDescent="0.15">
      <c r="A46" s="93" t="s">
        <v>51</v>
      </c>
      <c r="B46" s="93" t="s">
        <v>157</v>
      </c>
      <c r="C46" s="93">
        <v>2019</v>
      </c>
      <c r="D46" s="101" t="s">
        <v>262</v>
      </c>
      <c r="E46" s="93" t="s">
        <v>268</v>
      </c>
      <c r="F46" s="93" t="s">
        <v>269</v>
      </c>
      <c r="G46" s="93" t="s">
        <v>42</v>
      </c>
      <c r="H46" s="93" t="s">
        <v>160</v>
      </c>
      <c r="I46" s="93" t="s">
        <v>159</v>
      </c>
      <c r="J46" s="93" t="s">
        <v>38</v>
      </c>
      <c r="K46" s="93" t="s">
        <v>161</v>
      </c>
      <c r="L46" s="93">
        <v>3</v>
      </c>
      <c r="N46" s="93">
        <v>1</v>
      </c>
      <c r="O46" s="93">
        <v>0.55000000000000004</v>
      </c>
      <c r="P46" s="93">
        <v>0.6</v>
      </c>
      <c r="Q46" s="102">
        <f t="shared" si="0"/>
        <v>0.57499999999999996</v>
      </c>
      <c r="R46" s="93">
        <v>17.3</v>
      </c>
      <c r="S46" s="93">
        <v>128</v>
      </c>
      <c r="T46" s="103">
        <f t="shared" si="1"/>
        <v>27</v>
      </c>
      <c r="U46" s="93">
        <v>99</v>
      </c>
      <c r="V46" s="104">
        <f t="shared" si="2"/>
        <v>2673</v>
      </c>
      <c r="W46" s="93">
        <v>4</v>
      </c>
      <c r="X46" s="93" t="s">
        <v>39</v>
      </c>
      <c r="Y46" s="93" t="s">
        <v>90</v>
      </c>
      <c r="Z46" s="93" t="s">
        <v>69</v>
      </c>
      <c r="AA46" s="93" t="s">
        <v>78</v>
      </c>
      <c r="AB46" s="93" t="s">
        <v>158</v>
      </c>
    </row>
    <row r="47" spans="1:28" x14ac:dyDescent="0.15">
      <c r="A47" s="93" t="s">
        <v>51</v>
      </c>
      <c r="B47" s="93" t="s">
        <v>157</v>
      </c>
      <c r="C47" s="93">
        <v>2019</v>
      </c>
      <c r="D47" s="101" t="s">
        <v>262</v>
      </c>
      <c r="E47" s="93" t="s">
        <v>270</v>
      </c>
      <c r="F47" s="93" t="s">
        <v>264</v>
      </c>
      <c r="G47" s="93" t="s">
        <v>36</v>
      </c>
      <c r="H47" s="93" t="s">
        <v>164</v>
      </c>
      <c r="I47" s="93" t="s">
        <v>159</v>
      </c>
      <c r="J47" s="93" t="s">
        <v>38</v>
      </c>
      <c r="K47" s="93" t="s">
        <v>161</v>
      </c>
      <c r="L47" s="93">
        <v>1</v>
      </c>
      <c r="N47" s="93">
        <v>1</v>
      </c>
      <c r="O47" s="93">
        <v>0.9</v>
      </c>
      <c r="P47" s="93">
        <v>0.9</v>
      </c>
      <c r="Q47" s="102">
        <f t="shared" si="0"/>
        <v>0.9</v>
      </c>
      <c r="R47" s="93">
        <v>14.8</v>
      </c>
      <c r="S47" s="93">
        <v>110</v>
      </c>
      <c r="T47" s="103">
        <f t="shared" si="1"/>
        <v>33</v>
      </c>
      <c r="U47" s="93">
        <v>100</v>
      </c>
      <c r="V47" s="104">
        <f t="shared" si="2"/>
        <v>3300</v>
      </c>
      <c r="W47" s="93">
        <v>6</v>
      </c>
      <c r="X47" s="93" t="s">
        <v>46</v>
      </c>
      <c r="Y47" s="93" t="s">
        <v>84</v>
      </c>
      <c r="Z47" s="93" t="s">
        <v>78</v>
      </c>
      <c r="AA47" s="93" t="s">
        <v>69</v>
      </c>
      <c r="AB47" s="93" t="s">
        <v>158</v>
      </c>
    </row>
    <row r="48" spans="1:28" x14ac:dyDescent="0.15">
      <c r="A48" s="93" t="s">
        <v>51</v>
      </c>
      <c r="B48" s="93" t="s">
        <v>157</v>
      </c>
      <c r="C48" s="93">
        <v>2019</v>
      </c>
      <c r="D48" s="101" t="s">
        <v>262</v>
      </c>
      <c r="E48" s="93" t="s">
        <v>270</v>
      </c>
      <c r="F48" s="93" t="s">
        <v>264</v>
      </c>
      <c r="G48" s="93" t="s">
        <v>36</v>
      </c>
      <c r="H48" s="93" t="s">
        <v>164</v>
      </c>
      <c r="I48" s="93" t="s">
        <v>159</v>
      </c>
      <c r="J48" s="93" t="s">
        <v>38</v>
      </c>
      <c r="K48" s="93" t="s">
        <v>161</v>
      </c>
      <c r="L48" s="93">
        <v>2</v>
      </c>
      <c r="N48" s="93">
        <v>1</v>
      </c>
      <c r="O48" s="93">
        <v>0.9</v>
      </c>
      <c r="P48" s="93">
        <v>0.8</v>
      </c>
      <c r="Q48" s="102">
        <f t="shared" si="0"/>
        <v>0.85000000000000009</v>
      </c>
      <c r="R48" s="93">
        <v>15.5</v>
      </c>
      <c r="S48" s="93">
        <v>114</v>
      </c>
      <c r="T48" s="103">
        <f t="shared" si="1"/>
        <v>30</v>
      </c>
      <c r="U48" s="93">
        <v>100</v>
      </c>
      <c r="V48" s="104">
        <f t="shared" si="2"/>
        <v>3000</v>
      </c>
      <c r="W48" s="93">
        <v>6</v>
      </c>
      <c r="X48" s="93" t="s">
        <v>46</v>
      </c>
      <c r="Y48" s="93" t="s">
        <v>84</v>
      </c>
      <c r="Z48" s="93" t="s">
        <v>78</v>
      </c>
      <c r="AA48" s="93" t="s">
        <v>69</v>
      </c>
      <c r="AB48" s="93" t="s">
        <v>158</v>
      </c>
    </row>
    <row r="49" spans="1:28" x14ac:dyDescent="0.15">
      <c r="A49" s="93" t="s">
        <v>51</v>
      </c>
      <c r="B49" s="93" t="s">
        <v>157</v>
      </c>
      <c r="C49" s="93">
        <v>2019</v>
      </c>
      <c r="D49" s="101" t="s">
        <v>262</v>
      </c>
      <c r="E49" s="93" t="s">
        <v>270</v>
      </c>
      <c r="F49" s="93" t="s">
        <v>264</v>
      </c>
      <c r="G49" s="93" t="s">
        <v>36</v>
      </c>
      <c r="H49" s="93" t="s">
        <v>164</v>
      </c>
      <c r="I49" s="93" t="s">
        <v>159</v>
      </c>
      <c r="J49" s="93" t="s">
        <v>38</v>
      </c>
      <c r="K49" s="93" t="s">
        <v>161</v>
      </c>
      <c r="L49" s="93">
        <v>3</v>
      </c>
      <c r="N49" s="93">
        <v>1</v>
      </c>
      <c r="O49" s="93">
        <v>0.85</v>
      </c>
      <c r="P49" s="93">
        <v>0.75</v>
      </c>
      <c r="Q49" s="102">
        <f t="shared" si="0"/>
        <v>0.8</v>
      </c>
      <c r="R49" s="93">
        <v>15.2</v>
      </c>
      <c r="S49" s="93">
        <v>112</v>
      </c>
      <c r="T49" s="103">
        <f t="shared" si="1"/>
        <v>33</v>
      </c>
      <c r="U49" s="93">
        <v>100</v>
      </c>
      <c r="V49" s="104">
        <f t="shared" si="2"/>
        <v>3300</v>
      </c>
      <c r="W49" s="93">
        <v>6</v>
      </c>
      <c r="X49" s="93" t="s">
        <v>46</v>
      </c>
      <c r="Y49" s="93" t="s">
        <v>84</v>
      </c>
      <c r="Z49" s="93" t="s">
        <v>78</v>
      </c>
      <c r="AA49" s="93" t="s">
        <v>69</v>
      </c>
      <c r="AB49" s="93" t="s">
        <v>158</v>
      </c>
    </row>
    <row r="50" spans="1:28" x14ac:dyDescent="0.15">
      <c r="A50" s="93" t="s">
        <v>51</v>
      </c>
      <c r="B50" s="93" t="s">
        <v>157</v>
      </c>
      <c r="C50" s="93">
        <v>2019</v>
      </c>
      <c r="D50" s="101" t="s">
        <v>262</v>
      </c>
      <c r="E50" s="93" t="s">
        <v>270</v>
      </c>
      <c r="F50" s="93" t="s">
        <v>264</v>
      </c>
      <c r="G50" s="93" t="s">
        <v>36</v>
      </c>
      <c r="H50" s="93" t="s">
        <v>160</v>
      </c>
      <c r="I50" s="93" t="s">
        <v>159</v>
      </c>
      <c r="J50" s="93" t="s">
        <v>38</v>
      </c>
      <c r="K50" s="93" t="s">
        <v>161</v>
      </c>
      <c r="L50" s="93">
        <v>1</v>
      </c>
      <c r="N50" s="93">
        <v>1</v>
      </c>
      <c r="O50" s="93">
        <v>0.6</v>
      </c>
      <c r="P50" s="93">
        <v>0.55000000000000004</v>
      </c>
      <c r="Q50" s="102">
        <f t="shared" si="0"/>
        <v>0.57499999999999996</v>
      </c>
      <c r="R50" s="93">
        <v>14</v>
      </c>
      <c r="S50" s="93">
        <v>104</v>
      </c>
      <c r="T50" s="103">
        <f t="shared" si="1"/>
        <v>33</v>
      </c>
      <c r="U50" s="93">
        <v>138</v>
      </c>
      <c r="V50" s="104">
        <f t="shared" si="2"/>
        <v>4554</v>
      </c>
      <c r="W50" s="93">
        <v>6</v>
      </c>
      <c r="X50" s="93" t="s">
        <v>46</v>
      </c>
      <c r="Y50" s="93" t="s">
        <v>84</v>
      </c>
      <c r="Z50" s="93" t="s">
        <v>78</v>
      </c>
      <c r="AA50" s="93" t="s">
        <v>69</v>
      </c>
      <c r="AB50" s="93" t="s">
        <v>158</v>
      </c>
    </row>
    <row r="51" spans="1:28" x14ac:dyDescent="0.15">
      <c r="A51" s="93" t="s">
        <v>51</v>
      </c>
      <c r="B51" s="93" t="s">
        <v>157</v>
      </c>
      <c r="C51" s="93">
        <v>2019</v>
      </c>
      <c r="D51" s="101" t="s">
        <v>262</v>
      </c>
      <c r="E51" s="93" t="s">
        <v>270</v>
      </c>
      <c r="F51" s="93" t="s">
        <v>264</v>
      </c>
      <c r="G51" s="93" t="s">
        <v>36</v>
      </c>
      <c r="H51" s="93" t="s">
        <v>160</v>
      </c>
      <c r="I51" s="93" t="s">
        <v>159</v>
      </c>
      <c r="J51" s="93" t="s">
        <v>38</v>
      </c>
      <c r="K51" s="93" t="s">
        <v>161</v>
      </c>
      <c r="L51" s="93">
        <v>2</v>
      </c>
      <c r="N51" s="93">
        <v>1</v>
      </c>
      <c r="O51" s="93">
        <v>0.6</v>
      </c>
      <c r="P51" s="93">
        <v>0.65</v>
      </c>
      <c r="Q51" s="102">
        <f t="shared" si="0"/>
        <v>0.625</v>
      </c>
      <c r="R51" s="93">
        <v>13.9</v>
      </c>
      <c r="S51" s="93">
        <v>112</v>
      </c>
      <c r="T51" s="103">
        <f t="shared" si="1"/>
        <v>33</v>
      </c>
      <c r="U51" s="93">
        <v>138</v>
      </c>
      <c r="V51" s="104">
        <f t="shared" si="2"/>
        <v>4554</v>
      </c>
      <c r="W51" s="93">
        <v>6</v>
      </c>
      <c r="X51" s="93" t="s">
        <v>46</v>
      </c>
      <c r="Y51" s="93" t="s">
        <v>84</v>
      </c>
      <c r="Z51" s="93" t="s">
        <v>78</v>
      </c>
      <c r="AA51" s="93" t="s">
        <v>69</v>
      </c>
      <c r="AB51" s="93" t="s">
        <v>158</v>
      </c>
    </row>
    <row r="52" spans="1:28" x14ac:dyDescent="0.15">
      <c r="A52" s="93" t="s">
        <v>51</v>
      </c>
      <c r="B52" s="93" t="s">
        <v>157</v>
      </c>
      <c r="C52" s="93">
        <v>2019</v>
      </c>
      <c r="D52" s="101" t="s">
        <v>262</v>
      </c>
      <c r="E52" s="93" t="s">
        <v>270</v>
      </c>
      <c r="F52" s="93" t="s">
        <v>264</v>
      </c>
      <c r="G52" s="93" t="s">
        <v>36</v>
      </c>
      <c r="H52" s="93" t="s">
        <v>160</v>
      </c>
      <c r="I52" s="93" t="s">
        <v>159</v>
      </c>
      <c r="J52" s="93" t="s">
        <v>38</v>
      </c>
      <c r="K52" s="93" t="s">
        <v>161</v>
      </c>
      <c r="L52" s="93">
        <v>3</v>
      </c>
      <c r="N52" s="93">
        <v>1</v>
      </c>
      <c r="O52" s="93">
        <v>0.65</v>
      </c>
      <c r="P52" s="93">
        <v>0.7</v>
      </c>
      <c r="Q52" s="102">
        <f t="shared" si="0"/>
        <v>0.67500000000000004</v>
      </c>
      <c r="R52" s="93">
        <v>14.6</v>
      </c>
      <c r="S52" s="93">
        <v>114</v>
      </c>
      <c r="T52" s="103">
        <f t="shared" si="1"/>
        <v>30</v>
      </c>
      <c r="U52" s="93">
        <v>138</v>
      </c>
      <c r="V52" s="104">
        <f t="shared" si="2"/>
        <v>4140</v>
      </c>
      <c r="W52" s="93">
        <v>6</v>
      </c>
      <c r="X52" s="93" t="s">
        <v>46</v>
      </c>
      <c r="Y52" s="93" t="s">
        <v>84</v>
      </c>
      <c r="Z52" s="93" t="s">
        <v>78</v>
      </c>
      <c r="AA52" s="93" t="s">
        <v>69</v>
      </c>
      <c r="AB52" s="93" t="s">
        <v>158</v>
      </c>
    </row>
    <row r="53" spans="1:28" x14ac:dyDescent="0.15">
      <c r="A53" s="93" t="s">
        <v>51</v>
      </c>
      <c r="B53" s="93" t="s">
        <v>157</v>
      </c>
      <c r="C53" s="93">
        <v>2019</v>
      </c>
      <c r="D53" s="101" t="s">
        <v>262</v>
      </c>
      <c r="E53" s="93" t="s">
        <v>274</v>
      </c>
      <c r="F53" s="93" t="s">
        <v>275</v>
      </c>
      <c r="G53" s="93" t="s">
        <v>36</v>
      </c>
      <c r="H53" s="93" t="s">
        <v>164</v>
      </c>
      <c r="I53" s="93" t="s">
        <v>159</v>
      </c>
      <c r="J53" s="93" t="s">
        <v>38</v>
      </c>
      <c r="K53" s="93" t="s">
        <v>161</v>
      </c>
      <c r="L53" s="93">
        <v>1</v>
      </c>
      <c r="N53" s="93">
        <v>1</v>
      </c>
      <c r="O53" s="93">
        <v>0.5</v>
      </c>
      <c r="P53" s="93">
        <v>0.6</v>
      </c>
      <c r="Q53" s="102">
        <f t="shared" si="0"/>
        <v>0.55000000000000004</v>
      </c>
      <c r="R53" s="93">
        <v>17.2</v>
      </c>
      <c r="S53" s="93">
        <v>130</v>
      </c>
      <c r="T53" s="103">
        <f t="shared" si="1"/>
        <v>25</v>
      </c>
      <c r="U53" s="93">
        <v>128</v>
      </c>
      <c r="V53" s="104">
        <f t="shared" si="2"/>
        <v>3200</v>
      </c>
      <c r="W53" s="93">
        <v>6</v>
      </c>
      <c r="X53" s="93" t="s">
        <v>46</v>
      </c>
      <c r="Y53" s="93" t="s">
        <v>78</v>
      </c>
      <c r="Z53" s="93" t="s">
        <v>90</v>
      </c>
      <c r="AA53" s="93" t="s">
        <v>69</v>
      </c>
      <c r="AB53" s="93" t="s">
        <v>158</v>
      </c>
    </row>
    <row r="54" spans="1:28" x14ac:dyDescent="0.15">
      <c r="A54" s="93" t="s">
        <v>51</v>
      </c>
      <c r="B54" s="93" t="s">
        <v>157</v>
      </c>
      <c r="C54" s="93">
        <v>2019</v>
      </c>
      <c r="D54" s="101" t="s">
        <v>262</v>
      </c>
      <c r="E54" s="93" t="s">
        <v>274</v>
      </c>
      <c r="F54" s="93" t="s">
        <v>275</v>
      </c>
      <c r="G54" s="93" t="s">
        <v>36</v>
      </c>
      <c r="H54" s="93" t="s">
        <v>164</v>
      </c>
      <c r="I54" s="93" t="s">
        <v>159</v>
      </c>
      <c r="J54" s="93" t="s">
        <v>38</v>
      </c>
      <c r="K54" s="93" t="s">
        <v>161</v>
      </c>
      <c r="L54" s="93">
        <v>2</v>
      </c>
      <c r="N54" s="93">
        <v>1</v>
      </c>
      <c r="O54" s="93">
        <v>0.65</v>
      </c>
      <c r="P54" s="93">
        <v>0.65</v>
      </c>
      <c r="Q54" s="102">
        <f t="shared" si="0"/>
        <v>0.65</v>
      </c>
      <c r="R54" s="93">
        <v>17.5</v>
      </c>
      <c r="S54" s="93">
        <v>142</v>
      </c>
      <c r="T54" s="103">
        <f t="shared" si="1"/>
        <v>22</v>
      </c>
      <c r="U54" s="93">
        <v>128</v>
      </c>
      <c r="V54" s="104">
        <f t="shared" si="2"/>
        <v>2816</v>
      </c>
      <c r="W54" s="93">
        <v>6</v>
      </c>
      <c r="X54" s="93" t="s">
        <v>46</v>
      </c>
      <c r="Y54" s="93" t="s">
        <v>78</v>
      </c>
      <c r="Z54" s="93" t="s">
        <v>90</v>
      </c>
      <c r="AA54" s="93" t="s">
        <v>69</v>
      </c>
      <c r="AB54" s="93" t="s">
        <v>158</v>
      </c>
    </row>
    <row r="55" spans="1:28" x14ac:dyDescent="0.15">
      <c r="A55" s="93" t="s">
        <v>51</v>
      </c>
      <c r="B55" s="93" t="s">
        <v>157</v>
      </c>
      <c r="C55" s="93">
        <v>2019</v>
      </c>
      <c r="D55" s="101" t="s">
        <v>262</v>
      </c>
      <c r="E55" s="93" t="s">
        <v>274</v>
      </c>
      <c r="F55" s="93" t="s">
        <v>275</v>
      </c>
      <c r="G55" s="93" t="s">
        <v>36</v>
      </c>
      <c r="H55" s="93" t="s">
        <v>164</v>
      </c>
      <c r="I55" s="93" t="s">
        <v>159</v>
      </c>
      <c r="J55" s="93" t="s">
        <v>38</v>
      </c>
      <c r="K55" s="93" t="s">
        <v>161</v>
      </c>
      <c r="L55" s="93">
        <v>3</v>
      </c>
      <c r="N55" s="93">
        <v>1</v>
      </c>
      <c r="O55" s="93">
        <v>0.75</v>
      </c>
      <c r="P55" s="93">
        <v>0.7</v>
      </c>
      <c r="Q55" s="102">
        <f t="shared" si="0"/>
        <v>0.72499999999999998</v>
      </c>
      <c r="R55" s="93">
        <v>16.899999999999999</v>
      </c>
      <c r="S55" s="93">
        <v>148</v>
      </c>
      <c r="T55" s="103">
        <f t="shared" si="1"/>
        <v>22</v>
      </c>
      <c r="U55" s="93">
        <v>128</v>
      </c>
      <c r="V55" s="104">
        <f t="shared" si="2"/>
        <v>2816</v>
      </c>
      <c r="W55" s="93">
        <v>6</v>
      </c>
      <c r="X55" s="93" t="s">
        <v>46</v>
      </c>
      <c r="Y55" s="93" t="s">
        <v>78</v>
      </c>
      <c r="Z55" s="93" t="s">
        <v>90</v>
      </c>
      <c r="AA55" s="93" t="s">
        <v>69</v>
      </c>
      <c r="AB55" s="93" t="s">
        <v>158</v>
      </c>
    </row>
    <row r="56" spans="1:28" x14ac:dyDescent="0.15">
      <c r="A56" s="93" t="s">
        <v>51</v>
      </c>
      <c r="B56" s="93" t="s">
        <v>157</v>
      </c>
      <c r="C56" s="93">
        <v>2019</v>
      </c>
      <c r="D56" s="101" t="s">
        <v>262</v>
      </c>
      <c r="E56" s="93" t="s">
        <v>274</v>
      </c>
      <c r="F56" s="93" t="s">
        <v>275</v>
      </c>
      <c r="G56" s="93" t="s">
        <v>36</v>
      </c>
      <c r="H56" s="93" t="s">
        <v>160</v>
      </c>
      <c r="I56" s="93" t="s">
        <v>159</v>
      </c>
      <c r="J56" s="93" t="s">
        <v>38</v>
      </c>
      <c r="K56" s="93" t="s">
        <v>161</v>
      </c>
      <c r="L56" s="93">
        <v>1</v>
      </c>
      <c r="N56" s="93">
        <v>1</v>
      </c>
      <c r="O56" s="93">
        <v>0.7</v>
      </c>
      <c r="P56" s="93">
        <v>0.7</v>
      </c>
      <c r="Q56" s="102">
        <f t="shared" si="0"/>
        <v>0.7</v>
      </c>
      <c r="R56" s="93">
        <v>17.8</v>
      </c>
      <c r="S56" s="93">
        <v>146</v>
      </c>
      <c r="T56" s="103">
        <f t="shared" si="1"/>
        <v>22</v>
      </c>
      <c r="U56" s="93">
        <v>128</v>
      </c>
      <c r="V56" s="104">
        <f t="shared" si="2"/>
        <v>2816</v>
      </c>
      <c r="W56" s="93">
        <v>6</v>
      </c>
      <c r="X56" s="93" t="s">
        <v>46</v>
      </c>
      <c r="Y56" s="93" t="s">
        <v>78</v>
      </c>
      <c r="Z56" s="93" t="s">
        <v>90</v>
      </c>
      <c r="AA56" s="93" t="s">
        <v>69</v>
      </c>
      <c r="AB56" s="93" t="s">
        <v>158</v>
      </c>
    </row>
    <row r="57" spans="1:28" x14ac:dyDescent="0.15">
      <c r="A57" s="93" t="s">
        <v>51</v>
      </c>
      <c r="B57" s="93" t="s">
        <v>157</v>
      </c>
      <c r="C57" s="93">
        <v>2019</v>
      </c>
      <c r="D57" s="101" t="s">
        <v>262</v>
      </c>
      <c r="E57" s="93" t="s">
        <v>274</v>
      </c>
      <c r="F57" s="93" t="s">
        <v>275</v>
      </c>
      <c r="G57" s="93" t="s">
        <v>36</v>
      </c>
      <c r="H57" s="93" t="s">
        <v>160</v>
      </c>
      <c r="I57" s="93" t="s">
        <v>159</v>
      </c>
      <c r="J57" s="93" t="s">
        <v>38</v>
      </c>
      <c r="K57" s="93" t="s">
        <v>161</v>
      </c>
      <c r="L57" s="93">
        <v>2</v>
      </c>
      <c r="N57" s="93">
        <v>1</v>
      </c>
      <c r="O57" s="93">
        <v>0.75</v>
      </c>
      <c r="P57" s="93">
        <v>0.65</v>
      </c>
      <c r="Q57" s="102">
        <f t="shared" si="0"/>
        <v>0.7</v>
      </c>
      <c r="R57" s="93">
        <v>17.399999999999999</v>
      </c>
      <c r="S57" s="93">
        <v>142</v>
      </c>
      <c r="T57" s="103">
        <f t="shared" si="1"/>
        <v>22</v>
      </c>
      <c r="U57" s="93">
        <v>128</v>
      </c>
      <c r="V57" s="104">
        <f t="shared" si="2"/>
        <v>2816</v>
      </c>
      <c r="W57" s="93">
        <v>6</v>
      </c>
      <c r="X57" s="93" t="s">
        <v>46</v>
      </c>
      <c r="Y57" s="93" t="s">
        <v>78</v>
      </c>
      <c r="Z57" s="93" t="s">
        <v>90</v>
      </c>
      <c r="AA57" s="93" t="s">
        <v>69</v>
      </c>
      <c r="AB57" s="93" t="s">
        <v>158</v>
      </c>
    </row>
    <row r="58" spans="1:28" x14ac:dyDescent="0.15">
      <c r="A58" s="93" t="s">
        <v>51</v>
      </c>
      <c r="B58" s="93" t="s">
        <v>157</v>
      </c>
      <c r="C58" s="93">
        <v>2019</v>
      </c>
      <c r="D58" s="101" t="s">
        <v>262</v>
      </c>
      <c r="E58" s="93" t="s">
        <v>274</v>
      </c>
      <c r="F58" s="93" t="s">
        <v>275</v>
      </c>
      <c r="G58" s="93" t="s">
        <v>36</v>
      </c>
      <c r="H58" s="93" t="s">
        <v>160</v>
      </c>
      <c r="I58" s="93" t="s">
        <v>159</v>
      </c>
      <c r="J58" s="93" t="s">
        <v>38</v>
      </c>
      <c r="K58" s="93" t="s">
        <v>161</v>
      </c>
      <c r="L58" s="93">
        <v>3</v>
      </c>
      <c r="N58" s="93">
        <v>1</v>
      </c>
      <c r="O58" s="93">
        <v>0.75</v>
      </c>
      <c r="P58" s="93">
        <v>0.75</v>
      </c>
      <c r="Q58" s="102">
        <f t="shared" si="0"/>
        <v>0.75</v>
      </c>
      <c r="R58" s="93">
        <v>18.100000000000001</v>
      </c>
      <c r="S58" s="93">
        <v>150</v>
      </c>
      <c r="T58" s="103">
        <f t="shared" si="1"/>
        <v>22</v>
      </c>
      <c r="U58" s="93">
        <v>128</v>
      </c>
      <c r="V58" s="104">
        <f t="shared" si="2"/>
        <v>2816</v>
      </c>
      <c r="W58" s="93">
        <v>6</v>
      </c>
      <c r="X58" s="93" t="s">
        <v>46</v>
      </c>
      <c r="Y58" s="93" t="s">
        <v>78</v>
      </c>
      <c r="Z58" s="93" t="s">
        <v>90</v>
      </c>
      <c r="AA58" s="93" t="s">
        <v>69</v>
      </c>
      <c r="AB58" s="93" t="s">
        <v>158</v>
      </c>
    </row>
    <row r="59" spans="1:28" x14ac:dyDescent="0.15">
      <c r="A59" s="93" t="s">
        <v>51</v>
      </c>
      <c r="B59" s="93" t="s">
        <v>157</v>
      </c>
      <c r="C59" s="93">
        <v>2019</v>
      </c>
      <c r="D59" s="101" t="s">
        <v>262</v>
      </c>
      <c r="E59" s="93" t="s">
        <v>276</v>
      </c>
      <c r="F59" s="93" t="s">
        <v>264</v>
      </c>
      <c r="G59" s="93" t="s">
        <v>42</v>
      </c>
      <c r="H59" s="93" t="s">
        <v>164</v>
      </c>
      <c r="I59" s="93" t="s">
        <v>159</v>
      </c>
      <c r="J59" s="93" t="s">
        <v>38</v>
      </c>
      <c r="K59" s="93" t="s">
        <v>161</v>
      </c>
      <c r="L59" s="93">
        <v>1</v>
      </c>
      <c r="N59" s="93">
        <v>1</v>
      </c>
      <c r="O59" s="93">
        <v>0.75</v>
      </c>
      <c r="P59" s="93">
        <v>0.75</v>
      </c>
      <c r="Q59" s="102">
        <f t="shared" si="0"/>
        <v>0.75</v>
      </c>
      <c r="R59" s="93">
        <v>17.3</v>
      </c>
      <c r="S59" s="93">
        <v>122</v>
      </c>
      <c r="T59" s="103">
        <f t="shared" si="1"/>
        <v>27</v>
      </c>
      <c r="U59" s="93">
        <v>78</v>
      </c>
      <c r="V59" s="104">
        <f t="shared" si="2"/>
        <v>2106</v>
      </c>
      <c r="W59" s="93">
        <v>6</v>
      </c>
      <c r="X59" s="93" t="s">
        <v>46</v>
      </c>
      <c r="Y59" s="93" t="s">
        <v>69</v>
      </c>
      <c r="Z59" s="93" t="s">
        <v>102</v>
      </c>
      <c r="AA59" s="93" t="s">
        <v>90</v>
      </c>
      <c r="AB59" s="93" t="s">
        <v>158</v>
      </c>
    </row>
    <row r="60" spans="1:28" x14ac:dyDescent="0.15">
      <c r="A60" s="93" t="s">
        <v>51</v>
      </c>
      <c r="B60" s="93" t="s">
        <v>157</v>
      </c>
      <c r="C60" s="93">
        <v>2019</v>
      </c>
      <c r="D60" s="101" t="s">
        <v>262</v>
      </c>
      <c r="E60" s="93" t="s">
        <v>276</v>
      </c>
      <c r="F60" s="93" t="s">
        <v>264</v>
      </c>
      <c r="G60" s="93" t="s">
        <v>42</v>
      </c>
      <c r="H60" s="93" t="s">
        <v>164</v>
      </c>
      <c r="I60" s="93" t="s">
        <v>159</v>
      </c>
      <c r="J60" s="93" t="s">
        <v>38</v>
      </c>
      <c r="K60" s="93" t="s">
        <v>161</v>
      </c>
      <c r="L60" s="93">
        <v>2</v>
      </c>
      <c r="N60" s="93">
        <v>1</v>
      </c>
      <c r="O60" s="93">
        <v>0.8</v>
      </c>
      <c r="P60" s="93">
        <v>0.65</v>
      </c>
      <c r="Q60" s="102">
        <f t="shared" si="0"/>
        <v>0.72500000000000009</v>
      </c>
      <c r="R60" s="93">
        <v>17.7</v>
      </c>
      <c r="S60" s="93">
        <v>124</v>
      </c>
      <c r="T60" s="103">
        <f t="shared" si="1"/>
        <v>27</v>
      </c>
      <c r="U60" s="93">
        <v>78</v>
      </c>
      <c r="V60" s="104">
        <f t="shared" si="2"/>
        <v>2106</v>
      </c>
      <c r="W60" s="93">
        <v>6</v>
      </c>
      <c r="X60" s="93" t="s">
        <v>46</v>
      </c>
      <c r="Y60" s="93" t="s">
        <v>69</v>
      </c>
      <c r="Z60" s="93" t="s">
        <v>102</v>
      </c>
      <c r="AA60" s="93" t="s">
        <v>90</v>
      </c>
      <c r="AB60" s="93" t="s">
        <v>158</v>
      </c>
    </row>
    <row r="61" spans="1:28" x14ac:dyDescent="0.15">
      <c r="A61" s="93" t="s">
        <v>51</v>
      </c>
      <c r="B61" s="93" t="s">
        <v>157</v>
      </c>
      <c r="C61" s="93">
        <v>2019</v>
      </c>
      <c r="D61" s="101" t="s">
        <v>262</v>
      </c>
      <c r="E61" s="93" t="s">
        <v>276</v>
      </c>
      <c r="F61" s="93" t="s">
        <v>264</v>
      </c>
      <c r="G61" s="93" t="s">
        <v>42</v>
      </c>
      <c r="H61" s="93" t="s">
        <v>164</v>
      </c>
      <c r="I61" s="93" t="s">
        <v>159</v>
      </c>
      <c r="J61" s="93" t="s">
        <v>38</v>
      </c>
      <c r="K61" s="93" t="s">
        <v>161</v>
      </c>
      <c r="L61" s="93">
        <v>3</v>
      </c>
      <c r="N61" s="93">
        <v>1</v>
      </c>
      <c r="O61" s="93">
        <v>0.65</v>
      </c>
      <c r="P61" s="93">
        <v>0.7</v>
      </c>
      <c r="Q61" s="102">
        <f t="shared" si="0"/>
        <v>0.67500000000000004</v>
      </c>
      <c r="R61" s="93">
        <v>16.8</v>
      </c>
      <c r="S61" s="93">
        <v>122</v>
      </c>
      <c r="T61" s="103">
        <f t="shared" si="1"/>
        <v>27</v>
      </c>
      <c r="U61" s="93">
        <v>78</v>
      </c>
      <c r="V61" s="104">
        <f t="shared" si="2"/>
        <v>2106</v>
      </c>
      <c r="W61" s="93">
        <v>6</v>
      </c>
      <c r="X61" s="93" t="s">
        <v>46</v>
      </c>
      <c r="Y61" s="93" t="s">
        <v>69</v>
      </c>
      <c r="Z61" s="93" t="s">
        <v>102</v>
      </c>
      <c r="AA61" s="93" t="s">
        <v>90</v>
      </c>
      <c r="AB61" s="93" t="s">
        <v>158</v>
      </c>
    </row>
    <row r="62" spans="1:28" x14ac:dyDescent="0.15">
      <c r="A62" s="93" t="s">
        <v>51</v>
      </c>
      <c r="B62" s="93" t="s">
        <v>157</v>
      </c>
      <c r="C62" s="93">
        <v>2019</v>
      </c>
      <c r="D62" s="101" t="s">
        <v>262</v>
      </c>
      <c r="E62" s="93" t="s">
        <v>276</v>
      </c>
      <c r="F62" s="93" t="s">
        <v>264</v>
      </c>
      <c r="G62" s="93" t="s">
        <v>42</v>
      </c>
      <c r="H62" s="93" t="s">
        <v>160</v>
      </c>
      <c r="I62" s="93" t="s">
        <v>159</v>
      </c>
      <c r="J62" s="93" t="s">
        <v>38</v>
      </c>
      <c r="K62" s="93" t="s">
        <v>161</v>
      </c>
      <c r="L62" s="93">
        <v>1</v>
      </c>
      <c r="N62" s="93">
        <v>1</v>
      </c>
      <c r="O62" s="93">
        <v>0.7</v>
      </c>
      <c r="P62" s="93">
        <v>0.6</v>
      </c>
      <c r="Q62" s="102">
        <f t="shared" si="0"/>
        <v>0.64999999999999991</v>
      </c>
      <c r="R62" s="93">
        <v>16.5</v>
      </c>
      <c r="S62" s="93">
        <v>122</v>
      </c>
      <c r="T62" s="103">
        <f t="shared" si="1"/>
        <v>27</v>
      </c>
      <c r="U62" s="93">
        <v>128</v>
      </c>
      <c r="V62" s="104">
        <f t="shared" si="2"/>
        <v>3456</v>
      </c>
      <c r="W62" s="93">
        <v>6</v>
      </c>
      <c r="X62" s="93" t="s">
        <v>46</v>
      </c>
      <c r="Y62" s="93" t="s">
        <v>69</v>
      </c>
      <c r="Z62" s="93" t="s">
        <v>102</v>
      </c>
      <c r="AA62" s="93" t="s">
        <v>90</v>
      </c>
      <c r="AB62" s="93" t="s">
        <v>158</v>
      </c>
    </row>
    <row r="63" spans="1:28" x14ac:dyDescent="0.15">
      <c r="A63" s="93" t="s">
        <v>51</v>
      </c>
      <c r="B63" s="93" t="s">
        <v>157</v>
      </c>
      <c r="C63" s="93">
        <v>2019</v>
      </c>
      <c r="D63" s="101" t="s">
        <v>262</v>
      </c>
      <c r="E63" s="93" t="s">
        <v>276</v>
      </c>
      <c r="F63" s="93" t="s">
        <v>264</v>
      </c>
      <c r="G63" s="93" t="s">
        <v>42</v>
      </c>
      <c r="H63" s="93" t="s">
        <v>160</v>
      </c>
      <c r="I63" s="93" t="s">
        <v>159</v>
      </c>
      <c r="J63" s="93" t="s">
        <v>38</v>
      </c>
      <c r="K63" s="93" t="s">
        <v>161</v>
      </c>
      <c r="L63" s="93">
        <v>2</v>
      </c>
      <c r="N63" s="93">
        <v>1</v>
      </c>
      <c r="O63" s="93">
        <v>0.55000000000000004</v>
      </c>
      <c r="P63" s="93">
        <v>0.65</v>
      </c>
      <c r="Q63" s="102">
        <f t="shared" si="0"/>
        <v>0.60000000000000009</v>
      </c>
      <c r="R63" s="93">
        <v>17.100000000000001</v>
      </c>
      <c r="S63" s="93">
        <v>124</v>
      </c>
      <c r="T63" s="103">
        <f t="shared" si="1"/>
        <v>27</v>
      </c>
      <c r="U63" s="93">
        <v>128</v>
      </c>
      <c r="V63" s="104">
        <f t="shared" si="2"/>
        <v>3456</v>
      </c>
      <c r="W63" s="93">
        <v>6</v>
      </c>
      <c r="X63" s="93" t="s">
        <v>46</v>
      </c>
      <c r="Y63" s="93" t="s">
        <v>69</v>
      </c>
      <c r="Z63" s="93" t="s">
        <v>102</v>
      </c>
      <c r="AA63" s="93" t="s">
        <v>90</v>
      </c>
      <c r="AB63" s="93" t="s">
        <v>158</v>
      </c>
    </row>
    <row r="64" spans="1:28" x14ac:dyDescent="0.15">
      <c r="A64" s="93" t="s">
        <v>51</v>
      </c>
      <c r="B64" s="93" t="s">
        <v>157</v>
      </c>
      <c r="C64" s="93">
        <v>2019</v>
      </c>
      <c r="D64" s="101" t="s">
        <v>262</v>
      </c>
      <c r="E64" s="93" t="s">
        <v>276</v>
      </c>
      <c r="F64" s="93" t="s">
        <v>264</v>
      </c>
      <c r="G64" s="93" t="s">
        <v>42</v>
      </c>
      <c r="H64" s="93" t="s">
        <v>160</v>
      </c>
      <c r="I64" s="93" t="s">
        <v>159</v>
      </c>
      <c r="J64" s="93" t="s">
        <v>38</v>
      </c>
      <c r="K64" s="93" t="s">
        <v>161</v>
      </c>
      <c r="L64" s="93">
        <v>3</v>
      </c>
      <c r="N64" s="93">
        <v>1</v>
      </c>
      <c r="O64" s="93">
        <v>0.6</v>
      </c>
      <c r="P64" s="93">
        <v>0.65</v>
      </c>
      <c r="Q64" s="102">
        <f t="shared" si="0"/>
        <v>0.625</v>
      </c>
      <c r="R64" s="93">
        <v>16.2</v>
      </c>
      <c r="S64" s="93">
        <v>120</v>
      </c>
      <c r="T64" s="103">
        <f t="shared" si="1"/>
        <v>30</v>
      </c>
      <c r="U64" s="93">
        <v>128</v>
      </c>
      <c r="V64" s="104">
        <f t="shared" si="2"/>
        <v>3840</v>
      </c>
      <c r="W64" s="93">
        <v>6</v>
      </c>
      <c r="X64" s="93" t="s">
        <v>46</v>
      </c>
      <c r="Y64" s="93" t="s">
        <v>69</v>
      </c>
      <c r="Z64" s="93" t="s">
        <v>102</v>
      </c>
      <c r="AA64" s="93" t="s">
        <v>90</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9C640711-EC10-4692-AE7A-5A60AA03EB69}">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6AEC1CF-A225-4F8F-AD4C-D1E056AD78D1}">
      <formula1>$AV$2:$AV$20</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889757C9-8305-4673-B377-18FC0478AAA5}">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5314DC72-1505-43AB-A4F7-9C0021B8C6C2}">
      <formula1>$AL$4:$AL$12</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D929F39-1D5A-43C7-9855-68DCC4B47F63}">
      <formula1>$AP$2:$AP$27</formula1>
    </dataValidation>
    <dataValidation type="list" allowBlank="1" showInputMessage="1" showErrorMessage="1" sqref="Y2:AA500" xr:uid="{013C9E0C-7D0D-4EDC-9116-7B387D3FB2FD}">
      <formula1>$AV$2:$AV$21</formula1>
    </dataValidation>
    <dataValidation type="list" allowBlank="1" showInputMessage="1" showErrorMessage="1" sqref="H2:H500" xr:uid="{99550E01-01F4-4BB1-823E-4A5818418760}">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32C56A41-8DE0-4940-A747-0337910130A1}">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AAE72E5F-EFC9-4584-B354-0B41DA7899F0}">
      <formula1>$AH$2:$AH$11</formula1>
    </dataValidation>
    <dataValidation type="list" allowBlank="1" showInputMessage="1" showErrorMessage="1" sqref="K2:K89" xr:uid="{60065B46-BC45-44A7-8F89-8F071A8D73CA}">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42E5733-DFAB-46BE-A566-9EC7A25DBA41}">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E9C4BE5-4D5F-49B4-9115-E9CF963B55DD}"/>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78F38BE-C98F-470C-A863-6BC16CFDF52D}">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390633DA-6ED7-4D97-8528-6A88D690B51B}">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31E3073A-BD92-479B-9E4E-5EE475D3F644}">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E95D-7CFB-42CE-BAAA-2B470D48AFC3}">
  <sheetPr>
    <pageSetUpPr fitToPage="1"/>
  </sheetPr>
  <dimension ref="A1:BA111"/>
  <sheetViews>
    <sheetView topLeftCell="A19" zoomScale="85" zoomScaleNormal="85" workbookViewId="0">
      <selection activeCell="E69" sqref="E69"/>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63" t="s">
        <v>316</v>
      </c>
      <c r="B1" s="55" t="s">
        <v>1</v>
      </c>
      <c r="C1" s="55" t="s">
        <v>2</v>
      </c>
      <c r="D1" s="56" t="s">
        <v>3</v>
      </c>
      <c r="E1" s="56" t="s">
        <v>317</v>
      </c>
      <c r="F1" s="56" t="s">
        <v>5</v>
      </c>
      <c r="G1" s="56" t="s">
        <v>6</v>
      </c>
      <c r="H1" s="56" t="s">
        <v>318</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64" t="s">
        <v>25</v>
      </c>
      <c r="AB1" s="165" t="s">
        <v>26</v>
      </c>
      <c r="AC1" s="16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31" customFormat="1" x14ac:dyDescent="0.15">
      <c r="A2" s="131" t="s">
        <v>61</v>
      </c>
      <c r="B2" s="131" t="s">
        <v>233</v>
      </c>
      <c r="C2" s="131">
        <v>2019</v>
      </c>
      <c r="D2" s="167" t="s">
        <v>234</v>
      </c>
      <c r="E2" s="131" t="s">
        <v>319</v>
      </c>
      <c r="F2" s="131" t="s">
        <v>320</v>
      </c>
      <c r="G2" s="131" t="s">
        <v>42</v>
      </c>
      <c r="H2" s="53" t="s">
        <v>164</v>
      </c>
      <c r="I2" s="53" t="s">
        <v>159</v>
      </c>
      <c r="J2" s="131" t="s">
        <v>38</v>
      </c>
      <c r="K2" s="53" t="s">
        <v>161</v>
      </c>
      <c r="L2" s="53">
        <v>1</v>
      </c>
      <c r="M2" s="53"/>
      <c r="N2" s="53">
        <v>4</v>
      </c>
      <c r="O2" s="53">
        <v>0.6</v>
      </c>
      <c r="P2" s="53">
        <v>0.5</v>
      </c>
      <c r="Q2" s="75">
        <f t="shared" ref="Q2:Q65" si="0">IF(OR(O2="",P2=""),"",AVERAGE(O2,P2))</f>
        <v>0.55000000000000004</v>
      </c>
      <c r="R2" s="53">
        <v>14.8</v>
      </c>
      <c r="S2" s="53">
        <v>93</v>
      </c>
      <c r="T2" s="16">
        <f t="shared" ref="T2:T65" si="1">IF(H2="","",IF(OR(H2="GREEN",H2="GK"),IF(S2&gt;=$AX$2,VLOOKUP(S2,$AX$2:$AY$15,2,1),""),IF(S2&gt;=$AZ$2,VLOOKUP(S2,$AZ$2:$BA$15,2,1),"")))</f>
        <v>36</v>
      </c>
      <c r="U2" s="53">
        <v>350</v>
      </c>
      <c r="V2" s="168">
        <f t="shared" ref="V2:V65" si="2">IF(OR(N2="",U2="",T2=""),"",U2/N2*T2)</f>
        <v>3150</v>
      </c>
      <c r="W2" s="53">
        <v>4</v>
      </c>
      <c r="X2" s="131" t="s">
        <v>39</v>
      </c>
      <c r="Y2" s="53" t="s">
        <v>78</v>
      </c>
      <c r="Z2" s="53" t="s">
        <v>90</v>
      </c>
      <c r="AA2" s="53" t="s">
        <v>102</v>
      </c>
      <c r="AB2" s="131" t="s">
        <v>237</v>
      </c>
      <c r="AC2" s="34"/>
      <c r="AE2" s="64" t="s">
        <v>35</v>
      </c>
      <c r="AG2" s="49" t="s">
        <v>319</v>
      </c>
      <c r="AH2" s="49" t="s">
        <v>320</v>
      </c>
      <c r="AJ2" s="140" t="s">
        <v>36</v>
      </c>
      <c r="AL2" s="67" t="s">
        <v>127</v>
      </c>
      <c r="AN2" s="140" t="s">
        <v>37</v>
      </c>
      <c r="AP2" s="67" t="s">
        <v>38</v>
      </c>
      <c r="AR2" s="67" t="s">
        <v>120</v>
      </c>
      <c r="AT2" s="140" t="s">
        <v>39</v>
      </c>
      <c r="AV2" s="67" t="s">
        <v>40</v>
      </c>
      <c r="AX2" s="169">
        <v>1</v>
      </c>
      <c r="AY2" s="170">
        <v>50</v>
      </c>
      <c r="AZ2" s="170">
        <v>1</v>
      </c>
      <c r="BA2" s="171">
        <v>50</v>
      </c>
    </row>
    <row r="3" spans="1:53" x14ac:dyDescent="0.15">
      <c r="A3" s="131" t="s">
        <v>61</v>
      </c>
      <c r="B3" s="131" t="s">
        <v>233</v>
      </c>
      <c r="C3" s="131">
        <v>2019</v>
      </c>
      <c r="D3" s="167" t="s">
        <v>234</v>
      </c>
      <c r="E3" s="131" t="s">
        <v>319</v>
      </c>
      <c r="F3" s="131" t="s">
        <v>320</v>
      </c>
      <c r="G3" s="131" t="s">
        <v>42</v>
      </c>
      <c r="H3" s="53" t="s">
        <v>164</v>
      </c>
      <c r="I3" s="53" t="s">
        <v>159</v>
      </c>
      <c r="J3" s="131" t="s">
        <v>38</v>
      </c>
      <c r="K3" s="53" t="s">
        <v>161</v>
      </c>
      <c r="L3" s="53">
        <v>2</v>
      </c>
      <c r="N3" s="53">
        <v>4</v>
      </c>
      <c r="O3" s="53">
        <v>0.7</v>
      </c>
      <c r="P3" s="53">
        <v>0.5</v>
      </c>
      <c r="Q3" s="75">
        <f t="shared" si="0"/>
        <v>0.6</v>
      </c>
      <c r="R3" s="53">
        <v>17.399999999999999</v>
      </c>
      <c r="S3" s="53">
        <v>101</v>
      </c>
      <c r="T3" s="16">
        <f t="shared" si="1"/>
        <v>33</v>
      </c>
      <c r="U3" s="53">
        <v>350</v>
      </c>
      <c r="V3" s="168">
        <f t="shared" si="2"/>
        <v>2887.5</v>
      </c>
      <c r="W3" s="53">
        <v>4</v>
      </c>
      <c r="X3" s="131" t="s">
        <v>39</v>
      </c>
      <c r="Y3" s="53" t="s">
        <v>78</v>
      </c>
      <c r="Z3" s="53" t="s">
        <v>90</v>
      </c>
      <c r="AA3" s="53" t="s">
        <v>102</v>
      </c>
      <c r="AB3" s="131" t="s">
        <v>237</v>
      </c>
      <c r="AC3" s="34"/>
      <c r="AE3" s="22" t="s">
        <v>41</v>
      </c>
      <c r="AG3" s="49" t="s">
        <v>321</v>
      </c>
      <c r="AH3" s="49" t="s">
        <v>322</v>
      </c>
      <c r="AJ3" s="23" t="s">
        <v>42</v>
      </c>
      <c r="AL3" s="23" t="s">
        <v>128</v>
      </c>
      <c r="AN3" s="23" t="s">
        <v>43</v>
      </c>
      <c r="AP3" s="23" t="s">
        <v>44</v>
      </c>
      <c r="AR3" s="23" t="s">
        <v>45</v>
      </c>
      <c r="AT3" s="23" t="s">
        <v>46</v>
      </c>
      <c r="AV3" s="23" t="s">
        <v>47</v>
      </c>
      <c r="AX3" s="24">
        <v>72</v>
      </c>
      <c r="AY3" s="25">
        <v>46</v>
      </c>
      <c r="AZ3" s="25">
        <v>71</v>
      </c>
      <c r="BA3" s="26">
        <v>42</v>
      </c>
    </row>
    <row r="4" spans="1:53" x14ac:dyDescent="0.15">
      <c r="A4" s="131" t="s">
        <v>61</v>
      </c>
      <c r="B4" s="131" t="s">
        <v>233</v>
      </c>
      <c r="C4" s="131">
        <v>2019</v>
      </c>
      <c r="D4" s="167" t="s">
        <v>234</v>
      </c>
      <c r="E4" s="131" t="s">
        <v>319</v>
      </c>
      <c r="F4" s="131" t="s">
        <v>320</v>
      </c>
      <c r="G4" s="131" t="s">
        <v>42</v>
      </c>
      <c r="H4" s="53" t="s">
        <v>164</v>
      </c>
      <c r="I4" s="53" t="s">
        <v>159</v>
      </c>
      <c r="J4" s="131" t="s">
        <v>38</v>
      </c>
      <c r="K4" s="53" t="s">
        <v>161</v>
      </c>
      <c r="L4" s="53">
        <v>3</v>
      </c>
      <c r="N4" s="53">
        <v>4</v>
      </c>
      <c r="O4" s="53">
        <v>0.5</v>
      </c>
      <c r="P4" s="53">
        <v>0.5</v>
      </c>
      <c r="Q4" s="75">
        <f t="shared" si="0"/>
        <v>0.5</v>
      </c>
      <c r="R4" s="53">
        <v>16.8</v>
      </c>
      <c r="S4" s="53">
        <v>96</v>
      </c>
      <c r="T4" s="16">
        <f t="shared" si="1"/>
        <v>36</v>
      </c>
      <c r="U4" s="53">
        <v>350</v>
      </c>
      <c r="V4" s="168">
        <f t="shared" si="2"/>
        <v>3150</v>
      </c>
      <c r="W4" s="53">
        <v>4</v>
      </c>
      <c r="X4" s="131" t="s">
        <v>39</v>
      </c>
      <c r="Y4" s="53" t="s">
        <v>78</v>
      </c>
      <c r="Z4" s="53" t="s">
        <v>90</v>
      </c>
      <c r="AA4" s="53" t="s">
        <v>102</v>
      </c>
      <c r="AB4" s="131" t="s">
        <v>237</v>
      </c>
      <c r="AC4" s="34"/>
      <c r="AE4" s="22" t="s">
        <v>34</v>
      </c>
      <c r="AG4" s="49" t="s">
        <v>323</v>
      </c>
      <c r="AH4" s="49" t="s">
        <v>324</v>
      </c>
      <c r="AJ4" s="27" t="s">
        <v>48</v>
      </c>
      <c r="AL4" s="27" t="s">
        <v>129</v>
      </c>
      <c r="AN4" s="28" t="s">
        <v>49</v>
      </c>
      <c r="AP4" s="23" t="s">
        <v>93</v>
      </c>
      <c r="AR4" s="23" t="s">
        <v>121</v>
      </c>
      <c r="AT4" s="28"/>
      <c r="AV4" s="23" t="s">
        <v>50</v>
      </c>
      <c r="AX4" s="24">
        <v>75</v>
      </c>
      <c r="AY4" s="25">
        <v>42</v>
      </c>
      <c r="AZ4" s="25">
        <v>76</v>
      </c>
      <c r="BA4" s="26">
        <v>39</v>
      </c>
    </row>
    <row r="5" spans="1:53" x14ac:dyDescent="0.15">
      <c r="A5" s="131" t="s">
        <v>61</v>
      </c>
      <c r="B5" s="131" t="s">
        <v>233</v>
      </c>
      <c r="C5" s="131">
        <v>2019</v>
      </c>
      <c r="D5" s="167" t="s">
        <v>234</v>
      </c>
      <c r="E5" s="131" t="s">
        <v>319</v>
      </c>
      <c r="F5" s="131" t="s">
        <v>320</v>
      </c>
      <c r="G5" s="131" t="s">
        <v>42</v>
      </c>
      <c r="H5" s="53" t="s">
        <v>160</v>
      </c>
      <c r="I5" s="53" t="s">
        <v>159</v>
      </c>
      <c r="J5" s="131" t="s">
        <v>38</v>
      </c>
      <c r="K5" s="53" t="s">
        <v>161</v>
      </c>
      <c r="L5" s="53">
        <v>1</v>
      </c>
      <c r="N5" s="53">
        <v>1</v>
      </c>
      <c r="O5" s="53">
        <v>0.5</v>
      </c>
      <c r="P5" s="53">
        <v>0.5</v>
      </c>
      <c r="Q5" s="75">
        <f t="shared" si="0"/>
        <v>0.5</v>
      </c>
      <c r="R5" s="53">
        <v>20.3</v>
      </c>
      <c r="S5" s="53">
        <v>130</v>
      </c>
      <c r="T5" s="16">
        <f t="shared" si="1"/>
        <v>25</v>
      </c>
      <c r="U5" s="53">
        <v>138</v>
      </c>
      <c r="V5" s="168">
        <f t="shared" si="2"/>
        <v>3450</v>
      </c>
      <c r="W5" s="53">
        <v>4</v>
      </c>
      <c r="X5" s="131" t="s">
        <v>39</v>
      </c>
      <c r="Y5" s="53" t="s">
        <v>78</v>
      </c>
      <c r="Z5" s="53" t="s">
        <v>90</v>
      </c>
      <c r="AA5" s="53" t="s">
        <v>102</v>
      </c>
      <c r="AB5" s="131" t="s">
        <v>237</v>
      </c>
      <c r="AC5" s="34"/>
      <c r="AE5" s="22" t="s">
        <v>51</v>
      </c>
      <c r="AG5" s="49" t="s">
        <v>325</v>
      </c>
      <c r="AH5" s="49" t="s">
        <v>326</v>
      </c>
      <c r="AJ5" s="27"/>
      <c r="AL5" s="73" t="s">
        <v>66</v>
      </c>
      <c r="AN5" s="73" t="s">
        <v>52</v>
      </c>
      <c r="AP5" s="23" t="s">
        <v>119</v>
      </c>
      <c r="AR5" s="23" t="s">
        <v>54</v>
      </c>
      <c r="AV5" s="23" t="s">
        <v>55</v>
      </c>
      <c r="AX5" s="24">
        <v>84</v>
      </c>
      <c r="AY5" s="25">
        <v>39</v>
      </c>
      <c r="AZ5" s="25">
        <v>84</v>
      </c>
      <c r="BA5" s="26">
        <v>36</v>
      </c>
    </row>
    <row r="6" spans="1:53" x14ac:dyDescent="0.15">
      <c r="A6" s="131" t="s">
        <v>61</v>
      </c>
      <c r="B6" s="131" t="s">
        <v>233</v>
      </c>
      <c r="C6" s="131">
        <v>2019</v>
      </c>
      <c r="D6" s="167" t="s">
        <v>234</v>
      </c>
      <c r="E6" s="131" t="s">
        <v>319</v>
      </c>
      <c r="F6" s="131" t="s">
        <v>320</v>
      </c>
      <c r="G6" s="131" t="s">
        <v>42</v>
      </c>
      <c r="H6" s="53" t="s">
        <v>160</v>
      </c>
      <c r="I6" s="53" t="s">
        <v>159</v>
      </c>
      <c r="J6" s="131" t="s">
        <v>38</v>
      </c>
      <c r="K6" s="53" t="s">
        <v>161</v>
      </c>
      <c r="L6" s="53">
        <v>2</v>
      </c>
      <c r="N6" s="53">
        <v>1</v>
      </c>
      <c r="O6" s="53">
        <v>0.5</v>
      </c>
      <c r="P6" s="53">
        <v>0.5</v>
      </c>
      <c r="Q6" s="75">
        <f t="shared" si="0"/>
        <v>0.5</v>
      </c>
      <c r="R6" s="53">
        <v>19.399999999999999</v>
      </c>
      <c r="S6" s="53">
        <v>131</v>
      </c>
      <c r="T6" s="16">
        <f t="shared" si="1"/>
        <v>25</v>
      </c>
      <c r="U6" s="53">
        <v>138</v>
      </c>
      <c r="V6" s="168">
        <f t="shared" si="2"/>
        <v>3450</v>
      </c>
      <c r="W6" s="53">
        <v>4</v>
      </c>
      <c r="X6" s="131" t="s">
        <v>39</v>
      </c>
      <c r="Y6" s="53" t="s">
        <v>78</v>
      </c>
      <c r="Z6" s="53" t="s">
        <v>90</v>
      </c>
      <c r="AA6" s="53" t="s">
        <v>102</v>
      </c>
      <c r="AB6" s="131" t="s">
        <v>237</v>
      </c>
      <c r="AC6" s="34"/>
      <c r="AE6" s="22" t="s">
        <v>56</v>
      </c>
      <c r="AG6" s="49" t="s">
        <v>327</v>
      </c>
      <c r="AH6" s="49" t="s">
        <v>328</v>
      </c>
      <c r="AJ6" s="27"/>
      <c r="AL6" s="73" t="s">
        <v>99</v>
      </c>
      <c r="AN6" s="73" t="s">
        <v>57</v>
      </c>
      <c r="AP6" s="23" t="s">
        <v>53</v>
      </c>
      <c r="AR6" s="23" t="s">
        <v>59</v>
      </c>
      <c r="AV6" s="23" t="s">
        <v>60</v>
      </c>
      <c r="AX6" s="24">
        <v>97</v>
      </c>
      <c r="AY6" s="25">
        <v>36</v>
      </c>
      <c r="AZ6" s="25">
        <v>99</v>
      </c>
      <c r="BA6" s="26">
        <v>33</v>
      </c>
    </row>
    <row r="7" spans="1:53" x14ac:dyDescent="0.15">
      <c r="A7" s="131" t="s">
        <v>61</v>
      </c>
      <c r="B7" s="131" t="s">
        <v>233</v>
      </c>
      <c r="C7" s="131">
        <v>2019</v>
      </c>
      <c r="D7" s="167" t="s">
        <v>234</v>
      </c>
      <c r="E7" s="131" t="s">
        <v>319</v>
      </c>
      <c r="F7" s="131" t="s">
        <v>320</v>
      </c>
      <c r="G7" s="131" t="s">
        <v>42</v>
      </c>
      <c r="H7" s="53" t="s">
        <v>160</v>
      </c>
      <c r="I7" s="53" t="s">
        <v>159</v>
      </c>
      <c r="J7" s="131" t="s">
        <v>38</v>
      </c>
      <c r="K7" s="53" t="s">
        <v>161</v>
      </c>
      <c r="L7" s="53">
        <v>3</v>
      </c>
      <c r="N7" s="53">
        <v>1</v>
      </c>
      <c r="O7" s="53">
        <v>0.5</v>
      </c>
      <c r="P7" s="53">
        <v>0.55000000000000004</v>
      </c>
      <c r="Q7" s="75">
        <f t="shared" si="0"/>
        <v>0.52500000000000002</v>
      </c>
      <c r="R7" s="53">
        <v>18.600000000000001</v>
      </c>
      <c r="S7" s="53">
        <v>125</v>
      </c>
      <c r="T7" s="16">
        <f t="shared" si="1"/>
        <v>27</v>
      </c>
      <c r="U7" s="53">
        <v>138</v>
      </c>
      <c r="V7" s="168">
        <f t="shared" si="2"/>
        <v>3726</v>
      </c>
      <c r="W7" s="53">
        <v>4</v>
      </c>
      <c r="X7" s="131" t="s">
        <v>39</v>
      </c>
      <c r="Y7" s="53" t="s">
        <v>78</v>
      </c>
      <c r="Z7" s="53" t="s">
        <v>90</v>
      </c>
      <c r="AA7" s="53" t="s">
        <v>102</v>
      </c>
      <c r="AB7" s="131" t="s">
        <v>237</v>
      </c>
      <c r="AC7" s="34"/>
      <c r="AE7" s="22" t="s">
        <v>61</v>
      </c>
      <c r="AG7" s="49" t="s">
        <v>329</v>
      </c>
      <c r="AH7" s="49" t="s">
        <v>330</v>
      </c>
      <c r="AJ7" s="27"/>
      <c r="AL7" s="34" t="s">
        <v>109</v>
      </c>
      <c r="AN7" s="73"/>
      <c r="AP7" s="23" t="s">
        <v>58</v>
      </c>
      <c r="AR7" s="23" t="s">
        <v>122</v>
      </c>
      <c r="AV7" s="23" t="s">
        <v>64</v>
      </c>
      <c r="AX7" s="24">
        <v>109</v>
      </c>
      <c r="AY7" s="25">
        <v>33</v>
      </c>
      <c r="AZ7" s="25">
        <v>113</v>
      </c>
      <c r="BA7" s="26">
        <v>30</v>
      </c>
    </row>
    <row r="8" spans="1:53" x14ac:dyDescent="0.15">
      <c r="A8" s="131" t="s">
        <v>61</v>
      </c>
      <c r="B8" s="131" t="s">
        <v>233</v>
      </c>
      <c r="C8" s="131">
        <v>2019</v>
      </c>
      <c r="D8" s="167" t="s">
        <v>234</v>
      </c>
      <c r="E8" s="131" t="s">
        <v>321</v>
      </c>
      <c r="F8" s="131" t="s">
        <v>322</v>
      </c>
      <c r="G8" s="131" t="s">
        <v>42</v>
      </c>
      <c r="H8" s="53" t="s">
        <v>164</v>
      </c>
      <c r="I8" s="53" t="s">
        <v>159</v>
      </c>
      <c r="J8" s="131" t="s">
        <v>38</v>
      </c>
      <c r="K8" s="53" t="s">
        <v>161</v>
      </c>
      <c r="L8" s="53">
        <v>1</v>
      </c>
      <c r="N8" s="53">
        <v>1</v>
      </c>
      <c r="O8" s="53">
        <v>0.7</v>
      </c>
      <c r="P8" s="53">
        <v>0.65</v>
      </c>
      <c r="Q8" s="75">
        <f t="shared" si="0"/>
        <v>0.67500000000000004</v>
      </c>
      <c r="R8" s="53">
        <v>17.7</v>
      </c>
      <c r="S8" s="53">
        <v>142</v>
      </c>
      <c r="T8" s="16">
        <f t="shared" si="1"/>
        <v>22</v>
      </c>
      <c r="U8" s="53">
        <v>128</v>
      </c>
      <c r="V8" s="168">
        <f t="shared" si="2"/>
        <v>2816</v>
      </c>
      <c r="W8" s="53">
        <v>5</v>
      </c>
      <c r="X8" s="131" t="s">
        <v>46</v>
      </c>
      <c r="Y8" s="53" t="s">
        <v>102</v>
      </c>
      <c r="Z8" s="53" t="s">
        <v>78</v>
      </c>
      <c r="AA8" s="53" t="s">
        <v>90</v>
      </c>
      <c r="AB8" s="131" t="s">
        <v>237</v>
      </c>
      <c r="AC8" s="34"/>
      <c r="AE8" s="22" t="s">
        <v>59</v>
      </c>
      <c r="AG8" s="49" t="s">
        <v>331</v>
      </c>
      <c r="AH8" s="49" t="s">
        <v>332</v>
      </c>
      <c r="AJ8" s="28"/>
      <c r="AL8" s="34" t="s">
        <v>134</v>
      </c>
      <c r="AN8" s="73"/>
      <c r="AP8" s="23" t="s">
        <v>62</v>
      </c>
      <c r="AR8" s="23" t="s">
        <v>81</v>
      </c>
      <c r="AV8" s="23" t="s">
        <v>97</v>
      </c>
      <c r="AX8" s="24">
        <v>119</v>
      </c>
      <c r="AY8" s="25">
        <v>30</v>
      </c>
      <c r="AZ8" s="25">
        <v>121</v>
      </c>
      <c r="BA8" s="26">
        <v>27</v>
      </c>
    </row>
    <row r="9" spans="1:53" x14ac:dyDescent="0.15">
      <c r="A9" s="131" t="s">
        <v>61</v>
      </c>
      <c r="B9" s="131" t="s">
        <v>233</v>
      </c>
      <c r="C9" s="131">
        <v>2019</v>
      </c>
      <c r="D9" s="167" t="s">
        <v>234</v>
      </c>
      <c r="E9" s="131" t="s">
        <v>321</v>
      </c>
      <c r="F9" s="131" t="s">
        <v>322</v>
      </c>
      <c r="G9" s="131" t="s">
        <v>42</v>
      </c>
      <c r="H9" s="53" t="s">
        <v>164</v>
      </c>
      <c r="I9" s="53" t="s">
        <v>159</v>
      </c>
      <c r="J9" s="131" t="s">
        <v>38</v>
      </c>
      <c r="K9" s="53" t="s">
        <v>161</v>
      </c>
      <c r="L9" s="53">
        <v>2</v>
      </c>
      <c r="N9" s="53">
        <v>1</v>
      </c>
      <c r="O9" s="53">
        <v>0.75</v>
      </c>
      <c r="P9" s="53">
        <v>0.7</v>
      </c>
      <c r="Q9" s="75">
        <f t="shared" si="0"/>
        <v>0.72499999999999998</v>
      </c>
      <c r="R9" s="34">
        <v>17.399999999999999</v>
      </c>
      <c r="S9" s="53">
        <v>132</v>
      </c>
      <c r="T9" s="16">
        <f t="shared" si="1"/>
        <v>25</v>
      </c>
      <c r="U9" s="53">
        <v>128</v>
      </c>
      <c r="V9" s="168">
        <f t="shared" si="2"/>
        <v>3200</v>
      </c>
      <c r="W9" s="53">
        <v>5</v>
      </c>
      <c r="X9" s="131" t="s">
        <v>46</v>
      </c>
      <c r="Y9" s="53" t="s">
        <v>102</v>
      </c>
      <c r="Z9" s="53" t="s">
        <v>78</v>
      </c>
      <c r="AA9" s="53" t="s">
        <v>90</v>
      </c>
      <c r="AB9" s="131" t="s">
        <v>237</v>
      </c>
      <c r="AC9" s="34"/>
      <c r="AE9" s="22" t="s">
        <v>98</v>
      </c>
      <c r="AG9" s="49" t="s">
        <v>133</v>
      </c>
      <c r="AH9" s="49" t="s">
        <v>333</v>
      </c>
      <c r="AL9" s="73"/>
      <c r="AN9" s="73"/>
      <c r="AP9" s="23" t="s">
        <v>95</v>
      </c>
      <c r="AR9" s="23" t="s">
        <v>89</v>
      </c>
      <c r="AV9" s="23" t="s">
        <v>102</v>
      </c>
      <c r="AX9" s="24">
        <v>128</v>
      </c>
      <c r="AY9" s="25">
        <v>27</v>
      </c>
      <c r="AZ9" s="25">
        <v>129</v>
      </c>
      <c r="BA9" s="26">
        <v>25</v>
      </c>
    </row>
    <row r="10" spans="1:53" x14ac:dyDescent="0.15">
      <c r="A10" s="131" t="s">
        <v>61</v>
      </c>
      <c r="B10" s="131" t="s">
        <v>233</v>
      </c>
      <c r="C10" s="131">
        <v>2019</v>
      </c>
      <c r="D10" s="167" t="s">
        <v>234</v>
      </c>
      <c r="E10" s="131" t="s">
        <v>321</v>
      </c>
      <c r="F10" s="131" t="s">
        <v>322</v>
      </c>
      <c r="G10" s="131" t="s">
        <v>42</v>
      </c>
      <c r="H10" s="53" t="s">
        <v>164</v>
      </c>
      <c r="I10" s="53" t="s">
        <v>159</v>
      </c>
      <c r="J10" s="131" t="s">
        <v>38</v>
      </c>
      <c r="K10" s="53" t="s">
        <v>161</v>
      </c>
      <c r="L10" s="53">
        <v>3</v>
      </c>
      <c r="N10" s="53">
        <v>1</v>
      </c>
      <c r="O10" s="53">
        <v>0.75</v>
      </c>
      <c r="P10" s="53">
        <v>0.55000000000000004</v>
      </c>
      <c r="Q10" s="75">
        <f t="shared" si="0"/>
        <v>0.65</v>
      </c>
      <c r="R10" s="53">
        <v>14.9</v>
      </c>
      <c r="S10" s="53">
        <v>133</v>
      </c>
      <c r="T10" s="16">
        <f t="shared" si="1"/>
        <v>25</v>
      </c>
      <c r="U10" s="53">
        <v>128</v>
      </c>
      <c r="V10" s="168">
        <f t="shared" si="2"/>
        <v>3200</v>
      </c>
      <c r="W10" s="53">
        <v>5</v>
      </c>
      <c r="X10" s="131" t="s">
        <v>46</v>
      </c>
      <c r="Y10" s="53" t="s">
        <v>102</v>
      </c>
      <c r="Z10" s="53" t="s">
        <v>78</v>
      </c>
      <c r="AA10" s="53" t="s">
        <v>90</v>
      </c>
      <c r="AB10" s="131" t="s">
        <v>237</v>
      </c>
      <c r="AC10" s="34"/>
      <c r="AE10" s="22" t="s">
        <v>103</v>
      </c>
      <c r="AG10" s="49" t="s">
        <v>334</v>
      </c>
      <c r="AH10" s="49" t="s">
        <v>335</v>
      </c>
      <c r="AL10" s="27"/>
      <c r="AP10" s="23" t="s">
        <v>100</v>
      </c>
      <c r="AR10" s="23" t="s">
        <v>123</v>
      </c>
      <c r="AV10" s="23" t="s">
        <v>106</v>
      </c>
      <c r="AX10" s="24">
        <v>138</v>
      </c>
      <c r="AY10" s="25">
        <v>25</v>
      </c>
      <c r="AZ10" s="25">
        <v>138</v>
      </c>
      <c r="BA10" s="26">
        <v>22</v>
      </c>
    </row>
    <row r="11" spans="1:53" x14ac:dyDescent="0.15">
      <c r="A11" s="131" t="s">
        <v>61</v>
      </c>
      <c r="B11" s="131" t="s">
        <v>233</v>
      </c>
      <c r="C11" s="131">
        <v>2019</v>
      </c>
      <c r="D11" s="167" t="s">
        <v>234</v>
      </c>
      <c r="E11" s="131" t="s">
        <v>321</v>
      </c>
      <c r="F11" s="131" t="s">
        <v>322</v>
      </c>
      <c r="G11" s="131" t="s">
        <v>42</v>
      </c>
      <c r="H11" s="53" t="s">
        <v>160</v>
      </c>
      <c r="I11" s="53" t="s">
        <v>159</v>
      </c>
      <c r="J11" s="131" t="s">
        <v>38</v>
      </c>
      <c r="K11" s="53" t="s">
        <v>161</v>
      </c>
      <c r="L11" s="53">
        <v>1</v>
      </c>
      <c r="N11" s="53">
        <v>1</v>
      </c>
      <c r="O11" s="53">
        <v>0.75</v>
      </c>
      <c r="P11" s="53">
        <v>0.5</v>
      </c>
      <c r="Q11" s="75">
        <f t="shared" si="0"/>
        <v>0.625</v>
      </c>
      <c r="R11" s="53">
        <v>18</v>
      </c>
      <c r="S11" s="53">
        <v>132</v>
      </c>
      <c r="T11" s="16">
        <f t="shared" si="1"/>
        <v>25</v>
      </c>
      <c r="U11" s="53">
        <v>128</v>
      </c>
      <c r="V11" s="168">
        <f t="shared" si="2"/>
        <v>3200</v>
      </c>
      <c r="W11" s="53">
        <v>5</v>
      </c>
      <c r="X11" s="131" t="s">
        <v>46</v>
      </c>
      <c r="Y11" s="53" t="s">
        <v>102</v>
      </c>
      <c r="Z11" s="53" t="s">
        <v>78</v>
      </c>
      <c r="AA11" s="53" t="s">
        <v>90</v>
      </c>
      <c r="AB11" s="131" t="s">
        <v>237</v>
      </c>
      <c r="AC11" s="34"/>
      <c r="AE11" s="22" t="s">
        <v>65</v>
      </c>
      <c r="AG11" s="49" t="s">
        <v>336</v>
      </c>
      <c r="AH11" s="49" t="s">
        <v>335</v>
      </c>
      <c r="AL11" s="172"/>
      <c r="AP11" s="23" t="s">
        <v>104</v>
      </c>
      <c r="AR11" s="23" t="s">
        <v>87</v>
      </c>
      <c r="AV11" s="173" t="s">
        <v>337</v>
      </c>
      <c r="AX11" s="24">
        <v>151</v>
      </c>
      <c r="AY11" s="25">
        <v>22</v>
      </c>
      <c r="AZ11" s="25">
        <v>152</v>
      </c>
      <c r="BA11" s="26">
        <v>18</v>
      </c>
    </row>
    <row r="12" spans="1:53" x14ac:dyDescent="0.15">
      <c r="A12" s="131" t="s">
        <v>61</v>
      </c>
      <c r="B12" s="131" t="s">
        <v>233</v>
      </c>
      <c r="C12" s="131">
        <v>2019</v>
      </c>
      <c r="D12" s="167" t="s">
        <v>234</v>
      </c>
      <c r="E12" s="131" t="s">
        <v>321</v>
      </c>
      <c r="F12" s="131" t="s">
        <v>322</v>
      </c>
      <c r="G12" s="131" t="s">
        <v>42</v>
      </c>
      <c r="H12" s="53" t="s">
        <v>160</v>
      </c>
      <c r="I12" s="53" t="s">
        <v>159</v>
      </c>
      <c r="J12" s="131" t="s">
        <v>38</v>
      </c>
      <c r="K12" s="53" t="s">
        <v>161</v>
      </c>
      <c r="L12" s="53">
        <v>2</v>
      </c>
      <c r="N12" s="53">
        <v>1</v>
      </c>
      <c r="O12" s="53">
        <v>0.85</v>
      </c>
      <c r="P12" s="53">
        <v>0.5</v>
      </c>
      <c r="Q12" s="75">
        <f t="shared" si="0"/>
        <v>0.67500000000000004</v>
      </c>
      <c r="R12" s="34">
        <v>18</v>
      </c>
      <c r="S12" s="53">
        <v>149</v>
      </c>
      <c r="T12" s="16">
        <f t="shared" si="1"/>
        <v>22</v>
      </c>
      <c r="U12" s="53">
        <v>128</v>
      </c>
      <c r="V12" s="168">
        <f t="shared" si="2"/>
        <v>2816</v>
      </c>
      <c r="W12" s="53">
        <v>5</v>
      </c>
      <c r="X12" s="131" t="s">
        <v>46</v>
      </c>
      <c r="Y12" s="53" t="s">
        <v>102</v>
      </c>
      <c r="Z12" s="53" t="s">
        <v>78</v>
      </c>
      <c r="AA12" s="53" t="s">
        <v>90</v>
      </c>
      <c r="AB12" s="131" t="s">
        <v>237</v>
      </c>
      <c r="AC12" s="34"/>
      <c r="AE12" s="22" t="s">
        <v>70</v>
      </c>
      <c r="AG12" s="23"/>
      <c r="AH12" s="22"/>
      <c r="AL12" s="172"/>
      <c r="AP12" s="23" t="s">
        <v>67</v>
      </c>
      <c r="AR12" s="23" t="s">
        <v>124</v>
      </c>
      <c r="AV12" s="173" t="s">
        <v>338</v>
      </c>
      <c r="AX12" s="24">
        <v>180</v>
      </c>
      <c r="AY12" s="25">
        <v>18</v>
      </c>
      <c r="AZ12" s="25">
        <v>181</v>
      </c>
      <c r="BA12" s="26">
        <v>16</v>
      </c>
    </row>
    <row r="13" spans="1:53" x14ac:dyDescent="0.15">
      <c r="A13" s="131" t="s">
        <v>61</v>
      </c>
      <c r="B13" s="131" t="s">
        <v>233</v>
      </c>
      <c r="C13" s="131">
        <v>2019</v>
      </c>
      <c r="D13" s="167" t="s">
        <v>234</v>
      </c>
      <c r="E13" s="131" t="s">
        <v>321</v>
      </c>
      <c r="F13" s="131" t="s">
        <v>322</v>
      </c>
      <c r="G13" s="131" t="s">
        <v>42</v>
      </c>
      <c r="H13" s="53" t="s">
        <v>160</v>
      </c>
      <c r="I13" s="53" t="s">
        <v>159</v>
      </c>
      <c r="J13" s="131" t="s">
        <v>38</v>
      </c>
      <c r="K13" s="53" t="s">
        <v>161</v>
      </c>
      <c r="L13" s="53">
        <v>3</v>
      </c>
      <c r="N13" s="53">
        <v>1</v>
      </c>
      <c r="O13" s="53">
        <v>0.5</v>
      </c>
      <c r="P13" s="53">
        <v>0.5</v>
      </c>
      <c r="Q13" s="75">
        <f t="shared" si="0"/>
        <v>0.5</v>
      </c>
      <c r="R13" s="53">
        <v>18.8</v>
      </c>
      <c r="S13" s="53">
        <v>134</v>
      </c>
      <c r="T13" s="16">
        <f t="shared" si="1"/>
        <v>25</v>
      </c>
      <c r="U13" s="53">
        <v>128</v>
      </c>
      <c r="V13" s="168">
        <f t="shared" si="2"/>
        <v>3200</v>
      </c>
      <c r="W13" s="53">
        <v>5</v>
      </c>
      <c r="X13" s="131" t="s">
        <v>46</v>
      </c>
      <c r="Y13" s="53" t="s">
        <v>102</v>
      </c>
      <c r="Z13" s="53" t="s">
        <v>78</v>
      </c>
      <c r="AA13" s="53" t="s">
        <v>90</v>
      </c>
      <c r="AB13" s="131" t="s">
        <v>237</v>
      </c>
      <c r="AC13" s="34"/>
      <c r="AE13" s="22" t="s">
        <v>73</v>
      </c>
      <c r="AG13" s="23"/>
      <c r="AH13" s="22"/>
      <c r="AL13" s="174"/>
      <c r="AP13" s="23" t="s">
        <v>71</v>
      </c>
      <c r="AR13" s="23" t="s">
        <v>103</v>
      </c>
      <c r="AV13" s="173" t="s">
        <v>339</v>
      </c>
      <c r="AX13" s="24"/>
      <c r="AY13" s="25"/>
      <c r="AZ13" s="25"/>
      <c r="BA13" s="26"/>
    </row>
    <row r="14" spans="1:53" x14ac:dyDescent="0.15">
      <c r="A14" s="131" t="s">
        <v>61</v>
      </c>
      <c r="B14" s="131" t="s">
        <v>233</v>
      </c>
      <c r="C14" s="131">
        <v>2019</v>
      </c>
      <c r="D14" s="167" t="s">
        <v>234</v>
      </c>
      <c r="E14" s="131" t="s">
        <v>323</v>
      </c>
      <c r="F14" s="131" t="s">
        <v>324</v>
      </c>
      <c r="G14" s="131" t="s">
        <v>42</v>
      </c>
      <c r="H14" s="53" t="s">
        <v>164</v>
      </c>
      <c r="I14" s="53" t="s">
        <v>159</v>
      </c>
      <c r="J14" s="131" t="s">
        <v>38</v>
      </c>
      <c r="K14" s="53" t="s">
        <v>161</v>
      </c>
      <c r="L14" s="53">
        <v>1</v>
      </c>
      <c r="N14" s="53">
        <v>4</v>
      </c>
      <c r="O14" s="53">
        <v>0.5</v>
      </c>
      <c r="P14" s="53">
        <v>0.85</v>
      </c>
      <c r="Q14" s="75">
        <f t="shared" si="0"/>
        <v>0.67500000000000004</v>
      </c>
      <c r="R14" s="53">
        <v>12.9</v>
      </c>
      <c r="S14" s="53">
        <v>91</v>
      </c>
      <c r="T14" s="16">
        <f t="shared" si="1"/>
        <v>36</v>
      </c>
      <c r="U14" s="53">
        <v>298</v>
      </c>
      <c r="V14" s="168">
        <f t="shared" si="2"/>
        <v>2682</v>
      </c>
      <c r="W14" s="53">
        <v>8</v>
      </c>
      <c r="X14" s="131" t="s">
        <v>46</v>
      </c>
      <c r="Y14" s="53" t="s">
        <v>69</v>
      </c>
      <c r="Z14" s="53" t="s">
        <v>78</v>
      </c>
      <c r="AA14" s="53" t="s">
        <v>102</v>
      </c>
      <c r="AB14" s="131" t="s">
        <v>237</v>
      </c>
      <c r="AC14" s="34"/>
      <c r="AE14" s="22" t="s">
        <v>76</v>
      </c>
      <c r="AG14" s="23"/>
      <c r="AH14" s="22"/>
      <c r="AL14" s="34"/>
      <c r="AP14" s="23" t="s">
        <v>74</v>
      </c>
      <c r="AR14" s="23" t="s">
        <v>125</v>
      </c>
      <c r="AV14" s="173" t="s">
        <v>340</v>
      </c>
      <c r="AX14" s="24"/>
      <c r="AY14" s="25"/>
      <c r="AZ14" s="25"/>
      <c r="BA14" s="26"/>
    </row>
    <row r="15" spans="1:53" x14ac:dyDescent="0.15">
      <c r="A15" s="131" t="s">
        <v>61</v>
      </c>
      <c r="B15" s="131" t="s">
        <v>233</v>
      </c>
      <c r="C15" s="131">
        <v>2019</v>
      </c>
      <c r="D15" s="167" t="s">
        <v>234</v>
      </c>
      <c r="E15" s="131" t="s">
        <v>323</v>
      </c>
      <c r="F15" s="131" t="s">
        <v>324</v>
      </c>
      <c r="G15" s="131" t="s">
        <v>42</v>
      </c>
      <c r="H15" s="53" t="s">
        <v>164</v>
      </c>
      <c r="I15" s="53" t="s">
        <v>159</v>
      </c>
      <c r="J15" s="131" t="s">
        <v>38</v>
      </c>
      <c r="K15" s="53" t="s">
        <v>161</v>
      </c>
      <c r="L15" s="53">
        <v>2</v>
      </c>
      <c r="N15" s="53">
        <v>4</v>
      </c>
      <c r="O15" s="53">
        <v>0.5</v>
      </c>
      <c r="P15" s="53">
        <v>0.6</v>
      </c>
      <c r="Q15" s="75">
        <f t="shared" si="0"/>
        <v>0.55000000000000004</v>
      </c>
      <c r="R15" s="34">
        <v>14.9</v>
      </c>
      <c r="S15" s="53">
        <v>83</v>
      </c>
      <c r="T15" s="16">
        <f t="shared" si="1"/>
        <v>39</v>
      </c>
      <c r="U15" s="53">
        <v>298</v>
      </c>
      <c r="V15" s="168">
        <f t="shared" si="2"/>
        <v>2905.5</v>
      </c>
      <c r="W15" s="53">
        <v>8</v>
      </c>
      <c r="X15" s="131" t="s">
        <v>46</v>
      </c>
      <c r="Y15" s="53" t="s">
        <v>69</v>
      </c>
      <c r="Z15" s="53" t="s">
        <v>78</v>
      </c>
      <c r="AA15" s="53" t="s">
        <v>102</v>
      </c>
      <c r="AB15" s="131" t="s">
        <v>237</v>
      </c>
      <c r="AC15" s="34"/>
      <c r="AE15" s="22" t="s">
        <v>79</v>
      </c>
      <c r="AG15" s="23"/>
      <c r="AH15" s="23"/>
      <c r="AL15" s="34"/>
      <c r="AP15" s="23" t="s">
        <v>77</v>
      </c>
      <c r="AR15" s="23" t="s">
        <v>94</v>
      </c>
      <c r="AV15" s="173" t="s">
        <v>341</v>
      </c>
      <c r="AX15" s="31"/>
      <c r="AY15" s="32"/>
      <c r="AZ15" s="32"/>
      <c r="BA15" s="33"/>
    </row>
    <row r="16" spans="1:53" x14ac:dyDescent="0.15">
      <c r="A16" s="131" t="s">
        <v>61</v>
      </c>
      <c r="B16" s="131" t="s">
        <v>233</v>
      </c>
      <c r="C16" s="131">
        <v>2019</v>
      </c>
      <c r="D16" s="167" t="s">
        <v>234</v>
      </c>
      <c r="E16" s="131" t="s">
        <v>323</v>
      </c>
      <c r="F16" s="131" t="s">
        <v>324</v>
      </c>
      <c r="G16" s="131" t="s">
        <v>42</v>
      </c>
      <c r="H16" s="53" t="s">
        <v>164</v>
      </c>
      <c r="I16" s="53" t="s">
        <v>159</v>
      </c>
      <c r="J16" s="131" t="s">
        <v>38</v>
      </c>
      <c r="K16" s="53" t="s">
        <v>161</v>
      </c>
      <c r="L16" s="53">
        <v>3</v>
      </c>
      <c r="N16" s="53">
        <v>4</v>
      </c>
      <c r="O16" s="53">
        <v>0.5</v>
      </c>
      <c r="P16" s="53">
        <v>0.5</v>
      </c>
      <c r="Q16" s="75">
        <f t="shared" si="0"/>
        <v>0.5</v>
      </c>
      <c r="R16" s="53">
        <v>12.1</v>
      </c>
      <c r="S16" s="53">
        <v>94</v>
      </c>
      <c r="T16" s="16">
        <f t="shared" si="1"/>
        <v>36</v>
      </c>
      <c r="U16" s="53">
        <v>298</v>
      </c>
      <c r="V16" s="168">
        <f t="shared" si="2"/>
        <v>2682</v>
      </c>
      <c r="W16" s="53">
        <v>8</v>
      </c>
      <c r="X16" s="131" t="s">
        <v>46</v>
      </c>
      <c r="Y16" s="53" t="s">
        <v>69</v>
      </c>
      <c r="Z16" s="53" t="s">
        <v>78</v>
      </c>
      <c r="AA16" s="53" t="s">
        <v>102</v>
      </c>
      <c r="AB16" s="131" t="s">
        <v>237</v>
      </c>
      <c r="AC16" s="34"/>
      <c r="AE16" s="22" t="s">
        <v>82</v>
      </c>
      <c r="AG16" s="23"/>
      <c r="AH16" s="23"/>
      <c r="AP16" s="23" t="s">
        <v>80</v>
      </c>
      <c r="AR16" s="23" t="s">
        <v>63</v>
      </c>
      <c r="AV16" s="173" t="s">
        <v>342</v>
      </c>
    </row>
    <row r="17" spans="1:48" x14ac:dyDescent="0.15">
      <c r="A17" s="131" t="s">
        <v>61</v>
      </c>
      <c r="B17" s="131" t="s">
        <v>233</v>
      </c>
      <c r="C17" s="131">
        <v>2019</v>
      </c>
      <c r="D17" s="167" t="s">
        <v>234</v>
      </c>
      <c r="E17" s="131" t="s">
        <v>323</v>
      </c>
      <c r="F17" s="131" t="s">
        <v>324</v>
      </c>
      <c r="G17" s="131" t="s">
        <v>42</v>
      </c>
      <c r="H17" s="53" t="s">
        <v>160</v>
      </c>
      <c r="I17" s="53" t="s">
        <v>159</v>
      </c>
      <c r="J17" s="131" t="s">
        <v>38</v>
      </c>
      <c r="K17" s="53" t="s">
        <v>161</v>
      </c>
      <c r="L17" s="53">
        <v>1</v>
      </c>
      <c r="N17" s="53">
        <v>2</v>
      </c>
      <c r="O17" s="53">
        <v>0.5</v>
      </c>
      <c r="P17" s="53">
        <v>0.5</v>
      </c>
      <c r="Q17" s="75">
        <f t="shared" si="0"/>
        <v>0.5</v>
      </c>
      <c r="R17" s="53">
        <v>18.7</v>
      </c>
      <c r="S17" s="53">
        <v>150</v>
      </c>
      <c r="T17" s="16">
        <f t="shared" si="1"/>
        <v>22</v>
      </c>
      <c r="U17" s="53">
        <v>300</v>
      </c>
      <c r="V17" s="168">
        <f t="shared" si="2"/>
        <v>3300</v>
      </c>
      <c r="W17" s="53">
        <v>8</v>
      </c>
      <c r="X17" s="131" t="s">
        <v>46</v>
      </c>
      <c r="Y17" s="53" t="s">
        <v>69</v>
      </c>
      <c r="Z17" s="53" t="s">
        <v>78</v>
      </c>
      <c r="AA17" s="53" t="s">
        <v>102</v>
      </c>
      <c r="AB17" s="131" t="s">
        <v>237</v>
      </c>
      <c r="AC17" s="34"/>
      <c r="AE17" s="22" t="s">
        <v>85</v>
      </c>
      <c r="AP17" s="27" t="s">
        <v>110</v>
      </c>
      <c r="AR17" s="23" t="s">
        <v>96</v>
      </c>
      <c r="AV17" s="173" t="s">
        <v>255</v>
      </c>
    </row>
    <row r="18" spans="1:48" x14ac:dyDescent="0.15">
      <c r="A18" s="131" t="s">
        <v>61</v>
      </c>
      <c r="B18" s="131" t="s">
        <v>233</v>
      </c>
      <c r="C18" s="131">
        <v>2019</v>
      </c>
      <c r="D18" s="167" t="s">
        <v>234</v>
      </c>
      <c r="E18" s="131" t="s">
        <v>323</v>
      </c>
      <c r="F18" s="131" t="s">
        <v>324</v>
      </c>
      <c r="G18" s="131" t="s">
        <v>42</v>
      </c>
      <c r="H18" s="53" t="s">
        <v>160</v>
      </c>
      <c r="I18" s="53" t="s">
        <v>159</v>
      </c>
      <c r="J18" s="131" t="s">
        <v>38</v>
      </c>
      <c r="K18" s="53" t="s">
        <v>161</v>
      </c>
      <c r="L18" s="53">
        <v>2</v>
      </c>
      <c r="N18" s="53">
        <v>2</v>
      </c>
      <c r="O18" s="53">
        <v>0.5</v>
      </c>
      <c r="P18" s="53">
        <v>0.5</v>
      </c>
      <c r="Q18" s="75">
        <f t="shared" si="0"/>
        <v>0.5</v>
      </c>
      <c r="R18" s="34">
        <v>17.899999999999999</v>
      </c>
      <c r="S18" s="53">
        <v>173</v>
      </c>
      <c r="T18" s="16">
        <f t="shared" si="1"/>
        <v>18</v>
      </c>
      <c r="U18" s="53">
        <v>300</v>
      </c>
      <c r="V18" s="168">
        <f t="shared" si="2"/>
        <v>2700</v>
      </c>
      <c r="W18" s="53">
        <v>8</v>
      </c>
      <c r="X18" s="131" t="s">
        <v>46</v>
      </c>
      <c r="Y18" s="53" t="s">
        <v>69</v>
      </c>
      <c r="Z18" s="53" t="s">
        <v>78</v>
      </c>
      <c r="AA18" s="53" t="s">
        <v>102</v>
      </c>
      <c r="AB18" s="131" t="s">
        <v>237</v>
      </c>
      <c r="AC18" s="34"/>
      <c r="AE18" s="22" t="s">
        <v>87</v>
      </c>
      <c r="AP18" s="27" t="s">
        <v>111</v>
      </c>
      <c r="AR18" s="23" t="s">
        <v>101</v>
      </c>
      <c r="AV18" s="173" t="s">
        <v>135</v>
      </c>
    </row>
    <row r="19" spans="1:48" x14ac:dyDescent="0.15">
      <c r="A19" s="131" t="s">
        <v>61</v>
      </c>
      <c r="B19" s="131" t="s">
        <v>233</v>
      </c>
      <c r="C19" s="131">
        <v>2019</v>
      </c>
      <c r="D19" s="167" t="s">
        <v>234</v>
      </c>
      <c r="E19" s="131" t="s">
        <v>323</v>
      </c>
      <c r="F19" s="131" t="s">
        <v>324</v>
      </c>
      <c r="G19" s="131" t="s">
        <v>42</v>
      </c>
      <c r="H19" s="53" t="s">
        <v>160</v>
      </c>
      <c r="I19" s="53" t="s">
        <v>159</v>
      </c>
      <c r="J19" s="131" t="s">
        <v>38</v>
      </c>
      <c r="K19" s="53" t="s">
        <v>161</v>
      </c>
      <c r="L19" s="53">
        <v>3</v>
      </c>
      <c r="N19" s="53">
        <v>2</v>
      </c>
      <c r="O19" s="34">
        <v>0.5</v>
      </c>
      <c r="P19" s="53">
        <v>0.5</v>
      </c>
      <c r="Q19" s="75">
        <f t="shared" si="0"/>
        <v>0.5</v>
      </c>
      <c r="R19" s="53">
        <v>19.600000000000001</v>
      </c>
      <c r="S19" s="53">
        <v>153</v>
      </c>
      <c r="T19" s="16">
        <f t="shared" si="1"/>
        <v>18</v>
      </c>
      <c r="U19" s="53">
        <v>300</v>
      </c>
      <c r="V19" s="168">
        <f t="shared" si="2"/>
        <v>2700</v>
      </c>
      <c r="W19" s="53">
        <v>8</v>
      </c>
      <c r="X19" s="131" t="s">
        <v>46</v>
      </c>
      <c r="Y19" s="53" t="s">
        <v>69</v>
      </c>
      <c r="Z19" s="53" t="s">
        <v>78</v>
      </c>
      <c r="AA19" s="53" t="s">
        <v>102</v>
      </c>
      <c r="AB19" s="131" t="s">
        <v>237</v>
      </c>
      <c r="AC19" s="34"/>
      <c r="AE19" s="35" t="s">
        <v>89</v>
      </c>
      <c r="AP19" s="27" t="s">
        <v>112</v>
      </c>
      <c r="AR19" s="23" t="s">
        <v>126</v>
      </c>
      <c r="AV19" s="173" t="s">
        <v>343</v>
      </c>
    </row>
    <row r="20" spans="1:48" x14ac:dyDescent="0.15">
      <c r="A20" s="131" t="s">
        <v>61</v>
      </c>
      <c r="B20" s="131" t="s">
        <v>233</v>
      </c>
      <c r="C20" s="131">
        <v>2019</v>
      </c>
      <c r="D20" s="167" t="s">
        <v>234</v>
      </c>
      <c r="E20" s="131" t="s">
        <v>325</v>
      </c>
      <c r="F20" s="131" t="s">
        <v>326</v>
      </c>
      <c r="G20" s="131" t="s">
        <v>42</v>
      </c>
      <c r="H20" s="53" t="s">
        <v>164</v>
      </c>
      <c r="I20" s="53" t="s">
        <v>159</v>
      </c>
      <c r="J20" s="131" t="s">
        <v>38</v>
      </c>
      <c r="K20" s="53" t="s">
        <v>161</v>
      </c>
      <c r="L20" s="53">
        <v>1</v>
      </c>
      <c r="N20" s="53">
        <v>1</v>
      </c>
      <c r="O20" s="53">
        <v>0.85</v>
      </c>
      <c r="P20" s="53">
        <v>0.75</v>
      </c>
      <c r="Q20" s="75">
        <f t="shared" si="0"/>
        <v>0.8</v>
      </c>
      <c r="R20" s="53">
        <v>16.600000000000001</v>
      </c>
      <c r="S20" s="53">
        <v>126</v>
      </c>
      <c r="T20" s="16">
        <f t="shared" si="1"/>
        <v>27</v>
      </c>
      <c r="U20" s="53">
        <v>128</v>
      </c>
      <c r="V20" s="168">
        <f t="shared" si="2"/>
        <v>3456</v>
      </c>
      <c r="W20" s="53">
        <v>10</v>
      </c>
      <c r="X20" s="131" t="s">
        <v>46</v>
      </c>
      <c r="Y20" s="53" t="s">
        <v>102</v>
      </c>
      <c r="Z20" s="53" t="s">
        <v>344</v>
      </c>
      <c r="AA20" s="53" t="s">
        <v>50</v>
      </c>
      <c r="AB20" s="131" t="s">
        <v>237</v>
      </c>
      <c r="AC20" s="34"/>
      <c r="AE20" s="22"/>
      <c r="AP20" s="27" t="s">
        <v>113</v>
      </c>
      <c r="AR20" s="23" t="s">
        <v>105</v>
      </c>
      <c r="AV20" s="173" t="s">
        <v>345</v>
      </c>
    </row>
    <row r="21" spans="1:48" x14ac:dyDescent="0.15">
      <c r="A21" s="131" t="s">
        <v>61</v>
      </c>
      <c r="B21" s="131" t="s">
        <v>233</v>
      </c>
      <c r="C21" s="131">
        <v>2019</v>
      </c>
      <c r="D21" s="167" t="s">
        <v>234</v>
      </c>
      <c r="E21" s="131" t="s">
        <v>325</v>
      </c>
      <c r="F21" s="131" t="s">
        <v>326</v>
      </c>
      <c r="G21" s="131" t="s">
        <v>42</v>
      </c>
      <c r="H21" s="53" t="s">
        <v>164</v>
      </c>
      <c r="I21" s="53" t="s">
        <v>159</v>
      </c>
      <c r="J21" s="131" t="s">
        <v>38</v>
      </c>
      <c r="K21" s="53" t="s">
        <v>161</v>
      </c>
      <c r="L21" s="53">
        <v>2</v>
      </c>
      <c r="N21" s="53">
        <v>1</v>
      </c>
      <c r="O21" s="53">
        <v>0.8</v>
      </c>
      <c r="P21" s="53">
        <v>0.85</v>
      </c>
      <c r="Q21" s="75">
        <f t="shared" si="0"/>
        <v>0.82499999999999996</v>
      </c>
      <c r="R21" s="53">
        <v>15.6</v>
      </c>
      <c r="S21" s="53">
        <v>131</v>
      </c>
      <c r="T21" s="16">
        <f t="shared" si="1"/>
        <v>25</v>
      </c>
      <c r="U21" s="53">
        <v>128</v>
      </c>
      <c r="V21" s="168">
        <f t="shared" si="2"/>
        <v>3200</v>
      </c>
      <c r="W21" s="53">
        <v>10</v>
      </c>
      <c r="X21" s="131" t="s">
        <v>46</v>
      </c>
      <c r="Y21" s="53" t="s">
        <v>102</v>
      </c>
      <c r="Z21" s="53" t="s">
        <v>344</v>
      </c>
      <c r="AA21" s="53" t="s">
        <v>50</v>
      </c>
      <c r="AB21" s="131" t="s">
        <v>237</v>
      </c>
      <c r="AC21" s="34"/>
      <c r="AE21" s="22"/>
      <c r="AP21" s="27" t="s">
        <v>114</v>
      </c>
      <c r="AR21" s="23" t="s">
        <v>68</v>
      </c>
      <c r="AV21" s="173" t="s">
        <v>346</v>
      </c>
    </row>
    <row r="22" spans="1:48" x14ac:dyDescent="0.15">
      <c r="A22" s="131" t="s">
        <v>61</v>
      </c>
      <c r="B22" s="131" t="s">
        <v>233</v>
      </c>
      <c r="C22" s="131">
        <v>2019</v>
      </c>
      <c r="D22" s="167" t="s">
        <v>234</v>
      </c>
      <c r="E22" s="131" t="s">
        <v>325</v>
      </c>
      <c r="F22" s="131" t="s">
        <v>326</v>
      </c>
      <c r="G22" s="131" t="s">
        <v>42</v>
      </c>
      <c r="H22" s="53" t="s">
        <v>164</v>
      </c>
      <c r="I22" s="53" t="s">
        <v>159</v>
      </c>
      <c r="J22" s="131" t="s">
        <v>38</v>
      </c>
      <c r="K22" s="53" t="s">
        <v>161</v>
      </c>
      <c r="L22" s="53">
        <v>3</v>
      </c>
      <c r="N22" s="53">
        <v>1</v>
      </c>
      <c r="O22" s="53">
        <v>0.65</v>
      </c>
      <c r="P22" s="53">
        <v>0.75</v>
      </c>
      <c r="Q22" s="75">
        <f t="shared" si="0"/>
        <v>0.7</v>
      </c>
      <c r="R22" s="53">
        <v>16.600000000000001</v>
      </c>
      <c r="S22" s="53">
        <v>125</v>
      </c>
      <c r="T22" s="16">
        <f t="shared" si="1"/>
        <v>27</v>
      </c>
      <c r="U22" s="53">
        <v>128</v>
      </c>
      <c r="V22" s="168">
        <f t="shared" si="2"/>
        <v>3456</v>
      </c>
      <c r="W22" s="53">
        <v>10</v>
      </c>
      <c r="X22" s="131" t="s">
        <v>46</v>
      </c>
      <c r="Y22" s="53" t="s">
        <v>102</v>
      </c>
      <c r="Z22" s="53" t="s">
        <v>344</v>
      </c>
      <c r="AA22" s="53" t="s">
        <v>50</v>
      </c>
      <c r="AB22" s="131" t="s">
        <v>237</v>
      </c>
      <c r="AC22" s="34"/>
      <c r="AE22" s="35"/>
      <c r="AP22" s="27" t="s">
        <v>115</v>
      </c>
      <c r="AR22" s="23" t="s">
        <v>83</v>
      </c>
      <c r="AV22" s="23"/>
    </row>
    <row r="23" spans="1:48" x14ac:dyDescent="0.15">
      <c r="A23" s="131" t="s">
        <v>61</v>
      </c>
      <c r="B23" s="131" t="s">
        <v>233</v>
      </c>
      <c r="C23" s="131">
        <v>2019</v>
      </c>
      <c r="D23" s="167" t="s">
        <v>234</v>
      </c>
      <c r="E23" s="131" t="s">
        <v>325</v>
      </c>
      <c r="F23" s="131" t="s">
        <v>326</v>
      </c>
      <c r="G23" s="131" t="s">
        <v>42</v>
      </c>
      <c r="H23" s="53" t="s">
        <v>160</v>
      </c>
      <c r="I23" s="53" t="s">
        <v>159</v>
      </c>
      <c r="J23" s="131" t="s">
        <v>38</v>
      </c>
      <c r="K23" s="53" t="s">
        <v>161</v>
      </c>
      <c r="L23" s="53">
        <v>1</v>
      </c>
      <c r="N23" s="53">
        <v>4</v>
      </c>
      <c r="O23" s="53">
        <v>0.55000000000000004</v>
      </c>
      <c r="P23" s="53">
        <v>0.5</v>
      </c>
      <c r="Q23" s="75">
        <f t="shared" si="0"/>
        <v>0.52500000000000002</v>
      </c>
      <c r="R23" s="53">
        <v>18.7</v>
      </c>
      <c r="S23" s="53">
        <v>108</v>
      </c>
      <c r="T23" s="16">
        <f t="shared" si="1"/>
        <v>33</v>
      </c>
      <c r="U23" s="53">
        <v>398</v>
      </c>
      <c r="V23" s="168">
        <f t="shared" si="2"/>
        <v>3283.5</v>
      </c>
      <c r="W23" s="53">
        <v>10</v>
      </c>
      <c r="X23" s="131" t="s">
        <v>46</v>
      </c>
      <c r="Y23" s="53" t="s">
        <v>102</v>
      </c>
      <c r="Z23" s="53" t="s">
        <v>344</v>
      </c>
      <c r="AA23" s="53" t="s">
        <v>50</v>
      </c>
      <c r="AB23" s="131" t="s">
        <v>237</v>
      </c>
      <c r="AC23" s="34"/>
      <c r="AE23" s="22"/>
      <c r="AP23" s="27" t="s">
        <v>137</v>
      </c>
      <c r="AR23" s="23" t="s">
        <v>61</v>
      </c>
    </row>
    <row r="24" spans="1:48" x14ac:dyDescent="0.15">
      <c r="A24" s="131" t="s">
        <v>61</v>
      </c>
      <c r="B24" s="131" t="s">
        <v>233</v>
      </c>
      <c r="C24" s="131">
        <v>2019</v>
      </c>
      <c r="D24" s="167" t="s">
        <v>234</v>
      </c>
      <c r="E24" s="131" t="s">
        <v>325</v>
      </c>
      <c r="F24" s="131" t="s">
        <v>326</v>
      </c>
      <c r="G24" s="131" t="s">
        <v>42</v>
      </c>
      <c r="H24" s="53" t="s">
        <v>160</v>
      </c>
      <c r="I24" s="53" t="s">
        <v>159</v>
      </c>
      <c r="J24" s="131" t="s">
        <v>38</v>
      </c>
      <c r="K24" s="53" t="s">
        <v>161</v>
      </c>
      <c r="L24" s="53">
        <v>2</v>
      </c>
      <c r="N24" s="53">
        <v>4</v>
      </c>
      <c r="O24" s="53">
        <v>0.6</v>
      </c>
      <c r="P24" s="53">
        <v>0.6</v>
      </c>
      <c r="Q24" s="75">
        <f t="shared" si="0"/>
        <v>0.6</v>
      </c>
      <c r="R24" s="53">
        <v>19.899999999999999</v>
      </c>
      <c r="S24" s="53">
        <v>103</v>
      </c>
      <c r="T24" s="16">
        <f t="shared" si="1"/>
        <v>33</v>
      </c>
      <c r="U24" s="53">
        <v>398</v>
      </c>
      <c r="V24" s="168">
        <f t="shared" si="2"/>
        <v>3283.5</v>
      </c>
      <c r="W24" s="53">
        <v>10</v>
      </c>
      <c r="X24" s="131" t="s">
        <v>46</v>
      </c>
      <c r="Y24" s="53" t="s">
        <v>102</v>
      </c>
      <c r="Z24" s="53" t="s">
        <v>344</v>
      </c>
      <c r="AA24" s="53" t="s">
        <v>50</v>
      </c>
      <c r="AB24" s="131" t="s">
        <v>237</v>
      </c>
      <c r="AC24" s="34"/>
      <c r="AE24" s="22"/>
      <c r="AP24" s="27" t="s">
        <v>138</v>
      </c>
      <c r="AR24" s="23" t="s">
        <v>91</v>
      </c>
    </row>
    <row r="25" spans="1:48" x14ac:dyDescent="0.15">
      <c r="A25" s="131" t="s">
        <v>61</v>
      </c>
      <c r="B25" s="131" t="s">
        <v>233</v>
      </c>
      <c r="C25" s="131">
        <v>2019</v>
      </c>
      <c r="D25" s="167" t="s">
        <v>234</v>
      </c>
      <c r="E25" s="131" t="s">
        <v>325</v>
      </c>
      <c r="F25" s="131" t="s">
        <v>326</v>
      </c>
      <c r="G25" s="131" t="s">
        <v>42</v>
      </c>
      <c r="H25" s="53" t="s">
        <v>160</v>
      </c>
      <c r="I25" s="53" t="s">
        <v>159</v>
      </c>
      <c r="J25" s="131" t="s">
        <v>38</v>
      </c>
      <c r="K25" s="53" t="s">
        <v>161</v>
      </c>
      <c r="L25" s="53">
        <v>3</v>
      </c>
      <c r="N25" s="53">
        <v>4</v>
      </c>
      <c r="O25" s="34">
        <v>0.75</v>
      </c>
      <c r="P25" s="53">
        <v>0.5</v>
      </c>
      <c r="Q25" s="75">
        <f t="shared" si="0"/>
        <v>0.625</v>
      </c>
      <c r="R25" s="53">
        <v>17.600000000000001</v>
      </c>
      <c r="S25" s="53">
        <v>102</v>
      </c>
      <c r="T25" s="16">
        <f t="shared" si="1"/>
        <v>33</v>
      </c>
      <c r="U25" s="53">
        <v>398</v>
      </c>
      <c r="V25" s="168">
        <f t="shared" si="2"/>
        <v>3283.5</v>
      </c>
      <c r="W25" s="53">
        <v>10</v>
      </c>
      <c r="X25" s="131" t="s">
        <v>46</v>
      </c>
      <c r="Y25" s="53" t="s">
        <v>102</v>
      </c>
      <c r="Z25" s="53" t="s">
        <v>344</v>
      </c>
      <c r="AA25" s="53" t="s">
        <v>50</v>
      </c>
      <c r="AB25" s="131" t="s">
        <v>237</v>
      </c>
      <c r="AC25" s="34"/>
      <c r="AE25" s="35"/>
      <c r="AP25" s="27" t="s">
        <v>116</v>
      </c>
      <c r="AR25" s="27" t="s">
        <v>92</v>
      </c>
    </row>
    <row r="26" spans="1:48" x14ac:dyDescent="0.15">
      <c r="A26" s="131" t="s">
        <v>61</v>
      </c>
      <c r="B26" s="131" t="s">
        <v>233</v>
      </c>
      <c r="C26" s="131">
        <v>2019</v>
      </c>
      <c r="D26" s="167" t="s">
        <v>234</v>
      </c>
      <c r="E26" s="131" t="s">
        <v>327</v>
      </c>
      <c r="F26" s="131" t="s">
        <v>328</v>
      </c>
      <c r="G26" s="131" t="s">
        <v>42</v>
      </c>
      <c r="H26" s="53" t="s">
        <v>164</v>
      </c>
      <c r="I26" s="53" t="s">
        <v>198</v>
      </c>
      <c r="J26" s="131" t="s">
        <v>38</v>
      </c>
      <c r="K26" s="53" t="s">
        <v>161</v>
      </c>
      <c r="L26" s="53">
        <v>1</v>
      </c>
      <c r="N26" s="53">
        <v>1</v>
      </c>
      <c r="O26" s="34">
        <v>0.9</v>
      </c>
      <c r="P26" s="53">
        <v>0.95</v>
      </c>
      <c r="Q26" s="75">
        <f t="shared" si="0"/>
        <v>0.92500000000000004</v>
      </c>
      <c r="R26" s="53">
        <v>17.8</v>
      </c>
      <c r="S26" s="53">
        <v>137</v>
      </c>
      <c r="T26" s="16">
        <f t="shared" si="1"/>
        <v>25</v>
      </c>
      <c r="U26" s="53">
        <v>100</v>
      </c>
      <c r="V26" s="168">
        <f t="shared" si="2"/>
        <v>2500</v>
      </c>
      <c r="W26" s="53">
        <v>6</v>
      </c>
      <c r="X26" s="131" t="s">
        <v>39</v>
      </c>
      <c r="Y26" s="53" t="s">
        <v>78</v>
      </c>
      <c r="Z26" s="53" t="s">
        <v>90</v>
      </c>
      <c r="AA26" s="53" t="s">
        <v>102</v>
      </c>
      <c r="AB26" s="131" t="s">
        <v>237</v>
      </c>
      <c r="AC26" s="34"/>
      <c r="AD26" s="34"/>
      <c r="AE26" s="35"/>
      <c r="AP26" s="27" t="s">
        <v>117</v>
      </c>
      <c r="AR26" s="23" t="s">
        <v>153</v>
      </c>
    </row>
    <row r="27" spans="1:48" x14ac:dyDescent="0.15">
      <c r="A27" s="131" t="s">
        <v>61</v>
      </c>
      <c r="B27" s="131" t="s">
        <v>233</v>
      </c>
      <c r="C27" s="131">
        <v>2019</v>
      </c>
      <c r="D27" s="167" t="s">
        <v>234</v>
      </c>
      <c r="E27" s="131" t="s">
        <v>327</v>
      </c>
      <c r="F27" s="131" t="s">
        <v>328</v>
      </c>
      <c r="G27" s="131" t="s">
        <v>42</v>
      </c>
      <c r="H27" s="53" t="s">
        <v>164</v>
      </c>
      <c r="I27" s="53" t="s">
        <v>198</v>
      </c>
      <c r="J27" s="131" t="s">
        <v>38</v>
      </c>
      <c r="K27" s="53" t="s">
        <v>161</v>
      </c>
      <c r="L27" s="53">
        <v>2</v>
      </c>
      <c r="N27" s="53">
        <v>1</v>
      </c>
      <c r="O27" s="34">
        <v>1.2</v>
      </c>
      <c r="P27" s="53">
        <v>0.95</v>
      </c>
      <c r="Q27" s="75">
        <f t="shared" si="0"/>
        <v>1.075</v>
      </c>
      <c r="R27" s="53">
        <v>17.5</v>
      </c>
      <c r="S27" s="53">
        <v>143</v>
      </c>
      <c r="T27" s="16">
        <f t="shared" si="1"/>
        <v>22</v>
      </c>
      <c r="U27" s="53">
        <v>100</v>
      </c>
      <c r="V27" s="168">
        <f t="shared" si="2"/>
        <v>2200</v>
      </c>
      <c r="W27" s="53">
        <v>6</v>
      </c>
      <c r="X27" s="131" t="s">
        <v>39</v>
      </c>
      <c r="Y27" s="53" t="s">
        <v>78</v>
      </c>
      <c r="Z27" s="53" t="s">
        <v>90</v>
      </c>
      <c r="AA27" s="53" t="s">
        <v>102</v>
      </c>
      <c r="AB27" s="131" t="s">
        <v>237</v>
      </c>
      <c r="AC27" s="34"/>
      <c r="AD27" s="34"/>
      <c r="AE27" s="28"/>
      <c r="AP27" s="27" t="s">
        <v>118</v>
      </c>
      <c r="AR27" s="23"/>
    </row>
    <row r="28" spans="1:48" x14ac:dyDescent="0.15">
      <c r="A28" s="131" t="s">
        <v>61</v>
      </c>
      <c r="B28" s="131" t="s">
        <v>233</v>
      </c>
      <c r="C28" s="131">
        <v>2019</v>
      </c>
      <c r="D28" s="167" t="s">
        <v>234</v>
      </c>
      <c r="E28" s="131" t="s">
        <v>327</v>
      </c>
      <c r="F28" s="131" t="s">
        <v>328</v>
      </c>
      <c r="G28" s="131" t="s">
        <v>42</v>
      </c>
      <c r="H28" s="53" t="s">
        <v>164</v>
      </c>
      <c r="I28" s="53" t="s">
        <v>198</v>
      </c>
      <c r="J28" s="131" t="s">
        <v>38</v>
      </c>
      <c r="K28" s="53" t="s">
        <v>161</v>
      </c>
      <c r="L28" s="53">
        <v>3</v>
      </c>
      <c r="N28" s="53">
        <v>1</v>
      </c>
      <c r="O28" s="34">
        <v>1.55</v>
      </c>
      <c r="P28" s="53">
        <v>1.25</v>
      </c>
      <c r="Q28" s="75">
        <f t="shared" si="0"/>
        <v>1.4</v>
      </c>
      <c r="R28" s="53">
        <v>18.2</v>
      </c>
      <c r="S28" s="53">
        <v>147</v>
      </c>
      <c r="T28" s="16">
        <f t="shared" si="1"/>
        <v>22</v>
      </c>
      <c r="U28" s="53">
        <v>100</v>
      </c>
      <c r="V28" s="168">
        <f t="shared" si="2"/>
        <v>2200</v>
      </c>
      <c r="W28" s="53">
        <v>6</v>
      </c>
      <c r="X28" s="131" t="s">
        <v>39</v>
      </c>
      <c r="Y28" s="53" t="s">
        <v>78</v>
      </c>
      <c r="Z28" s="53" t="s">
        <v>90</v>
      </c>
      <c r="AA28" s="53" t="s">
        <v>102</v>
      </c>
      <c r="AB28" s="131" t="s">
        <v>237</v>
      </c>
      <c r="AC28" s="34"/>
      <c r="AD28" s="34"/>
      <c r="AP28" s="27"/>
      <c r="AR28" s="23"/>
    </row>
    <row r="29" spans="1:48" x14ac:dyDescent="0.15">
      <c r="A29" s="131" t="s">
        <v>61</v>
      </c>
      <c r="B29" s="131" t="s">
        <v>233</v>
      </c>
      <c r="C29" s="131">
        <v>2019</v>
      </c>
      <c r="D29" s="167" t="s">
        <v>234</v>
      </c>
      <c r="E29" s="131" t="s">
        <v>327</v>
      </c>
      <c r="F29" s="131" t="s">
        <v>328</v>
      </c>
      <c r="G29" s="131" t="s">
        <v>42</v>
      </c>
      <c r="H29" s="53" t="s">
        <v>160</v>
      </c>
      <c r="I29" s="53" t="s">
        <v>159</v>
      </c>
      <c r="J29" s="131" t="s">
        <v>38</v>
      </c>
      <c r="K29" s="53" t="s">
        <v>161</v>
      </c>
      <c r="L29" s="53">
        <v>1</v>
      </c>
      <c r="N29" s="53">
        <v>1</v>
      </c>
      <c r="O29" s="34">
        <v>0.7</v>
      </c>
      <c r="P29" s="53">
        <v>0.75</v>
      </c>
      <c r="Q29" s="75">
        <f t="shared" si="0"/>
        <v>0.72499999999999998</v>
      </c>
      <c r="R29" s="53">
        <v>19.3</v>
      </c>
      <c r="S29" s="53">
        <v>137</v>
      </c>
      <c r="T29" s="16">
        <f t="shared" si="1"/>
        <v>25</v>
      </c>
      <c r="U29" s="53">
        <v>128</v>
      </c>
      <c r="V29" s="168">
        <f t="shared" si="2"/>
        <v>3200</v>
      </c>
      <c r="W29" s="53">
        <v>6</v>
      </c>
      <c r="X29" s="131" t="s">
        <v>39</v>
      </c>
      <c r="Y29" s="53" t="s">
        <v>78</v>
      </c>
      <c r="Z29" s="53" t="s">
        <v>90</v>
      </c>
      <c r="AA29" s="53" t="s">
        <v>102</v>
      </c>
      <c r="AB29" s="131" t="s">
        <v>237</v>
      </c>
      <c r="AC29" s="34"/>
    </row>
    <row r="30" spans="1:48" x14ac:dyDescent="0.15">
      <c r="A30" s="131" t="s">
        <v>61</v>
      </c>
      <c r="B30" s="131" t="s">
        <v>233</v>
      </c>
      <c r="C30" s="131">
        <v>2019</v>
      </c>
      <c r="D30" s="167" t="s">
        <v>234</v>
      </c>
      <c r="E30" s="131" t="s">
        <v>327</v>
      </c>
      <c r="F30" s="131" t="s">
        <v>328</v>
      </c>
      <c r="G30" s="131" t="s">
        <v>42</v>
      </c>
      <c r="H30" s="53" t="s">
        <v>160</v>
      </c>
      <c r="I30" s="53" t="s">
        <v>159</v>
      </c>
      <c r="J30" s="131" t="s">
        <v>38</v>
      </c>
      <c r="K30" s="53" t="s">
        <v>161</v>
      </c>
      <c r="L30" s="53">
        <v>2</v>
      </c>
      <c r="N30" s="53">
        <v>1</v>
      </c>
      <c r="O30" s="34">
        <v>0.7</v>
      </c>
      <c r="P30" s="53">
        <v>0.5</v>
      </c>
      <c r="Q30" s="75">
        <f t="shared" si="0"/>
        <v>0.6</v>
      </c>
      <c r="R30" s="53">
        <v>19.600000000000001</v>
      </c>
      <c r="S30" s="53">
        <v>145</v>
      </c>
      <c r="T30" s="16">
        <f t="shared" si="1"/>
        <v>22</v>
      </c>
      <c r="U30" s="53">
        <v>128</v>
      </c>
      <c r="V30" s="168">
        <f t="shared" si="2"/>
        <v>2816</v>
      </c>
      <c r="W30" s="53">
        <v>6</v>
      </c>
      <c r="X30" s="131" t="s">
        <v>39</v>
      </c>
      <c r="Y30" s="53" t="s">
        <v>78</v>
      </c>
      <c r="Z30" s="53" t="s">
        <v>90</v>
      </c>
      <c r="AA30" s="53" t="s">
        <v>102</v>
      </c>
      <c r="AB30" s="131" t="s">
        <v>237</v>
      </c>
      <c r="AC30" s="34"/>
    </row>
    <row r="31" spans="1:48" x14ac:dyDescent="0.15">
      <c r="A31" s="131" t="s">
        <v>61</v>
      </c>
      <c r="B31" s="131" t="s">
        <v>233</v>
      </c>
      <c r="C31" s="131">
        <v>2019</v>
      </c>
      <c r="D31" s="167" t="s">
        <v>234</v>
      </c>
      <c r="E31" s="131" t="s">
        <v>327</v>
      </c>
      <c r="F31" s="131" t="s">
        <v>328</v>
      </c>
      <c r="G31" s="131" t="s">
        <v>42</v>
      </c>
      <c r="H31" s="53" t="s">
        <v>160</v>
      </c>
      <c r="I31" s="53" t="s">
        <v>159</v>
      </c>
      <c r="J31" s="131" t="s">
        <v>38</v>
      </c>
      <c r="K31" s="53" t="s">
        <v>161</v>
      </c>
      <c r="L31" s="53">
        <v>3</v>
      </c>
      <c r="N31" s="53">
        <v>1</v>
      </c>
      <c r="O31" s="34">
        <v>0.65</v>
      </c>
      <c r="P31" s="53">
        <v>0.65</v>
      </c>
      <c r="Q31" s="75">
        <f t="shared" si="0"/>
        <v>0.65</v>
      </c>
      <c r="R31" s="53">
        <v>18.600000000000001</v>
      </c>
      <c r="S31" s="53">
        <v>141</v>
      </c>
      <c r="T31" s="16">
        <f t="shared" si="1"/>
        <v>22</v>
      </c>
      <c r="U31" s="53">
        <v>128</v>
      </c>
      <c r="V31" s="168">
        <f t="shared" si="2"/>
        <v>2816</v>
      </c>
      <c r="W31" s="53">
        <v>6</v>
      </c>
      <c r="X31" s="131" t="s">
        <v>39</v>
      </c>
      <c r="Y31" s="53" t="s">
        <v>78</v>
      </c>
      <c r="Z31" s="53" t="s">
        <v>90</v>
      </c>
      <c r="AA31" s="53" t="s">
        <v>102</v>
      </c>
      <c r="AB31" s="131" t="s">
        <v>237</v>
      </c>
      <c r="AC31" s="34"/>
    </row>
    <row r="32" spans="1:48" x14ac:dyDescent="0.15">
      <c r="A32" s="131" t="s">
        <v>61</v>
      </c>
      <c r="B32" s="131" t="s">
        <v>233</v>
      </c>
      <c r="C32" s="131">
        <v>2019</v>
      </c>
      <c r="D32" s="167" t="s">
        <v>234</v>
      </c>
      <c r="E32" s="131" t="s">
        <v>329</v>
      </c>
      <c r="F32" s="131" t="s">
        <v>330</v>
      </c>
      <c r="G32" s="131" t="s">
        <v>42</v>
      </c>
      <c r="H32" s="53" t="s">
        <v>164</v>
      </c>
      <c r="I32" s="53" t="s">
        <v>159</v>
      </c>
      <c r="J32" s="131" t="s">
        <v>38</v>
      </c>
      <c r="K32" s="53" t="s">
        <v>161</v>
      </c>
      <c r="L32" s="53">
        <v>1</v>
      </c>
      <c r="N32" s="53">
        <v>1</v>
      </c>
      <c r="O32" s="34">
        <v>0.5</v>
      </c>
      <c r="P32" s="53">
        <v>0.5</v>
      </c>
      <c r="Q32" s="75">
        <f t="shared" si="0"/>
        <v>0.5</v>
      </c>
      <c r="R32" s="53">
        <v>16.899999999999999</v>
      </c>
      <c r="S32" s="53">
        <v>104</v>
      </c>
      <c r="T32" s="16">
        <f t="shared" si="1"/>
        <v>33</v>
      </c>
      <c r="U32" s="53">
        <v>98</v>
      </c>
      <c r="V32" s="168">
        <f t="shared" si="2"/>
        <v>3234</v>
      </c>
      <c r="W32" s="53">
        <v>6</v>
      </c>
      <c r="X32" s="131" t="s">
        <v>46</v>
      </c>
      <c r="Y32" s="53" t="s">
        <v>69</v>
      </c>
      <c r="Z32" s="53" t="s">
        <v>347</v>
      </c>
      <c r="AA32" s="53" t="s">
        <v>90</v>
      </c>
      <c r="AB32" s="131" t="s">
        <v>237</v>
      </c>
      <c r="AC32" s="34"/>
    </row>
    <row r="33" spans="1:29" x14ac:dyDescent="0.15">
      <c r="A33" s="131" t="s">
        <v>61</v>
      </c>
      <c r="B33" s="131" t="s">
        <v>233</v>
      </c>
      <c r="C33" s="131">
        <v>2019</v>
      </c>
      <c r="D33" s="167" t="s">
        <v>234</v>
      </c>
      <c r="E33" s="131" t="s">
        <v>329</v>
      </c>
      <c r="F33" s="131" t="s">
        <v>330</v>
      </c>
      <c r="G33" s="131" t="s">
        <v>42</v>
      </c>
      <c r="H33" s="53" t="s">
        <v>164</v>
      </c>
      <c r="I33" s="53" t="s">
        <v>159</v>
      </c>
      <c r="J33" s="131" t="s">
        <v>38</v>
      </c>
      <c r="K33" s="53" t="s">
        <v>161</v>
      </c>
      <c r="L33" s="53">
        <v>2</v>
      </c>
      <c r="N33" s="53">
        <v>1</v>
      </c>
      <c r="O33" s="34">
        <v>0.5</v>
      </c>
      <c r="P33" s="53">
        <v>0.5</v>
      </c>
      <c r="Q33" s="75">
        <f t="shared" si="0"/>
        <v>0.5</v>
      </c>
      <c r="R33" s="53">
        <v>16.8</v>
      </c>
      <c r="S33" s="53">
        <v>104</v>
      </c>
      <c r="T33" s="16">
        <f t="shared" si="1"/>
        <v>33</v>
      </c>
      <c r="U33" s="53">
        <v>98</v>
      </c>
      <c r="V33" s="168">
        <f t="shared" si="2"/>
        <v>3234</v>
      </c>
      <c r="W33" s="53">
        <v>6</v>
      </c>
      <c r="X33" s="131" t="s">
        <v>46</v>
      </c>
      <c r="Y33" s="53" t="s">
        <v>69</v>
      </c>
      <c r="Z33" s="53" t="s">
        <v>347</v>
      </c>
      <c r="AA33" s="53" t="s">
        <v>90</v>
      </c>
      <c r="AB33" s="131" t="s">
        <v>237</v>
      </c>
      <c r="AC33" s="34"/>
    </row>
    <row r="34" spans="1:29" x14ac:dyDescent="0.15">
      <c r="A34" s="131" t="s">
        <v>61</v>
      </c>
      <c r="B34" s="131" t="s">
        <v>233</v>
      </c>
      <c r="C34" s="131">
        <v>2019</v>
      </c>
      <c r="D34" s="167" t="s">
        <v>234</v>
      </c>
      <c r="E34" s="131" t="s">
        <v>329</v>
      </c>
      <c r="F34" s="131" t="s">
        <v>330</v>
      </c>
      <c r="G34" s="131" t="s">
        <v>42</v>
      </c>
      <c r="H34" s="53" t="s">
        <v>164</v>
      </c>
      <c r="I34" s="53" t="s">
        <v>159</v>
      </c>
      <c r="J34" s="131" t="s">
        <v>38</v>
      </c>
      <c r="K34" s="53" t="s">
        <v>161</v>
      </c>
      <c r="L34" s="53">
        <v>3</v>
      </c>
      <c r="N34" s="53">
        <v>1</v>
      </c>
      <c r="O34" s="34">
        <v>0.5</v>
      </c>
      <c r="P34" s="53">
        <v>0.5</v>
      </c>
      <c r="Q34" s="75">
        <f t="shared" si="0"/>
        <v>0.5</v>
      </c>
      <c r="R34" s="53">
        <v>16.899999999999999</v>
      </c>
      <c r="S34" s="53">
        <v>108</v>
      </c>
      <c r="T34" s="16">
        <f t="shared" si="1"/>
        <v>33</v>
      </c>
      <c r="U34" s="53">
        <v>98</v>
      </c>
      <c r="V34" s="168">
        <f t="shared" si="2"/>
        <v>3234</v>
      </c>
      <c r="W34" s="53">
        <v>6</v>
      </c>
      <c r="X34" s="131" t="s">
        <v>46</v>
      </c>
      <c r="Y34" s="53" t="s">
        <v>69</v>
      </c>
      <c r="Z34" s="53" t="s">
        <v>347</v>
      </c>
      <c r="AA34" s="53" t="s">
        <v>90</v>
      </c>
      <c r="AB34" s="131" t="s">
        <v>237</v>
      </c>
      <c r="AC34" s="34"/>
    </row>
    <row r="35" spans="1:29" x14ac:dyDescent="0.15">
      <c r="A35" s="131" t="s">
        <v>61</v>
      </c>
      <c r="B35" s="131" t="s">
        <v>233</v>
      </c>
      <c r="C35" s="131">
        <v>2019</v>
      </c>
      <c r="D35" s="167" t="s">
        <v>234</v>
      </c>
      <c r="E35" s="131" t="s">
        <v>329</v>
      </c>
      <c r="F35" s="131" t="s">
        <v>330</v>
      </c>
      <c r="G35" s="131" t="s">
        <v>42</v>
      </c>
      <c r="H35" s="53" t="s">
        <v>160</v>
      </c>
      <c r="I35" s="53" t="s">
        <v>159</v>
      </c>
      <c r="J35" s="131" t="s">
        <v>38</v>
      </c>
      <c r="K35" s="53" t="s">
        <v>161</v>
      </c>
      <c r="L35" s="53">
        <v>1</v>
      </c>
      <c r="N35" s="53">
        <v>1</v>
      </c>
      <c r="O35" s="34">
        <v>0.5</v>
      </c>
      <c r="P35" s="53">
        <v>0.5</v>
      </c>
      <c r="Q35" s="75">
        <f t="shared" si="0"/>
        <v>0.5</v>
      </c>
      <c r="R35" s="53">
        <v>16.8</v>
      </c>
      <c r="S35" s="53">
        <v>106</v>
      </c>
      <c r="T35" s="16">
        <f t="shared" si="1"/>
        <v>33</v>
      </c>
      <c r="U35" s="53">
        <v>128</v>
      </c>
      <c r="V35" s="168">
        <f t="shared" si="2"/>
        <v>4224</v>
      </c>
      <c r="W35" s="53">
        <v>6</v>
      </c>
      <c r="X35" s="131" t="s">
        <v>46</v>
      </c>
      <c r="Y35" s="53" t="s">
        <v>69</v>
      </c>
      <c r="Z35" s="53" t="s">
        <v>347</v>
      </c>
      <c r="AA35" s="53" t="s">
        <v>90</v>
      </c>
      <c r="AB35" s="131" t="s">
        <v>237</v>
      </c>
      <c r="AC35" s="34"/>
    </row>
    <row r="36" spans="1:29" x14ac:dyDescent="0.15">
      <c r="A36" s="131" t="s">
        <v>61</v>
      </c>
      <c r="B36" s="131" t="s">
        <v>233</v>
      </c>
      <c r="C36" s="131">
        <v>2019</v>
      </c>
      <c r="D36" s="167" t="s">
        <v>234</v>
      </c>
      <c r="E36" s="131" t="s">
        <v>329</v>
      </c>
      <c r="F36" s="131" t="s">
        <v>330</v>
      </c>
      <c r="G36" s="131" t="s">
        <v>42</v>
      </c>
      <c r="H36" s="53" t="s">
        <v>160</v>
      </c>
      <c r="I36" s="53" t="s">
        <v>159</v>
      </c>
      <c r="J36" s="131" t="s">
        <v>38</v>
      </c>
      <c r="K36" s="53" t="s">
        <v>161</v>
      </c>
      <c r="L36" s="53">
        <v>2</v>
      </c>
      <c r="N36" s="53">
        <v>1</v>
      </c>
      <c r="O36" s="34">
        <v>0.5</v>
      </c>
      <c r="P36" s="53">
        <v>0.6</v>
      </c>
      <c r="Q36" s="75">
        <f t="shared" si="0"/>
        <v>0.55000000000000004</v>
      </c>
      <c r="R36" s="53">
        <v>12.1</v>
      </c>
      <c r="S36" s="53">
        <v>139</v>
      </c>
      <c r="T36" s="16">
        <f t="shared" si="1"/>
        <v>22</v>
      </c>
      <c r="U36" s="53">
        <v>128</v>
      </c>
      <c r="V36" s="168">
        <f t="shared" si="2"/>
        <v>2816</v>
      </c>
      <c r="W36" s="53">
        <v>6</v>
      </c>
      <c r="X36" s="131" t="s">
        <v>46</v>
      </c>
      <c r="Y36" s="53" t="s">
        <v>69</v>
      </c>
      <c r="Z36" s="53" t="s">
        <v>347</v>
      </c>
      <c r="AA36" s="53" t="s">
        <v>90</v>
      </c>
      <c r="AB36" s="131" t="s">
        <v>237</v>
      </c>
      <c r="AC36" s="34"/>
    </row>
    <row r="37" spans="1:29" x14ac:dyDescent="0.15">
      <c r="A37" s="131" t="s">
        <v>61</v>
      </c>
      <c r="B37" s="131" t="s">
        <v>233</v>
      </c>
      <c r="C37" s="131">
        <v>2019</v>
      </c>
      <c r="D37" s="167" t="s">
        <v>234</v>
      </c>
      <c r="E37" s="131" t="s">
        <v>329</v>
      </c>
      <c r="F37" s="131" t="s">
        <v>330</v>
      </c>
      <c r="G37" s="131" t="s">
        <v>42</v>
      </c>
      <c r="H37" s="53" t="s">
        <v>160</v>
      </c>
      <c r="I37" s="53" t="s">
        <v>159</v>
      </c>
      <c r="J37" s="131" t="s">
        <v>38</v>
      </c>
      <c r="K37" s="53" t="s">
        <v>161</v>
      </c>
      <c r="L37" s="53">
        <v>3</v>
      </c>
      <c r="N37" s="53">
        <v>1</v>
      </c>
      <c r="O37" s="53">
        <v>0.6</v>
      </c>
      <c r="P37" s="53">
        <v>0.5</v>
      </c>
      <c r="Q37" s="75">
        <f t="shared" si="0"/>
        <v>0.55000000000000004</v>
      </c>
      <c r="R37" s="53">
        <v>20.3</v>
      </c>
      <c r="S37" s="53">
        <v>141</v>
      </c>
      <c r="T37" s="16">
        <f t="shared" si="1"/>
        <v>22</v>
      </c>
      <c r="U37" s="53">
        <v>128</v>
      </c>
      <c r="V37" s="168">
        <f t="shared" si="2"/>
        <v>2816</v>
      </c>
      <c r="W37" s="53">
        <v>6</v>
      </c>
      <c r="X37" s="131" t="s">
        <v>46</v>
      </c>
      <c r="Y37" s="53" t="s">
        <v>69</v>
      </c>
      <c r="Z37" s="53" t="s">
        <v>347</v>
      </c>
      <c r="AA37" s="53" t="s">
        <v>90</v>
      </c>
      <c r="AB37" s="131" t="s">
        <v>237</v>
      </c>
      <c r="AC37" s="34"/>
    </row>
    <row r="38" spans="1:29" x14ac:dyDescent="0.15">
      <c r="A38" s="131" t="s">
        <v>61</v>
      </c>
      <c r="B38" s="131" t="s">
        <v>233</v>
      </c>
      <c r="C38" s="131">
        <v>2019</v>
      </c>
      <c r="D38" s="167" t="s">
        <v>234</v>
      </c>
      <c r="E38" s="131" t="s">
        <v>331</v>
      </c>
      <c r="F38" s="131" t="s">
        <v>332</v>
      </c>
      <c r="G38" s="131" t="s">
        <v>42</v>
      </c>
      <c r="H38" s="53" t="s">
        <v>164</v>
      </c>
      <c r="I38" s="53" t="s">
        <v>159</v>
      </c>
      <c r="J38" s="131" t="s">
        <v>38</v>
      </c>
      <c r="K38" s="53" t="s">
        <v>161</v>
      </c>
      <c r="L38" s="53">
        <v>1</v>
      </c>
      <c r="N38" s="53">
        <v>1</v>
      </c>
      <c r="O38" s="34">
        <v>0.7</v>
      </c>
      <c r="P38" s="53">
        <v>0.65</v>
      </c>
      <c r="Q38" s="75">
        <f t="shared" si="0"/>
        <v>0.67500000000000004</v>
      </c>
      <c r="R38" s="53">
        <v>17.2</v>
      </c>
      <c r="S38" s="53">
        <v>132</v>
      </c>
      <c r="T38" s="16">
        <f t="shared" si="1"/>
        <v>25</v>
      </c>
      <c r="U38" s="53">
        <v>348</v>
      </c>
      <c r="V38" s="168">
        <f t="shared" si="2"/>
        <v>8700</v>
      </c>
      <c r="W38" s="53">
        <v>6</v>
      </c>
      <c r="X38" s="131" t="s">
        <v>39</v>
      </c>
      <c r="Y38" s="53" t="s">
        <v>102</v>
      </c>
      <c r="Z38" s="53" t="s">
        <v>90</v>
      </c>
      <c r="AA38" s="53" t="s">
        <v>69</v>
      </c>
      <c r="AB38" s="131" t="s">
        <v>237</v>
      </c>
    </row>
    <row r="39" spans="1:29" x14ac:dyDescent="0.15">
      <c r="A39" s="131" t="s">
        <v>61</v>
      </c>
      <c r="B39" s="131" t="s">
        <v>233</v>
      </c>
      <c r="C39" s="131">
        <v>2019</v>
      </c>
      <c r="D39" s="167" t="s">
        <v>234</v>
      </c>
      <c r="E39" s="131" t="s">
        <v>331</v>
      </c>
      <c r="F39" s="131" t="s">
        <v>332</v>
      </c>
      <c r="G39" s="131" t="s">
        <v>42</v>
      </c>
      <c r="H39" s="53" t="s">
        <v>164</v>
      </c>
      <c r="I39" s="53" t="s">
        <v>159</v>
      </c>
      <c r="J39" s="131" t="s">
        <v>38</v>
      </c>
      <c r="K39" s="53" t="s">
        <v>161</v>
      </c>
      <c r="L39" s="53">
        <v>2</v>
      </c>
      <c r="N39" s="53">
        <v>1</v>
      </c>
      <c r="O39" s="34">
        <v>0.7</v>
      </c>
      <c r="P39" s="53">
        <v>0.75</v>
      </c>
      <c r="Q39" s="75">
        <f t="shared" si="0"/>
        <v>0.72499999999999998</v>
      </c>
      <c r="R39" s="53">
        <v>17.2</v>
      </c>
      <c r="S39" s="53">
        <v>125</v>
      </c>
      <c r="T39" s="16">
        <f t="shared" si="1"/>
        <v>27</v>
      </c>
      <c r="U39" s="53">
        <v>348</v>
      </c>
      <c r="V39" s="168">
        <f t="shared" si="2"/>
        <v>9396</v>
      </c>
      <c r="W39" s="53">
        <v>6</v>
      </c>
      <c r="X39" s="131" t="s">
        <v>39</v>
      </c>
      <c r="Y39" s="53" t="s">
        <v>102</v>
      </c>
      <c r="Z39" s="53" t="s">
        <v>90</v>
      </c>
      <c r="AA39" s="53" t="s">
        <v>69</v>
      </c>
      <c r="AB39" s="131" t="s">
        <v>237</v>
      </c>
    </row>
    <row r="40" spans="1:29" x14ac:dyDescent="0.15">
      <c r="A40" s="131" t="s">
        <v>61</v>
      </c>
      <c r="B40" s="131" t="s">
        <v>233</v>
      </c>
      <c r="C40" s="131">
        <v>2019</v>
      </c>
      <c r="D40" s="167" t="s">
        <v>234</v>
      </c>
      <c r="E40" s="131" t="s">
        <v>331</v>
      </c>
      <c r="F40" s="131" t="s">
        <v>332</v>
      </c>
      <c r="G40" s="131" t="s">
        <v>42</v>
      </c>
      <c r="H40" s="53" t="s">
        <v>164</v>
      </c>
      <c r="I40" s="53" t="s">
        <v>159</v>
      </c>
      <c r="J40" s="131" t="s">
        <v>38</v>
      </c>
      <c r="K40" s="53" t="s">
        <v>161</v>
      </c>
      <c r="L40" s="53">
        <v>3</v>
      </c>
      <c r="N40" s="53">
        <v>1</v>
      </c>
      <c r="O40" s="34">
        <v>0.65</v>
      </c>
      <c r="P40" s="53">
        <v>0.7</v>
      </c>
      <c r="Q40" s="75">
        <f t="shared" si="0"/>
        <v>0.67500000000000004</v>
      </c>
      <c r="R40" s="53">
        <v>17.399999999999999</v>
      </c>
      <c r="S40" s="53">
        <v>136</v>
      </c>
      <c r="T40" s="16">
        <f t="shared" si="1"/>
        <v>25</v>
      </c>
      <c r="U40" s="53">
        <v>348</v>
      </c>
      <c r="V40" s="168">
        <f t="shared" si="2"/>
        <v>8700</v>
      </c>
      <c r="W40" s="53">
        <v>6</v>
      </c>
      <c r="X40" s="131" t="s">
        <v>39</v>
      </c>
      <c r="Y40" s="53" t="s">
        <v>102</v>
      </c>
      <c r="Z40" s="53" t="s">
        <v>90</v>
      </c>
      <c r="AA40" s="53" t="s">
        <v>69</v>
      </c>
      <c r="AB40" s="131" t="s">
        <v>237</v>
      </c>
    </row>
    <row r="41" spans="1:29" x14ac:dyDescent="0.15">
      <c r="A41" s="131" t="s">
        <v>61</v>
      </c>
      <c r="B41" s="131" t="s">
        <v>233</v>
      </c>
      <c r="C41" s="131">
        <v>2019</v>
      </c>
      <c r="D41" s="167" t="s">
        <v>234</v>
      </c>
      <c r="E41" s="131" t="s">
        <v>331</v>
      </c>
      <c r="F41" s="131" t="s">
        <v>332</v>
      </c>
      <c r="G41" s="131" t="s">
        <v>42</v>
      </c>
      <c r="H41" s="53" t="s">
        <v>160</v>
      </c>
      <c r="I41" s="53" t="s">
        <v>159</v>
      </c>
      <c r="J41" s="131" t="s">
        <v>38</v>
      </c>
      <c r="K41" s="53" t="s">
        <v>161</v>
      </c>
      <c r="L41" s="53">
        <v>1</v>
      </c>
      <c r="N41" s="53">
        <v>1</v>
      </c>
      <c r="O41" s="34">
        <v>0.55000000000000004</v>
      </c>
      <c r="P41" s="53">
        <v>0.5</v>
      </c>
      <c r="Q41" s="75">
        <f t="shared" si="0"/>
        <v>0.52500000000000002</v>
      </c>
      <c r="R41" s="53">
        <v>18.2</v>
      </c>
      <c r="S41" s="53">
        <v>116</v>
      </c>
      <c r="T41" s="16">
        <f t="shared" si="1"/>
        <v>30</v>
      </c>
      <c r="U41" s="53">
        <v>149</v>
      </c>
      <c r="V41" s="168">
        <f t="shared" si="2"/>
        <v>4470</v>
      </c>
      <c r="W41" s="53">
        <v>6</v>
      </c>
      <c r="X41" s="131" t="s">
        <v>39</v>
      </c>
      <c r="Y41" s="53" t="s">
        <v>102</v>
      </c>
      <c r="Z41" s="53" t="s">
        <v>90</v>
      </c>
      <c r="AA41" s="53" t="s">
        <v>69</v>
      </c>
      <c r="AB41" s="131" t="s">
        <v>237</v>
      </c>
      <c r="AC41" s="34"/>
    </row>
    <row r="42" spans="1:29" x14ac:dyDescent="0.15">
      <c r="A42" s="131" t="s">
        <v>61</v>
      </c>
      <c r="B42" s="131" t="s">
        <v>233</v>
      </c>
      <c r="C42" s="131">
        <v>2019</v>
      </c>
      <c r="D42" s="167" t="s">
        <v>234</v>
      </c>
      <c r="E42" s="131" t="s">
        <v>331</v>
      </c>
      <c r="F42" s="131" t="s">
        <v>332</v>
      </c>
      <c r="G42" s="131" t="s">
        <v>42</v>
      </c>
      <c r="H42" s="53" t="s">
        <v>160</v>
      </c>
      <c r="I42" s="53" t="s">
        <v>159</v>
      </c>
      <c r="J42" s="131" t="s">
        <v>38</v>
      </c>
      <c r="K42" s="53" t="s">
        <v>161</v>
      </c>
      <c r="L42" s="53">
        <v>2</v>
      </c>
      <c r="N42" s="53">
        <v>1</v>
      </c>
      <c r="O42" s="34">
        <v>0.5</v>
      </c>
      <c r="P42" s="53">
        <v>0.6</v>
      </c>
      <c r="Q42" s="75">
        <f t="shared" si="0"/>
        <v>0.55000000000000004</v>
      </c>
      <c r="R42" s="53">
        <v>18.899999999999999</v>
      </c>
      <c r="S42" s="53">
        <v>121</v>
      </c>
      <c r="T42" s="16">
        <f t="shared" si="1"/>
        <v>27</v>
      </c>
      <c r="U42" s="53">
        <v>149</v>
      </c>
      <c r="V42" s="168">
        <f t="shared" si="2"/>
        <v>4023</v>
      </c>
      <c r="W42" s="53">
        <v>6</v>
      </c>
      <c r="X42" s="131" t="s">
        <v>39</v>
      </c>
      <c r="Y42" s="53" t="s">
        <v>102</v>
      </c>
      <c r="Z42" s="53" t="s">
        <v>90</v>
      </c>
      <c r="AA42" s="53" t="s">
        <v>69</v>
      </c>
      <c r="AB42" s="131" t="s">
        <v>237</v>
      </c>
      <c r="AC42" s="34"/>
    </row>
    <row r="43" spans="1:29" x14ac:dyDescent="0.15">
      <c r="A43" s="131" t="s">
        <v>61</v>
      </c>
      <c r="B43" s="131" t="s">
        <v>233</v>
      </c>
      <c r="C43" s="131">
        <v>2019</v>
      </c>
      <c r="D43" s="167" t="s">
        <v>234</v>
      </c>
      <c r="E43" s="131" t="s">
        <v>331</v>
      </c>
      <c r="F43" s="131" t="s">
        <v>332</v>
      </c>
      <c r="G43" s="131" t="s">
        <v>42</v>
      </c>
      <c r="H43" s="53" t="s">
        <v>160</v>
      </c>
      <c r="I43" s="53" t="s">
        <v>159</v>
      </c>
      <c r="J43" s="131" t="s">
        <v>38</v>
      </c>
      <c r="K43" s="53" t="s">
        <v>161</v>
      </c>
      <c r="L43" s="53">
        <v>3</v>
      </c>
      <c r="N43" s="53">
        <v>1</v>
      </c>
      <c r="O43" s="34">
        <v>0.55000000000000004</v>
      </c>
      <c r="P43" s="53">
        <v>0.65</v>
      </c>
      <c r="Q43" s="75">
        <f t="shared" si="0"/>
        <v>0.60000000000000009</v>
      </c>
      <c r="R43" s="34">
        <v>15.6</v>
      </c>
      <c r="S43" s="53">
        <v>117</v>
      </c>
      <c r="T43" s="16">
        <f t="shared" si="1"/>
        <v>30</v>
      </c>
      <c r="U43" s="53">
        <v>149</v>
      </c>
      <c r="V43" s="168">
        <f t="shared" si="2"/>
        <v>4470</v>
      </c>
      <c r="W43" s="53">
        <v>6</v>
      </c>
      <c r="X43" s="131" t="s">
        <v>39</v>
      </c>
      <c r="Y43" s="53" t="s">
        <v>102</v>
      </c>
      <c r="Z43" s="53" t="s">
        <v>90</v>
      </c>
      <c r="AA43" s="53" t="s">
        <v>69</v>
      </c>
      <c r="AB43" s="131" t="s">
        <v>237</v>
      </c>
      <c r="AC43" s="34"/>
    </row>
    <row r="44" spans="1:29" x14ac:dyDescent="0.15">
      <c r="A44" s="131" t="s">
        <v>61</v>
      </c>
      <c r="B44" s="131" t="s">
        <v>233</v>
      </c>
      <c r="C44" s="131">
        <v>2019</v>
      </c>
      <c r="D44" s="167" t="s">
        <v>234</v>
      </c>
      <c r="E44" s="131" t="s">
        <v>133</v>
      </c>
      <c r="F44" s="131" t="s">
        <v>333</v>
      </c>
      <c r="G44" s="131" t="s">
        <v>42</v>
      </c>
      <c r="H44" s="53" t="s">
        <v>164</v>
      </c>
      <c r="I44" s="53" t="s">
        <v>159</v>
      </c>
      <c r="J44" s="131" t="s">
        <v>38</v>
      </c>
      <c r="K44" s="53" t="s">
        <v>161</v>
      </c>
      <c r="L44" s="53">
        <v>1</v>
      </c>
      <c r="N44" s="53">
        <v>1</v>
      </c>
      <c r="O44" s="53">
        <v>0.75</v>
      </c>
      <c r="P44" s="53">
        <v>0.75</v>
      </c>
      <c r="Q44" s="75">
        <f t="shared" si="0"/>
        <v>0.75</v>
      </c>
      <c r="R44" s="53">
        <v>17.399999999999999</v>
      </c>
      <c r="S44" s="53">
        <v>119</v>
      </c>
      <c r="T44" s="16">
        <f t="shared" si="1"/>
        <v>30</v>
      </c>
      <c r="U44" s="53">
        <v>88</v>
      </c>
      <c r="V44" s="168">
        <f t="shared" si="2"/>
        <v>2640</v>
      </c>
      <c r="W44" s="53">
        <v>12</v>
      </c>
      <c r="X44" s="131" t="s">
        <v>46</v>
      </c>
      <c r="Y44" s="53" t="s">
        <v>90</v>
      </c>
      <c r="Z44" s="53" t="s">
        <v>102</v>
      </c>
      <c r="AA44" s="53" t="s">
        <v>69</v>
      </c>
      <c r="AB44" s="131" t="s">
        <v>237</v>
      </c>
      <c r="AC44" s="34"/>
    </row>
    <row r="45" spans="1:29" x14ac:dyDescent="0.15">
      <c r="A45" s="131" t="s">
        <v>61</v>
      </c>
      <c r="B45" s="131" t="s">
        <v>233</v>
      </c>
      <c r="C45" s="131">
        <v>2019</v>
      </c>
      <c r="D45" s="167" t="s">
        <v>234</v>
      </c>
      <c r="E45" s="131" t="s">
        <v>133</v>
      </c>
      <c r="F45" s="131" t="s">
        <v>333</v>
      </c>
      <c r="G45" s="131" t="s">
        <v>42</v>
      </c>
      <c r="H45" s="53" t="s">
        <v>164</v>
      </c>
      <c r="I45" s="53" t="s">
        <v>159</v>
      </c>
      <c r="J45" s="131" t="s">
        <v>38</v>
      </c>
      <c r="K45" s="53" t="s">
        <v>161</v>
      </c>
      <c r="L45" s="53">
        <v>2</v>
      </c>
      <c r="N45" s="53">
        <v>1</v>
      </c>
      <c r="O45" s="53">
        <v>0.8</v>
      </c>
      <c r="P45" s="53">
        <v>0.75</v>
      </c>
      <c r="Q45" s="75">
        <f t="shared" si="0"/>
        <v>0.77500000000000002</v>
      </c>
      <c r="R45" s="53">
        <v>15.3</v>
      </c>
      <c r="S45" s="53">
        <v>120</v>
      </c>
      <c r="T45" s="16">
        <f t="shared" si="1"/>
        <v>30</v>
      </c>
      <c r="U45" s="53">
        <v>88</v>
      </c>
      <c r="V45" s="168">
        <f t="shared" si="2"/>
        <v>2640</v>
      </c>
      <c r="W45" s="53">
        <v>12</v>
      </c>
      <c r="X45" s="131" t="s">
        <v>46</v>
      </c>
      <c r="Y45" s="53" t="s">
        <v>90</v>
      </c>
      <c r="Z45" s="53" t="s">
        <v>102</v>
      </c>
      <c r="AA45" s="53" t="s">
        <v>69</v>
      </c>
      <c r="AB45" s="131" t="s">
        <v>237</v>
      </c>
      <c r="AC45" s="34"/>
    </row>
    <row r="46" spans="1:29" x14ac:dyDescent="0.15">
      <c r="A46" s="131" t="s">
        <v>61</v>
      </c>
      <c r="B46" s="131" t="s">
        <v>233</v>
      </c>
      <c r="C46" s="131">
        <v>2019</v>
      </c>
      <c r="D46" s="167" t="s">
        <v>234</v>
      </c>
      <c r="E46" s="131" t="s">
        <v>133</v>
      </c>
      <c r="F46" s="131" t="s">
        <v>333</v>
      </c>
      <c r="G46" s="131" t="s">
        <v>42</v>
      </c>
      <c r="H46" s="53" t="s">
        <v>164</v>
      </c>
      <c r="I46" s="53" t="s">
        <v>159</v>
      </c>
      <c r="J46" s="131" t="s">
        <v>38</v>
      </c>
      <c r="K46" s="53" t="s">
        <v>161</v>
      </c>
      <c r="L46" s="53">
        <v>3</v>
      </c>
      <c r="N46" s="53">
        <v>1</v>
      </c>
      <c r="O46" s="53">
        <v>0.8</v>
      </c>
      <c r="P46" s="53">
        <v>0.75</v>
      </c>
      <c r="Q46" s="75">
        <f t="shared" si="0"/>
        <v>0.77500000000000002</v>
      </c>
      <c r="R46" s="53">
        <v>15.5</v>
      </c>
      <c r="S46" s="53">
        <v>116</v>
      </c>
      <c r="T46" s="16">
        <f t="shared" si="1"/>
        <v>30</v>
      </c>
      <c r="U46" s="53">
        <v>88</v>
      </c>
      <c r="V46" s="168">
        <f t="shared" si="2"/>
        <v>2640</v>
      </c>
      <c r="W46" s="53">
        <v>12</v>
      </c>
      <c r="X46" s="131" t="s">
        <v>46</v>
      </c>
      <c r="Y46" s="53" t="s">
        <v>90</v>
      </c>
      <c r="Z46" s="53" t="s">
        <v>102</v>
      </c>
      <c r="AA46" s="53" t="s">
        <v>69</v>
      </c>
      <c r="AB46" s="131" t="s">
        <v>237</v>
      </c>
      <c r="AC46" s="34"/>
    </row>
    <row r="47" spans="1:29" x14ac:dyDescent="0.15">
      <c r="A47" s="131" t="s">
        <v>61</v>
      </c>
      <c r="B47" s="131" t="s">
        <v>233</v>
      </c>
      <c r="C47" s="131">
        <v>2019</v>
      </c>
      <c r="D47" s="167" t="s">
        <v>234</v>
      </c>
      <c r="E47" s="131" t="s">
        <v>133</v>
      </c>
      <c r="F47" s="131" t="s">
        <v>333</v>
      </c>
      <c r="G47" s="131" t="s">
        <v>42</v>
      </c>
      <c r="H47" s="53" t="s">
        <v>160</v>
      </c>
      <c r="I47" s="53" t="s">
        <v>159</v>
      </c>
      <c r="J47" s="131" t="s">
        <v>38</v>
      </c>
      <c r="K47" s="53" t="s">
        <v>161</v>
      </c>
      <c r="L47" s="53">
        <v>1</v>
      </c>
      <c r="N47" s="53">
        <v>1</v>
      </c>
      <c r="O47" s="53">
        <v>0.75</v>
      </c>
      <c r="P47" s="53">
        <v>0.75</v>
      </c>
      <c r="Q47" s="75">
        <f t="shared" si="0"/>
        <v>0.75</v>
      </c>
      <c r="R47" s="53">
        <v>19.7</v>
      </c>
      <c r="S47" s="53">
        <v>140</v>
      </c>
      <c r="T47" s="16">
        <f t="shared" si="1"/>
        <v>22</v>
      </c>
      <c r="U47" s="53">
        <v>138</v>
      </c>
      <c r="V47" s="168">
        <f t="shared" si="2"/>
        <v>3036</v>
      </c>
      <c r="W47" s="53">
        <v>12</v>
      </c>
      <c r="X47" s="131" t="s">
        <v>46</v>
      </c>
      <c r="Y47" s="53" t="s">
        <v>90</v>
      </c>
      <c r="Z47" s="53" t="s">
        <v>102</v>
      </c>
      <c r="AA47" s="53" t="s">
        <v>69</v>
      </c>
      <c r="AB47" s="131" t="s">
        <v>237</v>
      </c>
      <c r="AC47" s="34"/>
    </row>
    <row r="48" spans="1:29" x14ac:dyDescent="0.15">
      <c r="A48" s="131" t="s">
        <v>61</v>
      </c>
      <c r="B48" s="131" t="s">
        <v>233</v>
      </c>
      <c r="C48" s="131">
        <v>2019</v>
      </c>
      <c r="D48" s="167" t="s">
        <v>234</v>
      </c>
      <c r="E48" s="131" t="s">
        <v>133</v>
      </c>
      <c r="F48" s="131" t="s">
        <v>333</v>
      </c>
      <c r="G48" s="131" t="s">
        <v>42</v>
      </c>
      <c r="H48" s="53" t="s">
        <v>160</v>
      </c>
      <c r="I48" s="53" t="s">
        <v>159</v>
      </c>
      <c r="J48" s="131" t="s">
        <v>38</v>
      </c>
      <c r="K48" s="53" t="s">
        <v>161</v>
      </c>
      <c r="L48" s="53">
        <v>2</v>
      </c>
      <c r="N48" s="53">
        <v>1</v>
      </c>
      <c r="O48" s="53">
        <v>0.5</v>
      </c>
      <c r="P48" s="53">
        <v>0.65</v>
      </c>
      <c r="Q48" s="75">
        <f t="shared" si="0"/>
        <v>0.57499999999999996</v>
      </c>
      <c r="R48" s="53">
        <v>19.899999999999999</v>
      </c>
      <c r="S48" s="53">
        <v>140</v>
      </c>
      <c r="T48" s="16">
        <f t="shared" si="1"/>
        <v>22</v>
      </c>
      <c r="U48" s="53">
        <v>138</v>
      </c>
      <c r="V48" s="168">
        <f t="shared" si="2"/>
        <v>3036</v>
      </c>
      <c r="W48" s="53">
        <v>12</v>
      </c>
      <c r="X48" s="131" t="s">
        <v>46</v>
      </c>
      <c r="Y48" s="53" t="s">
        <v>90</v>
      </c>
      <c r="Z48" s="53" t="s">
        <v>102</v>
      </c>
      <c r="AA48" s="53" t="s">
        <v>69</v>
      </c>
      <c r="AB48" s="131" t="s">
        <v>237</v>
      </c>
      <c r="AC48" s="34"/>
    </row>
    <row r="49" spans="1:29" x14ac:dyDescent="0.15">
      <c r="A49" s="131" t="s">
        <v>61</v>
      </c>
      <c r="B49" s="131" t="s">
        <v>233</v>
      </c>
      <c r="C49" s="131">
        <v>2019</v>
      </c>
      <c r="D49" s="167" t="s">
        <v>234</v>
      </c>
      <c r="E49" s="131" t="s">
        <v>133</v>
      </c>
      <c r="F49" s="131" t="s">
        <v>333</v>
      </c>
      <c r="G49" s="131" t="s">
        <v>42</v>
      </c>
      <c r="H49" s="53" t="s">
        <v>160</v>
      </c>
      <c r="I49" s="53" t="s">
        <v>159</v>
      </c>
      <c r="J49" s="131" t="s">
        <v>38</v>
      </c>
      <c r="K49" s="53" t="s">
        <v>161</v>
      </c>
      <c r="L49" s="53">
        <v>3</v>
      </c>
      <c r="N49" s="53">
        <v>1</v>
      </c>
      <c r="O49" s="53">
        <v>0.65</v>
      </c>
      <c r="P49" s="53">
        <v>0.5</v>
      </c>
      <c r="Q49" s="75">
        <f t="shared" si="0"/>
        <v>0.57499999999999996</v>
      </c>
      <c r="R49" s="53">
        <v>17.100000000000001</v>
      </c>
      <c r="S49" s="53">
        <v>140</v>
      </c>
      <c r="T49" s="16">
        <f t="shared" si="1"/>
        <v>22</v>
      </c>
      <c r="U49" s="53">
        <v>138</v>
      </c>
      <c r="V49" s="168">
        <f t="shared" si="2"/>
        <v>3036</v>
      </c>
      <c r="W49" s="53">
        <v>12</v>
      </c>
      <c r="X49" s="131" t="s">
        <v>46</v>
      </c>
      <c r="Y49" s="53" t="s">
        <v>90</v>
      </c>
      <c r="Z49" s="53" t="s">
        <v>102</v>
      </c>
      <c r="AA49" s="53" t="s">
        <v>69</v>
      </c>
      <c r="AB49" s="131" t="s">
        <v>237</v>
      </c>
      <c r="AC49" s="34"/>
    </row>
    <row r="50" spans="1:29" x14ac:dyDescent="0.15">
      <c r="A50" s="131" t="s">
        <v>61</v>
      </c>
      <c r="B50" s="131" t="s">
        <v>233</v>
      </c>
      <c r="C50" s="131">
        <v>2019</v>
      </c>
      <c r="D50" s="167" t="s">
        <v>234</v>
      </c>
      <c r="E50" s="131" t="s">
        <v>334</v>
      </c>
      <c r="F50" s="131" t="s">
        <v>335</v>
      </c>
      <c r="G50" s="131" t="s">
        <v>42</v>
      </c>
      <c r="H50" s="53" t="s">
        <v>164</v>
      </c>
      <c r="I50" s="53" t="s">
        <v>159</v>
      </c>
      <c r="J50" s="131" t="s">
        <v>38</v>
      </c>
      <c r="K50" s="53" t="s">
        <v>161</v>
      </c>
      <c r="L50" s="53">
        <v>1</v>
      </c>
      <c r="N50" s="53">
        <v>1</v>
      </c>
      <c r="O50" s="53">
        <v>1</v>
      </c>
      <c r="P50" s="53">
        <v>0.5</v>
      </c>
      <c r="Q50" s="75">
        <f t="shared" si="0"/>
        <v>0.75</v>
      </c>
      <c r="R50" s="53">
        <v>17.2</v>
      </c>
      <c r="S50" s="53">
        <v>125</v>
      </c>
      <c r="T50" s="16">
        <f t="shared" si="1"/>
        <v>27</v>
      </c>
      <c r="U50" s="53">
        <v>98</v>
      </c>
      <c r="V50" s="168">
        <f t="shared" si="2"/>
        <v>2646</v>
      </c>
      <c r="W50" s="53">
        <v>12</v>
      </c>
      <c r="X50" s="131" t="s">
        <v>46</v>
      </c>
      <c r="Y50" s="53" t="s">
        <v>78</v>
      </c>
      <c r="Z50" s="53" t="s">
        <v>102</v>
      </c>
      <c r="AA50" s="53" t="s">
        <v>90</v>
      </c>
      <c r="AB50" s="131" t="s">
        <v>237</v>
      </c>
      <c r="AC50" s="34"/>
    </row>
    <row r="51" spans="1:29" x14ac:dyDescent="0.15">
      <c r="A51" s="131" t="s">
        <v>61</v>
      </c>
      <c r="B51" s="131" t="s">
        <v>233</v>
      </c>
      <c r="C51" s="131">
        <v>2019</v>
      </c>
      <c r="D51" s="167" t="s">
        <v>234</v>
      </c>
      <c r="E51" s="131" t="s">
        <v>334</v>
      </c>
      <c r="F51" s="131" t="s">
        <v>335</v>
      </c>
      <c r="G51" s="131" t="s">
        <v>42</v>
      </c>
      <c r="H51" s="53" t="s">
        <v>164</v>
      </c>
      <c r="I51" s="53" t="s">
        <v>159</v>
      </c>
      <c r="J51" s="131" t="s">
        <v>38</v>
      </c>
      <c r="K51" s="53" t="s">
        <v>161</v>
      </c>
      <c r="L51" s="53">
        <v>2</v>
      </c>
      <c r="N51" s="53">
        <v>1</v>
      </c>
      <c r="O51" s="53">
        <v>0.8</v>
      </c>
      <c r="P51" s="53">
        <v>0.75</v>
      </c>
      <c r="Q51" s="75">
        <f t="shared" si="0"/>
        <v>0.77500000000000002</v>
      </c>
      <c r="R51" s="53">
        <v>17.100000000000001</v>
      </c>
      <c r="S51" s="53">
        <v>123</v>
      </c>
      <c r="T51" s="16">
        <f t="shared" si="1"/>
        <v>27</v>
      </c>
      <c r="U51" s="53">
        <v>98</v>
      </c>
      <c r="V51" s="168">
        <f t="shared" si="2"/>
        <v>2646</v>
      </c>
      <c r="W51" s="53">
        <v>12</v>
      </c>
      <c r="X51" s="131" t="s">
        <v>46</v>
      </c>
      <c r="Y51" s="53" t="s">
        <v>78</v>
      </c>
      <c r="Z51" s="53" t="s">
        <v>102</v>
      </c>
      <c r="AA51" s="53" t="s">
        <v>90</v>
      </c>
      <c r="AB51" s="131" t="s">
        <v>237</v>
      </c>
      <c r="AC51" s="34"/>
    </row>
    <row r="52" spans="1:29" x14ac:dyDescent="0.15">
      <c r="A52" s="131" t="s">
        <v>61</v>
      </c>
      <c r="B52" s="131" t="s">
        <v>233</v>
      </c>
      <c r="C52" s="131">
        <v>2019</v>
      </c>
      <c r="D52" s="167" t="s">
        <v>234</v>
      </c>
      <c r="E52" s="131" t="s">
        <v>334</v>
      </c>
      <c r="F52" s="131" t="s">
        <v>335</v>
      </c>
      <c r="G52" s="131" t="s">
        <v>42</v>
      </c>
      <c r="H52" s="53" t="s">
        <v>164</v>
      </c>
      <c r="I52" s="53" t="s">
        <v>159</v>
      </c>
      <c r="J52" s="131" t="s">
        <v>38</v>
      </c>
      <c r="K52" s="53" t="s">
        <v>161</v>
      </c>
      <c r="L52" s="53">
        <v>3</v>
      </c>
      <c r="N52" s="53">
        <v>1</v>
      </c>
      <c r="O52" s="53">
        <v>0.75</v>
      </c>
      <c r="P52" s="53">
        <v>0.75</v>
      </c>
      <c r="Q52" s="75">
        <f t="shared" si="0"/>
        <v>0.75</v>
      </c>
      <c r="R52" s="53">
        <v>11.7</v>
      </c>
      <c r="S52" s="53">
        <v>130</v>
      </c>
      <c r="T52" s="16">
        <f t="shared" si="1"/>
        <v>25</v>
      </c>
      <c r="U52" s="53">
        <v>98</v>
      </c>
      <c r="V52" s="168">
        <f t="shared" si="2"/>
        <v>2450</v>
      </c>
      <c r="W52" s="53">
        <v>12</v>
      </c>
      <c r="X52" s="131" t="s">
        <v>46</v>
      </c>
      <c r="Y52" s="53" t="s">
        <v>78</v>
      </c>
      <c r="Z52" s="53" t="s">
        <v>102</v>
      </c>
      <c r="AA52" s="53" t="s">
        <v>90</v>
      </c>
      <c r="AB52" s="131" t="s">
        <v>237</v>
      </c>
      <c r="AC52" s="34"/>
    </row>
    <row r="53" spans="1:29" x14ac:dyDescent="0.15">
      <c r="A53" s="131" t="s">
        <v>61</v>
      </c>
      <c r="B53" s="131" t="s">
        <v>233</v>
      </c>
      <c r="C53" s="131">
        <v>2019</v>
      </c>
      <c r="D53" s="167" t="s">
        <v>234</v>
      </c>
      <c r="E53" s="131" t="s">
        <v>334</v>
      </c>
      <c r="F53" s="131" t="s">
        <v>335</v>
      </c>
      <c r="G53" s="131" t="s">
        <v>42</v>
      </c>
      <c r="H53" s="53" t="s">
        <v>164</v>
      </c>
      <c r="I53" s="53" t="s">
        <v>198</v>
      </c>
      <c r="J53" s="131" t="s">
        <v>38</v>
      </c>
      <c r="K53" s="53" t="s">
        <v>161</v>
      </c>
      <c r="L53" s="53">
        <v>1</v>
      </c>
      <c r="N53" s="53">
        <v>5</v>
      </c>
      <c r="O53" s="53">
        <v>0.7</v>
      </c>
      <c r="P53" s="53">
        <v>0.75</v>
      </c>
      <c r="Q53" s="75">
        <f t="shared" si="0"/>
        <v>0.72499999999999998</v>
      </c>
      <c r="R53" s="53">
        <v>17.100000000000001</v>
      </c>
      <c r="S53" s="53">
        <v>83</v>
      </c>
      <c r="T53" s="16">
        <f t="shared" si="1"/>
        <v>39</v>
      </c>
      <c r="U53" s="53">
        <v>398</v>
      </c>
      <c r="V53" s="168">
        <f t="shared" si="2"/>
        <v>3104.3999999999996</v>
      </c>
      <c r="W53" s="53">
        <v>12</v>
      </c>
      <c r="X53" s="131" t="s">
        <v>46</v>
      </c>
      <c r="Y53" s="53" t="s">
        <v>78</v>
      </c>
      <c r="Z53" s="53" t="s">
        <v>102</v>
      </c>
      <c r="AA53" s="53" t="s">
        <v>90</v>
      </c>
      <c r="AB53" s="131" t="s">
        <v>237</v>
      </c>
      <c r="AC53" s="34"/>
    </row>
    <row r="54" spans="1:29" x14ac:dyDescent="0.15">
      <c r="A54" s="131" t="s">
        <v>61</v>
      </c>
      <c r="B54" s="131" t="s">
        <v>233</v>
      </c>
      <c r="C54" s="131">
        <v>2019</v>
      </c>
      <c r="D54" s="167" t="s">
        <v>234</v>
      </c>
      <c r="E54" s="131" t="s">
        <v>334</v>
      </c>
      <c r="F54" s="131" t="s">
        <v>335</v>
      </c>
      <c r="G54" s="131" t="s">
        <v>42</v>
      </c>
      <c r="H54" s="53" t="s">
        <v>164</v>
      </c>
      <c r="I54" s="53" t="s">
        <v>198</v>
      </c>
      <c r="J54" s="131" t="s">
        <v>38</v>
      </c>
      <c r="K54" s="53" t="s">
        <v>161</v>
      </c>
      <c r="L54" s="53">
        <v>2</v>
      </c>
      <c r="N54" s="53">
        <v>5</v>
      </c>
      <c r="O54" s="53">
        <v>0.65</v>
      </c>
      <c r="P54" s="53">
        <v>0.5</v>
      </c>
      <c r="Q54" s="75">
        <f t="shared" si="0"/>
        <v>0.57499999999999996</v>
      </c>
      <c r="R54" s="53">
        <v>12.9</v>
      </c>
      <c r="S54" s="53">
        <v>78</v>
      </c>
      <c r="T54" s="16">
        <f t="shared" si="1"/>
        <v>39</v>
      </c>
      <c r="U54" s="53">
        <v>398</v>
      </c>
      <c r="V54" s="168">
        <f t="shared" si="2"/>
        <v>3104.3999999999996</v>
      </c>
      <c r="W54" s="53">
        <v>12</v>
      </c>
      <c r="X54" s="131" t="s">
        <v>46</v>
      </c>
      <c r="Y54" s="53" t="s">
        <v>78</v>
      </c>
      <c r="Z54" s="53" t="s">
        <v>102</v>
      </c>
      <c r="AA54" s="53" t="s">
        <v>90</v>
      </c>
      <c r="AB54" s="131" t="s">
        <v>237</v>
      </c>
      <c r="AC54" s="34"/>
    </row>
    <row r="55" spans="1:29" x14ac:dyDescent="0.15">
      <c r="A55" s="131" t="s">
        <v>61</v>
      </c>
      <c r="B55" s="131" t="s">
        <v>233</v>
      </c>
      <c r="C55" s="131">
        <v>2019</v>
      </c>
      <c r="D55" s="167" t="s">
        <v>234</v>
      </c>
      <c r="E55" s="131" t="s">
        <v>334</v>
      </c>
      <c r="F55" s="131" t="s">
        <v>335</v>
      </c>
      <c r="G55" s="131" t="s">
        <v>42</v>
      </c>
      <c r="H55" s="53" t="s">
        <v>164</v>
      </c>
      <c r="I55" s="53" t="s">
        <v>198</v>
      </c>
      <c r="J55" s="131" t="s">
        <v>38</v>
      </c>
      <c r="K55" s="53" t="s">
        <v>161</v>
      </c>
      <c r="L55" s="53">
        <v>3</v>
      </c>
      <c r="N55" s="53">
        <v>5</v>
      </c>
      <c r="O55" s="53">
        <v>0.7</v>
      </c>
      <c r="P55" s="53">
        <v>0.65</v>
      </c>
      <c r="Q55" s="75">
        <f t="shared" si="0"/>
        <v>0.67500000000000004</v>
      </c>
      <c r="R55" s="53">
        <v>13.8</v>
      </c>
      <c r="S55" s="53">
        <v>74</v>
      </c>
      <c r="T55" s="16">
        <f t="shared" si="1"/>
        <v>42</v>
      </c>
      <c r="U55" s="53">
        <v>398</v>
      </c>
      <c r="V55" s="168">
        <f t="shared" si="2"/>
        <v>3343.2</v>
      </c>
      <c r="W55" s="53">
        <v>12</v>
      </c>
      <c r="X55" s="131" t="s">
        <v>46</v>
      </c>
      <c r="Y55" s="53" t="s">
        <v>78</v>
      </c>
      <c r="Z55" s="53" t="s">
        <v>102</v>
      </c>
      <c r="AA55" s="53" t="s">
        <v>90</v>
      </c>
      <c r="AB55" s="131" t="s">
        <v>237</v>
      </c>
      <c r="AC55" s="34"/>
    </row>
    <row r="56" spans="1:29" x14ac:dyDescent="0.15">
      <c r="A56" s="131" t="s">
        <v>61</v>
      </c>
      <c r="B56" s="131" t="s">
        <v>233</v>
      </c>
      <c r="C56" s="131">
        <v>2019</v>
      </c>
      <c r="D56" s="167" t="s">
        <v>234</v>
      </c>
      <c r="E56" s="131" t="s">
        <v>334</v>
      </c>
      <c r="F56" s="131" t="s">
        <v>335</v>
      </c>
      <c r="G56" s="131" t="s">
        <v>42</v>
      </c>
      <c r="H56" s="53" t="s">
        <v>160</v>
      </c>
      <c r="I56" s="53" t="s">
        <v>159</v>
      </c>
      <c r="J56" s="131" t="s">
        <v>38</v>
      </c>
      <c r="K56" s="53" t="s">
        <v>161</v>
      </c>
      <c r="L56" s="53">
        <v>1</v>
      </c>
      <c r="N56" s="53">
        <v>4</v>
      </c>
      <c r="O56" s="53">
        <v>0.65</v>
      </c>
      <c r="P56" s="53">
        <v>0.65</v>
      </c>
      <c r="Q56" s="75">
        <f t="shared" si="0"/>
        <v>0.65</v>
      </c>
      <c r="R56" s="53">
        <v>19.8</v>
      </c>
      <c r="S56" s="53">
        <v>100</v>
      </c>
      <c r="T56" s="16">
        <f t="shared" si="1"/>
        <v>33</v>
      </c>
      <c r="U56" s="53">
        <v>498</v>
      </c>
      <c r="V56" s="168">
        <f t="shared" si="2"/>
        <v>4108.5</v>
      </c>
      <c r="W56" s="53">
        <v>12</v>
      </c>
      <c r="X56" s="131" t="s">
        <v>46</v>
      </c>
      <c r="Y56" s="53" t="s">
        <v>78</v>
      </c>
      <c r="Z56" s="53" t="s">
        <v>102</v>
      </c>
      <c r="AA56" s="53" t="s">
        <v>90</v>
      </c>
      <c r="AB56" s="131" t="s">
        <v>237</v>
      </c>
      <c r="AC56" s="34"/>
    </row>
    <row r="57" spans="1:29" x14ac:dyDescent="0.15">
      <c r="A57" s="131" t="s">
        <v>61</v>
      </c>
      <c r="B57" s="131" t="s">
        <v>233</v>
      </c>
      <c r="C57" s="131">
        <v>2019</v>
      </c>
      <c r="D57" s="167" t="s">
        <v>234</v>
      </c>
      <c r="E57" s="131" t="s">
        <v>334</v>
      </c>
      <c r="F57" s="131" t="s">
        <v>335</v>
      </c>
      <c r="G57" s="131" t="s">
        <v>42</v>
      </c>
      <c r="H57" s="53" t="s">
        <v>160</v>
      </c>
      <c r="I57" s="53" t="s">
        <v>159</v>
      </c>
      <c r="J57" s="131" t="s">
        <v>38</v>
      </c>
      <c r="K57" s="53" t="s">
        <v>161</v>
      </c>
      <c r="L57" s="53">
        <v>2</v>
      </c>
      <c r="N57" s="53">
        <v>4</v>
      </c>
      <c r="O57" s="53">
        <v>0.75</v>
      </c>
      <c r="P57" s="53">
        <v>0.75</v>
      </c>
      <c r="Q57" s="75">
        <f t="shared" si="0"/>
        <v>0.75</v>
      </c>
      <c r="R57" s="53">
        <v>18.8</v>
      </c>
      <c r="S57" s="53">
        <v>107</v>
      </c>
      <c r="T57" s="16">
        <f t="shared" si="1"/>
        <v>33</v>
      </c>
      <c r="U57" s="53">
        <v>498</v>
      </c>
      <c r="V57" s="168">
        <f t="shared" si="2"/>
        <v>4108.5</v>
      </c>
      <c r="W57" s="53">
        <v>12</v>
      </c>
      <c r="X57" s="131" t="s">
        <v>46</v>
      </c>
      <c r="Y57" s="53" t="s">
        <v>78</v>
      </c>
      <c r="Z57" s="53" t="s">
        <v>102</v>
      </c>
      <c r="AA57" s="53" t="s">
        <v>90</v>
      </c>
      <c r="AB57" s="131" t="s">
        <v>237</v>
      </c>
      <c r="AC57" s="34"/>
    </row>
    <row r="58" spans="1:29" x14ac:dyDescent="0.15">
      <c r="A58" s="131" t="s">
        <v>61</v>
      </c>
      <c r="B58" s="131" t="s">
        <v>233</v>
      </c>
      <c r="C58" s="131">
        <v>2019</v>
      </c>
      <c r="D58" s="167" t="s">
        <v>234</v>
      </c>
      <c r="E58" s="131" t="s">
        <v>334</v>
      </c>
      <c r="F58" s="131" t="s">
        <v>335</v>
      </c>
      <c r="G58" s="131" t="s">
        <v>42</v>
      </c>
      <c r="H58" s="53" t="s">
        <v>160</v>
      </c>
      <c r="I58" s="53" t="s">
        <v>159</v>
      </c>
      <c r="J58" s="131" t="s">
        <v>38</v>
      </c>
      <c r="K58" s="53" t="s">
        <v>161</v>
      </c>
      <c r="L58" s="53">
        <v>3</v>
      </c>
      <c r="N58" s="53">
        <v>4</v>
      </c>
      <c r="O58" s="53">
        <v>0.9</v>
      </c>
      <c r="P58" s="53">
        <v>0.75</v>
      </c>
      <c r="Q58" s="75">
        <f t="shared" si="0"/>
        <v>0.82499999999999996</v>
      </c>
      <c r="R58" s="53">
        <v>19.600000000000001</v>
      </c>
      <c r="S58" s="53">
        <v>9</v>
      </c>
      <c r="T58" s="16">
        <f t="shared" si="1"/>
        <v>50</v>
      </c>
      <c r="U58" s="53">
        <v>498</v>
      </c>
      <c r="V58" s="168">
        <f t="shared" si="2"/>
        <v>6225</v>
      </c>
      <c r="W58" s="53">
        <v>12</v>
      </c>
      <c r="X58" s="131" t="s">
        <v>46</v>
      </c>
      <c r="Y58" s="53" t="s">
        <v>78</v>
      </c>
      <c r="Z58" s="53" t="s">
        <v>102</v>
      </c>
      <c r="AA58" s="53" t="s">
        <v>90</v>
      </c>
      <c r="AB58" s="131" t="s">
        <v>237</v>
      </c>
      <c r="AC58" s="34"/>
    </row>
    <row r="59" spans="1:29" x14ac:dyDescent="0.15">
      <c r="A59" s="131" t="s">
        <v>61</v>
      </c>
      <c r="B59" s="131" t="s">
        <v>233</v>
      </c>
      <c r="C59" s="131">
        <v>2019</v>
      </c>
      <c r="D59" s="167" t="s">
        <v>234</v>
      </c>
      <c r="E59" s="131" t="s">
        <v>336</v>
      </c>
      <c r="F59" s="131" t="s">
        <v>335</v>
      </c>
      <c r="G59" s="131" t="s">
        <v>42</v>
      </c>
      <c r="H59" s="53" t="s">
        <v>164</v>
      </c>
      <c r="I59" s="53" t="s">
        <v>159</v>
      </c>
      <c r="J59" s="131" t="s">
        <v>38</v>
      </c>
      <c r="K59" s="53" t="s">
        <v>161</v>
      </c>
      <c r="L59" s="53">
        <v>1</v>
      </c>
      <c r="N59" s="53">
        <v>1</v>
      </c>
      <c r="O59" s="53">
        <v>0.75</v>
      </c>
      <c r="P59" s="53">
        <v>0.75</v>
      </c>
      <c r="Q59" s="75">
        <f t="shared" si="0"/>
        <v>0.75</v>
      </c>
      <c r="R59" s="53">
        <v>18.7</v>
      </c>
      <c r="S59" s="53">
        <v>137</v>
      </c>
      <c r="T59" s="16">
        <f t="shared" si="1"/>
        <v>25</v>
      </c>
      <c r="U59" s="53">
        <v>138</v>
      </c>
      <c r="V59" s="168">
        <f t="shared" si="2"/>
        <v>3450</v>
      </c>
      <c r="W59" s="53">
        <v>16</v>
      </c>
      <c r="X59" s="131" t="s">
        <v>46</v>
      </c>
      <c r="Y59" s="53" t="s">
        <v>102</v>
      </c>
      <c r="Z59" s="53" t="s">
        <v>90</v>
      </c>
      <c r="AA59" s="53" t="s">
        <v>78</v>
      </c>
      <c r="AB59" s="131" t="s">
        <v>237</v>
      </c>
      <c r="AC59" s="34"/>
    </row>
    <row r="60" spans="1:29" x14ac:dyDescent="0.15">
      <c r="A60" s="131" t="s">
        <v>61</v>
      </c>
      <c r="B60" s="131" t="s">
        <v>233</v>
      </c>
      <c r="C60" s="131">
        <v>2019</v>
      </c>
      <c r="D60" s="167" t="s">
        <v>234</v>
      </c>
      <c r="E60" s="131" t="s">
        <v>336</v>
      </c>
      <c r="F60" s="131" t="s">
        <v>335</v>
      </c>
      <c r="G60" s="131" t="s">
        <v>42</v>
      </c>
      <c r="H60" s="53" t="s">
        <v>164</v>
      </c>
      <c r="I60" s="53" t="s">
        <v>159</v>
      </c>
      <c r="J60" s="131" t="s">
        <v>38</v>
      </c>
      <c r="K60" s="53" t="s">
        <v>161</v>
      </c>
      <c r="L60" s="53">
        <v>2</v>
      </c>
      <c r="N60" s="53">
        <v>1</v>
      </c>
      <c r="O60" s="53">
        <v>0.75</v>
      </c>
      <c r="P60" s="53">
        <v>0.8</v>
      </c>
      <c r="Q60" s="75">
        <f t="shared" si="0"/>
        <v>0.77500000000000002</v>
      </c>
      <c r="R60" s="53">
        <v>15.6</v>
      </c>
      <c r="S60" s="53">
        <v>137</v>
      </c>
      <c r="T60" s="16">
        <f t="shared" si="1"/>
        <v>25</v>
      </c>
      <c r="U60" s="53">
        <v>138</v>
      </c>
      <c r="V60" s="168">
        <f t="shared" si="2"/>
        <v>3450</v>
      </c>
      <c r="W60" s="53">
        <v>16</v>
      </c>
      <c r="X60" s="131" t="s">
        <v>46</v>
      </c>
      <c r="Y60" s="53" t="s">
        <v>102</v>
      </c>
      <c r="Z60" s="53" t="s">
        <v>90</v>
      </c>
      <c r="AA60" s="53" t="s">
        <v>78</v>
      </c>
      <c r="AB60" s="131" t="s">
        <v>237</v>
      </c>
      <c r="AC60" s="34"/>
    </row>
    <row r="61" spans="1:29" x14ac:dyDescent="0.15">
      <c r="A61" s="131" t="s">
        <v>61</v>
      </c>
      <c r="B61" s="131" t="s">
        <v>233</v>
      </c>
      <c r="C61" s="131">
        <v>2019</v>
      </c>
      <c r="D61" s="167" t="s">
        <v>234</v>
      </c>
      <c r="E61" s="131" t="s">
        <v>336</v>
      </c>
      <c r="F61" s="131" t="s">
        <v>335</v>
      </c>
      <c r="G61" s="131" t="s">
        <v>42</v>
      </c>
      <c r="H61" s="53" t="s">
        <v>164</v>
      </c>
      <c r="I61" s="53" t="s">
        <v>159</v>
      </c>
      <c r="J61" s="131" t="s">
        <v>38</v>
      </c>
      <c r="K61" s="53" t="s">
        <v>161</v>
      </c>
      <c r="L61" s="53">
        <v>3</v>
      </c>
      <c r="N61" s="53">
        <v>1</v>
      </c>
      <c r="O61" s="53">
        <v>0.5</v>
      </c>
      <c r="P61" s="53">
        <v>0.75</v>
      </c>
      <c r="Q61" s="75">
        <f t="shared" si="0"/>
        <v>0.625</v>
      </c>
      <c r="R61" s="53">
        <v>15</v>
      </c>
      <c r="S61" s="53">
        <v>136</v>
      </c>
      <c r="T61" s="16">
        <f t="shared" si="1"/>
        <v>25</v>
      </c>
      <c r="U61" s="53">
        <v>138</v>
      </c>
      <c r="V61" s="168">
        <f t="shared" si="2"/>
        <v>3450</v>
      </c>
      <c r="W61" s="53">
        <v>16</v>
      </c>
      <c r="X61" s="131" t="s">
        <v>46</v>
      </c>
      <c r="Y61" s="53" t="s">
        <v>102</v>
      </c>
      <c r="Z61" s="53" t="s">
        <v>90</v>
      </c>
      <c r="AA61" s="53" t="s">
        <v>78</v>
      </c>
      <c r="AB61" s="131" t="s">
        <v>237</v>
      </c>
      <c r="AC61" s="34"/>
    </row>
    <row r="62" spans="1:29" x14ac:dyDescent="0.15">
      <c r="A62" s="131" t="s">
        <v>61</v>
      </c>
      <c r="B62" s="131" t="s">
        <v>233</v>
      </c>
      <c r="C62" s="131">
        <v>2019</v>
      </c>
      <c r="D62" s="167" t="s">
        <v>234</v>
      </c>
      <c r="E62" s="131" t="s">
        <v>336</v>
      </c>
      <c r="F62" s="131" t="s">
        <v>335</v>
      </c>
      <c r="G62" s="131" t="s">
        <v>42</v>
      </c>
      <c r="H62" s="53" t="s">
        <v>160</v>
      </c>
      <c r="I62" s="53" t="s">
        <v>159</v>
      </c>
      <c r="J62" s="131" t="s">
        <v>38</v>
      </c>
      <c r="K62" s="53" t="s">
        <v>161</v>
      </c>
      <c r="L62" s="53">
        <v>1</v>
      </c>
      <c r="N62" s="53">
        <v>1</v>
      </c>
      <c r="O62" s="53">
        <v>0.5</v>
      </c>
      <c r="P62" s="53">
        <v>0.8</v>
      </c>
      <c r="Q62" s="75">
        <f t="shared" si="0"/>
        <v>0.65</v>
      </c>
      <c r="R62" s="53">
        <v>17.100000000000001</v>
      </c>
      <c r="S62" s="53">
        <v>109</v>
      </c>
      <c r="T62" s="16">
        <f t="shared" si="1"/>
        <v>33</v>
      </c>
      <c r="U62" s="53">
        <v>138</v>
      </c>
      <c r="V62" s="168">
        <f t="shared" si="2"/>
        <v>4554</v>
      </c>
      <c r="W62" s="53">
        <v>16</v>
      </c>
      <c r="X62" s="131" t="s">
        <v>46</v>
      </c>
      <c r="Y62" s="53" t="s">
        <v>102</v>
      </c>
      <c r="Z62" s="53" t="s">
        <v>90</v>
      </c>
      <c r="AA62" s="53" t="s">
        <v>78</v>
      </c>
      <c r="AB62" s="131" t="s">
        <v>237</v>
      </c>
    </row>
    <row r="63" spans="1:29" x14ac:dyDescent="0.15">
      <c r="A63" s="131" t="s">
        <v>61</v>
      </c>
      <c r="B63" s="131" t="s">
        <v>233</v>
      </c>
      <c r="C63" s="131">
        <v>2019</v>
      </c>
      <c r="D63" s="167" t="s">
        <v>234</v>
      </c>
      <c r="E63" s="131" t="s">
        <v>336</v>
      </c>
      <c r="F63" s="131" t="s">
        <v>335</v>
      </c>
      <c r="G63" s="131" t="s">
        <v>42</v>
      </c>
      <c r="H63" s="53" t="s">
        <v>160</v>
      </c>
      <c r="I63" s="53" t="s">
        <v>159</v>
      </c>
      <c r="J63" s="131" t="s">
        <v>38</v>
      </c>
      <c r="K63" s="53" t="s">
        <v>161</v>
      </c>
      <c r="L63" s="53">
        <v>2</v>
      </c>
      <c r="N63" s="53">
        <v>1</v>
      </c>
      <c r="O63" s="53">
        <v>0.5</v>
      </c>
      <c r="P63" s="53">
        <v>0.5</v>
      </c>
      <c r="Q63" s="75">
        <f t="shared" si="0"/>
        <v>0.5</v>
      </c>
      <c r="R63" s="53">
        <v>18.5</v>
      </c>
      <c r="S63" s="53">
        <v>106</v>
      </c>
      <c r="T63" s="16">
        <f t="shared" si="1"/>
        <v>33</v>
      </c>
      <c r="U63" s="53">
        <v>138</v>
      </c>
      <c r="V63" s="168">
        <f t="shared" si="2"/>
        <v>4554</v>
      </c>
      <c r="W63" s="53">
        <v>16</v>
      </c>
      <c r="X63" s="131" t="s">
        <v>46</v>
      </c>
      <c r="Y63" s="53" t="s">
        <v>102</v>
      </c>
      <c r="Z63" s="53" t="s">
        <v>90</v>
      </c>
      <c r="AA63" s="53" t="s">
        <v>78</v>
      </c>
      <c r="AB63" s="131" t="s">
        <v>237</v>
      </c>
    </row>
    <row r="64" spans="1:29" x14ac:dyDescent="0.15">
      <c r="A64" s="131" t="s">
        <v>61</v>
      </c>
      <c r="B64" s="131" t="s">
        <v>233</v>
      </c>
      <c r="C64" s="131">
        <v>2019</v>
      </c>
      <c r="D64" s="167" t="s">
        <v>234</v>
      </c>
      <c r="E64" s="131" t="s">
        <v>336</v>
      </c>
      <c r="F64" s="131" t="s">
        <v>335</v>
      </c>
      <c r="G64" s="131" t="s">
        <v>42</v>
      </c>
      <c r="H64" s="53" t="s">
        <v>160</v>
      </c>
      <c r="I64" s="53" t="s">
        <v>159</v>
      </c>
      <c r="J64" s="131" t="s">
        <v>38</v>
      </c>
      <c r="K64" s="53" t="s">
        <v>161</v>
      </c>
      <c r="L64" s="53">
        <v>3</v>
      </c>
      <c r="N64" s="53">
        <v>1</v>
      </c>
      <c r="O64" s="53">
        <v>0.5</v>
      </c>
      <c r="P64" s="53">
        <v>0.5</v>
      </c>
      <c r="Q64" s="75">
        <f t="shared" si="0"/>
        <v>0.5</v>
      </c>
      <c r="R64" s="53">
        <v>17.600000000000001</v>
      </c>
      <c r="S64" s="53">
        <v>116</v>
      </c>
      <c r="T64" s="16">
        <f t="shared" si="1"/>
        <v>30</v>
      </c>
      <c r="U64" s="53">
        <v>138</v>
      </c>
      <c r="V64" s="168">
        <f t="shared" si="2"/>
        <v>4140</v>
      </c>
      <c r="W64" s="53">
        <v>16</v>
      </c>
      <c r="X64" s="131" t="s">
        <v>46</v>
      </c>
      <c r="Y64" s="53" t="s">
        <v>102</v>
      </c>
      <c r="Z64" s="53" t="s">
        <v>90</v>
      </c>
      <c r="AA64" s="53" t="s">
        <v>78</v>
      </c>
      <c r="AB64" s="131" t="s">
        <v>237</v>
      </c>
    </row>
    <row r="65" spans="1:29" x14ac:dyDescent="0.15">
      <c r="A65" s="131"/>
      <c r="B65" s="131"/>
      <c r="C65" s="131"/>
      <c r="D65" s="167"/>
      <c r="E65" s="131"/>
      <c r="F65" s="131"/>
      <c r="G65" s="131"/>
      <c r="J65" s="131"/>
      <c r="Q65" s="75" t="str">
        <f t="shared" si="0"/>
        <v/>
      </c>
      <c r="T65" s="16" t="str">
        <f t="shared" si="1"/>
        <v/>
      </c>
      <c r="V65" s="168" t="str">
        <f t="shared" si="2"/>
        <v/>
      </c>
      <c r="X65" s="131"/>
      <c r="AB65" s="131"/>
      <c r="AC65" s="34"/>
    </row>
    <row r="66" spans="1:29" x14ac:dyDescent="0.15">
      <c r="A66" s="131"/>
      <c r="B66" s="131"/>
      <c r="C66" s="131"/>
      <c r="D66" s="167"/>
      <c r="E66" s="131"/>
      <c r="F66" s="131"/>
      <c r="G66" s="131"/>
      <c r="J66" s="131"/>
      <c r="Q66" s="75" t="str">
        <f t="shared" ref="Q66:Q71" si="3">IF(OR(O66="",P66=""),"",AVERAGE(O66,P66))</f>
        <v/>
      </c>
      <c r="R66" s="34"/>
      <c r="T66" s="16" t="str">
        <f t="shared" ref="T66:T73" si="4">IF(H66="","",IF(OR(H66="GREEN",H66="GK"),IF(S66&gt;=$AX$2,VLOOKUP(S66,$AX$2:$AY$15,2,1),""),IF(S66&gt;=$AZ$2,VLOOKUP(S66,$AZ$2:$BA$15,2,1),"")))</f>
        <v/>
      </c>
      <c r="V66" s="168" t="str">
        <f t="shared" ref="V66:V71" si="5">IF(OR(N66="",U66="",T66=""),"",U66/N66*T66)</f>
        <v/>
      </c>
      <c r="X66" s="131"/>
      <c r="AB66" s="131"/>
      <c r="AC66" s="34"/>
    </row>
    <row r="67" spans="1:29" x14ac:dyDescent="0.15">
      <c r="A67" s="131"/>
      <c r="B67" s="131"/>
      <c r="C67" s="131"/>
      <c r="D67" s="167"/>
      <c r="F67" s="131"/>
      <c r="G67" s="131"/>
      <c r="J67" s="131"/>
      <c r="Q67" s="75" t="str">
        <f t="shared" si="3"/>
        <v/>
      </c>
      <c r="R67" s="34"/>
      <c r="T67" s="16" t="str">
        <f t="shared" si="4"/>
        <v/>
      </c>
      <c r="V67" s="168" t="str">
        <f t="shared" si="5"/>
        <v/>
      </c>
      <c r="X67" s="131"/>
      <c r="AB67" s="131"/>
      <c r="AC67" s="34"/>
    </row>
    <row r="68" spans="1:29" x14ac:dyDescent="0.15">
      <c r="A68" s="131"/>
      <c r="B68" s="131"/>
      <c r="C68" s="131"/>
      <c r="D68" s="167"/>
      <c r="F68" s="131"/>
      <c r="G68" s="131"/>
      <c r="J68" s="131"/>
      <c r="Q68" s="75" t="str">
        <f t="shared" si="3"/>
        <v/>
      </c>
      <c r="T68" s="16" t="str">
        <f t="shared" si="4"/>
        <v/>
      </c>
      <c r="V68" s="168" t="str">
        <f t="shared" si="5"/>
        <v/>
      </c>
      <c r="X68" s="131"/>
      <c r="AB68" s="131"/>
      <c r="AC68" s="34"/>
    </row>
    <row r="69" spans="1:29" x14ac:dyDescent="0.15">
      <c r="A69" s="131"/>
      <c r="B69" s="131"/>
      <c r="C69" s="131"/>
      <c r="D69" s="167"/>
      <c r="F69" s="131"/>
      <c r="G69" s="131"/>
      <c r="J69" s="131"/>
      <c r="Q69" s="75" t="str">
        <f t="shared" si="3"/>
        <v/>
      </c>
      <c r="T69" s="16" t="str">
        <f t="shared" si="4"/>
        <v/>
      </c>
      <c r="V69" s="168" t="str">
        <f t="shared" si="5"/>
        <v/>
      </c>
      <c r="X69" s="131"/>
      <c r="AB69" s="131"/>
      <c r="AC69" s="34"/>
    </row>
    <row r="70" spans="1:29" x14ac:dyDescent="0.15">
      <c r="A70" s="131"/>
      <c r="B70" s="131"/>
      <c r="C70" s="131"/>
      <c r="D70" s="167"/>
      <c r="G70" s="131"/>
      <c r="J70" s="131"/>
      <c r="Q70" s="75" t="str">
        <f t="shared" si="3"/>
        <v/>
      </c>
      <c r="T70" s="16" t="str">
        <f t="shared" si="4"/>
        <v/>
      </c>
      <c r="V70" s="168" t="str">
        <f t="shared" si="5"/>
        <v/>
      </c>
      <c r="X70" s="131"/>
      <c r="AB70" s="131"/>
      <c r="AC70" s="34"/>
    </row>
    <row r="71" spans="1:29" x14ac:dyDescent="0.15">
      <c r="A71" s="131"/>
      <c r="B71" s="131"/>
      <c r="C71" s="131"/>
      <c r="D71" s="167"/>
      <c r="G71" s="131"/>
      <c r="J71" s="131"/>
      <c r="Q71" s="75"/>
      <c r="V71" s="168"/>
      <c r="X71" s="131"/>
      <c r="AB71" s="131"/>
    </row>
    <row r="72" spans="1:29" x14ac:dyDescent="0.15">
      <c r="A72" s="131"/>
      <c r="B72" s="131"/>
      <c r="C72" s="131"/>
      <c r="D72" s="167"/>
      <c r="G72" s="131"/>
      <c r="J72" s="131"/>
      <c r="Q72" s="75"/>
      <c r="V72" s="168"/>
      <c r="X72" s="131"/>
      <c r="AB72" s="131"/>
    </row>
    <row r="73" spans="1:29" x14ac:dyDescent="0.15">
      <c r="A73" s="131"/>
      <c r="B73" s="131"/>
      <c r="C73" s="131"/>
      <c r="D73" s="167"/>
      <c r="G73" s="131"/>
      <c r="J73" s="131"/>
      <c r="Q73" s="75"/>
      <c r="V73" s="168"/>
      <c r="X73" s="131"/>
      <c r="AB73" s="131"/>
    </row>
    <row r="74" spans="1:29" x14ac:dyDescent="0.15">
      <c r="A74" s="131"/>
      <c r="B74" s="131"/>
      <c r="C74" s="131"/>
      <c r="D74" s="167"/>
      <c r="G74" s="131"/>
      <c r="J74" s="131"/>
      <c r="Q74" s="75" t="str">
        <f t="shared" ref="Q74:Q76" si="6">IF(OR(O74="",P74=""),"",AVERAGE(O74,P74))</f>
        <v/>
      </c>
      <c r="T74" s="16" t="str">
        <f>IF(H74="","",IF(OR(H74="GREEN",H74="GK"),IF(S74&gt;=$AX$2,VLOOKUP(S74,$AX$2:$AY$15,2,1),""),IF(S74&gt;=$AZ$2,VLOOKUP(S74,$AZ$2:$BA$15,2,1),"")))</f>
        <v/>
      </c>
      <c r="V74" s="168" t="str">
        <f t="shared" ref="V74:V76" si="7">IF(OR(N74="",U74="",T74=""),"",U74/N74*T74)</f>
        <v/>
      </c>
      <c r="X74" s="131"/>
      <c r="AB74" s="131"/>
    </row>
    <row r="75" spans="1:29" x14ac:dyDescent="0.15">
      <c r="A75" s="131"/>
      <c r="B75" s="131"/>
      <c r="C75" s="131"/>
      <c r="D75" s="167"/>
      <c r="G75" s="131"/>
      <c r="J75" s="131"/>
      <c r="Q75" s="75" t="str">
        <f t="shared" si="6"/>
        <v/>
      </c>
      <c r="T75" s="16" t="str">
        <f>IF(H75="","",IF(OR(H75="GREEN",H75="GK"),IF(S75&gt;=$AX$2,VLOOKUP(S75,$AX$2:$AY$15,2,1),""),IF(S75&gt;=$AZ$2,VLOOKUP(S75,$AZ$2:$BA$15,2,1),"")))</f>
        <v/>
      </c>
      <c r="V75" s="168" t="str">
        <f t="shared" si="7"/>
        <v/>
      </c>
      <c r="X75" s="131"/>
      <c r="AB75" s="131"/>
    </row>
    <row r="76" spans="1:29" x14ac:dyDescent="0.15">
      <c r="A76" s="131"/>
      <c r="B76" s="131"/>
      <c r="C76" s="131"/>
      <c r="D76" s="167"/>
      <c r="G76" s="131"/>
      <c r="J76" s="131"/>
      <c r="Q76" s="75" t="str">
        <f t="shared" si="6"/>
        <v/>
      </c>
      <c r="T76" s="16" t="str">
        <f>IF(H76="","",IF(OR(H76="GREEN",H76="GK"),IF(S76&gt;=$AX$2,VLOOKUP(S76,$AX$2:$AY$15,2,1),""),IF(S76&gt;=$AZ$2,VLOOKUP(S76,$AZ$2:$BA$15,2,1),"")))</f>
        <v/>
      </c>
      <c r="V76" s="168" t="str">
        <f t="shared" si="7"/>
        <v/>
      </c>
      <c r="X76" s="131"/>
      <c r="AB76" s="131"/>
    </row>
    <row r="77" spans="1:29" x14ac:dyDescent="0.15">
      <c r="A77" s="131"/>
      <c r="B77" s="131"/>
      <c r="C77" s="131"/>
      <c r="D77" s="167"/>
      <c r="G77" s="131"/>
      <c r="J77" s="131"/>
      <c r="Q77" s="75"/>
      <c r="V77" s="168"/>
      <c r="X77" s="131"/>
      <c r="AB77" s="131"/>
    </row>
    <row r="78" spans="1:29" x14ac:dyDescent="0.15">
      <c r="A78" s="131"/>
      <c r="B78" s="131"/>
      <c r="C78" s="131"/>
      <c r="D78" s="167"/>
      <c r="G78" s="131"/>
      <c r="J78" s="131"/>
      <c r="Q78" s="75"/>
      <c r="V78" s="168"/>
      <c r="X78" s="131"/>
      <c r="AB78" s="131"/>
    </row>
    <row r="79" spans="1:29" x14ac:dyDescent="0.15">
      <c r="A79" s="131"/>
      <c r="B79" s="131"/>
      <c r="C79" s="131"/>
      <c r="D79" s="167"/>
      <c r="G79" s="131"/>
      <c r="J79" s="131"/>
      <c r="Q79" s="75"/>
      <c r="V79" s="168"/>
      <c r="X79" s="131"/>
      <c r="AB79" s="131"/>
    </row>
    <row r="80" spans="1:29" x14ac:dyDescent="0.15">
      <c r="A80" s="131"/>
      <c r="B80" s="131"/>
      <c r="C80" s="131"/>
      <c r="D80" s="167"/>
      <c r="G80" s="131"/>
      <c r="J80" s="131"/>
      <c r="Q80" s="75"/>
      <c r="V80" s="168"/>
      <c r="X80" s="131"/>
      <c r="AB80" s="131"/>
    </row>
    <row r="81" spans="1:28" x14ac:dyDescent="0.15">
      <c r="A81" s="131"/>
      <c r="B81" s="131"/>
      <c r="C81" s="131"/>
      <c r="D81" s="167"/>
      <c r="G81" s="131"/>
      <c r="J81" s="131"/>
      <c r="Q81" s="75"/>
      <c r="V81" s="168"/>
      <c r="X81" s="131"/>
      <c r="AB81" s="131"/>
    </row>
    <row r="82" spans="1:28" x14ac:dyDescent="0.15">
      <c r="A82" s="131"/>
      <c r="B82" s="131"/>
      <c r="C82" s="131"/>
      <c r="D82" s="167"/>
      <c r="G82" s="131"/>
      <c r="J82" s="131"/>
      <c r="Q82" s="75"/>
      <c r="V82" s="168"/>
      <c r="X82" s="131"/>
      <c r="AB82" s="131"/>
    </row>
    <row r="83" spans="1:28" x14ac:dyDescent="0.15">
      <c r="A83" s="131"/>
      <c r="B83" s="131"/>
      <c r="C83" s="131"/>
      <c r="D83" s="167"/>
      <c r="G83" s="131"/>
      <c r="J83" s="131"/>
      <c r="Q83" s="75"/>
      <c r="V83" s="168"/>
      <c r="X83" s="131"/>
      <c r="AB83" s="131"/>
    </row>
    <row r="84" spans="1:28" x14ac:dyDescent="0.15">
      <c r="A84" s="131"/>
      <c r="B84" s="131"/>
      <c r="C84" s="131"/>
      <c r="D84" s="167"/>
      <c r="G84" s="131"/>
      <c r="J84" s="131"/>
      <c r="Q84" s="75"/>
      <c r="V84" s="168"/>
      <c r="X84" s="131"/>
      <c r="AB84" s="131"/>
    </row>
    <row r="85" spans="1:28" x14ac:dyDescent="0.15">
      <c r="A85" s="131"/>
      <c r="B85" s="131"/>
      <c r="C85" s="131"/>
      <c r="D85" s="167"/>
      <c r="G85" s="131"/>
      <c r="J85" s="131"/>
      <c r="Q85" s="75"/>
      <c r="V85" s="168"/>
      <c r="X85" s="131"/>
      <c r="AB85" s="131"/>
    </row>
    <row r="86" spans="1:28" x14ac:dyDescent="0.15">
      <c r="A86" s="131"/>
      <c r="B86" s="131"/>
      <c r="C86" s="131"/>
      <c r="D86" s="167"/>
      <c r="G86" s="131"/>
      <c r="J86" s="131"/>
      <c r="Q86" s="75"/>
      <c r="V86" s="168"/>
      <c r="X86" s="131"/>
      <c r="AB86" s="131"/>
    </row>
    <row r="87" spans="1:28" x14ac:dyDescent="0.15">
      <c r="A87" s="131"/>
      <c r="B87" s="131"/>
      <c r="C87" s="131"/>
      <c r="D87" s="167"/>
      <c r="G87" s="131"/>
      <c r="J87" s="131"/>
      <c r="Q87" s="75"/>
      <c r="V87" s="168"/>
      <c r="X87" s="131"/>
      <c r="AB87" s="131"/>
    </row>
    <row r="88" spans="1:28" x14ac:dyDescent="0.15">
      <c r="A88" s="131"/>
      <c r="B88" s="131"/>
      <c r="C88" s="131"/>
      <c r="D88" s="167"/>
      <c r="G88" s="131"/>
      <c r="J88" s="131"/>
      <c r="Q88" s="75"/>
      <c r="V88" s="168"/>
      <c r="X88" s="131"/>
      <c r="AB88" s="131"/>
    </row>
    <row r="89" spans="1:28" x14ac:dyDescent="0.15">
      <c r="A89" s="131"/>
      <c r="B89" s="131"/>
      <c r="C89" s="131"/>
      <c r="D89" s="167"/>
      <c r="G89" s="131"/>
      <c r="J89" s="131"/>
      <c r="Q89" s="75"/>
      <c r="V89" s="168"/>
      <c r="X89" s="131"/>
      <c r="AB89" s="131"/>
    </row>
    <row r="90" spans="1:28" x14ac:dyDescent="0.15">
      <c r="A90" s="131"/>
      <c r="B90" s="131"/>
      <c r="C90" s="131"/>
      <c r="D90" s="167"/>
      <c r="G90" s="131"/>
      <c r="J90" s="131"/>
      <c r="Q90" s="75"/>
      <c r="V90" s="168"/>
      <c r="X90" s="131"/>
      <c r="AB90" s="131"/>
    </row>
    <row r="91" spans="1:28" x14ac:dyDescent="0.15">
      <c r="A91" s="131"/>
      <c r="B91" s="131"/>
      <c r="C91" s="131"/>
      <c r="D91" s="167"/>
      <c r="G91" s="131"/>
      <c r="J91" s="131"/>
      <c r="Q91" s="75"/>
      <c r="V91" s="168"/>
      <c r="X91" s="131"/>
      <c r="AB91" s="131"/>
    </row>
    <row r="92" spans="1:28" x14ac:dyDescent="0.15">
      <c r="D92" s="167"/>
    </row>
    <row r="93" spans="1:28" x14ac:dyDescent="0.15">
      <c r="A93" s="131"/>
      <c r="B93" s="131"/>
      <c r="C93" s="131"/>
      <c r="D93" s="167"/>
      <c r="G93" s="131"/>
      <c r="J93" s="131"/>
      <c r="Q93" s="75"/>
      <c r="V93" s="168"/>
      <c r="X93" s="131"/>
      <c r="AB93" s="131"/>
    </row>
    <row r="94" spans="1:28" x14ac:dyDescent="0.15">
      <c r="A94" s="131"/>
      <c r="B94" s="131"/>
      <c r="C94" s="131"/>
      <c r="G94" s="131"/>
      <c r="J94" s="131"/>
      <c r="Q94" s="75"/>
      <c r="V94" s="168"/>
      <c r="X94" s="131"/>
      <c r="AB94" s="131"/>
    </row>
    <row r="95" spans="1:28" x14ac:dyDescent="0.15">
      <c r="A95" s="131"/>
      <c r="B95" s="131"/>
      <c r="C95" s="131"/>
      <c r="D95" s="167"/>
      <c r="G95" s="131"/>
      <c r="J95" s="131"/>
      <c r="Q95" s="75"/>
      <c r="V95" s="168"/>
      <c r="X95" s="131"/>
      <c r="AB95" s="131"/>
    </row>
    <row r="96" spans="1:28" x14ac:dyDescent="0.15">
      <c r="A96" s="131"/>
      <c r="B96" s="131"/>
      <c r="C96" s="131"/>
      <c r="D96" s="167"/>
      <c r="G96" s="131"/>
      <c r="J96" s="131"/>
      <c r="Q96" s="75"/>
      <c r="V96" s="168"/>
      <c r="X96" s="131"/>
      <c r="AB96" s="131"/>
    </row>
    <row r="97" spans="1:28" x14ac:dyDescent="0.15">
      <c r="A97" s="131"/>
      <c r="B97" s="131"/>
      <c r="C97" s="131"/>
      <c r="D97" s="167"/>
      <c r="G97" s="131"/>
      <c r="J97" s="131"/>
      <c r="Q97" s="75"/>
      <c r="V97" s="168"/>
      <c r="X97" s="131"/>
      <c r="AB97" s="131"/>
    </row>
    <row r="98" spans="1:28" x14ac:dyDescent="0.15">
      <c r="A98" s="131"/>
      <c r="B98" s="131"/>
      <c r="C98" s="131"/>
      <c r="D98" s="167"/>
      <c r="G98" s="131"/>
      <c r="J98" s="131"/>
      <c r="Q98" s="75"/>
      <c r="V98" s="168"/>
      <c r="X98" s="131"/>
      <c r="AB98" s="131"/>
    </row>
    <row r="99" spans="1:28" x14ac:dyDescent="0.15">
      <c r="A99" s="131"/>
      <c r="B99" s="131"/>
      <c r="C99" s="131"/>
      <c r="D99" s="167"/>
      <c r="G99" s="131"/>
      <c r="J99" s="131"/>
      <c r="Q99" s="75"/>
      <c r="V99" s="168"/>
      <c r="X99" s="131"/>
      <c r="AB99" s="131"/>
    </row>
    <row r="100" spans="1:28" x14ac:dyDescent="0.15">
      <c r="A100" s="131"/>
      <c r="B100" s="131"/>
      <c r="C100" s="131"/>
      <c r="D100" s="167"/>
      <c r="G100" s="131"/>
      <c r="J100" s="131"/>
      <c r="Q100" s="75"/>
      <c r="V100" s="168"/>
      <c r="X100" s="131"/>
      <c r="AB100" s="131"/>
    </row>
    <row r="101" spans="1:28" x14ac:dyDescent="0.15">
      <c r="A101" s="131"/>
      <c r="B101" s="131"/>
      <c r="C101" s="131"/>
      <c r="D101" s="167"/>
      <c r="G101" s="131"/>
      <c r="J101" s="131"/>
      <c r="Q101" s="75"/>
      <c r="V101" s="168"/>
      <c r="X101" s="131"/>
      <c r="AB101" s="131"/>
    </row>
    <row r="102" spans="1:28" x14ac:dyDescent="0.15">
      <c r="A102" s="131"/>
      <c r="B102" s="131"/>
      <c r="C102" s="131"/>
      <c r="D102" s="167"/>
      <c r="G102" s="131"/>
      <c r="J102" s="131"/>
      <c r="Q102" s="75"/>
      <c r="V102" s="168"/>
      <c r="X102" s="131"/>
      <c r="AB102" s="131"/>
    </row>
    <row r="103" spans="1:28" x14ac:dyDescent="0.15">
      <c r="A103" s="131"/>
      <c r="B103" s="131"/>
      <c r="C103" s="131"/>
      <c r="D103" s="167"/>
      <c r="G103" s="131"/>
      <c r="J103" s="131"/>
      <c r="Q103" s="75"/>
      <c r="V103" s="168"/>
      <c r="X103" s="131"/>
      <c r="AB103" s="131"/>
    </row>
    <row r="104" spans="1:28" x14ac:dyDescent="0.15">
      <c r="A104" s="131"/>
      <c r="B104" s="131"/>
      <c r="C104" s="131"/>
      <c r="D104" s="167"/>
      <c r="G104" s="131"/>
      <c r="J104" s="131"/>
      <c r="Q104" s="75"/>
      <c r="V104" s="168"/>
      <c r="X104" s="131"/>
      <c r="AB104" s="131"/>
    </row>
    <row r="105" spans="1:28" x14ac:dyDescent="0.15">
      <c r="A105" s="131"/>
      <c r="B105" s="131"/>
      <c r="C105" s="131"/>
      <c r="D105" s="167"/>
      <c r="G105" s="131"/>
      <c r="J105" s="131"/>
      <c r="Q105" s="75"/>
      <c r="V105" s="168"/>
      <c r="X105" s="131"/>
      <c r="AB105" s="131"/>
    </row>
    <row r="106" spans="1:28" x14ac:dyDescent="0.15">
      <c r="A106" s="131"/>
      <c r="B106" s="131"/>
      <c r="C106" s="131"/>
      <c r="D106" s="167"/>
      <c r="G106" s="131"/>
      <c r="J106" s="131"/>
      <c r="Q106" s="75"/>
      <c r="V106" s="168"/>
      <c r="X106" s="131"/>
      <c r="AB106" s="131"/>
    </row>
    <row r="107" spans="1:28" x14ac:dyDescent="0.15">
      <c r="A107" s="131"/>
      <c r="B107" s="131"/>
      <c r="C107" s="131"/>
      <c r="D107" s="167"/>
      <c r="G107" s="131"/>
      <c r="J107" s="131"/>
      <c r="Q107" s="75"/>
      <c r="V107" s="168"/>
      <c r="X107" s="131"/>
      <c r="AB107" s="131"/>
    </row>
    <row r="108" spans="1:28" x14ac:dyDescent="0.15">
      <c r="A108" s="131"/>
      <c r="B108" s="131"/>
      <c r="C108" s="131"/>
      <c r="D108" s="167"/>
      <c r="G108" s="131"/>
      <c r="J108" s="131"/>
      <c r="Q108" s="75"/>
      <c r="V108" s="168"/>
      <c r="X108" s="131"/>
      <c r="AB108" s="131"/>
    </row>
    <row r="109" spans="1:28" x14ac:dyDescent="0.15">
      <c r="A109" s="131"/>
      <c r="B109" s="131"/>
      <c r="C109" s="131"/>
      <c r="D109" s="167"/>
      <c r="G109" s="131"/>
      <c r="J109" s="131"/>
      <c r="Q109" s="75"/>
      <c r="V109" s="168"/>
      <c r="X109" s="131"/>
      <c r="AB109" s="131"/>
    </row>
    <row r="110" spans="1:28" x14ac:dyDescent="0.15">
      <c r="D110" s="167"/>
    </row>
    <row r="111" spans="1:28" x14ac:dyDescent="0.15">
      <c r="D111" s="167"/>
    </row>
  </sheetData>
  <autoFilter ref="A1:BA1" xr:uid="{00000000-0009-0000-0000-000004000000}"/>
  <phoneticPr fontId="3"/>
  <dataValidations count="20">
    <dataValidation type="list" allowBlank="1" showInputMessage="1" showErrorMessage="1" sqref="K2:K497" xr:uid="{42CAA869-40CE-4349-B66F-5EBA30280AD7}">
      <formula1>$AR$2:$AR$25</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xr:uid="{06076569-3F6A-44D6-AA86-F7F3BA42F5B4}">
      <formula1>$AN$8:$AN$9</formula1>
    </dataValidation>
    <dataValidation type="list" allowBlank="1" showInputMessage="1" showErrorMessage="1" sqref="WVS981802:WVS981891 JG2:JG70 TC2:TC70 ACY2:ACY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WCA981802:WCA981891 VSE981802:VSE981891 VII981802:VII981891 UYM981802:UYM981891 UOQ981802:UOQ981891 UEU981802:UEU981891 TUY981802:TUY981891 TLC981802:TLC981891 TBG981802:TBG981891 SRK981802:SRK981891 SHO981802:SHO981891 RXS981802:RXS981891 RNW981802:RNW981891 REA981802:REA981891 QUE981802:QUE981891 QKI981802:QKI981891 QAM981802:QAM981891 PQQ981802:PQQ981891 PGU981802:PGU981891 OWY981802:OWY981891 ONC981802:ONC981891 ODG981802:ODG981891 NTK981802:NTK981891 NJO981802:NJO981891 MZS981802:MZS981891 MPW981802:MPW981891 MGA981802:MGA981891 LWE981802:LWE981891 LMI981802:LMI981891 LCM981802:LCM981891 KSQ981802:KSQ981891 KIU981802:KIU981891 JYY981802:JYY981891 JPC981802:JPC981891 JFG981802:JFG981891 IVK981802:IVK981891 ILO981802:ILO981891 IBS981802:IBS981891 HRW981802:HRW981891 HIA981802:HIA981891 GYE981802:GYE981891 GOI981802:GOI981891 GEM981802:GEM981891 FUQ981802:FUQ981891 FKU981802:FKU981891 FAY981802:FAY981891 ERC981802:ERC981891 EHG981802:EHG981891 DXK981802:DXK981891 DNO981802:DNO981891 DDS981802:DDS981891 CTW981802:CTW981891 CKA981802:CKA981891 CAE981802:CAE981891 BQI981802:BQI981891 BGM981802:BGM981891 AWQ981802:AWQ981891 AMU981802:AMU981891 ACY981802:ACY981891 TC981802:TC981891 JG981802:JG981891 K981811:K981900 WVS916266:WVS916355 WLW916266:WLW916355 WCA916266:WCA916355 VSE916266:VSE916355 VII916266:VII916355 UYM916266:UYM916355 UOQ916266:UOQ916355 UEU916266:UEU916355 TUY916266:TUY916355 TLC916266:TLC916355 TBG916266:TBG916355 SRK916266:SRK916355 SHO916266:SHO916355 RXS916266:RXS916355 RNW916266:RNW916355 REA916266:REA916355 QUE916266:QUE916355 QKI916266:QKI916355 QAM916266:QAM916355 PQQ916266:PQQ916355 PGU916266:PGU916355 OWY916266:OWY916355 ONC916266:ONC916355 ODG916266:ODG916355 NTK916266:NTK916355 NJO916266:NJO916355 MZS916266:MZS916355 MPW916266:MPW916355 MGA916266:MGA916355 LWE916266:LWE916355 LMI916266:LMI916355 LCM916266:LCM916355 KSQ916266:KSQ916355 KIU916266:KIU916355 JYY916266:JYY916355 JPC916266:JPC916355 JFG916266:JFG916355 IVK916266:IVK916355 ILO916266:ILO916355 IBS916266:IBS916355 HRW916266:HRW916355 HIA916266:HIA916355 GYE916266:GYE916355 GOI916266:GOI916355 GEM916266:GEM916355 FUQ916266:FUQ916355 FKU916266:FKU916355 FAY916266:FAY916355 ERC916266:ERC916355 EHG916266:EHG916355 DXK916266:DXK916355 DNO916266:DNO916355 DDS916266:DDS916355 CTW916266:CTW916355 CKA916266:CKA916355 CAE916266:CAE916355 BQI916266:BQI916355 BGM916266:BGM916355 AWQ916266:AWQ916355 AMU916266:AMU916355 ACY916266:ACY916355 TC916266:TC916355 JG916266:JG916355 K916275:K916364 WVS850730:WVS850819 WLW850730:WLW850819 WCA850730:WCA850819 VSE850730:VSE850819 VII850730:VII850819 UYM850730:UYM850819 UOQ850730:UOQ850819 UEU850730:UEU850819 TUY850730:TUY850819 TLC850730:TLC850819 TBG850730:TBG850819 SRK850730:SRK850819 SHO850730:SHO850819 RXS850730:RXS850819 RNW850730:RNW850819 REA850730:REA850819 QUE850730:QUE850819 QKI850730:QKI850819 QAM850730:QAM850819 PQQ850730:PQQ850819 PGU850730:PGU850819 OWY850730:OWY850819 ONC850730:ONC850819 ODG850730:ODG850819 NTK850730:NTK850819 NJO850730:NJO850819 MZS850730:MZS850819 MPW850730:MPW850819 MGA850730:MGA850819 LWE850730:LWE850819 LMI850730:LMI850819 LCM850730:LCM850819 KSQ850730:KSQ850819 KIU850730:KIU850819 JYY850730:JYY850819 JPC850730:JPC850819 JFG850730:JFG850819 IVK850730:IVK850819 ILO850730:ILO850819 IBS850730:IBS850819 HRW850730:HRW850819 HIA850730:HIA850819 GYE850730:GYE850819 GOI850730:GOI850819 GEM850730:GEM850819 FUQ850730:FUQ850819 FKU850730:FKU850819 FAY850730:FAY850819 ERC850730:ERC850819 EHG850730:EHG850819 DXK850730:DXK850819 DNO850730:DNO850819 DDS850730:DDS850819 CTW850730:CTW850819 CKA850730:CKA850819 CAE850730:CAE850819 BQI850730:BQI850819 BGM850730:BGM850819 AWQ850730:AWQ850819 AMU850730:AMU850819 ACY850730:ACY850819 TC850730:TC850819 JG850730:JG850819 K850739:K850828 WVS785194:WVS785283 WLW785194:WLW785283 WCA785194:WCA785283 VSE785194:VSE785283 VII785194:VII785283 UYM785194:UYM785283 UOQ785194:UOQ785283 UEU785194:UEU785283 TUY785194:TUY785283 TLC785194:TLC785283 TBG785194:TBG785283 SRK785194:SRK785283 SHO785194:SHO785283 RXS785194:RXS785283 RNW785194:RNW785283 REA785194:REA785283 QUE785194:QUE785283 QKI785194:QKI785283 QAM785194:QAM785283 PQQ785194:PQQ785283 PGU785194:PGU785283 OWY785194:OWY785283 ONC785194:ONC785283 ODG785194:ODG785283 NTK785194:NTK785283 NJO785194:NJO785283 MZS785194:MZS785283 MPW785194:MPW785283 MGA785194:MGA785283 LWE785194:LWE785283 LMI785194:LMI785283 LCM785194:LCM785283 KSQ785194:KSQ785283 KIU785194:KIU785283 JYY785194:JYY785283 JPC785194:JPC785283 JFG785194:JFG785283 IVK785194:IVK785283 ILO785194:ILO785283 IBS785194:IBS785283 HRW785194:HRW785283 HIA785194:HIA785283 GYE785194:GYE785283 GOI785194:GOI785283 GEM785194:GEM785283 FUQ785194:FUQ785283 FKU785194:FKU785283 FAY785194:FAY785283 ERC785194:ERC785283 EHG785194:EHG785283 DXK785194:DXK785283 DNO785194:DNO785283 DDS785194:DDS785283 CTW785194:CTW785283 CKA785194:CKA785283 CAE785194:CAE785283 BQI785194:BQI785283 BGM785194:BGM785283 AWQ785194:AWQ785283 AMU785194:AMU785283 ACY785194:ACY785283 TC785194:TC785283 JG785194:JG785283 K785203:K785292 WVS719658:WVS719747 WLW719658:WLW719747 WCA719658:WCA719747 VSE719658:VSE719747 VII719658:VII719747 UYM719658:UYM719747 UOQ719658:UOQ719747 UEU719658:UEU719747 TUY719658:TUY719747 TLC719658:TLC719747 TBG719658:TBG719747 SRK719658:SRK719747 SHO719658:SHO719747 RXS719658:RXS719747 RNW719658:RNW719747 REA719658:REA719747 QUE719658:QUE719747 QKI719658:QKI719747 QAM719658:QAM719747 PQQ719658:PQQ719747 PGU719658:PGU719747 OWY719658:OWY719747 ONC719658:ONC719747 ODG719658:ODG719747 NTK719658:NTK719747 NJO719658:NJO719747 MZS719658:MZS719747 MPW719658:MPW719747 MGA719658:MGA719747 LWE719658:LWE719747 LMI719658:LMI719747 LCM719658:LCM719747 KSQ719658:KSQ719747 KIU719658:KIU719747 JYY719658:JYY719747 JPC719658:JPC719747 JFG719658:JFG719747 IVK719658:IVK719747 ILO719658:ILO719747 IBS719658:IBS719747 HRW719658:HRW719747 HIA719658:HIA719747 GYE719658:GYE719747 GOI719658:GOI719747 GEM719658:GEM719747 FUQ719658:FUQ719747 FKU719658:FKU719747 FAY719658:FAY719747 ERC719658:ERC719747 EHG719658:EHG719747 DXK719658:DXK719747 DNO719658:DNO719747 DDS719658:DDS719747 CTW719658:CTW719747 CKA719658:CKA719747 CAE719658:CAE719747 BQI719658:BQI719747 BGM719658:BGM719747 AWQ719658:AWQ719747 AMU719658:AMU719747 ACY719658:ACY719747 TC719658:TC719747 JG719658:JG719747 K719667:K719756 WVS654122:WVS654211 WLW654122:WLW654211 WCA654122:WCA654211 VSE654122:VSE654211 VII654122:VII654211 UYM654122:UYM654211 UOQ654122:UOQ654211 UEU654122:UEU654211 TUY654122:TUY654211 TLC654122:TLC654211 TBG654122:TBG654211 SRK654122:SRK654211 SHO654122:SHO654211 RXS654122:RXS654211 RNW654122:RNW654211 REA654122:REA654211 QUE654122:QUE654211 QKI654122:QKI654211 QAM654122:QAM654211 PQQ654122:PQQ654211 PGU654122:PGU654211 OWY654122:OWY654211 ONC654122:ONC654211 ODG654122:ODG654211 NTK654122:NTK654211 NJO654122:NJO654211 MZS654122:MZS654211 MPW654122:MPW654211 MGA654122:MGA654211 LWE654122:LWE654211 LMI654122:LMI654211 LCM654122:LCM654211 KSQ654122:KSQ654211 KIU654122:KIU654211 JYY654122:JYY654211 JPC654122:JPC654211 JFG654122:JFG654211 IVK654122:IVK654211 ILO654122:ILO654211 IBS654122:IBS654211 HRW654122:HRW654211 HIA654122:HIA654211 GYE654122:GYE654211 GOI654122:GOI654211 GEM654122:GEM654211 FUQ654122:FUQ654211 FKU654122:FKU654211 FAY654122:FAY654211 ERC654122:ERC654211 EHG654122:EHG654211 DXK654122:DXK654211 DNO654122:DNO654211 DDS654122:DDS654211 CTW654122:CTW654211 CKA654122:CKA654211 CAE654122:CAE654211 BQI654122:BQI654211 BGM654122:BGM654211 AWQ654122:AWQ654211 AMU654122:AMU654211 ACY654122:ACY654211 TC654122:TC654211 JG654122:JG654211 K654131:K654220 WVS588586:WVS588675 WLW588586:WLW588675 WCA588586:WCA588675 VSE588586:VSE588675 VII588586:VII588675 UYM588586:UYM588675 UOQ588586:UOQ588675 UEU588586:UEU588675 TUY588586:TUY588675 TLC588586:TLC588675 TBG588586:TBG588675 SRK588586:SRK588675 SHO588586:SHO588675 RXS588586:RXS588675 RNW588586:RNW588675 REA588586:REA588675 QUE588586:QUE588675 QKI588586:QKI588675 QAM588586:QAM588675 PQQ588586:PQQ588675 PGU588586:PGU588675 OWY588586:OWY588675 ONC588586:ONC588675 ODG588586:ODG588675 NTK588586:NTK588675 NJO588586:NJO588675 MZS588586:MZS588675 MPW588586:MPW588675 MGA588586:MGA588675 LWE588586:LWE588675 LMI588586:LMI588675 LCM588586:LCM588675 KSQ588586:KSQ588675 KIU588586:KIU588675 JYY588586:JYY588675 JPC588586:JPC588675 JFG588586:JFG588675 IVK588586:IVK588675 ILO588586:ILO588675 IBS588586:IBS588675 HRW588586:HRW588675 HIA588586:HIA588675 GYE588586:GYE588675 GOI588586:GOI588675 GEM588586:GEM588675 FUQ588586:FUQ588675 FKU588586:FKU588675 FAY588586:FAY588675 ERC588586:ERC588675 EHG588586:EHG588675 DXK588586:DXK588675 DNO588586:DNO588675 DDS588586:DDS588675 CTW588586:CTW588675 CKA588586:CKA588675 CAE588586:CAE588675 BQI588586:BQI588675 BGM588586:BGM588675 AWQ588586:AWQ588675 AMU588586:AMU588675 ACY588586:ACY588675 TC588586:TC588675 JG588586:JG588675 K588595:K588684 WVS523050:WVS523139 WLW523050:WLW523139 WCA523050:WCA523139 VSE523050:VSE523139 VII523050:VII523139 UYM523050:UYM523139 UOQ523050:UOQ523139 UEU523050:UEU523139 TUY523050:TUY523139 TLC523050:TLC523139 TBG523050:TBG523139 SRK523050:SRK523139 SHO523050:SHO523139 RXS523050:RXS523139 RNW523050:RNW523139 REA523050:REA523139 QUE523050:QUE523139 QKI523050:QKI523139 QAM523050:QAM523139 PQQ523050:PQQ523139 PGU523050:PGU523139 OWY523050:OWY523139 ONC523050:ONC523139 ODG523050:ODG523139 NTK523050:NTK523139 NJO523050:NJO523139 MZS523050:MZS523139 MPW523050:MPW523139 MGA523050:MGA523139 LWE523050:LWE523139 LMI523050:LMI523139 LCM523050:LCM523139 KSQ523050:KSQ523139 KIU523050:KIU523139 JYY523050:JYY523139 JPC523050:JPC523139 JFG523050:JFG523139 IVK523050:IVK523139 ILO523050:ILO523139 IBS523050:IBS523139 HRW523050:HRW523139 HIA523050:HIA523139 GYE523050:GYE523139 GOI523050:GOI523139 GEM523050:GEM523139 FUQ523050:FUQ523139 FKU523050:FKU523139 FAY523050:FAY523139 ERC523050:ERC523139 EHG523050:EHG523139 DXK523050:DXK523139 DNO523050:DNO523139 DDS523050:DDS523139 CTW523050:CTW523139 CKA523050:CKA523139 CAE523050:CAE523139 BQI523050:BQI523139 BGM523050:BGM523139 AWQ523050:AWQ523139 AMU523050:AMU523139 ACY523050:ACY523139 TC523050:TC523139 JG523050:JG523139 K523059:K523148 WVS457514:WVS457603 WLW457514:WLW457603 WCA457514:WCA457603 VSE457514:VSE457603 VII457514:VII457603 UYM457514:UYM457603 UOQ457514:UOQ457603 UEU457514:UEU457603 TUY457514:TUY457603 TLC457514:TLC457603 TBG457514:TBG457603 SRK457514:SRK457603 SHO457514:SHO457603 RXS457514:RXS457603 RNW457514:RNW457603 REA457514:REA457603 QUE457514:QUE457603 QKI457514:QKI457603 QAM457514:QAM457603 PQQ457514:PQQ457603 PGU457514:PGU457603 OWY457514:OWY457603 ONC457514:ONC457603 ODG457514:ODG457603 NTK457514:NTK457603 NJO457514:NJO457603 MZS457514:MZS457603 MPW457514:MPW457603 MGA457514:MGA457603 LWE457514:LWE457603 LMI457514:LMI457603 LCM457514:LCM457603 KSQ457514:KSQ457603 KIU457514:KIU457603 JYY457514:JYY457603 JPC457514:JPC457603 JFG457514:JFG457603 IVK457514:IVK457603 ILO457514:ILO457603 IBS457514:IBS457603 HRW457514:HRW457603 HIA457514:HIA457603 GYE457514:GYE457603 GOI457514:GOI457603 GEM457514:GEM457603 FUQ457514:FUQ457603 FKU457514:FKU457603 FAY457514:FAY457603 ERC457514:ERC457603 EHG457514:EHG457603 DXK457514:DXK457603 DNO457514:DNO457603 DDS457514:DDS457603 CTW457514:CTW457603 CKA457514:CKA457603 CAE457514:CAE457603 BQI457514:BQI457603 BGM457514:BGM457603 AWQ457514:AWQ457603 AMU457514:AMU457603 ACY457514:ACY457603 TC457514:TC457603 JG457514:JG457603 K457523:K457612 WVS391978:WVS392067 WLW391978:WLW392067 WCA391978:WCA392067 VSE391978:VSE392067 VII391978:VII392067 UYM391978:UYM392067 UOQ391978:UOQ392067 UEU391978:UEU392067 TUY391978:TUY392067 TLC391978:TLC392067 TBG391978:TBG392067 SRK391978:SRK392067 SHO391978:SHO392067 RXS391978:RXS392067 RNW391978:RNW392067 REA391978:REA392067 QUE391978:QUE392067 QKI391978:QKI392067 QAM391978:QAM392067 PQQ391978:PQQ392067 PGU391978:PGU392067 OWY391978:OWY392067 ONC391978:ONC392067 ODG391978:ODG392067 NTK391978:NTK392067 NJO391978:NJO392067 MZS391978:MZS392067 MPW391978:MPW392067 MGA391978:MGA392067 LWE391978:LWE392067 LMI391978:LMI392067 LCM391978:LCM392067 KSQ391978:KSQ392067 KIU391978:KIU392067 JYY391978:JYY392067 JPC391978:JPC392067 JFG391978:JFG392067 IVK391978:IVK392067 ILO391978:ILO392067 IBS391978:IBS392067 HRW391978:HRW392067 HIA391978:HIA392067 GYE391978:GYE392067 GOI391978:GOI392067 GEM391978:GEM392067 FUQ391978:FUQ392067 FKU391978:FKU392067 FAY391978:FAY392067 ERC391978:ERC392067 EHG391978:EHG392067 DXK391978:DXK392067 DNO391978:DNO392067 DDS391978:DDS392067 CTW391978:CTW392067 CKA391978:CKA392067 CAE391978:CAE392067 BQI391978:BQI392067 BGM391978:BGM392067 AWQ391978:AWQ392067 AMU391978:AMU392067 ACY391978:ACY392067 TC391978:TC392067 JG391978:JG392067 K391987:K392076 WVS326442:WVS326531 WLW326442:WLW326531 WCA326442:WCA326531 VSE326442:VSE326531 VII326442:VII326531 UYM326442:UYM326531 UOQ326442:UOQ326531 UEU326442:UEU326531 TUY326442:TUY326531 TLC326442:TLC326531 TBG326442:TBG326531 SRK326442:SRK326531 SHO326442:SHO326531 RXS326442:RXS326531 RNW326442:RNW326531 REA326442:REA326531 QUE326442:QUE326531 QKI326442:QKI326531 QAM326442:QAM326531 PQQ326442:PQQ326531 PGU326442:PGU326531 OWY326442:OWY326531 ONC326442:ONC326531 ODG326442:ODG326531 NTK326442:NTK326531 NJO326442:NJO326531 MZS326442:MZS326531 MPW326442:MPW326531 MGA326442:MGA326531 LWE326442:LWE326531 LMI326442:LMI326531 LCM326442:LCM326531 KSQ326442:KSQ326531 KIU326442:KIU326531 JYY326442:JYY326531 JPC326442:JPC326531 JFG326442:JFG326531 IVK326442:IVK326531 ILO326442:ILO326531 IBS326442:IBS326531 HRW326442:HRW326531 HIA326442:HIA326531 GYE326442:GYE326531 GOI326442:GOI326531 GEM326442:GEM326531 FUQ326442:FUQ326531 FKU326442:FKU326531 FAY326442:FAY326531 ERC326442:ERC326531 EHG326442:EHG326531 DXK326442:DXK326531 DNO326442:DNO326531 DDS326442:DDS326531 CTW326442:CTW326531 CKA326442:CKA326531 CAE326442:CAE326531 BQI326442:BQI326531 BGM326442:BGM326531 AWQ326442:AWQ326531 AMU326442:AMU326531 ACY326442:ACY326531 TC326442:TC326531 JG326442:JG326531 K326451:K326540 WVS260906:WVS260995 WLW260906:WLW260995 WCA260906:WCA260995 VSE260906:VSE260995 VII260906:VII260995 UYM260906:UYM260995 UOQ260906:UOQ260995 UEU260906:UEU260995 TUY260906:TUY260995 TLC260906:TLC260995 TBG260906:TBG260995 SRK260906:SRK260995 SHO260906:SHO260995 RXS260906:RXS260995 RNW260906:RNW260995 REA260906:REA260995 QUE260906:QUE260995 QKI260906:QKI260995 QAM260906:QAM260995 PQQ260906:PQQ260995 PGU260906:PGU260995 OWY260906:OWY260995 ONC260906:ONC260995 ODG260906:ODG260995 NTK260906:NTK260995 NJO260906:NJO260995 MZS260906:MZS260995 MPW260906:MPW260995 MGA260906:MGA260995 LWE260906:LWE260995 LMI260906:LMI260995 LCM260906:LCM260995 KSQ260906:KSQ260995 KIU260906:KIU260995 JYY260906:JYY260995 JPC260906:JPC260995 JFG260906:JFG260995 IVK260906:IVK260995 ILO260906:ILO260995 IBS260906:IBS260995 HRW260906:HRW260995 HIA260906:HIA260995 GYE260906:GYE260995 GOI260906:GOI260995 GEM260906:GEM260995 FUQ260906:FUQ260995 FKU260906:FKU260995 FAY260906:FAY260995 ERC260906:ERC260995 EHG260906:EHG260995 DXK260906:DXK260995 DNO260906:DNO260995 DDS260906:DDS260995 CTW260906:CTW260995 CKA260906:CKA260995 CAE260906:CAE260995 BQI260906:BQI260995 BGM260906:BGM260995 AWQ260906:AWQ260995 AMU260906:AMU260995 ACY260906:ACY260995 TC260906:TC260995 JG260906:JG260995 K260915:K261004 WVS195370:WVS195459 WLW195370:WLW195459 WCA195370:WCA195459 VSE195370:VSE195459 VII195370:VII195459 UYM195370:UYM195459 UOQ195370:UOQ195459 UEU195370:UEU195459 TUY195370:TUY195459 TLC195370:TLC195459 TBG195370:TBG195459 SRK195370:SRK195459 SHO195370:SHO195459 RXS195370:RXS195459 RNW195370:RNW195459 REA195370:REA195459 QUE195370:QUE195459 QKI195370:QKI195459 QAM195370:QAM195459 PQQ195370:PQQ195459 PGU195370:PGU195459 OWY195370:OWY195459 ONC195370:ONC195459 ODG195370:ODG195459 NTK195370:NTK195459 NJO195370:NJO195459 MZS195370:MZS195459 MPW195370:MPW195459 MGA195370:MGA195459 LWE195370:LWE195459 LMI195370:LMI195459 LCM195370:LCM195459 KSQ195370:KSQ195459 KIU195370:KIU195459 JYY195370:JYY195459 JPC195370:JPC195459 JFG195370:JFG195459 IVK195370:IVK195459 ILO195370:ILO195459 IBS195370:IBS195459 HRW195370:HRW195459 HIA195370:HIA195459 GYE195370:GYE195459 GOI195370:GOI195459 GEM195370:GEM195459 FUQ195370:FUQ195459 FKU195370:FKU195459 FAY195370:FAY195459 ERC195370:ERC195459 EHG195370:EHG195459 DXK195370:DXK195459 DNO195370:DNO195459 DDS195370:DDS195459 CTW195370:CTW195459 CKA195370:CKA195459 CAE195370:CAE195459 BQI195370:BQI195459 BGM195370:BGM195459 AWQ195370:AWQ195459 AMU195370:AMU195459 ACY195370:ACY195459 TC195370:TC195459 JG195370:JG195459 K195379:K195468 WVS129834:WVS129923 WLW129834:WLW129923 WCA129834:WCA129923 VSE129834:VSE129923 VII129834:VII129923 UYM129834:UYM129923 UOQ129834:UOQ129923 UEU129834:UEU129923 TUY129834:TUY129923 TLC129834:TLC129923 TBG129834:TBG129923 SRK129834:SRK129923 SHO129834:SHO129923 RXS129834:RXS129923 RNW129834:RNW129923 REA129834:REA129923 QUE129834:QUE129923 QKI129834:QKI129923 QAM129834:QAM129923 PQQ129834:PQQ129923 PGU129834:PGU129923 OWY129834:OWY129923 ONC129834:ONC129923 ODG129834:ODG129923 NTK129834:NTK129923 NJO129834:NJO129923 MZS129834:MZS129923 MPW129834:MPW129923 MGA129834:MGA129923 LWE129834:LWE129923 LMI129834:LMI129923 LCM129834:LCM129923 KSQ129834:KSQ129923 KIU129834:KIU129923 JYY129834:JYY129923 JPC129834:JPC129923 JFG129834:JFG129923 IVK129834:IVK129923 ILO129834:ILO129923 IBS129834:IBS129923 HRW129834:HRW129923 HIA129834:HIA129923 GYE129834:GYE129923 GOI129834:GOI129923 GEM129834:GEM129923 FUQ129834:FUQ129923 FKU129834:FKU129923 FAY129834:FAY129923 ERC129834:ERC129923 EHG129834:EHG129923 DXK129834:DXK129923 DNO129834:DNO129923 DDS129834:DDS129923 CTW129834:CTW129923 CKA129834:CKA129923 CAE129834:CAE129923 BQI129834:BQI129923 BGM129834:BGM129923 AWQ129834:AWQ129923 AMU129834:AMU129923 ACY129834:ACY129923 TC129834:TC129923 JG129834:JG129923 K129843:K129932 WVS64298:WVS64387 WLW64298:WLW64387 WCA64298:WCA64387 VSE64298:VSE64387 VII64298:VII64387 UYM64298:UYM64387 UOQ64298:UOQ64387 UEU64298:UEU64387 TUY64298:TUY64387 TLC64298:TLC64387 TBG64298:TBG64387 SRK64298:SRK64387 SHO64298:SHO64387 RXS64298:RXS64387 RNW64298:RNW64387 REA64298:REA64387 QUE64298:QUE64387 QKI64298:QKI64387 QAM64298:QAM64387 PQQ64298:PQQ64387 PGU64298:PGU64387 OWY64298:OWY64387 ONC64298:ONC64387 ODG64298:ODG64387 NTK64298:NTK64387 NJO64298:NJO64387 MZS64298:MZS64387 MPW64298:MPW64387 MGA64298:MGA64387 LWE64298:LWE64387 LMI64298:LMI64387 LCM64298:LCM64387 KSQ64298:KSQ64387 KIU64298:KIU64387 JYY64298:JYY64387 JPC64298:JPC64387 JFG64298:JFG64387 IVK64298:IVK64387 ILO64298:ILO64387 IBS64298:IBS64387 HRW64298:HRW64387 HIA64298:HIA64387 GYE64298:GYE64387 GOI64298:GOI64387 GEM64298:GEM64387 FUQ64298:FUQ64387 FKU64298:FKU64387 FAY64298:FAY64387 ERC64298:ERC64387 EHG64298:EHG64387 DXK64298:DXK64387 DNO64298:DNO64387 DDS64298:DDS64387 CTW64298:CTW64387 CKA64298:CKA64387 CAE64298:CAE64387 BQI64298:BQI64387 BGM64298:BGM64387 AWQ64298:AWQ64387 AMU64298:AMU64387 ACY64298:ACY64387 TC64298:TC64387 JG64298:JG64387 K64307:K64396 WLW981802:WLW981891" xr:uid="{F9AEFC4E-F385-479A-9807-40578AE22658}">
      <formula1>$AR$2:$AR$24</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xr:uid="{E2C039AC-3E57-4E0E-84DF-A7ADC1B8BC26}">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3:F981902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7:F916366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41:F850830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5:F785294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9:F719758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3:F654222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7:F588686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61:F523150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5:F457614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9:F392078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3:F326542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7:F261006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81:F195470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5:F129934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9:F64398 WVN2:WVN70 WLR2:WLR70 WBV2:WBV70 VRZ2:VRZ70 VID2:VID70 UYH2:UYH70 UOL2:UOL70 UEP2:UEP70 TUT2:TUT70 TKX2:TKX70 TBB2:TBB70 SRF2:SRF70 SHJ2:SHJ70 RXN2:RXN70 RNR2:RNR70 RDV2:RDV70 QTZ2:QTZ70 QKD2:QKD70 QAH2:QAH70 PQL2:PQL70 PGP2:PGP70 OWT2:OWT70 OMX2:OMX70 ODB2:ODB70 NTF2:NTF70 NJJ2:NJJ70 MZN2:MZN70 MPR2:MPR70 MFV2:MFV70 LVZ2:LVZ70 LMD2:LMD70 LCH2:LCH70 KSL2:KSL70 KIP2:KIP70 JYT2:JYT70 JOX2:JOX70 JFB2:JFB70 IVF2:IVF70 ILJ2:ILJ70 IBN2:IBN70 HRR2:HRR70 HHV2:HHV70 GXZ2:GXZ70 GOD2:GOD70 GEH2:GEH70 FUL2:FUL70 FKP2:FKP70 FAT2:FAT70 EQX2:EQX70 EHB2:EHB70 DXF2:DXF70 DNJ2:DNJ70 DDN2:DDN70 CTR2:CTR70 CJV2:CJV70 BZZ2:BZZ70 BQD2:BQD70 BGH2:BGH70 AWL2:AWL70 AMP2:AMP70 ACT2:ACT70 SX2:SX70 JB2:JB70" xr:uid="{72385D28-E136-4C88-8AB7-AC0149BFA111}">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3:E981902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7:E916366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41:E850830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5:E785294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9:E719758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3:E654222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7:E588686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61:E523150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5:E457614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9:E392078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3:E326542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7:E261006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81:E195470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5:E129934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9:E64398 WVM2:WVM70 WLQ2:WLQ70 WBU2:WBU70 VRY2:VRY70 VIC2:VIC70 UYG2:UYG70 UOK2:UOK70 UEO2:UEO70 TUS2:TUS70 TKW2:TKW70 TBA2:TBA70 SRE2:SRE70 SHI2:SHI70 RXM2:RXM70 RNQ2:RNQ70 RDU2:RDU70 QTY2:QTY70 QKC2:QKC70 QAG2:QAG70 PQK2:PQK70 PGO2:PGO70 OWS2:OWS70 OMW2:OMW70 ODA2:ODA70 NTE2:NTE70 NJI2:NJI70 MZM2:MZM70 MPQ2:MPQ70 MFU2:MFU70 LVY2:LVY70 LMC2:LMC70 LCG2:LCG70 KSK2:KSK70 KIO2:KIO70 JYS2:JYS70 JOW2:JOW70 JFA2:JFA70 IVE2:IVE70 ILI2:ILI70 IBM2:IBM70 HRQ2:HRQ70 HHU2:HHU70 GXY2:GXY70 GOC2:GOC70 GEG2:GEG70 FUK2:FUK70 FKO2:FKO70 FAS2:FAS70 EQW2:EQW70 EHA2:EHA70 DXE2:DXE70 DNI2:DNI70 DDM2:DDM70 CTQ2:CTQ70 CJU2:CJU70 BZY2:BZY70 BQC2:BQC70 BGG2:BGG70 AWK2:AWK70 AMO2:AMO70 ACS2:ACS70 SW2:SW70 JA2:JA70" xr:uid="{CBE3D397-F2F1-4EB5-90AC-DC0B09D83C87}">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X2:X91 WWF2:WWF70 WMJ2:WMJ70 WCN2:WCN70 VSR2:VSR70 VIV2:VIV70 UYZ2:UYZ70 UPD2:UPD70 UFH2:UFH70 TVL2:TVL70 TLP2:TLP70 TBT2:TBT70 SRX2:SRX70 SIB2:SIB70 RYF2:RYF70 ROJ2:ROJ70 REN2:REN70 QUR2:QUR70 QKV2:QKV70 QAZ2:QAZ70 PRD2:PRD70 PHH2:PHH70 OXL2:OXL70 ONP2:ONP70 ODT2:ODT70 NTX2:NTX70 NKB2:NKB70 NAF2:NAF70 MQJ2:MQJ70 MGN2:MGN70 LWR2:LWR70 LMV2:LMV70 LCZ2:LCZ70 KTD2:KTD70 KJH2:KJH70 JZL2:JZL70 JPP2:JPP70 JFT2:JFT70 IVX2:IVX70 IMB2:IMB70 ICF2:ICF70 HSJ2:HSJ70 HIN2:HIN70 GYR2:GYR70 GOV2:GOV70 GEZ2:GEZ70 FVD2:FVD70 FLH2:FLH70 FBL2:FBL70 ERP2:ERP70 EHT2:EHT70 DXX2:DXX70 DOB2:DOB70 DEF2:DEF70 CUJ2:CUJ70 CKN2:CKN70 CAR2:CAR70 BQV2:BQV70 BGZ2:BGZ70 AXD2:AXD70 ANH2:ANH70 ADL2:ADL70 TP2:TP70 JT2:JT70" xr:uid="{E70EAEE1-1E33-4A57-8B32-194A42F0B72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WVJ2:WVJ70 WLN2:WLN70 WBR2:WBR70 VRV2:VRV70 VHZ2:VHZ70 UYD2:UYD70 UOH2:UOH70 UEL2:UEL70 TUP2:TUP70 TKT2:TKT70 TAX2:TAX70 SRB2:SRB70 SHF2:SHF70 RXJ2:RXJ70 RNN2:RNN70 RDR2:RDR70 QTV2:QTV70 QJZ2:QJZ70 QAD2:QAD70 PQH2:PQH70 PGL2:PGL70 OWP2:OWP70 OMT2:OMT70 OCX2:OCX70 NTB2:NTB70 NJF2:NJF70 MZJ2:MZJ70 MPN2:MPN70 MFR2:MFR70 LVV2:LVV70 LLZ2:LLZ70 LCD2:LCD70 KSH2:KSH70 KIL2:KIL70 JYP2:JYP70 JOT2:JOT70 JEX2:JEX70 IVB2:IVB70 ILF2:ILF70 IBJ2:IBJ70 HRN2:HRN70 HHR2:HHR70 GXV2:GXV70 GNZ2:GNZ70 GED2:GED70 FUH2:FUH70 FKL2:FKL70 FAP2:FAP70 EQT2:EQT70 EGX2:EGX70 DXB2:DXB70 DNF2:DNF70 DDJ2:DDJ70 CTN2:CTN70 CJR2:CJR70 BZV2:BZV70 BPZ2:BPZ70 BGD2:BGD70 AWH2:AWH70 AML2:AML70 ACP2:ACP70 ST2:ST70 B2:B91" xr:uid="{52EE1EB2-27DE-4D1C-AE18-6625ECA029AC}"/>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xr:uid="{77063678-39B2-4800-823E-D7CDAB0AB93C}">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WVO2:WVO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SY2:SY70 G2:G91" xr:uid="{05694B15-8022-403A-BD24-59C5F60B5EA9}">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WVP2:WVP70 WLT2:WLT70 WBX2:WBX70 VSB2:VSB70 VIF2:VIF70 UYJ2:UYJ70 UON2:UON70 UER2:UER70 TUV2:TUV70 TKZ2:TKZ70 TBD2:TBD70 SRH2:SRH70 SHL2:SHL70 RXP2:RXP70 RNT2:RNT70 RDX2:RDX70 QUB2:QUB70 QKF2:QKF70 QAJ2:QAJ70 PQN2:PQN70 PGR2:PGR70 OWV2:OWV70 OMZ2:OMZ70 ODD2:ODD70 NTH2:NTH70 NJL2:NJL70 MZP2:MZP70 MPT2:MPT70 MFX2:MFX70 LWB2:LWB70 LMF2:LMF70 LCJ2:LCJ70 KSN2:KSN70 KIR2:KIR70 JYV2:JYV70 JOZ2:JOZ70 JFD2:JFD70 IVH2:IVH70 ILL2:ILL70 IBP2:IBP70 HRT2:HRT70 HHX2:HHX70 GYB2:GYB70 GOF2:GOF70 GEJ2:GEJ70 FUN2:FUN70 FKR2:FKR70 FAV2:FAV70 EQZ2:EQZ70 EHD2:EHD70 DXH2:DXH70 DNL2:DNL70 DDP2:DDP70 CTT2:CTT70 CJX2:CJX70 CAB2:CAB70 BQF2:BQF70 BGJ2:BGJ70 AWN2:AWN70 AMR2:AMR70 ACV2:ACV70 SZ2:SZ70 JD2:JD70" xr:uid="{461A0DF8-E273-4BF0-A685-049376DDAEBE}">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I2:I91 WVQ2:WVQ70 WLU2:WLU70 WBY2:WBY70 VSC2:VSC70 VIG2:VIG70 UYK2:UYK70 UOO2:UOO70 UES2:UES70 TUW2:TUW70 TLA2:TLA70 TBE2:TBE70 SRI2:SRI70 SHM2:SHM70 RXQ2:RXQ70 RNU2:RNU70 RDY2:RDY70 QUC2:QUC70 QKG2:QKG70 QAK2:QAK70 PQO2:PQO70 PGS2:PGS70 OWW2:OWW70 ONA2:ONA70 ODE2:ODE70 NTI2:NTI70 NJM2:NJM70 MZQ2:MZQ70 MPU2:MPU70 MFY2:MFY70 LWC2:LWC70 LMG2:LMG70 LCK2:LCK70 KSO2:KSO70 KIS2:KIS70 JYW2:JYW70 JPA2:JPA70 JFE2:JFE70 IVI2:IVI70 ILM2:ILM70 IBQ2:IBQ70 HRU2:HRU70 HHY2:HHY70 GYC2:GYC70 GOG2:GOG70 GEK2:GEK70 FUO2:FUO70 FKS2:FKS70 FAW2:FAW70 ERA2:ERA70 EHE2:EHE70 DXI2:DXI70 DNM2:DNM70 DDQ2:DDQ70 CTU2:CTU70 CJY2:CJY70 CAC2:CAC70 BQG2:BQG70 BGK2:BGK70 AWO2:AWO70 AMS2:AMS70 ACW2:ACW70 TA2:TA70 JE2:JE70" xr:uid="{B186DA4F-5055-4A7F-BE97-5C499C2B0734}">
      <formula1>$AN$5:$AN$6</formula1>
    </dataValidation>
    <dataValidation type="list" allowBlank="1" showInputMessage="1" showErrorMessage="1" sqref="WWG981802:WWI981885 WCO981802:WCQ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xr:uid="{F716E76F-5368-4017-8A92-276B99D6EEF4}">
      <formula1>$AV$2:$AV$22</formula1>
    </dataValidation>
    <dataValidation type="list" allowBlank="1" showInputMessage="1" showErrorMessage="1" sqref="J93:J497 J2:J91" xr:uid="{443B55BE-1B09-4530-98EA-F7F7AA4337C9}">
      <formula1>$AP$2:$AP$25</formula1>
    </dataValidation>
    <dataValidation type="list" allowBlank="1" showInputMessage="1" showErrorMessage="1" sqref="F95:F499 F2:F93" xr:uid="{BCB0E19B-4F57-4EF6-99FE-10B19DCD4784}">
      <formula1>$AH$2:$AH$10</formula1>
    </dataValidation>
    <dataValidation type="list" allowBlank="1" showInputMessage="1" showErrorMessage="1" sqref="E95:E499 E2:E93" xr:uid="{0EE00AC0-C58F-4FF9-AD36-6DAC39CB7ECA}">
      <formula1>$AG$2:$AG$11</formula1>
    </dataValidation>
    <dataValidation type="list" allowBlank="1" showInputMessage="1" showErrorMessage="1" sqref="A93:A497 A2:A91" xr:uid="{00957D5F-3924-4B41-8D0C-85CDE539C215}">
      <formula1>$AE$2:$AE$19</formula1>
    </dataValidation>
    <dataValidation type="list" allowBlank="1" showInputMessage="1" showErrorMessage="1" sqref="H93:H497 H2:H91" xr:uid="{F4A4E9F4-214E-4855-8814-0F0D35C8D519}">
      <formula1>$AL$2:$AL$8</formula1>
    </dataValidation>
    <dataValidation type="list" allowBlank="1" showInputMessage="1" showErrorMessage="1" sqref="Y93:AA497 Y2:AA91" xr:uid="{33F45CCB-CEE8-42E7-9F8A-E0BFACD6FF1D}">
      <formula1>$AV$2:$AV$21</formula1>
    </dataValidation>
    <dataValidation type="decimal" allowBlank="1" showInputMessage="1" showErrorMessage="1" error="硬度を正しく入力して下さい。" sqref="O93:P497 O18:P19 P15 P13 O65:P91 O23:P43" xr:uid="{651B8175-F93D-46EB-9706-D18ED8CDE1FC}">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E7A8-D2E2-4BD7-B7DE-CE97978BAB7F}">
  <dimension ref="A1:BA145"/>
  <sheetViews>
    <sheetView zoomScale="85" zoomScaleNormal="85" workbookViewId="0">
      <selection activeCell="C1" sqref="C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348</v>
      </c>
      <c r="O1" s="56" t="s">
        <v>14</v>
      </c>
      <c r="P1" s="56" t="s">
        <v>15</v>
      </c>
      <c r="Q1" s="3" t="s">
        <v>16</v>
      </c>
      <c r="R1" s="56" t="s">
        <v>17</v>
      </c>
      <c r="S1" s="56" t="s">
        <v>18</v>
      </c>
      <c r="T1" s="3" t="s">
        <v>19</v>
      </c>
      <c r="U1" s="58" t="s">
        <v>296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75" t="s">
        <v>234</v>
      </c>
      <c r="E2" s="53" t="s">
        <v>349</v>
      </c>
      <c r="F2" s="53" t="s">
        <v>350</v>
      </c>
      <c r="G2" s="53" t="s">
        <v>36</v>
      </c>
      <c r="H2" s="53" t="s">
        <v>160</v>
      </c>
      <c r="I2" s="53" t="s">
        <v>159</v>
      </c>
      <c r="J2" s="53" t="s">
        <v>38</v>
      </c>
      <c r="K2" s="53" t="s">
        <v>161</v>
      </c>
      <c r="L2" s="53">
        <v>1</v>
      </c>
      <c r="N2" s="53">
        <v>4</v>
      </c>
      <c r="O2" s="53">
        <v>0.4</v>
      </c>
      <c r="P2" s="53">
        <v>0.42</v>
      </c>
      <c r="Q2" s="75">
        <f>IF(OR(O2="",P2=""),"",AVERAGE(O2,P2))</f>
        <v>0.41000000000000003</v>
      </c>
      <c r="R2" s="53">
        <v>15.9</v>
      </c>
      <c r="S2" s="53">
        <v>98</v>
      </c>
      <c r="T2" s="16">
        <f t="shared" ref="T2:T61" si="0">IF(H2="","",IF(OR(H2="GREEN",H2="GK"),IF(S2&gt;=$AX$2,VLOOKUP(S2,$AX$2:$AY$12,2,1),""),IF(S2&gt;=$AZ$2,VLOOKUP(S2,$AZ$2:$BA$12,2,1),"")))</f>
        <v>36</v>
      </c>
      <c r="U2" s="53">
        <v>398</v>
      </c>
      <c r="V2" s="16">
        <f t="shared" ref="V2:V61" si="1">IF(J2="","",IF(OR(J2="GREEN",J2="GK"),IF(U2&gt;=$AX$2,VLOOKUP(U2,$AX$2:$AY$12,2,1),""),IF(U2&gt;=$AZ$2,VLOOKUP(U2,$AZ$2:$BA$12,2,1),"")))</f>
        <v>16</v>
      </c>
      <c r="W2" s="53">
        <v>2</v>
      </c>
      <c r="X2" s="53" t="s">
        <v>46</v>
      </c>
      <c r="Y2" s="53" t="s">
        <v>78</v>
      </c>
      <c r="Z2" s="53" t="s">
        <v>90</v>
      </c>
      <c r="AA2" s="53" t="s">
        <v>47</v>
      </c>
      <c r="AB2" s="53" t="s">
        <v>351</v>
      </c>
      <c r="AE2" s="64" t="s">
        <v>35</v>
      </c>
      <c r="AG2" s="176" t="s">
        <v>352</v>
      </c>
      <c r="AH2" s="177" t="s">
        <v>353</v>
      </c>
      <c r="AJ2" s="67" t="s">
        <v>36</v>
      </c>
      <c r="AL2" s="67" t="s">
        <v>127</v>
      </c>
      <c r="AN2" s="67" t="s">
        <v>354</v>
      </c>
      <c r="AP2" s="67" t="s">
        <v>38</v>
      </c>
      <c r="AR2" s="67" t="s">
        <v>120</v>
      </c>
      <c r="AT2" s="67" t="s">
        <v>39</v>
      </c>
      <c r="AV2" s="23" t="s">
        <v>55</v>
      </c>
      <c r="AX2" s="68">
        <v>1</v>
      </c>
      <c r="AY2" s="69">
        <v>50</v>
      </c>
      <c r="AZ2" s="69">
        <v>1</v>
      </c>
      <c r="BA2" s="70">
        <v>50</v>
      </c>
    </row>
    <row r="3" spans="1:53" x14ac:dyDescent="0.15">
      <c r="A3" s="53" t="s">
        <v>59</v>
      </c>
      <c r="B3" s="53" t="s">
        <v>233</v>
      </c>
      <c r="C3" s="62">
        <v>2019</v>
      </c>
      <c r="D3" s="175" t="s">
        <v>234</v>
      </c>
      <c r="E3" s="53" t="s">
        <v>349</v>
      </c>
      <c r="F3" s="53" t="s">
        <v>350</v>
      </c>
      <c r="G3" s="53" t="s">
        <v>36</v>
      </c>
      <c r="H3" s="53" t="s">
        <v>160</v>
      </c>
      <c r="I3" s="53" t="s">
        <v>159</v>
      </c>
      <c r="J3" s="53" t="s">
        <v>38</v>
      </c>
      <c r="K3" s="53" t="s">
        <v>161</v>
      </c>
      <c r="L3" s="53">
        <v>2</v>
      </c>
      <c r="N3" s="53">
        <v>4</v>
      </c>
      <c r="O3" s="53">
        <v>0.4</v>
      </c>
      <c r="P3" s="53">
        <v>0.41</v>
      </c>
      <c r="Q3" s="75">
        <f t="shared" ref="Q3:Q61" si="2">IF(OR(O3="",P3=""),"",AVERAGE(O3,P3))</f>
        <v>0.40500000000000003</v>
      </c>
      <c r="R3" s="53">
        <v>16</v>
      </c>
      <c r="S3" s="53">
        <v>99</v>
      </c>
      <c r="T3" s="16">
        <f t="shared" si="0"/>
        <v>33</v>
      </c>
      <c r="U3" s="53">
        <v>398</v>
      </c>
      <c r="V3" s="16">
        <f t="shared" si="1"/>
        <v>16</v>
      </c>
      <c r="W3" s="53">
        <v>2</v>
      </c>
      <c r="X3" s="53" t="s">
        <v>46</v>
      </c>
      <c r="Y3" s="53" t="s">
        <v>78</v>
      </c>
      <c r="Z3" s="53" t="s">
        <v>90</v>
      </c>
      <c r="AA3" s="53" t="s">
        <v>47</v>
      </c>
      <c r="AB3" s="53" t="s">
        <v>351</v>
      </c>
      <c r="AE3" s="22" t="s">
        <v>41</v>
      </c>
      <c r="AG3" s="176" t="s">
        <v>355</v>
      </c>
      <c r="AH3" s="177" t="s">
        <v>350</v>
      </c>
      <c r="AJ3" s="23" t="s">
        <v>42</v>
      </c>
      <c r="AL3" s="23" t="s">
        <v>128</v>
      </c>
      <c r="AN3" s="23" t="s">
        <v>43</v>
      </c>
      <c r="AP3" s="23" t="s">
        <v>44</v>
      </c>
      <c r="AR3" s="23" t="s">
        <v>45</v>
      </c>
      <c r="AT3" s="23" t="s">
        <v>46</v>
      </c>
      <c r="AV3" s="23" t="s">
        <v>356</v>
      </c>
      <c r="AX3" s="24">
        <v>72</v>
      </c>
      <c r="AY3" s="25">
        <v>46</v>
      </c>
      <c r="AZ3" s="25">
        <v>71</v>
      </c>
      <c r="BA3" s="26">
        <v>42</v>
      </c>
    </row>
    <row r="4" spans="1:53" x14ac:dyDescent="0.15">
      <c r="A4" s="53" t="s">
        <v>59</v>
      </c>
      <c r="B4" s="53" t="s">
        <v>233</v>
      </c>
      <c r="C4" s="62">
        <v>2019</v>
      </c>
      <c r="D4" s="175" t="s">
        <v>234</v>
      </c>
      <c r="E4" s="53" t="s">
        <v>349</v>
      </c>
      <c r="F4" s="53" t="s">
        <v>350</v>
      </c>
      <c r="G4" s="53" t="s">
        <v>36</v>
      </c>
      <c r="H4" s="53" t="s">
        <v>160</v>
      </c>
      <c r="I4" s="53" t="s">
        <v>357</v>
      </c>
      <c r="J4" s="53" t="s">
        <v>38</v>
      </c>
      <c r="K4" s="53" t="s">
        <v>161</v>
      </c>
      <c r="L4" s="53">
        <v>3</v>
      </c>
      <c r="N4" s="53">
        <v>4</v>
      </c>
      <c r="O4" s="53">
        <v>0.41</v>
      </c>
      <c r="P4" s="53">
        <v>0.43</v>
      </c>
      <c r="Q4" s="75">
        <f t="shared" si="2"/>
        <v>0.42</v>
      </c>
      <c r="R4" s="53">
        <v>15.8</v>
      </c>
      <c r="S4" s="53">
        <v>98</v>
      </c>
      <c r="T4" s="16">
        <f t="shared" si="0"/>
        <v>36</v>
      </c>
      <c r="U4" s="53">
        <v>398</v>
      </c>
      <c r="V4" s="16">
        <f t="shared" si="1"/>
        <v>16</v>
      </c>
      <c r="W4" s="53">
        <v>2</v>
      </c>
      <c r="X4" s="53" t="s">
        <v>46</v>
      </c>
      <c r="Y4" s="53" t="s">
        <v>78</v>
      </c>
      <c r="Z4" s="53" t="s">
        <v>90</v>
      </c>
      <c r="AA4" s="53" t="s">
        <v>47</v>
      </c>
      <c r="AB4" s="53" t="s">
        <v>351</v>
      </c>
      <c r="AE4" s="22" t="s">
        <v>34</v>
      </c>
      <c r="AG4" s="176" t="s">
        <v>358</v>
      </c>
      <c r="AH4" s="177" t="s">
        <v>359</v>
      </c>
      <c r="AJ4" s="27" t="s">
        <v>48</v>
      </c>
      <c r="AL4" s="27" t="s">
        <v>129</v>
      </c>
      <c r="AN4" s="28" t="s">
        <v>49</v>
      </c>
      <c r="AP4" s="23" t="s">
        <v>93</v>
      </c>
      <c r="AR4" s="23" t="s">
        <v>360</v>
      </c>
      <c r="AT4" s="28"/>
      <c r="AV4" s="23" t="s">
        <v>344</v>
      </c>
      <c r="AX4" s="24">
        <v>75</v>
      </c>
      <c r="AY4" s="25">
        <v>42</v>
      </c>
      <c r="AZ4" s="25">
        <v>76</v>
      </c>
      <c r="BA4" s="26">
        <v>39</v>
      </c>
    </row>
    <row r="5" spans="1:53" x14ac:dyDescent="0.15">
      <c r="A5" s="53" t="s">
        <v>59</v>
      </c>
      <c r="B5" s="53" t="s">
        <v>233</v>
      </c>
      <c r="C5" s="62">
        <v>2019</v>
      </c>
      <c r="D5" s="175" t="s">
        <v>234</v>
      </c>
      <c r="E5" s="53" t="s">
        <v>349</v>
      </c>
      <c r="F5" s="53" t="s">
        <v>350</v>
      </c>
      <c r="G5" s="53" t="s">
        <v>36</v>
      </c>
      <c r="H5" s="53" t="s">
        <v>164</v>
      </c>
      <c r="I5" s="53" t="s">
        <v>159</v>
      </c>
      <c r="J5" s="53" t="s">
        <v>38</v>
      </c>
      <c r="K5" s="53" t="s">
        <v>161</v>
      </c>
      <c r="L5" s="53">
        <v>1</v>
      </c>
      <c r="N5" s="53">
        <v>5</v>
      </c>
      <c r="O5" s="53">
        <v>0.7</v>
      </c>
      <c r="P5" s="53">
        <v>0.65</v>
      </c>
      <c r="Q5" s="75">
        <f t="shared" si="2"/>
        <v>0.67500000000000004</v>
      </c>
      <c r="R5" s="53">
        <v>14.2</v>
      </c>
      <c r="S5" s="53">
        <v>100</v>
      </c>
      <c r="T5" s="16">
        <f t="shared" si="0"/>
        <v>33</v>
      </c>
      <c r="U5" s="53">
        <v>348</v>
      </c>
      <c r="V5" s="16">
        <f t="shared" si="1"/>
        <v>16</v>
      </c>
      <c r="W5" s="53">
        <v>2</v>
      </c>
      <c r="X5" s="53" t="s">
        <v>46</v>
      </c>
      <c r="Y5" s="53" t="s">
        <v>78</v>
      </c>
      <c r="Z5" s="53" t="s">
        <v>90</v>
      </c>
      <c r="AA5" s="53" t="s">
        <v>47</v>
      </c>
      <c r="AB5" s="53" t="s">
        <v>351</v>
      </c>
      <c r="AE5" s="22" t="s">
        <v>51</v>
      </c>
      <c r="AG5" s="176" t="s">
        <v>361</v>
      </c>
      <c r="AH5" s="177" t="s">
        <v>362</v>
      </c>
      <c r="AJ5" s="28"/>
      <c r="AL5" s="73" t="s">
        <v>66</v>
      </c>
      <c r="AN5" s="73" t="s">
        <v>52</v>
      </c>
      <c r="AP5" s="23" t="s">
        <v>246</v>
      </c>
      <c r="AR5" s="23" t="s">
        <v>54</v>
      </c>
      <c r="AV5" s="23" t="s">
        <v>363</v>
      </c>
      <c r="AX5" s="24">
        <v>84</v>
      </c>
      <c r="AY5" s="25">
        <v>39</v>
      </c>
      <c r="AZ5" s="25">
        <v>84</v>
      </c>
      <c r="BA5" s="26">
        <v>36</v>
      </c>
    </row>
    <row r="6" spans="1:53" x14ac:dyDescent="0.15">
      <c r="A6" s="53" t="s">
        <v>59</v>
      </c>
      <c r="B6" s="53" t="s">
        <v>233</v>
      </c>
      <c r="C6" s="62">
        <v>2019</v>
      </c>
      <c r="D6" s="175" t="s">
        <v>234</v>
      </c>
      <c r="E6" s="53" t="s">
        <v>349</v>
      </c>
      <c r="F6" s="53" t="s">
        <v>350</v>
      </c>
      <c r="G6" s="53" t="s">
        <v>36</v>
      </c>
      <c r="H6" s="53" t="s">
        <v>164</v>
      </c>
      <c r="I6" s="53" t="s">
        <v>159</v>
      </c>
      <c r="J6" s="53" t="s">
        <v>38</v>
      </c>
      <c r="K6" s="53" t="s">
        <v>161</v>
      </c>
      <c r="L6" s="53">
        <v>2</v>
      </c>
      <c r="N6" s="53">
        <v>5</v>
      </c>
      <c r="O6" s="53">
        <v>0.47</v>
      </c>
      <c r="P6" s="53">
        <v>0.44</v>
      </c>
      <c r="Q6" s="75">
        <f t="shared" si="2"/>
        <v>0.45499999999999996</v>
      </c>
      <c r="R6" s="53">
        <v>15.1</v>
      </c>
      <c r="S6" s="53">
        <v>109</v>
      </c>
      <c r="T6" s="16">
        <f t="shared" si="0"/>
        <v>33</v>
      </c>
      <c r="U6" s="53">
        <v>348</v>
      </c>
      <c r="V6" s="16">
        <f t="shared" si="1"/>
        <v>16</v>
      </c>
      <c r="W6" s="53">
        <v>2</v>
      </c>
      <c r="X6" s="53" t="s">
        <v>46</v>
      </c>
      <c r="Y6" s="53" t="s">
        <v>78</v>
      </c>
      <c r="Z6" s="53" t="s">
        <v>90</v>
      </c>
      <c r="AA6" s="53" t="s">
        <v>47</v>
      </c>
      <c r="AB6" s="53" t="s">
        <v>351</v>
      </c>
      <c r="AE6" s="22" t="s">
        <v>56</v>
      </c>
      <c r="AG6" s="176" t="s">
        <v>364</v>
      </c>
      <c r="AH6" s="177" t="s">
        <v>365</v>
      </c>
      <c r="AL6" s="73" t="s">
        <v>99</v>
      </c>
      <c r="AN6" s="73" t="s">
        <v>57</v>
      </c>
      <c r="AP6" s="23" t="s">
        <v>53</v>
      </c>
      <c r="AR6" s="23" t="s">
        <v>366</v>
      </c>
      <c r="AV6" s="23" t="s">
        <v>60</v>
      </c>
      <c r="AX6" s="24">
        <v>97</v>
      </c>
      <c r="AY6" s="25">
        <v>36</v>
      </c>
      <c r="AZ6" s="25">
        <v>99</v>
      </c>
      <c r="BA6" s="26">
        <v>33</v>
      </c>
    </row>
    <row r="7" spans="1:53" x14ac:dyDescent="0.15">
      <c r="A7" s="53" t="s">
        <v>59</v>
      </c>
      <c r="B7" s="53" t="s">
        <v>233</v>
      </c>
      <c r="C7" s="62">
        <v>2019</v>
      </c>
      <c r="D7" s="175" t="s">
        <v>234</v>
      </c>
      <c r="E7" s="53" t="s">
        <v>349</v>
      </c>
      <c r="F7" s="53" t="s">
        <v>350</v>
      </c>
      <c r="G7" s="53" t="s">
        <v>36</v>
      </c>
      <c r="H7" s="53" t="s">
        <v>164</v>
      </c>
      <c r="I7" s="53" t="s">
        <v>159</v>
      </c>
      <c r="J7" s="53" t="s">
        <v>38</v>
      </c>
      <c r="K7" s="53" t="s">
        <v>161</v>
      </c>
      <c r="L7" s="53">
        <v>3</v>
      </c>
      <c r="N7" s="53">
        <v>5</v>
      </c>
      <c r="O7" s="53">
        <v>0.49</v>
      </c>
      <c r="P7" s="53">
        <v>0.55000000000000004</v>
      </c>
      <c r="Q7" s="75">
        <f t="shared" si="2"/>
        <v>0.52</v>
      </c>
      <c r="R7" s="53">
        <v>14.6</v>
      </c>
      <c r="S7" s="53">
        <v>101</v>
      </c>
      <c r="T7" s="16">
        <f t="shared" si="0"/>
        <v>33</v>
      </c>
      <c r="U7" s="53">
        <v>348</v>
      </c>
      <c r="V7" s="16">
        <f t="shared" si="1"/>
        <v>16</v>
      </c>
      <c r="W7" s="53">
        <v>2</v>
      </c>
      <c r="X7" s="53" t="s">
        <v>46</v>
      </c>
      <c r="Y7" s="53" t="s">
        <v>78</v>
      </c>
      <c r="Z7" s="53" t="s">
        <v>90</v>
      </c>
      <c r="AA7" s="53" t="s">
        <v>47</v>
      </c>
      <c r="AB7" s="53" t="s">
        <v>351</v>
      </c>
      <c r="AE7" s="22" t="s">
        <v>61</v>
      </c>
      <c r="AG7" s="176" t="s">
        <v>367</v>
      </c>
      <c r="AH7" s="177" t="s">
        <v>368</v>
      </c>
      <c r="AL7" s="34" t="s">
        <v>109</v>
      </c>
      <c r="AP7" s="23" t="s">
        <v>58</v>
      </c>
      <c r="AR7" s="23" t="s">
        <v>369</v>
      </c>
      <c r="AV7" s="23" t="s">
        <v>64</v>
      </c>
      <c r="AX7" s="24">
        <v>109</v>
      </c>
      <c r="AY7" s="25">
        <v>33</v>
      </c>
      <c r="AZ7" s="25">
        <v>113</v>
      </c>
      <c r="BA7" s="26">
        <v>30</v>
      </c>
    </row>
    <row r="8" spans="1:53" x14ac:dyDescent="0.15">
      <c r="A8" s="53" t="s">
        <v>59</v>
      </c>
      <c r="B8" s="53" t="s">
        <v>233</v>
      </c>
      <c r="C8" s="62">
        <v>2019</v>
      </c>
      <c r="D8" s="175" t="s">
        <v>234</v>
      </c>
      <c r="E8" s="53" t="s">
        <v>352</v>
      </c>
      <c r="F8" s="53" t="s">
        <v>353</v>
      </c>
      <c r="G8" s="53" t="s">
        <v>36</v>
      </c>
      <c r="H8" s="53" t="s">
        <v>160</v>
      </c>
      <c r="I8" s="53" t="s">
        <v>159</v>
      </c>
      <c r="J8" s="53" t="s">
        <v>38</v>
      </c>
      <c r="K8" s="53" t="s">
        <v>161</v>
      </c>
      <c r="L8" s="53">
        <v>1</v>
      </c>
      <c r="N8" s="53">
        <v>4</v>
      </c>
      <c r="O8" s="53">
        <v>0.26</v>
      </c>
      <c r="P8" s="53">
        <v>0.28000000000000003</v>
      </c>
      <c r="Q8" s="75">
        <f t="shared" si="2"/>
        <v>0.27</v>
      </c>
      <c r="R8" s="53">
        <v>16.7</v>
      </c>
      <c r="S8" s="53">
        <v>103</v>
      </c>
      <c r="T8" s="16">
        <f t="shared" si="0"/>
        <v>33</v>
      </c>
      <c r="U8" s="53">
        <v>377</v>
      </c>
      <c r="V8" s="16">
        <f t="shared" si="1"/>
        <v>16</v>
      </c>
      <c r="W8" s="53">
        <v>4</v>
      </c>
      <c r="X8" s="53" t="s">
        <v>39</v>
      </c>
      <c r="Y8" s="53" t="s">
        <v>90</v>
      </c>
      <c r="Z8" s="53" t="s">
        <v>78</v>
      </c>
      <c r="AA8" s="53" t="s">
        <v>84</v>
      </c>
      <c r="AB8" s="53" t="s">
        <v>351</v>
      </c>
      <c r="AE8" s="22" t="s">
        <v>59</v>
      </c>
      <c r="AG8" s="178" t="s">
        <v>162</v>
      </c>
      <c r="AH8" s="177" t="s">
        <v>370</v>
      </c>
      <c r="AL8" s="34" t="s">
        <v>134</v>
      </c>
      <c r="AP8" s="23" t="s">
        <v>62</v>
      </c>
      <c r="AR8" s="23" t="s">
        <v>81</v>
      </c>
      <c r="AV8" s="23" t="s">
        <v>97</v>
      </c>
      <c r="AX8" s="24">
        <v>119</v>
      </c>
      <c r="AY8" s="25">
        <v>30</v>
      </c>
      <c r="AZ8" s="25">
        <v>121</v>
      </c>
      <c r="BA8" s="26">
        <v>27</v>
      </c>
    </row>
    <row r="9" spans="1:53" x14ac:dyDescent="0.15">
      <c r="A9" s="53" t="s">
        <v>59</v>
      </c>
      <c r="B9" s="53" t="s">
        <v>233</v>
      </c>
      <c r="C9" s="62">
        <v>2019</v>
      </c>
      <c r="D9" s="175" t="s">
        <v>234</v>
      </c>
      <c r="E9" s="53" t="s">
        <v>352</v>
      </c>
      <c r="F9" s="53" t="s">
        <v>353</v>
      </c>
      <c r="G9" s="53" t="s">
        <v>36</v>
      </c>
      <c r="H9" s="53" t="s">
        <v>160</v>
      </c>
      <c r="I9" s="53" t="s">
        <v>159</v>
      </c>
      <c r="J9" s="53" t="s">
        <v>38</v>
      </c>
      <c r="K9" s="53" t="s">
        <v>161</v>
      </c>
      <c r="L9" s="53">
        <v>2</v>
      </c>
      <c r="N9" s="53">
        <v>4</v>
      </c>
      <c r="O9" s="53">
        <v>0.33</v>
      </c>
      <c r="P9" s="53">
        <v>0.35</v>
      </c>
      <c r="Q9" s="75">
        <f t="shared" si="2"/>
        <v>0.33999999999999997</v>
      </c>
      <c r="R9" s="53">
        <v>16.399999999999999</v>
      </c>
      <c r="S9" s="53">
        <v>94</v>
      </c>
      <c r="T9" s="16">
        <f t="shared" si="0"/>
        <v>36</v>
      </c>
      <c r="U9" s="53">
        <v>377</v>
      </c>
      <c r="V9" s="16">
        <f t="shared" si="1"/>
        <v>16</v>
      </c>
      <c r="W9" s="53">
        <v>4</v>
      </c>
      <c r="X9" s="53" t="s">
        <v>39</v>
      </c>
      <c r="Y9" s="53" t="s">
        <v>90</v>
      </c>
      <c r="Z9" s="53" t="s">
        <v>78</v>
      </c>
      <c r="AA9" s="53" t="s">
        <v>84</v>
      </c>
      <c r="AB9" s="53" t="s">
        <v>351</v>
      </c>
      <c r="AE9" s="22" t="s">
        <v>98</v>
      </c>
      <c r="AG9" s="178" t="s">
        <v>371</v>
      </c>
      <c r="AH9" s="177" t="s">
        <v>370</v>
      </c>
      <c r="AL9" s="73"/>
      <c r="AP9" s="23" t="s">
        <v>372</v>
      </c>
      <c r="AR9" s="23" t="s">
        <v>89</v>
      </c>
      <c r="AV9" s="23" t="s">
        <v>102</v>
      </c>
      <c r="AX9" s="24">
        <v>128</v>
      </c>
      <c r="AY9" s="25">
        <v>27</v>
      </c>
      <c r="AZ9" s="25">
        <v>129</v>
      </c>
      <c r="BA9" s="26">
        <v>25</v>
      </c>
    </row>
    <row r="10" spans="1:53" x14ac:dyDescent="0.15">
      <c r="A10" s="53" t="s">
        <v>59</v>
      </c>
      <c r="B10" s="53" t="s">
        <v>233</v>
      </c>
      <c r="C10" s="62">
        <v>2019</v>
      </c>
      <c r="D10" s="175" t="s">
        <v>234</v>
      </c>
      <c r="E10" s="53" t="s">
        <v>352</v>
      </c>
      <c r="F10" s="53" t="s">
        <v>353</v>
      </c>
      <c r="G10" s="53" t="s">
        <v>36</v>
      </c>
      <c r="H10" s="53" t="s">
        <v>160</v>
      </c>
      <c r="I10" s="53" t="s">
        <v>159</v>
      </c>
      <c r="J10" s="53" t="s">
        <v>38</v>
      </c>
      <c r="K10" s="53" t="s">
        <v>161</v>
      </c>
      <c r="L10" s="53">
        <v>3</v>
      </c>
      <c r="N10" s="53">
        <v>4</v>
      </c>
      <c r="O10" s="53">
        <v>0.36</v>
      </c>
      <c r="P10" s="53">
        <v>0.36</v>
      </c>
      <c r="Q10" s="75">
        <f t="shared" si="2"/>
        <v>0.36</v>
      </c>
      <c r="R10" s="53">
        <v>16</v>
      </c>
      <c r="S10" s="53">
        <v>95</v>
      </c>
      <c r="T10" s="16">
        <f t="shared" si="0"/>
        <v>36</v>
      </c>
      <c r="U10" s="53">
        <v>377</v>
      </c>
      <c r="V10" s="16">
        <f t="shared" si="1"/>
        <v>16</v>
      </c>
      <c r="W10" s="53">
        <v>4</v>
      </c>
      <c r="X10" s="53" t="s">
        <v>39</v>
      </c>
      <c r="Y10" s="53" t="s">
        <v>90</v>
      </c>
      <c r="Z10" s="53" t="s">
        <v>78</v>
      </c>
      <c r="AA10" s="53" t="s">
        <v>84</v>
      </c>
      <c r="AB10" s="53" t="s">
        <v>351</v>
      </c>
      <c r="AE10" s="22" t="s">
        <v>103</v>
      </c>
      <c r="AG10" s="176" t="s">
        <v>373</v>
      </c>
      <c r="AH10" s="177" t="s">
        <v>362</v>
      </c>
      <c r="AL10" s="83"/>
      <c r="AP10" s="23" t="s">
        <v>100</v>
      </c>
      <c r="AR10" s="23" t="s">
        <v>123</v>
      </c>
      <c r="AV10" s="23" t="s">
        <v>106</v>
      </c>
      <c r="AX10" s="24">
        <v>138</v>
      </c>
      <c r="AY10" s="25">
        <v>25</v>
      </c>
      <c r="AZ10" s="25">
        <v>138</v>
      </c>
      <c r="BA10" s="26">
        <v>22</v>
      </c>
    </row>
    <row r="11" spans="1:53" x14ac:dyDescent="0.15">
      <c r="A11" s="53" t="s">
        <v>59</v>
      </c>
      <c r="B11" s="53" t="s">
        <v>233</v>
      </c>
      <c r="C11" s="62">
        <v>2019</v>
      </c>
      <c r="D11" s="175" t="s">
        <v>234</v>
      </c>
      <c r="E11" s="53" t="s">
        <v>352</v>
      </c>
      <c r="F11" s="53" t="s">
        <v>353</v>
      </c>
      <c r="G11" s="53" t="s">
        <v>36</v>
      </c>
      <c r="H11" s="53" t="s">
        <v>164</v>
      </c>
      <c r="I11" s="53" t="s">
        <v>159</v>
      </c>
      <c r="J11" s="53" t="s">
        <v>38</v>
      </c>
      <c r="K11" s="53" t="s">
        <v>161</v>
      </c>
      <c r="L11" s="53">
        <v>1</v>
      </c>
      <c r="N11" s="53">
        <v>4</v>
      </c>
      <c r="O11" s="53">
        <v>0.75</v>
      </c>
      <c r="P11" s="53">
        <v>0.8</v>
      </c>
      <c r="Q11" s="75">
        <f t="shared" si="2"/>
        <v>0.77500000000000002</v>
      </c>
      <c r="R11" s="53">
        <v>14</v>
      </c>
      <c r="S11" s="53">
        <v>100</v>
      </c>
      <c r="T11" s="16">
        <f t="shared" si="0"/>
        <v>33</v>
      </c>
      <c r="U11" s="53">
        <v>297</v>
      </c>
      <c r="V11" s="16">
        <f t="shared" si="1"/>
        <v>16</v>
      </c>
      <c r="W11" s="53">
        <v>5</v>
      </c>
      <c r="X11" s="53" t="s">
        <v>46</v>
      </c>
      <c r="Y11" s="53" t="s">
        <v>90</v>
      </c>
      <c r="Z11" s="53" t="s">
        <v>78</v>
      </c>
      <c r="AA11" s="53" t="s">
        <v>84</v>
      </c>
      <c r="AB11" s="53" t="s">
        <v>351</v>
      </c>
      <c r="AE11" s="22" t="s">
        <v>65</v>
      </c>
      <c r="AG11" s="178" t="s">
        <v>374</v>
      </c>
      <c r="AH11" s="177" t="s">
        <v>375</v>
      </c>
      <c r="AL11" s="83"/>
      <c r="AP11" s="23" t="s">
        <v>376</v>
      </c>
      <c r="AR11" s="23" t="s">
        <v>377</v>
      </c>
      <c r="AV11" s="23" t="s">
        <v>378</v>
      </c>
      <c r="AX11" s="24">
        <v>151</v>
      </c>
      <c r="AY11" s="25">
        <v>22</v>
      </c>
      <c r="AZ11" s="25">
        <v>152</v>
      </c>
      <c r="BA11" s="26">
        <v>18</v>
      </c>
    </row>
    <row r="12" spans="1:53" x14ac:dyDescent="0.15">
      <c r="A12" s="53" t="s">
        <v>59</v>
      </c>
      <c r="B12" s="53" t="s">
        <v>233</v>
      </c>
      <c r="C12" s="62">
        <v>2019</v>
      </c>
      <c r="D12" s="175" t="s">
        <v>234</v>
      </c>
      <c r="E12" s="53" t="s">
        <v>352</v>
      </c>
      <c r="F12" s="53" t="s">
        <v>353</v>
      </c>
      <c r="G12" s="53" t="s">
        <v>36</v>
      </c>
      <c r="H12" s="53" t="s">
        <v>164</v>
      </c>
      <c r="I12" s="53" t="s">
        <v>159</v>
      </c>
      <c r="J12" s="53" t="s">
        <v>38</v>
      </c>
      <c r="K12" s="53" t="s">
        <v>161</v>
      </c>
      <c r="L12" s="53">
        <v>2</v>
      </c>
      <c r="N12" s="53">
        <v>4</v>
      </c>
      <c r="O12" s="53">
        <v>0.65</v>
      </c>
      <c r="P12" s="53">
        <v>0.66</v>
      </c>
      <c r="Q12" s="75">
        <f t="shared" si="2"/>
        <v>0.65500000000000003</v>
      </c>
      <c r="R12" s="53">
        <v>14.1</v>
      </c>
      <c r="S12" s="53">
        <v>100</v>
      </c>
      <c r="T12" s="16">
        <f t="shared" si="0"/>
        <v>33</v>
      </c>
      <c r="U12" s="53">
        <v>297</v>
      </c>
      <c r="V12" s="16">
        <f t="shared" si="1"/>
        <v>16</v>
      </c>
      <c r="W12" s="53">
        <v>5</v>
      </c>
      <c r="X12" s="53" t="s">
        <v>46</v>
      </c>
      <c r="Y12" s="53" t="s">
        <v>90</v>
      </c>
      <c r="Z12" s="53" t="s">
        <v>78</v>
      </c>
      <c r="AA12" s="53" t="s">
        <v>84</v>
      </c>
      <c r="AB12" s="53" t="s">
        <v>351</v>
      </c>
      <c r="AE12" s="22" t="s">
        <v>70</v>
      </c>
      <c r="AG12" s="23"/>
      <c r="AH12" s="179"/>
      <c r="AL12" s="83"/>
      <c r="AP12" s="23" t="s">
        <v>67</v>
      </c>
      <c r="AR12" s="23" t="s">
        <v>124</v>
      </c>
      <c r="AV12" s="23" t="s">
        <v>72</v>
      </c>
      <c r="AX12" s="31">
        <v>180</v>
      </c>
      <c r="AY12" s="32">
        <v>18</v>
      </c>
      <c r="AZ12" s="32">
        <v>181</v>
      </c>
      <c r="BA12" s="33">
        <v>16</v>
      </c>
    </row>
    <row r="13" spans="1:53" x14ac:dyDescent="0.15">
      <c r="A13" s="53" t="s">
        <v>59</v>
      </c>
      <c r="B13" s="53" t="s">
        <v>233</v>
      </c>
      <c r="C13" s="62">
        <v>2019</v>
      </c>
      <c r="D13" s="175" t="s">
        <v>234</v>
      </c>
      <c r="E13" s="53" t="s">
        <v>352</v>
      </c>
      <c r="F13" s="53" t="s">
        <v>353</v>
      </c>
      <c r="G13" s="53" t="s">
        <v>36</v>
      </c>
      <c r="H13" s="53" t="s">
        <v>164</v>
      </c>
      <c r="I13" s="53" t="s">
        <v>159</v>
      </c>
      <c r="J13" s="53" t="s">
        <v>38</v>
      </c>
      <c r="K13" s="53" t="s">
        <v>161</v>
      </c>
      <c r="L13" s="53">
        <v>3</v>
      </c>
      <c r="N13" s="53">
        <v>4</v>
      </c>
      <c r="O13" s="53">
        <v>0.72</v>
      </c>
      <c r="P13" s="53">
        <v>0.68</v>
      </c>
      <c r="Q13" s="75">
        <f t="shared" si="2"/>
        <v>0.7</v>
      </c>
      <c r="R13" s="53">
        <v>14.3</v>
      </c>
      <c r="S13" s="53">
        <v>102</v>
      </c>
      <c r="T13" s="16">
        <f t="shared" si="0"/>
        <v>33</v>
      </c>
      <c r="U13" s="53">
        <v>297</v>
      </c>
      <c r="V13" s="16">
        <f t="shared" si="1"/>
        <v>16</v>
      </c>
      <c r="W13" s="53">
        <v>5</v>
      </c>
      <c r="X13" s="53" t="s">
        <v>46</v>
      </c>
      <c r="Y13" s="53" t="s">
        <v>90</v>
      </c>
      <c r="Z13" s="53" t="s">
        <v>78</v>
      </c>
      <c r="AA13" s="53" t="s">
        <v>84</v>
      </c>
      <c r="AB13" s="53" t="s">
        <v>351</v>
      </c>
      <c r="AE13" s="22" t="s">
        <v>73</v>
      </c>
      <c r="AG13" s="23"/>
      <c r="AH13" s="23"/>
      <c r="AP13" s="23" t="s">
        <v>71</v>
      </c>
      <c r="AR13" s="23" t="s">
        <v>103</v>
      </c>
      <c r="AV13" s="23" t="s">
        <v>75</v>
      </c>
    </row>
    <row r="14" spans="1:53" x14ac:dyDescent="0.15">
      <c r="A14" s="53" t="s">
        <v>59</v>
      </c>
      <c r="B14" s="53" t="s">
        <v>233</v>
      </c>
      <c r="C14" s="62">
        <v>2019</v>
      </c>
      <c r="D14" s="175" t="s">
        <v>234</v>
      </c>
      <c r="E14" s="53" t="s">
        <v>361</v>
      </c>
      <c r="F14" s="53" t="s">
        <v>362</v>
      </c>
      <c r="G14" s="53" t="s">
        <v>36</v>
      </c>
      <c r="H14" s="53" t="s">
        <v>160</v>
      </c>
      <c r="I14" s="53" t="s">
        <v>159</v>
      </c>
      <c r="J14" s="53" t="s">
        <v>38</v>
      </c>
      <c r="K14" s="53" t="s">
        <v>161</v>
      </c>
      <c r="L14" s="53">
        <v>1</v>
      </c>
      <c r="N14" s="53">
        <v>3</v>
      </c>
      <c r="O14" s="53">
        <v>0.45</v>
      </c>
      <c r="P14" s="53">
        <v>0.42</v>
      </c>
      <c r="Q14" s="75">
        <f t="shared" si="2"/>
        <v>0.435</v>
      </c>
      <c r="R14" s="53">
        <v>17.600000000000001</v>
      </c>
      <c r="S14" s="53">
        <v>119</v>
      </c>
      <c r="T14" s="16">
        <f t="shared" si="0"/>
        <v>30</v>
      </c>
      <c r="U14" s="53">
        <v>399</v>
      </c>
      <c r="V14" s="16">
        <f t="shared" si="1"/>
        <v>16</v>
      </c>
      <c r="W14" s="53">
        <v>5</v>
      </c>
      <c r="X14" s="53" t="s">
        <v>39</v>
      </c>
      <c r="Y14" s="53" t="s">
        <v>84</v>
      </c>
      <c r="Z14" s="53" t="s">
        <v>78</v>
      </c>
      <c r="AA14" s="53" t="s">
        <v>90</v>
      </c>
      <c r="AB14" s="53" t="s">
        <v>351</v>
      </c>
      <c r="AE14" s="22" t="s">
        <v>76</v>
      </c>
      <c r="AG14" s="23"/>
      <c r="AH14" s="23"/>
      <c r="AP14" s="23" t="s">
        <v>379</v>
      </c>
      <c r="AR14" s="23" t="s">
        <v>125</v>
      </c>
      <c r="AV14" s="23" t="s">
        <v>78</v>
      </c>
    </row>
    <row r="15" spans="1:53" x14ac:dyDescent="0.15">
      <c r="A15" s="53" t="s">
        <v>59</v>
      </c>
      <c r="B15" s="53" t="s">
        <v>233</v>
      </c>
      <c r="C15" s="62">
        <v>2019</v>
      </c>
      <c r="D15" s="175" t="s">
        <v>234</v>
      </c>
      <c r="E15" s="53" t="s">
        <v>361</v>
      </c>
      <c r="F15" s="53" t="s">
        <v>362</v>
      </c>
      <c r="G15" s="53" t="s">
        <v>36</v>
      </c>
      <c r="H15" s="53" t="s">
        <v>160</v>
      </c>
      <c r="I15" s="53" t="s">
        <v>159</v>
      </c>
      <c r="J15" s="53" t="s">
        <v>38</v>
      </c>
      <c r="K15" s="53" t="s">
        <v>161</v>
      </c>
      <c r="L15" s="53">
        <v>2</v>
      </c>
      <c r="N15" s="53">
        <v>3</v>
      </c>
      <c r="O15" s="53">
        <v>0.31</v>
      </c>
      <c r="P15" s="53">
        <v>0.35</v>
      </c>
      <c r="Q15" s="75">
        <f t="shared" si="2"/>
        <v>0.32999999999999996</v>
      </c>
      <c r="R15" s="53">
        <v>16.100000000000001</v>
      </c>
      <c r="S15" s="53">
        <v>116</v>
      </c>
      <c r="T15" s="16">
        <f t="shared" si="0"/>
        <v>30</v>
      </c>
      <c r="U15" s="53">
        <v>399</v>
      </c>
      <c r="V15" s="16">
        <f t="shared" si="1"/>
        <v>16</v>
      </c>
      <c r="W15" s="53">
        <v>5</v>
      </c>
      <c r="X15" s="53" t="s">
        <v>39</v>
      </c>
      <c r="Y15" s="53" t="s">
        <v>84</v>
      </c>
      <c r="Z15" s="53" t="s">
        <v>78</v>
      </c>
      <c r="AA15" s="53" t="s">
        <v>90</v>
      </c>
      <c r="AB15" s="53" t="s">
        <v>351</v>
      </c>
      <c r="AE15" s="22" t="s">
        <v>79</v>
      </c>
      <c r="AG15" s="23"/>
      <c r="AH15" s="23"/>
      <c r="AP15" s="23" t="s">
        <v>380</v>
      </c>
      <c r="AR15" s="23" t="s">
        <v>94</v>
      </c>
      <c r="AV15" s="23" t="s">
        <v>107</v>
      </c>
    </row>
    <row r="16" spans="1:53" x14ac:dyDescent="0.15">
      <c r="A16" s="53" t="s">
        <v>59</v>
      </c>
      <c r="B16" s="53" t="s">
        <v>233</v>
      </c>
      <c r="C16" s="62">
        <v>2019</v>
      </c>
      <c r="D16" s="175" t="s">
        <v>234</v>
      </c>
      <c r="E16" s="53" t="s">
        <v>361</v>
      </c>
      <c r="F16" s="53" t="s">
        <v>362</v>
      </c>
      <c r="G16" s="53" t="s">
        <v>36</v>
      </c>
      <c r="H16" s="53" t="s">
        <v>160</v>
      </c>
      <c r="I16" s="53" t="s">
        <v>159</v>
      </c>
      <c r="J16" s="53" t="s">
        <v>38</v>
      </c>
      <c r="K16" s="53" t="s">
        <v>161</v>
      </c>
      <c r="L16" s="53">
        <v>3</v>
      </c>
      <c r="N16" s="53">
        <v>3</v>
      </c>
      <c r="O16" s="53">
        <v>0.48</v>
      </c>
      <c r="P16" s="53">
        <v>0.44</v>
      </c>
      <c r="Q16" s="75">
        <f t="shared" si="2"/>
        <v>0.45999999999999996</v>
      </c>
      <c r="R16" s="53">
        <v>17</v>
      </c>
      <c r="S16" s="53">
        <v>120</v>
      </c>
      <c r="T16" s="16">
        <f t="shared" si="0"/>
        <v>30</v>
      </c>
      <c r="U16" s="53">
        <v>399</v>
      </c>
      <c r="V16" s="16">
        <f t="shared" si="1"/>
        <v>16</v>
      </c>
      <c r="W16" s="53">
        <v>5</v>
      </c>
      <c r="X16" s="53" t="s">
        <v>39</v>
      </c>
      <c r="Y16" s="53" t="s">
        <v>84</v>
      </c>
      <c r="Z16" s="53" t="s">
        <v>78</v>
      </c>
      <c r="AA16" s="53" t="s">
        <v>90</v>
      </c>
      <c r="AB16" s="53" t="s">
        <v>351</v>
      </c>
      <c r="AE16" s="22" t="s">
        <v>82</v>
      </c>
      <c r="AG16" s="28"/>
      <c r="AH16" s="28"/>
      <c r="AP16" s="23" t="s">
        <v>80</v>
      </c>
      <c r="AR16" s="23" t="s">
        <v>63</v>
      </c>
      <c r="AV16" s="23" t="s">
        <v>84</v>
      </c>
    </row>
    <row r="17" spans="1:48" x14ac:dyDescent="0.15">
      <c r="A17" s="53" t="s">
        <v>59</v>
      </c>
      <c r="B17" s="53" t="s">
        <v>233</v>
      </c>
      <c r="C17" s="62">
        <v>2019</v>
      </c>
      <c r="D17" s="175" t="s">
        <v>234</v>
      </c>
      <c r="E17" s="53" t="s">
        <v>361</v>
      </c>
      <c r="F17" s="53" t="s">
        <v>362</v>
      </c>
      <c r="G17" s="53" t="s">
        <v>36</v>
      </c>
      <c r="H17" s="53" t="s">
        <v>164</v>
      </c>
      <c r="I17" s="53" t="s">
        <v>159</v>
      </c>
      <c r="J17" s="53" t="s">
        <v>38</v>
      </c>
      <c r="K17" s="53" t="s">
        <v>161</v>
      </c>
      <c r="L17" s="53">
        <v>1</v>
      </c>
      <c r="N17" s="53">
        <v>4</v>
      </c>
      <c r="O17" s="53">
        <v>0.3</v>
      </c>
      <c r="P17" s="53">
        <v>0.28000000000000003</v>
      </c>
      <c r="Q17" s="75">
        <f t="shared" si="2"/>
        <v>0.29000000000000004</v>
      </c>
      <c r="R17" s="53">
        <v>15</v>
      </c>
      <c r="S17" s="53">
        <v>95</v>
      </c>
      <c r="T17" s="16">
        <f t="shared" si="0"/>
        <v>36</v>
      </c>
      <c r="U17" s="53">
        <v>399</v>
      </c>
      <c r="V17" s="16">
        <f t="shared" si="1"/>
        <v>16</v>
      </c>
      <c r="W17" s="53">
        <v>3</v>
      </c>
      <c r="X17" s="53" t="s">
        <v>39</v>
      </c>
      <c r="Y17" s="53" t="s">
        <v>84</v>
      </c>
      <c r="Z17" s="53" t="s">
        <v>78</v>
      </c>
      <c r="AA17" s="53" t="s">
        <v>90</v>
      </c>
      <c r="AB17" s="53" t="s">
        <v>351</v>
      </c>
      <c r="AE17" s="22" t="s">
        <v>85</v>
      </c>
      <c r="AP17" s="27" t="s">
        <v>110</v>
      </c>
      <c r="AR17" s="23" t="s">
        <v>96</v>
      </c>
      <c r="AV17" s="23" t="s">
        <v>86</v>
      </c>
    </row>
    <row r="18" spans="1:48" x14ac:dyDescent="0.15">
      <c r="A18" s="53" t="s">
        <v>59</v>
      </c>
      <c r="B18" s="53" t="s">
        <v>233</v>
      </c>
      <c r="C18" s="62">
        <v>2019</v>
      </c>
      <c r="D18" s="175" t="s">
        <v>234</v>
      </c>
      <c r="E18" s="53" t="s">
        <v>361</v>
      </c>
      <c r="F18" s="53" t="s">
        <v>362</v>
      </c>
      <c r="G18" s="53" t="s">
        <v>36</v>
      </c>
      <c r="H18" s="53" t="s">
        <v>164</v>
      </c>
      <c r="I18" s="53" t="s">
        <v>159</v>
      </c>
      <c r="J18" s="53" t="s">
        <v>38</v>
      </c>
      <c r="K18" s="53" t="s">
        <v>161</v>
      </c>
      <c r="L18" s="53">
        <v>2</v>
      </c>
      <c r="N18" s="53">
        <v>4</v>
      </c>
      <c r="O18" s="53">
        <v>0.34</v>
      </c>
      <c r="P18" s="53">
        <v>0.33</v>
      </c>
      <c r="Q18" s="75">
        <f t="shared" si="2"/>
        <v>0.33500000000000002</v>
      </c>
      <c r="R18" s="53">
        <v>15.4</v>
      </c>
      <c r="S18" s="53">
        <v>100</v>
      </c>
      <c r="T18" s="16">
        <f t="shared" si="0"/>
        <v>33</v>
      </c>
      <c r="U18" s="53">
        <v>399</v>
      </c>
      <c r="V18" s="16">
        <f t="shared" si="1"/>
        <v>16</v>
      </c>
      <c r="W18" s="53">
        <v>3</v>
      </c>
      <c r="X18" s="53" t="s">
        <v>39</v>
      </c>
      <c r="Y18" s="53" t="s">
        <v>84</v>
      </c>
      <c r="Z18" s="53" t="s">
        <v>78</v>
      </c>
      <c r="AA18" s="53" t="s">
        <v>90</v>
      </c>
      <c r="AB18" s="53" t="s">
        <v>351</v>
      </c>
      <c r="AE18" s="22" t="s">
        <v>87</v>
      </c>
      <c r="AP18" s="27" t="s">
        <v>381</v>
      </c>
      <c r="AR18" s="23" t="s">
        <v>101</v>
      </c>
      <c r="AV18" s="23" t="s">
        <v>88</v>
      </c>
    </row>
    <row r="19" spans="1:48" x14ac:dyDescent="0.15">
      <c r="A19" s="53" t="s">
        <v>59</v>
      </c>
      <c r="B19" s="53" t="s">
        <v>233</v>
      </c>
      <c r="C19" s="62">
        <v>2019</v>
      </c>
      <c r="D19" s="175" t="s">
        <v>234</v>
      </c>
      <c r="E19" s="53" t="s">
        <v>361</v>
      </c>
      <c r="F19" s="53" t="s">
        <v>362</v>
      </c>
      <c r="G19" s="53" t="s">
        <v>36</v>
      </c>
      <c r="H19" s="53" t="s">
        <v>164</v>
      </c>
      <c r="I19" s="53" t="s">
        <v>159</v>
      </c>
      <c r="J19" s="53" t="s">
        <v>38</v>
      </c>
      <c r="K19" s="53" t="s">
        <v>161</v>
      </c>
      <c r="L19" s="53">
        <v>3</v>
      </c>
      <c r="N19" s="53">
        <v>4</v>
      </c>
      <c r="O19" s="53">
        <v>0.32</v>
      </c>
      <c r="P19" s="53">
        <v>0.3</v>
      </c>
      <c r="Q19" s="75">
        <f t="shared" si="2"/>
        <v>0.31</v>
      </c>
      <c r="R19" s="53">
        <v>15.2</v>
      </c>
      <c r="S19" s="53">
        <v>99</v>
      </c>
      <c r="T19" s="16">
        <f t="shared" si="0"/>
        <v>33</v>
      </c>
      <c r="U19" s="53">
        <v>399</v>
      </c>
      <c r="V19" s="16">
        <f t="shared" si="1"/>
        <v>16</v>
      </c>
      <c r="W19" s="53">
        <v>3</v>
      </c>
      <c r="X19" s="53" t="s">
        <v>39</v>
      </c>
      <c r="Y19" s="53" t="s">
        <v>84</v>
      </c>
      <c r="Z19" s="53" t="s">
        <v>78</v>
      </c>
      <c r="AA19" s="53" t="s">
        <v>90</v>
      </c>
      <c r="AB19" s="53" t="s">
        <v>351</v>
      </c>
      <c r="AE19" s="35" t="s">
        <v>89</v>
      </c>
      <c r="AP19" s="27" t="s">
        <v>112</v>
      </c>
      <c r="AR19" s="23" t="s">
        <v>126</v>
      </c>
      <c r="AV19" s="23" t="s">
        <v>382</v>
      </c>
    </row>
    <row r="20" spans="1:48" x14ac:dyDescent="0.15">
      <c r="A20" s="53" t="s">
        <v>59</v>
      </c>
      <c r="B20" s="53" t="s">
        <v>233</v>
      </c>
      <c r="C20" s="62">
        <v>2019</v>
      </c>
      <c r="D20" s="175" t="s">
        <v>234</v>
      </c>
      <c r="E20" s="53" t="s">
        <v>373</v>
      </c>
      <c r="F20" s="53" t="s">
        <v>362</v>
      </c>
      <c r="G20" s="53" t="s">
        <v>36</v>
      </c>
      <c r="H20" s="53" t="s">
        <v>160</v>
      </c>
      <c r="I20" s="53" t="s">
        <v>159</v>
      </c>
      <c r="J20" s="53" t="s">
        <v>38</v>
      </c>
      <c r="K20" s="53" t="s">
        <v>161</v>
      </c>
      <c r="L20" s="53">
        <v>1</v>
      </c>
      <c r="N20" s="53">
        <v>2</v>
      </c>
      <c r="O20" s="53">
        <v>0.38</v>
      </c>
      <c r="P20" s="53">
        <v>0.4</v>
      </c>
      <c r="Q20" s="75">
        <f t="shared" si="2"/>
        <v>0.39</v>
      </c>
      <c r="R20" s="53">
        <v>16.600000000000001</v>
      </c>
      <c r="S20" s="53">
        <v>168</v>
      </c>
      <c r="T20" s="16">
        <f t="shared" si="0"/>
        <v>18</v>
      </c>
      <c r="U20" s="53">
        <v>429</v>
      </c>
      <c r="V20" s="16">
        <f t="shared" si="1"/>
        <v>16</v>
      </c>
      <c r="W20" s="53">
        <v>1</v>
      </c>
      <c r="X20" s="53" t="s">
        <v>46</v>
      </c>
      <c r="Y20" s="53" t="s">
        <v>78</v>
      </c>
      <c r="Z20" s="53" t="s">
        <v>90</v>
      </c>
      <c r="AA20" s="53" t="s">
        <v>84</v>
      </c>
      <c r="AB20" s="53" t="s">
        <v>351</v>
      </c>
      <c r="AE20" s="35"/>
      <c r="AP20" s="27" t="s">
        <v>113</v>
      </c>
      <c r="AR20" s="23" t="s">
        <v>105</v>
      </c>
      <c r="AV20" s="27" t="s">
        <v>135</v>
      </c>
    </row>
    <row r="21" spans="1:48" x14ac:dyDescent="0.15">
      <c r="A21" s="53" t="s">
        <v>59</v>
      </c>
      <c r="B21" s="53" t="s">
        <v>233</v>
      </c>
      <c r="C21" s="62">
        <v>2019</v>
      </c>
      <c r="D21" s="175" t="s">
        <v>234</v>
      </c>
      <c r="E21" s="53" t="s">
        <v>373</v>
      </c>
      <c r="F21" s="53" t="s">
        <v>362</v>
      </c>
      <c r="G21" s="53" t="s">
        <v>36</v>
      </c>
      <c r="H21" s="53" t="s">
        <v>160</v>
      </c>
      <c r="I21" s="53" t="s">
        <v>159</v>
      </c>
      <c r="J21" s="53" t="s">
        <v>38</v>
      </c>
      <c r="K21" s="53" t="s">
        <v>161</v>
      </c>
      <c r="L21" s="53">
        <v>2</v>
      </c>
      <c r="N21" s="53">
        <v>2</v>
      </c>
      <c r="O21" s="53">
        <v>0.42</v>
      </c>
      <c r="P21" s="53">
        <v>0.46</v>
      </c>
      <c r="Q21" s="75">
        <f t="shared" si="2"/>
        <v>0.44</v>
      </c>
      <c r="R21" s="53">
        <v>16.5</v>
      </c>
      <c r="S21" s="53">
        <v>146</v>
      </c>
      <c r="T21" s="16">
        <f t="shared" si="0"/>
        <v>22</v>
      </c>
      <c r="U21" s="53">
        <v>429</v>
      </c>
      <c r="V21" s="16">
        <f t="shared" si="1"/>
        <v>16</v>
      </c>
      <c r="W21" s="53">
        <v>1</v>
      </c>
      <c r="X21" s="53" t="s">
        <v>46</v>
      </c>
      <c r="Y21" s="53" t="s">
        <v>78</v>
      </c>
      <c r="Z21" s="53" t="s">
        <v>90</v>
      </c>
      <c r="AA21" s="53" t="s">
        <v>84</v>
      </c>
      <c r="AB21" s="53" t="s">
        <v>351</v>
      </c>
      <c r="AE21" s="28"/>
      <c r="AP21" s="27" t="s">
        <v>383</v>
      </c>
      <c r="AR21" s="23" t="s">
        <v>68</v>
      </c>
      <c r="AV21" s="27" t="s">
        <v>136</v>
      </c>
    </row>
    <row r="22" spans="1:48" x14ac:dyDescent="0.15">
      <c r="A22" s="53" t="s">
        <v>59</v>
      </c>
      <c r="B22" s="53" t="s">
        <v>233</v>
      </c>
      <c r="C22" s="62">
        <v>2019</v>
      </c>
      <c r="D22" s="175" t="s">
        <v>234</v>
      </c>
      <c r="E22" s="53" t="s">
        <v>373</v>
      </c>
      <c r="F22" s="53" t="s">
        <v>362</v>
      </c>
      <c r="G22" s="53" t="s">
        <v>36</v>
      </c>
      <c r="H22" s="53" t="s">
        <v>160</v>
      </c>
      <c r="I22" s="53" t="s">
        <v>159</v>
      </c>
      <c r="J22" s="53" t="s">
        <v>38</v>
      </c>
      <c r="K22" s="53" t="s">
        <v>161</v>
      </c>
      <c r="L22" s="53">
        <v>3</v>
      </c>
      <c r="N22" s="53">
        <v>2</v>
      </c>
      <c r="O22" s="53">
        <v>0.41</v>
      </c>
      <c r="P22" s="53">
        <v>0.44</v>
      </c>
      <c r="Q22" s="75">
        <f t="shared" si="2"/>
        <v>0.42499999999999999</v>
      </c>
      <c r="R22" s="53">
        <v>16.2</v>
      </c>
      <c r="S22" s="53">
        <v>152</v>
      </c>
      <c r="T22" s="16">
        <f t="shared" si="0"/>
        <v>18</v>
      </c>
      <c r="U22" s="53">
        <v>429</v>
      </c>
      <c r="V22" s="16">
        <f t="shared" si="1"/>
        <v>16</v>
      </c>
      <c r="W22" s="53">
        <v>1</v>
      </c>
      <c r="X22" s="53" t="s">
        <v>46</v>
      </c>
      <c r="Y22" s="53" t="s">
        <v>78</v>
      </c>
      <c r="Z22" s="53" t="s">
        <v>90</v>
      </c>
      <c r="AA22" s="53" t="s">
        <v>84</v>
      </c>
      <c r="AB22" s="53" t="s">
        <v>351</v>
      </c>
      <c r="AP22" s="27" t="s">
        <v>384</v>
      </c>
      <c r="AR22" s="23" t="s">
        <v>83</v>
      </c>
      <c r="AV22" s="27" t="s">
        <v>385</v>
      </c>
    </row>
    <row r="23" spans="1:48" x14ac:dyDescent="0.15">
      <c r="A23" s="53" t="s">
        <v>59</v>
      </c>
      <c r="B23" s="53" t="s">
        <v>233</v>
      </c>
      <c r="C23" s="62">
        <v>2019</v>
      </c>
      <c r="D23" s="175" t="s">
        <v>234</v>
      </c>
      <c r="E23" s="53" t="s">
        <v>373</v>
      </c>
      <c r="F23" s="53" t="s">
        <v>362</v>
      </c>
      <c r="G23" s="53" t="s">
        <v>36</v>
      </c>
      <c r="H23" s="53" t="s">
        <v>164</v>
      </c>
      <c r="I23" s="53" t="s">
        <v>159</v>
      </c>
      <c r="J23" s="53" t="s">
        <v>38</v>
      </c>
      <c r="K23" s="53" t="s">
        <v>161</v>
      </c>
      <c r="L23" s="53">
        <v>1</v>
      </c>
      <c r="N23" s="53">
        <v>4</v>
      </c>
      <c r="O23" s="53">
        <v>0.33</v>
      </c>
      <c r="P23" s="53">
        <v>0.35</v>
      </c>
      <c r="Q23" s="75">
        <f t="shared" si="2"/>
        <v>0.33999999999999997</v>
      </c>
      <c r="R23" s="53">
        <v>14.9</v>
      </c>
      <c r="S23" s="53">
        <v>91</v>
      </c>
      <c r="T23" s="16">
        <f t="shared" si="0"/>
        <v>36</v>
      </c>
      <c r="U23" s="53">
        <v>429</v>
      </c>
      <c r="V23" s="16">
        <f t="shared" si="1"/>
        <v>16</v>
      </c>
      <c r="W23" s="53">
        <v>1</v>
      </c>
      <c r="X23" s="53" t="s">
        <v>46</v>
      </c>
      <c r="Y23" s="53" t="s">
        <v>78</v>
      </c>
      <c r="Z23" s="53" t="s">
        <v>90</v>
      </c>
      <c r="AA23" s="53" t="s">
        <v>84</v>
      </c>
      <c r="AB23" s="53" t="s">
        <v>351</v>
      </c>
      <c r="AP23" s="27" t="s">
        <v>137</v>
      </c>
      <c r="AR23" s="23" t="s">
        <v>61</v>
      </c>
      <c r="AV23" s="27" t="s">
        <v>386</v>
      </c>
    </row>
    <row r="24" spans="1:48" x14ac:dyDescent="0.15">
      <c r="A24" s="53" t="s">
        <v>59</v>
      </c>
      <c r="B24" s="53" t="s">
        <v>233</v>
      </c>
      <c r="C24" s="62">
        <v>2019</v>
      </c>
      <c r="D24" s="175" t="s">
        <v>234</v>
      </c>
      <c r="E24" s="53" t="s">
        <v>373</v>
      </c>
      <c r="F24" s="53" t="s">
        <v>362</v>
      </c>
      <c r="G24" s="53" t="s">
        <v>36</v>
      </c>
      <c r="H24" s="53" t="s">
        <v>164</v>
      </c>
      <c r="I24" s="53" t="s">
        <v>159</v>
      </c>
      <c r="J24" s="53" t="s">
        <v>38</v>
      </c>
      <c r="K24" s="53" t="s">
        <v>161</v>
      </c>
      <c r="L24" s="53">
        <v>2</v>
      </c>
      <c r="N24" s="53">
        <v>4</v>
      </c>
      <c r="O24" s="53">
        <v>0.5</v>
      </c>
      <c r="P24" s="53">
        <v>0.55000000000000004</v>
      </c>
      <c r="Q24" s="75">
        <f t="shared" si="2"/>
        <v>0.52500000000000002</v>
      </c>
      <c r="R24" s="53">
        <v>15.7</v>
      </c>
      <c r="S24" s="53">
        <v>102</v>
      </c>
      <c r="T24" s="16">
        <f t="shared" si="0"/>
        <v>33</v>
      </c>
      <c r="U24" s="53">
        <v>429</v>
      </c>
      <c r="V24" s="16">
        <f t="shared" si="1"/>
        <v>16</v>
      </c>
      <c r="W24" s="53">
        <v>1</v>
      </c>
      <c r="X24" s="53" t="s">
        <v>46</v>
      </c>
      <c r="Y24" s="53" t="s">
        <v>78</v>
      </c>
      <c r="Z24" s="53" t="s">
        <v>90</v>
      </c>
      <c r="AA24" s="53" t="s">
        <v>84</v>
      </c>
      <c r="AB24" s="53" t="s">
        <v>351</v>
      </c>
      <c r="AP24" s="27" t="s">
        <v>138</v>
      </c>
      <c r="AR24" s="23" t="s">
        <v>91</v>
      </c>
      <c r="AV24" s="27" t="s">
        <v>387</v>
      </c>
    </row>
    <row r="25" spans="1:48" x14ac:dyDescent="0.15">
      <c r="A25" s="53" t="s">
        <v>59</v>
      </c>
      <c r="B25" s="53" t="s">
        <v>233</v>
      </c>
      <c r="C25" s="62">
        <v>2019</v>
      </c>
      <c r="D25" s="175" t="s">
        <v>234</v>
      </c>
      <c r="E25" s="53" t="s">
        <v>373</v>
      </c>
      <c r="F25" s="53" t="s">
        <v>362</v>
      </c>
      <c r="G25" s="53" t="s">
        <v>36</v>
      </c>
      <c r="H25" s="53" t="s">
        <v>164</v>
      </c>
      <c r="I25" s="53" t="s">
        <v>159</v>
      </c>
      <c r="J25" s="53" t="s">
        <v>38</v>
      </c>
      <c r="K25" s="53" t="s">
        <v>161</v>
      </c>
      <c r="L25" s="53">
        <v>3</v>
      </c>
      <c r="N25" s="53">
        <v>4</v>
      </c>
      <c r="O25" s="53">
        <v>0.51</v>
      </c>
      <c r="P25" s="53">
        <v>0.53</v>
      </c>
      <c r="Q25" s="75">
        <f t="shared" si="2"/>
        <v>0.52</v>
      </c>
      <c r="R25" s="53">
        <v>14.7</v>
      </c>
      <c r="S25" s="53">
        <v>100</v>
      </c>
      <c r="T25" s="16">
        <f t="shared" si="0"/>
        <v>33</v>
      </c>
      <c r="U25" s="53">
        <v>429</v>
      </c>
      <c r="V25" s="16">
        <f t="shared" si="1"/>
        <v>16</v>
      </c>
      <c r="W25" s="53">
        <v>1</v>
      </c>
      <c r="X25" s="53" t="s">
        <v>46</v>
      </c>
      <c r="Y25" s="53" t="s">
        <v>78</v>
      </c>
      <c r="Z25" s="53" t="s">
        <v>90</v>
      </c>
      <c r="AA25" s="53" t="s">
        <v>84</v>
      </c>
      <c r="AB25" s="53" t="s">
        <v>351</v>
      </c>
      <c r="AP25" s="27" t="s">
        <v>116</v>
      </c>
      <c r="AR25" s="27" t="s">
        <v>92</v>
      </c>
      <c r="AV25" s="27" t="s">
        <v>388</v>
      </c>
    </row>
    <row r="26" spans="1:48" x14ac:dyDescent="0.15">
      <c r="A26" s="53" t="s">
        <v>59</v>
      </c>
      <c r="B26" s="53" t="s">
        <v>233</v>
      </c>
      <c r="C26" s="62">
        <v>2019</v>
      </c>
      <c r="D26" s="175" t="s">
        <v>234</v>
      </c>
      <c r="E26" s="53" t="s">
        <v>371</v>
      </c>
      <c r="F26" s="53" t="s">
        <v>370</v>
      </c>
      <c r="G26" s="53" t="s">
        <v>36</v>
      </c>
      <c r="H26" s="53" t="s">
        <v>160</v>
      </c>
      <c r="I26" s="53" t="s">
        <v>159</v>
      </c>
      <c r="J26" s="53" t="s">
        <v>38</v>
      </c>
      <c r="K26" s="53" t="s">
        <v>161</v>
      </c>
      <c r="L26" s="53">
        <v>1</v>
      </c>
      <c r="N26" s="53">
        <v>1</v>
      </c>
      <c r="O26" s="53">
        <v>0.4</v>
      </c>
      <c r="P26" s="53">
        <v>0.4</v>
      </c>
      <c r="Q26" s="75">
        <f t="shared" si="2"/>
        <v>0.4</v>
      </c>
      <c r="R26" s="53">
        <v>15.9</v>
      </c>
      <c r="S26" s="53">
        <v>135</v>
      </c>
      <c r="T26" s="16">
        <f t="shared" si="0"/>
        <v>25</v>
      </c>
      <c r="U26" s="53">
        <v>138</v>
      </c>
      <c r="V26" s="16">
        <f t="shared" si="1"/>
        <v>22</v>
      </c>
      <c r="W26" s="53">
        <v>2</v>
      </c>
      <c r="X26" s="53" t="s">
        <v>39</v>
      </c>
      <c r="Y26" s="53" t="s">
        <v>84</v>
      </c>
      <c r="Z26" s="53" t="s">
        <v>78</v>
      </c>
      <c r="AA26" s="53" t="s">
        <v>382</v>
      </c>
      <c r="AB26" s="53" t="s">
        <v>351</v>
      </c>
      <c r="AP26" s="27" t="s">
        <v>117</v>
      </c>
      <c r="AR26" s="27" t="s">
        <v>389</v>
      </c>
      <c r="AV26" s="27"/>
    </row>
    <row r="27" spans="1:48" x14ac:dyDescent="0.15">
      <c r="A27" s="53" t="s">
        <v>59</v>
      </c>
      <c r="B27" s="53" t="s">
        <v>233</v>
      </c>
      <c r="C27" s="62">
        <v>2019</v>
      </c>
      <c r="D27" s="175" t="s">
        <v>234</v>
      </c>
      <c r="E27" s="53" t="s">
        <v>371</v>
      </c>
      <c r="F27" s="53" t="s">
        <v>370</v>
      </c>
      <c r="G27" s="53" t="s">
        <v>36</v>
      </c>
      <c r="H27" s="53" t="s">
        <v>160</v>
      </c>
      <c r="I27" s="53" t="s">
        <v>159</v>
      </c>
      <c r="J27" s="53" t="s">
        <v>38</v>
      </c>
      <c r="K27" s="53" t="s">
        <v>161</v>
      </c>
      <c r="L27" s="53">
        <v>2</v>
      </c>
      <c r="N27" s="53">
        <v>1</v>
      </c>
      <c r="O27" s="53">
        <v>0.43</v>
      </c>
      <c r="P27" s="53">
        <v>0.46</v>
      </c>
      <c r="Q27" s="75">
        <f t="shared" si="2"/>
        <v>0.44500000000000001</v>
      </c>
      <c r="R27" s="53">
        <v>15.7</v>
      </c>
      <c r="S27" s="53">
        <v>134</v>
      </c>
      <c r="T27" s="16">
        <f t="shared" si="0"/>
        <v>25</v>
      </c>
      <c r="U27" s="53">
        <v>138</v>
      </c>
      <c r="V27" s="16">
        <f t="shared" si="1"/>
        <v>22</v>
      </c>
      <c r="W27" s="53">
        <v>2</v>
      </c>
      <c r="X27" s="53" t="s">
        <v>39</v>
      </c>
      <c r="Y27" s="53" t="s">
        <v>84</v>
      </c>
      <c r="Z27" s="53" t="s">
        <v>78</v>
      </c>
      <c r="AA27" s="53" t="s">
        <v>382</v>
      </c>
      <c r="AB27" s="53" t="s">
        <v>351</v>
      </c>
      <c r="AP27" s="27" t="s">
        <v>118</v>
      </c>
      <c r="AR27" s="28" t="s">
        <v>153</v>
      </c>
      <c r="AV27" s="27"/>
    </row>
    <row r="28" spans="1:48" x14ac:dyDescent="0.15">
      <c r="A28" s="53" t="s">
        <v>59</v>
      </c>
      <c r="B28" s="53" t="s">
        <v>233</v>
      </c>
      <c r="C28" s="62">
        <v>2019</v>
      </c>
      <c r="D28" s="175" t="s">
        <v>234</v>
      </c>
      <c r="E28" s="53" t="s">
        <v>371</v>
      </c>
      <c r="F28" s="53" t="s">
        <v>370</v>
      </c>
      <c r="G28" s="53" t="s">
        <v>36</v>
      </c>
      <c r="H28" s="53" t="s">
        <v>160</v>
      </c>
      <c r="I28" s="53" t="s">
        <v>159</v>
      </c>
      <c r="J28" s="53" t="s">
        <v>38</v>
      </c>
      <c r="K28" s="53" t="s">
        <v>161</v>
      </c>
      <c r="L28" s="53">
        <v>3</v>
      </c>
      <c r="N28" s="53">
        <v>1</v>
      </c>
      <c r="O28" s="53">
        <v>0.42</v>
      </c>
      <c r="P28" s="53">
        <v>0.46</v>
      </c>
      <c r="Q28" s="75">
        <f t="shared" si="2"/>
        <v>0.44</v>
      </c>
      <c r="R28" s="53">
        <v>15.5</v>
      </c>
      <c r="S28" s="53">
        <v>137</v>
      </c>
      <c r="T28" s="16">
        <f t="shared" si="0"/>
        <v>25</v>
      </c>
      <c r="U28" s="53">
        <v>138</v>
      </c>
      <c r="V28" s="16">
        <f t="shared" si="1"/>
        <v>22</v>
      </c>
      <c r="W28" s="53">
        <v>2</v>
      </c>
      <c r="X28" s="53" t="s">
        <v>39</v>
      </c>
      <c r="Y28" s="53" t="s">
        <v>84</v>
      </c>
      <c r="Z28" s="53" t="s">
        <v>78</v>
      </c>
      <c r="AA28" s="53" t="s">
        <v>382</v>
      </c>
      <c r="AB28" s="53" t="s">
        <v>351</v>
      </c>
      <c r="AV28" s="27"/>
    </row>
    <row r="29" spans="1:48" x14ac:dyDescent="0.15">
      <c r="A29" s="53" t="s">
        <v>59</v>
      </c>
      <c r="B29" s="53" t="s">
        <v>233</v>
      </c>
      <c r="C29" s="62">
        <v>2019</v>
      </c>
      <c r="D29" s="175" t="s">
        <v>234</v>
      </c>
      <c r="E29" s="53" t="s">
        <v>371</v>
      </c>
      <c r="F29" s="53" t="s">
        <v>370</v>
      </c>
      <c r="G29" s="53" t="s">
        <v>36</v>
      </c>
      <c r="H29" s="53" t="s">
        <v>164</v>
      </c>
      <c r="I29" s="53" t="s">
        <v>159</v>
      </c>
      <c r="J29" s="53" t="s">
        <v>38</v>
      </c>
      <c r="K29" s="53" t="s">
        <v>161</v>
      </c>
      <c r="L29" s="53">
        <v>1</v>
      </c>
      <c r="N29" s="53">
        <v>4</v>
      </c>
      <c r="O29" s="53">
        <v>0.25</v>
      </c>
      <c r="P29" s="53">
        <v>0.26</v>
      </c>
      <c r="Q29" s="75">
        <f t="shared" si="2"/>
        <v>0.255</v>
      </c>
      <c r="R29" s="53">
        <v>13.9</v>
      </c>
      <c r="S29" s="53">
        <v>95</v>
      </c>
      <c r="T29" s="16">
        <f t="shared" si="0"/>
        <v>36</v>
      </c>
      <c r="U29" s="53">
        <v>398</v>
      </c>
      <c r="V29" s="16">
        <f t="shared" si="1"/>
        <v>16</v>
      </c>
      <c r="W29" s="53">
        <v>3</v>
      </c>
      <c r="X29" s="53" t="s">
        <v>39</v>
      </c>
      <c r="Y29" s="53" t="s">
        <v>84</v>
      </c>
      <c r="Z29" s="53" t="s">
        <v>78</v>
      </c>
      <c r="AA29" s="53" t="s">
        <v>382</v>
      </c>
      <c r="AB29" s="53" t="s">
        <v>351</v>
      </c>
      <c r="AV29" s="27"/>
    </row>
    <row r="30" spans="1:48" x14ac:dyDescent="0.15">
      <c r="A30" s="53" t="s">
        <v>59</v>
      </c>
      <c r="B30" s="53" t="s">
        <v>233</v>
      </c>
      <c r="C30" s="62">
        <v>2019</v>
      </c>
      <c r="D30" s="175" t="s">
        <v>234</v>
      </c>
      <c r="E30" s="53" t="s">
        <v>371</v>
      </c>
      <c r="F30" s="53" t="s">
        <v>370</v>
      </c>
      <c r="G30" s="53" t="s">
        <v>36</v>
      </c>
      <c r="H30" s="53" t="s">
        <v>164</v>
      </c>
      <c r="I30" s="53" t="s">
        <v>159</v>
      </c>
      <c r="J30" s="53" t="s">
        <v>38</v>
      </c>
      <c r="K30" s="53" t="s">
        <v>161</v>
      </c>
      <c r="L30" s="53">
        <v>2</v>
      </c>
      <c r="N30" s="53">
        <v>4</v>
      </c>
      <c r="O30" s="53">
        <v>0.28000000000000003</v>
      </c>
      <c r="P30" s="53">
        <v>0.27</v>
      </c>
      <c r="Q30" s="75">
        <f t="shared" si="2"/>
        <v>0.27500000000000002</v>
      </c>
      <c r="R30" s="53">
        <v>13.5</v>
      </c>
      <c r="S30" s="53">
        <v>94</v>
      </c>
      <c r="T30" s="16">
        <f t="shared" si="0"/>
        <v>36</v>
      </c>
      <c r="U30" s="53">
        <v>398</v>
      </c>
      <c r="V30" s="16">
        <f t="shared" si="1"/>
        <v>16</v>
      </c>
      <c r="W30" s="53">
        <v>3</v>
      </c>
      <c r="X30" s="53" t="s">
        <v>39</v>
      </c>
      <c r="Y30" s="53" t="s">
        <v>84</v>
      </c>
      <c r="Z30" s="53" t="s">
        <v>78</v>
      </c>
      <c r="AA30" s="53" t="s">
        <v>382</v>
      </c>
      <c r="AB30" s="53" t="s">
        <v>351</v>
      </c>
      <c r="AV30" s="27"/>
    </row>
    <row r="31" spans="1:48" x14ac:dyDescent="0.15">
      <c r="A31" s="53" t="s">
        <v>59</v>
      </c>
      <c r="B31" s="53" t="s">
        <v>233</v>
      </c>
      <c r="C31" s="62">
        <v>2019</v>
      </c>
      <c r="D31" s="175" t="s">
        <v>234</v>
      </c>
      <c r="E31" s="53" t="s">
        <v>371</v>
      </c>
      <c r="F31" s="53" t="s">
        <v>370</v>
      </c>
      <c r="G31" s="53" t="s">
        <v>36</v>
      </c>
      <c r="H31" s="53" t="s">
        <v>164</v>
      </c>
      <c r="I31" s="53" t="s">
        <v>159</v>
      </c>
      <c r="J31" s="53" t="s">
        <v>38</v>
      </c>
      <c r="K31" s="53" t="s">
        <v>161</v>
      </c>
      <c r="L31" s="53">
        <v>3</v>
      </c>
      <c r="N31" s="53">
        <v>4</v>
      </c>
      <c r="O31" s="53">
        <v>0.27</v>
      </c>
      <c r="P31" s="53">
        <v>0.28999999999999998</v>
      </c>
      <c r="Q31" s="75">
        <f t="shared" si="2"/>
        <v>0.28000000000000003</v>
      </c>
      <c r="R31" s="53">
        <v>13.8</v>
      </c>
      <c r="S31" s="53">
        <v>95</v>
      </c>
      <c r="T31" s="16">
        <f t="shared" si="0"/>
        <v>36</v>
      </c>
      <c r="U31" s="53">
        <v>398</v>
      </c>
      <c r="V31" s="16">
        <f t="shared" si="1"/>
        <v>16</v>
      </c>
      <c r="W31" s="53">
        <v>3</v>
      </c>
      <c r="X31" s="53" t="s">
        <v>39</v>
      </c>
      <c r="Y31" s="53" t="s">
        <v>84</v>
      </c>
      <c r="Z31" s="53" t="s">
        <v>78</v>
      </c>
      <c r="AA31" s="53" t="s">
        <v>382</v>
      </c>
      <c r="AB31" s="53" t="s">
        <v>351</v>
      </c>
      <c r="AV31" s="27"/>
    </row>
    <row r="32" spans="1:48" x14ac:dyDescent="0.15">
      <c r="A32" s="53" t="s">
        <v>59</v>
      </c>
      <c r="B32" s="53" t="s">
        <v>233</v>
      </c>
      <c r="C32" s="62">
        <v>2019</v>
      </c>
      <c r="D32" s="175" t="s">
        <v>234</v>
      </c>
      <c r="E32" s="53" t="s">
        <v>162</v>
      </c>
      <c r="F32" s="53" t="s">
        <v>370</v>
      </c>
      <c r="G32" s="53" t="s">
        <v>36</v>
      </c>
      <c r="H32" s="53" t="s">
        <v>160</v>
      </c>
      <c r="I32" s="53" t="s">
        <v>159</v>
      </c>
      <c r="J32" s="53" t="s">
        <v>38</v>
      </c>
      <c r="K32" s="53" t="s">
        <v>161</v>
      </c>
      <c r="L32" s="53">
        <v>1</v>
      </c>
      <c r="N32" s="53">
        <v>1</v>
      </c>
      <c r="O32" s="53">
        <v>0.43</v>
      </c>
      <c r="P32" s="53">
        <v>0.39</v>
      </c>
      <c r="Q32" s="75">
        <f t="shared" si="2"/>
        <v>0.41000000000000003</v>
      </c>
      <c r="R32" s="53">
        <v>16.100000000000001</v>
      </c>
      <c r="S32" s="53">
        <v>160</v>
      </c>
      <c r="T32" s="16">
        <f t="shared" si="0"/>
        <v>18</v>
      </c>
      <c r="U32" s="53">
        <v>158</v>
      </c>
      <c r="V32" s="16">
        <f t="shared" si="1"/>
        <v>18</v>
      </c>
      <c r="W32" s="53">
        <v>2</v>
      </c>
      <c r="X32" s="53" t="s">
        <v>46</v>
      </c>
      <c r="Y32" s="53" t="s">
        <v>69</v>
      </c>
      <c r="Z32" s="53" t="s">
        <v>84</v>
      </c>
      <c r="AA32" s="53" t="s">
        <v>55</v>
      </c>
      <c r="AB32" s="53" t="s">
        <v>351</v>
      </c>
      <c r="AV32" s="27"/>
    </row>
    <row r="33" spans="1:48" x14ac:dyDescent="0.15">
      <c r="A33" s="53" t="s">
        <v>59</v>
      </c>
      <c r="B33" s="53" t="s">
        <v>233</v>
      </c>
      <c r="C33" s="62">
        <v>2019</v>
      </c>
      <c r="D33" s="175" t="s">
        <v>234</v>
      </c>
      <c r="E33" s="53" t="s">
        <v>162</v>
      </c>
      <c r="F33" s="53" t="s">
        <v>370</v>
      </c>
      <c r="G33" s="53" t="s">
        <v>36</v>
      </c>
      <c r="H33" s="53" t="s">
        <v>160</v>
      </c>
      <c r="I33" s="53" t="s">
        <v>159</v>
      </c>
      <c r="J33" s="53" t="s">
        <v>38</v>
      </c>
      <c r="K33" s="53" t="s">
        <v>161</v>
      </c>
      <c r="L33" s="53">
        <v>2</v>
      </c>
      <c r="N33" s="53">
        <v>1</v>
      </c>
      <c r="O33" s="53">
        <v>0.44</v>
      </c>
      <c r="P33" s="53">
        <v>0.48</v>
      </c>
      <c r="Q33" s="75">
        <f t="shared" si="2"/>
        <v>0.45999999999999996</v>
      </c>
      <c r="R33" s="53">
        <v>16.7</v>
      </c>
      <c r="S33" s="53">
        <v>150</v>
      </c>
      <c r="T33" s="16">
        <f t="shared" si="0"/>
        <v>22</v>
      </c>
      <c r="U33" s="53">
        <v>158</v>
      </c>
      <c r="V33" s="16">
        <f t="shared" si="1"/>
        <v>18</v>
      </c>
      <c r="W33" s="53">
        <v>2</v>
      </c>
      <c r="X33" s="53" t="s">
        <v>46</v>
      </c>
      <c r="Y33" s="53" t="s">
        <v>69</v>
      </c>
      <c r="Z33" s="53" t="s">
        <v>84</v>
      </c>
      <c r="AA33" s="53" t="s">
        <v>55</v>
      </c>
      <c r="AB33" s="53" t="s">
        <v>351</v>
      </c>
      <c r="AV33" s="27"/>
    </row>
    <row r="34" spans="1:48" x14ac:dyDescent="0.15">
      <c r="A34" s="53" t="s">
        <v>59</v>
      </c>
      <c r="B34" s="53" t="s">
        <v>233</v>
      </c>
      <c r="C34" s="62">
        <v>2019</v>
      </c>
      <c r="D34" s="175" t="s">
        <v>234</v>
      </c>
      <c r="E34" s="53" t="s">
        <v>162</v>
      </c>
      <c r="F34" s="53" t="s">
        <v>370</v>
      </c>
      <c r="G34" s="53" t="s">
        <v>36</v>
      </c>
      <c r="H34" s="53" t="s">
        <v>160</v>
      </c>
      <c r="I34" s="53" t="s">
        <v>159</v>
      </c>
      <c r="J34" s="53" t="s">
        <v>38</v>
      </c>
      <c r="K34" s="53" t="s">
        <v>161</v>
      </c>
      <c r="L34" s="53">
        <v>3</v>
      </c>
      <c r="N34" s="53">
        <v>1</v>
      </c>
      <c r="O34" s="53">
        <v>0.48</v>
      </c>
      <c r="P34" s="53">
        <v>0.45</v>
      </c>
      <c r="Q34" s="75">
        <f t="shared" si="2"/>
        <v>0.46499999999999997</v>
      </c>
      <c r="R34" s="53">
        <v>16.2</v>
      </c>
      <c r="S34" s="53">
        <v>150</v>
      </c>
      <c r="T34" s="16">
        <f t="shared" si="0"/>
        <v>22</v>
      </c>
      <c r="U34" s="53">
        <v>158</v>
      </c>
      <c r="V34" s="16">
        <f t="shared" si="1"/>
        <v>18</v>
      </c>
      <c r="W34" s="53">
        <v>2</v>
      </c>
      <c r="X34" s="53" t="s">
        <v>46</v>
      </c>
      <c r="Y34" s="53" t="s">
        <v>69</v>
      </c>
      <c r="Z34" s="53" t="s">
        <v>84</v>
      </c>
      <c r="AA34" s="53" t="s">
        <v>55</v>
      </c>
      <c r="AB34" s="53" t="s">
        <v>351</v>
      </c>
      <c r="AV34" s="27"/>
    </row>
    <row r="35" spans="1:48" x14ac:dyDescent="0.15">
      <c r="A35" s="53" t="s">
        <v>59</v>
      </c>
      <c r="B35" s="53" t="s">
        <v>233</v>
      </c>
      <c r="C35" s="62">
        <v>2019</v>
      </c>
      <c r="D35" s="175" t="s">
        <v>234</v>
      </c>
      <c r="E35" s="53" t="s">
        <v>162</v>
      </c>
      <c r="F35" s="53" t="s">
        <v>370</v>
      </c>
      <c r="G35" s="53" t="s">
        <v>36</v>
      </c>
      <c r="H35" s="53" t="s">
        <v>164</v>
      </c>
      <c r="I35" s="53" t="s">
        <v>159</v>
      </c>
      <c r="J35" s="53" t="s">
        <v>38</v>
      </c>
      <c r="K35" s="53" t="s">
        <v>161</v>
      </c>
      <c r="L35" s="53">
        <v>1</v>
      </c>
      <c r="N35" s="53">
        <v>4</v>
      </c>
      <c r="O35" s="53">
        <v>0.64</v>
      </c>
      <c r="P35" s="53">
        <v>0.59</v>
      </c>
      <c r="Q35" s="75">
        <f t="shared" si="2"/>
        <v>0.61499999999999999</v>
      </c>
      <c r="R35" s="53">
        <v>13.4</v>
      </c>
      <c r="S35" s="53">
        <v>90</v>
      </c>
      <c r="T35" s="16">
        <f t="shared" si="0"/>
        <v>36</v>
      </c>
      <c r="U35" s="53">
        <v>398</v>
      </c>
      <c r="V35" s="16">
        <f t="shared" si="1"/>
        <v>16</v>
      </c>
      <c r="W35" s="53">
        <v>5</v>
      </c>
      <c r="X35" s="53" t="s">
        <v>46</v>
      </c>
      <c r="Y35" s="53" t="s">
        <v>69</v>
      </c>
      <c r="Z35" s="53" t="s">
        <v>84</v>
      </c>
      <c r="AA35" s="53" t="s">
        <v>55</v>
      </c>
      <c r="AB35" s="53" t="s">
        <v>351</v>
      </c>
      <c r="AV35" s="27"/>
    </row>
    <row r="36" spans="1:48" x14ac:dyDescent="0.15">
      <c r="A36" s="53" t="s">
        <v>59</v>
      </c>
      <c r="B36" s="53" t="s">
        <v>233</v>
      </c>
      <c r="C36" s="62">
        <v>2019</v>
      </c>
      <c r="D36" s="175" t="s">
        <v>234</v>
      </c>
      <c r="E36" s="53" t="s">
        <v>162</v>
      </c>
      <c r="F36" s="53" t="s">
        <v>370</v>
      </c>
      <c r="G36" s="53" t="s">
        <v>36</v>
      </c>
      <c r="H36" s="53" t="s">
        <v>164</v>
      </c>
      <c r="I36" s="53" t="s">
        <v>159</v>
      </c>
      <c r="J36" s="53" t="s">
        <v>38</v>
      </c>
      <c r="K36" s="53" t="s">
        <v>161</v>
      </c>
      <c r="L36" s="53">
        <v>2</v>
      </c>
      <c r="N36" s="53">
        <v>4</v>
      </c>
      <c r="O36" s="53">
        <v>0.56000000000000005</v>
      </c>
      <c r="P36" s="53">
        <v>0.51</v>
      </c>
      <c r="Q36" s="75">
        <f t="shared" si="2"/>
        <v>0.53500000000000003</v>
      </c>
      <c r="R36" s="53">
        <v>13.6</v>
      </c>
      <c r="S36" s="53">
        <v>95</v>
      </c>
      <c r="T36" s="16">
        <f t="shared" si="0"/>
        <v>36</v>
      </c>
      <c r="U36" s="53">
        <v>398</v>
      </c>
      <c r="V36" s="16">
        <f t="shared" si="1"/>
        <v>16</v>
      </c>
      <c r="W36" s="53">
        <v>5</v>
      </c>
      <c r="X36" s="53" t="s">
        <v>46</v>
      </c>
      <c r="Y36" s="53" t="s">
        <v>69</v>
      </c>
      <c r="Z36" s="53" t="s">
        <v>84</v>
      </c>
      <c r="AA36" s="53" t="s">
        <v>55</v>
      </c>
      <c r="AB36" s="53" t="s">
        <v>351</v>
      </c>
      <c r="AV36" s="27"/>
    </row>
    <row r="37" spans="1:48" x14ac:dyDescent="0.15">
      <c r="A37" s="53" t="s">
        <v>59</v>
      </c>
      <c r="B37" s="53" t="s">
        <v>233</v>
      </c>
      <c r="C37" s="62">
        <v>2019</v>
      </c>
      <c r="D37" s="175" t="s">
        <v>234</v>
      </c>
      <c r="E37" s="53" t="s">
        <v>162</v>
      </c>
      <c r="F37" s="53" t="s">
        <v>370</v>
      </c>
      <c r="G37" s="53" t="s">
        <v>36</v>
      </c>
      <c r="H37" s="53" t="s">
        <v>164</v>
      </c>
      <c r="I37" s="53" t="s">
        <v>159</v>
      </c>
      <c r="J37" s="53" t="s">
        <v>38</v>
      </c>
      <c r="K37" s="53" t="s">
        <v>161</v>
      </c>
      <c r="L37" s="53">
        <v>3</v>
      </c>
      <c r="N37" s="53">
        <v>4</v>
      </c>
      <c r="O37" s="53">
        <v>0.57999999999999996</v>
      </c>
      <c r="P37" s="53">
        <v>0.62</v>
      </c>
      <c r="Q37" s="75">
        <f t="shared" si="2"/>
        <v>0.6</v>
      </c>
      <c r="R37" s="53">
        <v>13.7</v>
      </c>
      <c r="S37" s="53">
        <v>90</v>
      </c>
      <c r="T37" s="16">
        <f t="shared" si="0"/>
        <v>36</v>
      </c>
      <c r="U37" s="53">
        <v>398</v>
      </c>
      <c r="V37" s="16">
        <f t="shared" si="1"/>
        <v>16</v>
      </c>
      <c r="W37" s="53">
        <v>5</v>
      </c>
      <c r="X37" s="53" t="s">
        <v>46</v>
      </c>
      <c r="Y37" s="53" t="s">
        <v>69</v>
      </c>
      <c r="Z37" s="53" t="s">
        <v>84</v>
      </c>
      <c r="AA37" s="53" t="s">
        <v>55</v>
      </c>
      <c r="AB37" s="53" t="s">
        <v>351</v>
      </c>
      <c r="AV37" s="27"/>
    </row>
    <row r="38" spans="1:48" x14ac:dyDescent="0.15">
      <c r="A38" s="53" t="s">
        <v>59</v>
      </c>
      <c r="B38" s="53" t="s">
        <v>233</v>
      </c>
      <c r="C38" s="62">
        <v>2019</v>
      </c>
      <c r="D38" s="175" t="s">
        <v>234</v>
      </c>
      <c r="E38" s="53" t="s">
        <v>367</v>
      </c>
      <c r="F38" s="53" t="s">
        <v>368</v>
      </c>
      <c r="G38" s="53" t="s">
        <v>36</v>
      </c>
      <c r="H38" s="53" t="s">
        <v>160</v>
      </c>
      <c r="I38" s="53" t="s">
        <v>159</v>
      </c>
      <c r="J38" s="53" t="s">
        <v>38</v>
      </c>
      <c r="K38" s="53" t="s">
        <v>161</v>
      </c>
      <c r="L38" s="53">
        <v>1</v>
      </c>
      <c r="N38" s="53">
        <v>3</v>
      </c>
      <c r="O38" s="53">
        <v>0.42</v>
      </c>
      <c r="P38" s="53">
        <v>0.4</v>
      </c>
      <c r="Q38" s="75">
        <f t="shared" si="2"/>
        <v>0.41000000000000003</v>
      </c>
      <c r="R38" s="53">
        <v>18.5</v>
      </c>
      <c r="S38" s="53">
        <v>130</v>
      </c>
      <c r="T38" s="16">
        <f t="shared" si="0"/>
        <v>25</v>
      </c>
      <c r="U38" s="53">
        <v>399</v>
      </c>
      <c r="V38" s="16">
        <f t="shared" si="1"/>
        <v>16</v>
      </c>
      <c r="W38" s="53">
        <v>5</v>
      </c>
      <c r="X38" s="53" t="s">
        <v>39</v>
      </c>
      <c r="Y38" s="53" t="s">
        <v>78</v>
      </c>
      <c r="Z38" s="53" t="s">
        <v>90</v>
      </c>
      <c r="AA38" s="53" t="s">
        <v>69</v>
      </c>
      <c r="AB38" s="53" t="s">
        <v>351</v>
      </c>
      <c r="AV38" s="27"/>
    </row>
    <row r="39" spans="1:48" x14ac:dyDescent="0.15">
      <c r="A39" s="53" t="s">
        <v>59</v>
      </c>
      <c r="B39" s="53" t="s">
        <v>233</v>
      </c>
      <c r="C39" s="62">
        <v>2019</v>
      </c>
      <c r="D39" s="175" t="s">
        <v>234</v>
      </c>
      <c r="E39" s="53" t="s">
        <v>367</v>
      </c>
      <c r="F39" s="53" t="s">
        <v>368</v>
      </c>
      <c r="G39" s="53" t="s">
        <v>36</v>
      </c>
      <c r="H39" s="53" t="s">
        <v>160</v>
      </c>
      <c r="I39" s="53" t="s">
        <v>159</v>
      </c>
      <c r="J39" s="53" t="s">
        <v>38</v>
      </c>
      <c r="K39" s="53" t="s">
        <v>161</v>
      </c>
      <c r="L39" s="53">
        <v>2</v>
      </c>
      <c r="N39" s="53">
        <v>3</v>
      </c>
      <c r="O39" s="53">
        <v>0.43</v>
      </c>
      <c r="P39" s="53">
        <v>0.44</v>
      </c>
      <c r="Q39" s="75">
        <f t="shared" si="2"/>
        <v>0.435</v>
      </c>
      <c r="R39" s="53">
        <v>17.5</v>
      </c>
      <c r="S39" s="53">
        <v>130</v>
      </c>
      <c r="T39" s="16">
        <f t="shared" si="0"/>
        <v>25</v>
      </c>
      <c r="U39" s="53">
        <v>399</v>
      </c>
      <c r="V39" s="16">
        <f t="shared" si="1"/>
        <v>16</v>
      </c>
      <c r="W39" s="53">
        <v>5</v>
      </c>
      <c r="X39" s="53" t="s">
        <v>39</v>
      </c>
      <c r="Y39" s="53" t="s">
        <v>78</v>
      </c>
      <c r="Z39" s="53" t="s">
        <v>90</v>
      </c>
      <c r="AA39" s="53" t="s">
        <v>69</v>
      </c>
      <c r="AB39" s="53" t="s">
        <v>351</v>
      </c>
      <c r="AV39" s="27"/>
    </row>
    <row r="40" spans="1:48" x14ac:dyDescent="0.15">
      <c r="A40" s="53" t="s">
        <v>59</v>
      </c>
      <c r="B40" s="53" t="s">
        <v>233</v>
      </c>
      <c r="C40" s="62">
        <v>2019</v>
      </c>
      <c r="D40" s="175" t="s">
        <v>234</v>
      </c>
      <c r="E40" s="53" t="s">
        <v>367</v>
      </c>
      <c r="F40" s="53" t="s">
        <v>368</v>
      </c>
      <c r="G40" s="53" t="s">
        <v>36</v>
      </c>
      <c r="H40" s="53" t="s">
        <v>160</v>
      </c>
      <c r="I40" s="53" t="s">
        <v>159</v>
      </c>
      <c r="J40" s="53" t="s">
        <v>38</v>
      </c>
      <c r="K40" s="53" t="s">
        <v>161</v>
      </c>
      <c r="L40" s="53">
        <v>3</v>
      </c>
      <c r="N40" s="53">
        <v>3</v>
      </c>
      <c r="O40" s="53">
        <v>0.45</v>
      </c>
      <c r="P40" s="53">
        <v>0.43</v>
      </c>
      <c r="Q40" s="75">
        <f t="shared" si="2"/>
        <v>0.44</v>
      </c>
      <c r="R40" s="53">
        <v>17.2</v>
      </c>
      <c r="S40" s="53">
        <v>132</v>
      </c>
      <c r="T40" s="16">
        <f t="shared" si="0"/>
        <v>25</v>
      </c>
      <c r="U40" s="53">
        <v>399</v>
      </c>
      <c r="V40" s="16">
        <f t="shared" si="1"/>
        <v>16</v>
      </c>
      <c r="W40" s="53">
        <v>5</v>
      </c>
      <c r="X40" s="53" t="s">
        <v>39</v>
      </c>
      <c r="Y40" s="53" t="s">
        <v>78</v>
      </c>
      <c r="Z40" s="53" t="s">
        <v>90</v>
      </c>
      <c r="AA40" s="53" t="s">
        <v>69</v>
      </c>
      <c r="AB40" s="53" t="s">
        <v>351</v>
      </c>
      <c r="AV40" s="27"/>
    </row>
    <row r="41" spans="1:48" x14ac:dyDescent="0.15">
      <c r="A41" s="53" t="s">
        <v>59</v>
      </c>
      <c r="B41" s="53" t="s">
        <v>233</v>
      </c>
      <c r="C41" s="62">
        <v>2019</v>
      </c>
      <c r="D41" s="175" t="s">
        <v>234</v>
      </c>
      <c r="E41" s="53" t="s">
        <v>367</v>
      </c>
      <c r="F41" s="53" t="s">
        <v>368</v>
      </c>
      <c r="G41" s="53" t="s">
        <v>36</v>
      </c>
      <c r="H41" s="53" t="s">
        <v>164</v>
      </c>
      <c r="I41" s="53" t="s">
        <v>159</v>
      </c>
      <c r="J41" s="53" t="s">
        <v>38</v>
      </c>
      <c r="K41" s="53" t="s">
        <v>161</v>
      </c>
      <c r="L41" s="53">
        <v>1</v>
      </c>
      <c r="N41" s="53">
        <v>3</v>
      </c>
      <c r="O41" s="53">
        <v>0.28999999999999998</v>
      </c>
      <c r="P41" s="53">
        <v>0.28000000000000003</v>
      </c>
      <c r="Q41" s="75">
        <f t="shared" si="2"/>
        <v>0.28500000000000003</v>
      </c>
      <c r="R41" s="53">
        <v>15.1</v>
      </c>
      <c r="S41" s="53">
        <v>134</v>
      </c>
      <c r="T41" s="16">
        <f t="shared" si="0"/>
        <v>25</v>
      </c>
      <c r="U41" s="53">
        <v>350</v>
      </c>
      <c r="V41" s="16">
        <f t="shared" si="1"/>
        <v>16</v>
      </c>
      <c r="W41" s="53">
        <v>5</v>
      </c>
      <c r="X41" s="53" t="s">
        <v>39</v>
      </c>
      <c r="Y41" s="53" t="s">
        <v>78</v>
      </c>
      <c r="Z41" s="53" t="s">
        <v>90</v>
      </c>
      <c r="AA41" s="53" t="s">
        <v>69</v>
      </c>
      <c r="AB41" s="53" t="s">
        <v>351</v>
      </c>
      <c r="AV41" s="27"/>
    </row>
    <row r="42" spans="1:48" x14ac:dyDescent="0.15">
      <c r="A42" s="53" t="s">
        <v>59</v>
      </c>
      <c r="B42" s="53" t="s">
        <v>233</v>
      </c>
      <c r="C42" s="62">
        <v>2019</v>
      </c>
      <c r="D42" s="175" t="s">
        <v>234</v>
      </c>
      <c r="E42" s="53" t="s">
        <v>367</v>
      </c>
      <c r="F42" s="53" t="s">
        <v>368</v>
      </c>
      <c r="G42" s="53" t="s">
        <v>36</v>
      </c>
      <c r="H42" s="53" t="s">
        <v>164</v>
      </c>
      <c r="I42" s="53" t="s">
        <v>159</v>
      </c>
      <c r="J42" s="53" t="s">
        <v>38</v>
      </c>
      <c r="K42" s="53" t="s">
        <v>161</v>
      </c>
      <c r="L42" s="53">
        <v>2</v>
      </c>
      <c r="N42" s="53">
        <v>3</v>
      </c>
      <c r="O42" s="53">
        <v>0.28999999999999998</v>
      </c>
      <c r="P42" s="53">
        <v>0.28999999999999998</v>
      </c>
      <c r="Q42" s="75">
        <f t="shared" si="2"/>
        <v>0.28999999999999998</v>
      </c>
      <c r="R42" s="53">
        <v>14.6</v>
      </c>
      <c r="S42" s="53">
        <v>136</v>
      </c>
      <c r="T42" s="16">
        <f t="shared" si="0"/>
        <v>25</v>
      </c>
      <c r="U42" s="53">
        <v>350</v>
      </c>
      <c r="V42" s="16">
        <f t="shared" si="1"/>
        <v>16</v>
      </c>
      <c r="W42" s="53">
        <v>5</v>
      </c>
      <c r="X42" s="53" t="s">
        <v>39</v>
      </c>
      <c r="Y42" s="53" t="s">
        <v>78</v>
      </c>
      <c r="Z42" s="53" t="s">
        <v>90</v>
      </c>
      <c r="AA42" s="53" t="s">
        <v>69</v>
      </c>
      <c r="AB42" s="53" t="s">
        <v>351</v>
      </c>
      <c r="AV42" s="27"/>
    </row>
    <row r="43" spans="1:48" x14ac:dyDescent="0.15">
      <c r="A43" s="53" t="s">
        <v>59</v>
      </c>
      <c r="B43" s="53" t="s">
        <v>233</v>
      </c>
      <c r="C43" s="62">
        <v>2019</v>
      </c>
      <c r="D43" s="175" t="s">
        <v>234</v>
      </c>
      <c r="E43" s="53" t="s">
        <v>367</v>
      </c>
      <c r="F43" s="53" t="s">
        <v>368</v>
      </c>
      <c r="G43" s="53" t="s">
        <v>36</v>
      </c>
      <c r="H43" s="53" t="s">
        <v>164</v>
      </c>
      <c r="I43" s="53" t="s">
        <v>159</v>
      </c>
      <c r="J43" s="53" t="s">
        <v>38</v>
      </c>
      <c r="K43" s="53" t="s">
        <v>161</v>
      </c>
      <c r="L43" s="53">
        <v>3</v>
      </c>
      <c r="N43" s="53">
        <v>3</v>
      </c>
      <c r="O43" s="53">
        <v>0.27</v>
      </c>
      <c r="P43" s="53">
        <v>0.3</v>
      </c>
      <c r="Q43" s="75">
        <f t="shared" si="2"/>
        <v>0.28500000000000003</v>
      </c>
      <c r="R43" s="53">
        <v>15.5</v>
      </c>
      <c r="S43" s="53">
        <v>136</v>
      </c>
      <c r="T43" s="16">
        <f t="shared" si="0"/>
        <v>25</v>
      </c>
      <c r="U43" s="53">
        <v>350</v>
      </c>
      <c r="V43" s="16">
        <f t="shared" si="1"/>
        <v>16</v>
      </c>
      <c r="W43" s="53">
        <v>5</v>
      </c>
      <c r="X43" s="53" t="s">
        <v>39</v>
      </c>
      <c r="Y43" s="53" t="s">
        <v>78</v>
      </c>
      <c r="Z43" s="53" t="s">
        <v>90</v>
      </c>
      <c r="AA43" s="53" t="s">
        <v>69</v>
      </c>
      <c r="AB43" s="53" t="s">
        <v>351</v>
      </c>
      <c r="AV43" s="27"/>
    </row>
    <row r="44" spans="1:48" x14ac:dyDescent="0.15">
      <c r="A44" s="53" t="s">
        <v>59</v>
      </c>
      <c r="B44" s="53" t="s">
        <v>233</v>
      </c>
      <c r="C44" s="62">
        <v>2019</v>
      </c>
      <c r="D44" s="175" t="s">
        <v>234</v>
      </c>
      <c r="E44" s="53" t="s">
        <v>358</v>
      </c>
      <c r="F44" s="53" t="s">
        <v>359</v>
      </c>
      <c r="G44" s="53" t="s">
        <v>36</v>
      </c>
      <c r="H44" s="53" t="s">
        <v>160</v>
      </c>
      <c r="I44" s="53" t="s">
        <v>159</v>
      </c>
      <c r="J44" s="53" t="s">
        <v>38</v>
      </c>
      <c r="K44" s="53" t="s">
        <v>161</v>
      </c>
      <c r="L44" s="53">
        <v>1</v>
      </c>
      <c r="N44" s="53">
        <v>4</v>
      </c>
      <c r="O44" s="53">
        <v>0.49</v>
      </c>
      <c r="P44" s="53">
        <v>0.53</v>
      </c>
      <c r="Q44" s="75">
        <f t="shared" si="2"/>
        <v>0.51</v>
      </c>
      <c r="R44" s="53">
        <v>15.7</v>
      </c>
      <c r="S44" s="53">
        <v>105</v>
      </c>
      <c r="T44" s="16">
        <f t="shared" si="0"/>
        <v>33</v>
      </c>
      <c r="U44" s="53">
        <v>450</v>
      </c>
      <c r="V44" s="16">
        <f t="shared" si="1"/>
        <v>16</v>
      </c>
      <c r="W44" s="53">
        <v>1</v>
      </c>
      <c r="X44" s="53" t="s">
        <v>39</v>
      </c>
      <c r="Y44" s="53" t="s">
        <v>69</v>
      </c>
      <c r="Z44" s="53" t="s">
        <v>78</v>
      </c>
      <c r="AA44" s="53" t="s">
        <v>102</v>
      </c>
      <c r="AB44" s="53" t="s">
        <v>351</v>
      </c>
      <c r="AV44" s="27"/>
    </row>
    <row r="45" spans="1:48" x14ac:dyDescent="0.15">
      <c r="A45" s="53" t="s">
        <v>59</v>
      </c>
      <c r="B45" s="53" t="s">
        <v>233</v>
      </c>
      <c r="C45" s="62">
        <v>2019</v>
      </c>
      <c r="D45" s="175" t="s">
        <v>234</v>
      </c>
      <c r="E45" s="53" t="s">
        <v>358</v>
      </c>
      <c r="F45" s="53" t="s">
        <v>359</v>
      </c>
      <c r="G45" s="53" t="s">
        <v>36</v>
      </c>
      <c r="H45" s="53" t="s">
        <v>160</v>
      </c>
      <c r="I45" s="53" t="s">
        <v>159</v>
      </c>
      <c r="J45" s="53" t="s">
        <v>38</v>
      </c>
      <c r="K45" s="53" t="s">
        <v>161</v>
      </c>
      <c r="L45" s="53">
        <v>2</v>
      </c>
      <c r="N45" s="53">
        <v>4</v>
      </c>
      <c r="O45" s="53">
        <v>0.44</v>
      </c>
      <c r="P45" s="53">
        <v>0.48</v>
      </c>
      <c r="Q45" s="75">
        <f t="shared" si="2"/>
        <v>0.45999999999999996</v>
      </c>
      <c r="R45" s="53">
        <v>16.5</v>
      </c>
      <c r="S45" s="53">
        <v>102</v>
      </c>
      <c r="T45" s="16">
        <f t="shared" si="0"/>
        <v>33</v>
      </c>
      <c r="U45" s="53">
        <v>450</v>
      </c>
      <c r="V45" s="16">
        <f t="shared" si="1"/>
        <v>16</v>
      </c>
      <c r="W45" s="53">
        <v>1</v>
      </c>
      <c r="X45" s="53" t="s">
        <v>39</v>
      </c>
      <c r="Y45" s="53" t="s">
        <v>69</v>
      </c>
      <c r="Z45" s="53" t="s">
        <v>78</v>
      </c>
      <c r="AA45" s="53" t="s">
        <v>102</v>
      </c>
      <c r="AB45" s="53" t="s">
        <v>351</v>
      </c>
      <c r="AV45" s="27"/>
    </row>
    <row r="46" spans="1:48" x14ac:dyDescent="0.15">
      <c r="A46" s="53" t="s">
        <v>59</v>
      </c>
      <c r="B46" s="53" t="s">
        <v>233</v>
      </c>
      <c r="C46" s="62">
        <v>2019</v>
      </c>
      <c r="D46" s="175" t="s">
        <v>234</v>
      </c>
      <c r="E46" s="53" t="s">
        <v>358</v>
      </c>
      <c r="F46" s="53" t="s">
        <v>359</v>
      </c>
      <c r="G46" s="53" t="s">
        <v>36</v>
      </c>
      <c r="H46" s="53" t="s">
        <v>160</v>
      </c>
      <c r="I46" s="53" t="s">
        <v>159</v>
      </c>
      <c r="J46" s="53" t="s">
        <v>38</v>
      </c>
      <c r="K46" s="53" t="s">
        <v>161</v>
      </c>
      <c r="L46" s="53">
        <v>3</v>
      </c>
      <c r="N46" s="53">
        <v>4</v>
      </c>
      <c r="O46" s="53">
        <v>0.52</v>
      </c>
      <c r="P46" s="53">
        <v>0.48</v>
      </c>
      <c r="Q46" s="75">
        <f t="shared" si="2"/>
        <v>0.5</v>
      </c>
      <c r="R46" s="53">
        <v>16.600000000000001</v>
      </c>
      <c r="S46" s="53">
        <v>105</v>
      </c>
      <c r="T46" s="16">
        <f t="shared" si="0"/>
        <v>33</v>
      </c>
      <c r="U46" s="53">
        <v>450</v>
      </c>
      <c r="V46" s="16">
        <f t="shared" si="1"/>
        <v>16</v>
      </c>
      <c r="W46" s="53">
        <v>1</v>
      </c>
      <c r="X46" s="53" t="s">
        <v>39</v>
      </c>
      <c r="Y46" s="53" t="s">
        <v>69</v>
      </c>
      <c r="Z46" s="53" t="s">
        <v>78</v>
      </c>
      <c r="AA46" s="53" t="s">
        <v>102</v>
      </c>
      <c r="AB46" s="53" t="s">
        <v>351</v>
      </c>
      <c r="AV46" s="27"/>
    </row>
    <row r="47" spans="1:48" x14ac:dyDescent="0.15">
      <c r="A47" s="53" t="s">
        <v>59</v>
      </c>
      <c r="B47" s="53" t="s">
        <v>233</v>
      </c>
      <c r="C47" s="62">
        <v>2019</v>
      </c>
      <c r="D47" s="175" t="s">
        <v>234</v>
      </c>
      <c r="E47" s="53" t="s">
        <v>358</v>
      </c>
      <c r="F47" s="53" t="s">
        <v>359</v>
      </c>
      <c r="G47" s="53" t="s">
        <v>36</v>
      </c>
      <c r="H47" s="53" t="s">
        <v>164</v>
      </c>
      <c r="I47" s="53" t="s">
        <v>159</v>
      </c>
      <c r="J47" s="53" t="s">
        <v>38</v>
      </c>
      <c r="K47" s="53" t="s">
        <v>161</v>
      </c>
      <c r="L47" s="53">
        <v>1</v>
      </c>
      <c r="N47" s="53">
        <v>5</v>
      </c>
      <c r="O47" s="53">
        <v>0.53</v>
      </c>
      <c r="P47" s="53">
        <v>0.55000000000000004</v>
      </c>
      <c r="Q47" s="75">
        <f t="shared" si="2"/>
        <v>0.54</v>
      </c>
      <c r="R47" s="53">
        <v>15.2</v>
      </c>
      <c r="S47" s="53">
        <v>90</v>
      </c>
      <c r="T47" s="16">
        <f t="shared" si="0"/>
        <v>36</v>
      </c>
      <c r="U47" s="53">
        <v>350</v>
      </c>
      <c r="V47" s="16">
        <f t="shared" si="1"/>
        <v>16</v>
      </c>
      <c r="W47" s="53">
        <v>1</v>
      </c>
      <c r="X47" s="53" t="s">
        <v>39</v>
      </c>
      <c r="Y47" s="53" t="s">
        <v>69</v>
      </c>
      <c r="Z47" s="53" t="s">
        <v>78</v>
      </c>
      <c r="AA47" s="53" t="s">
        <v>102</v>
      </c>
      <c r="AB47" s="53" t="s">
        <v>351</v>
      </c>
      <c r="AV47" s="27"/>
    </row>
    <row r="48" spans="1:48" x14ac:dyDescent="0.15">
      <c r="A48" s="53" t="s">
        <v>59</v>
      </c>
      <c r="B48" s="53" t="s">
        <v>233</v>
      </c>
      <c r="C48" s="62">
        <v>2019</v>
      </c>
      <c r="D48" s="175" t="s">
        <v>234</v>
      </c>
      <c r="E48" s="53" t="s">
        <v>358</v>
      </c>
      <c r="F48" s="53" t="s">
        <v>359</v>
      </c>
      <c r="G48" s="53" t="s">
        <v>36</v>
      </c>
      <c r="H48" s="53" t="s">
        <v>164</v>
      </c>
      <c r="I48" s="53" t="s">
        <v>159</v>
      </c>
      <c r="J48" s="53" t="s">
        <v>38</v>
      </c>
      <c r="K48" s="53" t="s">
        <v>161</v>
      </c>
      <c r="L48" s="53">
        <v>2</v>
      </c>
      <c r="N48" s="53">
        <v>5</v>
      </c>
      <c r="O48" s="53">
        <v>0.45</v>
      </c>
      <c r="P48" s="53">
        <v>0.42</v>
      </c>
      <c r="Q48" s="75">
        <f t="shared" si="2"/>
        <v>0.435</v>
      </c>
      <c r="R48" s="53">
        <v>15.1</v>
      </c>
      <c r="S48" s="53">
        <v>91</v>
      </c>
      <c r="T48" s="16">
        <f t="shared" si="0"/>
        <v>36</v>
      </c>
      <c r="U48" s="53">
        <v>350</v>
      </c>
      <c r="V48" s="16">
        <f t="shared" si="1"/>
        <v>16</v>
      </c>
      <c r="W48" s="53">
        <v>1</v>
      </c>
      <c r="X48" s="53" t="s">
        <v>39</v>
      </c>
      <c r="Y48" s="53" t="s">
        <v>69</v>
      </c>
      <c r="Z48" s="53" t="s">
        <v>78</v>
      </c>
      <c r="AA48" s="53" t="s">
        <v>102</v>
      </c>
      <c r="AB48" s="53" t="s">
        <v>351</v>
      </c>
      <c r="AV48" s="27"/>
    </row>
    <row r="49" spans="1:48" x14ac:dyDescent="0.15">
      <c r="A49" s="53" t="s">
        <v>59</v>
      </c>
      <c r="B49" s="53" t="s">
        <v>233</v>
      </c>
      <c r="C49" s="62">
        <v>2019</v>
      </c>
      <c r="D49" s="175" t="s">
        <v>234</v>
      </c>
      <c r="E49" s="53" t="s">
        <v>358</v>
      </c>
      <c r="F49" s="53" t="s">
        <v>359</v>
      </c>
      <c r="G49" s="53" t="s">
        <v>36</v>
      </c>
      <c r="H49" s="53" t="s">
        <v>164</v>
      </c>
      <c r="I49" s="53" t="s">
        <v>159</v>
      </c>
      <c r="J49" s="53" t="s">
        <v>38</v>
      </c>
      <c r="K49" s="53" t="s">
        <v>161</v>
      </c>
      <c r="L49" s="53">
        <v>3</v>
      </c>
      <c r="N49" s="53">
        <v>5</v>
      </c>
      <c r="O49" s="53">
        <v>0.52</v>
      </c>
      <c r="P49" s="53">
        <v>0.51</v>
      </c>
      <c r="Q49" s="75">
        <f t="shared" si="2"/>
        <v>0.51500000000000001</v>
      </c>
      <c r="R49" s="53">
        <v>15</v>
      </c>
      <c r="S49" s="53">
        <v>90</v>
      </c>
      <c r="T49" s="16">
        <f t="shared" si="0"/>
        <v>36</v>
      </c>
      <c r="U49" s="53">
        <v>350</v>
      </c>
      <c r="V49" s="16">
        <f t="shared" si="1"/>
        <v>16</v>
      </c>
      <c r="W49" s="53">
        <v>1</v>
      </c>
      <c r="X49" s="53" t="s">
        <v>39</v>
      </c>
      <c r="Y49" s="53" t="s">
        <v>69</v>
      </c>
      <c r="Z49" s="53" t="s">
        <v>78</v>
      </c>
      <c r="AA49" s="53" t="s">
        <v>102</v>
      </c>
      <c r="AB49" s="53" t="s">
        <v>351</v>
      </c>
      <c r="AV49" s="27"/>
    </row>
    <row r="50" spans="1:48" x14ac:dyDescent="0.15">
      <c r="A50" s="53" t="s">
        <v>59</v>
      </c>
      <c r="B50" s="53" t="s">
        <v>233</v>
      </c>
      <c r="C50" s="62">
        <v>2019</v>
      </c>
      <c r="D50" s="175" t="s">
        <v>234</v>
      </c>
      <c r="E50" s="53" t="s">
        <v>374</v>
      </c>
      <c r="F50" s="53" t="s">
        <v>375</v>
      </c>
      <c r="G50" s="53" t="s">
        <v>36</v>
      </c>
      <c r="H50" s="53" t="s">
        <v>160</v>
      </c>
      <c r="I50" s="53" t="s">
        <v>159</v>
      </c>
      <c r="J50" s="53" t="s">
        <v>38</v>
      </c>
      <c r="K50" s="53" t="s">
        <v>161</v>
      </c>
      <c r="L50" s="53">
        <v>1</v>
      </c>
      <c r="N50" s="53">
        <v>4</v>
      </c>
      <c r="O50" s="53">
        <v>0.44</v>
      </c>
      <c r="P50" s="53">
        <v>0.42</v>
      </c>
      <c r="Q50" s="75">
        <f t="shared" si="2"/>
        <v>0.43</v>
      </c>
      <c r="R50" s="53">
        <v>16.100000000000001</v>
      </c>
      <c r="S50" s="53">
        <v>135</v>
      </c>
      <c r="T50" s="16">
        <f t="shared" si="0"/>
        <v>25</v>
      </c>
      <c r="U50" s="53">
        <v>458</v>
      </c>
      <c r="V50" s="16">
        <f t="shared" si="1"/>
        <v>16</v>
      </c>
      <c r="W50" s="53">
        <v>3</v>
      </c>
      <c r="X50" s="53" t="s">
        <v>46</v>
      </c>
      <c r="Y50" s="53" t="s">
        <v>90</v>
      </c>
      <c r="Z50" s="53" t="s">
        <v>84</v>
      </c>
      <c r="AA50" s="53" t="s">
        <v>78</v>
      </c>
      <c r="AB50" s="53" t="s">
        <v>351</v>
      </c>
      <c r="AV50" s="27"/>
    </row>
    <row r="51" spans="1:48" x14ac:dyDescent="0.15">
      <c r="A51" s="53" t="s">
        <v>59</v>
      </c>
      <c r="B51" s="53" t="s">
        <v>233</v>
      </c>
      <c r="C51" s="62">
        <v>2019</v>
      </c>
      <c r="D51" s="175" t="s">
        <v>234</v>
      </c>
      <c r="E51" s="53" t="s">
        <v>374</v>
      </c>
      <c r="F51" s="53" t="s">
        <v>375</v>
      </c>
      <c r="G51" s="53" t="s">
        <v>36</v>
      </c>
      <c r="H51" s="53" t="s">
        <v>160</v>
      </c>
      <c r="I51" s="53" t="s">
        <v>159</v>
      </c>
      <c r="J51" s="53" t="s">
        <v>38</v>
      </c>
      <c r="K51" s="53" t="s">
        <v>161</v>
      </c>
      <c r="L51" s="53">
        <v>2</v>
      </c>
      <c r="N51" s="53">
        <v>4</v>
      </c>
      <c r="O51" s="53">
        <v>0.48</v>
      </c>
      <c r="P51" s="53">
        <v>0.45</v>
      </c>
      <c r="Q51" s="75">
        <f t="shared" si="2"/>
        <v>0.46499999999999997</v>
      </c>
      <c r="R51" s="53">
        <v>16.899999999999999</v>
      </c>
      <c r="S51" s="53">
        <v>136</v>
      </c>
      <c r="T51" s="16">
        <f t="shared" si="0"/>
        <v>25</v>
      </c>
      <c r="U51" s="53">
        <v>458</v>
      </c>
      <c r="V51" s="16">
        <f t="shared" si="1"/>
        <v>16</v>
      </c>
      <c r="W51" s="53">
        <v>3</v>
      </c>
      <c r="X51" s="53" t="s">
        <v>46</v>
      </c>
      <c r="Y51" s="53" t="s">
        <v>90</v>
      </c>
      <c r="Z51" s="53" t="s">
        <v>84</v>
      </c>
      <c r="AA51" s="53" t="s">
        <v>78</v>
      </c>
      <c r="AB51" s="53" t="s">
        <v>351</v>
      </c>
      <c r="AV51" s="27"/>
    </row>
    <row r="52" spans="1:48" x14ac:dyDescent="0.15">
      <c r="A52" s="53" t="s">
        <v>59</v>
      </c>
      <c r="B52" s="53" t="s">
        <v>233</v>
      </c>
      <c r="C52" s="62">
        <v>2019</v>
      </c>
      <c r="D52" s="175" t="s">
        <v>234</v>
      </c>
      <c r="E52" s="53" t="s">
        <v>374</v>
      </c>
      <c r="F52" s="53" t="s">
        <v>375</v>
      </c>
      <c r="G52" s="53" t="s">
        <v>36</v>
      </c>
      <c r="H52" s="53" t="s">
        <v>160</v>
      </c>
      <c r="I52" s="53" t="s">
        <v>159</v>
      </c>
      <c r="J52" s="53" t="s">
        <v>38</v>
      </c>
      <c r="K52" s="53" t="s">
        <v>161</v>
      </c>
      <c r="L52" s="53">
        <v>3</v>
      </c>
      <c r="N52" s="53">
        <v>4</v>
      </c>
      <c r="O52" s="53">
        <v>0.52</v>
      </c>
      <c r="P52" s="53">
        <v>0.54</v>
      </c>
      <c r="Q52" s="75">
        <f t="shared" si="2"/>
        <v>0.53</v>
      </c>
      <c r="R52" s="53">
        <v>16.5</v>
      </c>
      <c r="S52" s="53">
        <v>130</v>
      </c>
      <c r="T52" s="16">
        <f t="shared" si="0"/>
        <v>25</v>
      </c>
      <c r="U52" s="53">
        <v>458</v>
      </c>
      <c r="V52" s="16">
        <f t="shared" si="1"/>
        <v>16</v>
      </c>
      <c r="W52" s="53">
        <v>3</v>
      </c>
      <c r="X52" s="53" t="s">
        <v>46</v>
      </c>
      <c r="Y52" s="53" t="s">
        <v>90</v>
      </c>
      <c r="Z52" s="53" t="s">
        <v>84</v>
      </c>
      <c r="AA52" s="53" t="s">
        <v>78</v>
      </c>
      <c r="AB52" s="53" t="s">
        <v>351</v>
      </c>
      <c r="AV52" s="27"/>
    </row>
    <row r="53" spans="1:48" x14ac:dyDescent="0.15">
      <c r="A53" s="53" t="s">
        <v>59</v>
      </c>
      <c r="B53" s="53" t="s">
        <v>233</v>
      </c>
      <c r="C53" s="62">
        <v>2019</v>
      </c>
      <c r="D53" s="175" t="s">
        <v>234</v>
      </c>
      <c r="E53" s="53" t="s">
        <v>374</v>
      </c>
      <c r="F53" s="53" t="s">
        <v>375</v>
      </c>
      <c r="G53" s="53" t="s">
        <v>36</v>
      </c>
      <c r="H53" s="53" t="s">
        <v>164</v>
      </c>
      <c r="I53" s="53" t="s">
        <v>159</v>
      </c>
      <c r="J53" s="53" t="s">
        <v>38</v>
      </c>
      <c r="K53" s="53" t="s">
        <v>161</v>
      </c>
      <c r="L53" s="53">
        <v>1</v>
      </c>
      <c r="N53" s="53">
        <v>4</v>
      </c>
      <c r="O53" s="53">
        <v>0.46</v>
      </c>
      <c r="P53" s="53">
        <v>0.46</v>
      </c>
      <c r="Q53" s="75">
        <f t="shared" si="2"/>
        <v>0.46</v>
      </c>
      <c r="R53" s="53">
        <v>14.1</v>
      </c>
      <c r="S53" s="53">
        <v>136</v>
      </c>
      <c r="T53" s="16">
        <f t="shared" si="0"/>
        <v>25</v>
      </c>
      <c r="U53" s="53">
        <v>358</v>
      </c>
      <c r="V53" s="16">
        <f t="shared" si="1"/>
        <v>16</v>
      </c>
      <c r="W53" s="53">
        <v>3</v>
      </c>
      <c r="X53" s="53" t="s">
        <v>46</v>
      </c>
      <c r="Y53" s="53" t="s">
        <v>90</v>
      </c>
      <c r="Z53" s="53" t="s">
        <v>84</v>
      </c>
      <c r="AA53" s="53" t="s">
        <v>78</v>
      </c>
      <c r="AB53" s="53" t="s">
        <v>351</v>
      </c>
      <c r="AV53" s="27"/>
    </row>
    <row r="54" spans="1:48" x14ac:dyDescent="0.15">
      <c r="A54" s="53" t="s">
        <v>59</v>
      </c>
      <c r="B54" s="53" t="s">
        <v>233</v>
      </c>
      <c r="C54" s="62">
        <v>2019</v>
      </c>
      <c r="D54" s="175" t="s">
        <v>234</v>
      </c>
      <c r="E54" s="53" t="s">
        <v>374</v>
      </c>
      <c r="F54" s="53" t="s">
        <v>375</v>
      </c>
      <c r="G54" s="53" t="s">
        <v>36</v>
      </c>
      <c r="H54" s="53" t="s">
        <v>164</v>
      </c>
      <c r="I54" s="53" t="s">
        <v>159</v>
      </c>
      <c r="J54" s="53" t="s">
        <v>38</v>
      </c>
      <c r="K54" s="53" t="s">
        <v>161</v>
      </c>
      <c r="L54" s="53">
        <v>2</v>
      </c>
      <c r="N54" s="53">
        <v>4</v>
      </c>
      <c r="O54" s="53">
        <v>0.49</v>
      </c>
      <c r="P54" s="53">
        <v>0.48</v>
      </c>
      <c r="Q54" s="75">
        <f t="shared" si="2"/>
        <v>0.48499999999999999</v>
      </c>
      <c r="R54" s="53">
        <v>14.6</v>
      </c>
      <c r="S54" s="53">
        <v>143</v>
      </c>
      <c r="T54" s="16">
        <f t="shared" si="0"/>
        <v>22</v>
      </c>
      <c r="U54" s="53">
        <v>358</v>
      </c>
      <c r="V54" s="16">
        <f t="shared" si="1"/>
        <v>16</v>
      </c>
      <c r="W54" s="53">
        <v>3</v>
      </c>
      <c r="X54" s="53" t="s">
        <v>46</v>
      </c>
      <c r="Y54" s="53" t="s">
        <v>90</v>
      </c>
      <c r="Z54" s="53" t="s">
        <v>84</v>
      </c>
      <c r="AA54" s="53" t="s">
        <v>78</v>
      </c>
      <c r="AB54" s="53" t="s">
        <v>351</v>
      </c>
      <c r="AV54" s="27"/>
    </row>
    <row r="55" spans="1:48" x14ac:dyDescent="0.15">
      <c r="A55" s="53" t="s">
        <v>59</v>
      </c>
      <c r="B55" s="53" t="s">
        <v>233</v>
      </c>
      <c r="C55" s="62">
        <v>2019</v>
      </c>
      <c r="D55" s="175" t="s">
        <v>234</v>
      </c>
      <c r="E55" s="53" t="s">
        <v>374</v>
      </c>
      <c r="F55" s="53" t="s">
        <v>375</v>
      </c>
      <c r="G55" s="53" t="s">
        <v>36</v>
      </c>
      <c r="H55" s="53" t="s">
        <v>164</v>
      </c>
      <c r="I55" s="53" t="s">
        <v>159</v>
      </c>
      <c r="J55" s="53" t="s">
        <v>38</v>
      </c>
      <c r="K55" s="53" t="s">
        <v>161</v>
      </c>
      <c r="L55" s="53">
        <v>3</v>
      </c>
      <c r="N55" s="53">
        <v>4</v>
      </c>
      <c r="O55" s="53">
        <v>0.47</v>
      </c>
      <c r="P55" s="53">
        <v>0.46</v>
      </c>
      <c r="Q55" s="75">
        <f t="shared" si="2"/>
        <v>0.46499999999999997</v>
      </c>
      <c r="R55" s="53">
        <v>15.2</v>
      </c>
      <c r="S55" s="53">
        <v>133</v>
      </c>
      <c r="T55" s="16">
        <f t="shared" si="0"/>
        <v>25</v>
      </c>
      <c r="U55" s="53">
        <v>358</v>
      </c>
      <c r="V55" s="16">
        <f t="shared" si="1"/>
        <v>16</v>
      </c>
      <c r="W55" s="53">
        <v>3</v>
      </c>
      <c r="X55" s="53" t="s">
        <v>46</v>
      </c>
      <c r="Y55" s="53" t="s">
        <v>90</v>
      </c>
      <c r="Z55" s="53" t="s">
        <v>84</v>
      </c>
      <c r="AA55" s="53" t="s">
        <v>78</v>
      </c>
      <c r="AB55" s="53" t="s">
        <v>351</v>
      </c>
      <c r="AV55" s="27"/>
    </row>
    <row r="56" spans="1:48" x14ac:dyDescent="0.15">
      <c r="A56" s="53" t="s">
        <v>59</v>
      </c>
      <c r="B56" s="53" t="s">
        <v>233</v>
      </c>
      <c r="C56" s="62">
        <v>2019</v>
      </c>
      <c r="D56" s="175" t="s">
        <v>234</v>
      </c>
      <c r="E56" s="53" t="s">
        <v>364</v>
      </c>
      <c r="F56" s="53" t="s">
        <v>365</v>
      </c>
      <c r="G56" s="53" t="s">
        <v>36</v>
      </c>
      <c r="H56" s="53" t="s">
        <v>160</v>
      </c>
      <c r="I56" s="53" t="s">
        <v>159</v>
      </c>
      <c r="J56" s="53" t="s">
        <v>38</v>
      </c>
      <c r="K56" s="53" t="s">
        <v>161</v>
      </c>
      <c r="L56" s="53">
        <v>1</v>
      </c>
      <c r="N56" s="53">
        <v>4</v>
      </c>
      <c r="O56" s="53">
        <v>0.49</v>
      </c>
      <c r="P56" s="53">
        <v>0.46</v>
      </c>
      <c r="Q56" s="75">
        <f t="shared" si="2"/>
        <v>0.47499999999999998</v>
      </c>
      <c r="R56" s="53">
        <v>15.6</v>
      </c>
      <c r="S56" s="53">
        <v>109</v>
      </c>
      <c r="T56" s="16">
        <f t="shared" si="0"/>
        <v>33</v>
      </c>
      <c r="U56" s="53">
        <v>518</v>
      </c>
      <c r="V56" s="16">
        <f t="shared" si="1"/>
        <v>16</v>
      </c>
      <c r="W56" s="53">
        <v>2</v>
      </c>
      <c r="X56" s="53" t="s">
        <v>39</v>
      </c>
      <c r="Y56" s="53" t="s">
        <v>90</v>
      </c>
      <c r="Z56" s="53" t="s">
        <v>78</v>
      </c>
      <c r="AA56" s="53" t="s">
        <v>382</v>
      </c>
      <c r="AB56" s="53" t="s">
        <v>351</v>
      </c>
      <c r="AV56" s="27"/>
    </row>
    <row r="57" spans="1:48" x14ac:dyDescent="0.15">
      <c r="A57" s="53" t="s">
        <v>59</v>
      </c>
      <c r="B57" s="53" t="s">
        <v>233</v>
      </c>
      <c r="C57" s="62">
        <v>2019</v>
      </c>
      <c r="D57" s="175" t="s">
        <v>234</v>
      </c>
      <c r="E57" s="53" t="s">
        <v>364</v>
      </c>
      <c r="F57" s="53" t="s">
        <v>365</v>
      </c>
      <c r="G57" s="53" t="s">
        <v>36</v>
      </c>
      <c r="H57" s="53" t="s">
        <v>160</v>
      </c>
      <c r="I57" s="53" t="s">
        <v>159</v>
      </c>
      <c r="J57" s="53" t="s">
        <v>38</v>
      </c>
      <c r="K57" s="53" t="s">
        <v>161</v>
      </c>
      <c r="L57" s="53">
        <v>2</v>
      </c>
      <c r="N57" s="53">
        <v>4</v>
      </c>
      <c r="O57" s="53">
        <v>0.54</v>
      </c>
      <c r="P57" s="53">
        <v>0.56000000000000005</v>
      </c>
      <c r="Q57" s="75">
        <f t="shared" si="2"/>
        <v>0.55000000000000004</v>
      </c>
      <c r="R57" s="53">
        <v>16.2</v>
      </c>
      <c r="S57" s="53">
        <v>101</v>
      </c>
      <c r="T57" s="16">
        <f t="shared" si="0"/>
        <v>33</v>
      </c>
      <c r="U57" s="53">
        <v>518</v>
      </c>
      <c r="V57" s="16">
        <f t="shared" si="1"/>
        <v>16</v>
      </c>
      <c r="W57" s="53">
        <v>2</v>
      </c>
      <c r="X57" s="53" t="s">
        <v>39</v>
      </c>
      <c r="Y57" s="53" t="s">
        <v>90</v>
      </c>
      <c r="Z57" s="53" t="s">
        <v>78</v>
      </c>
      <c r="AA57" s="53" t="s">
        <v>382</v>
      </c>
      <c r="AB57" s="53" t="s">
        <v>351</v>
      </c>
      <c r="AV57" s="27"/>
    </row>
    <row r="58" spans="1:48" x14ac:dyDescent="0.15">
      <c r="A58" s="53" t="s">
        <v>59</v>
      </c>
      <c r="B58" s="53" t="s">
        <v>233</v>
      </c>
      <c r="C58" s="62">
        <v>2019</v>
      </c>
      <c r="D58" s="175" t="s">
        <v>234</v>
      </c>
      <c r="E58" s="53" t="s">
        <v>364</v>
      </c>
      <c r="F58" s="53" t="s">
        <v>365</v>
      </c>
      <c r="G58" s="53" t="s">
        <v>36</v>
      </c>
      <c r="H58" s="53" t="s">
        <v>160</v>
      </c>
      <c r="I58" s="53" t="s">
        <v>159</v>
      </c>
      <c r="J58" s="53" t="s">
        <v>38</v>
      </c>
      <c r="K58" s="53" t="s">
        <v>161</v>
      </c>
      <c r="L58" s="53">
        <v>3</v>
      </c>
      <c r="N58" s="53">
        <v>4</v>
      </c>
      <c r="O58" s="53">
        <v>0.51</v>
      </c>
      <c r="P58" s="53">
        <v>0.48</v>
      </c>
      <c r="Q58" s="75">
        <f t="shared" si="2"/>
        <v>0.495</v>
      </c>
      <c r="R58" s="53">
        <v>16</v>
      </c>
      <c r="S58" s="53">
        <v>100</v>
      </c>
      <c r="T58" s="16">
        <f t="shared" si="0"/>
        <v>33</v>
      </c>
      <c r="U58" s="53">
        <v>518</v>
      </c>
      <c r="V58" s="16">
        <f t="shared" si="1"/>
        <v>16</v>
      </c>
      <c r="W58" s="53">
        <v>2</v>
      </c>
      <c r="X58" s="53" t="s">
        <v>39</v>
      </c>
      <c r="Y58" s="53" t="s">
        <v>90</v>
      </c>
      <c r="Z58" s="53" t="s">
        <v>78</v>
      </c>
      <c r="AA58" s="53" t="s">
        <v>382</v>
      </c>
      <c r="AB58" s="53" t="s">
        <v>351</v>
      </c>
      <c r="AV58" s="27"/>
    </row>
    <row r="59" spans="1:48" x14ac:dyDescent="0.15">
      <c r="A59" s="53" t="s">
        <v>59</v>
      </c>
      <c r="B59" s="53" t="s">
        <v>233</v>
      </c>
      <c r="C59" s="62">
        <v>2019</v>
      </c>
      <c r="D59" s="175" t="s">
        <v>234</v>
      </c>
      <c r="E59" s="53" t="s">
        <v>364</v>
      </c>
      <c r="F59" s="53" t="s">
        <v>365</v>
      </c>
      <c r="G59" s="53" t="s">
        <v>36</v>
      </c>
      <c r="H59" s="53" t="s">
        <v>164</v>
      </c>
      <c r="I59" s="53" t="s">
        <v>159</v>
      </c>
      <c r="J59" s="53" t="s">
        <v>38</v>
      </c>
      <c r="K59" s="53" t="s">
        <v>161</v>
      </c>
      <c r="L59" s="53">
        <v>1</v>
      </c>
      <c r="N59" s="53">
        <v>5</v>
      </c>
      <c r="O59" s="53">
        <v>0.83</v>
      </c>
      <c r="P59" s="53">
        <v>0.8</v>
      </c>
      <c r="Q59" s="75">
        <f t="shared" si="2"/>
        <v>0.81499999999999995</v>
      </c>
      <c r="R59" s="53">
        <v>13.5</v>
      </c>
      <c r="S59" s="53">
        <v>85</v>
      </c>
      <c r="T59" s="16">
        <f t="shared" si="0"/>
        <v>36</v>
      </c>
      <c r="U59" s="53">
        <v>321</v>
      </c>
      <c r="V59" s="16">
        <f t="shared" si="1"/>
        <v>16</v>
      </c>
      <c r="W59" s="53">
        <v>2</v>
      </c>
      <c r="X59" s="53" t="s">
        <v>39</v>
      </c>
      <c r="Y59" s="53" t="s">
        <v>90</v>
      </c>
      <c r="Z59" s="53" t="s">
        <v>78</v>
      </c>
      <c r="AA59" s="53" t="s">
        <v>382</v>
      </c>
      <c r="AB59" s="53" t="s">
        <v>351</v>
      </c>
      <c r="AV59" s="27"/>
    </row>
    <row r="60" spans="1:48" x14ac:dyDescent="0.15">
      <c r="A60" s="53" t="s">
        <v>59</v>
      </c>
      <c r="B60" s="53" t="s">
        <v>233</v>
      </c>
      <c r="C60" s="62">
        <v>2019</v>
      </c>
      <c r="D60" s="175" t="s">
        <v>234</v>
      </c>
      <c r="E60" s="53" t="s">
        <v>364</v>
      </c>
      <c r="F60" s="53" t="s">
        <v>365</v>
      </c>
      <c r="G60" s="53" t="s">
        <v>36</v>
      </c>
      <c r="H60" s="53" t="s">
        <v>164</v>
      </c>
      <c r="I60" s="53" t="s">
        <v>159</v>
      </c>
      <c r="J60" s="53" t="s">
        <v>38</v>
      </c>
      <c r="K60" s="53" t="s">
        <v>161</v>
      </c>
      <c r="L60" s="53">
        <v>2</v>
      </c>
      <c r="N60" s="53">
        <v>5</v>
      </c>
      <c r="O60" s="53">
        <v>0.84</v>
      </c>
      <c r="P60" s="53">
        <v>0.8</v>
      </c>
      <c r="Q60" s="75">
        <f t="shared" si="2"/>
        <v>0.82000000000000006</v>
      </c>
      <c r="R60" s="53">
        <v>13.1</v>
      </c>
      <c r="S60" s="53">
        <v>83</v>
      </c>
      <c r="T60" s="16">
        <f t="shared" si="0"/>
        <v>39</v>
      </c>
      <c r="U60" s="53">
        <v>321</v>
      </c>
      <c r="V60" s="16">
        <f t="shared" si="1"/>
        <v>16</v>
      </c>
      <c r="W60" s="53">
        <v>2</v>
      </c>
      <c r="X60" s="53" t="s">
        <v>39</v>
      </c>
      <c r="Y60" s="53" t="s">
        <v>90</v>
      </c>
      <c r="Z60" s="53" t="s">
        <v>78</v>
      </c>
      <c r="AA60" s="53" t="s">
        <v>382</v>
      </c>
      <c r="AB60" s="53" t="s">
        <v>351</v>
      </c>
      <c r="AV60" s="27"/>
    </row>
    <row r="61" spans="1:48" x14ac:dyDescent="0.15">
      <c r="A61" s="53" t="s">
        <v>59</v>
      </c>
      <c r="B61" s="53" t="s">
        <v>233</v>
      </c>
      <c r="C61" s="62">
        <v>2019</v>
      </c>
      <c r="D61" s="175" t="s">
        <v>234</v>
      </c>
      <c r="E61" s="53" t="s">
        <v>364</v>
      </c>
      <c r="F61" s="53" t="s">
        <v>365</v>
      </c>
      <c r="G61" s="53" t="s">
        <v>36</v>
      </c>
      <c r="H61" s="53" t="s">
        <v>164</v>
      </c>
      <c r="I61" s="53" t="s">
        <v>159</v>
      </c>
      <c r="J61" s="53" t="s">
        <v>38</v>
      </c>
      <c r="K61" s="53" t="s">
        <v>161</v>
      </c>
      <c r="L61" s="53">
        <v>3</v>
      </c>
      <c r="N61" s="53">
        <v>5</v>
      </c>
      <c r="O61" s="53">
        <v>0.79</v>
      </c>
      <c r="P61" s="53">
        <v>0.81</v>
      </c>
      <c r="Q61" s="75">
        <f t="shared" si="2"/>
        <v>0.8</v>
      </c>
      <c r="R61" s="53">
        <v>13.8</v>
      </c>
      <c r="S61" s="53">
        <v>91</v>
      </c>
      <c r="T61" s="16">
        <f t="shared" si="0"/>
        <v>36</v>
      </c>
      <c r="U61" s="53">
        <v>321</v>
      </c>
      <c r="V61" s="16">
        <f t="shared" si="1"/>
        <v>16</v>
      </c>
      <c r="W61" s="53">
        <v>2</v>
      </c>
      <c r="X61" s="53" t="s">
        <v>39</v>
      </c>
      <c r="Y61" s="53" t="s">
        <v>90</v>
      </c>
      <c r="Z61" s="53" t="s">
        <v>78</v>
      </c>
      <c r="AA61" s="53" t="s">
        <v>382</v>
      </c>
      <c r="AB61" s="53" t="s">
        <v>351</v>
      </c>
      <c r="AV61" s="27"/>
    </row>
    <row r="62" spans="1:48" x14ac:dyDescent="0.15">
      <c r="C62" s="62"/>
      <c r="D62" s="175"/>
      <c r="Q62" s="75"/>
      <c r="AV62" s="27"/>
    </row>
    <row r="63" spans="1:48" x14ac:dyDescent="0.15">
      <c r="C63" s="62"/>
      <c r="D63" s="175"/>
      <c r="Q63" s="75"/>
      <c r="AV63" s="27"/>
    </row>
    <row r="64" spans="1:48" x14ac:dyDescent="0.15">
      <c r="C64" s="62"/>
      <c r="D64" s="175"/>
      <c r="Q64" s="75"/>
      <c r="AV64" s="27"/>
    </row>
    <row r="65" spans="3:48" x14ac:dyDescent="0.15">
      <c r="C65" s="62"/>
      <c r="D65" s="175"/>
      <c r="Q65" s="75"/>
      <c r="AV65" s="27"/>
    </row>
    <row r="66" spans="3:48" x14ac:dyDescent="0.15">
      <c r="C66" s="62"/>
      <c r="D66" s="175"/>
      <c r="Q66" s="75"/>
      <c r="AV66" s="27"/>
    </row>
    <row r="67" spans="3:48" x14ac:dyDescent="0.15">
      <c r="C67" s="62"/>
      <c r="D67" s="175"/>
      <c r="Q67" s="75"/>
      <c r="AV67" s="27"/>
    </row>
    <row r="68" spans="3:48" x14ac:dyDescent="0.15">
      <c r="C68" s="62"/>
      <c r="D68" s="175"/>
      <c r="Q68" s="75"/>
      <c r="AV68" s="27"/>
    </row>
    <row r="69" spans="3:48" x14ac:dyDescent="0.15">
      <c r="C69" s="62"/>
      <c r="D69" s="175"/>
      <c r="Q69" s="75"/>
      <c r="AV69" s="27"/>
    </row>
    <row r="70" spans="3:48" x14ac:dyDescent="0.15">
      <c r="C70" s="62"/>
      <c r="D70" s="175"/>
      <c r="Q70" s="75"/>
      <c r="AV70" s="27"/>
    </row>
    <row r="71" spans="3:48" x14ac:dyDescent="0.15">
      <c r="C71" s="62"/>
      <c r="D71" s="175"/>
      <c r="Q71" s="75"/>
      <c r="AV71" s="27"/>
    </row>
    <row r="72" spans="3:48" x14ac:dyDescent="0.15">
      <c r="C72" s="62"/>
      <c r="D72" s="175"/>
      <c r="Q72" s="75"/>
      <c r="AV72" s="27"/>
    </row>
    <row r="73" spans="3:48" x14ac:dyDescent="0.15">
      <c r="C73" s="62"/>
      <c r="D73" s="175"/>
      <c r="Q73" s="75"/>
    </row>
    <row r="74" spans="3:48" x14ac:dyDescent="0.15">
      <c r="C74" s="62"/>
      <c r="D74" s="175"/>
      <c r="Q74" s="75"/>
    </row>
    <row r="75" spans="3:48" x14ac:dyDescent="0.15">
      <c r="C75" s="62"/>
      <c r="D75" s="175"/>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FB67AE93-E6A7-4E3D-8508-55515645A6FD}">
      <formula1>$AR$2:$AR$27</formula1>
    </dataValidation>
    <dataValidation type="list" allowBlank="1" showInputMessage="1" showErrorMessage="1" sqref="E2:E485" xr:uid="{CD58EEC8-ABC7-4D11-B553-C32C2D018A5C}">
      <formula1>$AG$2:$AG$11</formula1>
    </dataValidation>
    <dataValidation type="list" allowBlank="1" showInputMessage="1" showErrorMessage="1" sqref="H2:H485" xr:uid="{3313ECCE-A88B-4984-A9D6-73E0CB0BF8B6}">
      <formula1>$AL$2:$AL$8</formula1>
    </dataValidation>
    <dataValidation type="decimal" allowBlank="1" showInputMessage="1" showErrorMessage="1" error="硬度を正しく入力して下さい。" sqref="O2:P485" xr:uid="{DA6BAED3-94C3-44DB-93D5-6737F02F6D2C}">
      <formula1>0</formula1>
      <formula2>7</formula2>
    </dataValidation>
    <dataValidation type="list" allowBlank="1" showInputMessage="1" showErrorMessage="1" sqref="F2:F1439" xr:uid="{2842256C-74BE-4CEC-A956-2CEEBEBA1603}">
      <formula1>$AH$2:$AH$11</formula1>
    </dataValidation>
    <dataValidation type="list" allowBlank="1" showInputMessage="1" showErrorMessage="1" sqref="Y2:AA576" xr:uid="{9922F4DC-0AC0-4487-9788-ADF38EA37E86}">
      <formula1>$AV$2:$AV$38</formula1>
    </dataValidation>
    <dataValidation type="list" allowBlank="1" showInputMessage="1" showErrorMessage="1" sqref="J2:J72" xr:uid="{D54EBAD4-E4C7-4BE8-A014-78BD6DBE9D1B}">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1637708E-F5A9-42B4-8FC0-E878406B61E2}">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9DC6A763-0E7F-4BD5-AF4F-3F0ABF4EDE78}">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6293F9FE-4EF9-47B9-B71B-85E2B177EC60}">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1DDB978F-704C-42E8-AABD-5778BE77B1E9}">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F3955BDC-664C-45BB-85DD-50402260B858}">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740ED216-A3B4-4177-9CA6-276EAA0E143C}">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1D9AAEDF-E775-413D-B04C-19BFA16EFCF6}">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945BC7F7-1620-4C43-9564-761FF19F29AB}">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58533B80-DBD7-464F-B0B0-0A4BE9A8529D}">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F4424CA9-E767-4791-B11C-8325ADC2BDCA}">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34D476EC-6042-4897-A545-3D7533776672}">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721AE0AA-E1CB-4BD8-9BF4-EDEDCE21977F}">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2A82-A80B-4393-BA9D-32F196DFC25C}">
  <dimension ref="A1:BA443"/>
  <sheetViews>
    <sheetView topLeftCell="A31" zoomScale="85" zoomScaleNormal="85" zoomScaleSheetLayoutView="100" workbookViewId="0">
      <selection activeCell="AC15" sqref="AC15"/>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31"/>
    <col min="40" max="16384" width="9" style="53"/>
  </cols>
  <sheetData>
    <row r="1" spans="1:53" ht="45" x14ac:dyDescent="0.15">
      <c r="A1" s="44" t="s">
        <v>0</v>
      </c>
      <c r="B1" s="55" t="s">
        <v>1</v>
      </c>
      <c r="C1" s="55" t="s">
        <v>2</v>
      </c>
      <c r="D1" s="56" t="s">
        <v>3</v>
      </c>
      <c r="E1" s="45" t="s">
        <v>4</v>
      </c>
      <c r="F1" s="45" t="s">
        <v>281</v>
      </c>
      <c r="G1" s="45" t="s">
        <v>6</v>
      </c>
      <c r="H1" s="45" t="s">
        <v>7</v>
      </c>
      <c r="I1" s="45" t="s">
        <v>8</v>
      </c>
      <c r="J1" s="45" t="s">
        <v>9</v>
      </c>
      <c r="K1" s="123"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24"/>
      <c r="AJ1" s="125" t="s">
        <v>6</v>
      </c>
      <c r="AK1" s="124"/>
      <c r="AL1" s="126" t="s">
        <v>7</v>
      </c>
      <c r="AM1" s="124"/>
      <c r="AN1" s="10" t="s">
        <v>8</v>
      </c>
      <c r="AO1" s="61"/>
      <c r="AP1" s="10" t="s">
        <v>27</v>
      </c>
      <c r="AQ1" s="61"/>
      <c r="AR1" s="10" t="s">
        <v>10</v>
      </c>
      <c r="AS1" s="61"/>
      <c r="AT1" s="11" t="s">
        <v>28</v>
      </c>
      <c r="AU1" s="61"/>
      <c r="AV1" s="10" t="s">
        <v>29</v>
      </c>
      <c r="AX1" s="12" t="s">
        <v>30</v>
      </c>
      <c r="AY1" s="13" t="s">
        <v>31</v>
      </c>
      <c r="AZ1" s="13" t="s">
        <v>32</v>
      </c>
      <c r="BA1" s="14" t="s">
        <v>33</v>
      </c>
    </row>
    <row r="2" spans="1:53" x14ac:dyDescent="0.15">
      <c r="A2" s="127" t="s">
        <v>34</v>
      </c>
      <c r="B2" s="127" t="s">
        <v>233</v>
      </c>
      <c r="C2" s="127">
        <v>2019</v>
      </c>
      <c r="D2" s="128" t="s">
        <v>282</v>
      </c>
      <c r="E2" s="127" t="s">
        <v>283</v>
      </c>
      <c r="F2" s="127" t="s">
        <v>284</v>
      </c>
      <c r="G2" s="129" t="s">
        <v>36</v>
      </c>
      <c r="H2" s="130" t="s">
        <v>164</v>
      </c>
      <c r="I2" s="131" t="s">
        <v>159</v>
      </c>
      <c r="J2" s="132" t="s">
        <v>38</v>
      </c>
      <c r="K2" s="131" t="s">
        <v>161</v>
      </c>
      <c r="L2" s="133">
        <v>1</v>
      </c>
      <c r="M2" s="134"/>
      <c r="N2" s="134">
        <v>4</v>
      </c>
      <c r="O2" s="134">
        <v>0.6</v>
      </c>
      <c r="P2" s="134">
        <v>0.65</v>
      </c>
      <c r="Q2" s="135">
        <f>IF(OR(O2="",P2=""),"",AVERAGE(O2,P2))</f>
        <v>0.625</v>
      </c>
      <c r="R2" s="136">
        <v>15.4</v>
      </c>
      <c r="S2" s="130">
        <v>83</v>
      </c>
      <c r="T2" s="137">
        <f t="shared" ref="T2:T65" si="0">IF(H2="","",IF(OR(H2="GREEN",H2="GK"),IF(S2&gt;=$AX$2,VLOOKUP(S2,$AX$2:$AY$7,2,1),""),IF(S2&gt;=$AZ$2,VLOOKUP(S2,$AZ$2:$BA$7,2,1),"")))</f>
        <v>39</v>
      </c>
      <c r="U2" s="131">
        <v>398</v>
      </c>
      <c r="V2" s="137">
        <f t="shared" ref="V2:V65" si="1">IF(OR(N2="",U2="",T2=""),"",U2/N2*T2)</f>
        <v>3880.5</v>
      </c>
      <c r="W2" s="138">
        <v>4</v>
      </c>
      <c r="X2" s="139" t="s">
        <v>46</v>
      </c>
      <c r="Y2" s="139" t="s">
        <v>102</v>
      </c>
      <c r="Z2" s="139" t="s">
        <v>90</v>
      </c>
      <c r="AA2" s="139" t="s">
        <v>50</v>
      </c>
      <c r="AB2" s="53" t="s">
        <v>237</v>
      </c>
      <c r="AE2" s="64" t="s">
        <v>35</v>
      </c>
      <c r="AG2" s="67" t="s">
        <v>283</v>
      </c>
      <c r="AH2" s="67" t="s">
        <v>284</v>
      </c>
      <c r="AJ2" s="140" t="s">
        <v>36</v>
      </c>
      <c r="AL2" s="67" t="s">
        <v>127</v>
      </c>
      <c r="AN2" s="67" t="s">
        <v>37</v>
      </c>
      <c r="AP2" s="67" t="s">
        <v>38</v>
      </c>
      <c r="AR2" s="67" t="s">
        <v>120</v>
      </c>
      <c r="AT2" s="67" t="s">
        <v>39</v>
      </c>
      <c r="AV2" s="67" t="s">
        <v>40</v>
      </c>
      <c r="AX2" s="68">
        <v>1</v>
      </c>
      <c r="AY2" s="69">
        <v>50</v>
      </c>
      <c r="AZ2" s="69">
        <v>1</v>
      </c>
      <c r="BA2" s="70">
        <v>50</v>
      </c>
    </row>
    <row r="3" spans="1:53" x14ac:dyDescent="0.15">
      <c r="A3" s="141" t="s">
        <v>34</v>
      </c>
      <c r="B3" s="141" t="s">
        <v>157</v>
      </c>
      <c r="C3" s="142">
        <v>2019</v>
      </c>
      <c r="D3" s="143" t="s">
        <v>285</v>
      </c>
      <c r="E3" s="141" t="s">
        <v>283</v>
      </c>
      <c r="F3" s="141" t="s">
        <v>284</v>
      </c>
      <c r="G3" s="144" t="s">
        <v>36</v>
      </c>
      <c r="H3" s="131" t="s">
        <v>164</v>
      </c>
      <c r="I3" s="131" t="s">
        <v>159</v>
      </c>
      <c r="J3" s="131" t="s">
        <v>38</v>
      </c>
      <c r="K3" s="131" t="s">
        <v>161</v>
      </c>
      <c r="L3" s="53">
        <v>2</v>
      </c>
      <c r="N3" s="53">
        <v>4</v>
      </c>
      <c r="O3" s="53">
        <v>0.45</v>
      </c>
      <c r="P3" s="34">
        <v>0.4</v>
      </c>
      <c r="Q3" s="145">
        <f t="shared" ref="Q3:Q66" si="2">IF(OR(O3="",P3=""),"",AVERAGE(O3,P3))</f>
        <v>0.42500000000000004</v>
      </c>
      <c r="R3" s="146">
        <v>16.100000000000001</v>
      </c>
      <c r="S3" s="146">
        <v>85</v>
      </c>
      <c r="T3" s="16">
        <f t="shared" si="0"/>
        <v>36</v>
      </c>
      <c r="U3" s="147">
        <v>398</v>
      </c>
      <c r="V3" s="38">
        <f t="shared" si="1"/>
        <v>3582</v>
      </c>
      <c r="W3" s="148">
        <v>4</v>
      </c>
      <c r="X3" s="149" t="s">
        <v>46</v>
      </c>
      <c r="Y3" s="149" t="s">
        <v>102</v>
      </c>
      <c r="Z3" s="149" t="s">
        <v>90</v>
      </c>
      <c r="AA3" s="139" t="s">
        <v>50</v>
      </c>
      <c r="AB3" s="53" t="s">
        <v>158</v>
      </c>
      <c r="AE3" s="22" t="s">
        <v>41</v>
      </c>
      <c r="AG3" s="67" t="s">
        <v>286</v>
      </c>
      <c r="AH3" s="67" t="s">
        <v>287</v>
      </c>
      <c r="AJ3" s="150" t="s">
        <v>42</v>
      </c>
      <c r="AL3" s="23" t="s">
        <v>128</v>
      </c>
      <c r="AN3" s="23" t="s">
        <v>43</v>
      </c>
      <c r="AP3" s="23" t="s">
        <v>44</v>
      </c>
      <c r="AR3" s="23" t="s">
        <v>45</v>
      </c>
      <c r="AT3" s="23" t="s">
        <v>46</v>
      </c>
      <c r="AV3" s="23" t="s">
        <v>47</v>
      </c>
      <c r="AX3" s="24">
        <v>72</v>
      </c>
      <c r="AY3" s="25">
        <v>46</v>
      </c>
      <c r="AZ3" s="25">
        <v>71</v>
      </c>
      <c r="BA3" s="26">
        <v>42</v>
      </c>
    </row>
    <row r="4" spans="1:53" x14ac:dyDescent="0.15">
      <c r="A4" s="141" t="s">
        <v>34</v>
      </c>
      <c r="B4" s="141" t="s">
        <v>157</v>
      </c>
      <c r="C4" s="141">
        <v>2019</v>
      </c>
      <c r="D4" s="143" t="s">
        <v>285</v>
      </c>
      <c r="E4" s="141" t="s">
        <v>283</v>
      </c>
      <c r="F4" s="141" t="s">
        <v>284</v>
      </c>
      <c r="G4" s="144" t="s">
        <v>36</v>
      </c>
      <c r="H4" s="131" t="s">
        <v>164</v>
      </c>
      <c r="I4" s="131" t="s">
        <v>159</v>
      </c>
      <c r="J4" s="131" t="s">
        <v>38</v>
      </c>
      <c r="K4" s="131" t="s">
        <v>161</v>
      </c>
      <c r="L4" s="53">
        <v>3</v>
      </c>
      <c r="N4" s="53">
        <v>4</v>
      </c>
      <c r="O4" s="53">
        <v>0.5</v>
      </c>
      <c r="P4" s="34">
        <v>0.55000000000000004</v>
      </c>
      <c r="Q4" s="75">
        <f t="shared" si="2"/>
        <v>0.52500000000000002</v>
      </c>
      <c r="R4" s="151">
        <v>15.7</v>
      </c>
      <c r="S4" s="151">
        <v>83</v>
      </c>
      <c r="T4" s="16">
        <f t="shared" si="0"/>
        <v>39</v>
      </c>
      <c r="U4" s="152">
        <v>398</v>
      </c>
      <c r="V4" s="38">
        <f t="shared" si="1"/>
        <v>3880.5</v>
      </c>
      <c r="W4" s="148">
        <v>4</v>
      </c>
      <c r="X4" s="149" t="s">
        <v>46</v>
      </c>
      <c r="Y4" s="149" t="s">
        <v>102</v>
      </c>
      <c r="Z4" s="149" t="s">
        <v>90</v>
      </c>
      <c r="AA4" s="139" t="s">
        <v>50</v>
      </c>
      <c r="AB4" s="53" t="s">
        <v>158</v>
      </c>
      <c r="AE4" s="22" t="s">
        <v>34</v>
      </c>
      <c r="AG4" s="67" t="s">
        <v>288</v>
      </c>
      <c r="AH4" s="67" t="s">
        <v>287</v>
      </c>
      <c r="AJ4" s="153" t="s">
        <v>48</v>
      </c>
      <c r="AL4" s="27" t="s">
        <v>129</v>
      </c>
      <c r="AN4" s="28" t="s">
        <v>49</v>
      </c>
      <c r="AP4" s="23" t="s">
        <v>93</v>
      </c>
      <c r="AR4" s="23" t="s">
        <v>121</v>
      </c>
      <c r="AT4" s="28"/>
      <c r="AV4" s="23" t="s">
        <v>50</v>
      </c>
      <c r="AX4" s="24">
        <v>75</v>
      </c>
      <c r="AY4" s="25">
        <v>42</v>
      </c>
      <c r="AZ4" s="25">
        <v>76</v>
      </c>
      <c r="BA4" s="26">
        <v>39</v>
      </c>
    </row>
    <row r="5" spans="1:53" x14ac:dyDescent="0.15">
      <c r="A5" s="141" t="s">
        <v>34</v>
      </c>
      <c r="B5" s="141" t="s">
        <v>157</v>
      </c>
      <c r="C5" s="142">
        <v>2019</v>
      </c>
      <c r="D5" s="143" t="s">
        <v>285</v>
      </c>
      <c r="E5" s="141" t="s">
        <v>283</v>
      </c>
      <c r="F5" s="141" t="s">
        <v>284</v>
      </c>
      <c r="G5" s="144" t="s">
        <v>36</v>
      </c>
      <c r="H5" s="131" t="s">
        <v>160</v>
      </c>
      <c r="I5" s="131" t="s">
        <v>159</v>
      </c>
      <c r="J5" s="131" t="s">
        <v>38</v>
      </c>
      <c r="K5" s="131" t="s">
        <v>161</v>
      </c>
      <c r="L5" s="53">
        <v>1</v>
      </c>
      <c r="N5" s="53">
        <v>1</v>
      </c>
      <c r="O5" s="53">
        <v>0.8</v>
      </c>
      <c r="P5" s="53">
        <v>0.75</v>
      </c>
      <c r="Q5" s="75">
        <f t="shared" si="2"/>
        <v>0.77500000000000002</v>
      </c>
      <c r="R5" s="151">
        <v>16.8</v>
      </c>
      <c r="S5" s="151">
        <v>118</v>
      </c>
      <c r="T5" s="16">
        <f t="shared" si="0"/>
        <v>30</v>
      </c>
      <c r="U5" s="152">
        <v>138</v>
      </c>
      <c r="V5" s="38">
        <f t="shared" si="1"/>
        <v>4140</v>
      </c>
      <c r="W5" s="148">
        <v>4</v>
      </c>
      <c r="X5" s="149" t="s">
        <v>46</v>
      </c>
      <c r="Y5" s="149" t="s">
        <v>102</v>
      </c>
      <c r="Z5" s="149" t="s">
        <v>90</v>
      </c>
      <c r="AA5" s="139" t="s">
        <v>50</v>
      </c>
      <c r="AB5" s="53" t="s">
        <v>158</v>
      </c>
      <c r="AE5" s="22" t="s">
        <v>51</v>
      </c>
      <c r="AG5" s="67" t="s">
        <v>283</v>
      </c>
      <c r="AH5" s="67" t="s">
        <v>289</v>
      </c>
      <c r="AJ5" s="154"/>
      <c r="AL5" s="73" t="s">
        <v>66</v>
      </c>
      <c r="AN5" s="73" t="s">
        <v>52</v>
      </c>
      <c r="AP5" s="23" t="s">
        <v>119</v>
      </c>
      <c r="AR5" s="23" t="s">
        <v>54</v>
      </c>
      <c r="AV5" s="23" t="s">
        <v>55</v>
      </c>
      <c r="AX5" s="24">
        <v>84</v>
      </c>
      <c r="AY5" s="25">
        <v>39</v>
      </c>
      <c r="AZ5" s="25">
        <v>84</v>
      </c>
      <c r="BA5" s="26">
        <v>36</v>
      </c>
    </row>
    <row r="6" spans="1:53" x14ac:dyDescent="0.15">
      <c r="A6" s="141" t="s">
        <v>34</v>
      </c>
      <c r="B6" s="141" t="s">
        <v>157</v>
      </c>
      <c r="C6" s="141">
        <v>2019</v>
      </c>
      <c r="D6" s="143" t="s">
        <v>285</v>
      </c>
      <c r="E6" s="141" t="s">
        <v>283</v>
      </c>
      <c r="F6" s="141" t="s">
        <v>284</v>
      </c>
      <c r="G6" s="144" t="s">
        <v>36</v>
      </c>
      <c r="H6" s="131" t="s">
        <v>160</v>
      </c>
      <c r="I6" s="131" t="s">
        <v>159</v>
      </c>
      <c r="J6" s="131" t="s">
        <v>38</v>
      </c>
      <c r="K6" s="131" t="s">
        <v>161</v>
      </c>
      <c r="L6" s="53">
        <v>2</v>
      </c>
      <c r="N6" s="53">
        <v>1</v>
      </c>
      <c r="O6" s="53">
        <v>0.85</v>
      </c>
      <c r="P6" s="53">
        <v>0.8</v>
      </c>
      <c r="Q6" s="75">
        <f t="shared" si="2"/>
        <v>0.82499999999999996</v>
      </c>
      <c r="R6" s="151">
        <v>16.3</v>
      </c>
      <c r="S6" s="151">
        <v>121</v>
      </c>
      <c r="T6" s="16">
        <f t="shared" si="0"/>
        <v>30</v>
      </c>
      <c r="U6" s="152">
        <v>138</v>
      </c>
      <c r="V6" s="38">
        <f t="shared" si="1"/>
        <v>4140</v>
      </c>
      <c r="W6" s="148">
        <v>4</v>
      </c>
      <c r="X6" s="149" t="s">
        <v>46</v>
      </c>
      <c r="Y6" s="149" t="s">
        <v>102</v>
      </c>
      <c r="Z6" s="149" t="s">
        <v>90</v>
      </c>
      <c r="AA6" s="139" t="s">
        <v>50</v>
      </c>
      <c r="AB6" s="53" t="s">
        <v>158</v>
      </c>
      <c r="AE6" s="22" t="s">
        <v>56</v>
      </c>
      <c r="AG6" s="67" t="s">
        <v>211</v>
      </c>
      <c r="AH6" s="67" t="s">
        <v>290</v>
      </c>
      <c r="AL6" s="73" t="s">
        <v>99</v>
      </c>
      <c r="AN6" s="73" t="s">
        <v>57</v>
      </c>
      <c r="AP6" s="23" t="s">
        <v>53</v>
      </c>
      <c r="AR6" s="23" t="s">
        <v>59</v>
      </c>
      <c r="AV6" s="23" t="s">
        <v>60</v>
      </c>
      <c r="AX6" s="24">
        <v>97</v>
      </c>
      <c r="AY6" s="25">
        <v>36</v>
      </c>
      <c r="AZ6" s="25">
        <v>99</v>
      </c>
      <c r="BA6" s="26">
        <v>33</v>
      </c>
    </row>
    <row r="7" spans="1:53" x14ac:dyDescent="0.15">
      <c r="A7" s="141" t="s">
        <v>34</v>
      </c>
      <c r="B7" s="141" t="s">
        <v>157</v>
      </c>
      <c r="C7" s="142">
        <v>2019</v>
      </c>
      <c r="D7" s="143" t="s">
        <v>285</v>
      </c>
      <c r="E7" s="141" t="s">
        <v>283</v>
      </c>
      <c r="F7" s="141" t="s">
        <v>284</v>
      </c>
      <c r="G7" s="144" t="s">
        <v>36</v>
      </c>
      <c r="H7" s="131" t="s">
        <v>160</v>
      </c>
      <c r="I7" s="131" t="s">
        <v>159</v>
      </c>
      <c r="J7" s="131" t="s">
        <v>38</v>
      </c>
      <c r="K7" s="131" t="s">
        <v>161</v>
      </c>
      <c r="L7" s="53">
        <v>3</v>
      </c>
      <c r="N7" s="53">
        <v>1</v>
      </c>
      <c r="O7" s="53">
        <v>0.8</v>
      </c>
      <c r="P7" s="53">
        <v>0.85</v>
      </c>
      <c r="Q7" s="75">
        <f t="shared" si="2"/>
        <v>0.82499999999999996</v>
      </c>
      <c r="R7" s="151">
        <v>16.399999999999999</v>
      </c>
      <c r="S7" s="151">
        <v>111</v>
      </c>
      <c r="T7" s="16">
        <f t="shared" si="0"/>
        <v>33</v>
      </c>
      <c r="U7" s="152">
        <v>138</v>
      </c>
      <c r="V7" s="38">
        <f t="shared" si="1"/>
        <v>4554</v>
      </c>
      <c r="W7" s="148">
        <v>4</v>
      </c>
      <c r="X7" s="149" t="s">
        <v>46</v>
      </c>
      <c r="Y7" s="149" t="s">
        <v>102</v>
      </c>
      <c r="Z7" s="149" t="s">
        <v>90</v>
      </c>
      <c r="AA7" s="139" t="s">
        <v>50</v>
      </c>
      <c r="AB7" s="53" t="s">
        <v>158</v>
      </c>
      <c r="AE7" s="22" t="s">
        <v>61</v>
      </c>
      <c r="AG7" s="67" t="s">
        <v>291</v>
      </c>
      <c r="AH7" s="67" t="s">
        <v>290</v>
      </c>
      <c r="AL7" s="34" t="s">
        <v>109</v>
      </c>
      <c r="AP7" s="23" t="s">
        <v>58</v>
      </c>
      <c r="AR7" s="23" t="s">
        <v>122</v>
      </c>
      <c r="AV7" s="23" t="s">
        <v>64</v>
      </c>
      <c r="AX7" s="24">
        <v>109</v>
      </c>
      <c r="AY7" s="25">
        <v>33</v>
      </c>
      <c r="AZ7" s="25">
        <v>113</v>
      </c>
      <c r="BA7" s="26">
        <v>30</v>
      </c>
    </row>
    <row r="8" spans="1:53" x14ac:dyDescent="0.15">
      <c r="A8" s="141" t="s">
        <v>34</v>
      </c>
      <c r="B8" s="141" t="s">
        <v>157</v>
      </c>
      <c r="C8" s="141">
        <v>2019</v>
      </c>
      <c r="D8" s="143" t="s">
        <v>285</v>
      </c>
      <c r="E8" s="142" t="s">
        <v>286</v>
      </c>
      <c r="F8" s="141" t="s">
        <v>287</v>
      </c>
      <c r="G8" s="144" t="s">
        <v>36</v>
      </c>
      <c r="H8" s="131" t="s">
        <v>164</v>
      </c>
      <c r="I8" s="131" t="s">
        <v>159</v>
      </c>
      <c r="J8" s="131" t="s">
        <v>38</v>
      </c>
      <c r="K8" s="131" t="s">
        <v>161</v>
      </c>
      <c r="L8" s="53">
        <v>1</v>
      </c>
      <c r="N8" s="53">
        <v>1</v>
      </c>
      <c r="O8" s="53">
        <v>0.4</v>
      </c>
      <c r="P8" s="53">
        <v>0.5</v>
      </c>
      <c r="Q8" s="75">
        <f t="shared" si="2"/>
        <v>0.45</v>
      </c>
      <c r="R8" s="151">
        <v>14</v>
      </c>
      <c r="S8" s="151">
        <v>125</v>
      </c>
      <c r="T8" s="16">
        <f t="shared" si="0"/>
        <v>30</v>
      </c>
      <c r="U8" s="147">
        <v>98</v>
      </c>
      <c r="V8" s="38">
        <f t="shared" si="1"/>
        <v>2940</v>
      </c>
      <c r="W8" s="148">
        <v>6</v>
      </c>
      <c r="X8" s="149" t="s">
        <v>46</v>
      </c>
      <c r="Y8" s="155" t="s">
        <v>102</v>
      </c>
      <c r="Z8" s="149" t="s">
        <v>50</v>
      </c>
      <c r="AA8" s="139" t="s">
        <v>90</v>
      </c>
      <c r="AB8" s="53" t="s">
        <v>158</v>
      </c>
      <c r="AE8" s="22" t="s">
        <v>59</v>
      </c>
      <c r="AG8" s="67" t="s">
        <v>211</v>
      </c>
      <c r="AH8" s="67" t="s">
        <v>292</v>
      </c>
      <c r="AL8" s="34" t="s">
        <v>134</v>
      </c>
      <c r="AP8" s="23" t="s">
        <v>62</v>
      </c>
      <c r="AR8" s="23" t="s">
        <v>81</v>
      </c>
      <c r="AV8" s="23" t="s">
        <v>97</v>
      </c>
      <c r="AX8" s="24">
        <v>151</v>
      </c>
      <c r="AY8" s="25">
        <v>22</v>
      </c>
      <c r="AZ8" s="25">
        <v>152</v>
      </c>
      <c r="BA8" s="26">
        <v>18</v>
      </c>
    </row>
    <row r="9" spans="1:53" x14ac:dyDescent="0.15">
      <c r="A9" s="141" t="s">
        <v>34</v>
      </c>
      <c r="B9" s="141" t="s">
        <v>157</v>
      </c>
      <c r="C9" s="142">
        <v>2019</v>
      </c>
      <c r="D9" s="143" t="s">
        <v>285</v>
      </c>
      <c r="E9" s="142" t="s">
        <v>286</v>
      </c>
      <c r="F9" s="141" t="s">
        <v>287</v>
      </c>
      <c r="G9" s="144" t="s">
        <v>36</v>
      </c>
      <c r="H9" s="131" t="s">
        <v>293</v>
      </c>
      <c r="I9" s="131" t="s">
        <v>159</v>
      </c>
      <c r="J9" s="131" t="s">
        <v>38</v>
      </c>
      <c r="K9" s="131" t="s">
        <v>161</v>
      </c>
      <c r="L9" s="53">
        <v>2</v>
      </c>
      <c r="N9" s="53">
        <v>1</v>
      </c>
      <c r="O9" s="53">
        <v>0.3</v>
      </c>
      <c r="P9" s="53">
        <v>0.4</v>
      </c>
      <c r="Q9" s="75">
        <f t="shared" si="2"/>
        <v>0.35</v>
      </c>
      <c r="R9" s="151">
        <v>13.8</v>
      </c>
      <c r="S9" s="151">
        <v>115</v>
      </c>
      <c r="T9" s="16">
        <f t="shared" si="0"/>
        <v>30</v>
      </c>
      <c r="U9" s="147">
        <v>98</v>
      </c>
      <c r="V9" s="38">
        <f t="shared" si="1"/>
        <v>2940</v>
      </c>
      <c r="W9" s="148">
        <v>6</v>
      </c>
      <c r="X9" s="149" t="s">
        <v>46</v>
      </c>
      <c r="Y9" s="155" t="s">
        <v>102</v>
      </c>
      <c r="Z9" s="149" t="s">
        <v>50</v>
      </c>
      <c r="AA9" s="139" t="s">
        <v>90</v>
      </c>
      <c r="AB9" s="53" t="s">
        <v>158</v>
      </c>
      <c r="AE9" s="22" t="s">
        <v>98</v>
      </c>
      <c r="AG9" s="67" t="s">
        <v>139</v>
      </c>
      <c r="AH9" s="67" t="s">
        <v>292</v>
      </c>
      <c r="AL9" s="73"/>
      <c r="AP9" s="23" t="s">
        <v>95</v>
      </c>
      <c r="AR9" s="23" t="s">
        <v>89</v>
      </c>
      <c r="AV9" s="23" t="s">
        <v>102</v>
      </c>
      <c r="AX9" s="31">
        <v>180</v>
      </c>
      <c r="AY9" s="32">
        <v>18</v>
      </c>
      <c r="AZ9" s="32">
        <v>181</v>
      </c>
      <c r="BA9" s="33">
        <v>16</v>
      </c>
    </row>
    <row r="10" spans="1:53" x14ac:dyDescent="0.15">
      <c r="A10" s="141" t="s">
        <v>34</v>
      </c>
      <c r="B10" s="141" t="s">
        <v>157</v>
      </c>
      <c r="C10" s="141">
        <v>2019</v>
      </c>
      <c r="D10" s="143" t="s">
        <v>285</v>
      </c>
      <c r="E10" s="142" t="s">
        <v>286</v>
      </c>
      <c r="F10" s="141" t="s">
        <v>287</v>
      </c>
      <c r="G10" s="144" t="s">
        <v>36</v>
      </c>
      <c r="H10" s="131" t="s">
        <v>164</v>
      </c>
      <c r="I10" s="131" t="s">
        <v>159</v>
      </c>
      <c r="J10" s="131" t="s">
        <v>38</v>
      </c>
      <c r="K10" s="131" t="s">
        <v>161</v>
      </c>
      <c r="L10" s="53">
        <v>3</v>
      </c>
      <c r="N10" s="53">
        <v>1</v>
      </c>
      <c r="O10" s="53">
        <v>0.35</v>
      </c>
      <c r="P10" s="53">
        <v>0.4</v>
      </c>
      <c r="Q10" s="75">
        <f t="shared" si="2"/>
        <v>0.375</v>
      </c>
      <c r="R10" s="151">
        <v>14.4</v>
      </c>
      <c r="S10" s="151">
        <v>116</v>
      </c>
      <c r="T10" s="16">
        <f t="shared" si="0"/>
        <v>30</v>
      </c>
      <c r="U10" s="147">
        <v>98</v>
      </c>
      <c r="V10" s="38">
        <f t="shared" si="1"/>
        <v>2940</v>
      </c>
      <c r="W10" s="148">
        <v>6</v>
      </c>
      <c r="X10" s="149" t="s">
        <v>46</v>
      </c>
      <c r="Y10" s="155" t="s">
        <v>102</v>
      </c>
      <c r="Z10" s="149" t="s">
        <v>50</v>
      </c>
      <c r="AA10" s="139" t="s">
        <v>90</v>
      </c>
      <c r="AB10" s="53" t="s">
        <v>158</v>
      </c>
      <c r="AE10" s="22" t="s">
        <v>103</v>
      </c>
      <c r="AG10" s="67" t="s">
        <v>133</v>
      </c>
      <c r="AH10" s="67" t="s">
        <v>294</v>
      </c>
      <c r="AL10" s="34"/>
      <c r="AP10" s="23" t="s">
        <v>100</v>
      </c>
      <c r="AR10" s="23" t="s">
        <v>123</v>
      </c>
      <c r="AV10" s="23" t="s">
        <v>106</v>
      </c>
    </row>
    <row r="11" spans="1:53" x14ac:dyDescent="0.15">
      <c r="A11" s="141" t="s">
        <v>34</v>
      </c>
      <c r="B11" s="141" t="s">
        <v>157</v>
      </c>
      <c r="C11" s="142">
        <v>2019</v>
      </c>
      <c r="D11" s="143" t="s">
        <v>285</v>
      </c>
      <c r="E11" s="142" t="s">
        <v>286</v>
      </c>
      <c r="F11" s="141" t="s">
        <v>287</v>
      </c>
      <c r="G11" s="144" t="s">
        <v>36</v>
      </c>
      <c r="H11" s="131" t="s">
        <v>160</v>
      </c>
      <c r="I11" s="131" t="s">
        <v>159</v>
      </c>
      <c r="J11" s="131" t="s">
        <v>38</v>
      </c>
      <c r="K11" s="131" t="s">
        <v>161</v>
      </c>
      <c r="L11" s="53">
        <v>1</v>
      </c>
      <c r="N11" s="53">
        <v>1</v>
      </c>
      <c r="O11" s="53">
        <v>0.5</v>
      </c>
      <c r="P11" s="53">
        <v>0.45</v>
      </c>
      <c r="Q11" s="75">
        <f t="shared" si="2"/>
        <v>0.47499999999999998</v>
      </c>
      <c r="R11" s="151">
        <v>15.1</v>
      </c>
      <c r="S11" s="151">
        <v>108</v>
      </c>
      <c r="T11" s="16">
        <f t="shared" si="0"/>
        <v>33</v>
      </c>
      <c r="U11" s="147">
        <v>98</v>
      </c>
      <c r="V11" s="38">
        <f t="shared" si="1"/>
        <v>3234</v>
      </c>
      <c r="W11" s="148">
        <v>6</v>
      </c>
      <c r="X11" s="149" t="s">
        <v>46</v>
      </c>
      <c r="Y11" s="155" t="s">
        <v>102</v>
      </c>
      <c r="Z11" s="149" t="s">
        <v>50</v>
      </c>
      <c r="AA11" s="155" t="s">
        <v>90</v>
      </c>
      <c r="AB11" s="53" t="s">
        <v>158</v>
      </c>
      <c r="AE11" s="22" t="s">
        <v>65</v>
      </c>
      <c r="AG11" s="23" t="s">
        <v>270</v>
      </c>
      <c r="AH11" s="23" t="s">
        <v>295</v>
      </c>
      <c r="AL11" s="34"/>
      <c r="AP11" s="23" t="s">
        <v>104</v>
      </c>
      <c r="AR11" s="23" t="s">
        <v>87</v>
      </c>
      <c r="AV11" s="23" t="s">
        <v>69</v>
      </c>
    </row>
    <row r="12" spans="1:53" x14ac:dyDescent="0.15">
      <c r="A12" s="141" t="s">
        <v>34</v>
      </c>
      <c r="B12" s="141" t="s">
        <v>157</v>
      </c>
      <c r="C12" s="141">
        <v>2019</v>
      </c>
      <c r="D12" s="143" t="s">
        <v>285</v>
      </c>
      <c r="E12" s="142" t="s">
        <v>286</v>
      </c>
      <c r="F12" s="141" t="s">
        <v>287</v>
      </c>
      <c r="G12" s="144" t="s">
        <v>36</v>
      </c>
      <c r="H12" s="131" t="s">
        <v>160</v>
      </c>
      <c r="I12" s="131" t="s">
        <v>159</v>
      </c>
      <c r="J12" s="131" t="s">
        <v>38</v>
      </c>
      <c r="K12" s="131" t="s">
        <v>161</v>
      </c>
      <c r="L12" s="53">
        <v>2</v>
      </c>
      <c r="N12" s="53">
        <v>1</v>
      </c>
      <c r="O12" s="53">
        <v>0.55000000000000004</v>
      </c>
      <c r="P12" s="53">
        <v>0.5</v>
      </c>
      <c r="Q12" s="75">
        <f t="shared" si="2"/>
        <v>0.52500000000000002</v>
      </c>
      <c r="R12" s="151">
        <v>15.3</v>
      </c>
      <c r="S12" s="151">
        <v>110</v>
      </c>
      <c r="T12" s="16">
        <f t="shared" si="0"/>
        <v>33</v>
      </c>
      <c r="U12" s="147">
        <v>98</v>
      </c>
      <c r="V12" s="38">
        <f t="shared" si="1"/>
        <v>3234</v>
      </c>
      <c r="W12" s="148">
        <v>6</v>
      </c>
      <c r="X12" s="149" t="s">
        <v>46</v>
      </c>
      <c r="Y12" s="155" t="s">
        <v>102</v>
      </c>
      <c r="Z12" s="149" t="s">
        <v>50</v>
      </c>
      <c r="AA12" s="155" t="s">
        <v>90</v>
      </c>
      <c r="AB12" s="53" t="s">
        <v>158</v>
      </c>
      <c r="AE12" s="22" t="s">
        <v>70</v>
      </c>
      <c r="AG12" s="23"/>
      <c r="AH12" s="23"/>
      <c r="AL12" s="34"/>
      <c r="AP12" s="23" t="s">
        <v>67</v>
      </c>
      <c r="AR12" s="23" t="s">
        <v>124</v>
      </c>
      <c r="AV12" s="23" t="s">
        <v>72</v>
      </c>
    </row>
    <row r="13" spans="1:53" x14ac:dyDescent="0.15">
      <c r="A13" s="141" t="s">
        <v>34</v>
      </c>
      <c r="B13" s="141" t="s">
        <v>157</v>
      </c>
      <c r="C13" s="142">
        <v>2019</v>
      </c>
      <c r="D13" s="143" t="s">
        <v>285</v>
      </c>
      <c r="E13" s="142" t="s">
        <v>286</v>
      </c>
      <c r="F13" s="141" t="s">
        <v>287</v>
      </c>
      <c r="G13" s="144" t="s">
        <v>36</v>
      </c>
      <c r="H13" s="131" t="s">
        <v>160</v>
      </c>
      <c r="I13" s="131" t="s">
        <v>159</v>
      </c>
      <c r="J13" s="131" t="s">
        <v>38</v>
      </c>
      <c r="K13" s="131" t="s">
        <v>161</v>
      </c>
      <c r="L13" s="53">
        <v>3</v>
      </c>
      <c r="N13" s="53">
        <v>1</v>
      </c>
      <c r="O13" s="53">
        <v>0.6</v>
      </c>
      <c r="P13" s="53">
        <v>0.65</v>
      </c>
      <c r="Q13" s="75">
        <f t="shared" si="2"/>
        <v>0.625</v>
      </c>
      <c r="R13" s="151">
        <v>15.4</v>
      </c>
      <c r="S13" s="151">
        <v>112</v>
      </c>
      <c r="T13" s="16">
        <f t="shared" si="0"/>
        <v>33</v>
      </c>
      <c r="U13" s="147">
        <v>98</v>
      </c>
      <c r="V13" s="38">
        <f t="shared" si="1"/>
        <v>3234</v>
      </c>
      <c r="W13" s="148">
        <v>6</v>
      </c>
      <c r="X13" s="149" t="s">
        <v>46</v>
      </c>
      <c r="Y13" s="155" t="s">
        <v>102</v>
      </c>
      <c r="Z13" s="149" t="s">
        <v>50</v>
      </c>
      <c r="AA13" s="155" t="s">
        <v>90</v>
      </c>
      <c r="AB13" s="53" t="s">
        <v>158</v>
      </c>
      <c r="AE13" s="22" t="s">
        <v>73</v>
      </c>
      <c r="AG13" s="28"/>
      <c r="AH13" s="28"/>
      <c r="AP13" s="23" t="s">
        <v>71</v>
      </c>
      <c r="AR13" s="23" t="s">
        <v>103</v>
      </c>
      <c r="AV13" s="23" t="s">
        <v>75</v>
      </c>
    </row>
    <row r="14" spans="1:53" x14ac:dyDescent="0.15">
      <c r="A14" s="141" t="s">
        <v>34</v>
      </c>
      <c r="B14" s="141" t="s">
        <v>157</v>
      </c>
      <c r="C14" s="141">
        <v>2019</v>
      </c>
      <c r="D14" s="143" t="s">
        <v>285</v>
      </c>
      <c r="E14" s="142" t="s">
        <v>288</v>
      </c>
      <c r="F14" s="141" t="s">
        <v>287</v>
      </c>
      <c r="G14" s="144" t="s">
        <v>36</v>
      </c>
      <c r="H14" s="131" t="s">
        <v>164</v>
      </c>
      <c r="I14" s="131" t="s">
        <v>159</v>
      </c>
      <c r="J14" s="131" t="s">
        <v>38</v>
      </c>
      <c r="K14" s="131" t="s">
        <v>161</v>
      </c>
      <c r="L14" s="53">
        <v>1</v>
      </c>
      <c r="N14" s="53">
        <v>1</v>
      </c>
      <c r="O14" s="53">
        <v>0.9</v>
      </c>
      <c r="P14" s="53">
        <v>1</v>
      </c>
      <c r="Q14" s="75">
        <f t="shared" si="2"/>
        <v>0.95</v>
      </c>
      <c r="R14" s="151">
        <v>15.7</v>
      </c>
      <c r="S14" s="151">
        <v>135</v>
      </c>
      <c r="T14" s="16">
        <f t="shared" si="0"/>
        <v>30</v>
      </c>
      <c r="U14" s="147">
        <v>79</v>
      </c>
      <c r="V14" s="38">
        <f t="shared" si="1"/>
        <v>2370</v>
      </c>
      <c r="W14" s="148">
        <v>3</v>
      </c>
      <c r="X14" s="149" t="s">
        <v>46</v>
      </c>
      <c r="Y14" s="155" t="s">
        <v>50</v>
      </c>
      <c r="Z14" s="155" t="s">
        <v>90</v>
      </c>
      <c r="AA14" s="155" t="s">
        <v>69</v>
      </c>
      <c r="AB14" s="53" t="s">
        <v>158</v>
      </c>
      <c r="AC14" s="34"/>
      <c r="AE14" s="22" t="s">
        <v>76</v>
      </c>
      <c r="AP14" s="23" t="s">
        <v>74</v>
      </c>
      <c r="AR14" s="23" t="s">
        <v>125</v>
      </c>
      <c r="AV14" s="23" t="s">
        <v>78</v>
      </c>
    </row>
    <row r="15" spans="1:53" x14ac:dyDescent="0.15">
      <c r="A15" s="141" t="s">
        <v>34</v>
      </c>
      <c r="B15" s="141" t="s">
        <v>157</v>
      </c>
      <c r="C15" s="142">
        <v>2019</v>
      </c>
      <c r="D15" s="143" t="s">
        <v>285</v>
      </c>
      <c r="E15" s="142" t="s">
        <v>288</v>
      </c>
      <c r="F15" s="141" t="s">
        <v>287</v>
      </c>
      <c r="G15" s="144" t="s">
        <v>36</v>
      </c>
      <c r="H15" s="131" t="s">
        <v>164</v>
      </c>
      <c r="I15" s="131" t="s">
        <v>159</v>
      </c>
      <c r="J15" s="131" t="s">
        <v>38</v>
      </c>
      <c r="K15" s="131" t="s">
        <v>161</v>
      </c>
      <c r="L15" s="53">
        <v>2</v>
      </c>
      <c r="N15" s="53">
        <v>1</v>
      </c>
      <c r="O15" s="53">
        <v>1.1000000000000001</v>
      </c>
      <c r="P15" s="53">
        <v>0.85</v>
      </c>
      <c r="Q15" s="75">
        <f t="shared" si="2"/>
        <v>0.97500000000000009</v>
      </c>
      <c r="R15" s="151">
        <v>15.3</v>
      </c>
      <c r="S15" s="151">
        <v>130</v>
      </c>
      <c r="T15" s="16">
        <f t="shared" si="0"/>
        <v>30</v>
      </c>
      <c r="U15" s="147">
        <v>79</v>
      </c>
      <c r="V15" s="38">
        <f t="shared" si="1"/>
        <v>2370</v>
      </c>
      <c r="W15" s="148">
        <v>3</v>
      </c>
      <c r="X15" s="149" t="s">
        <v>46</v>
      </c>
      <c r="Y15" s="155" t="s">
        <v>50</v>
      </c>
      <c r="Z15" s="155" t="s">
        <v>90</v>
      </c>
      <c r="AA15" s="155" t="s">
        <v>69</v>
      </c>
      <c r="AB15" s="53" t="s">
        <v>158</v>
      </c>
      <c r="AC15" s="34"/>
      <c r="AE15" s="22" t="s">
        <v>79</v>
      </c>
      <c r="AP15" s="23" t="s">
        <v>77</v>
      </c>
      <c r="AR15" s="23" t="s">
        <v>94</v>
      </c>
      <c r="AV15" s="23" t="s">
        <v>107</v>
      </c>
    </row>
    <row r="16" spans="1:53" x14ac:dyDescent="0.15">
      <c r="A16" s="141" t="s">
        <v>34</v>
      </c>
      <c r="B16" s="141" t="s">
        <v>157</v>
      </c>
      <c r="C16" s="141">
        <v>2019</v>
      </c>
      <c r="D16" s="143" t="s">
        <v>285</v>
      </c>
      <c r="E16" s="142" t="s">
        <v>288</v>
      </c>
      <c r="F16" s="141" t="s">
        <v>287</v>
      </c>
      <c r="G16" s="144" t="s">
        <v>36</v>
      </c>
      <c r="H16" s="131" t="s">
        <v>164</v>
      </c>
      <c r="I16" s="131" t="s">
        <v>159</v>
      </c>
      <c r="J16" s="131" t="s">
        <v>38</v>
      </c>
      <c r="K16" s="131" t="s">
        <v>161</v>
      </c>
      <c r="L16" s="53">
        <v>3</v>
      </c>
      <c r="N16" s="53">
        <v>1</v>
      </c>
      <c r="O16" s="53">
        <v>0.85</v>
      </c>
      <c r="P16" s="53">
        <v>0.9</v>
      </c>
      <c r="Q16" s="75">
        <f t="shared" si="2"/>
        <v>0.875</v>
      </c>
      <c r="R16" s="151">
        <v>15.6</v>
      </c>
      <c r="S16" s="151">
        <v>130</v>
      </c>
      <c r="T16" s="16">
        <f t="shared" si="0"/>
        <v>30</v>
      </c>
      <c r="U16" s="147">
        <v>79</v>
      </c>
      <c r="V16" s="38">
        <f t="shared" si="1"/>
        <v>2370</v>
      </c>
      <c r="W16" s="148">
        <v>3</v>
      </c>
      <c r="X16" s="149" t="s">
        <v>46</v>
      </c>
      <c r="Y16" s="155" t="s">
        <v>50</v>
      </c>
      <c r="Z16" s="155" t="s">
        <v>90</v>
      </c>
      <c r="AA16" s="155" t="s">
        <v>69</v>
      </c>
      <c r="AB16" s="53" t="s">
        <v>158</v>
      </c>
      <c r="AC16" s="34"/>
      <c r="AE16" s="22" t="s">
        <v>82</v>
      </c>
      <c r="AP16" s="23" t="s">
        <v>80</v>
      </c>
      <c r="AR16" s="23" t="s">
        <v>63</v>
      </c>
      <c r="AV16" s="23" t="s">
        <v>84</v>
      </c>
    </row>
    <row r="17" spans="1:48" x14ac:dyDescent="0.15">
      <c r="A17" s="141" t="s">
        <v>34</v>
      </c>
      <c r="B17" s="141" t="s">
        <v>233</v>
      </c>
      <c r="C17" s="142">
        <v>2019</v>
      </c>
      <c r="D17" s="143" t="s">
        <v>285</v>
      </c>
      <c r="E17" s="142" t="s">
        <v>288</v>
      </c>
      <c r="F17" s="141" t="s">
        <v>287</v>
      </c>
      <c r="G17" s="144" t="s">
        <v>36</v>
      </c>
      <c r="H17" s="131" t="s">
        <v>160</v>
      </c>
      <c r="I17" s="131" t="s">
        <v>159</v>
      </c>
      <c r="J17" s="131" t="s">
        <v>38</v>
      </c>
      <c r="K17" s="131" t="s">
        <v>161</v>
      </c>
      <c r="L17" s="53">
        <v>1</v>
      </c>
      <c r="N17" s="53">
        <v>1</v>
      </c>
      <c r="O17" s="53">
        <v>0.9</v>
      </c>
      <c r="P17" s="53">
        <v>0.8</v>
      </c>
      <c r="Q17" s="75">
        <f t="shared" si="2"/>
        <v>0.85000000000000009</v>
      </c>
      <c r="R17" s="151">
        <v>15.7</v>
      </c>
      <c r="S17" s="151">
        <v>124</v>
      </c>
      <c r="T17" s="16">
        <f t="shared" si="0"/>
        <v>30</v>
      </c>
      <c r="U17" s="147">
        <v>128</v>
      </c>
      <c r="V17" s="38">
        <f t="shared" si="1"/>
        <v>3840</v>
      </c>
      <c r="W17" s="148">
        <v>3</v>
      </c>
      <c r="X17" s="149" t="s">
        <v>46</v>
      </c>
      <c r="Y17" s="155" t="s">
        <v>50</v>
      </c>
      <c r="Z17" s="155" t="s">
        <v>90</v>
      </c>
      <c r="AA17" s="155" t="s">
        <v>69</v>
      </c>
      <c r="AB17" s="53" t="s">
        <v>158</v>
      </c>
      <c r="AC17" s="34"/>
      <c r="AE17" s="22" t="s">
        <v>85</v>
      </c>
      <c r="AP17" s="27" t="s">
        <v>110</v>
      </c>
      <c r="AR17" s="23" t="s">
        <v>96</v>
      </c>
      <c r="AV17" s="23" t="s">
        <v>86</v>
      </c>
    </row>
    <row r="18" spans="1:48" x14ac:dyDescent="0.15">
      <c r="A18" s="141" t="s">
        <v>34</v>
      </c>
      <c r="B18" s="141" t="s">
        <v>157</v>
      </c>
      <c r="C18" s="141">
        <v>2019</v>
      </c>
      <c r="D18" s="143" t="s">
        <v>285</v>
      </c>
      <c r="E18" s="142" t="s">
        <v>288</v>
      </c>
      <c r="F18" s="141" t="s">
        <v>287</v>
      </c>
      <c r="G18" s="144" t="s">
        <v>36</v>
      </c>
      <c r="H18" s="131" t="s">
        <v>160</v>
      </c>
      <c r="I18" s="131" t="s">
        <v>159</v>
      </c>
      <c r="J18" s="131" t="s">
        <v>38</v>
      </c>
      <c r="K18" s="131" t="s">
        <v>161</v>
      </c>
      <c r="L18" s="53">
        <v>2</v>
      </c>
      <c r="N18" s="53">
        <v>1</v>
      </c>
      <c r="O18" s="53">
        <v>0.8</v>
      </c>
      <c r="P18" s="53">
        <v>0.85</v>
      </c>
      <c r="Q18" s="75">
        <f t="shared" si="2"/>
        <v>0.82499999999999996</v>
      </c>
      <c r="R18" s="151">
        <v>15.9</v>
      </c>
      <c r="S18" s="151">
        <v>127</v>
      </c>
      <c r="T18" s="16">
        <f t="shared" si="0"/>
        <v>30</v>
      </c>
      <c r="U18" s="147">
        <v>128</v>
      </c>
      <c r="V18" s="38">
        <f t="shared" si="1"/>
        <v>3840</v>
      </c>
      <c r="W18" s="148">
        <v>3</v>
      </c>
      <c r="X18" s="149" t="s">
        <v>46</v>
      </c>
      <c r="Y18" s="155" t="s">
        <v>50</v>
      </c>
      <c r="Z18" s="155" t="s">
        <v>90</v>
      </c>
      <c r="AA18" s="155" t="s">
        <v>69</v>
      </c>
      <c r="AB18" s="53" t="s">
        <v>158</v>
      </c>
      <c r="AC18" s="34"/>
      <c r="AE18" s="22" t="s">
        <v>87</v>
      </c>
      <c r="AP18" s="27" t="s">
        <v>111</v>
      </c>
      <c r="AR18" s="23" t="s">
        <v>101</v>
      </c>
      <c r="AV18" s="23" t="s">
        <v>88</v>
      </c>
    </row>
    <row r="19" spans="1:48" x14ac:dyDescent="0.15">
      <c r="A19" s="141" t="s">
        <v>34</v>
      </c>
      <c r="B19" s="141" t="s">
        <v>157</v>
      </c>
      <c r="C19" s="142">
        <v>2019</v>
      </c>
      <c r="D19" s="143" t="s">
        <v>285</v>
      </c>
      <c r="E19" s="142" t="s">
        <v>288</v>
      </c>
      <c r="F19" s="141" t="s">
        <v>287</v>
      </c>
      <c r="G19" s="144" t="s">
        <v>36</v>
      </c>
      <c r="H19" s="131" t="s">
        <v>160</v>
      </c>
      <c r="I19" s="131" t="s">
        <v>159</v>
      </c>
      <c r="J19" s="131" t="s">
        <v>38</v>
      </c>
      <c r="K19" s="131" t="s">
        <v>161</v>
      </c>
      <c r="L19" s="53">
        <v>3</v>
      </c>
      <c r="N19" s="53">
        <v>1</v>
      </c>
      <c r="O19" s="53">
        <v>0.85</v>
      </c>
      <c r="P19" s="53">
        <v>0.85</v>
      </c>
      <c r="Q19" s="75">
        <f t="shared" si="2"/>
        <v>0.85</v>
      </c>
      <c r="R19" s="151">
        <v>15.5</v>
      </c>
      <c r="S19" s="151">
        <v>125</v>
      </c>
      <c r="T19" s="16">
        <f t="shared" si="0"/>
        <v>30</v>
      </c>
      <c r="U19" s="147">
        <v>128</v>
      </c>
      <c r="V19" s="38">
        <f t="shared" si="1"/>
        <v>3840</v>
      </c>
      <c r="W19" s="148">
        <v>3</v>
      </c>
      <c r="X19" s="149" t="s">
        <v>46</v>
      </c>
      <c r="Y19" s="155" t="s">
        <v>50</v>
      </c>
      <c r="Z19" s="155" t="s">
        <v>90</v>
      </c>
      <c r="AA19" s="155" t="s">
        <v>69</v>
      </c>
      <c r="AB19" s="53" t="s">
        <v>158</v>
      </c>
      <c r="AC19" s="34"/>
      <c r="AE19" s="35" t="s">
        <v>89</v>
      </c>
      <c r="AP19" s="27" t="s">
        <v>112</v>
      </c>
      <c r="AR19" s="23" t="s">
        <v>126</v>
      </c>
      <c r="AV19" s="23" t="s">
        <v>90</v>
      </c>
    </row>
    <row r="20" spans="1:48" x14ac:dyDescent="0.15">
      <c r="A20" s="141" t="s">
        <v>34</v>
      </c>
      <c r="B20" s="141" t="s">
        <v>157</v>
      </c>
      <c r="C20" s="141">
        <v>2019</v>
      </c>
      <c r="D20" s="143" t="s">
        <v>285</v>
      </c>
      <c r="E20" s="142" t="s">
        <v>283</v>
      </c>
      <c r="F20" s="141" t="s">
        <v>289</v>
      </c>
      <c r="G20" s="144" t="s">
        <v>36</v>
      </c>
      <c r="H20" s="131" t="s">
        <v>164</v>
      </c>
      <c r="I20" s="131" t="s">
        <v>159</v>
      </c>
      <c r="J20" s="131" t="s">
        <v>38</v>
      </c>
      <c r="K20" s="131" t="s">
        <v>161</v>
      </c>
      <c r="L20" s="53">
        <v>1</v>
      </c>
      <c r="N20" s="53">
        <v>1</v>
      </c>
      <c r="O20" s="53">
        <v>0.55000000000000004</v>
      </c>
      <c r="P20" s="53">
        <v>0.55000000000000004</v>
      </c>
      <c r="Q20" s="75">
        <f t="shared" si="2"/>
        <v>0.55000000000000004</v>
      </c>
      <c r="R20" s="151">
        <v>15.9</v>
      </c>
      <c r="S20" s="151">
        <v>121</v>
      </c>
      <c r="T20" s="16">
        <f t="shared" si="0"/>
        <v>30</v>
      </c>
      <c r="U20" s="147">
        <v>128</v>
      </c>
      <c r="V20" s="38">
        <f t="shared" si="1"/>
        <v>3840</v>
      </c>
      <c r="W20" s="148">
        <v>4</v>
      </c>
      <c r="X20" s="149" t="s">
        <v>39</v>
      </c>
      <c r="Y20" s="155" t="s">
        <v>90</v>
      </c>
      <c r="Z20" s="155" t="s">
        <v>50</v>
      </c>
      <c r="AA20" s="155" t="s">
        <v>78</v>
      </c>
      <c r="AB20" s="53" t="s">
        <v>158</v>
      </c>
      <c r="AE20" s="35"/>
      <c r="AP20" s="27" t="s">
        <v>113</v>
      </c>
      <c r="AR20" s="23" t="s">
        <v>105</v>
      </c>
      <c r="AV20" s="27" t="s">
        <v>135</v>
      </c>
    </row>
    <row r="21" spans="1:48" x14ac:dyDescent="0.15">
      <c r="A21" s="141" t="s">
        <v>34</v>
      </c>
      <c r="B21" s="141" t="s">
        <v>157</v>
      </c>
      <c r="C21" s="142">
        <v>2019</v>
      </c>
      <c r="D21" s="143" t="s">
        <v>285</v>
      </c>
      <c r="E21" s="142" t="s">
        <v>283</v>
      </c>
      <c r="F21" s="141" t="s">
        <v>289</v>
      </c>
      <c r="G21" s="144" t="s">
        <v>36</v>
      </c>
      <c r="H21" s="131" t="s">
        <v>164</v>
      </c>
      <c r="I21" s="131" t="s">
        <v>159</v>
      </c>
      <c r="J21" s="131" t="s">
        <v>38</v>
      </c>
      <c r="K21" s="131" t="s">
        <v>161</v>
      </c>
      <c r="L21" s="53">
        <v>2</v>
      </c>
      <c r="N21" s="53">
        <v>1</v>
      </c>
      <c r="O21" s="53">
        <v>0.6</v>
      </c>
      <c r="P21" s="53">
        <v>0.6</v>
      </c>
      <c r="Q21" s="75">
        <f t="shared" si="2"/>
        <v>0.6</v>
      </c>
      <c r="R21" s="151">
        <v>15.4</v>
      </c>
      <c r="S21" s="151">
        <v>118</v>
      </c>
      <c r="T21" s="16">
        <f t="shared" si="0"/>
        <v>30</v>
      </c>
      <c r="U21" s="147">
        <v>128</v>
      </c>
      <c r="V21" s="38">
        <f t="shared" si="1"/>
        <v>3840</v>
      </c>
      <c r="W21" s="148">
        <v>4</v>
      </c>
      <c r="X21" s="149" t="s">
        <v>39</v>
      </c>
      <c r="Y21" s="155" t="s">
        <v>90</v>
      </c>
      <c r="Z21" s="155" t="s">
        <v>50</v>
      </c>
      <c r="AA21" s="155" t="s">
        <v>78</v>
      </c>
      <c r="AB21" s="53" t="s">
        <v>158</v>
      </c>
      <c r="AE21" s="28"/>
      <c r="AP21" s="27" t="s">
        <v>114</v>
      </c>
      <c r="AR21" s="23" t="s">
        <v>68</v>
      </c>
      <c r="AV21" s="27" t="s">
        <v>136</v>
      </c>
    </row>
    <row r="22" spans="1:48" x14ac:dyDescent="0.15">
      <c r="A22" s="141" t="s">
        <v>34</v>
      </c>
      <c r="B22" s="141" t="s">
        <v>157</v>
      </c>
      <c r="C22" s="141">
        <v>2019</v>
      </c>
      <c r="D22" s="143" t="s">
        <v>285</v>
      </c>
      <c r="E22" s="142" t="s">
        <v>283</v>
      </c>
      <c r="F22" s="141" t="s">
        <v>289</v>
      </c>
      <c r="G22" s="144" t="s">
        <v>36</v>
      </c>
      <c r="H22" s="131" t="s">
        <v>164</v>
      </c>
      <c r="I22" s="131" t="s">
        <v>159</v>
      </c>
      <c r="J22" s="131" t="s">
        <v>38</v>
      </c>
      <c r="K22" s="131" t="s">
        <v>161</v>
      </c>
      <c r="L22" s="53">
        <v>3</v>
      </c>
      <c r="N22" s="53">
        <v>1</v>
      </c>
      <c r="O22" s="53">
        <v>0.6</v>
      </c>
      <c r="P22" s="34">
        <v>0.6</v>
      </c>
      <c r="Q22" s="75">
        <f t="shared" si="2"/>
        <v>0.6</v>
      </c>
      <c r="R22" s="151">
        <v>16.2</v>
      </c>
      <c r="S22" s="151">
        <v>119</v>
      </c>
      <c r="T22" s="16">
        <f t="shared" si="0"/>
        <v>30</v>
      </c>
      <c r="U22" s="147">
        <v>128</v>
      </c>
      <c r="V22" s="38">
        <f t="shared" si="1"/>
        <v>3840</v>
      </c>
      <c r="W22" s="148">
        <v>4</v>
      </c>
      <c r="X22" s="149" t="s">
        <v>39</v>
      </c>
      <c r="Y22" s="155" t="s">
        <v>90</v>
      </c>
      <c r="Z22" s="155" t="s">
        <v>50</v>
      </c>
      <c r="AA22" s="155" t="s">
        <v>78</v>
      </c>
      <c r="AB22" s="53" t="s">
        <v>158</v>
      </c>
      <c r="AP22" s="27" t="s">
        <v>115</v>
      </c>
      <c r="AR22" s="23" t="s">
        <v>83</v>
      </c>
      <c r="AV22" s="23"/>
    </row>
    <row r="23" spans="1:48" x14ac:dyDescent="0.15">
      <c r="A23" s="141" t="s">
        <v>34</v>
      </c>
      <c r="B23" s="141" t="s">
        <v>157</v>
      </c>
      <c r="C23" s="142">
        <v>2019</v>
      </c>
      <c r="D23" s="143" t="s">
        <v>285</v>
      </c>
      <c r="E23" s="142" t="s">
        <v>283</v>
      </c>
      <c r="F23" s="141" t="s">
        <v>289</v>
      </c>
      <c r="G23" s="144" t="s">
        <v>36</v>
      </c>
      <c r="H23" s="131" t="s">
        <v>160</v>
      </c>
      <c r="I23" s="131" t="s">
        <v>159</v>
      </c>
      <c r="J23" s="131" t="s">
        <v>38</v>
      </c>
      <c r="K23" s="131" t="s">
        <v>161</v>
      </c>
      <c r="L23" s="53">
        <v>1</v>
      </c>
      <c r="N23" s="53">
        <v>1</v>
      </c>
      <c r="O23" s="53">
        <v>0.75</v>
      </c>
      <c r="P23" s="34">
        <v>0.8</v>
      </c>
      <c r="Q23" s="75">
        <f t="shared" si="2"/>
        <v>0.77500000000000002</v>
      </c>
      <c r="R23" s="151">
        <v>16.5</v>
      </c>
      <c r="S23" s="151">
        <v>109</v>
      </c>
      <c r="T23" s="16">
        <f t="shared" si="0"/>
        <v>33</v>
      </c>
      <c r="U23" s="147">
        <v>138</v>
      </c>
      <c r="V23" s="38">
        <f t="shared" si="1"/>
        <v>4554</v>
      </c>
      <c r="W23" s="148">
        <v>4</v>
      </c>
      <c r="X23" s="149" t="s">
        <v>39</v>
      </c>
      <c r="Y23" s="155" t="s">
        <v>90</v>
      </c>
      <c r="Z23" s="155" t="s">
        <v>50</v>
      </c>
      <c r="AA23" s="155" t="s">
        <v>78</v>
      </c>
      <c r="AB23" s="53" t="s">
        <v>158</v>
      </c>
      <c r="AP23" s="27" t="s">
        <v>137</v>
      </c>
      <c r="AR23" s="23" t="s">
        <v>61</v>
      </c>
      <c r="AV23" s="23"/>
    </row>
    <row r="24" spans="1:48" x14ac:dyDescent="0.15">
      <c r="A24" s="141" t="s">
        <v>34</v>
      </c>
      <c r="B24" s="141" t="s">
        <v>157</v>
      </c>
      <c r="C24" s="141">
        <v>2019</v>
      </c>
      <c r="D24" s="143" t="s">
        <v>285</v>
      </c>
      <c r="E24" s="142" t="s">
        <v>283</v>
      </c>
      <c r="F24" s="141" t="s">
        <v>289</v>
      </c>
      <c r="G24" s="144" t="s">
        <v>36</v>
      </c>
      <c r="H24" s="131" t="s">
        <v>160</v>
      </c>
      <c r="I24" s="131" t="s">
        <v>159</v>
      </c>
      <c r="J24" s="131" t="s">
        <v>38</v>
      </c>
      <c r="K24" s="131" t="s">
        <v>161</v>
      </c>
      <c r="L24" s="53">
        <v>2</v>
      </c>
      <c r="N24" s="53">
        <v>1</v>
      </c>
      <c r="O24" s="53">
        <v>0.6</v>
      </c>
      <c r="P24" s="34">
        <v>0.55000000000000004</v>
      </c>
      <c r="Q24" s="75">
        <f t="shared" si="2"/>
        <v>0.57499999999999996</v>
      </c>
      <c r="R24" s="151">
        <v>16.7</v>
      </c>
      <c r="S24" s="151">
        <v>109</v>
      </c>
      <c r="T24" s="16">
        <f t="shared" si="0"/>
        <v>33</v>
      </c>
      <c r="U24" s="147">
        <v>138</v>
      </c>
      <c r="V24" s="38">
        <f t="shared" si="1"/>
        <v>4554</v>
      </c>
      <c r="W24" s="148">
        <v>4</v>
      </c>
      <c r="X24" s="149" t="s">
        <v>39</v>
      </c>
      <c r="Y24" s="155" t="s">
        <v>90</v>
      </c>
      <c r="Z24" s="155" t="s">
        <v>50</v>
      </c>
      <c r="AA24" s="155" t="s">
        <v>78</v>
      </c>
      <c r="AB24" s="53" t="s">
        <v>158</v>
      </c>
      <c r="AP24" s="27" t="s">
        <v>138</v>
      </c>
      <c r="AR24" s="23" t="s">
        <v>91</v>
      </c>
      <c r="AV24" s="23"/>
    </row>
    <row r="25" spans="1:48" x14ac:dyDescent="0.15">
      <c r="A25" s="141" t="s">
        <v>34</v>
      </c>
      <c r="B25" s="141" t="s">
        <v>157</v>
      </c>
      <c r="C25" s="142">
        <v>2019</v>
      </c>
      <c r="D25" s="143" t="s">
        <v>285</v>
      </c>
      <c r="E25" s="142" t="s">
        <v>283</v>
      </c>
      <c r="F25" s="141" t="s">
        <v>289</v>
      </c>
      <c r="G25" s="144" t="s">
        <v>36</v>
      </c>
      <c r="H25" s="131" t="s">
        <v>160</v>
      </c>
      <c r="I25" s="131" t="s">
        <v>159</v>
      </c>
      <c r="J25" s="131" t="s">
        <v>38</v>
      </c>
      <c r="K25" s="131" t="s">
        <v>161</v>
      </c>
      <c r="L25" s="53">
        <v>3</v>
      </c>
      <c r="N25" s="53">
        <v>1</v>
      </c>
      <c r="O25" s="53">
        <v>0.8</v>
      </c>
      <c r="P25" s="34">
        <v>0.65</v>
      </c>
      <c r="Q25" s="75">
        <f t="shared" si="2"/>
        <v>0.72500000000000009</v>
      </c>
      <c r="R25" s="151">
        <v>16.2</v>
      </c>
      <c r="S25" s="151">
        <v>108</v>
      </c>
      <c r="T25" s="16">
        <f t="shared" si="0"/>
        <v>33</v>
      </c>
      <c r="U25" s="147">
        <v>138</v>
      </c>
      <c r="V25" s="38">
        <f t="shared" si="1"/>
        <v>4554</v>
      </c>
      <c r="W25" s="148">
        <v>4</v>
      </c>
      <c r="X25" s="149" t="s">
        <v>39</v>
      </c>
      <c r="Y25" s="155" t="s">
        <v>90</v>
      </c>
      <c r="Z25" s="155" t="s">
        <v>50</v>
      </c>
      <c r="AA25" s="155" t="s">
        <v>78</v>
      </c>
      <c r="AB25" s="53" t="s">
        <v>158</v>
      </c>
      <c r="AP25" s="27" t="s">
        <v>116</v>
      </c>
      <c r="AR25" s="27" t="s">
        <v>92</v>
      </c>
      <c r="AV25" s="23"/>
    </row>
    <row r="26" spans="1:48" x14ac:dyDescent="0.15">
      <c r="A26" s="141" t="s">
        <v>34</v>
      </c>
      <c r="B26" s="141" t="s">
        <v>157</v>
      </c>
      <c r="C26" s="141">
        <v>2019</v>
      </c>
      <c r="D26" s="143" t="s">
        <v>285</v>
      </c>
      <c r="E26" s="142" t="s">
        <v>211</v>
      </c>
      <c r="F26" s="141" t="s">
        <v>290</v>
      </c>
      <c r="G26" s="144" t="s">
        <v>42</v>
      </c>
      <c r="H26" s="131" t="s">
        <v>164</v>
      </c>
      <c r="I26" s="131" t="s">
        <v>159</v>
      </c>
      <c r="J26" s="131" t="s">
        <v>38</v>
      </c>
      <c r="K26" s="131" t="s">
        <v>161</v>
      </c>
      <c r="L26" s="53">
        <v>1</v>
      </c>
      <c r="N26" s="53">
        <v>4</v>
      </c>
      <c r="O26" s="53">
        <v>0.6</v>
      </c>
      <c r="P26" s="53">
        <v>0.6</v>
      </c>
      <c r="Q26" s="75">
        <f t="shared" si="2"/>
        <v>0.6</v>
      </c>
      <c r="R26" s="151">
        <v>14.4</v>
      </c>
      <c r="S26" s="151">
        <v>87</v>
      </c>
      <c r="T26" s="16">
        <f t="shared" si="0"/>
        <v>36</v>
      </c>
      <c r="U26" s="147">
        <v>377</v>
      </c>
      <c r="V26" s="38">
        <f t="shared" si="1"/>
        <v>3393</v>
      </c>
      <c r="W26" s="148">
        <v>8</v>
      </c>
      <c r="X26" s="149" t="s">
        <v>46</v>
      </c>
      <c r="Y26" s="155" t="s">
        <v>78</v>
      </c>
      <c r="Z26" s="155" t="s">
        <v>88</v>
      </c>
      <c r="AA26" s="155" t="s">
        <v>50</v>
      </c>
      <c r="AB26" s="53" t="s">
        <v>158</v>
      </c>
      <c r="AP26" s="27" t="s">
        <v>117</v>
      </c>
      <c r="AR26" s="23" t="s">
        <v>153</v>
      </c>
      <c r="AV26" s="27"/>
    </row>
    <row r="27" spans="1:48" x14ac:dyDescent="0.15">
      <c r="A27" s="141" t="s">
        <v>34</v>
      </c>
      <c r="B27" s="141" t="s">
        <v>157</v>
      </c>
      <c r="C27" s="142">
        <v>2019</v>
      </c>
      <c r="D27" s="143" t="s">
        <v>285</v>
      </c>
      <c r="E27" s="142" t="s">
        <v>211</v>
      </c>
      <c r="F27" s="141" t="s">
        <v>290</v>
      </c>
      <c r="G27" s="144" t="s">
        <v>42</v>
      </c>
      <c r="H27" s="131" t="s">
        <v>164</v>
      </c>
      <c r="I27" s="131" t="s">
        <v>159</v>
      </c>
      <c r="J27" s="131" t="s">
        <v>38</v>
      </c>
      <c r="K27" s="131" t="s">
        <v>161</v>
      </c>
      <c r="L27" s="53">
        <v>2</v>
      </c>
      <c r="N27" s="53">
        <v>4</v>
      </c>
      <c r="O27" s="34">
        <v>0.55000000000000004</v>
      </c>
      <c r="P27" s="53">
        <v>0.5</v>
      </c>
      <c r="Q27" s="75">
        <f t="shared" si="2"/>
        <v>0.52500000000000002</v>
      </c>
      <c r="R27" s="151">
        <v>14.7</v>
      </c>
      <c r="S27" s="151">
        <v>90</v>
      </c>
      <c r="T27" s="16">
        <f t="shared" si="0"/>
        <v>36</v>
      </c>
      <c r="U27" s="147">
        <v>377</v>
      </c>
      <c r="V27" s="38">
        <f t="shared" si="1"/>
        <v>3393</v>
      </c>
      <c r="W27" s="148">
        <v>8</v>
      </c>
      <c r="X27" s="149" t="s">
        <v>46</v>
      </c>
      <c r="Y27" s="155" t="s">
        <v>78</v>
      </c>
      <c r="Z27" s="155" t="s">
        <v>88</v>
      </c>
      <c r="AA27" s="155" t="s">
        <v>50</v>
      </c>
      <c r="AB27" s="53" t="s">
        <v>158</v>
      </c>
      <c r="AP27" s="27" t="s">
        <v>118</v>
      </c>
      <c r="AR27" s="23"/>
    </row>
    <row r="28" spans="1:48" x14ac:dyDescent="0.15">
      <c r="A28" s="141" t="s">
        <v>34</v>
      </c>
      <c r="B28" s="141" t="s">
        <v>157</v>
      </c>
      <c r="C28" s="141">
        <v>2019</v>
      </c>
      <c r="D28" s="143" t="s">
        <v>285</v>
      </c>
      <c r="E28" s="142" t="s">
        <v>211</v>
      </c>
      <c r="F28" s="141" t="s">
        <v>290</v>
      </c>
      <c r="G28" s="144" t="s">
        <v>42</v>
      </c>
      <c r="H28" s="131" t="s">
        <v>164</v>
      </c>
      <c r="I28" s="131" t="s">
        <v>159</v>
      </c>
      <c r="J28" s="131" t="s">
        <v>38</v>
      </c>
      <c r="K28" s="131" t="s">
        <v>161</v>
      </c>
      <c r="L28" s="53">
        <v>3</v>
      </c>
      <c r="N28" s="53">
        <v>4</v>
      </c>
      <c r="O28" s="34">
        <v>0.55000000000000004</v>
      </c>
      <c r="P28" s="53">
        <v>0.55000000000000004</v>
      </c>
      <c r="Q28" s="75">
        <f t="shared" si="2"/>
        <v>0.55000000000000004</v>
      </c>
      <c r="R28" s="151">
        <v>15.1</v>
      </c>
      <c r="S28" s="151">
        <v>84</v>
      </c>
      <c r="T28" s="16">
        <f t="shared" si="0"/>
        <v>36</v>
      </c>
      <c r="U28" s="147">
        <v>377</v>
      </c>
      <c r="V28" s="38">
        <f t="shared" si="1"/>
        <v>3393</v>
      </c>
      <c r="W28" s="148">
        <v>8</v>
      </c>
      <c r="X28" s="149" t="s">
        <v>46</v>
      </c>
      <c r="Y28" s="155" t="s">
        <v>78</v>
      </c>
      <c r="Z28" s="155" t="s">
        <v>88</v>
      </c>
      <c r="AA28" s="155" t="s">
        <v>50</v>
      </c>
      <c r="AB28" s="53" t="s">
        <v>158</v>
      </c>
      <c r="AR28" s="23"/>
    </row>
    <row r="29" spans="1:48" x14ac:dyDescent="0.15">
      <c r="A29" s="141" t="s">
        <v>34</v>
      </c>
      <c r="B29" s="141" t="s">
        <v>157</v>
      </c>
      <c r="C29" s="141">
        <v>2019</v>
      </c>
      <c r="D29" s="143" t="s">
        <v>285</v>
      </c>
      <c r="E29" s="142" t="s">
        <v>211</v>
      </c>
      <c r="F29" s="141" t="s">
        <v>290</v>
      </c>
      <c r="G29" s="144" t="s">
        <v>42</v>
      </c>
      <c r="H29" s="131" t="s">
        <v>160</v>
      </c>
      <c r="I29" s="131" t="s">
        <v>159</v>
      </c>
      <c r="J29" s="131" t="s">
        <v>38</v>
      </c>
      <c r="K29" s="131" t="s">
        <v>161</v>
      </c>
      <c r="L29" s="53">
        <v>1</v>
      </c>
      <c r="N29" s="53">
        <v>4</v>
      </c>
      <c r="O29" s="53">
        <v>0.95</v>
      </c>
      <c r="P29" s="53">
        <v>0.8</v>
      </c>
      <c r="Q29" s="75">
        <f t="shared" si="2"/>
        <v>0.875</v>
      </c>
      <c r="R29" s="151">
        <v>14.1</v>
      </c>
      <c r="S29" s="151">
        <v>102</v>
      </c>
      <c r="T29" s="16">
        <f t="shared" si="0"/>
        <v>33</v>
      </c>
      <c r="U29" s="147">
        <v>377</v>
      </c>
      <c r="V29" s="38">
        <f t="shared" si="1"/>
        <v>3110.25</v>
      </c>
      <c r="W29" s="148">
        <v>8</v>
      </c>
      <c r="X29" s="149" t="s">
        <v>46</v>
      </c>
      <c r="Y29" s="155" t="s">
        <v>78</v>
      </c>
      <c r="Z29" s="155" t="s">
        <v>88</v>
      </c>
      <c r="AA29" s="155" t="s">
        <v>50</v>
      </c>
      <c r="AB29" s="53" t="s">
        <v>158</v>
      </c>
      <c r="AR29" s="28"/>
    </row>
    <row r="30" spans="1:48" x14ac:dyDescent="0.15">
      <c r="A30" s="141" t="s">
        <v>34</v>
      </c>
      <c r="B30" s="141" t="s">
        <v>157</v>
      </c>
      <c r="C30" s="142">
        <v>2019</v>
      </c>
      <c r="D30" s="143" t="s">
        <v>285</v>
      </c>
      <c r="E30" s="142" t="s">
        <v>211</v>
      </c>
      <c r="F30" s="141" t="s">
        <v>290</v>
      </c>
      <c r="G30" s="144" t="s">
        <v>42</v>
      </c>
      <c r="H30" s="131" t="s">
        <v>160</v>
      </c>
      <c r="I30" s="131" t="s">
        <v>159</v>
      </c>
      <c r="J30" s="131" t="s">
        <v>38</v>
      </c>
      <c r="K30" s="131" t="s">
        <v>161</v>
      </c>
      <c r="L30" s="53">
        <v>2</v>
      </c>
      <c r="N30" s="53">
        <v>4</v>
      </c>
      <c r="O30" s="53">
        <v>0.8</v>
      </c>
      <c r="P30" s="53">
        <v>0.75</v>
      </c>
      <c r="Q30" s="75">
        <f t="shared" si="2"/>
        <v>0.77500000000000002</v>
      </c>
      <c r="R30" s="151">
        <v>15.2</v>
      </c>
      <c r="S30" s="151">
        <v>99</v>
      </c>
      <c r="T30" s="16">
        <f t="shared" si="0"/>
        <v>33</v>
      </c>
      <c r="U30" s="147">
        <v>377</v>
      </c>
      <c r="V30" s="38">
        <f t="shared" si="1"/>
        <v>3110.25</v>
      </c>
      <c r="W30" s="148">
        <v>8</v>
      </c>
      <c r="X30" s="149" t="s">
        <v>46</v>
      </c>
      <c r="Y30" s="155" t="s">
        <v>78</v>
      </c>
      <c r="Z30" s="155" t="s">
        <v>88</v>
      </c>
      <c r="AA30" s="155" t="s">
        <v>50</v>
      </c>
      <c r="AB30" s="53" t="s">
        <v>158</v>
      </c>
    </row>
    <row r="31" spans="1:48" x14ac:dyDescent="0.15">
      <c r="A31" s="141" t="s">
        <v>34</v>
      </c>
      <c r="B31" s="141" t="s">
        <v>157</v>
      </c>
      <c r="C31" s="141">
        <v>2019</v>
      </c>
      <c r="D31" s="143" t="s">
        <v>285</v>
      </c>
      <c r="E31" s="142" t="s">
        <v>211</v>
      </c>
      <c r="F31" s="141" t="s">
        <v>290</v>
      </c>
      <c r="G31" s="144" t="s">
        <v>42</v>
      </c>
      <c r="H31" s="131" t="s">
        <v>160</v>
      </c>
      <c r="I31" s="131" t="s">
        <v>159</v>
      </c>
      <c r="J31" s="131" t="s">
        <v>38</v>
      </c>
      <c r="K31" s="131" t="s">
        <v>161</v>
      </c>
      <c r="L31" s="53">
        <v>3</v>
      </c>
      <c r="N31" s="53">
        <v>4</v>
      </c>
      <c r="O31" s="53">
        <v>0.85</v>
      </c>
      <c r="P31" s="53">
        <v>0.9</v>
      </c>
      <c r="Q31" s="75">
        <f t="shared" si="2"/>
        <v>0.875</v>
      </c>
      <c r="R31" s="151">
        <v>14.4</v>
      </c>
      <c r="S31" s="151">
        <v>94</v>
      </c>
      <c r="T31" s="16">
        <f t="shared" si="0"/>
        <v>36</v>
      </c>
      <c r="U31" s="147">
        <v>377</v>
      </c>
      <c r="V31" s="38">
        <f t="shared" si="1"/>
        <v>3393</v>
      </c>
      <c r="W31" s="148">
        <v>8</v>
      </c>
      <c r="X31" s="149" t="s">
        <v>46</v>
      </c>
      <c r="Y31" s="155" t="s">
        <v>78</v>
      </c>
      <c r="Z31" s="155" t="s">
        <v>88</v>
      </c>
      <c r="AA31" s="155" t="s">
        <v>50</v>
      </c>
      <c r="AB31" s="53" t="s">
        <v>158</v>
      </c>
    </row>
    <row r="32" spans="1:48" ht="14.25" customHeight="1" x14ac:dyDescent="0.15">
      <c r="A32" s="141" t="s">
        <v>34</v>
      </c>
      <c r="B32" s="141" t="s">
        <v>157</v>
      </c>
      <c r="C32" s="142">
        <v>2019</v>
      </c>
      <c r="D32" s="143" t="s">
        <v>285</v>
      </c>
      <c r="E32" s="142" t="s">
        <v>270</v>
      </c>
      <c r="F32" s="141" t="s">
        <v>290</v>
      </c>
      <c r="G32" s="144" t="s">
        <v>42</v>
      </c>
      <c r="H32" s="131" t="s">
        <v>164</v>
      </c>
      <c r="I32" s="131" t="s">
        <v>159</v>
      </c>
      <c r="J32" s="131" t="s">
        <v>38</v>
      </c>
      <c r="K32" s="131" t="s">
        <v>161</v>
      </c>
      <c r="L32" s="53">
        <v>1</v>
      </c>
      <c r="N32" s="53">
        <v>1</v>
      </c>
      <c r="O32" s="53">
        <v>1.1499999999999999</v>
      </c>
      <c r="P32" s="53">
        <v>0.95</v>
      </c>
      <c r="Q32" s="75">
        <f t="shared" si="2"/>
        <v>1.0499999999999998</v>
      </c>
      <c r="R32" s="151">
        <v>16.100000000000001</v>
      </c>
      <c r="S32" s="151">
        <v>123</v>
      </c>
      <c r="T32" s="16">
        <f t="shared" si="0"/>
        <v>30</v>
      </c>
      <c r="U32" s="147">
        <v>78</v>
      </c>
      <c r="V32" s="38">
        <f t="shared" si="1"/>
        <v>2340</v>
      </c>
      <c r="W32" s="148">
        <v>6</v>
      </c>
      <c r="X32" s="149" t="s">
        <v>46</v>
      </c>
      <c r="Y32" s="155" t="s">
        <v>102</v>
      </c>
      <c r="Z32" s="155" t="s">
        <v>50</v>
      </c>
      <c r="AA32" s="155" t="s">
        <v>88</v>
      </c>
      <c r="AB32" s="53" t="s">
        <v>158</v>
      </c>
    </row>
    <row r="33" spans="1:28" x14ac:dyDescent="0.15">
      <c r="A33" s="141" t="s">
        <v>34</v>
      </c>
      <c r="B33" s="141" t="s">
        <v>157</v>
      </c>
      <c r="C33" s="141">
        <v>2019</v>
      </c>
      <c r="D33" s="143" t="s">
        <v>285</v>
      </c>
      <c r="E33" s="142" t="s">
        <v>270</v>
      </c>
      <c r="F33" s="141" t="s">
        <v>290</v>
      </c>
      <c r="G33" s="144" t="s">
        <v>42</v>
      </c>
      <c r="H33" s="131" t="s">
        <v>164</v>
      </c>
      <c r="I33" s="131" t="s">
        <v>159</v>
      </c>
      <c r="J33" s="131" t="s">
        <v>38</v>
      </c>
      <c r="K33" s="131" t="s">
        <v>161</v>
      </c>
      <c r="L33" s="53">
        <v>2</v>
      </c>
      <c r="N33" s="53">
        <v>1</v>
      </c>
      <c r="O33" s="53">
        <v>0.95</v>
      </c>
      <c r="P33" s="53">
        <v>0.9</v>
      </c>
      <c r="Q33" s="75">
        <f t="shared" si="2"/>
        <v>0.92500000000000004</v>
      </c>
      <c r="R33" s="151">
        <v>16.600000000000001</v>
      </c>
      <c r="S33" s="151">
        <v>122</v>
      </c>
      <c r="T33" s="16">
        <f t="shared" si="0"/>
        <v>30</v>
      </c>
      <c r="U33" s="147">
        <v>78</v>
      </c>
      <c r="V33" s="38">
        <f t="shared" si="1"/>
        <v>2340</v>
      </c>
      <c r="W33" s="148">
        <v>6</v>
      </c>
      <c r="X33" s="149" t="s">
        <v>46</v>
      </c>
      <c r="Y33" s="155" t="s">
        <v>102</v>
      </c>
      <c r="Z33" s="155" t="s">
        <v>50</v>
      </c>
      <c r="AA33" s="155" t="s">
        <v>88</v>
      </c>
      <c r="AB33" s="53" t="s">
        <v>158</v>
      </c>
    </row>
    <row r="34" spans="1:28" x14ac:dyDescent="0.15">
      <c r="A34" s="141" t="s">
        <v>34</v>
      </c>
      <c r="B34" s="141" t="s">
        <v>157</v>
      </c>
      <c r="C34" s="142">
        <v>2019</v>
      </c>
      <c r="D34" s="143" t="s">
        <v>285</v>
      </c>
      <c r="E34" s="142" t="s">
        <v>270</v>
      </c>
      <c r="F34" s="141" t="s">
        <v>290</v>
      </c>
      <c r="G34" s="144" t="s">
        <v>42</v>
      </c>
      <c r="H34" s="131" t="s">
        <v>164</v>
      </c>
      <c r="I34" s="131" t="s">
        <v>159</v>
      </c>
      <c r="J34" s="131" t="s">
        <v>38</v>
      </c>
      <c r="K34" s="131" t="s">
        <v>161</v>
      </c>
      <c r="L34" s="53">
        <v>3</v>
      </c>
      <c r="N34" s="53">
        <v>1</v>
      </c>
      <c r="O34" s="53">
        <v>0.9</v>
      </c>
      <c r="P34" s="34">
        <v>0.95</v>
      </c>
      <c r="Q34" s="75">
        <f t="shared" si="2"/>
        <v>0.92500000000000004</v>
      </c>
      <c r="R34" s="151">
        <v>16.399999999999999</v>
      </c>
      <c r="S34" s="151">
        <v>118</v>
      </c>
      <c r="T34" s="16">
        <f t="shared" si="0"/>
        <v>30</v>
      </c>
      <c r="U34" s="147">
        <v>78</v>
      </c>
      <c r="V34" s="38">
        <f t="shared" si="1"/>
        <v>2340</v>
      </c>
      <c r="W34" s="148">
        <v>6</v>
      </c>
      <c r="X34" s="149" t="s">
        <v>46</v>
      </c>
      <c r="Y34" s="155" t="s">
        <v>102</v>
      </c>
      <c r="Z34" s="155" t="s">
        <v>50</v>
      </c>
      <c r="AA34" s="155" t="s">
        <v>88</v>
      </c>
      <c r="AB34" s="53" t="s">
        <v>158</v>
      </c>
    </row>
    <row r="35" spans="1:28" x14ac:dyDescent="0.15">
      <c r="A35" s="141" t="s">
        <v>34</v>
      </c>
      <c r="B35" s="141" t="s">
        <v>157</v>
      </c>
      <c r="C35" s="141">
        <v>2019</v>
      </c>
      <c r="D35" s="143" t="s">
        <v>285</v>
      </c>
      <c r="E35" s="142" t="s">
        <v>270</v>
      </c>
      <c r="F35" s="141" t="s">
        <v>290</v>
      </c>
      <c r="G35" s="144" t="s">
        <v>42</v>
      </c>
      <c r="H35" s="131" t="s">
        <v>160</v>
      </c>
      <c r="I35" s="131" t="s">
        <v>159</v>
      </c>
      <c r="J35" s="131" t="s">
        <v>38</v>
      </c>
      <c r="K35" s="131" t="s">
        <v>161</v>
      </c>
      <c r="L35" s="53">
        <v>1</v>
      </c>
      <c r="N35" s="53">
        <v>1</v>
      </c>
      <c r="O35" s="53">
        <v>0.45</v>
      </c>
      <c r="P35" s="53">
        <v>0.5</v>
      </c>
      <c r="Q35" s="75">
        <f t="shared" si="2"/>
        <v>0.47499999999999998</v>
      </c>
      <c r="R35" s="151">
        <v>17.3</v>
      </c>
      <c r="S35" s="151">
        <v>133</v>
      </c>
      <c r="T35" s="16">
        <f t="shared" si="0"/>
        <v>30</v>
      </c>
      <c r="U35" s="147">
        <v>128</v>
      </c>
      <c r="V35" s="38">
        <f t="shared" si="1"/>
        <v>3840</v>
      </c>
      <c r="W35" s="148">
        <v>6</v>
      </c>
      <c r="X35" s="149" t="s">
        <v>46</v>
      </c>
      <c r="Y35" s="155" t="s">
        <v>102</v>
      </c>
      <c r="Z35" s="155" t="s">
        <v>50</v>
      </c>
      <c r="AA35" s="155" t="s">
        <v>88</v>
      </c>
      <c r="AB35" s="53" t="s">
        <v>158</v>
      </c>
    </row>
    <row r="36" spans="1:28" x14ac:dyDescent="0.15">
      <c r="A36" s="141" t="s">
        <v>34</v>
      </c>
      <c r="B36" s="141" t="s">
        <v>157</v>
      </c>
      <c r="C36" s="142">
        <v>2019</v>
      </c>
      <c r="D36" s="143" t="s">
        <v>285</v>
      </c>
      <c r="E36" s="142" t="s">
        <v>270</v>
      </c>
      <c r="F36" s="141" t="s">
        <v>290</v>
      </c>
      <c r="G36" s="144" t="s">
        <v>42</v>
      </c>
      <c r="H36" s="131" t="s">
        <v>160</v>
      </c>
      <c r="I36" s="131" t="s">
        <v>159</v>
      </c>
      <c r="J36" s="131" t="s">
        <v>38</v>
      </c>
      <c r="K36" s="131" t="s">
        <v>161</v>
      </c>
      <c r="L36" s="53">
        <v>2</v>
      </c>
      <c r="N36" s="53">
        <v>1</v>
      </c>
      <c r="O36" s="53">
        <v>0.55000000000000004</v>
      </c>
      <c r="P36" s="53">
        <v>0.5</v>
      </c>
      <c r="Q36" s="75">
        <f t="shared" si="2"/>
        <v>0.52500000000000002</v>
      </c>
      <c r="R36" s="151">
        <v>16.600000000000001</v>
      </c>
      <c r="S36" s="151">
        <v>129</v>
      </c>
      <c r="T36" s="16">
        <f t="shared" si="0"/>
        <v>30</v>
      </c>
      <c r="U36" s="147">
        <v>128</v>
      </c>
      <c r="V36" s="38">
        <f t="shared" si="1"/>
        <v>3840</v>
      </c>
      <c r="W36" s="148">
        <v>6</v>
      </c>
      <c r="X36" s="149" t="s">
        <v>46</v>
      </c>
      <c r="Y36" s="155" t="s">
        <v>102</v>
      </c>
      <c r="Z36" s="155" t="s">
        <v>50</v>
      </c>
      <c r="AA36" s="155" t="s">
        <v>88</v>
      </c>
      <c r="AB36" s="53" t="s">
        <v>158</v>
      </c>
    </row>
    <row r="37" spans="1:28" x14ac:dyDescent="0.15">
      <c r="A37" s="141" t="s">
        <v>34</v>
      </c>
      <c r="B37" s="141" t="s">
        <v>157</v>
      </c>
      <c r="C37" s="141">
        <v>2019</v>
      </c>
      <c r="D37" s="143" t="s">
        <v>285</v>
      </c>
      <c r="E37" s="142" t="s">
        <v>270</v>
      </c>
      <c r="F37" s="141" t="s">
        <v>290</v>
      </c>
      <c r="G37" s="144" t="s">
        <v>42</v>
      </c>
      <c r="H37" s="131" t="s">
        <v>160</v>
      </c>
      <c r="I37" s="131" t="s">
        <v>159</v>
      </c>
      <c r="J37" s="131" t="s">
        <v>38</v>
      </c>
      <c r="K37" s="131" t="s">
        <v>161</v>
      </c>
      <c r="L37" s="53">
        <v>3</v>
      </c>
      <c r="N37" s="53">
        <v>1</v>
      </c>
      <c r="O37" s="53">
        <v>0.5</v>
      </c>
      <c r="P37" s="53">
        <v>0.55000000000000004</v>
      </c>
      <c r="Q37" s="75">
        <f t="shared" si="2"/>
        <v>0.52500000000000002</v>
      </c>
      <c r="R37" s="151">
        <v>16.7</v>
      </c>
      <c r="S37" s="151">
        <v>127</v>
      </c>
      <c r="T37" s="16">
        <f t="shared" si="0"/>
        <v>30</v>
      </c>
      <c r="U37" s="147">
        <v>128</v>
      </c>
      <c r="V37" s="38">
        <f t="shared" si="1"/>
        <v>3840</v>
      </c>
      <c r="W37" s="148">
        <v>6</v>
      </c>
      <c r="X37" s="149" t="s">
        <v>46</v>
      </c>
      <c r="Y37" s="155" t="s">
        <v>102</v>
      </c>
      <c r="Z37" s="155" t="s">
        <v>50</v>
      </c>
      <c r="AA37" s="155" t="s">
        <v>88</v>
      </c>
      <c r="AB37" s="53" t="s">
        <v>158</v>
      </c>
    </row>
    <row r="38" spans="1:28" x14ac:dyDescent="0.15">
      <c r="A38" s="141" t="s">
        <v>34</v>
      </c>
      <c r="B38" s="141" t="s">
        <v>157</v>
      </c>
      <c r="C38" s="142">
        <v>2019</v>
      </c>
      <c r="D38" s="143" t="s">
        <v>285</v>
      </c>
      <c r="E38" s="142" t="s">
        <v>211</v>
      </c>
      <c r="F38" s="141" t="s">
        <v>292</v>
      </c>
      <c r="G38" s="144" t="s">
        <v>42</v>
      </c>
      <c r="H38" s="131" t="s">
        <v>164</v>
      </c>
      <c r="I38" s="131" t="s">
        <v>159</v>
      </c>
      <c r="J38" s="131" t="s">
        <v>38</v>
      </c>
      <c r="K38" s="131" t="s">
        <v>161</v>
      </c>
      <c r="L38" s="53">
        <v>1</v>
      </c>
      <c r="N38" s="53">
        <v>4</v>
      </c>
      <c r="O38" s="53">
        <v>0.6</v>
      </c>
      <c r="P38" s="53">
        <v>0.45</v>
      </c>
      <c r="Q38" s="75">
        <f t="shared" si="2"/>
        <v>0.52500000000000002</v>
      </c>
      <c r="R38" s="151">
        <v>14.5</v>
      </c>
      <c r="S38" s="151">
        <v>99</v>
      </c>
      <c r="T38" s="16">
        <f t="shared" si="0"/>
        <v>33</v>
      </c>
      <c r="U38" s="147">
        <v>377</v>
      </c>
      <c r="V38" s="38">
        <f t="shared" si="1"/>
        <v>3110.25</v>
      </c>
      <c r="W38" s="148">
        <v>2</v>
      </c>
      <c r="X38" s="149" t="s">
        <v>39</v>
      </c>
      <c r="Y38" s="155" t="s">
        <v>102</v>
      </c>
      <c r="Z38" s="155" t="s">
        <v>88</v>
      </c>
      <c r="AA38" s="155" t="s">
        <v>50</v>
      </c>
      <c r="AB38" s="53" t="s">
        <v>158</v>
      </c>
    </row>
    <row r="39" spans="1:28" x14ac:dyDescent="0.15">
      <c r="A39" s="141" t="s">
        <v>34</v>
      </c>
      <c r="B39" s="141" t="s">
        <v>157</v>
      </c>
      <c r="C39" s="141">
        <v>2019</v>
      </c>
      <c r="D39" s="143" t="s">
        <v>285</v>
      </c>
      <c r="E39" s="142" t="s">
        <v>211</v>
      </c>
      <c r="F39" s="141" t="s">
        <v>292</v>
      </c>
      <c r="G39" s="144" t="s">
        <v>42</v>
      </c>
      <c r="H39" s="131" t="s">
        <v>164</v>
      </c>
      <c r="I39" s="131" t="s">
        <v>159</v>
      </c>
      <c r="J39" s="131" t="s">
        <v>38</v>
      </c>
      <c r="K39" s="131" t="s">
        <v>161</v>
      </c>
      <c r="L39" s="53">
        <v>2</v>
      </c>
      <c r="N39" s="53">
        <v>4</v>
      </c>
      <c r="O39" s="53">
        <v>0.45</v>
      </c>
      <c r="P39" s="53">
        <v>0.5</v>
      </c>
      <c r="Q39" s="75">
        <f t="shared" si="2"/>
        <v>0.47499999999999998</v>
      </c>
      <c r="R39" s="151">
        <v>14.7</v>
      </c>
      <c r="S39" s="151">
        <v>100</v>
      </c>
      <c r="T39" s="16">
        <f t="shared" si="0"/>
        <v>33</v>
      </c>
      <c r="U39" s="147">
        <v>377</v>
      </c>
      <c r="V39" s="38">
        <f t="shared" si="1"/>
        <v>3110.25</v>
      </c>
      <c r="W39" s="148">
        <v>2</v>
      </c>
      <c r="X39" s="149" t="s">
        <v>39</v>
      </c>
      <c r="Y39" s="155" t="s">
        <v>102</v>
      </c>
      <c r="Z39" s="155" t="s">
        <v>88</v>
      </c>
      <c r="AA39" s="155" t="s">
        <v>50</v>
      </c>
      <c r="AB39" s="53" t="s">
        <v>158</v>
      </c>
    </row>
    <row r="40" spans="1:28" ht="12.75" customHeight="1" x14ac:dyDescent="0.15">
      <c r="A40" s="141" t="s">
        <v>34</v>
      </c>
      <c r="B40" s="141" t="s">
        <v>157</v>
      </c>
      <c r="C40" s="142">
        <v>2019</v>
      </c>
      <c r="D40" s="143" t="s">
        <v>285</v>
      </c>
      <c r="E40" s="142" t="s">
        <v>211</v>
      </c>
      <c r="F40" s="141" t="s">
        <v>292</v>
      </c>
      <c r="G40" s="144" t="s">
        <v>42</v>
      </c>
      <c r="H40" s="131" t="s">
        <v>164</v>
      </c>
      <c r="I40" s="131" t="s">
        <v>159</v>
      </c>
      <c r="J40" s="131" t="s">
        <v>38</v>
      </c>
      <c r="K40" s="131" t="s">
        <v>161</v>
      </c>
      <c r="L40" s="53">
        <v>3</v>
      </c>
      <c r="N40" s="53">
        <v>4</v>
      </c>
      <c r="O40" s="53">
        <v>0.55000000000000004</v>
      </c>
      <c r="P40" s="53">
        <v>0.55000000000000004</v>
      </c>
      <c r="Q40" s="75">
        <f t="shared" si="2"/>
        <v>0.55000000000000004</v>
      </c>
      <c r="R40" s="151">
        <v>15.2</v>
      </c>
      <c r="S40" s="151">
        <v>92</v>
      </c>
      <c r="T40" s="16">
        <f t="shared" si="0"/>
        <v>36</v>
      </c>
      <c r="U40" s="147">
        <v>377</v>
      </c>
      <c r="V40" s="38">
        <f t="shared" si="1"/>
        <v>3393</v>
      </c>
      <c r="W40" s="148">
        <v>2</v>
      </c>
      <c r="X40" s="149" t="s">
        <v>39</v>
      </c>
      <c r="Y40" s="155" t="s">
        <v>102</v>
      </c>
      <c r="Z40" s="155" t="s">
        <v>88</v>
      </c>
      <c r="AA40" s="155" t="s">
        <v>50</v>
      </c>
      <c r="AB40" s="53" t="s">
        <v>158</v>
      </c>
    </row>
    <row r="41" spans="1:28" ht="12.75" customHeight="1" x14ac:dyDescent="0.15">
      <c r="A41" s="131" t="s">
        <v>34</v>
      </c>
      <c r="B41" s="141" t="s">
        <v>157</v>
      </c>
      <c r="C41" s="142">
        <v>2019</v>
      </c>
      <c r="D41" s="143" t="s">
        <v>285</v>
      </c>
      <c r="E41" s="142" t="s">
        <v>211</v>
      </c>
      <c r="F41" s="141" t="s">
        <v>292</v>
      </c>
      <c r="G41" s="144" t="s">
        <v>42</v>
      </c>
      <c r="H41" s="131" t="s">
        <v>160</v>
      </c>
      <c r="I41" s="131" t="s">
        <v>159</v>
      </c>
      <c r="J41" s="131" t="s">
        <v>38</v>
      </c>
      <c r="K41" s="131" t="s">
        <v>161</v>
      </c>
      <c r="L41" s="53">
        <v>1</v>
      </c>
      <c r="N41" s="53">
        <v>4</v>
      </c>
      <c r="O41" s="53">
        <v>0.75</v>
      </c>
      <c r="P41" s="53">
        <v>0.75</v>
      </c>
      <c r="Q41" s="75">
        <f t="shared" si="2"/>
        <v>0.75</v>
      </c>
      <c r="R41" s="151">
        <v>15.1</v>
      </c>
      <c r="S41" s="151">
        <v>103</v>
      </c>
      <c r="T41" s="16">
        <f t="shared" si="0"/>
        <v>33</v>
      </c>
      <c r="U41" s="147">
        <v>377</v>
      </c>
      <c r="V41" s="38">
        <f t="shared" si="1"/>
        <v>3110.25</v>
      </c>
      <c r="W41" s="53">
        <v>2</v>
      </c>
      <c r="X41" s="149" t="s">
        <v>39</v>
      </c>
      <c r="Y41" s="156" t="s">
        <v>102</v>
      </c>
      <c r="Z41" s="156" t="s">
        <v>88</v>
      </c>
      <c r="AA41" s="156" t="s">
        <v>50</v>
      </c>
      <c r="AB41" s="53" t="s">
        <v>158</v>
      </c>
    </row>
    <row r="42" spans="1:28" ht="12.75" customHeight="1" x14ac:dyDescent="0.15">
      <c r="A42" s="131" t="s">
        <v>34</v>
      </c>
      <c r="B42" s="141" t="s">
        <v>157</v>
      </c>
      <c r="C42" s="142">
        <v>2019</v>
      </c>
      <c r="D42" s="143" t="s">
        <v>285</v>
      </c>
      <c r="E42" s="142" t="s">
        <v>211</v>
      </c>
      <c r="F42" s="141" t="s">
        <v>292</v>
      </c>
      <c r="G42" s="144" t="s">
        <v>42</v>
      </c>
      <c r="H42" s="131" t="s">
        <v>160</v>
      </c>
      <c r="I42" s="131" t="s">
        <v>159</v>
      </c>
      <c r="J42" s="131" t="s">
        <v>38</v>
      </c>
      <c r="K42" s="131" t="s">
        <v>161</v>
      </c>
      <c r="L42" s="53">
        <v>2</v>
      </c>
      <c r="N42" s="53">
        <v>4</v>
      </c>
      <c r="O42" s="53">
        <v>0.6</v>
      </c>
      <c r="P42" s="53">
        <v>0.55000000000000004</v>
      </c>
      <c r="Q42" s="75">
        <f t="shared" si="2"/>
        <v>0.57499999999999996</v>
      </c>
      <c r="R42" s="151">
        <v>15.6</v>
      </c>
      <c r="S42" s="151">
        <v>96</v>
      </c>
      <c r="T42" s="16">
        <f t="shared" si="0"/>
        <v>36</v>
      </c>
      <c r="U42" s="147">
        <v>377</v>
      </c>
      <c r="V42" s="38">
        <f t="shared" si="1"/>
        <v>3393</v>
      </c>
      <c r="W42" s="53">
        <v>2</v>
      </c>
      <c r="X42" s="149" t="s">
        <v>39</v>
      </c>
      <c r="Y42" s="156" t="s">
        <v>102</v>
      </c>
      <c r="Z42" s="156" t="s">
        <v>88</v>
      </c>
      <c r="AA42" s="156" t="s">
        <v>50</v>
      </c>
      <c r="AB42" s="53" t="s">
        <v>158</v>
      </c>
    </row>
    <row r="43" spans="1:28" ht="12.75" customHeight="1" x14ac:dyDescent="0.15">
      <c r="A43" s="131" t="s">
        <v>34</v>
      </c>
      <c r="B43" s="141" t="s">
        <v>157</v>
      </c>
      <c r="C43" s="142">
        <v>2019</v>
      </c>
      <c r="D43" s="143" t="s">
        <v>285</v>
      </c>
      <c r="E43" s="142" t="s">
        <v>211</v>
      </c>
      <c r="F43" s="141" t="s">
        <v>292</v>
      </c>
      <c r="G43" s="144" t="s">
        <v>42</v>
      </c>
      <c r="H43" s="131" t="s">
        <v>160</v>
      </c>
      <c r="I43" s="131" t="s">
        <v>159</v>
      </c>
      <c r="J43" s="131" t="s">
        <v>38</v>
      </c>
      <c r="K43" s="131" t="s">
        <v>161</v>
      </c>
      <c r="L43" s="53">
        <v>3</v>
      </c>
      <c r="N43" s="53">
        <v>4</v>
      </c>
      <c r="O43" s="53">
        <v>0.65</v>
      </c>
      <c r="P43" s="53">
        <v>0.6</v>
      </c>
      <c r="Q43" s="75">
        <f t="shared" si="2"/>
        <v>0.625</v>
      </c>
      <c r="R43" s="151">
        <v>14.7</v>
      </c>
      <c r="S43" s="151">
        <v>100</v>
      </c>
      <c r="T43" s="16">
        <f t="shared" si="0"/>
        <v>33</v>
      </c>
      <c r="U43" s="147">
        <v>377</v>
      </c>
      <c r="V43" s="38">
        <f t="shared" si="1"/>
        <v>3110.25</v>
      </c>
      <c r="W43" s="53">
        <v>2</v>
      </c>
      <c r="X43" s="149" t="s">
        <v>39</v>
      </c>
      <c r="Y43" s="156" t="s">
        <v>102</v>
      </c>
      <c r="Z43" s="156" t="s">
        <v>88</v>
      </c>
      <c r="AA43" s="156" t="s">
        <v>50</v>
      </c>
      <c r="AB43" s="53" t="s">
        <v>158</v>
      </c>
    </row>
    <row r="44" spans="1:28" x14ac:dyDescent="0.15">
      <c r="A44" s="53" t="s">
        <v>34</v>
      </c>
      <c r="B44" s="141" t="s">
        <v>157</v>
      </c>
      <c r="C44" s="142">
        <v>2019</v>
      </c>
      <c r="D44" s="143" t="s">
        <v>285</v>
      </c>
      <c r="E44" s="142" t="s">
        <v>139</v>
      </c>
      <c r="F44" s="141" t="s">
        <v>292</v>
      </c>
      <c r="G44" s="144" t="s">
        <v>36</v>
      </c>
      <c r="H44" s="131" t="s">
        <v>164</v>
      </c>
      <c r="I44" s="131" t="s">
        <v>159</v>
      </c>
      <c r="J44" s="53" t="s">
        <v>38</v>
      </c>
      <c r="K44" s="131" t="s">
        <v>161</v>
      </c>
      <c r="L44" s="53">
        <v>1</v>
      </c>
      <c r="N44" s="53">
        <v>1</v>
      </c>
      <c r="O44" s="53">
        <v>0.75</v>
      </c>
      <c r="P44" s="53">
        <v>0.8</v>
      </c>
      <c r="Q44" s="75">
        <f t="shared" si="2"/>
        <v>0.77500000000000002</v>
      </c>
      <c r="R44" s="151">
        <v>14.6</v>
      </c>
      <c r="S44" s="151">
        <v>116</v>
      </c>
      <c r="T44" s="16">
        <f t="shared" si="0"/>
        <v>30</v>
      </c>
      <c r="U44" s="147">
        <v>108</v>
      </c>
      <c r="V44" s="16">
        <f t="shared" si="1"/>
        <v>3240</v>
      </c>
      <c r="W44" s="53">
        <v>8</v>
      </c>
      <c r="X44" s="149" t="s">
        <v>46</v>
      </c>
      <c r="Y44" s="156" t="s">
        <v>88</v>
      </c>
      <c r="Z44" s="156" t="s">
        <v>78</v>
      </c>
      <c r="AA44" s="156" t="s">
        <v>50</v>
      </c>
      <c r="AB44" s="53" t="s">
        <v>158</v>
      </c>
    </row>
    <row r="45" spans="1:28" x14ac:dyDescent="0.15">
      <c r="A45" s="53" t="s">
        <v>34</v>
      </c>
      <c r="B45" s="141" t="s">
        <v>157</v>
      </c>
      <c r="C45" s="141">
        <v>2019</v>
      </c>
      <c r="D45" s="143" t="s">
        <v>285</v>
      </c>
      <c r="E45" s="142" t="s">
        <v>139</v>
      </c>
      <c r="F45" s="141" t="s">
        <v>292</v>
      </c>
      <c r="G45" s="144" t="s">
        <v>36</v>
      </c>
      <c r="H45" s="131" t="s">
        <v>164</v>
      </c>
      <c r="I45" s="131" t="s">
        <v>159</v>
      </c>
      <c r="J45" s="53" t="s">
        <v>38</v>
      </c>
      <c r="K45" s="131" t="s">
        <v>161</v>
      </c>
      <c r="L45" s="53">
        <v>2</v>
      </c>
      <c r="N45" s="53">
        <v>1</v>
      </c>
      <c r="O45" s="53">
        <v>0.6</v>
      </c>
      <c r="P45" s="53">
        <v>0.55000000000000004</v>
      </c>
      <c r="Q45" s="75">
        <f t="shared" si="2"/>
        <v>0.57499999999999996</v>
      </c>
      <c r="R45" s="151">
        <v>15.2</v>
      </c>
      <c r="S45" s="151">
        <v>112</v>
      </c>
      <c r="T45" s="16">
        <f t="shared" si="0"/>
        <v>33</v>
      </c>
      <c r="U45" s="147">
        <v>108</v>
      </c>
      <c r="V45" s="16">
        <f t="shared" si="1"/>
        <v>3564</v>
      </c>
      <c r="W45" s="53">
        <v>8</v>
      </c>
      <c r="X45" s="149" t="s">
        <v>46</v>
      </c>
      <c r="Y45" s="156" t="s">
        <v>88</v>
      </c>
      <c r="Z45" s="156" t="s">
        <v>78</v>
      </c>
      <c r="AA45" s="156" t="s">
        <v>50</v>
      </c>
      <c r="AB45" s="53" t="s">
        <v>158</v>
      </c>
    </row>
    <row r="46" spans="1:28" x14ac:dyDescent="0.15">
      <c r="A46" s="53" t="s">
        <v>34</v>
      </c>
      <c r="B46" s="141" t="s">
        <v>157</v>
      </c>
      <c r="C46" s="142">
        <v>2019</v>
      </c>
      <c r="D46" s="143" t="s">
        <v>285</v>
      </c>
      <c r="E46" s="142" t="s">
        <v>139</v>
      </c>
      <c r="F46" s="141" t="s">
        <v>292</v>
      </c>
      <c r="G46" s="144" t="s">
        <v>36</v>
      </c>
      <c r="H46" s="131" t="s">
        <v>164</v>
      </c>
      <c r="I46" s="131" t="s">
        <v>159</v>
      </c>
      <c r="J46" s="53" t="s">
        <v>38</v>
      </c>
      <c r="K46" s="131" t="s">
        <v>161</v>
      </c>
      <c r="L46" s="53">
        <v>3</v>
      </c>
      <c r="N46" s="53">
        <v>1</v>
      </c>
      <c r="O46" s="53">
        <v>0.75</v>
      </c>
      <c r="P46" s="53">
        <v>0.65</v>
      </c>
      <c r="Q46" s="75">
        <f t="shared" si="2"/>
        <v>0.7</v>
      </c>
      <c r="R46" s="151">
        <v>14.5</v>
      </c>
      <c r="S46" s="151">
        <v>113</v>
      </c>
      <c r="T46" s="16">
        <f t="shared" si="0"/>
        <v>30</v>
      </c>
      <c r="U46" s="147">
        <v>108</v>
      </c>
      <c r="V46" s="16">
        <f t="shared" si="1"/>
        <v>3240</v>
      </c>
      <c r="W46" s="53">
        <v>8</v>
      </c>
      <c r="X46" s="149" t="s">
        <v>46</v>
      </c>
      <c r="Y46" s="156" t="s">
        <v>88</v>
      </c>
      <c r="Z46" s="156" t="s">
        <v>78</v>
      </c>
      <c r="AA46" s="156" t="s">
        <v>50</v>
      </c>
      <c r="AB46" s="53" t="s">
        <v>158</v>
      </c>
    </row>
    <row r="47" spans="1:28" x14ac:dyDescent="0.15">
      <c r="A47" s="53" t="s">
        <v>34</v>
      </c>
      <c r="B47" s="34" t="s">
        <v>157</v>
      </c>
      <c r="C47" s="53">
        <v>2019</v>
      </c>
      <c r="D47" s="157" t="s">
        <v>285</v>
      </c>
      <c r="E47" s="53" t="s">
        <v>139</v>
      </c>
      <c r="F47" s="141" t="s">
        <v>292</v>
      </c>
      <c r="G47" s="144" t="s">
        <v>36</v>
      </c>
      <c r="H47" s="131" t="s">
        <v>160</v>
      </c>
      <c r="I47" s="131" t="s">
        <v>159</v>
      </c>
      <c r="J47" s="53" t="s">
        <v>38</v>
      </c>
      <c r="K47" s="131" t="s">
        <v>161</v>
      </c>
      <c r="L47" s="53">
        <v>1</v>
      </c>
      <c r="N47" s="53">
        <v>1</v>
      </c>
      <c r="O47" s="53">
        <v>0.6</v>
      </c>
      <c r="P47" s="53">
        <v>0.65</v>
      </c>
      <c r="Q47" s="75">
        <f t="shared" si="2"/>
        <v>0.625</v>
      </c>
      <c r="R47" s="151">
        <v>16</v>
      </c>
      <c r="S47" s="151">
        <v>103</v>
      </c>
      <c r="T47" s="16">
        <f t="shared" si="0"/>
        <v>33</v>
      </c>
      <c r="U47" s="53">
        <v>108</v>
      </c>
      <c r="V47" s="16">
        <f t="shared" si="1"/>
        <v>3564</v>
      </c>
      <c r="W47" s="53">
        <v>8</v>
      </c>
      <c r="X47" s="149" t="s">
        <v>46</v>
      </c>
      <c r="Y47" s="53" t="s">
        <v>88</v>
      </c>
      <c r="Z47" s="53" t="s">
        <v>78</v>
      </c>
      <c r="AA47" s="53" t="s">
        <v>50</v>
      </c>
      <c r="AB47" s="53" t="s">
        <v>158</v>
      </c>
    </row>
    <row r="48" spans="1:28" x14ac:dyDescent="0.15">
      <c r="A48" s="53" t="s">
        <v>34</v>
      </c>
      <c r="B48" s="34" t="s">
        <v>157</v>
      </c>
      <c r="C48" s="53">
        <v>2019</v>
      </c>
      <c r="D48" s="157" t="s">
        <v>285</v>
      </c>
      <c r="E48" s="53" t="s">
        <v>139</v>
      </c>
      <c r="F48" s="141" t="s">
        <v>292</v>
      </c>
      <c r="G48" s="144" t="s">
        <v>36</v>
      </c>
      <c r="H48" s="131" t="s">
        <v>160</v>
      </c>
      <c r="I48" s="131" t="s">
        <v>159</v>
      </c>
      <c r="J48" s="53" t="s">
        <v>38</v>
      </c>
      <c r="K48" s="131" t="s">
        <v>161</v>
      </c>
      <c r="L48" s="53">
        <v>2</v>
      </c>
      <c r="N48" s="53">
        <v>1</v>
      </c>
      <c r="O48" s="53">
        <v>0.75</v>
      </c>
      <c r="P48" s="53">
        <v>0.8</v>
      </c>
      <c r="Q48" s="75">
        <f t="shared" si="2"/>
        <v>0.77500000000000002</v>
      </c>
      <c r="R48" s="151">
        <v>15.7</v>
      </c>
      <c r="S48" s="151">
        <v>96</v>
      </c>
      <c r="T48" s="16">
        <f t="shared" si="0"/>
        <v>36</v>
      </c>
      <c r="U48" s="53">
        <v>108</v>
      </c>
      <c r="V48" s="16">
        <f t="shared" si="1"/>
        <v>3888</v>
      </c>
      <c r="W48" s="53">
        <v>8</v>
      </c>
      <c r="X48" s="149" t="s">
        <v>46</v>
      </c>
      <c r="Y48" s="53" t="s">
        <v>88</v>
      </c>
      <c r="Z48" s="53" t="s">
        <v>78</v>
      </c>
      <c r="AA48" s="53" t="s">
        <v>50</v>
      </c>
      <c r="AB48" s="53" t="s">
        <v>158</v>
      </c>
    </row>
    <row r="49" spans="1:28" x14ac:dyDescent="0.15">
      <c r="A49" s="53" t="s">
        <v>34</v>
      </c>
      <c r="B49" s="34" t="s">
        <v>157</v>
      </c>
      <c r="C49" s="53">
        <v>2019</v>
      </c>
      <c r="D49" s="157" t="s">
        <v>285</v>
      </c>
      <c r="E49" s="53" t="s">
        <v>139</v>
      </c>
      <c r="F49" s="141" t="s">
        <v>292</v>
      </c>
      <c r="G49" s="144" t="s">
        <v>36</v>
      </c>
      <c r="H49" s="131" t="s">
        <v>160</v>
      </c>
      <c r="I49" s="131" t="s">
        <v>159</v>
      </c>
      <c r="J49" s="53" t="s">
        <v>38</v>
      </c>
      <c r="K49" s="131" t="s">
        <v>161</v>
      </c>
      <c r="L49" s="53">
        <v>3</v>
      </c>
      <c r="N49" s="53">
        <v>1</v>
      </c>
      <c r="O49" s="53">
        <v>0.6</v>
      </c>
      <c r="P49" s="53">
        <v>0.65</v>
      </c>
      <c r="Q49" s="75">
        <f t="shared" si="2"/>
        <v>0.625</v>
      </c>
      <c r="R49" s="151">
        <v>16.2</v>
      </c>
      <c r="S49" s="151">
        <v>96</v>
      </c>
      <c r="T49" s="16">
        <f t="shared" si="0"/>
        <v>36</v>
      </c>
      <c r="U49" s="53">
        <v>108</v>
      </c>
      <c r="V49" s="16">
        <f t="shared" si="1"/>
        <v>3888</v>
      </c>
      <c r="W49" s="53">
        <v>8</v>
      </c>
      <c r="X49" s="149" t="s">
        <v>46</v>
      </c>
      <c r="Y49" s="53" t="s">
        <v>88</v>
      </c>
      <c r="Z49" s="53" t="s">
        <v>78</v>
      </c>
      <c r="AA49" s="53" t="s">
        <v>50</v>
      </c>
      <c r="AB49" s="53" t="s">
        <v>158</v>
      </c>
    </row>
    <row r="50" spans="1:28" x14ac:dyDescent="0.15">
      <c r="A50" s="53" t="s">
        <v>34</v>
      </c>
      <c r="B50" s="53" t="s">
        <v>157</v>
      </c>
      <c r="C50" s="53">
        <v>2019</v>
      </c>
      <c r="D50" s="157" t="s">
        <v>285</v>
      </c>
      <c r="E50" s="53" t="s">
        <v>133</v>
      </c>
      <c r="F50" s="141" t="s">
        <v>294</v>
      </c>
      <c r="G50" s="144" t="s">
        <v>36</v>
      </c>
      <c r="H50" s="53" t="s">
        <v>164</v>
      </c>
      <c r="I50" s="53" t="s">
        <v>159</v>
      </c>
      <c r="J50" s="53" t="s">
        <v>38</v>
      </c>
      <c r="K50" s="131" t="s">
        <v>161</v>
      </c>
      <c r="L50" s="53">
        <v>1</v>
      </c>
      <c r="N50" s="53">
        <v>1</v>
      </c>
      <c r="O50" s="53">
        <v>0.55000000000000004</v>
      </c>
      <c r="P50" s="53">
        <v>0.6</v>
      </c>
      <c r="Q50" s="75">
        <f t="shared" si="2"/>
        <v>0.57499999999999996</v>
      </c>
      <c r="R50" s="53">
        <v>14.9</v>
      </c>
      <c r="S50" s="53">
        <v>124</v>
      </c>
      <c r="T50" s="16">
        <f t="shared" si="0"/>
        <v>30</v>
      </c>
      <c r="U50" s="53">
        <v>98</v>
      </c>
      <c r="V50" s="16">
        <f t="shared" si="1"/>
        <v>2940</v>
      </c>
      <c r="W50" s="53">
        <v>20</v>
      </c>
      <c r="X50" s="149" t="s">
        <v>46</v>
      </c>
      <c r="Y50" s="53" t="s">
        <v>50</v>
      </c>
      <c r="Z50" s="53" t="s">
        <v>102</v>
      </c>
      <c r="AA50" s="53" t="s">
        <v>90</v>
      </c>
      <c r="AB50" s="53" t="s">
        <v>158</v>
      </c>
    </row>
    <row r="51" spans="1:28" x14ac:dyDescent="0.15">
      <c r="A51" s="53" t="s">
        <v>34</v>
      </c>
      <c r="B51" s="53" t="s">
        <v>157</v>
      </c>
      <c r="C51" s="53">
        <v>2019</v>
      </c>
      <c r="D51" s="157" t="s">
        <v>285</v>
      </c>
      <c r="E51" s="53" t="s">
        <v>133</v>
      </c>
      <c r="F51" s="141" t="s">
        <v>294</v>
      </c>
      <c r="G51" s="144" t="s">
        <v>36</v>
      </c>
      <c r="H51" s="53" t="s">
        <v>164</v>
      </c>
      <c r="I51" s="53" t="s">
        <v>159</v>
      </c>
      <c r="J51" s="53" t="s">
        <v>38</v>
      </c>
      <c r="K51" s="131" t="s">
        <v>161</v>
      </c>
      <c r="L51" s="53">
        <v>2</v>
      </c>
      <c r="N51" s="53">
        <v>1</v>
      </c>
      <c r="O51" s="53">
        <v>0.6</v>
      </c>
      <c r="P51" s="53">
        <v>0.55000000000000004</v>
      </c>
      <c r="Q51" s="75">
        <f t="shared" si="2"/>
        <v>0.57499999999999996</v>
      </c>
      <c r="R51" s="53">
        <v>15</v>
      </c>
      <c r="S51" s="53">
        <v>115</v>
      </c>
      <c r="T51" s="16">
        <f t="shared" si="0"/>
        <v>30</v>
      </c>
      <c r="U51" s="53">
        <v>98</v>
      </c>
      <c r="V51" s="16">
        <f t="shared" si="1"/>
        <v>2940</v>
      </c>
      <c r="W51" s="53">
        <v>20</v>
      </c>
      <c r="X51" s="149" t="s">
        <v>46</v>
      </c>
      <c r="Y51" s="53" t="s">
        <v>50</v>
      </c>
      <c r="Z51" s="53" t="s">
        <v>102</v>
      </c>
      <c r="AA51" s="53" t="s">
        <v>90</v>
      </c>
      <c r="AB51" s="53" t="s">
        <v>158</v>
      </c>
    </row>
    <row r="52" spans="1:28" x14ac:dyDescent="0.15">
      <c r="A52" s="53" t="s">
        <v>34</v>
      </c>
      <c r="B52" s="53" t="s">
        <v>157</v>
      </c>
      <c r="C52" s="53">
        <v>2019</v>
      </c>
      <c r="D52" s="157" t="s">
        <v>285</v>
      </c>
      <c r="E52" s="53" t="s">
        <v>133</v>
      </c>
      <c r="F52" s="141" t="s">
        <v>294</v>
      </c>
      <c r="G52" s="144" t="s">
        <v>36</v>
      </c>
      <c r="H52" s="53" t="s">
        <v>164</v>
      </c>
      <c r="I52" s="53" t="s">
        <v>159</v>
      </c>
      <c r="J52" s="53" t="s">
        <v>38</v>
      </c>
      <c r="K52" s="131" t="s">
        <v>161</v>
      </c>
      <c r="L52" s="53">
        <v>3</v>
      </c>
      <c r="N52" s="53">
        <v>1</v>
      </c>
      <c r="O52" s="53">
        <v>0.6</v>
      </c>
      <c r="P52" s="53">
        <v>0.6</v>
      </c>
      <c r="Q52" s="75">
        <f t="shared" si="2"/>
        <v>0.6</v>
      </c>
      <c r="R52" s="53">
        <v>15.2</v>
      </c>
      <c r="S52" s="53">
        <v>124</v>
      </c>
      <c r="T52" s="16">
        <f t="shared" si="0"/>
        <v>30</v>
      </c>
      <c r="U52" s="53">
        <v>98</v>
      </c>
      <c r="V52" s="16">
        <f t="shared" si="1"/>
        <v>2940</v>
      </c>
      <c r="W52" s="53">
        <v>20</v>
      </c>
      <c r="X52" s="149" t="s">
        <v>46</v>
      </c>
      <c r="Y52" s="53" t="s">
        <v>50</v>
      </c>
      <c r="Z52" s="53" t="s">
        <v>102</v>
      </c>
      <c r="AA52" s="53" t="s">
        <v>90</v>
      </c>
      <c r="AB52" s="53" t="s">
        <v>158</v>
      </c>
    </row>
    <row r="53" spans="1:28" x14ac:dyDescent="0.15">
      <c r="A53" s="53" t="s">
        <v>34</v>
      </c>
      <c r="B53" s="53" t="s">
        <v>157</v>
      </c>
      <c r="C53" s="53">
        <v>2019</v>
      </c>
      <c r="D53" s="157" t="s">
        <v>285</v>
      </c>
      <c r="E53" s="53" t="s">
        <v>133</v>
      </c>
      <c r="F53" s="141" t="s">
        <v>294</v>
      </c>
      <c r="G53" s="144" t="s">
        <v>36</v>
      </c>
      <c r="H53" s="53" t="s">
        <v>160</v>
      </c>
      <c r="I53" s="53" t="s">
        <v>159</v>
      </c>
      <c r="J53" s="53" t="s">
        <v>38</v>
      </c>
      <c r="K53" s="131" t="s">
        <v>161</v>
      </c>
      <c r="L53" s="53">
        <v>1</v>
      </c>
      <c r="N53" s="53">
        <v>1</v>
      </c>
      <c r="O53" s="53">
        <v>0.75</v>
      </c>
      <c r="P53" s="53">
        <v>0.55000000000000004</v>
      </c>
      <c r="Q53" s="75">
        <f t="shared" si="2"/>
        <v>0.65</v>
      </c>
      <c r="R53" s="53">
        <v>15.9</v>
      </c>
      <c r="S53" s="53">
        <v>146</v>
      </c>
      <c r="T53" s="16">
        <f t="shared" si="0"/>
        <v>30</v>
      </c>
      <c r="U53" s="53">
        <v>158</v>
      </c>
      <c r="V53" s="16">
        <f t="shared" si="1"/>
        <v>4740</v>
      </c>
      <c r="W53" s="53">
        <v>20</v>
      </c>
      <c r="X53" s="149" t="s">
        <v>46</v>
      </c>
      <c r="Y53" s="53" t="s">
        <v>50</v>
      </c>
      <c r="Z53" s="53" t="s">
        <v>102</v>
      </c>
      <c r="AA53" s="53" t="s">
        <v>90</v>
      </c>
      <c r="AB53" s="53" t="s">
        <v>158</v>
      </c>
    </row>
    <row r="54" spans="1:28" x14ac:dyDescent="0.15">
      <c r="A54" s="53" t="s">
        <v>34</v>
      </c>
      <c r="B54" s="53" t="s">
        <v>157</v>
      </c>
      <c r="C54" s="53">
        <v>2019</v>
      </c>
      <c r="D54" s="157" t="s">
        <v>285</v>
      </c>
      <c r="E54" s="53" t="s">
        <v>133</v>
      </c>
      <c r="F54" s="141" t="s">
        <v>294</v>
      </c>
      <c r="G54" s="144" t="s">
        <v>36</v>
      </c>
      <c r="H54" s="53" t="s">
        <v>160</v>
      </c>
      <c r="I54" s="53" t="s">
        <v>159</v>
      </c>
      <c r="J54" s="53" t="s">
        <v>38</v>
      </c>
      <c r="K54" s="131" t="s">
        <v>161</v>
      </c>
      <c r="L54" s="53">
        <v>2</v>
      </c>
      <c r="N54" s="53">
        <v>1</v>
      </c>
      <c r="O54" s="53">
        <v>0.9</v>
      </c>
      <c r="P54" s="53">
        <v>0.85</v>
      </c>
      <c r="Q54" s="75">
        <f t="shared" si="2"/>
        <v>0.875</v>
      </c>
      <c r="R54" s="53">
        <v>15.4</v>
      </c>
      <c r="S54" s="53">
        <v>138</v>
      </c>
      <c r="T54" s="16">
        <f t="shared" si="0"/>
        <v>30</v>
      </c>
      <c r="U54" s="53">
        <v>158</v>
      </c>
      <c r="V54" s="16">
        <f t="shared" si="1"/>
        <v>4740</v>
      </c>
      <c r="W54" s="53">
        <v>20</v>
      </c>
      <c r="X54" s="149" t="s">
        <v>46</v>
      </c>
      <c r="Y54" s="53" t="s">
        <v>50</v>
      </c>
      <c r="Z54" s="53" t="s">
        <v>102</v>
      </c>
      <c r="AA54" s="53" t="s">
        <v>90</v>
      </c>
      <c r="AB54" s="53" t="s">
        <v>158</v>
      </c>
    </row>
    <row r="55" spans="1:28" x14ac:dyDescent="0.15">
      <c r="A55" s="53" t="s">
        <v>34</v>
      </c>
      <c r="B55" s="53" t="s">
        <v>157</v>
      </c>
      <c r="C55" s="53">
        <v>2019</v>
      </c>
      <c r="D55" s="157" t="s">
        <v>285</v>
      </c>
      <c r="E55" s="53" t="s">
        <v>133</v>
      </c>
      <c r="F55" s="141" t="s">
        <v>294</v>
      </c>
      <c r="G55" s="144" t="s">
        <v>36</v>
      </c>
      <c r="H55" s="53" t="s">
        <v>160</v>
      </c>
      <c r="I55" s="53" t="s">
        <v>159</v>
      </c>
      <c r="J55" s="53" t="s">
        <v>38</v>
      </c>
      <c r="K55" s="131" t="s">
        <v>161</v>
      </c>
      <c r="L55" s="53">
        <v>3</v>
      </c>
      <c r="N55" s="53">
        <v>1</v>
      </c>
      <c r="O55" s="53">
        <v>0.8</v>
      </c>
      <c r="P55" s="53">
        <v>0.85</v>
      </c>
      <c r="Q55" s="75">
        <f t="shared" si="2"/>
        <v>0.82499999999999996</v>
      </c>
      <c r="R55" s="53">
        <v>15.6</v>
      </c>
      <c r="S55" s="53">
        <v>145</v>
      </c>
      <c r="T55" s="16">
        <f t="shared" si="0"/>
        <v>30</v>
      </c>
      <c r="U55" s="53">
        <v>158</v>
      </c>
      <c r="V55" s="16">
        <f t="shared" si="1"/>
        <v>4740</v>
      </c>
      <c r="W55" s="53">
        <v>20</v>
      </c>
      <c r="X55" s="149" t="s">
        <v>46</v>
      </c>
      <c r="Y55" s="53" t="s">
        <v>50</v>
      </c>
      <c r="Z55" s="53" t="s">
        <v>102</v>
      </c>
      <c r="AA55" s="53" t="s">
        <v>90</v>
      </c>
      <c r="AB55" s="53" t="s">
        <v>158</v>
      </c>
    </row>
    <row r="56" spans="1:28" x14ac:dyDescent="0.15">
      <c r="A56" s="53" t="s">
        <v>34</v>
      </c>
      <c r="B56" s="53" t="s">
        <v>157</v>
      </c>
      <c r="C56" s="53">
        <v>2019</v>
      </c>
      <c r="D56" s="157" t="s">
        <v>285</v>
      </c>
      <c r="E56" s="53" t="s">
        <v>270</v>
      </c>
      <c r="F56" s="141" t="s">
        <v>295</v>
      </c>
      <c r="G56" s="144" t="s">
        <v>36</v>
      </c>
      <c r="H56" s="53" t="s">
        <v>164</v>
      </c>
      <c r="I56" s="53" t="s">
        <v>159</v>
      </c>
      <c r="J56" s="53" t="s">
        <v>38</v>
      </c>
      <c r="K56" s="131" t="s">
        <v>161</v>
      </c>
      <c r="L56" s="53">
        <v>1</v>
      </c>
      <c r="N56" s="53">
        <v>1</v>
      </c>
      <c r="O56" s="53">
        <v>1.1000000000000001</v>
      </c>
      <c r="P56" s="53">
        <v>0.95</v>
      </c>
      <c r="Q56" s="75">
        <f t="shared" si="2"/>
        <v>1.0249999999999999</v>
      </c>
      <c r="R56" s="53">
        <v>16.2</v>
      </c>
      <c r="S56" s="53">
        <v>121</v>
      </c>
      <c r="T56" s="16">
        <f t="shared" si="0"/>
        <v>30</v>
      </c>
      <c r="U56" s="53">
        <v>78</v>
      </c>
      <c r="V56" s="16">
        <f t="shared" si="1"/>
        <v>2340</v>
      </c>
      <c r="W56" s="53">
        <v>4</v>
      </c>
      <c r="X56" s="149" t="s">
        <v>46</v>
      </c>
      <c r="Y56" s="53" t="s">
        <v>102</v>
      </c>
      <c r="Z56" s="53" t="s">
        <v>90</v>
      </c>
      <c r="AA56" s="53" t="s">
        <v>78</v>
      </c>
      <c r="AB56" s="53" t="s">
        <v>158</v>
      </c>
    </row>
    <row r="57" spans="1:28" x14ac:dyDescent="0.15">
      <c r="A57" s="53" t="s">
        <v>34</v>
      </c>
      <c r="B57" s="53" t="s">
        <v>157</v>
      </c>
      <c r="C57" s="53">
        <v>2019</v>
      </c>
      <c r="D57" s="157" t="s">
        <v>285</v>
      </c>
      <c r="E57" s="53" t="s">
        <v>270</v>
      </c>
      <c r="F57" s="141" t="s">
        <v>295</v>
      </c>
      <c r="G57" s="144" t="s">
        <v>36</v>
      </c>
      <c r="H57" s="53" t="s">
        <v>164</v>
      </c>
      <c r="I57" s="53" t="s">
        <v>159</v>
      </c>
      <c r="J57" s="53" t="s">
        <v>38</v>
      </c>
      <c r="K57" s="131" t="s">
        <v>161</v>
      </c>
      <c r="L57" s="53">
        <v>2</v>
      </c>
      <c r="N57" s="53">
        <v>1</v>
      </c>
      <c r="O57" s="53">
        <v>0.85</v>
      </c>
      <c r="P57" s="53">
        <v>0.8</v>
      </c>
      <c r="Q57" s="75">
        <f t="shared" si="2"/>
        <v>0.82499999999999996</v>
      </c>
      <c r="R57" s="53">
        <v>16.3</v>
      </c>
      <c r="S57" s="53">
        <v>118</v>
      </c>
      <c r="T57" s="16">
        <f t="shared" si="0"/>
        <v>30</v>
      </c>
      <c r="U57" s="53">
        <v>78</v>
      </c>
      <c r="V57" s="16">
        <f t="shared" si="1"/>
        <v>2340</v>
      </c>
      <c r="W57" s="53">
        <v>4</v>
      </c>
      <c r="X57" s="149" t="s">
        <v>46</v>
      </c>
      <c r="Y57" s="53" t="s">
        <v>102</v>
      </c>
      <c r="Z57" s="53" t="s">
        <v>90</v>
      </c>
      <c r="AA57" s="53" t="s">
        <v>78</v>
      </c>
      <c r="AB57" s="53" t="s">
        <v>158</v>
      </c>
    </row>
    <row r="58" spans="1:28" x14ac:dyDescent="0.15">
      <c r="A58" s="53" t="s">
        <v>34</v>
      </c>
      <c r="B58" s="53" t="s">
        <v>157</v>
      </c>
      <c r="C58" s="53">
        <v>2019</v>
      </c>
      <c r="D58" s="157" t="s">
        <v>285</v>
      </c>
      <c r="E58" s="53" t="s">
        <v>270</v>
      </c>
      <c r="F58" s="141" t="s">
        <v>295</v>
      </c>
      <c r="G58" s="144" t="s">
        <v>36</v>
      </c>
      <c r="H58" s="53" t="s">
        <v>164</v>
      </c>
      <c r="I58" s="53" t="s">
        <v>159</v>
      </c>
      <c r="J58" s="53" t="s">
        <v>38</v>
      </c>
      <c r="K58" s="131" t="s">
        <v>161</v>
      </c>
      <c r="L58" s="53">
        <v>3</v>
      </c>
      <c r="N58" s="53">
        <v>1</v>
      </c>
      <c r="O58" s="53">
        <v>0.9</v>
      </c>
      <c r="P58" s="53">
        <v>0.95</v>
      </c>
      <c r="Q58" s="75">
        <f t="shared" si="2"/>
        <v>0.92500000000000004</v>
      </c>
      <c r="R58" s="53">
        <v>15.7</v>
      </c>
      <c r="S58" s="53">
        <v>120</v>
      </c>
      <c r="T58" s="16">
        <f t="shared" si="0"/>
        <v>30</v>
      </c>
      <c r="U58" s="53">
        <v>78</v>
      </c>
      <c r="V58" s="16">
        <f t="shared" si="1"/>
        <v>2340</v>
      </c>
      <c r="W58" s="53">
        <v>4</v>
      </c>
      <c r="X58" s="149" t="s">
        <v>46</v>
      </c>
      <c r="Y58" s="53" t="s">
        <v>102</v>
      </c>
      <c r="Z58" s="53" t="s">
        <v>90</v>
      </c>
      <c r="AA58" s="53" t="s">
        <v>78</v>
      </c>
      <c r="AB58" s="53" t="s">
        <v>158</v>
      </c>
    </row>
    <row r="59" spans="1:28" x14ac:dyDescent="0.15">
      <c r="A59" s="53" t="s">
        <v>34</v>
      </c>
      <c r="B59" s="53" t="s">
        <v>157</v>
      </c>
      <c r="C59" s="53">
        <v>2019</v>
      </c>
      <c r="D59" s="157" t="s">
        <v>285</v>
      </c>
      <c r="E59" s="53" t="s">
        <v>270</v>
      </c>
      <c r="F59" s="141" t="s">
        <v>295</v>
      </c>
      <c r="G59" s="144" t="s">
        <v>36</v>
      </c>
      <c r="H59" s="53" t="s">
        <v>160</v>
      </c>
      <c r="I59" s="53" t="s">
        <v>159</v>
      </c>
      <c r="J59" s="53" t="s">
        <v>38</v>
      </c>
      <c r="K59" s="131" t="s">
        <v>161</v>
      </c>
      <c r="L59" s="53">
        <v>1</v>
      </c>
      <c r="N59" s="53">
        <v>4</v>
      </c>
      <c r="O59" s="53">
        <v>0.5</v>
      </c>
      <c r="P59" s="53">
        <v>0.45</v>
      </c>
      <c r="Q59" s="75">
        <f t="shared" si="2"/>
        <v>0.47499999999999998</v>
      </c>
      <c r="R59" s="53">
        <v>16.100000000000001</v>
      </c>
      <c r="S59" s="53">
        <v>98</v>
      </c>
      <c r="T59" s="16">
        <f t="shared" si="0"/>
        <v>36</v>
      </c>
      <c r="U59" s="53">
        <v>498</v>
      </c>
      <c r="V59" s="16">
        <f t="shared" si="1"/>
        <v>4482</v>
      </c>
      <c r="W59" s="53">
        <v>4</v>
      </c>
      <c r="X59" s="149" t="s">
        <v>46</v>
      </c>
      <c r="Y59" s="53" t="s">
        <v>102</v>
      </c>
      <c r="Z59" s="53" t="s">
        <v>90</v>
      </c>
      <c r="AA59" s="53" t="s">
        <v>78</v>
      </c>
      <c r="AB59" s="53" t="s">
        <v>158</v>
      </c>
    </row>
    <row r="60" spans="1:28" x14ac:dyDescent="0.15">
      <c r="A60" s="53" t="s">
        <v>34</v>
      </c>
      <c r="B60" s="53" t="s">
        <v>157</v>
      </c>
      <c r="C60" s="53">
        <v>2019</v>
      </c>
      <c r="D60" s="157" t="s">
        <v>285</v>
      </c>
      <c r="E60" s="53" t="s">
        <v>270</v>
      </c>
      <c r="F60" s="141" t="s">
        <v>295</v>
      </c>
      <c r="G60" s="144" t="s">
        <v>36</v>
      </c>
      <c r="H60" s="53" t="s">
        <v>160</v>
      </c>
      <c r="I60" s="53" t="s">
        <v>159</v>
      </c>
      <c r="J60" s="53" t="s">
        <v>38</v>
      </c>
      <c r="K60" s="131" t="s">
        <v>161</v>
      </c>
      <c r="L60" s="53">
        <v>2</v>
      </c>
      <c r="N60" s="53">
        <v>4</v>
      </c>
      <c r="O60" s="53">
        <v>0.45</v>
      </c>
      <c r="P60" s="53">
        <v>0.5</v>
      </c>
      <c r="Q60" s="75">
        <f t="shared" si="2"/>
        <v>0.47499999999999998</v>
      </c>
      <c r="R60" s="53">
        <v>16</v>
      </c>
      <c r="S60" s="53">
        <v>98</v>
      </c>
      <c r="T60" s="16">
        <f t="shared" si="0"/>
        <v>36</v>
      </c>
      <c r="U60" s="53">
        <v>498</v>
      </c>
      <c r="V60" s="16">
        <f t="shared" si="1"/>
        <v>4482</v>
      </c>
      <c r="W60" s="53">
        <v>4</v>
      </c>
      <c r="X60" s="149" t="s">
        <v>46</v>
      </c>
      <c r="Y60" s="53" t="s">
        <v>102</v>
      </c>
      <c r="Z60" s="53" t="s">
        <v>90</v>
      </c>
      <c r="AA60" s="53" t="s">
        <v>78</v>
      </c>
      <c r="AB60" s="53" t="s">
        <v>158</v>
      </c>
    </row>
    <row r="61" spans="1:28" x14ac:dyDescent="0.15">
      <c r="A61" s="53" t="s">
        <v>34</v>
      </c>
      <c r="B61" s="53" t="s">
        <v>157</v>
      </c>
      <c r="C61" s="53">
        <v>2019</v>
      </c>
      <c r="D61" s="157" t="s">
        <v>285</v>
      </c>
      <c r="E61" s="53" t="s">
        <v>270</v>
      </c>
      <c r="F61" s="141" t="s">
        <v>295</v>
      </c>
      <c r="G61" s="144" t="s">
        <v>36</v>
      </c>
      <c r="H61" s="53" t="s">
        <v>160</v>
      </c>
      <c r="I61" s="53" t="s">
        <v>159</v>
      </c>
      <c r="J61" s="53" t="s">
        <v>38</v>
      </c>
      <c r="K61" s="131" t="s">
        <v>161</v>
      </c>
      <c r="L61" s="53">
        <v>3</v>
      </c>
      <c r="N61" s="53">
        <v>4</v>
      </c>
      <c r="O61" s="53">
        <v>0.5</v>
      </c>
      <c r="P61" s="53">
        <v>0.5</v>
      </c>
      <c r="Q61" s="75">
        <f t="shared" si="2"/>
        <v>0.5</v>
      </c>
      <c r="R61" s="53">
        <v>16.3</v>
      </c>
      <c r="S61" s="53">
        <v>104</v>
      </c>
      <c r="T61" s="16">
        <f t="shared" si="0"/>
        <v>33</v>
      </c>
      <c r="U61" s="53">
        <v>498</v>
      </c>
      <c r="V61" s="16">
        <f t="shared" si="1"/>
        <v>4108.5</v>
      </c>
      <c r="W61" s="53">
        <v>4</v>
      </c>
      <c r="X61" s="149" t="s">
        <v>46</v>
      </c>
      <c r="Y61" s="53" t="s">
        <v>102</v>
      </c>
      <c r="Z61" s="53" t="s">
        <v>90</v>
      </c>
      <c r="AA61" s="53" t="s">
        <v>78</v>
      </c>
      <c r="AB61" s="53" t="s">
        <v>158</v>
      </c>
    </row>
    <row r="62" spans="1:28" x14ac:dyDescent="0.15">
      <c r="D62" s="157"/>
      <c r="F62" s="141"/>
      <c r="G62" s="144"/>
      <c r="K62" s="131"/>
      <c r="Q62" s="75" t="str">
        <f t="shared" si="2"/>
        <v/>
      </c>
      <c r="T62" s="16" t="str">
        <f t="shared" si="0"/>
        <v/>
      </c>
      <c r="V62" s="16" t="str">
        <f t="shared" si="1"/>
        <v/>
      </c>
      <c r="X62" s="149"/>
    </row>
    <row r="63" spans="1:28" x14ac:dyDescent="0.15">
      <c r="D63" s="157"/>
      <c r="F63" s="141"/>
      <c r="G63" s="144"/>
      <c r="K63" s="131"/>
      <c r="Q63" s="75" t="str">
        <f t="shared" si="2"/>
        <v/>
      </c>
      <c r="T63" s="16" t="str">
        <f t="shared" si="0"/>
        <v/>
      </c>
      <c r="V63" s="16" t="str">
        <f t="shared" si="1"/>
        <v/>
      </c>
      <c r="X63" s="149"/>
    </row>
    <row r="64" spans="1:28" x14ac:dyDescent="0.15">
      <c r="D64" s="157"/>
      <c r="F64" s="141"/>
      <c r="G64" s="144"/>
      <c r="K64" s="131"/>
      <c r="Q64" s="75" t="str">
        <f t="shared" si="2"/>
        <v/>
      </c>
      <c r="T64" s="16" t="str">
        <f t="shared" si="0"/>
        <v/>
      </c>
      <c r="V64" s="16" t="str">
        <f t="shared" si="1"/>
        <v/>
      </c>
      <c r="X64" s="149"/>
    </row>
    <row r="65" spans="4:24" x14ac:dyDescent="0.15">
      <c r="D65" s="157"/>
      <c r="F65" s="141"/>
      <c r="G65" s="144"/>
      <c r="K65" s="131"/>
      <c r="Q65" s="75" t="str">
        <f t="shared" si="2"/>
        <v/>
      </c>
      <c r="T65" s="16" t="str">
        <f t="shared" si="0"/>
        <v/>
      </c>
      <c r="V65" s="16" t="str">
        <f t="shared" si="1"/>
        <v/>
      </c>
      <c r="X65" s="149"/>
    </row>
    <row r="66" spans="4:24" x14ac:dyDescent="0.15">
      <c r="D66" s="157"/>
      <c r="F66" s="141"/>
      <c r="G66" s="144"/>
      <c r="K66" s="131"/>
      <c r="Q66" s="75" t="str">
        <f t="shared" si="2"/>
        <v/>
      </c>
      <c r="T66" s="16" t="str">
        <f t="shared" ref="T66:T91" si="3">IF(H66="","",IF(OR(H66="GREEN",H66="GK"),IF(S66&gt;=$AX$2,VLOOKUP(S66,$AX$2:$AY$7,2,1),""),IF(S66&gt;=$AZ$2,VLOOKUP(S66,$AZ$2:$BA$7,2,1),"")))</f>
        <v/>
      </c>
      <c r="V66" s="16" t="str">
        <f t="shared" ref="V66:V91" si="4">IF(OR(N66="",U66="",T66=""),"",U66/N66*T66)</f>
        <v/>
      </c>
      <c r="X66" s="149"/>
    </row>
    <row r="67" spans="4:24" x14ac:dyDescent="0.15">
      <c r="D67" s="157"/>
      <c r="F67" s="141"/>
      <c r="G67" s="144"/>
      <c r="K67" s="131"/>
      <c r="Q67" s="75" t="str">
        <f t="shared" ref="Q67:Q92" si="5">IF(OR(O67="",P67=""),"",AVERAGE(O67,P67))</f>
        <v/>
      </c>
      <c r="T67" s="16" t="str">
        <f t="shared" si="3"/>
        <v/>
      </c>
      <c r="V67" s="16" t="str">
        <f t="shared" si="4"/>
        <v/>
      </c>
      <c r="X67" s="149"/>
    </row>
    <row r="68" spans="4:24" x14ac:dyDescent="0.15">
      <c r="D68" s="157"/>
      <c r="F68" s="141"/>
      <c r="G68" s="144"/>
      <c r="K68" s="131"/>
      <c r="Q68" s="75" t="str">
        <f t="shared" si="5"/>
        <v/>
      </c>
      <c r="T68" s="16" t="str">
        <f t="shared" si="3"/>
        <v/>
      </c>
      <c r="V68" s="16" t="str">
        <f t="shared" si="4"/>
        <v/>
      </c>
      <c r="X68" s="149"/>
    </row>
    <row r="69" spans="4:24" x14ac:dyDescent="0.15">
      <c r="D69" s="157"/>
      <c r="F69" s="141"/>
      <c r="G69" s="144"/>
      <c r="K69" s="131"/>
      <c r="Q69" s="75" t="str">
        <f t="shared" si="5"/>
        <v/>
      </c>
      <c r="T69" s="16" t="str">
        <f t="shared" si="3"/>
        <v/>
      </c>
      <c r="V69" s="16" t="str">
        <f t="shared" si="4"/>
        <v/>
      </c>
      <c r="X69" s="149"/>
    </row>
    <row r="70" spans="4:24" x14ac:dyDescent="0.15">
      <c r="D70" s="157"/>
      <c r="F70" s="141"/>
      <c r="G70" s="144"/>
      <c r="K70" s="131"/>
      <c r="Q70" s="75" t="str">
        <f t="shared" si="5"/>
        <v/>
      </c>
      <c r="T70" s="16" t="str">
        <f t="shared" si="3"/>
        <v/>
      </c>
      <c r="V70" s="16" t="str">
        <f t="shared" si="4"/>
        <v/>
      </c>
      <c r="X70" s="149"/>
    </row>
    <row r="71" spans="4:24" x14ac:dyDescent="0.15">
      <c r="D71" s="157"/>
      <c r="F71" s="141"/>
      <c r="G71" s="144"/>
      <c r="K71" s="131"/>
      <c r="Q71" s="75" t="str">
        <f t="shared" si="5"/>
        <v/>
      </c>
      <c r="T71" s="16" t="str">
        <f t="shared" si="3"/>
        <v/>
      </c>
      <c r="V71" s="16" t="str">
        <f t="shared" si="4"/>
        <v/>
      </c>
      <c r="X71" s="149"/>
    </row>
    <row r="72" spans="4:24" x14ac:dyDescent="0.15">
      <c r="D72" s="157"/>
      <c r="F72" s="141"/>
      <c r="G72" s="144"/>
      <c r="K72" s="131"/>
      <c r="Q72" s="75" t="str">
        <f t="shared" si="5"/>
        <v/>
      </c>
      <c r="T72" s="16" t="str">
        <f t="shared" si="3"/>
        <v/>
      </c>
      <c r="V72" s="16" t="str">
        <f t="shared" si="4"/>
        <v/>
      </c>
      <c r="X72" s="149"/>
    </row>
    <row r="73" spans="4:24" x14ac:dyDescent="0.15">
      <c r="D73" s="157"/>
      <c r="F73" s="141"/>
      <c r="G73" s="144"/>
      <c r="K73" s="131"/>
      <c r="Q73" s="75" t="str">
        <f t="shared" si="5"/>
        <v/>
      </c>
      <c r="T73" s="16" t="str">
        <f t="shared" si="3"/>
        <v/>
      </c>
      <c r="V73" s="16" t="str">
        <f t="shared" si="4"/>
        <v/>
      </c>
      <c r="X73" s="149"/>
    </row>
    <row r="74" spans="4:24" x14ac:dyDescent="0.15">
      <c r="D74" s="157"/>
      <c r="F74" s="141"/>
      <c r="G74" s="144"/>
      <c r="K74" s="131"/>
      <c r="Q74" s="75" t="str">
        <f t="shared" si="5"/>
        <v/>
      </c>
      <c r="T74" s="16" t="str">
        <f t="shared" si="3"/>
        <v/>
      </c>
      <c r="V74" s="16" t="str">
        <f t="shared" si="4"/>
        <v/>
      </c>
      <c r="X74" s="149"/>
    </row>
    <row r="75" spans="4:24" x14ac:dyDescent="0.15">
      <c r="D75" s="157"/>
      <c r="F75" s="141"/>
      <c r="G75" s="144"/>
      <c r="K75" s="131"/>
      <c r="Q75" s="75" t="str">
        <f t="shared" si="5"/>
        <v/>
      </c>
      <c r="T75" s="16" t="str">
        <f t="shared" si="3"/>
        <v/>
      </c>
      <c r="V75" s="16" t="str">
        <f t="shared" si="4"/>
        <v/>
      </c>
      <c r="X75" s="149"/>
    </row>
    <row r="76" spans="4:24" x14ac:dyDescent="0.15">
      <c r="D76" s="157"/>
      <c r="F76" s="141"/>
      <c r="G76" s="144"/>
      <c r="K76" s="131"/>
      <c r="Q76" s="75" t="str">
        <f t="shared" si="5"/>
        <v/>
      </c>
      <c r="T76" s="16" t="str">
        <f t="shared" si="3"/>
        <v/>
      </c>
      <c r="V76" s="16" t="str">
        <f t="shared" si="4"/>
        <v/>
      </c>
      <c r="X76" s="149"/>
    </row>
    <row r="77" spans="4:24" x14ac:dyDescent="0.15">
      <c r="D77" s="157"/>
      <c r="F77" s="141"/>
      <c r="G77" s="144"/>
      <c r="K77" s="131"/>
      <c r="Q77" s="75" t="str">
        <f t="shared" si="5"/>
        <v/>
      </c>
      <c r="T77" s="16" t="str">
        <f t="shared" si="3"/>
        <v/>
      </c>
      <c r="V77" s="16" t="str">
        <f t="shared" si="4"/>
        <v/>
      </c>
      <c r="X77" s="149"/>
    </row>
    <row r="78" spans="4:24" x14ac:dyDescent="0.15">
      <c r="D78" s="157"/>
      <c r="F78" s="141"/>
      <c r="G78" s="144"/>
      <c r="K78" s="131"/>
      <c r="Q78" s="75" t="str">
        <f t="shared" si="5"/>
        <v/>
      </c>
      <c r="T78" s="16" t="str">
        <f t="shared" si="3"/>
        <v/>
      </c>
      <c r="V78" s="16" t="str">
        <f t="shared" si="4"/>
        <v/>
      </c>
      <c r="X78" s="149"/>
    </row>
    <row r="79" spans="4:24" x14ac:dyDescent="0.15">
      <c r="D79" s="157"/>
      <c r="F79" s="141"/>
      <c r="G79" s="144"/>
      <c r="K79" s="131"/>
      <c r="Q79" s="75" t="str">
        <f t="shared" si="5"/>
        <v/>
      </c>
      <c r="T79" s="16" t="str">
        <f t="shared" si="3"/>
        <v/>
      </c>
      <c r="V79" s="16" t="str">
        <f t="shared" si="4"/>
        <v/>
      </c>
      <c r="X79" s="149"/>
    </row>
    <row r="80" spans="4:24" x14ac:dyDescent="0.15">
      <c r="K80" s="131"/>
      <c r="Q80" s="75" t="str">
        <f t="shared" si="5"/>
        <v/>
      </c>
      <c r="T80" s="16" t="str">
        <f t="shared" si="3"/>
        <v/>
      </c>
      <c r="V80" s="16" t="str">
        <f t="shared" si="4"/>
        <v/>
      </c>
    </row>
    <row r="81" spans="11:22" x14ac:dyDescent="0.15">
      <c r="K81" s="131"/>
      <c r="Q81" s="75" t="str">
        <f t="shared" si="5"/>
        <v/>
      </c>
      <c r="T81" s="16" t="str">
        <f t="shared" si="3"/>
        <v/>
      </c>
      <c r="V81" s="16" t="str">
        <f t="shared" si="4"/>
        <v/>
      </c>
    </row>
    <row r="82" spans="11:22" x14ac:dyDescent="0.15">
      <c r="K82" s="131"/>
      <c r="Q82" s="75" t="str">
        <f t="shared" si="5"/>
        <v/>
      </c>
      <c r="T82" s="16" t="str">
        <f t="shared" si="3"/>
        <v/>
      </c>
      <c r="V82" s="16" t="str">
        <f t="shared" si="4"/>
        <v/>
      </c>
    </row>
    <row r="83" spans="11:22" x14ac:dyDescent="0.15">
      <c r="K83" s="131"/>
      <c r="Q83" s="75" t="str">
        <f t="shared" si="5"/>
        <v/>
      </c>
      <c r="T83" s="16" t="str">
        <f t="shared" si="3"/>
        <v/>
      </c>
      <c r="V83" s="16" t="str">
        <f t="shared" si="4"/>
        <v/>
      </c>
    </row>
    <row r="84" spans="11:22" x14ac:dyDescent="0.15">
      <c r="K84" s="131"/>
      <c r="Q84" s="75" t="str">
        <f t="shared" si="5"/>
        <v/>
      </c>
      <c r="T84" s="16" t="str">
        <f t="shared" si="3"/>
        <v/>
      </c>
      <c r="V84" s="16" t="str">
        <f t="shared" si="4"/>
        <v/>
      </c>
    </row>
    <row r="85" spans="11:22" x14ac:dyDescent="0.15">
      <c r="K85" s="131"/>
      <c r="Q85" s="75" t="str">
        <f t="shared" si="5"/>
        <v/>
      </c>
      <c r="T85" s="16" t="str">
        <f t="shared" si="3"/>
        <v/>
      </c>
      <c r="V85" s="16" t="str">
        <f t="shared" si="4"/>
        <v/>
      </c>
    </row>
    <row r="86" spans="11:22" x14ac:dyDescent="0.15">
      <c r="K86" s="131"/>
      <c r="Q86" s="75" t="str">
        <f t="shared" si="5"/>
        <v/>
      </c>
      <c r="T86" s="16" t="str">
        <f t="shared" si="3"/>
        <v/>
      </c>
      <c r="V86" s="16" t="str">
        <f t="shared" si="4"/>
        <v/>
      </c>
    </row>
    <row r="87" spans="11:22" x14ac:dyDescent="0.15">
      <c r="K87" s="131"/>
      <c r="Q87" s="75" t="str">
        <f t="shared" si="5"/>
        <v/>
      </c>
      <c r="T87" s="16" t="str">
        <f t="shared" si="3"/>
        <v/>
      </c>
      <c r="V87" s="16" t="str">
        <f t="shared" si="4"/>
        <v/>
      </c>
    </row>
    <row r="88" spans="11:22" x14ac:dyDescent="0.15">
      <c r="K88" s="131"/>
      <c r="Q88" s="75" t="str">
        <f t="shared" si="5"/>
        <v/>
      </c>
      <c r="T88" s="16" t="str">
        <f t="shared" si="3"/>
        <v/>
      </c>
      <c r="V88" s="16" t="str">
        <f t="shared" si="4"/>
        <v/>
      </c>
    </row>
    <row r="89" spans="11:22" x14ac:dyDescent="0.15">
      <c r="K89" s="131"/>
      <c r="Q89" s="75" t="str">
        <f t="shared" si="5"/>
        <v/>
      </c>
      <c r="T89" s="16" t="str">
        <f t="shared" si="3"/>
        <v/>
      </c>
      <c r="V89" s="16" t="str">
        <f t="shared" si="4"/>
        <v/>
      </c>
    </row>
    <row r="90" spans="11:22" x14ac:dyDescent="0.15">
      <c r="K90" s="131"/>
      <c r="Q90" s="75" t="str">
        <f t="shared" si="5"/>
        <v/>
      </c>
      <c r="T90" s="16" t="str">
        <f t="shared" si="3"/>
        <v/>
      </c>
      <c r="V90" s="16" t="str">
        <f t="shared" si="4"/>
        <v/>
      </c>
    </row>
    <row r="91" spans="11:22" x14ac:dyDescent="0.15">
      <c r="K91" s="131"/>
      <c r="Q91" s="75" t="str">
        <f t="shared" si="5"/>
        <v/>
      </c>
      <c r="T91" s="16" t="str">
        <f t="shared" si="3"/>
        <v/>
      </c>
      <c r="V91" s="16" t="str">
        <f t="shared" si="4"/>
        <v/>
      </c>
    </row>
    <row r="92" spans="11:22" x14ac:dyDescent="0.15">
      <c r="K92" s="131"/>
      <c r="Q92" s="75"/>
    </row>
    <row r="93" spans="11:22" x14ac:dyDescent="0.15">
      <c r="K93" s="131"/>
      <c r="Q93" s="75"/>
    </row>
    <row r="94" spans="11:22" x14ac:dyDescent="0.15">
      <c r="K94" s="131"/>
      <c r="Q94" s="75"/>
    </row>
    <row r="95" spans="11:22" x14ac:dyDescent="0.15">
      <c r="K95" s="131"/>
      <c r="Q95" s="75"/>
    </row>
    <row r="96" spans="11:22" x14ac:dyDescent="0.15">
      <c r="K96" s="131"/>
      <c r="Q96" s="75"/>
    </row>
    <row r="97" spans="11:17" x14ac:dyDescent="0.15">
      <c r="K97" s="131"/>
      <c r="Q97" s="75"/>
    </row>
    <row r="98" spans="11:17" x14ac:dyDescent="0.15">
      <c r="K98" s="131"/>
      <c r="Q98" s="75"/>
    </row>
    <row r="99" spans="11:17" x14ac:dyDescent="0.15">
      <c r="K99" s="131"/>
      <c r="Q99" s="75"/>
    </row>
    <row r="100" spans="11:17" x14ac:dyDescent="0.15">
      <c r="K100" s="131"/>
      <c r="Q100" s="75"/>
    </row>
    <row r="101" spans="11:17" x14ac:dyDescent="0.15">
      <c r="K101" s="131"/>
      <c r="Q101" s="75"/>
    </row>
    <row r="102" spans="11:17" x14ac:dyDescent="0.15">
      <c r="K102" s="131"/>
      <c r="Q102" s="75"/>
    </row>
    <row r="103" spans="11:17" x14ac:dyDescent="0.15">
      <c r="K103" s="131"/>
      <c r="Q103" s="75"/>
    </row>
    <row r="104" spans="11:17" x14ac:dyDescent="0.15">
      <c r="K104" s="131"/>
      <c r="Q104" s="75"/>
    </row>
    <row r="105" spans="11:17" x14ac:dyDescent="0.15">
      <c r="K105" s="131"/>
      <c r="Q105" s="75"/>
    </row>
    <row r="106" spans="11:17" x14ac:dyDescent="0.15">
      <c r="K106" s="131"/>
      <c r="Q106" s="75"/>
    </row>
    <row r="107" spans="11:17" x14ac:dyDescent="0.15">
      <c r="K107" s="131"/>
      <c r="Q107" s="75"/>
    </row>
    <row r="108" spans="11:17" x14ac:dyDescent="0.15">
      <c r="K108" s="131"/>
      <c r="Q108" s="75"/>
    </row>
    <row r="109" spans="11:17" x14ac:dyDescent="0.15">
      <c r="K109" s="131"/>
      <c r="Q109" s="75"/>
    </row>
    <row r="110" spans="11:17" x14ac:dyDescent="0.15">
      <c r="K110" s="131"/>
      <c r="Q110" s="75"/>
    </row>
    <row r="111" spans="11:17" x14ac:dyDescent="0.15">
      <c r="K111" s="131"/>
      <c r="Q111" s="75"/>
    </row>
    <row r="112" spans="11:17" x14ac:dyDescent="0.15">
      <c r="K112" s="131"/>
      <c r="Q112" s="75"/>
    </row>
    <row r="113" spans="11:17" x14ac:dyDescent="0.15">
      <c r="K113" s="131"/>
      <c r="Q113" s="75"/>
    </row>
    <row r="114" spans="11:17" x14ac:dyDescent="0.15">
      <c r="K114" s="131"/>
      <c r="Q114" s="75"/>
    </row>
    <row r="115" spans="11:17" x14ac:dyDescent="0.15">
      <c r="K115" s="131"/>
      <c r="Q115" s="75"/>
    </row>
    <row r="116" spans="11:17" x14ac:dyDescent="0.15">
      <c r="K116" s="131"/>
      <c r="Q116" s="75"/>
    </row>
    <row r="117" spans="11:17" x14ac:dyDescent="0.15">
      <c r="K117" s="131"/>
      <c r="Q117" s="75"/>
    </row>
    <row r="118" spans="11:17" x14ac:dyDescent="0.15">
      <c r="K118" s="131"/>
      <c r="Q118" s="75"/>
    </row>
    <row r="119" spans="11:17" x14ac:dyDescent="0.15">
      <c r="K119" s="131"/>
      <c r="Q119" s="75"/>
    </row>
    <row r="120" spans="11:17" x14ac:dyDescent="0.15">
      <c r="K120" s="131"/>
      <c r="Q120" s="75"/>
    </row>
    <row r="121" spans="11:17" x14ac:dyDescent="0.15">
      <c r="K121" s="131"/>
      <c r="Q121" s="75"/>
    </row>
    <row r="122" spans="11:17" x14ac:dyDescent="0.15">
      <c r="K122" s="131"/>
      <c r="Q122" s="75"/>
    </row>
    <row r="123" spans="11:17" x14ac:dyDescent="0.15">
      <c r="K123" s="131"/>
      <c r="Q123" s="75"/>
    </row>
    <row r="124" spans="11:17" x14ac:dyDescent="0.15">
      <c r="K124" s="131"/>
      <c r="Q124" s="75"/>
    </row>
    <row r="125" spans="11:17" x14ac:dyDescent="0.15">
      <c r="K125" s="131"/>
      <c r="Q125" s="75"/>
    </row>
    <row r="126" spans="11:17" x14ac:dyDescent="0.15">
      <c r="K126" s="131"/>
      <c r="Q126" s="75"/>
    </row>
    <row r="127" spans="11:17" x14ac:dyDescent="0.15">
      <c r="K127" s="131"/>
      <c r="Q127" s="75"/>
    </row>
    <row r="128" spans="11:17" x14ac:dyDescent="0.15">
      <c r="K128" s="131"/>
      <c r="Q128" s="75"/>
    </row>
    <row r="129" spans="11:17" x14ac:dyDescent="0.15">
      <c r="K129" s="131"/>
      <c r="Q129" s="75"/>
    </row>
    <row r="130" spans="11:17" x14ac:dyDescent="0.15">
      <c r="K130" s="131"/>
      <c r="Q130" s="75"/>
    </row>
    <row r="131" spans="11:17" x14ac:dyDescent="0.15">
      <c r="K131" s="131"/>
      <c r="Q131" s="75"/>
    </row>
    <row r="132" spans="11:17" x14ac:dyDescent="0.15">
      <c r="K132" s="131"/>
      <c r="Q132" s="75"/>
    </row>
    <row r="133" spans="11:17" x14ac:dyDescent="0.15">
      <c r="K133" s="131"/>
      <c r="Q133" s="75"/>
    </row>
    <row r="134" spans="11:17" x14ac:dyDescent="0.15">
      <c r="K134" s="131"/>
      <c r="Q134" s="75"/>
    </row>
    <row r="135" spans="11:17" x14ac:dyDescent="0.15">
      <c r="K135" s="131"/>
      <c r="Q135" s="75"/>
    </row>
    <row r="136" spans="11:17" x14ac:dyDescent="0.15">
      <c r="K136" s="131"/>
      <c r="Q136" s="75"/>
    </row>
    <row r="137" spans="11:17" x14ac:dyDescent="0.15">
      <c r="K137" s="131"/>
      <c r="Q137" s="75"/>
    </row>
    <row r="138" spans="11:17" x14ac:dyDescent="0.15">
      <c r="K138" s="131"/>
      <c r="Q138" s="75"/>
    </row>
    <row r="139" spans="11:17" x14ac:dyDescent="0.15">
      <c r="K139" s="131"/>
      <c r="Q139" s="75"/>
    </row>
    <row r="140" spans="11:17" x14ac:dyDescent="0.15">
      <c r="K140" s="131"/>
      <c r="Q140" s="75"/>
    </row>
    <row r="141" spans="11:17" x14ac:dyDescent="0.15">
      <c r="K141" s="131"/>
      <c r="Q141" s="75"/>
    </row>
    <row r="142" spans="11:17" x14ac:dyDescent="0.15">
      <c r="K142" s="131"/>
      <c r="Q142" s="75"/>
    </row>
    <row r="143" spans="11:17" x14ac:dyDescent="0.15">
      <c r="K143" s="131"/>
      <c r="Q143" s="75"/>
    </row>
    <row r="144" spans="11:17" x14ac:dyDescent="0.15">
      <c r="K144" s="131"/>
      <c r="Q144" s="75"/>
    </row>
    <row r="145" spans="11:17" x14ac:dyDescent="0.15">
      <c r="K145" s="131"/>
      <c r="Q145" s="75"/>
    </row>
    <row r="146" spans="11:17" x14ac:dyDescent="0.15">
      <c r="K146" s="131"/>
      <c r="Q146" s="75"/>
    </row>
    <row r="147" spans="11:17" x14ac:dyDescent="0.15">
      <c r="K147" s="131"/>
      <c r="Q147" s="75"/>
    </row>
    <row r="148" spans="11:17" x14ac:dyDescent="0.15">
      <c r="K148" s="131"/>
      <c r="Q148" s="75"/>
    </row>
    <row r="149" spans="11:17" x14ac:dyDescent="0.15">
      <c r="K149" s="131"/>
      <c r="Q149" s="75"/>
    </row>
    <row r="150" spans="11:17" x14ac:dyDescent="0.15">
      <c r="K150" s="131"/>
      <c r="Q150" s="75"/>
    </row>
    <row r="151" spans="11:17" x14ac:dyDescent="0.15">
      <c r="K151" s="131"/>
      <c r="Q151" s="75"/>
    </row>
    <row r="152" spans="11:17" x14ac:dyDescent="0.15">
      <c r="K152" s="131"/>
      <c r="Q152" s="75"/>
    </row>
    <row r="153" spans="11:17" x14ac:dyDescent="0.15">
      <c r="K153" s="131"/>
      <c r="Q153" s="75"/>
    </row>
    <row r="154" spans="11:17" x14ac:dyDescent="0.15">
      <c r="K154" s="131"/>
      <c r="Q154" s="75"/>
    </row>
    <row r="155" spans="11:17" x14ac:dyDescent="0.15">
      <c r="K155" s="131"/>
      <c r="Q155" s="75"/>
    </row>
    <row r="156" spans="11:17" x14ac:dyDescent="0.15">
      <c r="K156" s="131"/>
      <c r="Q156" s="75"/>
    </row>
    <row r="157" spans="11:17" x14ac:dyDescent="0.15">
      <c r="K157" s="131"/>
      <c r="Q157" s="75"/>
    </row>
    <row r="158" spans="11:17" x14ac:dyDescent="0.15">
      <c r="K158" s="131"/>
      <c r="Q158" s="75"/>
    </row>
    <row r="159" spans="11:17" x14ac:dyDescent="0.15">
      <c r="K159" s="131"/>
      <c r="Q159" s="75"/>
    </row>
    <row r="160" spans="11:17" x14ac:dyDescent="0.15">
      <c r="K160" s="131"/>
      <c r="Q160" s="75"/>
    </row>
    <row r="161" spans="11:17" x14ac:dyDescent="0.15">
      <c r="K161" s="131"/>
      <c r="Q161" s="75"/>
    </row>
    <row r="162" spans="11:17" x14ac:dyDescent="0.15">
      <c r="K162" s="131"/>
      <c r="Q162" s="75"/>
    </row>
    <row r="163" spans="11:17" x14ac:dyDescent="0.15">
      <c r="K163" s="131"/>
      <c r="Q163" s="75"/>
    </row>
    <row r="164" spans="11:17" x14ac:dyDescent="0.15">
      <c r="K164" s="131"/>
      <c r="Q164" s="75"/>
    </row>
    <row r="165" spans="11:17" x14ac:dyDescent="0.15">
      <c r="K165" s="131"/>
      <c r="Q165" s="75"/>
    </row>
    <row r="166" spans="11:17" x14ac:dyDescent="0.15">
      <c r="K166" s="131"/>
      <c r="Q166" s="75"/>
    </row>
    <row r="167" spans="11:17" x14ac:dyDescent="0.15">
      <c r="K167" s="131"/>
      <c r="Q167" s="75"/>
    </row>
    <row r="168" spans="11:17" x14ac:dyDescent="0.15">
      <c r="K168" s="131"/>
      <c r="Q168" s="75"/>
    </row>
    <row r="169" spans="11:17" x14ac:dyDescent="0.15">
      <c r="K169" s="131"/>
      <c r="Q169" s="75"/>
    </row>
    <row r="170" spans="11:17" x14ac:dyDescent="0.15">
      <c r="K170" s="131"/>
      <c r="Q170" s="75"/>
    </row>
    <row r="171" spans="11:17" x14ac:dyDescent="0.15">
      <c r="K171" s="131"/>
      <c r="Q171" s="75"/>
    </row>
    <row r="172" spans="11:17" x14ac:dyDescent="0.15">
      <c r="K172" s="131"/>
      <c r="Q172" s="75"/>
    </row>
    <row r="173" spans="11:17" x14ac:dyDescent="0.15">
      <c r="K173" s="131"/>
      <c r="Q173" s="75"/>
    </row>
    <row r="174" spans="11:17" x14ac:dyDescent="0.15">
      <c r="K174" s="131"/>
      <c r="Q174" s="75"/>
    </row>
    <row r="175" spans="11:17" x14ac:dyDescent="0.15">
      <c r="K175" s="131"/>
      <c r="Q175" s="75"/>
    </row>
    <row r="176" spans="11:17" x14ac:dyDescent="0.15">
      <c r="K176" s="131"/>
      <c r="Q176" s="75"/>
    </row>
    <row r="177" spans="11:17" x14ac:dyDescent="0.15">
      <c r="K177" s="131"/>
      <c r="Q177" s="75"/>
    </row>
    <row r="178" spans="11:17" x14ac:dyDescent="0.15">
      <c r="K178" s="131"/>
      <c r="Q178" s="75"/>
    </row>
    <row r="179" spans="11:17" x14ac:dyDescent="0.15">
      <c r="K179" s="131"/>
      <c r="Q179" s="75"/>
    </row>
    <row r="180" spans="11:17" x14ac:dyDescent="0.15">
      <c r="K180" s="131"/>
      <c r="Q180" s="75"/>
    </row>
    <row r="181" spans="11:17" x14ac:dyDescent="0.15">
      <c r="K181" s="131"/>
      <c r="Q181" s="75"/>
    </row>
    <row r="182" spans="11:17" x14ac:dyDescent="0.15">
      <c r="K182" s="131"/>
      <c r="Q182" s="75"/>
    </row>
    <row r="183" spans="11:17" x14ac:dyDescent="0.15">
      <c r="K183" s="131"/>
      <c r="Q183" s="75"/>
    </row>
    <row r="184" spans="11:17" x14ac:dyDescent="0.15">
      <c r="K184" s="131"/>
      <c r="Q184" s="75"/>
    </row>
    <row r="185" spans="11:17" x14ac:dyDescent="0.15">
      <c r="K185" s="131"/>
      <c r="Q185" s="75"/>
    </row>
    <row r="186" spans="11:17" x14ac:dyDescent="0.15">
      <c r="K186" s="131"/>
      <c r="Q186" s="75"/>
    </row>
    <row r="187" spans="11:17" x14ac:dyDescent="0.15">
      <c r="K187" s="131"/>
      <c r="Q187" s="75"/>
    </row>
    <row r="188" spans="11:17" x14ac:dyDescent="0.15">
      <c r="K188" s="131"/>
      <c r="Q188" s="75"/>
    </row>
    <row r="189" spans="11:17" x14ac:dyDescent="0.15">
      <c r="K189" s="131"/>
      <c r="Q189" s="75"/>
    </row>
    <row r="190" spans="11:17" x14ac:dyDescent="0.15">
      <c r="K190" s="131"/>
      <c r="Q190" s="75"/>
    </row>
    <row r="191" spans="11:17" x14ac:dyDescent="0.15">
      <c r="K191" s="131"/>
      <c r="Q191" s="75"/>
    </row>
    <row r="192" spans="11:17" x14ac:dyDescent="0.15">
      <c r="K192" s="131"/>
      <c r="Q192" s="75"/>
    </row>
    <row r="193" spans="11:17" x14ac:dyDescent="0.15">
      <c r="K193" s="131"/>
      <c r="Q193" s="75"/>
    </row>
    <row r="194" spans="11:17" x14ac:dyDescent="0.15">
      <c r="K194" s="131"/>
      <c r="Q194" s="75"/>
    </row>
    <row r="195" spans="11:17" x14ac:dyDescent="0.15">
      <c r="K195" s="131"/>
      <c r="Q195" s="75"/>
    </row>
    <row r="196" spans="11:17" x14ac:dyDescent="0.15">
      <c r="K196" s="131"/>
      <c r="Q196" s="75"/>
    </row>
    <row r="197" spans="11:17" x14ac:dyDescent="0.15">
      <c r="K197" s="131"/>
      <c r="Q197" s="75"/>
    </row>
    <row r="198" spans="11:17" x14ac:dyDescent="0.15">
      <c r="K198" s="131"/>
      <c r="Q198" s="75"/>
    </row>
    <row r="199" spans="11:17" x14ac:dyDescent="0.15">
      <c r="K199" s="131"/>
      <c r="Q199" s="75"/>
    </row>
    <row r="200" spans="11:17" x14ac:dyDescent="0.15">
      <c r="K200" s="131"/>
      <c r="Q200" s="75"/>
    </row>
    <row r="201" spans="11:17" x14ac:dyDescent="0.15">
      <c r="K201" s="131"/>
      <c r="Q201" s="75"/>
    </row>
    <row r="202" spans="11:17" x14ac:dyDescent="0.15">
      <c r="K202" s="131"/>
      <c r="Q202" s="75"/>
    </row>
    <row r="203" spans="11:17" x14ac:dyDescent="0.15">
      <c r="K203" s="131"/>
      <c r="Q203" s="75"/>
    </row>
    <row r="204" spans="11:17" x14ac:dyDescent="0.15">
      <c r="K204" s="131"/>
      <c r="Q204" s="75"/>
    </row>
    <row r="205" spans="11:17" x14ac:dyDescent="0.15">
      <c r="K205" s="131"/>
      <c r="Q205" s="75"/>
    </row>
    <row r="206" spans="11:17" x14ac:dyDescent="0.15">
      <c r="K206" s="131"/>
      <c r="Q206" s="75"/>
    </row>
    <row r="207" spans="11:17" x14ac:dyDescent="0.15">
      <c r="K207" s="131"/>
      <c r="Q207" s="75"/>
    </row>
    <row r="208" spans="11:17" x14ac:dyDescent="0.15">
      <c r="K208" s="131"/>
      <c r="Q208" s="75"/>
    </row>
    <row r="209" spans="11:17" x14ac:dyDescent="0.15">
      <c r="K209" s="131"/>
      <c r="Q209" s="75"/>
    </row>
    <row r="210" spans="11:17" x14ac:dyDescent="0.15">
      <c r="K210" s="131"/>
      <c r="Q210" s="75"/>
    </row>
    <row r="211" spans="11:17" x14ac:dyDescent="0.15">
      <c r="K211" s="131"/>
      <c r="Q211" s="75"/>
    </row>
    <row r="212" spans="11:17" x14ac:dyDescent="0.15">
      <c r="K212" s="131"/>
      <c r="Q212" s="75"/>
    </row>
    <row r="213" spans="11:17" x14ac:dyDescent="0.15">
      <c r="K213" s="131"/>
      <c r="Q213" s="75"/>
    </row>
    <row r="214" spans="11:17" x14ac:dyDescent="0.15">
      <c r="K214" s="131"/>
      <c r="Q214" s="75"/>
    </row>
    <row r="215" spans="11:17" x14ac:dyDescent="0.15">
      <c r="K215" s="131"/>
      <c r="Q215" s="75"/>
    </row>
    <row r="216" spans="11:17" x14ac:dyDescent="0.15">
      <c r="K216" s="131"/>
      <c r="Q216" s="75"/>
    </row>
    <row r="217" spans="11:17" x14ac:dyDescent="0.15">
      <c r="K217" s="131"/>
      <c r="Q217" s="75"/>
    </row>
    <row r="218" spans="11:17" x14ac:dyDescent="0.15">
      <c r="K218" s="131"/>
      <c r="Q218" s="75"/>
    </row>
    <row r="219" spans="11:17" x14ac:dyDescent="0.15">
      <c r="K219" s="131"/>
      <c r="Q219" s="75"/>
    </row>
    <row r="220" spans="11:17" x14ac:dyDescent="0.15">
      <c r="K220" s="131"/>
      <c r="Q220" s="75"/>
    </row>
    <row r="221" spans="11:17" x14ac:dyDescent="0.15">
      <c r="K221" s="131"/>
      <c r="Q221" s="75"/>
    </row>
    <row r="222" spans="11:17" x14ac:dyDescent="0.15">
      <c r="K222" s="131"/>
      <c r="Q222" s="75"/>
    </row>
    <row r="223" spans="11:17" x14ac:dyDescent="0.15">
      <c r="K223" s="131"/>
      <c r="Q223" s="75"/>
    </row>
    <row r="224" spans="11:17" x14ac:dyDescent="0.15">
      <c r="K224" s="131"/>
      <c r="Q224" s="75"/>
    </row>
    <row r="225" spans="11:17" x14ac:dyDescent="0.15">
      <c r="K225" s="131"/>
      <c r="Q225" s="75"/>
    </row>
    <row r="226" spans="11:17" x14ac:dyDescent="0.15">
      <c r="K226" s="131"/>
      <c r="Q226" s="75"/>
    </row>
    <row r="227" spans="11:17" x14ac:dyDescent="0.15">
      <c r="K227" s="131"/>
      <c r="Q227" s="75"/>
    </row>
    <row r="228" spans="11:17" x14ac:dyDescent="0.15">
      <c r="K228" s="131"/>
      <c r="Q228" s="75"/>
    </row>
    <row r="229" spans="11:17" x14ac:dyDescent="0.15">
      <c r="K229" s="131"/>
      <c r="Q229" s="75"/>
    </row>
    <row r="230" spans="11:17" x14ac:dyDescent="0.15">
      <c r="K230" s="131"/>
      <c r="Q230" s="75"/>
    </row>
    <row r="231" spans="11:17" x14ac:dyDescent="0.15">
      <c r="K231" s="131"/>
      <c r="Q231" s="75"/>
    </row>
    <row r="232" spans="11:17" x14ac:dyDescent="0.15">
      <c r="K232" s="131"/>
      <c r="Q232" s="75"/>
    </row>
    <row r="233" spans="11:17" x14ac:dyDescent="0.15">
      <c r="K233" s="131"/>
      <c r="Q233" s="75"/>
    </row>
    <row r="234" spans="11:17" x14ac:dyDescent="0.15">
      <c r="K234" s="131"/>
      <c r="Q234" s="75"/>
    </row>
    <row r="235" spans="11:17" x14ac:dyDescent="0.15">
      <c r="K235" s="131"/>
      <c r="Q235" s="75"/>
    </row>
    <row r="236" spans="11:17" x14ac:dyDescent="0.15">
      <c r="K236" s="131"/>
      <c r="Q236" s="75"/>
    </row>
    <row r="237" spans="11:17" x14ac:dyDescent="0.15">
      <c r="K237" s="131"/>
      <c r="Q237" s="75"/>
    </row>
    <row r="238" spans="11:17" x14ac:dyDescent="0.15">
      <c r="K238" s="131"/>
      <c r="Q238" s="75"/>
    </row>
    <row r="239" spans="11:17" x14ac:dyDescent="0.15">
      <c r="K239" s="131"/>
      <c r="Q239" s="75"/>
    </row>
    <row r="240" spans="11:17" x14ac:dyDescent="0.15">
      <c r="K240" s="131"/>
      <c r="Q240" s="75"/>
    </row>
    <row r="241" spans="11:17" x14ac:dyDescent="0.15">
      <c r="K241" s="131"/>
      <c r="Q241" s="75"/>
    </row>
    <row r="242" spans="11:17" x14ac:dyDescent="0.15">
      <c r="K242" s="131"/>
      <c r="Q242" s="75"/>
    </row>
    <row r="243" spans="11:17" x14ac:dyDescent="0.15">
      <c r="K243" s="131"/>
      <c r="Q243" s="75"/>
    </row>
    <row r="244" spans="11:17" x14ac:dyDescent="0.15">
      <c r="K244" s="131"/>
      <c r="Q244" s="75"/>
    </row>
    <row r="245" spans="11:17" x14ac:dyDescent="0.15">
      <c r="K245" s="131"/>
      <c r="Q245" s="75"/>
    </row>
    <row r="246" spans="11:17" x14ac:dyDescent="0.15">
      <c r="K246" s="131"/>
      <c r="Q246" s="75"/>
    </row>
    <row r="247" spans="11:17" x14ac:dyDescent="0.15">
      <c r="K247" s="131"/>
      <c r="Q247" s="75"/>
    </row>
    <row r="248" spans="11:17" x14ac:dyDescent="0.15">
      <c r="K248" s="131"/>
      <c r="Q248" s="75"/>
    </row>
    <row r="249" spans="11:17" x14ac:dyDescent="0.15">
      <c r="K249" s="131"/>
      <c r="Q249" s="75"/>
    </row>
    <row r="250" spans="11:17" x14ac:dyDescent="0.15">
      <c r="K250" s="131"/>
      <c r="Q250" s="75"/>
    </row>
    <row r="251" spans="11:17" x14ac:dyDescent="0.15">
      <c r="K251" s="131"/>
      <c r="Q251" s="75"/>
    </row>
    <row r="252" spans="11:17" x14ac:dyDescent="0.15">
      <c r="K252" s="131"/>
      <c r="Q252" s="75"/>
    </row>
    <row r="253" spans="11:17" x14ac:dyDescent="0.15">
      <c r="K253" s="131"/>
      <c r="Q253" s="75"/>
    </row>
    <row r="254" spans="11:17" x14ac:dyDescent="0.15">
      <c r="K254" s="131"/>
      <c r="Q254" s="75"/>
    </row>
    <row r="255" spans="11:17" x14ac:dyDescent="0.15">
      <c r="K255" s="131"/>
      <c r="Q255" s="75"/>
    </row>
    <row r="256" spans="11:17" x14ac:dyDescent="0.15">
      <c r="K256" s="131"/>
      <c r="Q256" s="75"/>
    </row>
    <row r="257" spans="11:17" x14ac:dyDescent="0.15">
      <c r="K257" s="131"/>
      <c r="Q257" s="75"/>
    </row>
    <row r="258" spans="11:17" x14ac:dyDescent="0.15">
      <c r="K258" s="131"/>
      <c r="Q258" s="75"/>
    </row>
    <row r="259" spans="11:17" x14ac:dyDescent="0.15">
      <c r="K259" s="131"/>
      <c r="Q259" s="75"/>
    </row>
    <row r="260" spans="11:17" x14ac:dyDescent="0.15">
      <c r="K260" s="131"/>
      <c r="Q260" s="75"/>
    </row>
    <row r="261" spans="11:17" x14ac:dyDescent="0.15">
      <c r="K261" s="131"/>
      <c r="Q261" s="75"/>
    </row>
    <row r="262" spans="11:17" x14ac:dyDescent="0.15">
      <c r="K262" s="131"/>
      <c r="Q262" s="75"/>
    </row>
    <row r="263" spans="11:17" x14ac:dyDescent="0.15">
      <c r="K263" s="131"/>
      <c r="Q263" s="75"/>
    </row>
    <row r="264" spans="11:17" x14ac:dyDescent="0.15">
      <c r="K264" s="131"/>
      <c r="Q264" s="75"/>
    </row>
    <row r="265" spans="11:17" x14ac:dyDescent="0.15">
      <c r="K265" s="131"/>
      <c r="Q265" s="75"/>
    </row>
    <row r="266" spans="11:17" x14ac:dyDescent="0.15">
      <c r="K266" s="131"/>
      <c r="Q266" s="75"/>
    </row>
    <row r="267" spans="11:17" x14ac:dyDescent="0.15">
      <c r="K267" s="131"/>
      <c r="Q267" s="75"/>
    </row>
    <row r="268" spans="11:17" x14ac:dyDescent="0.15">
      <c r="K268" s="131"/>
      <c r="Q268" s="75"/>
    </row>
    <row r="269" spans="11:17" x14ac:dyDescent="0.15">
      <c r="K269" s="131"/>
      <c r="Q269" s="75"/>
    </row>
    <row r="270" spans="11:17" x14ac:dyDescent="0.15">
      <c r="K270" s="131"/>
      <c r="Q270" s="75"/>
    </row>
    <row r="271" spans="11:17" x14ac:dyDescent="0.15">
      <c r="K271" s="131"/>
      <c r="Q271" s="75"/>
    </row>
    <row r="272" spans="11:17" x14ac:dyDescent="0.15">
      <c r="K272" s="131"/>
      <c r="Q272" s="75"/>
    </row>
    <row r="273" spans="11:17" x14ac:dyDescent="0.15">
      <c r="K273" s="131"/>
      <c r="Q273" s="75"/>
    </row>
    <row r="274" spans="11:17" x14ac:dyDescent="0.15">
      <c r="K274" s="131"/>
      <c r="Q274" s="75"/>
    </row>
    <row r="275" spans="11:17" x14ac:dyDescent="0.15">
      <c r="K275" s="131"/>
      <c r="Q275" s="75"/>
    </row>
    <row r="276" spans="11:17" x14ac:dyDescent="0.15">
      <c r="K276" s="131"/>
      <c r="Q276" s="75"/>
    </row>
    <row r="277" spans="11:17" x14ac:dyDescent="0.15">
      <c r="K277" s="131"/>
      <c r="Q277" s="75"/>
    </row>
    <row r="278" spans="11:17" x14ac:dyDescent="0.15">
      <c r="K278" s="131"/>
      <c r="Q278" s="75"/>
    </row>
    <row r="279" spans="11:17" x14ac:dyDescent="0.15">
      <c r="K279" s="131"/>
      <c r="Q279" s="75"/>
    </row>
    <row r="280" spans="11:17" x14ac:dyDescent="0.15">
      <c r="K280" s="131"/>
      <c r="Q280" s="75"/>
    </row>
    <row r="281" spans="11:17" x14ac:dyDescent="0.15">
      <c r="K281" s="131"/>
      <c r="Q281" s="75"/>
    </row>
    <row r="282" spans="11:17" x14ac:dyDescent="0.15">
      <c r="K282" s="131"/>
      <c r="Q282" s="75"/>
    </row>
    <row r="283" spans="11:17" x14ac:dyDescent="0.15">
      <c r="K283" s="131"/>
      <c r="Q283" s="75"/>
    </row>
    <row r="284" spans="11:17" x14ac:dyDescent="0.15">
      <c r="K284" s="131"/>
      <c r="Q284" s="75"/>
    </row>
    <row r="285" spans="11:17" x14ac:dyDescent="0.15">
      <c r="K285" s="131"/>
      <c r="Q285" s="75"/>
    </row>
    <row r="286" spans="11:17" x14ac:dyDescent="0.15">
      <c r="K286" s="131"/>
      <c r="Q286" s="75"/>
    </row>
    <row r="287" spans="11:17" x14ac:dyDescent="0.15">
      <c r="K287" s="131"/>
      <c r="Q287" s="75"/>
    </row>
    <row r="288" spans="11:17" x14ac:dyDescent="0.15">
      <c r="K288" s="131"/>
      <c r="Q288" s="75"/>
    </row>
    <row r="289" spans="11:17" x14ac:dyDescent="0.15">
      <c r="K289" s="131"/>
      <c r="Q289" s="75"/>
    </row>
    <row r="290" spans="11:17" x14ac:dyDescent="0.15">
      <c r="K290" s="131"/>
      <c r="Q290" s="75"/>
    </row>
    <row r="291" spans="11:17" x14ac:dyDescent="0.15">
      <c r="K291" s="131"/>
      <c r="Q291" s="75"/>
    </row>
    <row r="292" spans="11:17" x14ac:dyDescent="0.15">
      <c r="K292" s="131"/>
    </row>
    <row r="293" spans="11:17" x14ac:dyDescent="0.15">
      <c r="K293" s="131"/>
    </row>
    <row r="294" spans="11:17" x14ac:dyDescent="0.15">
      <c r="K294" s="131"/>
    </row>
    <row r="295" spans="11:17" x14ac:dyDescent="0.15">
      <c r="K295" s="131"/>
    </row>
    <row r="296" spans="11:17" x14ac:dyDescent="0.15">
      <c r="K296" s="131"/>
    </row>
    <row r="297" spans="11:17" x14ac:dyDescent="0.15">
      <c r="K297" s="131"/>
    </row>
    <row r="298" spans="11:17" x14ac:dyDescent="0.15">
      <c r="K298" s="131"/>
    </row>
    <row r="299" spans="11:17" x14ac:dyDescent="0.15">
      <c r="K299" s="131"/>
    </row>
    <row r="300" spans="11:17" x14ac:dyDescent="0.15">
      <c r="K300" s="131"/>
    </row>
    <row r="301" spans="11:17" x14ac:dyDescent="0.15">
      <c r="K301" s="131"/>
    </row>
    <row r="302" spans="11:17" x14ac:dyDescent="0.15">
      <c r="K302" s="131"/>
    </row>
    <row r="303" spans="11:17" x14ac:dyDescent="0.15">
      <c r="K303" s="131"/>
    </row>
    <row r="304" spans="11:17" x14ac:dyDescent="0.15">
      <c r="K304" s="131"/>
    </row>
    <row r="305" spans="11:11" x14ac:dyDescent="0.15">
      <c r="K305" s="131"/>
    </row>
    <row r="306" spans="11:11" x14ac:dyDescent="0.15">
      <c r="K306" s="131"/>
    </row>
    <row r="307" spans="11:11" x14ac:dyDescent="0.15">
      <c r="K307" s="131"/>
    </row>
    <row r="308" spans="11:11" x14ac:dyDescent="0.15">
      <c r="K308" s="131"/>
    </row>
    <row r="309" spans="11:11" x14ac:dyDescent="0.15">
      <c r="K309" s="131"/>
    </row>
    <row r="310" spans="11:11" x14ac:dyDescent="0.15">
      <c r="K310" s="131"/>
    </row>
    <row r="311" spans="11:11" x14ac:dyDescent="0.15">
      <c r="K311" s="131"/>
    </row>
    <row r="312" spans="11:11" x14ac:dyDescent="0.15">
      <c r="K312" s="131"/>
    </row>
    <row r="313" spans="11:11" x14ac:dyDescent="0.15">
      <c r="K313" s="131"/>
    </row>
    <row r="314" spans="11:11" x14ac:dyDescent="0.15">
      <c r="K314" s="131"/>
    </row>
    <row r="315" spans="11:11" x14ac:dyDescent="0.15">
      <c r="K315" s="131"/>
    </row>
    <row r="316" spans="11:11" x14ac:dyDescent="0.15">
      <c r="K316" s="131"/>
    </row>
    <row r="317" spans="11:11" x14ac:dyDescent="0.15">
      <c r="K317" s="131"/>
    </row>
    <row r="318" spans="11:11" x14ac:dyDescent="0.15">
      <c r="K318" s="131"/>
    </row>
    <row r="319" spans="11:11" x14ac:dyDescent="0.15">
      <c r="K319" s="131"/>
    </row>
    <row r="320" spans="11:11" x14ac:dyDescent="0.15">
      <c r="K320" s="131"/>
    </row>
    <row r="321" spans="11:11" x14ac:dyDescent="0.15">
      <c r="K321" s="131"/>
    </row>
    <row r="322" spans="11:11" x14ac:dyDescent="0.15">
      <c r="K322" s="131"/>
    </row>
    <row r="323" spans="11:11" x14ac:dyDescent="0.15">
      <c r="K323" s="131"/>
    </row>
    <row r="324" spans="11:11" x14ac:dyDescent="0.15">
      <c r="K324" s="131"/>
    </row>
    <row r="325" spans="11:11" x14ac:dyDescent="0.15">
      <c r="K325" s="131"/>
    </row>
    <row r="326" spans="11:11" x14ac:dyDescent="0.15">
      <c r="K326" s="131"/>
    </row>
    <row r="327" spans="11:11" x14ac:dyDescent="0.15">
      <c r="K327" s="131"/>
    </row>
    <row r="328" spans="11:11" x14ac:dyDescent="0.15">
      <c r="K328" s="131"/>
    </row>
    <row r="329" spans="11:11" x14ac:dyDescent="0.15">
      <c r="K329" s="131"/>
    </row>
    <row r="330" spans="11:11" x14ac:dyDescent="0.15">
      <c r="K330" s="131"/>
    </row>
    <row r="331" spans="11:11" x14ac:dyDescent="0.15">
      <c r="K331" s="131"/>
    </row>
    <row r="332" spans="11:11" x14ac:dyDescent="0.15">
      <c r="K332" s="131"/>
    </row>
    <row r="333" spans="11:11" x14ac:dyDescent="0.15">
      <c r="K333" s="131"/>
    </row>
    <row r="334" spans="11:11" x14ac:dyDescent="0.15">
      <c r="K334" s="131"/>
    </row>
    <row r="335" spans="11:11" x14ac:dyDescent="0.15">
      <c r="K335" s="131"/>
    </row>
    <row r="336" spans="11:11" x14ac:dyDescent="0.15">
      <c r="K336" s="131"/>
    </row>
    <row r="337" spans="11:11" x14ac:dyDescent="0.15">
      <c r="K337" s="131"/>
    </row>
    <row r="338" spans="11:11" x14ac:dyDescent="0.15">
      <c r="K338" s="131"/>
    </row>
    <row r="339" spans="11:11" x14ac:dyDescent="0.15">
      <c r="K339" s="131"/>
    </row>
    <row r="340" spans="11:11" x14ac:dyDescent="0.15">
      <c r="K340" s="131"/>
    </row>
    <row r="341" spans="11:11" x14ac:dyDescent="0.15">
      <c r="K341" s="131"/>
    </row>
    <row r="342" spans="11:11" x14ac:dyDescent="0.15">
      <c r="K342" s="131"/>
    </row>
    <row r="343" spans="11:11" x14ac:dyDescent="0.15">
      <c r="K343" s="131"/>
    </row>
    <row r="344" spans="11:11" x14ac:dyDescent="0.15">
      <c r="K344" s="131"/>
    </row>
    <row r="345" spans="11:11" x14ac:dyDescent="0.15">
      <c r="K345" s="131"/>
    </row>
    <row r="346" spans="11:11" x14ac:dyDescent="0.15">
      <c r="K346" s="131"/>
    </row>
    <row r="347" spans="11:11" x14ac:dyDescent="0.15">
      <c r="K347" s="131"/>
    </row>
    <row r="348" spans="11:11" x14ac:dyDescent="0.15">
      <c r="K348" s="131"/>
    </row>
    <row r="349" spans="11:11" x14ac:dyDescent="0.15">
      <c r="K349" s="131"/>
    </row>
    <row r="350" spans="11:11" x14ac:dyDescent="0.15">
      <c r="K350" s="131"/>
    </row>
    <row r="351" spans="11:11" x14ac:dyDescent="0.15">
      <c r="K351" s="131"/>
    </row>
    <row r="352" spans="11:11" x14ac:dyDescent="0.15">
      <c r="K352" s="131"/>
    </row>
    <row r="353" spans="11:11" x14ac:dyDescent="0.15">
      <c r="K353" s="131"/>
    </row>
    <row r="354" spans="11:11" x14ac:dyDescent="0.15">
      <c r="K354" s="131"/>
    </row>
    <row r="355" spans="11:11" x14ac:dyDescent="0.15">
      <c r="K355" s="131"/>
    </row>
    <row r="356" spans="11:11" x14ac:dyDescent="0.15">
      <c r="K356" s="131"/>
    </row>
    <row r="357" spans="11:11" x14ac:dyDescent="0.15">
      <c r="K357" s="131"/>
    </row>
    <row r="358" spans="11:11" x14ac:dyDescent="0.15">
      <c r="K358" s="131"/>
    </row>
    <row r="359" spans="11:11" x14ac:dyDescent="0.15">
      <c r="K359" s="131"/>
    </row>
    <row r="360" spans="11:11" x14ac:dyDescent="0.15">
      <c r="K360" s="131"/>
    </row>
    <row r="361" spans="11:11" x14ac:dyDescent="0.15">
      <c r="K361" s="131"/>
    </row>
    <row r="362" spans="11:11" x14ac:dyDescent="0.15">
      <c r="K362" s="131"/>
    </row>
    <row r="363" spans="11:11" x14ac:dyDescent="0.15">
      <c r="K363" s="131"/>
    </row>
    <row r="364" spans="11:11" x14ac:dyDescent="0.15">
      <c r="K364" s="131"/>
    </row>
    <row r="365" spans="11:11" x14ac:dyDescent="0.15">
      <c r="K365" s="131"/>
    </row>
    <row r="366" spans="11:11" x14ac:dyDescent="0.15">
      <c r="K366" s="131"/>
    </row>
    <row r="367" spans="11:11" x14ac:dyDescent="0.15">
      <c r="K367" s="131"/>
    </row>
    <row r="368" spans="11:11" x14ac:dyDescent="0.15">
      <c r="K368" s="131"/>
    </row>
    <row r="369" spans="11:11" x14ac:dyDescent="0.15">
      <c r="K369" s="131"/>
    </row>
    <row r="370" spans="11:11" x14ac:dyDescent="0.15">
      <c r="K370" s="131"/>
    </row>
    <row r="371" spans="11:11" x14ac:dyDescent="0.15">
      <c r="K371" s="131"/>
    </row>
    <row r="372" spans="11:11" x14ac:dyDescent="0.15">
      <c r="K372" s="131"/>
    </row>
    <row r="373" spans="11:11" x14ac:dyDescent="0.15">
      <c r="K373" s="131"/>
    </row>
    <row r="374" spans="11:11" x14ac:dyDescent="0.15">
      <c r="K374" s="131"/>
    </row>
    <row r="375" spans="11:11" x14ac:dyDescent="0.15">
      <c r="K375" s="131"/>
    </row>
    <row r="376" spans="11:11" x14ac:dyDescent="0.15">
      <c r="K376" s="131"/>
    </row>
    <row r="377" spans="11:11" x14ac:dyDescent="0.15">
      <c r="K377" s="131"/>
    </row>
    <row r="378" spans="11:11" x14ac:dyDescent="0.15">
      <c r="K378" s="131"/>
    </row>
    <row r="379" spans="11:11" x14ac:dyDescent="0.15">
      <c r="K379" s="131"/>
    </row>
    <row r="380" spans="11:11" x14ac:dyDescent="0.15">
      <c r="K380" s="131"/>
    </row>
    <row r="381" spans="11:11" x14ac:dyDescent="0.15">
      <c r="K381" s="131"/>
    </row>
    <row r="382" spans="11:11" x14ac:dyDescent="0.15">
      <c r="K382" s="131"/>
    </row>
    <row r="383" spans="11:11" x14ac:dyDescent="0.15">
      <c r="K383" s="131"/>
    </row>
    <row r="384" spans="11:11" x14ac:dyDescent="0.15">
      <c r="K384" s="131"/>
    </row>
    <row r="385" spans="11:11" x14ac:dyDescent="0.15">
      <c r="K385" s="131"/>
    </row>
    <row r="386" spans="11:11" x14ac:dyDescent="0.15">
      <c r="K386" s="131"/>
    </row>
    <row r="387" spans="11:11" x14ac:dyDescent="0.15">
      <c r="K387" s="131"/>
    </row>
    <row r="388" spans="11:11" x14ac:dyDescent="0.15">
      <c r="K388" s="131"/>
    </row>
    <row r="389" spans="11:11" x14ac:dyDescent="0.15">
      <c r="K389" s="131"/>
    </row>
    <row r="390" spans="11:11" x14ac:dyDescent="0.15">
      <c r="K390" s="131"/>
    </row>
    <row r="391" spans="11:11" x14ac:dyDescent="0.15">
      <c r="K391" s="131"/>
    </row>
    <row r="392" spans="11:11" x14ac:dyDescent="0.15">
      <c r="K392" s="131"/>
    </row>
    <row r="393" spans="11:11" x14ac:dyDescent="0.15">
      <c r="K393" s="131"/>
    </row>
    <row r="394" spans="11:11" x14ac:dyDescent="0.15">
      <c r="K394" s="131"/>
    </row>
    <row r="395" spans="11:11" x14ac:dyDescent="0.15">
      <c r="K395" s="131"/>
    </row>
    <row r="396" spans="11:11" x14ac:dyDescent="0.15">
      <c r="K396" s="131"/>
    </row>
    <row r="397" spans="11:11" x14ac:dyDescent="0.15">
      <c r="K397" s="131"/>
    </row>
    <row r="398" spans="11:11" x14ac:dyDescent="0.15">
      <c r="K398" s="131"/>
    </row>
    <row r="399" spans="11:11" x14ac:dyDescent="0.15">
      <c r="K399" s="131"/>
    </row>
    <row r="400" spans="11:11" x14ac:dyDescent="0.15">
      <c r="K400" s="131"/>
    </row>
    <row r="401" spans="11:11" x14ac:dyDescent="0.15">
      <c r="K401" s="131"/>
    </row>
    <row r="402" spans="11:11" x14ac:dyDescent="0.15">
      <c r="K402" s="131"/>
    </row>
    <row r="403" spans="11:11" x14ac:dyDescent="0.15">
      <c r="K403" s="131"/>
    </row>
    <row r="404" spans="11:11" x14ac:dyDescent="0.15">
      <c r="K404" s="131"/>
    </row>
    <row r="405" spans="11:11" x14ac:dyDescent="0.15">
      <c r="K405" s="131"/>
    </row>
    <row r="406" spans="11:11" x14ac:dyDescent="0.15">
      <c r="K406" s="131"/>
    </row>
    <row r="407" spans="11:11" x14ac:dyDescent="0.15">
      <c r="K407" s="131"/>
    </row>
    <row r="408" spans="11:11" x14ac:dyDescent="0.15">
      <c r="K408" s="131"/>
    </row>
    <row r="409" spans="11:11" x14ac:dyDescent="0.15">
      <c r="K409" s="131"/>
    </row>
    <row r="410" spans="11:11" x14ac:dyDescent="0.15">
      <c r="K410" s="131"/>
    </row>
    <row r="411" spans="11:11" x14ac:dyDescent="0.15">
      <c r="K411" s="131"/>
    </row>
    <row r="412" spans="11:11" x14ac:dyDescent="0.15">
      <c r="K412" s="131"/>
    </row>
    <row r="413" spans="11:11" x14ac:dyDescent="0.15">
      <c r="K413" s="131"/>
    </row>
    <row r="414" spans="11:11" x14ac:dyDescent="0.15">
      <c r="K414" s="131"/>
    </row>
    <row r="415" spans="11:11" x14ac:dyDescent="0.15">
      <c r="K415" s="131"/>
    </row>
    <row r="416" spans="11:11" x14ac:dyDescent="0.15">
      <c r="K416" s="131"/>
    </row>
    <row r="417" spans="11:11" x14ac:dyDescent="0.15">
      <c r="K417" s="131"/>
    </row>
    <row r="418" spans="11:11" x14ac:dyDescent="0.15">
      <c r="K418" s="131"/>
    </row>
    <row r="419" spans="11:11" x14ac:dyDescent="0.15">
      <c r="K419" s="131"/>
    </row>
    <row r="420" spans="11:11" x14ac:dyDescent="0.15">
      <c r="K420" s="131"/>
    </row>
    <row r="421" spans="11:11" x14ac:dyDescent="0.15">
      <c r="K421" s="131"/>
    </row>
    <row r="422" spans="11:11" x14ac:dyDescent="0.15">
      <c r="K422" s="131"/>
    </row>
    <row r="423" spans="11:11" x14ac:dyDescent="0.15">
      <c r="K423" s="131"/>
    </row>
    <row r="424" spans="11:11" x14ac:dyDescent="0.15">
      <c r="K424" s="131"/>
    </row>
    <row r="425" spans="11:11" x14ac:dyDescent="0.15">
      <c r="K425" s="131"/>
    </row>
    <row r="426" spans="11:11" x14ac:dyDescent="0.15">
      <c r="K426" s="131"/>
    </row>
    <row r="427" spans="11:11" x14ac:dyDescent="0.15">
      <c r="K427" s="131"/>
    </row>
    <row r="428" spans="11:11" x14ac:dyDescent="0.15">
      <c r="K428" s="131"/>
    </row>
    <row r="429" spans="11:11" x14ac:dyDescent="0.15">
      <c r="K429" s="131"/>
    </row>
    <row r="430" spans="11:11" x14ac:dyDescent="0.15">
      <c r="K430" s="131"/>
    </row>
    <row r="431" spans="11:11" x14ac:dyDescent="0.15">
      <c r="K431" s="131"/>
    </row>
    <row r="432" spans="11:11" x14ac:dyDescent="0.15">
      <c r="K432" s="131"/>
    </row>
    <row r="433" spans="11:11" x14ac:dyDescent="0.15">
      <c r="K433" s="131"/>
    </row>
    <row r="434" spans="11:11" x14ac:dyDescent="0.15">
      <c r="K434" s="131"/>
    </row>
    <row r="435" spans="11:11" x14ac:dyDescent="0.15">
      <c r="K435" s="131"/>
    </row>
    <row r="436" spans="11:11" x14ac:dyDescent="0.15">
      <c r="K436" s="131"/>
    </row>
    <row r="437" spans="11:11" x14ac:dyDescent="0.15">
      <c r="K437" s="131"/>
    </row>
    <row r="438" spans="11:11" x14ac:dyDescent="0.15">
      <c r="K438" s="131"/>
    </row>
    <row r="439" spans="11:11" x14ac:dyDescent="0.15">
      <c r="K439" s="131"/>
    </row>
    <row r="440" spans="11:11" x14ac:dyDescent="0.15">
      <c r="K440" s="131"/>
    </row>
    <row r="441" spans="11:11" x14ac:dyDescent="0.15">
      <c r="K441" s="131"/>
    </row>
    <row r="442" spans="11:11" x14ac:dyDescent="0.15">
      <c r="K442" s="131"/>
    </row>
    <row r="443" spans="11:11" x14ac:dyDescent="0.15">
      <c r="K443" s="131"/>
    </row>
  </sheetData>
  <autoFilter ref="A1:BA1" xr:uid="{00000000-0009-0000-0000-000000000000}"/>
  <phoneticPr fontId="3"/>
  <dataValidations count="20">
    <dataValidation type="list" allowBlank="1" showInputMessage="1" showErrorMessage="1" sqref="F2:F491" xr:uid="{EA00BA18-9C12-4657-9402-1F1FE36E92C4}">
      <formula1>$AH$2:$AH$11</formula1>
    </dataValidation>
    <dataValidation type="list" allowBlank="1" showInputMessage="1" showErrorMessage="1" sqref="E2:E491" xr:uid="{43F5C6C6-60F7-42E8-BD00-64780896F550}">
      <formula1>$AG$2:$AG$11</formula1>
    </dataValidation>
    <dataValidation type="decimal" allowBlank="1" showInputMessage="1" showErrorMessage="1" error="硬度を正しく入力して下さい。" sqref="O2:P491" xr:uid="{3067AAF9-CAD2-42A4-BEC4-36CB1C09D50E}">
      <formula1>0</formula1>
      <formula2>7</formula2>
    </dataValidation>
    <dataValidation type="list" allowBlank="1" showInputMessage="1" showErrorMessage="1" sqref="Y2:AA491" xr:uid="{BD08B68A-9AEA-484E-94A1-FDC70BFCAC1A}">
      <formula1>$AV$2:$AV$21</formula1>
    </dataValidation>
    <dataValidation type="list" allowBlank="1" showInputMessage="1" showErrorMessage="1" sqref="K444:K491" xr:uid="{3B1EE17E-2A91-4E57-9655-77544290B427}">
      <formula1>$AR$2:$AR$25</formula1>
    </dataValidation>
    <dataValidation type="list" allowBlank="1" showInputMessage="1" showErrorMessage="1" sqref="I2:I491" xr:uid="{C54833BA-5C3D-4C68-A872-E91649F23D79}">
      <formula1>$AN$5:$AN$6</formula1>
    </dataValidation>
    <dataValidation type="list" allowBlank="1" showInputMessage="1" showErrorMessage="1" sqref="H2:H491" xr:uid="{B27FDBDD-B10B-4A66-9422-758615A6365A}">
      <formula1>$AL$2:$AL$8</formula1>
    </dataValidation>
    <dataValidation type="list" allowBlank="1" showInputMessage="1" showErrorMessage="1" sqref="A2:A491" xr:uid="{C2B3ECA0-F2D9-45F2-85C8-A93BE5E34F6F}">
      <formula1>$AE$2:$AE$19</formula1>
    </dataValidation>
    <dataValidation type="list" allowBlank="1" showInputMessage="1" showErrorMessage="1" sqref="X2:X491" xr:uid="{3BE50942-F1D9-459E-B159-3679942231AE}">
      <formula1>$AT$2:$AT$3</formula1>
    </dataValidation>
    <dataValidation type="list" allowBlank="1" showInputMessage="1" showErrorMessage="1" sqref="G2:G491" xr:uid="{36905E04-855C-47E3-B80E-5968C733A2F1}">
      <formula1>$AJ$2:$AJ$4</formula1>
    </dataValidation>
    <dataValidation type="list" allowBlank="1" showInputMessage="1" showErrorMessage="1" sqref="J2:J491" xr:uid="{5CC94809-442C-4EFD-949D-5AF3DE140ED5}">
      <formula1>$AP$2:$AP$27</formula1>
    </dataValidation>
    <dataValidation operator="equal" allowBlank="1" showInputMessage="1" showErrorMessage="1" sqref="B2:B46" xr:uid="{FEAAFDCC-2126-4ED5-AAD9-2869A05DE949}"/>
    <dataValidation type="list" allowBlank="1" showInputMessage="1" showErrorMessage="1" sqref="F492:F64242" xr:uid="{63A8CD9D-BC67-443D-A641-33426DB0C523}">
      <formula1>$AH$2:$AH$8</formula1>
    </dataValidation>
    <dataValidation type="list" allowBlank="1" showInputMessage="1" showErrorMessage="1" sqref="E492:E64242" xr:uid="{E9EFF8DA-362A-452C-9836-195641330540}">
      <formula1>$AG$2:$AG$9</formula1>
    </dataValidation>
    <dataValidation type="list" allowBlank="1" showInputMessage="1" showErrorMessage="1" sqref="H492:H64242" xr:uid="{2D656D48-89FA-4C11-B722-91FB7E057DFA}">
      <formula1>$AL$2:$AL$10</formula1>
    </dataValidation>
    <dataValidation type="list" allowBlank="1" showInputMessage="1" showErrorMessage="1" sqref="K492:K64242" xr:uid="{97B11946-775A-4429-81D1-44DB8B31A977}">
      <formula1>$AR$2:$AR$28</formula1>
    </dataValidation>
    <dataValidation type="list" allowBlank="1" showInputMessage="1" showErrorMessage="1" sqref="Y492:AA64242" xr:uid="{88C0882C-8A7F-4901-BAC1-2AEE83632E3C}">
      <formula1>$AV$2:$AV$26</formula1>
    </dataValidation>
    <dataValidation type="list" allowBlank="1" showInputMessage="1" showErrorMessage="1" sqref="I492:I64242" xr:uid="{3022C65B-AE38-493C-A13E-C688A985A189}">
      <formula1>$AN$2:$AN$6</formula1>
    </dataValidation>
    <dataValidation type="list" allowBlank="1" showInputMessage="1" showErrorMessage="1" sqref="J492:J64242" xr:uid="{289C64F3-CBA2-4064-93C0-EB975942F3B2}">
      <formula1>$AP$2:$AP$16</formula1>
    </dataValidation>
    <dataValidation type="list" allowBlank="1" showInputMessage="1" showErrorMessage="1" sqref="K2:K443" xr:uid="{6F82B2EC-3944-49C5-9DCE-B425F13F4C44}">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878B-2D35-4F3A-B3BB-4A33B07ECEA2}">
  <dimension ref="A1:BA149"/>
  <sheetViews>
    <sheetView zoomScale="85" zoomScaleNormal="85" workbookViewId="0">
      <pane ySplit="1" topLeftCell="A53" activePane="bottomLeft" state="frozen"/>
      <selection pane="bottomLeft" activeCell="J92" sqref="J92"/>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296</v>
      </c>
      <c r="V1" s="5" t="s">
        <v>20</v>
      </c>
      <c r="W1" s="56" t="s">
        <v>21</v>
      </c>
      <c r="X1" s="45" t="s">
        <v>22</v>
      </c>
      <c r="Y1" s="45" t="s">
        <v>23</v>
      </c>
      <c r="Z1" s="45" t="s">
        <v>297</v>
      </c>
      <c r="AA1" s="46" t="s">
        <v>25</v>
      </c>
      <c r="AB1" s="80" t="s">
        <v>26</v>
      </c>
      <c r="AE1" s="60" t="s">
        <v>0</v>
      </c>
      <c r="AF1" s="61"/>
      <c r="AG1" s="158"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59" t="s">
        <v>298</v>
      </c>
      <c r="E2" s="53" t="s">
        <v>299</v>
      </c>
      <c r="F2" s="53" t="s">
        <v>300</v>
      </c>
      <c r="G2" s="53" t="s">
        <v>36</v>
      </c>
      <c r="H2" s="53" t="s">
        <v>164</v>
      </c>
      <c r="I2" s="53" t="s">
        <v>159</v>
      </c>
      <c r="J2" s="53" t="s">
        <v>38</v>
      </c>
      <c r="K2" s="53" t="s">
        <v>161</v>
      </c>
      <c r="L2" s="53">
        <v>1</v>
      </c>
      <c r="N2" s="53">
        <v>1</v>
      </c>
      <c r="O2" s="53">
        <v>0.75</v>
      </c>
      <c r="P2" s="53">
        <v>0.7</v>
      </c>
      <c r="Q2" s="75">
        <f t="shared" ref="Q2:Q81" si="0">IF(OR(O2="",P2=""),"",AVERAGE(O2,P2))</f>
        <v>0.72499999999999998</v>
      </c>
      <c r="R2" s="53">
        <v>14.8</v>
      </c>
      <c r="S2" s="53">
        <v>116</v>
      </c>
      <c r="T2" s="16">
        <f t="shared" ref="T2:T88" si="1">IF(H2="","",IF(OR(H2="GREEN",H2="GK"),IF(S2&gt;=$AX$2,VLOOKUP(S2,$AX$2:$AY$9,2,1),""),IF(S2&gt;=$AZ$2,VLOOKUP(S2,$AZ$2:$BA$9,2,1),"")))</f>
        <v>30</v>
      </c>
      <c r="U2" s="53">
        <v>103</v>
      </c>
      <c r="V2" s="16">
        <f t="shared" ref="V2:V88" si="2">IF(OR(N2="",U2="",T2=""),"",U2/N2*T2)</f>
        <v>3090</v>
      </c>
      <c r="W2" s="53">
        <v>1</v>
      </c>
      <c r="X2" s="53" t="s">
        <v>46</v>
      </c>
      <c r="Y2" s="53" t="s">
        <v>90</v>
      </c>
      <c r="Z2" s="53" t="s">
        <v>69</v>
      </c>
      <c r="AA2" s="53" t="s">
        <v>84</v>
      </c>
      <c r="AB2" s="53" t="s">
        <v>237</v>
      </c>
      <c r="AE2" s="64" t="s">
        <v>35</v>
      </c>
      <c r="AG2" s="160" t="s">
        <v>288</v>
      </c>
      <c r="AH2" s="67" t="s">
        <v>301</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59" t="s">
        <v>298</v>
      </c>
      <c r="E3" s="53" t="s">
        <v>299</v>
      </c>
      <c r="F3" s="53" t="s">
        <v>300</v>
      </c>
      <c r="G3" s="53" t="s">
        <v>36</v>
      </c>
      <c r="H3" s="53" t="s">
        <v>164</v>
      </c>
      <c r="I3" s="53" t="s">
        <v>159</v>
      </c>
      <c r="J3" s="53" t="s">
        <v>38</v>
      </c>
      <c r="K3" s="53" t="s">
        <v>161</v>
      </c>
      <c r="L3" s="53">
        <v>2</v>
      </c>
      <c r="N3" s="53">
        <v>1</v>
      </c>
      <c r="O3" s="53">
        <v>0.45</v>
      </c>
      <c r="P3" s="53">
        <v>0.7</v>
      </c>
      <c r="Q3" s="75">
        <f t="shared" si="0"/>
        <v>0.57499999999999996</v>
      </c>
      <c r="R3" s="53">
        <v>14.6</v>
      </c>
      <c r="S3" s="53">
        <v>116</v>
      </c>
      <c r="T3" s="16">
        <f t="shared" si="1"/>
        <v>30</v>
      </c>
      <c r="U3" s="53">
        <v>103</v>
      </c>
      <c r="V3" s="16">
        <f t="shared" si="2"/>
        <v>3090</v>
      </c>
      <c r="W3" s="53">
        <v>1</v>
      </c>
      <c r="X3" s="53" t="s">
        <v>46</v>
      </c>
      <c r="Y3" s="53" t="s">
        <v>90</v>
      </c>
      <c r="Z3" s="53" t="s">
        <v>69</v>
      </c>
      <c r="AA3" s="53" t="s">
        <v>84</v>
      </c>
      <c r="AB3" s="53" t="s">
        <v>237</v>
      </c>
      <c r="AE3" s="22" t="s">
        <v>41</v>
      </c>
      <c r="AG3" s="161" t="s">
        <v>302</v>
      </c>
      <c r="AH3" s="67" t="s">
        <v>303</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59" t="s">
        <v>298</v>
      </c>
      <c r="E4" s="53" t="s">
        <v>299</v>
      </c>
      <c r="F4" s="53" t="s">
        <v>300</v>
      </c>
      <c r="G4" s="53" t="s">
        <v>36</v>
      </c>
      <c r="H4" s="53" t="s">
        <v>164</v>
      </c>
      <c r="I4" s="53" t="s">
        <v>159</v>
      </c>
      <c r="J4" s="53" t="s">
        <v>38</v>
      </c>
      <c r="K4" s="53" t="s">
        <v>161</v>
      </c>
      <c r="L4" s="53">
        <v>3</v>
      </c>
      <c r="N4" s="53">
        <v>1</v>
      </c>
      <c r="O4" s="53">
        <v>0.5</v>
      </c>
      <c r="P4" s="53">
        <v>0.55000000000000004</v>
      </c>
      <c r="Q4" s="75">
        <f t="shared" si="0"/>
        <v>0.52500000000000002</v>
      </c>
      <c r="R4" s="53">
        <v>14.8</v>
      </c>
      <c r="S4" s="53">
        <v>114</v>
      </c>
      <c r="T4" s="16">
        <f t="shared" si="1"/>
        <v>30</v>
      </c>
      <c r="U4" s="53">
        <v>103</v>
      </c>
      <c r="V4" s="16">
        <f t="shared" si="2"/>
        <v>3090</v>
      </c>
      <c r="W4" s="53">
        <v>1</v>
      </c>
      <c r="X4" s="53" t="s">
        <v>46</v>
      </c>
      <c r="Y4" s="53" t="s">
        <v>90</v>
      </c>
      <c r="Z4" s="53" t="s">
        <v>69</v>
      </c>
      <c r="AA4" s="53" t="s">
        <v>84</v>
      </c>
      <c r="AB4" s="53" t="s">
        <v>237</v>
      </c>
      <c r="AE4" s="22" t="s">
        <v>34</v>
      </c>
      <c r="AG4" s="161" t="s">
        <v>304</v>
      </c>
      <c r="AH4" s="67" t="s">
        <v>305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59" t="s">
        <v>298</v>
      </c>
      <c r="E5" s="53" t="s">
        <v>299</v>
      </c>
      <c r="F5" s="53" t="s">
        <v>300</v>
      </c>
      <c r="G5" s="53" t="s">
        <v>36</v>
      </c>
      <c r="H5" s="53" t="s">
        <v>160</v>
      </c>
      <c r="I5" s="53" t="s">
        <v>159</v>
      </c>
      <c r="J5" s="53" t="s">
        <v>38</v>
      </c>
      <c r="K5" s="53" t="s">
        <v>161</v>
      </c>
      <c r="L5" s="53">
        <v>1</v>
      </c>
      <c r="N5" s="53">
        <v>1</v>
      </c>
      <c r="O5" s="53">
        <v>0.2</v>
      </c>
      <c r="P5" s="53">
        <v>0.45</v>
      </c>
      <c r="Q5" s="75">
        <f t="shared" si="0"/>
        <v>0.32500000000000001</v>
      </c>
      <c r="R5" s="53">
        <v>16.7</v>
      </c>
      <c r="S5" s="53">
        <v>148</v>
      </c>
      <c r="T5" s="16">
        <f t="shared" si="1"/>
        <v>30</v>
      </c>
      <c r="U5" s="53">
        <v>135</v>
      </c>
      <c r="V5" s="16">
        <f t="shared" si="2"/>
        <v>4050</v>
      </c>
      <c r="W5" s="53">
        <v>1</v>
      </c>
      <c r="X5" s="53" t="s">
        <v>46</v>
      </c>
      <c r="Y5" s="53" t="s">
        <v>90</v>
      </c>
      <c r="Z5" s="53" t="s">
        <v>69</v>
      </c>
      <c r="AA5" s="53" t="s">
        <v>84</v>
      </c>
      <c r="AB5" s="53" t="s">
        <v>237</v>
      </c>
      <c r="AE5" s="22" t="s">
        <v>51</v>
      </c>
      <c r="AG5" s="161" t="s">
        <v>306</v>
      </c>
      <c r="AH5" s="67" t="s">
        <v>307</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59" t="s">
        <v>298</v>
      </c>
      <c r="E6" s="53" t="s">
        <v>299</v>
      </c>
      <c r="F6" s="53" t="s">
        <v>300</v>
      </c>
      <c r="G6" s="53" t="s">
        <v>36</v>
      </c>
      <c r="H6" s="53" t="s">
        <v>160</v>
      </c>
      <c r="I6" s="53" t="s">
        <v>159</v>
      </c>
      <c r="J6" s="53" t="s">
        <v>38</v>
      </c>
      <c r="K6" s="53" t="s">
        <v>161</v>
      </c>
      <c r="L6" s="53">
        <v>2</v>
      </c>
      <c r="N6" s="53">
        <v>1</v>
      </c>
      <c r="O6" s="53">
        <v>0.45</v>
      </c>
      <c r="P6" s="53">
        <v>0.55000000000000004</v>
      </c>
      <c r="Q6" s="75">
        <f t="shared" si="0"/>
        <v>0.5</v>
      </c>
      <c r="R6" s="53">
        <v>17.3</v>
      </c>
      <c r="S6" s="53">
        <v>164</v>
      </c>
      <c r="T6" s="16">
        <f t="shared" si="1"/>
        <v>18</v>
      </c>
      <c r="U6" s="53">
        <v>135</v>
      </c>
      <c r="V6" s="16">
        <f t="shared" si="2"/>
        <v>2430</v>
      </c>
      <c r="W6" s="53">
        <v>1</v>
      </c>
      <c r="X6" s="53" t="s">
        <v>46</v>
      </c>
      <c r="Y6" s="53" t="s">
        <v>90</v>
      </c>
      <c r="Z6" s="53" t="s">
        <v>69</v>
      </c>
      <c r="AA6" s="53" t="s">
        <v>84</v>
      </c>
      <c r="AB6" s="53" t="s">
        <v>237</v>
      </c>
      <c r="AE6" s="22" t="s">
        <v>56</v>
      </c>
      <c r="AG6" s="161" t="s">
        <v>308</v>
      </c>
      <c r="AH6" s="67" t="s">
        <v>309</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59" t="s">
        <v>298</v>
      </c>
      <c r="E7" s="53" t="s">
        <v>299</v>
      </c>
      <c r="F7" s="53" t="s">
        <v>300</v>
      </c>
      <c r="G7" s="53" t="s">
        <v>36</v>
      </c>
      <c r="H7" s="53" t="s">
        <v>160</v>
      </c>
      <c r="I7" s="53" t="s">
        <v>159</v>
      </c>
      <c r="J7" s="53" t="s">
        <v>38</v>
      </c>
      <c r="K7" s="53" t="s">
        <v>161</v>
      </c>
      <c r="L7" s="53">
        <v>3</v>
      </c>
      <c r="N7" s="53">
        <v>1</v>
      </c>
      <c r="O7" s="53">
        <v>0.2</v>
      </c>
      <c r="P7" s="53">
        <v>1.4</v>
      </c>
      <c r="Q7" s="75">
        <f t="shared" si="0"/>
        <v>0.79999999999999993</v>
      </c>
      <c r="R7" s="53">
        <v>14.6</v>
      </c>
      <c r="S7" s="53">
        <v>158</v>
      </c>
      <c r="T7" s="16">
        <f t="shared" si="1"/>
        <v>18</v>
      </c>
      <c r="U7" s="53">
        <v>135</v>
      </c>
      <c r="V7" s="16">
        <f t="shared" si="2"/>
        <v>2430</v>
      </c>
      <c r="W7" s="53">
        <v>1</v>
      </c>
      <c r="X7" s="53" t="s">
        <v>46</v>
      </c>
      <c r="Y7" s="53" t="s">
        <v>90</v>
      </c>
      <c r="Z7" s="53" t="s">
        <v>69</v>
      </c>
      <c r="AA7" s="53" t="s">
        <v>84</v>
      </c>
      <c r="AB7" s="53" t="s">
        <v>237</v>
      </c>
      <c r="AE7" s="22" t="s">
        <v>61</v>
      </c>
      <c r="AG7" s="161" t="s">
        <v>270</v>
      </c>
      <c r="AH7" s="67" t="s">
        <v>310</v>
      </c>
      <c r="AL7" s="34" t="s">
        <v>109</v>
      </c>
      <c r="AP7" s="23" t="s">
        <v>58</v>
      </c>
      <c r="AR7" s="23" t="s">
        <v>122</v>
      </c>
      <c r="AV7" s="23" t="s">
        <v>64</v>
      </c>
      <c r="AX7" s="24">
        <v>109</v>
      </c>
      <c r="AY7" s="25">
        <v>33</v>
      </c>
      <c r="AZ7" s="25">
        <v>113</v>
      </c>
      <c r="BA7" s="26">
        <v>30</v>
      </c>
    </row>
    <row r="8" spans="1:53" x14ac:dyDescent="0.15">
      <c r="A8" s="53" t="s">
        <v>34</v>
      </c>
      <c r="B8" s="53" t="s">
        <v>233</v>
      </c>
      <c r="C8" s="53">
        <v>2019</v>
      </c>
      <c r="D8" s="159" t="s">
        <v>298</v>
      </c>
      <c r="E8" s="53" t="s">
        <v>311</v>
      </c>
      <c r="F8" s="53" t="s">
        <v>312</v>
      </c>
      <c r="G8" s="53" t="s">
        <v>36</v>
      </c>
      <c r="H8" s="53" t="s">
        <v>164</v>
      </c>
      <c r="I8" s="53" t="s">
        <v>159</v>
      </c>
      <c r="J8" s="53" t="s">
        <v>38</v>
      </c>
      <c r="K8" s="53" t="s">
        <v>161</v>
      </c>
      <c r="L8" s="53">
        <v>1</v>
      </c>
      <c r="N8" s="53">
        <v>1</v>
      </c>
      <c r="O8" s="53">
        <v>0.75</v>
      </c>
      <c r="P8" s="53">
        <v>0.65</v>
      </c>
      <c r="Q8" s="75">
        <f t="shared" si="0"/>
        <v>0.7</v>
      </c>
      <c r="R8" s="53">
        <v>14.6</v>
      </c>
      <c r="S8" s="53">
        <v>130</v>
      </c>
      <c r="T8" s="16">
        <f t="shared" si="1"/>
        <v>30</v>
      </c>
      <c r="U8" s="53">
        <v>105</v>
      </c>
      <c r="V8" s="16">
        <f t="shared" si="2"/>
        <v>3150</v>
      </c>
      <c r="W8" s="53">
        <v>2</v>
      </c>
      <c r="X8" s="53" t="s">
        <v>46</v>
      </c>
      <c r="Y8" s="53" t="s">
        <v>78</v>
      </c>
      <c r="Z8" s="53" t="s">
        <v>69</v>
      </c>
      <c r="AA8" s="53" t="s">
        <v>84</v>
      </c>
      <c r="AB8" s="53" t="s">
        <v>237</v>
      </c>
      <c r="AE8" s="22" t="s">
        <v>59</v>
      </c>
      <c r="AG8" s="161" t="s">
        <v>311</v>
      </c>
      <c r="AH8" s="67" t="s">
        <v>312</v>
      </c>
      <c r="AL8" s="34" t="s">
        <v>134</v>
      </c>
      <c r="AP8" s="23" t="s">
        <v>62</v>
      </c>
      <c r="AR8" s="23" t="s">
        <v>81</v>
      </c>
      <c r="AV8" s="23" t="s">
        <v>97</v>
      </c>
      <c r="AX8" s="24">
        <v>151</v>
      </c>
      <c r="AY8" s="25">
        <v>22</v>
      </c>
      <c r="AZ8" s="25">
        <v>152</v>
      </c>
      <c r="BA8" s="26">
        <v>18</v>
      </c>
    </row>
    <row r="9" spans="1:53" x14ac:dyDescent="0.15">
      <c r="A9" s="53" t="s">
        <v>34</v>
      </c>
      <c r="B9" s="53" t="s">
        <v>233</v>
      </c>
      <c r="C9" s="53">
        <v>2019</v>
      </c>
      <c r="D9" s="159" t="s">
        <v>298</v>
      </c>
      <c r="E9" s="53" t="s">
        <v>311</v>
      </c>
      <c r="F9" s="53" t="s">
        <v>312</v>
      </c>
      <c r="G9" s="53" t="s">
        <v>36</v>
      </c>
      <c r="H9" s="53" t="s">
        <v>164</v>
      </c>
      <c r="I9" s="53" t="s">
        <v>159</v>
      </c>
      <c r="J9" s="53" t="s">
        <v>38</v>
      </c>
      <c r="K9" s="53" t="s">
        <v>161</v>
      </c>
      <c r="L9" s="53">
        <v>2</v>
      </c>
      <c r="N9" s="53">
        <v>1</v>
      </c>
      <c r="O9" s="53">
        <v>0.75</v>
      </c>
      <c r="P9" s="53">
        <v>0.75</v>
      </c>
      <c r="Q9" s="75">
        <f t="shared" si="0"/>
        <v>0.75</v>
      </c>
      <c r="R9" s="53">
        <v>14.7</v>
      </c>
      <c r="S9" s="53">
        <v>130</v>
      </c>
      <c r="T9" s="16">
        <f t="shared" si="1"/>
        <v>30</v>
      </c>
      <c r="U9" s="53">
        <v>105</v>
      </c>
      <c r="V9" s="16">
        <f t="shared" si="2"/>
        <v>3150</v>
      </c>
      <c r="W9" s="53">
        <v>2</v>
      </c>
      <c r="X9" s="53" t="s">
        <v>46</v>
      </c>
      <c r="Y9" s="53" t="s">
        <v>78</v>
      </c>
      <c r="Z9" s="53" t="s">
        <v>69</v>
      </c>
      <c r="AA9" s="53" t="s">
        <v>84</v>
      </c>
      <c r="AB9" s="53" t="s">
        <v>237</v>
      </c>
      <c r="AE9" s="22" t="s">
        <v>98</v>
      </c>
      <c r="AG9" s="161" t="s">
        <v>313</v>
      </c>
      <c r="AH9" s="67" t="s">
        <v>314</v>
      </c>
      <c r="AL9" s="73"/>
      <c r="AP9" s="23" t="s">
        <v>95</v>
      </c>
      <c r="AR9" s="23" t="s">
        <v>89</v>
      </c>
      <c r="AV9" s="23" t="s">
        <v>102</v>
      </c>
      <c r="AX9" s="31">
        <v>180</v>
      </c>
      <c r="AY9" s="32">
        <v>18</v>
      </c>
      <c r="AZ9" s="32">
        <v>181</v>
      </c>
      <c r="BA9" s="33">
        <v>16</v>
      </c>
    </row>
    <row r="10" spans="1:53" x14ac:dyDescent="0.15">
      <c r="A10" s="53" t="s">
        <v>34</v>
      </c>
      <c r="B10" s="53" t="s">
        <v>233</v>
      </c>
      <c r="C10" s="53">
        <v>2019</v>
      </c>
      <c r="D10" s="159" t="s">
        <v>298</v>
      </c>
      <c r="E10" s="53" t="s">
        <v>311</v>
      </c>
      <c r="F10" s="53" t="s">
        <v>312</v>
      </c>
      <c r="G10" s="53" t="s">
        <v>36</v>
      </c>
      <c r="H10" s="53" t="s">
        <v>164</v>
      </c>
      <c r="I10" s="53" t="s">
        <v>159</v>
      </c>
      <c r="J10" s="53" t="s">
        <v>38</v>
      </c>
      <c r="K10" s="53" t="s">
        <v>161</v>
      </c>
      <c r="L10" s="53">
        <v>3</v>
      </c>
      <c r="N10" s="53">
        <v>1</v>
      </c>
      <c r="O10" s="53">
        <v>0.7</v>
      </c>
      <c r="P10" s="53">
        <v>0.85</v>
      </c>
      <c r="Q10" s="75">
        <f t="shared" si="0"/>
        <v>0.77499999999999991</v>
      </c>
      <c r="R10" s="53">
        <v>14.4</v>
      </c>
      <c r="S10" s="53">
        <v>130</v>
      </c>
      <c r="T10" s="16">
        <f t="shared" si="1"/>
        <v>30</v>
      </c>
      <c r="U10" s="53">
        <v>105</v>
      </c>
      <c r="V10" s="16">
        <f t="shared" si="2"/>
        <v>3150</v>
      </c>
      <c r="W10" s="53">
        <v>2</v>
      </c>
      <c r="X10" s="53" t="s">
        <v>46</v>
      </c>
      <c r="Y10" s="53" t="s">
        <v>78</v>
      </c>
      <c r="Z10" s="53" t="s">
        <v>69</v>
      </c>
      <c r="AA10" s="53" t="s">
        <v>84</v>
      </c>
      <c r="AB10" s="53" t="s">
        <v>237</v>
      </c>
      <c r="AE10" s="22" t="s">
        <v>103</v>
      </c>
      <c r="AG10" s="161" t="s">
        <v>299</v>
      </c>
      <c r="AH10" s="67" t="s">
        <v>300</v>
      </c>
      <c r="AL10" s="34"/>
      <c r="AP10" s="23" t="s">
        <v>100</v>
      </c>
      <c r="AR10" s="23" t="s">
        <v>123</v>
      </c>
      <c r="AV10" s="23" t="s">
        <v>106</v>
      </c>
    </row>
    <row r="11" spans="1:53" x14ac:dyDescent="0.15">
      <c r="A11" s="53" t="s">
        <v>34</v>
      </c>
      <c r="B11" s="53" t="s">
        <v>233</v>
      </c>
      <c r="C11" s="53">
        <v>2019</v>
      </c>
      <c r="D11" s="159" t="s">
        <v>298</v>
      </c>
      <c r="E11" s="53" t="s">
        <v>311</v>
      </c>
      <c r="F11" s="53" t="s">
        <v>312</v>
      </c>
      <c r="G11" s="53" t="s">
        <v>36</v>
      </c>
      <c r="H11" s="53" t="s">
        <v>164</v>
      </c>
      <c r="I11" s="53" t="s">
        <v>159</v>
      </c>
      <c r="J11" s="53" t="s">
        <v>38</v>
      </c>
      <c r="K11" s="53" t="s">
        <v>161</v>
      </c>
      <c r="L11" s="53">
        <v>1</v>
      </c>
      <c r="N11" s="53">
        <v>8</v>
      </c>
      <c r="O11" s="53">
        <v>0.2</v>
      </c>
      <c r="P11" s="53">
        <v>0.2</v>
      </c>
      <c r="Q11" s="75">
        <f t="shared" si="0"/>
        <v>0.2</v>
      </c>
      <c r="R11" s="53">
        <v>13.8</v>
      </c>
      <c r="S11" s="53">
        <v>77</v>
      </c>
      <c r="T11" s="16">
        <f t="shared" si="1"/>
        <v>39</v>
      </c>
      <c r="U11" s="53">
        <v>105</v>
      </c>
      <c r="V11" s="16">
        <f t="shared" si="2"/>
        <v>511.875</v>
      </c>
      <c r="W11" s="53">
        <v>2</v>
      </c>
      <c r="X11" s="53" t="s">
        <v>46</v>
      </c>
      <c r="Y11" s="53" t="s">
        <v>78</v>
      </c>
      <c r="Z11" s="53" t="s">
        <v>69</v>
      </c>
      <c r="AA11" s="53" t="s">
        <v>84</v>
      </c>
      <c r="AB11" s="53" t="s">
        <v>237</v>
      </c>
      <c r="AE11" s="22" t="s">
        <v>65</v>
      </c>
      <c r="AG11" s="161" t="s">
        <v>211</v>
      </c>
      <c r="AH11" s="67" t="s">
        <v>315</v>
      </c>
      <c r="AL11" s="34"/>
      <c r="AP11" s="23" t="s">
        <v>104</v>
      </c>
      <c r="AR11" s="23" t="s">
        <v>87</v>
      </c>
      <c r="AV11" s="23" t="s">
        <v>69</v>
      </c>
    </row>
    <row r="12" spans="1:53" x14ac:dyDescent="0.15">
      <c r="A12" s="53" t="s">
        <v>34</v>
      </c>
      <c r="B12" s="53" t="s">
        <v>233</v>
      </c>
      <c r="C12" s="53">
        <v>2019</v>
      </c>
      <c r="D12" s="159" t="s">
        <v>298</v>
      </c>
      <c r="E12" s="53" t="s">
        <v>311</v>
      </c>
      <c r="F12" s="53" t="s">
        <v>312</v>
      </c>
      <c r="G12" s="53" t="s">
        <v>36</v>
      </c>
      <c r="H12" s="53" t="s">
        <v>164</v>
      </c>
      <c r="I12" s="53" t="s">
        <v>159</v>
      </c>
      <c r="J12" s="53" t="s">
        <v>38</v>
      </c>
      <c r="K12" s="53" t="s">
        <v>161</v>
      </c>
      <c r="L12" s="53">
        <v>2</v>
      </c>
      <c r="N12" s="53">
        <v>8</v>
      </c>
      <c r="O12" s="53">
        <v>0.6</v>
      </c>
      <c r="P12" s="53">
        <v>0.65</v>
      </c>
      <c r="Q12" s="75">
        <f t="shared" si="0"/>
        <v>0.625</v>
      </c>
      <c r="R12" s="53">
        <v>11.4</v>
      </c>
      <c r="S12" s="53">
        <v>72</v>
      </c>
      <c r="T12" s="16">
        <f t="shared" si="1"/>
        <v>42</v>
      </c>
      <c r="U12" s="53">
        <v>105</v>
      </c>
      <c r="V12" s="16">
        <f t="shared" si="2"/>
        <v>551.25</v>
      </c>
      <c r="W12" s="53">
        <v>2</v>
      </c>
      <c r="X12" s="53" t="s">
        <v>46</v>
      </c>
      <c r="Y12" s="53" t="s">
        <v>78</v>
      </c>
      <c r="Z12" s="53" t="s">
        <v>69</v>
      </c>
      <c r="AA12" s="53" t="s">
        <v>84</v>
      </c>
      <c r="AB12" s="53" t="s">
        <v>237</v>
      </c>
      <c r="AE12" s="22" t="s">
        <v>70</v>
      </c>
      <c r="AG12" s="28"/>
      <c r="AH12" s="23"/>
      <c r="AL12" s="34"/>
      <c r="AP12" s="23" t="s">
        <v>67</v>
      </c>
      <c r="AR12" s="23" t="s">
        <v>124</v>
      </c>
      <c r="AV12" s="23" t="s">
        <v>72</v>
      </c>
    </row>
    <row r="13" spans="1:53" x14ac:dyDescent="0.15">
      <c r="A13" s="53" t="s">
        <v>34</v>
      </c>
      <c r="B13" s="53" t="s">
        <v>233</v>
      </c>
      <c r="C13" s="53">
        <v>2019</v>
      </c>
      <c r="D13" s="159" t="s">
        <v>298</v>
      </c>
      <c r="E13" s="53" t="s">
        <v>311</v>
      </c>
      <c r="F13" s="53" t="s">
        <v>312</v>
      </c>
      <c r="G13" s="53" t="s">
        <v>36</v>
      </c>
      <c r="H13" s="53" t="s">
        <v>164</v>
      </c>
      <c r="I13" s="53" t="s">
        <v>159</v>
      </c>
      <c r="J13" s="53" t="s">
        <v>38</v>
      </c>
      <c r="K13" s="53" t="s">
        <v>161</v>
      </c>
      <c r="L13" s="53">
        <v>3</v>
      </c>
      <c r="N13" s="53">
        <v>8</v>
      </c>
      <c r="O13" s="53">
        <v>0.6</v>
      </c>
      <c r="P13" s="53">
        <v>0.6</v>
      </c>
      <c r="Q13" s="75">
        <f t="shared" si="0"/>
        <v>0.6</v>
      </c>
      <c r="R13" s="53">
        <v>11.4</v>
      </c>
      <c r="S13" s="53">
        <v>79</v>
      </c>
      <c r="T13" s="16">
        <f t="shared" si="1"/>
        <v>39</v>
      </c>
      <c r="U13" s="53">
        <v>105</v>
      </c>
      <c r="V13" s="16">
        <f t="shared" si="2"/>
        <v>511.875</v>
      </c>
      <c r="W13" s="53">
        <v>2</v>
      </c>
      <c r="X13" s="53" t="s">
        <v>46</v>
      </c>
      <c r="Y13" s="53" t="s">
        <v>78</v>
      </c>
      <c r="Z13" s="53" t="s">
        <v>69</v>
      </c>
      <c r="AA13" s="53" t="s">
        <v>84</v>
      </c>
      <c r="AB13" s="53" t="s">
        <v>237</v>
      </c>
      <c r="AE13" s="22" t="s">
        <v>73</v>
      </c>
      <c r="AH13" s="28"/>
      <c r="AP13" s="23" t="s">
        <v>71</v>
      </c>
      <c r="AR13" s="23" t="s">
        <v>103</v>
      </c>
      <c r="AV13" s="23" t="s">
        <v>75</v>
      </c>
    </row>
    <row r="14" spans="1:53" x14ac:dyDescent="0.15">
      <c r="A14" s="53" t="s">
        <v>34</v>
      </c>
      <c r="B14" s="53" t="s">
        <v>233</v>
      </c>
      <c r="C14" s="53">
        <v>2019</v>
      </c>
      <c r="D14" s="159" t="s">
        <v>298</v>
      </c>
      <c r="E14" s="53" t="s">
        <v>311</v>
      </c>
      <c r="F14" s="53" t="s">
        <v>312</v>
      </c>
      <c r="G14" s="53" t="s">
        <v>36</v>
      </c>
      <c r="H14" s="53" t="s">
        <v>160</v>
      </c>
      <c r="I14" s="53" t="s">
        <v>159</v>
      </c>
      <c r="J14" s="53" t="s">
        <v>38</v>
      </c>
      <c r="K14" s="53" t="s">
        <v>161</v>
      </c>
      <c r="L14" s="53">
        <v>1</v>
      </c>
      <c r="N14" s="53">
        <v>1</v>
      </c>
      <c r="O14" s="53">
        <v>0.6</v>
      </c>
      <c r="P14" s="53">
        <v>0.6</v>
      </c>
      <c r="Q14" s="75">
        <f t="shared" si="0"/>
        <v>0.6</v>
      </c>
      <c r="R14" s="53">
        <v>15.3</v>
      </c>
      <c r="S14" s="53">
        <v>124</v>
      </c>
      <c r="T14" s="16">
        <f t="shared" si="1"/>
        <v>30</v>
      </c>
      <c r="U14" s="53">
        <v>105</v>
      </c>
      <c r="V14" s="16">
        <f t="shared" si="2"/>
        <v>3150</v>
      </c>
      <c r="W14" s="53">
        <v>2</v>
      </c>
      <c r="X14" s="53" t="s">
        <v>46</v>
      </c>
      <c r="Y14" s="53" t="s">
        <v>78</v>
      </c>
      <c r="Z14" s="53" t="s">
        <v>69</v>
      </c>
      <c r="AA14" s="53" t="s">
        <v>84</v>
      </c>
      <c r="AB14" s="53" t="s">
        <v>237</v>
      </c>
      <c r="AE14" s="22" t="s">
        <v>76</v>
      </c>
      <c r="AG14" s="162"/>
      <c r="AP14" s="23" t="s">
        <v>74</v>
      </c>
      <c r="AR14" s="23" t="s">
        <v>125</v>
      </c>
      <c r="AV14" s="23" t="s">
        <v>78</v>
      </c>
    </row>
    <row r="15" spans="1:53" x14ac:dyDescent="0.15">
      <c r="A15" s="53" t="s">
        <v>34</v>
      </c>
      <c r="B15" s="53" t="s">
        <v>233</v>
      </c>
      <c r="C15" s="53">
        <v>2019</v>
      </c>
      <c r="D15" s="159" t="s">
        <v>298</v>
      </c>
      <c r="E15" s="53" t="s">
        <v>311</v>
      </c>
      <c r="F15" s="53" t="s">
        <v>312</v>
      </c>
      <c r="G15" s="53" t="s">
        <v>36</v>
      </c>
      <c r="H15" s="53" t="s">
        <v>160</v>
      </c>
      <c r="I15" s="53" t="s">
        <v>159</v>
      </c>
      <c r="J15" s="53" t="s">
        <v>38</v>
      </c>
      <c r="K15" s="53" t="s">
        <v>161</v>
      </c>
      <c r="L15" s="53">
        <v>2</v>
      </c>
      <c r="N15" s="53">
        <v>1</v>
      </c>
      <c r="O15" s="53">
        <v>0.6</v>
      </c>
      <c r="P15" s="53">
        <v>0.2</v>
      </c>
      <c r="Q15" s="75">
        <f t="shared" si="0"/>
        <v>0.4</v>
      </c>
      <c r="R15" s="53">
        <v>15.3</v>
      </c>
      <c r="S15" s="53">
        <v>124</v>
      </c>
      <c r="T15" s="16">
        <f t="shared" si="1"/>
        <v>30</v>
      </c>
      <c r="U15" s="53">
        <v>105</v>
      </c>
      <c r="V15" s="16">
        <f t="shared" si="2"/>
        <v>3150</v>
      </c>
      <c r="W15" s="53">
        <v>2</v>
      </c>
      <c r="X15" s="53" t="s">
        <v>46</v>
      </c>
      <c r="Y15" s="53" t="s">
        <v>78</v>
      </c>
      <c r="Z15" s="53" t="s">
        <v>69</v>
      </c>
      <c r="AA15" s="53" t="s">
        <v>84</v>
      </c>
      <c r="AB15" s="53" t="s">
        <v>237</v>
      </c>
      <c r="AE15" s="22" t="s">
        <v>79</v>
      </c>
      <c r="AP15" s="23" t="s">
        <v>77</v>
      </c>
      <c r="AR15" s="23" t="s">
        <v>94</v>
      </c>
      <c r="AV15" s="23" t="s">
        <v>107</v>
      </c>
    </row>
    <row r="16" spans="1:53" x14ac:dyDescent="0.15">
      <c r="A16" s="53" t="s">
        <v>34</v>
      </c>
      <c r="B16" s="53" t="s">
        <v>233</v>
      </c>
      <c r="C16" s="53">
        <v>2019</v>
      </c>
      <c r="D16" s="159" t="s">
        <v>298</v>
      </c>
      <c r="E16" s="53" t="s">
        <v>311</v>
      </c>
      <c r="F16" s="53" t="s">
        <v>312</v>
      </c>
      <c r="G16" s="53" t="s">
        <v>36</v>
      </c>
      <c r="H16" s="53" t="s">
        <v>160</v>
      </c>
      <c r="I16" s="53" t="s">
        <v>159</v>
      </c>
      <c r="J16" s="53" t="s">
        <v>38</v>
      </c>
      <c r="K16" s="53" t="s">
        <v>161</v>
      </c>
      <c r="L16" s="53">
        <v>3</v>
      </c>
      <c r="N16" s="53">
        <v>1</v>
      </c>
      <c r="O16" s="53">
        <v>0.2</v>
      </c>
      <c r="P16" s="53">
        <v>0.7</v>
      </c>
      <c r="Q16" s="75">
        <f t="shared" si="0"/>
        <v>0.44999999999999996</v>
      </c>
      <c r="R16" s="53">
        <v>15.1</v>
      </c>
      <c r="S16" s="53">
        <v>118</v>
      </c>
      <c r="T16" s="16">
        <f t="shared" si="1"/>
        <v>30</v>
      </c>
      <c r="U16" s="53">
        <v>105</v>
      </c>
      <c r="V16" s="16">
        <f t="shared" si="2"/>
        <v>3150</v>
      </c>
      <c r="W16" s="53">
        <v>2</v>
      </c>
      <c r="X16" s="53" t="s">
        <v>46</v>
      </c>
      <c r="Y16" s="53" t="s">
        <v>78</v>
      </c>
      <c r="Z16" s="53" t="s">
        <v>69</v>
      </c>
      <c r="AA16" s="53" t="s">
        <v>84</v>
      </c>
      <c r="AB16" s="53" t="s">
        <v>237</v>
      </c>
      <c r="AE16" s="22" t="s">
        <v>82</v>
      </c>
      <c r="AP16" s="23" t="s">
        <v>80</v>
      </c>
      <c r="AR16" s="23" t="s">
        <v>63</v>
      </c>
      <c r="AV16" s="23" t="s">
        <v>84</v>
      </c>
    </row>
    <row r="17" spans="1:48" x14ac:dyDescent="0.15">
      <c r="A17" s="53" t="s">
        <v>34</v>
      </c>
      <c r="B17" s="53" t="s">
        <v>233</v>
      </c>
      <c r="C17" s="53">
        <v>2019</v>
      </c>
      <c r="D17" s="159" t="s">
        <v>298</v>
      </c>
      <c r="E17" s="53" t="s">
        <v>311</v>
      </c>
      <c r="F17" s="53" t="s">
        <v>312</v>
      </c>
      <c r="G17" s="53" t="s">
        <v>36</v>
      </c>
      <c r="H17" s="53" t="s">
        <v>160</v>
      </c>
      <c r="I17" s="53" t="s">
        <v>159</v>
      </c>
      <c r="J17" s="53" t="s">
        <v>38</v>
      </c>
      <c r="K17" s="53" t="s">
        <v>161</v>
      </c>
      <c r="L17" s="53">
        <v>1</v>
      </c>
      <c r="N17" s="53">
        <v>8</v>
      </c>
      <c r="O17" s="53">
        <v>0.75</v>
      </c>
      <c r="P17" s="53">
        <v>0.55000000000000004</v>
      </c>
      <c r="Q17" s="75">
        <f t="shared" si="0"/>
        <v>0.65</v>
      </c>
      <c r="R17" s="53">
        <v>15</v>
      </c>
      <c r="S17" s="53">
        <v>895</v>
      </c>
      <c r="T17" s="16">
        <f t="shared" si="1"/>
        <v>16</v>
      </c>
      <c r="U17" s="53">
        <v>105</v>
      </c>
      <c r="V17" s="16">
        <f t="shared" si="2"/>
        <v>210</v>
      </c>
      <c r="W17" s="53">
        <v>2</v>
      </c>
      <c r="X17" s="53" t="s">
        <v>46</v>
      </c>
      <c r="Y17" s="53" t="s">
        <v>78</v>
      </c>
      <c r="Z17" s="53" t="s">
        <v>69</v>
      </c>
      <c r="AA17" s="53" t="s">
        <v>84</v>
      </c>
      <c r="AB17" s="53" t="s">
        <v>237</v>
      </c>
      <c r="AE17" s="22" t="s">
        <v>85</v>
      </c>
      <c r="AP17" s="27" t="s">
        <v>110</v>
      </c>
      <c r="AR17" s="23" t="s">
        <v>96</v>
      </c>
      <c r="AV17" s="23" t="s">
        <v>86</v>
      </c>
    </row>
    <row r="18" spans="1:48" x14ac:dyDescent="0.15">
      <c r="A18" s="53" t="s">
        <v>34</v>
      </c>
      <c r="B18" s="53" t="s">
        <v>233</v>
      </c>
      <c r="C18" s="53">
        <v>2019</v>
      </c>
      <c r="D18" s="159" t="s">
        <v>298</v>
      </c>
      <c r="E18" s="53" t="s">
        <v>311</v>
      </c>
      <c r="F18" s="53" t="s">
        <v>312</v>
      </c>
      <c r="G18" s="53" t="s">
        <v>36</v>
      </c>
      <c r="H18" s="53" t="s">
        <v>160</v>
      </c>
      <c r="I18" s="53" t="s">
        <v>159</v>
      </c>
      <c r="J18" s="53" t="s">
        <v>38</v>
      </c>
      <c r="K18" s="53" t="s">
        <v>161</v>
      </c>
      <c r="L18" s="53">
        <v>2</v>
      </c>
      <c r="N18" s="53">
        <v>8</v>
      </c>
      <c r="O18" s="53">
        <v>0.2</v>
      </c>
      <c r="P18" s="53">
        <v>0.2</v>
      </c>
      <c r="Q18" s="75">
        <f t="shared" si="0"/>
        <v>0.2</v>
      </c>
      <c r="R18" s="53">
        <v>14.5</v>
      </c>
      <c r="S18" s="53">
        <v>96</v>
      </c>
      <c r="T18" s="16">
        <f t="shared" si="1"/>
        <v>36</v>
      </c>
      <c r="U18" s="53">
        <v>105</v>
      </c>
      <c r="V18" s="16">
        <f t="shared" si="2"/>
        <v>472.5</v>
      </c>
      <c r="W18" s="53">
        <v>2</v>
      </c>
      <c r="X18" s="53" t="s">
        <v>46</v>
      </c>
      <c r="Y18" s="53" t="s">
        <v>78</v>
      </c>
      <c r="Z18" s="53" t="s">
        <v>69</v>
      </c>
      <c r="AA18" s="53" t="s">
        <v>84</v>
      </c>
      <c r="AB18" s="53" t="s">
        <v>237</v>
      </c>
      <c r="AE18" s="22" t="s">
        <v>87</v>
      </c>
      <c r="AP18" s="27" t="s">
        <v>111</v>
      </c>
      <c r="AR18" s="23" t="s">
        <v>101</v>
      </c>
      <c r="AV18" s="23" t="s">
        <v>88</v>
      </c>
    </row>
    <row r="19" spans="1:48" x14ac:dyDescent="0.15">
      <c r="A19" s="53" t="s">
        <v>34</v>
      </c>
      <c r="B19" s="53" t="s">
        <v>233</v>
      </c>
      <c r="C19" s="53">
        <v>2019</v>
      </c>
      <c r="D19" s="159" t="s">
        <v>298</v>
      </c>
      <c r="E19" s="53" t="s">
        <v>311</v>
      </c>
      <c r="F19" s="53" t="s">
        <v>312</v>
      </c>
      <c r="G19" s="53" t="s">
        <v>36</v>
      </c>
      <c r="H19" s="53" t="s">
        <v>160</v>
      </c>
      <c r="I19" s="53" t="s">
        <v>159</v>
      </c>
      <c r="J19" s="53" t="s">
        <v>38</v>
      </c>
      <c r="K19" s="53" t="s">
        <v>161</v>
      </c>
      <c r="L19" s="53">
        <v>3</v>
      </c>
      <c r="N19" s="53">
        <v>8</v>
      </c>
      <c r="O19" s="53">
        <v>0.2</v>
      </c>
      <c r="P19" s="53">
        <v>0.2</v>
      </c>
      <c r="Q19" s="75">
        <f t="shared" si="0"/>
        <v>0.2</v>
      </c>
      <c r="R19" s="53">
        <v>17.2</v>
      </c>
      <c r="S19" s="53">
        <v>97</v>
      </c>
      <c r="T19" s="16">
        <f t="shared" si="1"/>
        <v>36</v>
      </c>
      <c r="U19" s="53">
        <v>105</v>
      </c>
      <c r="V19" s="16">
        <f t="shared" si="2"/>
        <v>472.5</v>
      </c>
      <c r="W19" s="53">
        <v>2</v>
      </c>
      <c r="X19" s="53" t="s">
        <v>46</v>
      </c>
      <c r="Y19" s="53" t="s">
        <v>78</v>
      </c>
      <c r="Z19" s="53" t="s">
        <v>69</v>
      </c>
      <c r="AA19" s="53" t="s">
        <v>84</v>
      </c>
      <c r="AB19" s="53" t="s">
        <v>237</v>
      </c>
      <c r="AE19" s="35" t="s">
        <v>89</v>
      </c>
      <c r="AP19" s="27" t="s">
        <v>112</v>
      </c>
      <c r="AR19" s="23" t="s">
        <v>126</v>
      </c>
      <c r="AV19" s="23" t="s">
        <v>90</v>
      </c>
    </row>
    <row r="20" spans="1:48" x14ac:dyDescent="0.15">
      <c r="A20" s="53" t="s">
        <v>34</v>
      </c>
      <c r="B20" s="53" t="s">
        <v>233</v>
      </c>
      <c r="C20" s="53">
        <v>2019</v>
      </c>
      <c r="D20" s="159" t="s">
        <v>298</v>
      </c>
      <c r="E20" s="53" t="s">
        <v>211</v>
      </c>
      <c r="F20" s="53" t="s">
        <v>315</v>
      </c>
      <c r="G20" s="53" t="s">
        <v>36</v>
      </c>
      <c r="H20" s="53" t="s">
        <v>164</v>
      </c>
      <c r="I20" s="53" t="s">
        <v>159</v>
      </c>
      <c r="J20" s="53" t="s">
        <v>38</v>
      </c>
      <c r="K20" s="53" t="s">
        <v>161</v>
      </c>
      <c r="L20" s="53">
        <v>1</v>
      </c>
      <c r="N20" s="53">
        <v>1</v>
      </c>
      <c r="O20" s="53">
        <v>0.2</v>
      </c>
      <c r="P20" s="53">
        <v>0.5</v>
      </c>
      <c r="Q20" s="75">
        <f t="shared" si="0"/>
        <v>0.35</v>
      </c>
      <c r="R20" s="53">
        <v>14.8</v>
      </c>
      <c r="S20" s="53">
        <v>122</v>
      </c>
      <c r="T20" s="16">
        <f t="shared" si="1"/>
        <v>30</v>
      </c>
      <c r="U20" s="53">
        <v>137</v>
      </c>
      <c r="V20" s="16">
        <f t="shared" si="2"/>
        <v>4110</v>
      </c>
      <c r="W20" s="53">
        <v>3</v>
      </c>
      <c r="X20" s="53" t="s">
        <v>46</v>
      </c>
      <c r="Y20" s="53" t="s">
        <v>78</v>
      </c>
      <c r="Z20" s="53" t="s">
        <v>69</v>
      </c>
      <c r="AA20" s="53" t="s">
        <v>84</v>
      </c>
      <c r="AB20" s="53" t="s">
        <v>237</v>
      </c>
      <c r="AP20" s="27" t="s">
        <v>113</v>
      </c>
      <c r="AR20" s="23" t="s">
        <v>105</v>
      </c>
      <c r="AV20" s="27" t="s">
        <v>135</v>
      </c>
    </row>
    <row r="21" spans="1:48" x14ac:dyDescent="0.15">
      <c r="A21" s="53" t="s">
        <v>34</v>
      </c>
      <c r="B21" s="53" t="s">
        <v>233</v>
      </c>
      <c r="C21" s="53">
        <v>2019</v>
      </c>
      <c r="D21" s="159" t="s">
        <v>298</v>
      </c>
      <c r="E21" s="53" t="s">
        <v>211</v>
      </c>
      <c r="F21" s="53" t="s">
        <v>315</v>
      </c>
      <c r="G21" s="53" t="s">
        <v>36</v>
      </c>
      <c r="H21" s="53" t="s">
        <v>164</v>
      </c>
      <c r="I21" s="53" t="s">
        <v>159</v>
      </c>
      <c r="J21" s="53" t="s">
        <v>38</v>
      </c>
      <c r="K21" s="53" t="s">
        <v>161</v>
      </c>
      <c r="L21" s="53">
        <v>2</v>
      </c>
      <c r="N21" s="53">
        <v>1</v>
      </c>
      <c r="O21" s="53">
        <v>0.8</v>
      </c>
      <c r="P21" s="53">
        <v>0.9</v>
      </c>
      <c r="Q21" s="75">
        <f t="shared" si="0"/>
        <v>0.85000000000000009</v>
      </c>
      <c r="R21" s="53">
        <v>11.1</v>
      </c>
      <c r="S21" s="53">
        <v>122</v>
      </c>
      <c r="T21" s="16">
        <f t="shared" si="1"/>
        <v>30</v>
      </c>
      <c r="U21" s="53">
        <v>137</v>
      </c>
      <c r="V21" s="16">
        <f t="shared" si="2"/>
        <v>4110</v>
      </c>
      <c r="W21" s="53">
        <v>3</v>
      </c>
      <c r="X21" s="53" t="s">
        <v>46</v>
      </c>
      <c r="Y21" s="53" t="s">
        <v>102</v>
      </c>
      <c r="Z21" s="53" t="s">
        <v>78</v>
      </c>
      <c r="AA21" s="53" t="s">
        <v>84</v>
      </c>
      <c r="AB21" s="53" t="s">
        <v>237</v>
      </c>
      <c r="AP21" s="27" t="s">
        <v>114</v>
      </c>
      <c r="AR21" s="23" t="s">
        <v>68</v>
      </c>
      <c r="AV21" s="27" t="s">
        <v>136</v>
      </c>
    </row>
    <row r="22" spans="1:48" x14ac:dyDescent="0.15">
      <c r="A22" s="53" t="s">
        <v>34</v>
      </c>
      <c r="B22" s="53" t="s">
        <v>233</v>
      </c>
      <c r="C22" s="53">
        <v>2019</v>
      </c>
      <c r="D22" s="159" t="s">
        <v>298</v>
      </c>
      <c r="E22" s="53" t="s">
        <v>211</v>
      </c>
      <c r="F22" s="53" t="s">
        <v>315</v>
      </c>
      <c r="G22" s="53" t="s">
        <v>36</v>
      </c>
      <c r="H22" s="53" t="s">
        <v>164</v>
      </c>
      <c r="I22" s="53" t="s">
        <v>159</v>
      </c>
      <c r="J22" s="53" t="s">
        <v>38</v>
      </c>
      <c r="K22" s="53" t="s">
        <v>161</v>
      </c>
      <c r="L22" s="53">
        <v>3</v>
      </c>
      <c r="N22" s="53">
        <v>1</v>
      </c>
      <c r="O22" s="53">
        <v>0.8</v>
      </c>
      <c r="P22" s="53">
        <v>0.8</v>
      </c>
      <c r="Q22" s="75">
        <f t="shared" si="0"/>
        <v>0.8</v>
      </c>
      <c r="R22" s="53">
        <v>13.9</v>
      </c>
      <c r="S22" s="53">
        <v>118</v>
      </c>
      <c r="T22" s="16">
        <f t="shared" si="1"/>
        <v>30</v>
      </c>
      <c r="U22" s="53">
        <v>137</v>
      </c>
      <c r="V22" s="16">
        <f t="shared" si="2"/>
        <v>4110</v>
      </c>
      <c r="W22" s="53">
        <v>3</v>
      </c>
      <c r="X22" s="53" t="s">
        <v>46</v>
      </c>
      <c r="Y22" s="53" t="s">
        <v>102</v>
      </c>
      <c r="Z22" s="53" t="s">
        <v>78</v>
      </c>
      <c r="AA22" s="53" t="s">
        <v>84</v>
      </c>
      <c r="AB22" s="53" t="s">
        <v>237</v>
      </c>
      <c r="AP22" s="27" t="s">
        <v>115</v>
      </c>
      <c r="AR22" s="23" t="s">
        <v>83</v>
      </c>
      <c r="AV22" s="27"/>
    </row>
    <row r="23" spans="1:48" x14ac:dyDescent="0.15">
      <c r="A23" s="53" t="s">
        <v>34</v>
      </c>
      <c r="B23" s="53" t="s">
        <v>233</v>
      </c>
      <c r="C23" s="53">
        <v>2019</v>
      </c>
      <c r="D23" s="159" t="s">
        <v>298</v>
      </c>
      <c r="E23" s="53" t="s">
        <v>211</v>
      </c>
      <c r="F23" s="53" t="s">
        <v>315</v>
      </c>
      <c r="G23" s="53" t="s">
        <v>36</v>
      </c>
      <c r="H23" s="53" t="s">
        <v>164</v>
      </c>
      <c r="I23" s="53" t="s">
        <v>159</v>
      </c>
      <c r="J23" s="53" t="s">
        <v>38</v>
      </c>
      <c r="K23" s="53" t="s">
        <v>161</v>
      </c>
      <c r="L23" s="53">
        <v>1</v>
      </c>
      <c r="N23" s="53">
        <v>4</v>
      </c>
      <c r="O23" s="53">
        <v>0.55000000000000004</v>
      </c>
      <c r="P23" s="53">
        <v>0.55000000000000004</v>
      </c>
      <c r="Q23" s="75">
        <f t="shared" si="0"/>
        <v>0.55000000000000004</v>
      </c>
      <c r="R23" s="53">
        <v>14.3</v>
      </c>
      <c r="S23" s="53">
        <v>96</v>
      </c>
      <c r="T23" s="16">
        <f t="shared" si="1"/>
        <v>36</v>
      </c>
      <c r="U23" s="53">
        <v>407</v>
      </c>
      <c r="V23" s="16">
        <f t="shared" si="2"/>
        <v>3663</v>
      </c>
      <c r="W23" s="53">
        <v>3</v>
      </c>
      <c r="X23" s="53" t="s">
        <v>46</v>
      </c>
      <c r="Y23" s="53" t="s">
        <v>102</v>
      </c>
      <c r="Z23" s="53" t="s">
        <v>78</v>
      </c>
      <c r="AA23" s="53" t="s">
        <v>84</v>
      </c>
      <c r="AB23" s="53" t="s">
        <v>237</v>
      </c>
      <c r="AP23" s="27" t="s">
        <v>117</v>
      </c>
      <c r="AR23" s="23" t="s">
        <v>153</v>
      </c>
    </row>
    <row r="24" spans="1:48" x14ac:dyDescent="0.15">
      <c r="A24" s="53" t="s">
        <v>34</v>
      </c>
      <c r="B24" s="53" t="s">
        <v>233</v>
      </c>
      <c r="C24" s="53">
        <v>2019</v>
      </c>
      <c r="D24" s="159" t="s">
        <v>298</v>
      </c>
      <c r="E24" s="53" t="s">
        <v>211</v>
      </c>
      <c r="F24" s="53" t="s">
        <v>315</v>
      </c>
      <c r="G24" s="53" t="s">
        <v>36</v>
      </c>
      <c r="H24" s="53" t="s">
        <v>164</v>
      </c>
      <c r="I24" s="53" t="s">
        <v>159</v>
      </c>
      <c r="J24" s="53" t="s">
        <v>38</v>
      </c>
      <c r="K24" s="53" t="s">
        <v>161</v>
      </c>
      <c r="L24" s="53">
        <v>2</v>
      </c>
      <c r="N24" s="53">
        <v>4</v>
      </c>
      <c r="O24" s="53">
        <v>0.45</v>
      </c>
      <c r="P24" s="53">
        <v>0.5</v>
      </c>
      <c r="Q24" s="75">
        <f t="shared" si="0"/>
        <v>0.47499999999999998</v>
      </c>
      <c r="R24" s="53">
        <v>13</v>
      </c>
      <c r="S24" s="53">
        <v>95</v>
      </c>
      <c r="T24" s="16">
        <f t="shared" si="1"/>
        <v>36</v>
      </c>
      <c r="U24" s="53">
        <v>407</v>
      </c>
      <c r="V24" s="16">
        <f t="shared" si="2"/>
        <v>3663</v>
      </c>
      <c r="W24" s="53">
        <v>3</v>
      </c>
      <c r="X24" s="53" t="s">
        <v>46</v>
      </c>
      <c r="Y24" s="53" t="s">
        <v>102</v>
      </c>
      <c r="Z24" s="53" t="s">
        <v>78</v>
      </c>
      <c r="AA24" s="53" t="s">
        <v>84</v>
      </c>
      <c r="AB24" s="53" t="s">
        <v>237</v>
      </c>
      <c r="AP24" s="27" t="s">
        <v>118</v>
      </c>
    </row>
    <row r="25" spans="1:48" x14ac:dyDescent="0.15">
      <c r="A25" s="53" t="s">
        <v>34</v>
      </c>
      <c r="B25" s="53" t="s">
        <v>233</v>
      </c>
      <c r="C25" s="53">
        <v>2019</v>
      </c>
      <c r="D25" s="159" t="s">
        <v>298</v>
      </c>
      <c r="E25" s="53" t="s">
        <v>211</v>
      </c>
      <c r="F25" s="53" t="s">
        <v>315</v>
      </c>
      <c r="G25" s="53" t="s">
        <v>36</v>
      </c>
      <c r="H25" s="53" t="s">
        <v>164</v>
      </c>
      <c r="I25" s="53" t="s">
        <v>159</v>
      </c>
      <c r="J25" s="53" t="s">
        <v>38</v>
      </c>
      <c r="K25" s="53" t="s">
        <v>161</v>
      </c>
      <c r="L25" s="53">
        <v>3</v>
      </c>
      <c r="N25" s="53">
        <v>4</v>
      </c>
      <c r="O25" s="53">
        <v>0.6</v>
      </c>
      <c r="P25" s="53">
        <v>0.6</v>
      </c>
      <c r="Q25" s="75">
        <f t="shared" si="0"/>
        <v>0.6</v>
      </c>
      <c r="R25" s="53">
        <v>13.2</v>
      </c>
      <c r="S25" s="53">
        <v>99</v>
      </c>
      <c r="T25" s="16">
        <f t="shared" si="1"/>
        <v>33</v>
      </c>
      <c r="U25" s="53">
        <v>407</v>
      </c>
      <c r="V25" s="16">
        <f t="shared" si="2"/>
        <v>3357.75</v>
      </c>
      <c r="W25" s="53">
        <v>3</v>
      </c>
      <c r="X25" s="53" t="s">
        <v>46</v>
      </c>
      <c r="Y25" s="53" t="s">
        <v>102</v>
      </c>
      <c r="Z25" s="53" t="s">
        <v>78</v>
      </c>
      <c r="AA25" s="53" t="s">
        <v>84</v>
      </c>
      <c r="AB25" s="53" t="s">
        <v>237</v>
      </c>
    </row>
    <row r="26" spans="1:48" x14ac:dyDescent="0.15">
      <c r="A26" s="53" t="s">
        <v>34</v>
      </c>
      <c r="B26" s="53" t="s">
        <v>233</v>
      </c>
      <c r="C26" s="53">
        <v>2019</v>
      </c>
      <c r="D26" s="159" t="s">
        <v>298</v>
      </c>
      <c r="E26" s="53" t="s">
        <v>211</v>
      </c>
      <c r="F26" s="53" t="s">
        <v>315</v>
      </c>
      <c r="G26" s="53" t="s">
        <v>36</v>
      </c>
      <c r="H26" s="53" t="s">
        <v>160</v>
      </c>
      <c r="I26" s="53" t="s">
        <v>159</v>
      </c>
      <c r="J26" s="53" t="s">
        <v>38</v>
      </c>
      <c r="K26" s="53" t="s">
        <v>161</v>
      </c>
      <c r="L26" s="53">
        <v>1</v>
      </c>
      <c r="N26" s="53">
        <v>4</v>
      </c>
      <c r="O26" s="53">
        <v>0.6</v>
      </c>
      <c r="P26" s="53">
        <v>0.6</v>
      </c>
      <c r="Q26" s="75">
        <f t="shared" si="0"/>
        <v>0.6</v>
      </c>
      <c r="R26" s="53">
        <v>14.7</v>
      </c>
      <c r="S26" s="53">
        <v>108</v>
      </c>
      <c r="T26" s="16">
        <f t="shared" si="1"/>
        <v>33</v>
      </c>
      <c r="U26" s="53">
        <v>407</v>
      </c>
      <c r="V26" s="16">
        <f t="shared" si="2"/>
        <v>3357.75</v>
      </c>
      <c r="W26" s="53">
        <v>1</v>
      </c>
      <c r="X26" s="53" t="s">
        <v>46</v>
      </c>
      <c r="Y26" s="53" t="s">
        <v>102</v>
      </c>
      <c r="Z26" s="53" t="s">
        <v>78</v>
      </c>
      <c r="AA26" s="53" t="s">
        <v>84</v>
      </c>
      <c r="AB26" s="53" t="s">
        <v>237</v>
      </c>
    </row>
    <row r="27" spans="1:48" x14ac:dyDescent="0.15">
      <c r="A27" s="53" t="s">
        <v>34</v>
      </c>
      <c r="B27" s="53" t="s">
        <v>233</v>
      </c>
      <c r="C27" s="53">
        <v>2019</v>
      </c>
      <c r="D27" s="159" t="s">
        <v>298</v>
      </c>
      <c r="E27" s="53" t="s">
        <v>211</v>
      </c>
      <c r="F27" s="53" t="s">
        <v>315</v>
      </c>
      <c r="G27" s="53" t="s">
        <v>36</v>
      </c>
      <c r="H27" s="53" t="s">
        <v>160</v>
      </c>
      <c r="I27" s="53" t="s">
        <v>159</v>
      </c>
      <c r="J27" s="53" t="s">
        <v>38</v>
      </c>
      <c r="K27" s="53" t="s">
        <v>161</v>
      </c>
      <c r="L27" s="53">
        <v>2</v>
      </c>
      <c r="N27" s="53">
        <v>4</v>
      </c>
      <c r="O27" s="53">
        <v>0.55000000000000004</v>
      </c>
      <c r="P27" s="53">
        <v>0.6</v>
      </c>
      <c r="Q27" s="75">
        <f t="shared" si="0"/>
        <v>0.57499999999999996</v>
      </c>
      <c r="R27" s="53">
        <v>15.3</v>
      </c>
      <c r="S27" s="53">
        <v>106</v>
      </c>
      <c r="T27" s="16">
        <f t="shared" si="1"/>
        <v>33</v>
      </c>
      <c r="U27" s="53">
        <v>407</v>
      </c>
      <c r="V27" s="16">
        <f t="shared" si="2"/>
        <v>3357.75</v>
      </c>
      <c r="W27" s="53">
        <v>1</v>
      </c>
      <c r="X27" s="53" t="s">
        <v>46</v>
      </c>
      <c r="Y27" s="53" t="s">
        <v>102</v>
      </c>
      <c r="Z27" s="53" t="s">
        <v>78</v>
      </c>
      <c r="AA27" s="53" t="s">
        <v>84</v>
      </c>
      <c r="AB27" s="53" t="s">
        <v>237</v>
      </c>
    </row>
    <row r="28" spans="1:48" x14ac:dyDescent="0.15">
      <c r="A28" s="53" t="s">
        <v>34</v>
      </c>
      <c r="B28" s="53" t="s">
        <v>233</v>
      </c>
      <c r="C28" s="53">
        <v>2019</v>
      </c>
      <c r="D28" s="159" t="s">
        <v>298</v>
      </c>
      <c r="E28" s="53" t="s">
        <v>211</v>
      </c>
      <c r="F28" s="53" t="s">
        <v>315</v>
      </c>
      <c r="G28" s="53" t="s">
        <v>36</v>
      </c>
      <c r="H28" s="53" t="s">
        <v>160</v>
      </c>
      <c r="I28" s="53" t="s">
        <v>159</v>
      </c>
      <c r="J28" s="53" t="s">
        <v>38</v>
      </c>
      <c r="K28" s="53" t="s">
        <v>161</v>
      </c>
      <c r="L28" s="53">
        <v>3</v>
      </c>
      <c r="N28" s="53">
        <v>4</v>
      </c>
      <c r="O28" s="53">
        <v>0.6</v>
      </c>
      <c r="P28" s="53">
        <v>0.6</v>
      </c>
      <c r="Q28" s="75">
        <f>IF(OR(O28="",P28=""),"",AVERAGE(O28,P28))</f>
        <v>0.6</v>
      </c>
      <c r="R28" s="53">
        <v>15.1</v>
      </c>
      <c r="S28" s="53">
        <v>100</v>
      </c>
      <c r="T28" s="16">
        <f t="shared" si="1"/>
        <v>33</v>
      </c>
      <c r="U28" s="53">
        <v>407</v>
      </c>
      <c r="V28" s="16">
        <f t="shared" si="2"/>
        <v>3357.75</v>
      </c>
      <c r="W28" s="53">
        <v>1</v>
      </c>
      <c r="X28" s="53" t="s">
        <v>46</v>
      </c>
      <c r="Y28" s="53" t="s">
        <v>102</v>
      </c>
      <c r="Z28" s="53" t="s">
        <v>78</v>
      </c>
      <c r="AA28" s="53" t="s">
        <v>84</v>
      </c>
      <c r="AB28" s="53" t="s">
        <v>237</v>
      </c>
    </row>
    <row r="29" spans="1:48" x14ac:dyDescent="0.15">
      <c r="A29" s="53" t="s">
        <v>34</v>
      </c>
      <c r="B29" s="53" t="s">
        <v>233</v>
      </c>
      <c r="C29" s="53">
        <v>2019</v>
      </c>
      <c r="D29" s="159" t="s">
        <v>298</v>
      </c>
      <c r="E29" s="53" t="s">
        <v>313</v>
      </c>
      <c r="F29" s="53" t="s">
        <v>314</v>
      </c>
      <c r="G29" s="53" t="s">
        <v>36</v>
      </c>
      <c r="H29" s="53" t="s">
        <v>164</v>
      </c>
      <c r="I29" s="53" t="s">
        <v>159</v>
      </c>
      <c r="J29" s="53" t="s">
        <v>38</v>
      </c>
      <c r="K29" s="53" t="s">
        <v>161</v>
      </c>
      <c r="L29" s="53">
        <v>1</v>
      </c>
      <c r="N29" s="53">
        <v>1</v>
      </c>
      <c r="O29" s="53">
        <v>0.85</v>
      </c>
      <c r="P29" s="53">
        <v>0.8</v>
      </c>
      <c r="Q29" s="75">
        <f t="shared" si="0"/>
        <v>0.82499999999999996</v>
      </c>
      <c r="R29" s="53">
        <v>14.1</v>
      </c>
      <c r="S29" s="53">
        <v>120</v>
      </c>
      <c r="T29" s="16">
        <f t="shared" si="1"/>
        <v>30</v>
      </c>
      <c r="U29" s="53">
        <v>95</v>
      </c>
      <c r="V29" s="16">
        <f t="shared" si="2"/>
        <v>2850</v>
      </c>
      <c r="W29" s="53">
        <v>5</v>
      </c>
      <c r="X29" s="53" t="s">
        <v>46</v>
      </c>
      <c r="Y29" s="53" t="s">
        <v>78</v>
      </c>
      <c r="Z29" s="53" t="s">
        <v>69</v>
      </c>
      <c r="AA29" s="53" t="s">
        <v>102</v>
      </c>
      <c r="AB29" s="53" t="s">
        <v>237</v>
      </c>
    </row>
    <row r="30" spans="1:48" x14ac:dyDescent="0.15">
      <c r="A30" s="53" t="s">
        <v>34</v>
      </c>
      <c r="B30" s="53" t="s">
        <v>233</v>
      </c>
      <c r="C30" s="53">
        <v>2019</v>
      </c>
      <c r="D30" s="159" t="s">
        <v>298</v>
      </c>
      <c r="E30" s="53" t="s">
        <v>313</v>
      </c>
      <c r="F30" s="53" t="s">
        <v>314</v>
      </c>
      <c r="G30" s="53" t="s">
        <v>36</v>
      </c>
      <c r="H30" s="53" t="s">
        <v>164</v>
      </c>
      <c r="I30" s="53" t="s">
        <v>159</v>
      </c>
      <c r="J30" s="53" t="s">
        <v>38</v>
      </c>
      <c r="K30" s="53" t="s">
        <v>161</v>
      </c>
      <c r="L30" s="53">
        <v>2</v>
      </c>
      <c r="N30" s="53">
        <v>1</v>
      </c>
      <c r="O30" s="53">
        <v>0.95</v>
      </c>
      <c r="P30" s="53">
        <v>1</v>
      </c>
      <c r="Q30" s="75">
        <f t="shared" si="0"/>
        <v>0.97499999999999998</v>
      </c>
      <c r="R30" s="53">
        <v>9.9</v>
      </c>
      <c r="S30" s="53">
        <v>120</v>
      </c>
      <c r="T30" s="16">
        <f t="shared" si="1"/>
        <v>30</v>
      </c>
      <c r="U30" s="53">
        <v>95</v>
      </c>
      <c r="V30" s="16">
        <f t="shared" si="2"/>
        <v>2850</v>
      </c>
      <c r="W30" s="53">
        <v>5</v>
      </c>
      <c r="X30" s="53" t="s">
        <v>46</v>
      </c>
      <c r="Y30" s="53" t="s">
        <v>78</v>
      </c>
      <c r="Z30" s="53" t="s">
        <v>69</v>
      </c>
      <c r="AA30" s="53" t="s">
        <v>102</v>
      </c>
      <c r="AB30" s="53" t="s">
        <v>237</v>
      </c>
    </row>
    <row r="31" spans="1:48" x14ac:dyDescent="0.15">
      <c r="A31" s="53" t="s">
        <v>34</v>
      </c>
      <c r="B31" s="53" t="s">
        <v>233</v>
      </c>
      <c r="C31" s="53">
        <v>2019</v>
      </c>
      <c r="D31" s="159" t="s">
        <v>298</v>
      </c>
      <c r="E31" s="53" t="s">
        <v>313</v>
      </c>
      <c r="F31" s="53" t="s">
        <v>314</v>
      </c>
      <c r="G31" s="53" t="s">
        <v>36</v>
      </c>
      <c r="H31" s="53" t="s">
        <v>164</v>
      </c>
      <c r="I31" s="53" t="s">
        <v>159</v>
      </c>
      <c r="J31" s="53" t="s">
        <v>38</v>
      </c>
      <c r="K31" s="53" t="s">
        <v>161</v>
      </c>
      <c r="L31" s="53">
        <v>3</v>
      </c>
      <c r="N31" s="53">
        <v>1</v>
      </c>
      <c r="O31" s="53">
        <v>0.5</v>
      </c>
      <c r="P31" s="53">
        <v>0.55000000000000004</v>
      </c>
      <c r="Q31" s="75">
        <f t="shared" si="0"/>
        <v>0.52500000000000002</v>
      </c>
      <c r="R31" s="53">
        <v>12.6</v>
      </c>
      <c r="S31" s="53">
        <v>126</v>
      </c>
      <c r="T31" s="16">
        <f t="shared" si="1"/>
        <v>30</v>
      </c>
      <c r="U31" s="53">
        <v>95</v>
      </c>
      <c r="V31" s="16">
        <f t="shared" si="2"/>
        <v>2850</v>
      </c>
      <c r="W31" s="53">
        <v>5</v>
      </c>
      <c r="X31" s="53" t="s">
        <v>46</v>
      </c>
      <c r="Y31" s="53" t="s">
        <v>78</v>
      </c>
      <c r="Z31" s="53" t="s">
        <v>69</v>
      </c>
      <c r="AA31" s="53" t="s">
        <v>102</v>
      </c>
      <c r="AB31" s="53" t="s">
        <v>237</v>
      </c>
    </row>
    <row r="32" spans="1:48" x14ac:dyDescent="0.15">
      <c r="A32" s="53" t="s">
        <v>34</v>
      </c>
      <c r="B32" s="53" t="s">
        <v>233</v>
      </c>
      <c r="C32" s="53">
        <v>2019</v>
      </c>
      <c r="D32" s="159" t="s">
        <v>298</v>
      </c>
      <c r="E32" s="53" t="s">
        <v>313</v>
      </c>
      <c r="F32" s="53" t="s">
        <v>314</v>
      </c>
      <c r="G32" s="53" t="s">
        <v>36</v>
      </c>
      <c r="H32" s="53" t="s">
        <v>164</v>
      </c>
      <c r="I32" s="53" t="s">
        <v>159</v>
      </c>
      <c r="J32" s="53" t="s">
        <v>38</v>
      </c>
      <c r="K32" s="53" t="s">
        <v>161</v>
      </c>
      <c r="L32" s="53">
        <v>1</v>
      </c>
      <c r="N32" s="53">
        <v>8</v>
      </c>
      <c r="O32" s="53">
        <v>0.45</v>
      </c>
      <c r="P32" s="53">
        <v>0.55000000000000004</v>
      </c>
      <c r="Q32" s="75">
        <f t="shared" si="0"/>
        <v>0.5</v>
      </c>
      <c r="R32" s="53">
        <v>12.3</v>
      </c>
      <c r="S32" s="53">
        <v>90</v>
      </c>
      <c r="T32" s="16">
        <f t="shared" si="1"/>
        <v>36</v>
      </c>
      <c r="U32" s="53">
        <v>538</v>
      </c>
      <c r="V32" s="16">
        <f t="shared" si="2"/>
        <v>2421</v>
      </c>
      <c r="W32" s="53">
        <v>5</v>
      </c>
      <c r="X32" s="53" t="s">
        <v>46</v>
      </c>
      <c r="Y32" s="53" t="s">
        <v>78</v>
      </c>
      <c r="Z32" s="53" t="s">
        <v>69</v>
      </c>
      <c r="AA32" s="53" t="s">
        <v>102</v>
      </c>
      <c r="AB32" s="53" t="s">
        <v>237</v>
      </c>
    </row>
    <row r="33" spans="1:28" x14ac:dyDescent="0.15">
      <c r="A33" s="53" t="s">
        <v>34</v>
      </c>
      <c r="B33" s="53" t="s">
        <v>233</v>
      </c>
      <c r="C33" s="53">
        <v>2019</v>
      </c>
      <c r="D33" s="159" t="s">
        <v>298</v>
      </c>
      <c r="E33" s="53" t="s">
        <v>313</v>
      </c>
      <c r="F33" s="53" t="s">
        <v>314</v>
      </c>
      <c r="G33" s="53" t="s">
        <v>36</v>
      </c>
      <c r="H33" s="53" t="s">
        <v>164</v>
      </c>
      <c r="I33" s="53" t="s">
        <v>159</v>
      </c>
      <c r="J33" s="53" t="s">
        <v>38</v>
      </c>
      <c r="K33" s="53" t="s">
        <v>161</v>
      </c>
      <c r="L33" s="53">
        <v>2</v>
      </c>
      <c r="N33" s="53">
        <v>8</v>
      </c>
      <c r="O33" s="53">
        <v>0.45</v>
      </c>
      <c r="P33" s="53">
        <v>0.45</v>
      </c>
      <c r="Q33" s="75">
        <f t="shared" si="0"/>
        <v>0.45</v>
      </c>
      <c r="R33" s="53">
        <v>14.2</v>
      </c>
      <c r="S33" s="53">
        <v>87</v>
      </c>
      <c r="T33" s="16">
        <f t="shared" si="1"/>
        <v>36</v>
      </c>
      <c r="U33" s="53">
        <v>538</v>
      </c>
      <c r="V33" s="16">
        <f t="shared" si="2"/>
        <v>2421</v>
      </c>
      <c r="W33" s="53">
        <v>5</v>
      </c>
      <c r="X33" s="53" t="s">
        <v>46</v>
      </c>
      <c r="Y33" s="53" t="s">
        <v>78</v>
      </c>
      <c r="Z33" s="53" t="s">
        <v>69</v>
      </c>
      <c r="AA33" s="53" t="s">
        <v>102</v>
      </c>
      <c r="AB33" s="53" t="s">
        <v>237</v>
      </c>
    </row>
    <row r="34" spans="1:28" x14ac:dyDescent="0.15">
      <c r="A34" s="53" t="s">
        <v>34</v>
      </c>
      <c r="B34" s="53" t="s">
        <v>233</v>
      </c>
      <c r="C34" s="53">
        <v>2019</v>
      </c>
      <c r="D34" s="159" t="s">
        <v>298</v>
      </c>
      <c r="E34" s="53" t="s">
        <v>313</v>
      </c>
      <c r="F34" s="53" t="s">
        <v>314</v>
      </c>
      <c r="G34" s="53" t="s">
        <v>36</v>
      </c>
      <c r="H34" s="53" t="s">
        <v>164</v>
      </c>
      <c r="I34" s="53" t="s">
        <v>159</v>
      </c>
      <c r="J34" s="53" t="s">
        <v>38</v>
      </c>
      <c r="K34" s="53" t="s">
        <v>161</v>
      </c>
      <c r="L34" s="53">
        <v>3</v>
      </c>
      <c r="N34" s="53">
        <v>8</v>
      </c>
      <c r="O34" s="53">
        <v>2</v>
      </c>
      <c r="P34" s="53">
        <v>0.2</v>
      </c>
      <c r="Q34" s="75">
        <f>IF(OR(O34="",P34=""),"",AVERAGE(O34,P34))</f>
        <v>1.1000000000000001</v>
      </c>
      <c r="R34" s="53">
        <v>14.1</v>
      </c>
      <c r="S34" s="53">
        <v>85</v>
      </c>
      <c r="T34" s="16">
        <f t="shared" si="1"/>
        <v>36</v>
      </c>
      <c r="U34" s="53">
        <v>538</v>
      </c>
      <c r="V34" s="16">
        <f t="shared" si="2"/>
        <v>2421</v>
      </c>
      <c r="W34" s="53">
        <v>5</v>
      </c>
      <c r="X34" s="53" t="s">
        <v>46</v>
      </c>
      <c r="Y34" s="53" t="s">
        <v>78</v>
      </c>
      <c r="Z34" s="53" t="s">
        <v>69</v>
      </c>
      <c r="AA34" s="53" t="s">
        <v>102</v>
      </c>
      <c r="AB34" s="53" t="s">
        <v>237</v>
      </c>
    </row>
    <row r="35" spans="1:28" x14ac:dyDescent="0.15">
      <c r="A35" s="53" t="s">
        <v>34</v>
      </c>
      <c r="B35" s="53" t="s">
        <v>233</v>
      </c>
      <c r="C35" s="53">
        <v>2019</v>
      </c>
      <c r="D35" s="159" t="s">
        <v>298</v>
      </c>
      <c r="E35" s="53" t="s">
        <v>313</v>
      </c>
      <c r="F35" s="53" t="s">
        <v>314</v>
      </c>
      <c r="G35" s="53" t="s">
        <v>36</v>
      </c>
      <c r="H35" s="53" t="s">
        <v>160</v>
      </c>
      <c r="I35" s="53" t="s">
        <v>159</v>
      </c>
      <c r="J35" s="53" t="s">
        <v>38</v>
      </c>
      <c r="K35" s="53" t="s">
        <v>161</v>
      </c>
      <c r="L35" s="53">
        <v>1</v>
      </c>
      <c r="N35" s="53">
        <v>1</v>
      </c>
      <c r="O35" s="53">
        <v>0.2</v>
      </c>
      <c r="P35" s="53">
        <v>0.5</v>
      </c>
      <c r="Q35" s="75">
        <f t="shared" ref="Q35:Q36" si="3">IF(OR(O35="",P35=""),"",AVERAGE(O35,P35))</f>
        <v>0.35</v>
      </c>
      <c r="R35" s="53">
        <v>16.3</v>
      </c>
      <c r="S35" s="53">
        <v>116</v>
      </c>
      <c r="T35" s="16">
        <f t="shared" si="1"/>
        <v>30</v>
      </c>
      <c r="U35" s="53">
        <v>149</v>
      </c>
      <c r="V35" s="16">
        <f t="shared" si="2"/>
        <v>4470</v>
      </c>
      <c r="W35" s="53">
        <v>2</v>
      </c>
      <c r="X35" s="53" t="s">
        <v>46</v>
      </c>
      <c r="Y35" s="53" t="s">
        <v>78</v>
      </c>
      <c r="Z35" s="53" t="s">
        <v>69</v>
      </c>
      <c r="AA35" s="53" t="s">
        <v>102</v>
      </c>
      <c r="AB35" s="53" t="s">
        <v>237</v>
      </c>
    </row>
    <row r="36" spans="1:28" x14ac:dyDescent="0.15">
      <c r="A36" s="53" t="s">
        <v>34</v>
      </c>
      <c r="B36" s="53" t="s">
        <v>233</v>
      </c>
      <c r="C36" s="53">
        <v>2019</v>
      </c>
      <c r="D36" s="159" t="s">
        <v>298</v>
      </c>
      <c r="E36" s="53" t="s">
        <v>313</v>
      </c>
      <c r="F36" s="53" t="s">
        <v>314</v>
      </c>
      <c r="G36" s="53" t="s">
        <v>36</v>
      </c>
      <c r="H36" s="53" t="s">
        <v>160</v>
      </c>
      <c r="I36" s="53" t="s">
        <v>159</v>
      </c>
      <c r="J36" s="53" t="s">
        <v>38</v>
      </c>
      <c r="K36" s="53" t="s">
        <v>161</v>
      </c>
      <c r="L36" s="53">
        <v>2</v>
      </c>
      <c r="N36" s="53">
        <v>1</v>
      </c>
      <c r="O36" s="53">
        <v>0.45</v>
      </c>
      <c r="P36" s="53">
        <v>0.5</v>
      </c>
      <c r="Q36" s="75">
        <f t="shared" si="3"/>
        <v>0.47499999999999998</v>
      </c>
      <c r="R36" s="53">
        <v>15.6</v>
      </c>
      <c r="S36" s="53">
        <v>112</v>
      </c>
      <c r="T36" s="16">
        <f t="shared" si="1"/>
        <v>33</v>
      </c>
      <c r="U36" s="53">
        <v>149</v>
      </c>
      <c r="V36" s="16">
        <f t="shared" si="2"/>
        <v>4917</v>
      </c>
      <c r="W36" s="53">
        <v>2</v>
      </c>
      <c r="X36" s="53" t="s">
        <v>46</v>
      </c>
      <c r="Y36" s="53" t="s">
        <v>78</v>
      </c>
      <c r="Z36" s="53" t="s">
        <v>69</v>
      </c>
      <c r="AA36" s="53" t="s">
        <v>102</v>
      </c>
      <c r="AB36" s="53" t="s">
        <v>237</v>
      </c>
    </row>
    <row r="37" spans="1:28" x14ac:dyDescent="0.15">
      <c r="A37" s="53" t="s">
        <v>34</v>
      </c>
      <c r="B37" s="53" t="s">
        <v>233</v>
      </c>
      <c r="C37" s="53">
        <v>2019</v>
      </c>
      <c r="D37" s="159" t="s">
        <v>298</v>
      </c>
      <c r="E37" s="53" t="s">
        <v>313</v>
      </c>
      <c r="F37" s="53" t="s">
        <v>314</v>
      </c>
      <c r="G37" s="53" t="s">
        <v>36</v>
      </c>
      <c r="H37" s="53" t="s">
        <v>160</v>
      </c>
      <c r="I37" s="53" t="s">
        <v>159</v>
      </c>
      <c r="J37" s="53" t="s">
        <v>38</v>
      </c>
      <c r="K37" s="53" t="s">
        <v>161</v>
      </c>
      <c r="L37" s="53">
        <v>3</v>
      </c>
      <c r="N37" s="53">
        <v>1</v>
      </c>
      <c r="O37" s="53">
        <v>0.2</v>
      </c>
      <c r="P37" s="53">
        <v>0.5</v>
      </c>
      <c r="Q37" s="75">
        <f>IF(OR(O37="",P37=""),"",AVERAGE(O37,P37))</f>
        <v>0.35</v>
      </c>
      <c r="R37" s="53">
        <v>15.5</v>
      </c>
      <c r="S37" s="53">
        <v>114</v>
      </c>
      <c r="T37" s="16">
        <f t="shared" si="1"/>
        <v>30</v>
      </c>
      <c r="U37" s="53">
        <v>149</v>
      </c>
      <c r="V37" s="16">
        <f t="shared" si="2"/>
        <v>4470</v>
      </c>
      <c r="W37" s="53">
        <v>2</v>
      </c>
      <c r="X37" s="53" t="s">
        <v>46</v>
      </c>
      <c r="Y37" s="53" t="s">
        <v>78</v>
      </c>
      <c r="Z37" s="53" t="s">
        <v>69</v>
      </c>
      <c r="AA37" s="53" t="s">
        <v>102</v>
      </c>
      <c r="AB37" s="53" t="s">
        <v>237</v>
      </c>
    </row>
    <row r="38" spans="1:28" x14ac:dyDescent="0.15">
      <c r="A38" s="53" t="s">
        <v>34</v>
      </c>
      <c r="B38" s="53" t="s">
        <v>233</v>
      </c>
      <c r="C38" s="53">
        <v>2019</v>
      </c>
      <c r="D38" s="159" t="s">
        <v>298</v>
      </c>
      <c r="E38" s="53" t="s">
        <v>313</v>
      </c>
      <c r="F38" s="53" t="s">
        <v>314</v>
      </c>
      <c r="G38" s="53" t="s">
        <v>36</v>
      </c>
      <c r="H38" s="53" t="s">
        <v>160</v>
      </c>
      <c r="I38" s="53" t="s">
        <v>159</v>
      </c>
      <c r="J38" s="53" t="s">
        <v>38</v>
      </c>
      <c r="K38" s="53" t="s">
        <v>161</v>
      </c>
      <c r="L38" s="53">
        <v>1</v>
      </c>
      <c r="N38" s="53">
        <v>4</v>
      </c>
      <c r="O38" s="53">
        <v>1</v>
      </c>
      <c r="P38" s="53">
        <v>0.2</v>
      </c>
      <c r="Q38" s="75">
        <f t="shared" ref="Q38:Q39" si="4">IF(OR(O38="",P38=""),"",AVERAGE(O38,P38))</f>
        <v>0.6</v>
      </c>
      <c r="R38" s="53">
        <v>15.3</v>
      </c>
      <c r="S38" s="53">
        <v>100</v>
      </c>
      <c r="T38" s="16">
        <f t="shared" si="1"/>
        <v>33</v>
      </c>
      <c r="U38" s="53">
        <v>538</v>
      </c>
      <c r="V38" s="16">
        <f t="shared" si="2"/>
        <v>4438.5</v>
      </c>
      <c r="W38" s="53">
        <v>2</v>
      </c>
      <c r="X38" s="53" t="s">
        <v>46</v>
      </c>
      <c r="Y38" s="53" t="s">
        <v>78</v>
      </c>
      <c r="Z38" s="53" t="s">
        <v>69</v>
      </c>
      <c r="AA38" s="53" t="s">
        <v>102</v>
      </c>
      <c r="AB38" s="53" t="s">
        <v>237</v>
      </c>
    </row>
    <row r="39" spans="1:28" x14ac:dyDescent="0.15">
      <c r="A39" s="53" t="s">
        <v>34</v>
      </c>
      <c r="B39" s="53" t="s">
        <v>233</v>
      </c>
      <c r="C39" s="53">
        <v>2019</v>
      </c>
      <c r="D39" s="159" t="s">
        <v>298</v>
      </c>
      <c r="E39" s="53" t="s">
        <v>313</v>
      </c>
      <c r="F39" s="53" t="s">
        <v>314</v>
      </c>
      <c r="G39" s="53" t="s">
        <v>36</v>
      </c>
      <c r="H39" s="53" t="s">
        <v>160</v>
      </c>
      <c r="I39" s="53" t="s">
        <v>159</v>
      </c>
      <c r="J39" s="53" t="s">
        <v>38</v>
      </c>
      <c r="K39" s="53" t="s">
        <v>161</v>
      </c>
      <c r="L39" s="53">
        <v>2</v>
      </c>
      <c r="N39" s="53">
        <v>4</v>
      </c>
      <c r="O39" s="53">
        <v>0.6</v>
      </c>
      <c r="P39" s="53">
        <v>0.7</v>
      </c>
      <c r="Q39" s="75">
        <f t="shared" si="4"/>
        <v>0.64999999999999991</v>
      </c>
      <c r="R39" s="53">
        <v>13.9</v>
      </c>
      <c r="S39" s="53">
        <v>97</v>
      </c>
      <c r="T39" s="16">
        <f t="shared" si="1"/>
        <v>36</v>
      </c>
      <c r="U39" s="53">
        <v>538</v>
      </c>
      <c r="V39" s="16">
        <f t="shared" si="2"/>
        <v>4842</v>
      </c>
      <c r="W39" s="53">
        <v>2</v>
      </c>
      <c r="X39" s="53" t="s">
        <v>46</v>
      </c>
      <c r="Y39" s="53" t="s">
        <v>78</v>
      </c>
      <c r="Z39" s="53" t="s">
        <v>69</v>
      </c>
      <c r="AA39" s="53" t="s">
        <v>102</v>
      </c>
      <c r="AB39" s="53" t="s">
        <v>237</v>
      </c>
    </row>
    <row r="40" spans="1:28" x14ac:dyDescent="0.15">
      <c r="A40" s="53" t="s">
        <v>34</v>
      </c>
      <c r="B40" s="53" t="s">
        <v>233</v>
      </c>
      <c r="C40" s="53">
        <v>2019</v>
      </c>
      <c r="D40" s="159" t="s">
        <v>298</v>
      </c>
      <c r="E40" s="53" t="s">
        <v>313</v>
      </c>
      <c r="F40" s="53" t="s">
        <v>314</v>
      </c>
      <c r="G40" s="53" t="s">
        <v>36</v>
      </c>
      <c r="H40" s="53" t="s">
        <v>160</v>
      </c>
      <c r="I40" s="53" t="s">
        <v>159</v>
      </c>
      <c r="J40" s="53" t="s">
        <v>38</v>
      </c>
      <c r="K40" s="53" t="s">
        <v>161</v>
      </c>
      <c r="L40" s="53">
        <v>3</v>
      </c>
      <c r="N40" s="53">
        <v>4</v>
      </c>
      <c r="O40" s="53">
        <v>0.55000000000000004</v>
      </c>
      <c r="P40" s="53">
        <v>0.7</v>
      </c>
      <c r="Q40" s="75">
        <f>IF(OR(O40="",P40=""),"",AVERAGE(O40,P40))</f>
        <v>0.625</v>
      </c>
      <c r="R40" s="53">
        <v>14.8</v>
      </c>
      <c r="S40" s="53">
        <v>99</v>
      </c>
      <c r="T40" s="16">
        <f t="shared" si="1"/>
        <v>33</v>
      </c>
      <c r="U40" s="53">
        <v>538</v>
      </c>
      <c r="V40" s="16">
        <f t="shared" si="2"/>
        <v>4438.5</v>
      </c>
      <c r="W40" s="53">
        <v>2</v>
      </c>
      <c r="X40" s="53" t="s">
        <v>46</v>
      </c>
      <c r="Y40" s="53" t="s">
        <v>78</v>
      </c>
      <c r="Z40" s="53" t="s">
        <v>69</v>
      </c>
      <c r="AA40" s="53" t="s">
        <v>102</v>
      </c>
      <c r="AB40" s="53" t="s">
        <v>237</v>
      </c>
    </row>
    <row r="41" spans="1:28" x14ac:dyDescent="0.15">
      <c r="A41" s="53" t="s">
        <v>34</v>
      </c>
      <c r="B41" s="53" t="s">
        <v>233</v>
      </c>
      <c r="C41" s="53">
        <v>2019</v>
      </c>
      <c r="D41" s="159" t="s">
        <v>298</v>
      </c>
      <c r="E41" s="53" t="s">
        <v>304</v>
      </c>
      <c r="F41" s="53" t="s">
        <v>305</v>
      </c>
      <c r="G41" s="53" t="s">
        <v>36</v>
      </c>
      <c r="H41" s="53" t="s">
        <v>164</v>
      </c>
      <c r="I41" s="53" t="s">
        <v>159</v>
      </c>
      <c r="J41" s="53" t="s">
        <v>38</v>
      </c>
      <c r="K41" s="53" t="s">
        <v>161</v>
      </c>
      <c r="L41" s="53">
        <v>1</v>
      </c>
      <c r="N41" s="53">
        <v>1</v>
      </c>
      <c r="O41" s="53">
        <v>0.2</v>
      </c>
      <c r="P41" s="53">
        <v>0.2</v>
      </c>
      <c r="Q41" s="75">
        <f t="shared" si="0"/>
        <v>0.2</v>
      </c>
      <c r="R41" s="53">
        <v>12.8</v>
      </c>
      <c r="S41" s="53">
        <v>146</v>
      </c>
      <c r="T41" s="16">
        <f t="shared" si="1"/>
        <v>30</v>
      </c>
      <c r="U41" s="53">
        <v>105</v>
      </c>
      <c r="V41" s="16">
        <f t="shared" si="2"/>
        <v>3150</v>
      </c>
      <c r="W41" s="53">
        <v>2</v>
      </c>
      <c r="X41" s="53" t="s">
        <v>39</v>
      </c>
      <c r="Y41" s="53" t="s">
        <v>50</v>
      </c>
      <c r="Z41" s="53" t="s">
        <v>78</v>
      </c>
      <c r="AA41" s="53" t="s">
        <v>102</v>
      </c>
      <c r="AB41" s="53" t="s">
        <v>237</v>
      </c>
    </row>
    <row r="42" spans="1:28" x14ac:dyDescent="0.15">
      <c r="A42" s="53" t="s">
        <v>34</v>
      </c>
      <c r="B42" s="53" t="s">
        <v>233</v>
      </c>
      <c r="C42" s="53">
        <v>2019</v>
      </c>
      <c r="D42" s="159" t="s">
        <v>298</v>
      </c>
      <c r="E42" s="53" t="s">
        <v>304</v>
      </c>
      <c r="F42" s="53" t="s">
        <v>305</v>
      </c>
      <c r="G42" s="53" t="s">
        <v>36</v>
      </c>
      <c r="H42" s="53" t="s">
        <v>164</v>
      </c>
      <c r="I42" s="53" t="s">
        <v>159</v>
      </c>
      <c r="J42" s="53" t="s">
        <v>38</v>
      </c>
      <c r="K42" s="53" t="s">
        <v>161</v>
      </c>
      <c r="L42" s="53">
        <v>2</v>
      </c>
      <c r="N42" s="53">
        <v>1</v>
      </c>
      <c r="O42" s="53">
        <v>0.7</v>
      </c>
      <c r="P42" s="53">
        <v>0.65</v>
      </c>
      <c r="Q42" s="75">
        <f t="shared" si="0"/>
        <v>0.67500000000000004</v>
      </c>
      <c r="R42" s="53">
        <v>15</v>
      </c>
      <c r="S42" s="53">
        <v>136</v>
      </c>
      <c r="T42" s="16">
        <f t="shared" si="1"/>
        <v>30</v>
      </c>
      <c r="U42" s="53">
        <v>105</v>
      </c>
      <c r="V42" s="16">
        <f t="shared" si="2"/>
        <v>3150</v>
      </c>
      <c r="W42" s="53">
        <v>2</v>
      </c>
      <c r="X42" s="53" t="s">
        <v>39</v>
      </c>
      <c r="Y42" s="53" t="s">
        <v>50</v>
      </c>
      <c r="Z42" s="53" t="s">
        <v>78</v>
      </c>
      <c r="AA42" s="53" t="s">
        <v>102</v>
      </c>
      <c r="AB42" s="53" t="s">
        <v>237</v>
      </c>
    </row>
    <row r="43" spans="1:28" x14ac:dyDescent="0.15">
      <c r="A43" s="53" t="s">
        <v>34</v>
      </c>
      <c r="B43" s="53" t="s">
        <v>233</v>
      </c>
      <c r="C43" s="53">
        <v>2019</v>
      </c>
      <c r="D43" s="159" t="s">
        <v>298</v>
      </c>
      <c r="E43" s="53" t="s">
        <v>304</v>
      </c>
      <c r="F43" s="53" t="s">
        <v>305</v>
      </c>
      <c r="G43" s="53" t="s">
        <v>36</v>
      </c>
      <c r="H43" s="53" t="s">
        <v>164</v>
      </c>
      <c r="I43" s="53" t="s">
        <v>159</v>
      </c>
      <c r="J43" s="53" t="s">
        <v>38</v>
      </c>
      <c r="K43" s="53" t="s">
        <v>161</v>
      </c>
      <c r="L43" s="53">
        <v>3</v>
      </c>
      <c r="N43" s="53">
        <v>1</v>
      </c>
      <c r="O43" s="53">
        <v>0.55000000000000004</v>
      </c>
      <c r="P43" s="53">
        <v>0.55000000000000004</v>
      </c>
      <c r="Q43" s="75">
        <f t="shared" si="0"/>
        <v>0.55000000000000004</v>
      </c>
      <c r="R43" s="53">
        <v>14</v>
      </c>
      <c r="S43" s="53">
        <v>132</v>
      </c>
      <c r="T43" s="16">
        <f t="shared" si="1"/>
        <v>30</v>
      </c>
      <c r="U43" s="53">
        <v>105</v>
      </c>
      <c r="V43" s="16">
        <f t="shared" si="2"/>
        <v>3150</v>
      </c>
      <c r="W43" s="53">
        <v>2</v>
      </c>
      <c r="X43" s="53" t="s">
        <v>39</v>
      </c>
      <c r="Y43" s="53" t="s">
        <v>50</v>
      </c>
      <c r="Z43" s="53" t="s">
        <v>78</v>
      </c>
      <c r="AA43" s="53" t="s">
        <v>102</v>
      </c>
      <c r="AB43" s="53" t="s">
        <v>237</v>
      </c>
    </row>
    <row r="44" spans="1:28" x14ac:dyDescent="0.15">
      <c r="A44" s="53" t="s">
        <v>34</v>
      </c>
      <c r="B44" s="53" t="s">
        <v>233</v>
      </c>
      <c r="C44" s="53">
        <v>2019</v>
      </c>
      <c r="D44" s="159" t="s">
        <v>298</v>
      </c>
      <c r="E44" s="53" t="s">
        <v>304</v>
      </c>
      <c r="F44" s="53" t="s">
        <v>305</v>
      </c>
      <c r="G44" s="53" t="s">
        <v>36</v>
      </c>
      <c r="H44" s="53" t="s">
        <v>160</v>
      </c>
      <c r="I44" s="53" t="s">
        <v>159</v>
      </c>
      <c r="J44" s="53" t="s">
        <v>38</v>
      </c>
      <c r="K44" s="53" t="s">
        <v>161</v>
      </c>
      <c r="L44" s="53">
        <v>1</v>
      </c>
      <c r="N44" s="53">
        <v>1</v>
      </c>
      <c r="O44" s="53">
        <v>0.2</v>
      </c>
      <c r="P44" s="53">
        <v>0.45</v>
      </c>
      <c r="Q44" s="75">
        <f t="shared" si="0"/>
        <v>0.32500000000000001</v>
      </c>
      <c r="R44" s="53">
        <v>15</v>
      </c>
      <c r="S44" s="53">
        <v>146</v>
      </c>
      <c r="T44" s="16">
        <f t="shared" si="1"/>
        <v>30</v>
      </c>
      <c r="U44" s="53">
        <v>105</v>
      </c>
      <c r="V44" s="16">
        <f t="shared" si="2"/>
        <v>3150</v>
      </c>
      <c r="W44" s="53">
        <v>2</v>
      </c>
      <c r="X44" s="53" t="s">
        <v>39</v>
      </c>
      <c r="Y44" s="53" t="s">
        <v>50</v>
      </c>
      <c r="Z44" s="53" t="s">
        <v>78</v>
      </c>
      <c r="AA44" s="53" t="s">
        <v>102</v>
      </c>
      <c r="AB44" s="53" t="s">
        <v>237</v>
      </c>
    </row>
    <row r="45" spans="1:28" x14ac:dyDescent="0.15">
      <c r="A45" s="53" t="s">
        <v>34</v>
      </c>
      <c r="B45" s="53" t="s">
        <v>233</v>
      </c>
      <c r="C45" s="53">
        <v>2019</v>
      </c>
      <c r="D45" s="159" t="s">
        <v>298</v>
      </c>
      <c r="E45" s="53" t="s">
        <v>304</v>
      </c>
      <c r="F45" s="53" t="s">
        <v>305</v>
      </c>
      <c r="G45" s="53" t="s">
        <v>36</v>
      </c>
      <c r="H45" s="53" t="s">
        <v>160</v>
      </c>
      <c r="I45" s="53" t="s">
        <v>159</v>
      </c>
      <c r="J45" s="53" t="s">
        <v>38</v>
      </c>
      <c r="K45" s="53" t="s">
        <v>161</v>
      </c>
      <c r="L45" s="53">
        <v>2</v>
      </c>
      <c r="N45" s="53">
        <v>1</v>
      </c>
      <c r="O45" s="53">
        <v>0.65</v>
      </c>
      <c r="P45" s="53">
        <v>0.45</v>
      </c>
      <c r="Q45" s="75">
        <f t="shared" si="0"/>
        <v>0.55000000000000004</v>
      </c>
      <c r="R45" s="53">
        <v>17.2</v>
      </c>
      <c r="S45" s="53">
        <v>138</v>
      </c>
      <c r="T45" s="16">
        <f t="shared" si="1"/>
        <v>30</v>
      </c>
      <c r="U45" s="53">
        <v>105</v>
      </c>
      <c r="V45" s="16">
        <f t="shared" si="2"/>
        <v>3150</v>
      </c>
      <c r="W45" s="53">
        <v>2</v>
      </c>
      <c r="X45" s="53" t="s">
        <v>39</v>
      </c>
      <c r="Y45" s="53" t="s">
        <v>50</v>
      </c>
      <c r="Z45" s="53" t="s">
        <v>78</v>
      </c>
      <c r="AA45" s="53" t="s">
        <v>102</v>
      </c>
      <c r="AB45" s="53" t="s">
        <v>237</v>
      </c>
    </row>
    <row r="46" spans="1:28" x14ac:dyDescent="0.15">
      <c r="A46" s="53" t="s">
        <v>34</v>
      </c>
      <c r="B46" s="53" t="s">
        <v>233</v>
      </c>
      <c r="C46" s="53">
        <v>2019</v>
      </c>
      <c r="D46" s="159" t="s">
        <v>298</v>
      </c>
      <c r="E46" s="53" t="s">
        <v>304</v>
      </c>
      <c r="F46" s="53" t="s">
        <v>305</v>
      </c>
      <c r="G46" s="53" t="s">
        <v>36</v>
      </c>
      <c r="H46" s="53" t="s">
        <v>160</v>
      </c>
      <c r="I46" s="53" t="s">
        <v>159</v>
      </c>
      <c r="J46" s="53" t="s">
        <v>38</v>
      </c>
      <c r="K46" s="53" t="s">
        <v>161</v>
      </c>
      <c r="L46" s="53">
        <v>3</v>
      </c>
      <c r="N46" s="53">
        <v>1</v>
      </c>
      <c r="O46" s="53">
        <v>0.2</v>
      </c>
      <c r="P46" s="53">
        <v>0.2</v>
      </c>
      <c r="Q46" s="75">
        <f t="shared" si="0"/>
        <v>0.2</v>
      </c>
      <c r="R46" s="53">
        <v>17.600000000000001</v>
      </c>
      <c r="S46" s="53">
        <v>148</v>
      </c>
      <c r="T46" s="16">
        <f t="shared" si="1"/>
        <v>30</v>
      </c>
      <c r="U46" s="53">
        <v>105</v>
      </c>
      <c r="V46" s="16">
        <f t="shared" si="2"/>
        <v>3150</v>
      </c>
      <c r="W46" s="53">
        <v>2</v>
      </c>
      <c r="X46" s="53" t="s">
        <v>39</v>
      </c>
      <c r="Y46" s="53" t="s">
        <v>50</v>
      </c>
      <c r="Z46" s="53" t="s">
        <v>78</v>
      </c>
      <c r="AA46" s="53" t="s">
        <v>102</v>
      </c>
      <c r="AB46" s="53" t="s">
        <v>237</v>
      </c>
    </row>
    <row r="47" spans="1:28" x14ac:dyDescent="0.15">
      <c r="A47" s="53" t="s">
        <v>34</v>
      </c>
      <c r="B47" s="53" t="s">
        <v>233</v>
      </c>
      <c r="C47" s="53">
        <v>2019</v>
      </c>
      <c r="D47" s="159" t="s">
        <v>298</v>
      </c>
      <c r="E47" s="53" t="s">
        <v>302</v>
      </c>
      <c r="F47" s="53" t="s">
        <v>303</v>
      </c>
      <c r="G47" s="53" t="s">
        <v>36</v>
      </c>
      <c r="H47" s="53" t="s">
        <v>164</v>
      </c>
      <c r="I47" s="53" t="s">
        <v>159</v>
      </c>
      <c r="J47" s="53" t="s">
        <v>38</v>
      </c>
      <c r="K47" s="53" t="s">
        <v>161</v>
      </c>
      <c r="L47" s="53">
        <v>1</v>
      </c>
      <c r="N47" s="53">
        <v>1</v>
      </c>
      <c r="O47" s="53">
        <v>0.8</v>
      </c>
      <c r="P47" s="53">
        <v>0.8</v>
      </c>
      <c r="Q47" s="75">
        <f t="shared" si="0"/>
        <v>0.8</v>
      </c>
      <c r="R47" s="53">
        <v>15.4</v>
      </c>
      <c r="S47" s="53">
        <v>130</v>
      </c>
      <c r="T47" s="16">
        <f t="shared" si="1"/>
        <v>30</v>
      </c>
      <c r="U47" s="53">
        <v>108</v>
      </c>
      <c r="V47" s="16">
        <f t="shared" si="2"/>
        <v>3240</v>
      </c>
      <c r="W47" s="53">
        <v>1</v>
      </c>
      <c r="X47" s="53" t="s">
        <v>46</v>
      </c>
      <c r="Y47" s="53" t="s">
        <v>78</v>
      </c>
      <c r="Z47" s="53" t="s">
        <v>102</v>
      </c>
      <c r="AA47" s="53" t="s">
        <v>90</v>
      </c>
      <c r="AB47" s="53" t="s">
        <v>237</v>
      </c>
    </row>
    <row r="48" spans="1:28" x14ac:dyDescent="0.15">
      <c r="A48" s="53" t="s">
        <v>34</v>
      </c>
      <c r="B48" s="53" t="s">
        <v>233</v>
      </c>
      <c r="C48" s="53">
        <v>2019</v>
      </c>
      <c r="D48" s="159" t="s">
        <v>298</v>
      </c>
      <c r="E48" s="53" t="s">
        <v>302</v>
      </c>
      <c r="F48" s="53" t="s">
        <v>303</v>
      </c>
      <c r="G48" s="53" t="s">
        <v>36</v>
      </c>
      <c r="H48" s="53" t="s">
        <v>164</v>
      </c>
      <c r="I48" s="53" t="s">
        <v>159</v>
      </c>
      <c r="J48" s="53" t="s">
        <v>38</v>
      </c>
      <c r="K48" s="53" t="s">
        <v>161</v>
      </c>
      <c r="L48" s="53">
        <v>2</v>
      </c>
      <c r="N48" s="53">
        <v>1</v>
      </c>
      <c r="O48" s="53">
        <v>0.7</v>
      </c>
      <c r="P48" s="53">
        <v>0.55000000000000004</v>
      </c>
      <c r="Q48" s="75">
        <f t="shared" si="0"/>
        <v>0.625</v>
      </c>
      <c r="R48" s="53">
        <v>14.9</v>
      </c>
      <c r="S48" s="53">
        <v>134</v>
      </c>
      <c r="T48" s="16">
        <f t="shared" si="1"/>
        <v>30</v>
      </c>
      <c r="U48" s="53">
        <v>108</v>
      </c>
      <c r="V48" s="16">
        <f t="shared" si="2"/>
        <v>3240</v>
      </c>
      <c r="W48" s="53">
        <v>1</v>
      </c>
      <c r="X48" s="53" t="s">
        <v>46</v>
      </c>
      <c r="Y48" s="53" t="s">
        <v>78</v>
      </c>
      <c r="Z48" s="53" t="s">
        <v>102</v>
      </c>
      <c r="AA48" s="53" t="s">
        <v>90</v>
      </c>
      <c r="AB48" s="53" t="s">
        <v>237</v>
      </c>
    </row>
    <row r="49" spans="1:28" x14ac:dyDescent="0.15">
      <c r="A49" s="53" t="s">
        <v>34</v>
      </c>
      <c r="B49" s="53" t="s">
        <v>233</v>
      </c>
      <c r="C49" s="53">
        <v>2019</v>
      </c>
      <c r="D49" s="159" t="s">
        <v>298</v>
      </c>
      <c r="E49" s="53" t="s">
        <v>302</v>
      </c>
      <c r="F49" s="53" t="s">
        <v>303</v>
      </c>
      <c r="G49" s="53" t="s">
        <v>36</v>
      </c>
      <c r="H49" s="53" t="s">
        <v>164</v>
      </c>
      <c r="I49" s="53" t="s">
        <v>159</v>
      </c>
      <c r="J49" s="53" t="s">
        <v>38</v>
      </c>
      <c r="K49" s="53" t="s">
        <v>161</v>
      </c>
      <c r="L49" s="53">
        <v>3</v>
      </c>
      <c r="N49" s="53">
        <v>1</v>
      </c>
      <c r="O49" s="53">
        <v>0.65</v>
      </c>
      <c r="P49" s="53">
        <v>0.75</v>
      </c>
      <c r="Q49" s="75">
        <f t="shared" si="0"/>
        <v>0.7</v>
      </c>
      <c r="R49" s="53">
        <v>13.8</v>
      </c>
      <c r="S49" s="53">
        <v>130</v>
      </c>
      <c r="T49" s="16">
        <f t="shared" si="1"/>
        <v>30</v>
      </c>
      <c r="U49" s="53">
        <v>108</v>
      </c>
      <c r="V49" s="16">
        <f t="shared" si="2"/>
        <v>3240</v>
      </c>
      <c r="W49" s="53">
        <v>1</v>
      </c>
      <c r="X49" s="53" t="s">
        <v>46</v>
      </c>
      <c r="Y49" s="53" t="s">
        <v>78</v>
      </c>
      <c r="Z49" s="53" t="s">
        <v>102</v>
      </c>
      <c r="AA49" s="53" t="s">
        <v>90</v>
      </c>
      <c r="AB49" s="53" t="s">
        <v>237</v>
      </c>
    </row>
    <row r="50" spans="1:28" x14ac:dyDescent="0.15">
      <c r="A50" s="53" t="s">
        <v>34</v>
      </c>
      <c r="B50" s="53" t="s">
        <v>233</v>
      </c>
      <c r="C50" s="53">
        <v>2019</v>
      </c>
      <c r="D50" s="159" t="s">
        <v>298</v>
      </c>
      <c r="E50" s="53" t="s">
        <v>302</v>
      </c>
      <c r="F50" s="53" t="s">
        <v>303</v>
      </c>
      <c r="G50" s="53" t="s">
        <v>36</v>
      </c>
      <c r="H50" s="53" t="s">
        <v>160</v>
      </c>
      <c r="I50" s="53" t="s">
        <v>159</v>
      </c>
      <c r="J50" s="53" t="s">
        <v>38</v>
      </c>
      <c r="K50" s="53" t="s">
        <v>161</v>
      </c>
      <c r="L50" s="53">
        <v>1</v>
      </c>
      <c r="N50" s="53">
        <v>1</v>
      </c>
      <c r="O50" s="53">
        <v>1.1499999999999999</v>
      </c>
      <c r="P50" s="53">
        <v>0.75</v>
      </c>
      <c r="Q50" s="75">
        <f t="shared" si="0"/>
        <v>0.95</v>
      </c>
      <c r="R50" s="53">
        <v>16.2</v>
      </c>
      <c r="S50" s="53">
        <v>126</v>
      </c>
      <c r="T50" s="16">
        <f t="shared" si="1"/>
        <v>30</v>
      </c>
      <c r="U50" s="53">
        <v>108</v>
      </c>
      <c r="V50" s="16">
        <f t="shared" si="2"/>
        <v>3240</v>
      </c>
      <c r="W50" s="53">
        <v>2</v>
      </c>
      <c r="X50" s="53" t="s">
        <v>46</v>
      </c>
      <c r="Y50" s="53" t="s">
        <v>78</v>
      </c>
      <c r="Z50" s="53" t="s">
        <v>102</v>
      </c>
      <c r="AA50" s="53" t="s">
        <v>90</v>
      </c>
      <c r="AB50" s="53" t="s">
        <v>237</v>
      </c>
    </row>
    <row r="51" spans="1:28" x14ac:dyDescent="0.15">
      <c r="A51" s="53" t="s">
        <v>34</v>
      </c>
      <c r="B51" s="53" t="s">
        <v>233</v>
      </c>
      <c r="C51" s="53">
        <v>2019</v>
      </c>
      <c r="D51" s="159" t="s">
        <v>298</v>
      </c>
      <c r="E51" s="53" t="s">
        <v>302</v>
      </c>
      <c r="F51" s="53" t="s">
        <v>303</v>
      </c>
      <c r="G51" s="53" t="s">
        <v>36</v>
      </c>
      <c r="H51" s="53" t="s">
        <v>160</v>
      </c>
      <c r="I51" s="53" t="s">
        <v>159</v>
      </c>
      <c r="J51" s="53" t="s">
        <v>38</v>
      </c>
      <c r="K51" s="53" t="s">
        <v>161</v>
      </c>
      <c r="L51" s="53">
        <v>2</v>
      </c>
      <c r="N51" s="53">
        <v>1</v>
      </c>
      <c r="O51" s="53">
        <v>0.55000000000000004</v>
      </c>
      <c r="P51" s="53">
        <v>0.6</v>
      </c>
      <c r="Q51" s="75">
        <f t="shared" si="0"/>
        <v>0.57499999999999996</v>
      </c>
      <c r="R51" s="53">
        <v>15.4</v>
      </c>
      <c r="S51" s="53">
        <v>1183</v>
      </c>
      <c r="T51" s="16">
        <f t="shared" si="1"/>
        <v>16</v>
      </c>
      <c r="U51" s="53">
        <v>108</v>
      </c>
      <c r="V51" s="16">
        <f t="shared" si="2"/>
        <v>1728</v>
      </c>
      <c r="W51" s="53">
        <v>2</v>
      </c>
      <c r="X51" s="53" t="s">
        <v>46</v>
      </c>
      <c r="Y51" s="53" t="s">
        <v>78</v>
      </c>
      <c r="Z51" s="53" t="s">
        <v>102</v>
      </c>
      <c r="AA51" s="53" t="s">
        <v>90</v>
      </c>
      <c r="AB51" s="53" t="s">
        <v>237</v>
      </c>
    </row>
    <row r="52" spans="1:28" x14ac:dyDescent="0.15">
      <c r="A52" s="53" t="s">
        <v>34</v>
      </c>
      <c r="B52" s="53" t="s">
        <v>233</v>
      </c>
      <c r="C52" s="53">
        <v>2019</v>
      </c>
      <c r="D52" s="159" t="s">
        <v>298</v>
      </c>
      <c r="E52" s="53" t="s">
        <v>302</v>
      </c>
      <c r="F52" s="53" t="s">
        <v>303</v>
      </c>
      <c r="G52" s="53" t="s">
        <v>36</v>
      </c>
      <c r="H52" s="53" t="s">
        <v>160</v>
      </c>
      <c r="I52" s="53" t="s">
        <v>159</v>
      </c>
      <c r="J52" s="53" t="s">
        <v>38</v>
      </c>
      <c r="K52" s="53" t="s">
        <v>161</v>
      </c>
      <c r="L52" s="53">
        <v>3</v>
      </c>
      <c r="N52" s="53">
        <v>1</v>
      </c>
      <c r="O52" s="53">
        <v>0.7</v>
      </c>
      <c r="P52" s="53">
        <v>0.55000000000000004</v>
      </c>
      <c r="Q52" s="75">
        <f t="shared" si="0"/>
        <v>0.625</v>
      </c>
      <c r="R52" s="53">
        <v>16.399999999999999</v>
      </c>
      <c r="S52" s="53">
        <v>126</v>
      </c>
      <c r="T52" s="16">
        <f t="shared" si="1"/>
        <v>30</v>
      </c>
      <c r="U52" s="53">
        <v>108</v>
      </c>
      <c r="V52" s="16">
        <f t="shared" si="2"/>
        <v>3240</v>
      </c>
      <c r="W52" s="53">
        <v>2</v>
      </c>
      <c r="X52" s="53" t="s">
        <v>46</v>
      </c>
      <c r="Y52" s="53" t="s">
        <v>78</v>
      </c>
      <c r="Z52" s="53" t="s">
        <v>102</v>
      </c>
      <c r="AA52" s="53" t="s">
        <v>90</v>
      </c>
      <c r="AB52" s="53" t="s">
        <v>237</v>
      </c>
    </row>
    <row r="53" spans="1:28" x14ac:dyDescent="0.15">
      <c r="A53" s="53" t="s">
        <v>34</v>
      </c>
      <c r="B53" s="53" t="s">
        <v>233</v>
      </c>
      <c r="C53" s="53">
        <v>2019</v>
      </c>
      <c r="D53" s="159" t="s">
        <v>298</v>
      </c>
      <c r="E53" s="53" t="s">
        <v>302</v>
      </c>
      <c r="F53" s="53" t="s">
        <v>303</v>
      </c>
      <c r="G53" s="53" t="s">
        <v>36</v>
      </c>
      <c r="H53" s="53" t="s">
        <v>160</v>
      </c>
      <c r="I53" s="53" t="s">
        <v>159</v>
      </c>
      <c r="J53" s="53" t="s">
        <v>38</v>
      </c>
      <c r="K53" s="53" t="s">
        <v>161</v>
      </c>
      <c r="L53" s="53">
        <v>1</v>
      </c>
      <c r="N53" s="53">
        <v>4</v>
      </c>
      <c r="O53" s="53">
        <v>0.6</v>
      </c>
      <c r="P53" s="53">
        <v>0.5</v>
      </c>
      <c r="Q53" s="75">
        <f t="shared" si="0"/>
        <v>0.55000000000000004</v>
      </c>
      <c r="R53" s="53">
        <v>17.600000000000001</v>
      </c>
      <c r="S53" s="53">
        <v>110</v>
      </c>
      <c r="T53" s="16">
        <f t="shared" si="1"/>
        <v>33</v>
      </c>
      <c r="U53" s="53">
        <v>429</v>
      </c>
      <c r="V53" s="16">
        <f t="shared" si="2"/>
        <v>3539.25</v>
      </c>
      <c r="W53" s="53">
        <v>2</v>
      </c>
      <c r="X53" s="53" t="s">
        <v>39</v>
      </c>
      <c r="Y53" s="53" t="s">
        <v>78</v>
      </c>
      <c r="Z53" s="53" t="s">
        <v>102</v>
      </c>
      <c r="AA53" s="53" t="s">
        <v>90</v>
      </c>
      <c r="AB53" s="53" t="s">
        <v>237</v>
      </c>
    </row>
    <row r="54" spans="1:28" x14ac:dyDescent="0.15">
      <c r="A54" s="53" t="s">
        <v>34</v>
      </c>
      <c r="B54" s="53" t="s">
        <v>233</v>
      </c>
      <c r="C54" s="53">
        <v>2019</v>
      </c>
      <c r="D54" s="159" t="s">
        <v>298</v>
      </c>
      <c r="E54" s="53" t="s">
        <v>302</v>
      </c>
      <c r="F54" s="53" t="s">
        <v>303</v>
      </c>
      <c r="G54" s="53" t="s">
        <v>36</v>
      </c>
      <c r="H54" s="53" t="s">
        <v>160</v>
      </c>
      <c r="I54" s="53" t="s">
        <v>159</v>
      </c>
      <c r="J54" s="53" t="s">
        <v>38</v>
      </c>
      <c r="K54" s="53" t="s">
        <v>161</v>
      </c>
      <c r="L54" s="53">
        <v>2</v>
      </c>
      <c r="N54" s="53">
        <v>4</v>
      </c>
      <c r="O54" s="53">
        <v>0.55000000000000004</v>
      </c>
      <c r="P54" s="53">
        <v>0.5</v>
      </c>
      <c r="Q54" s="75">
        <f t="shared" si="0"/>
        <v>0.52500000000000002</v>
      </c>
      <c r="R54" s="53">
        <v>15.2</v>
      </c>
      <c r="S54" s="53">
        <v>108</v>
      </c>
      <c r="T54" s="16">
        <f t="shared" si="1"/>
        <v>33</v>
      </c>
      <c r="U54" s="53">
        <v>429</v>
      </c>
      <c r="V54" s="16">
        <f t="shared" si="2"/>
        <v>3539.25</v>
      </c>
      <c r="W54" s="53">
        <v>2</v>
      </c>
      <c r="X54" s="53" t="s">
        <v>39</v>
      </c>
      <c r="Y54" s="53" t="s">
        <v>78</v>
      </c>
      <c r="Z54" s="53" t="s">
        <v>102</v>
      </c>
      <c r="AA54" s="53" t="s">
        <v>90</v>
      </c>
      <c r="AB54" s="53" t="s">
        <v>237</v>
      </c>
    </row>
    <row r="55" spans="1:28" x14ac:dyDescent="0.15">
      <c r="A55" s="53" t="s">
        <v>34</v>
      </c>
      <c r="B55" s="53" t="s">
        <v>233</v>
      </c>
      <c r="C55" s="53">
        <v>2019</v>
      </c>
      <c r="D55" s="159" t="s">
        <v>298</v>
      </c>
      <c r="E55" s="53" t="s">
        <v>302</v>
      </c>
      <c r="F55" s="53" t="s">
        <v>303</v>
      </c>
      <c r="G55" s="53" t="s">
        <v>36</v>
      </c>
      <c r="H55" s="53" t="s">
        <v>160</v>
      </c>
      <c r="I55" s="53" t="s">
        <v>159</v>
      </c>
      <c r="J55" s="53" t="s">
        <v>38</v>
      </c>
      <c r="K55" s="53" t="s">
        <v>161</v>
      </c>
      <c r="L55" s="53">
        <v>3</v>
      </c>
      <c r="N55" s="53">
        <v>4</v>
      </c>
      <c r="O55" s="53">
        <v>0.2</v>
      </c>
      <c r="P55" s="53">
        <v>0.2</v>
      </c>
      <c r="Q55" s="75">
        <f t="shared" si="0"/>
        <v>0.2</v>
      </c>
      <c r="R55" s="53">
        <v>12.5</v>
      </c>
      <c r="S55" s="53">
        <v>110</v>
      </c>
      <c r="T55" s="16">
        <f t="shared" si="1"/>
        <v>33</v>
      </c>
      <c r="U55" s="53">
        <v>429</v>
      </c>
      <c r="V55" s="16">
        <f t="shared" si="2"/>
        <v>3539.25</v>
      </c>
      <c r="W55" s="53">
        <v>2</v>
      </c>
      <c r="X55" s="53" t="s">
        <v>39</v>
      </c>
      <c r="Y55" s="53" t="s">
        <v>78</v>
      </c>
      <c r="Z55" s="53" t="s">
        <v>102</v>
      </c>
      <c r="AA55" s="53" t="s">
        <v>90</v>
      </c>
      <c r="AB55" s="53" t="s">
        <v>237</v>
      </c>
    </row>
    <row r="56" spans="1:28" x14ac:dyDescent="0.15">
      <c r="A56" s="53" t="s">
        <v>34</v>
      </c>
      <c r="B56" s="53" t="s">
        <v>233</v>
      </c>
      <c r="C56" s="53">
        <v>2019</v>
      </c>
      <c r="D56" s="159" t="s">
        <v>298</v>
      </c>
      <c r="E56" s="53" t="s">
        <v>288</v>
      </c>
      <c r="F56" s="53" t="s">
        <v>301</v>
      </c>
      <c r="G56" s="53" t="s">
        <v>36</v>
      </c>
      <c r="H56" s="53" t="s">
        <v>164</v>
      </c>
      <c r="I56" s="53" t="s">
        <v>159</v>
      </c>
      <c r="J56" s="53" t="s">
        <v>38</v>
      </c>
      <c r="K56" s="53" t="s">
        <v>161</v>
      </c>
      <c r="L56" s="53">
        <v>1</v>
      </c>
      <c r="N56" s="53">
        <v>1</v>
      </c>
      <c r="O56" s="53">
        <v>0.55000000000000004</v>
      </c>
      <c r="P56" s="53">
        <v>0.45</v>
      </c>
      <c r="Q56" s="75">
        <f t="shared" si="0"/>
        <v>0.5</v>
      </c>
      <c r="R56" s="53">
        <v>14.7</v>
      </c>
      <c r="S56" s="53">
        <v>130</v>
      </c>
      <c r="T56" s="16">
        <f t="shared" si="1"/>
        <v>30</v>
      </c>
      <c r="U56" s="53">
        <v>105</v>
      </c>
      <c r="V56" s="16">
        <f t="shared" si="2"/>
        <v>3150</v>
      </c>
      <c r="W56" s="53">
        <v>2</v>
      </c>
      <c r="X56" s="53" t="s">
        <v>46</v>
      </c>
      <c r="Y56" s="53" t="s">
        <v>78</v>
      </c>
      <c r="Z56" s="53" t="s">
        <v>84</v>
      </c>
      <c r="AA56" s="53" t="s">
        <v>69</v>
      </c>
      <c r="AB56" s="53" t="s">
        <v>237</v>
      </c>
    </row>
    <row r="57" spans="1:28" x14ac:dyDescent="0.15">
      <c r="A57" s="53" t="s">
        <v>34</v>
      </c>
      <c r="B57" s="53" t="s">
        <v>233</v>
      </c>
      <c r="C57" s="53">
        <v>2019</v>
      </c>
      <c r="D57" s="159" t="s">
        <v>298</v>
      </c>
      <c r="E57" s="53" t="s">
        <v>288</v>
      </c>
      <c r="F57" s="53" t="s">
        <v>301</v>
      </c>
      <c r="G57" s="53" t="s">
        <v>36</v>
      </c>
      <c r="H57" s="53" t="s">
        <v>164</v>
      </c>
      <c r="I57" s="53" t="s">
        <v>159</v>
      </c>
      <c r="J57" s="53" t="s">
        <v>38</v>
      </c>
      <c r="K57" s="53" t="s">
        <v>161</v>
      </c>
      <c r="L57" s="53">
        <v>2</v>
      </c>
      <c r="N57" s="53">
        <v>1</v>
      </c>
      <c r="O57" s="53">
        <v>0.5</v>
      </c>
      <c r="P57" s="53">
        <v>0.2</v>
      </c>
      <c r="Q57" s="75">
        <f t="shared" si="0"/>
        <v>0.35</v>
      </c>
      <c r="R57" s="53">
        <v>14.6</v>
      </c>
      <c r="S57" s="53">
        <v>128</v>
      </c>
      <c r="T57" s="16">
        <f t="shared" si="1"/>
        <v>30</v>
      </c>
      <c r="U57" s="53">
        <v>105</v>
      </c>
      <c r="V57" s="16">
        <f t="shared" si="2"/>
        <v>3150</v>
      </c>
      <c r="W57" s="53">
        <v>2</v>
      </c>
      <c r="X57" s="53" t="s">
        <v>46</v>
      </c>
      <c r="Y57" s="53" t="s">
        <v>78</v>
      </c>
      <c r="Z57" s="53" t="s">
        <v>84</v>
      </c>
      <c r="AA57" s="53" t="s">
        <v>69</v>
      </c>
      <c r="AB57" s="53" t="s">
        <v>237</v>
      </c>
    </row>
    <row r="58" spans="1:28" x14ac:dyDescent="0.15">
      <c r="A58" s="53" t="s">
        <v>34</v>
      </c>
      <c r="B58" s="53" t="s">
        <v>233</v>
      </c>
      <c r="C58" s="53">
        <v>2019</v>
      </c>
      <c r="D58" s="159" t="s">
        <v>298</v>
      </c>
      <c r="E58" s="53" t="s">
        <v>288</v>
      </c>
      <c r="F58" s="53" t="s">
        <v>301</v>
      </c>
      <c r="G58" s="53" t="s">
        <v>36</v>
      </c>
      <c r="H58" s="53" t="s">
        <v>164</v>
      </c>
      <c r="I58" s="53" t="s">
        <v>159</v>
      </c>
      <c r="J58" s="53" t="s">
        <v>38</v>
      </c>
      <c r="K58" s="53" t="s">
        <v>161</v>
      </c>
      <c r="L58" s="53">
        <v>3</v>
      </c>
      <c r="N58" s="53">
        <v>1</v>
      </c>
      <c r="O58" s="53">
        <v>0.6</v>
      </c>
      <c r="P58" s="53">
        <v>0.55000000000000004</v>
      </c>
      <c r="Q58" s="75">
        <f t="shared" si="0"/>
        <v>0.57499999999999996</v>
      </c>
      <c r="R58" s="53">
        <v>14.5</v>
      </c>
      <c r="S58" s="53">
        <v>136</v>
      </c>
      <c r="T58" s="16">
        <f t="shared" si="1"/>
        <v>30</v>
      </c>
      <c r="U58" s="53">
        <v>105</v>
      </c>
      <c r="V58" s="16">
        <f t="shared" si="2"/>
        <v>3150</v>
      </c>
      <c r="W58" s="53">
        <v>2</v>
      </c>
      <c r="X58" s="53" t="s">
        <v>46</v>
      </c>
      <c r="Y58" s="53" t="s">
        <v>78</v>
      </c>
      <c r="Z58" s="53" t="s">
        <v>84</v>
      </c>
      <c r="AA58" s="53" t="s">
        <v>69</v>
      </c>
      <c r="AB58" s="53" t="s">
        <v>237</v>
      </c>
    </row>
    <row r="59" spans="1:28" x14ac:dyDescent="0.15">
      <c r="A59" s="53" t="s">
        <v>34</v>
      </c>
      <c r="B59" s="53" t="s">
        <v>233</v>
      </c>
      <c r="C59" s="53">
        <v>2019</v>
      </c>
      <c r="D59" s="159" t="s">
        <v>298</v>
      </c>
      <c r="E59" s="53" t="s">
        <v>288</v>
      </c>
      <c r="F59" s="53" t="s">
        <v>301</v>
      </c>
      <c r="G59" s="53" t="s">
        <v>36</v>
      </c>
      <c r="H59" s="53" t="s">
        <v>160</v>
      </c>
      <c r="I59" s="53" t="s">
        <v>159</v>
      </c>
      <c r="J59" s="53" t="s">
        <v>38</v>
      </c>
      <c r="K59" s="53" t="s">
        <v>161</v>
      </c>
      <c r="L59" s="53">
        <v>1</v>
      </c>
      <c r="N59" s="53">
        <v>1</v>
      </c>
      <c r="O59" s="53">
        <v>0.2</v>
      </c>
      <c r="P59" s="53">
        <v>0.2</v>
      </c>
      <c r="Q59" s="75">
        <f t="shared" si="0"/>
        <v>0.2</v>
      </c>
      <c r="R59" s="53">
        <v>12.4</v>
      </c>
      <c r="S59" s="53">
        <v>110</v>
      </c>
      <c r="T59" s="16">
        <f t="shared" si="1"/>
        <v>33</v>
      </c>
      <c r="U59" s="53">
        <v>105</v>
      </c>
      <c r="V59" s="16">
        <f t="shared" si="2"/>
        <v>3465</v>
      </c>
      <c r="W59" s="53">
        <v>2</v>
      </c>
      <c r="X59" s="53" t="s">
        <v>46</v>
      </c>
      <c r="Y59" s="53" t="s">
        <v>78</v>
      </c>
      <c r="Z59" s="53" t="s">
        <v>84</v>
      </c>
      <c r="AA59" s="53" t="s">
        <v>69</v>
      </c>
      <c r="AB59" s="53" t="s">
        <v>237</v>
      </c>
    </row>
    <row r="60" spans="1:28" x14ac:dyDescent="0.15">
      <c r="A60" s="53" t="s">
        <v>34</v>
      </c>
      <c r="B60" s="53" t="s">
        <v>233</v>
      </c>
      <c r="C60" s="53">
        <v>2019</v>
      </c>
      <c r="D60" s="159" t="s">
        <v>298</v>
      </c>
      <c r="E60" s="53" t="s">
        <v>288</v>
      </c>
      <c r="F60" s="53" t="s">
        <v>301</v>
      </c>
      <c r="G60" s="53" t="s">
        <v>36</v>
      </c>
      <c r="H60" s="53" t="s">
        <v>160</v>
      </c>
      <c r="I60" s="53" t="s">
        <v>159</v>
      </c>
      <c r="J60" s="53" t="s">
        <v>38</v>
      </c>
      <c r="K60" s="53" t="s">
        <v>161</v>
      </c>
      <c r="L60" s="53">
        <v>2</v>
      </c>
      <c r="N60" s="53">
        <v>1</v>
      </c>
      <c r="O60" s="53">
        <v>0.2</v>
      </c>
      <c r="P60" s="53">
        <v>0.2</v>
      </c>
      <c r="Q60" s="75">
        <f t="shared" si="0"/>
        <v>0.2</v>
      </c>
      <c r="R60" s="53">
        <v>14.6</v>
      </c>
      <c r="S60" s="53">
        <v>110</v>
      </c>
      <c r="T60" s="16">
        <f t="shared" si="1"/>
        <v>33</v>
      </c>
      <c r="U60" s="53">
        <v>105</v>
      </c>
      <c r="V60" s="16">
        <f t="shared" si="2"/>
        <v>3465</v>
      </c>
      <c r="W60" s="53">
        <v>2</v>
      </c>
      <c r="X60" s="53" t="s">
        <v>46</v>
      </c>
      <c r="Y60" s="53" t="s">
        <v>78</v>
      </c>
      <c r="Z60" s="53" t="s">
        <v>84</v>
      </c>
      <c r="AA60" s="53" t="s">
        <v>69</v>
      </c>
      <c r="AB60" s="53" t="s">
        <v>237</v>
      </c>
    </row>
    <row r="61" spans="1:28" x14ac:dyDescent="0.15">
      <c r="A61" s="53" t="s">
        <v>34</v>
      </c>
      <c r="B61" s="53" t="s">
        <v>233</v>
      </c>
      <c r="C61" s="53">
        <v>2019</v>
      </c>
      <c r="D61" s="159" t="s">
        <v>298</v>
      </c>
      <c r="E61" s="53" t="s">
        <v>288</v>
      </c>
      <c r="F61" s="53" t="s">
        <v>301</v>
      </c>
      <c r="G61" s="53" t="s">
        <v>36</v>
      </c>
      <c r="H61" s="53" t="s">
        <v>160</v>
      </c>
      <c r="I61" s="53" t="s">
        <v>159</v>
      </c>
      <c r="J61" s="53" t="s">
        <v>38</v>
      </c>
      <c r="K61" s="53" t="s">
        <v>161</v>
      </c>
      <c r="L61" s="53">
        <v>3</v>
      </c>
      <c r="N61" s="53">
        <v>1</v>
      </c>
      <c r="O61" s="53">
        <v>0.45</v>
      </c>
      <c r="P61" s="53">
        <v>0.7</v>
      </c>
      <c r="Q61" s="75">
        <f t="shared" si="0"/>
        <v>0.57499999999999996</v>
      </c>
      <c r="R61" s="53">
        <v>14.6</v>
      </c>
      <c r="S61" s="53">
        <v>108</v>
      </c>
      <c r="T61" s="16">
        <f t="shared" si="1"/>
        <v>33</v>
      </c>
      <c r="U61" s="53">
        <v>105</v>
      </c>
      <c r="V61" s="16">
        <f t="shared" si="2"/>
        <v>3465</v>
      </c>
      <c r="W61" s="53">
        <v>2</v>
      </c>
      <c r="X61" s="53" t="s">
        <v>46</v>
      </c>
      <c r="Y61" s="53" t="s">
        <v>78</v>
      </c>
      <c r="Z61" s="53" t="s">
        <v>84</v>
      </c>
      <c r="AA61" s="53" t="s">
        <v>69</v>
      </c>
      <c r="AB61" s="53" t="s">
        <v>237</v>
      </c>
    </row>
    <row r="62" spans="1:28" x14ac:dyDescent="0.15">
      <c r="A62" s="53" t="s">
        <v>34</v>
      </c>
      <c r="B62" s="53" t="s">
        <v>233</v>
      </c>
      <c r="C62" s="53">
        <v>2019</v>
      </c>
      <c r="D62" s="159" t="s">
        <v>298</v>
      </c>
      <c r="E62" s="53" t="s">
        <v>306</v>
      </c>
      <c r="F62" s="53" t="s">
        <v>307</v>
      </c>
      <c r="G62" s="53" t="s">
        <v>36</v>
      </c>
      <c r="H62" s="53" t="s">
        <v>164</v>
      </c>
      <c r="I62" s="53" t="s">
        <v>159</v>
      </c>
      <c r="J62" s="53" t="s">
        <v>38</v>
      </c>
      <c r="K62" s="53" t="s">
        <v>161</v>
      </c>
      <c r="L62" s="53">
        <v>1</v>
      </c>
      <c r="N62" s="53">
        <v>1</v>
      </c>
      <c r="O62" s="53">
        <v>0.65</v>
      </c>
      <c r="P62" s="53">
        <v>0.65</v>
      </c>
      <c r="Q62" s="75">
        <f t="shared" si="0"/>
        <v>0.65</v>
      </c>
      <c r="R62" s="53">
        <v>14.5</v>
      </c>
      <c r="S62" s="53">
        <v>146</v>
      </c>
      <c r="T62" s="16">
        <f t="shared" si="1"/>
        <v>30</v>
      </c>
      <c r="U62" s="53">
        <v>138</v>
      </c>
      <c r="V62" s="16">
        <f t="shared" si="2"/>
        <v>4140</v>
      </c>
      <c r="W62" s="53">
        <v>1</v>
      </c>
      <c r="X62" s="53" t="s">
        <v>46</v>
      </c>
      <c r="Y62" s="53" t="s">
        <v>78</v>
      </c>
      <c r="Z62" s="53" t="s">
        <v>69</v>
      </c>
      <c r="AA62" s="53" t="s">
        <v>90</v>
      </c>
      <c r="AB62" s="53" t="s">
        <v>237</v>
      </c>
    </row>
    <row r="63" spans="1:28" x14ac:dyDescent="0.15">
      <c r="A63" s="53" t="s">
        <v>34</v>
      </c>
      <c r="B63" s="53" t="s">
        <v>233</v>
      </c>
      <c r="C63" s="53">
        <v>2019</v>
      </c>
      <c r="D63" s="159" t="s">
        <v>298</v>
      </c>
      <c r="E63" s="53" t="s">
        <v>306</v>
      </c>
      <c r="F63" s="53" t="s">
        <v>307</v>
      </c>
      <c r="G63" s="53" t="s">
        <v>36</v>
      </c>
      <c r="H63" s="53" t="s">
        <v>164</v>
      </c>
      <c r="I63" s="53" t="s">
        <v>159</v>
      </c>
      <c r="J63" s="53" t="s">
        <v>38</v>
      </c>
      <c r="K63" s="53" t="s">
        <v>161</v>
      </c>
      <c r="L63" s="53">
        <v>2</v>
      </c>
      <c r="N63" s="53">
        <v>1</v>
      </c>
      <c r="O63" s="53">
        <v>0.7</v>
      </c>
      <c r="P63" s="53">
        <v>0.5</v>
      </c>
      <c r="Q63" s="75">
        <f t="shared" si="0"/>
        <v>0.6</v>
      </c>
      <c r="R63" s="53">
        <v>13.5</v>
      </c>
      <c r="S63" s="53">
        <v>138</v>
      </c>
      <c r="T63" s="16">
        <f t="shared" si="1"/>
        <v>30</v>
      </c>
      <c r="U63" s="53">
        <v>138</v>
      </c>
      <c r="V63" s="16">
        <f t="shared" si="2"/>
        <v>4140</v>
      </c>
      <c r="W63" s="53">
        <v>1</v>
      </c>
      <c r="X63" s="53" t="s">
        <v>46</v>
      </c>
      <c r="Y63" s="53" t="s">
        <v>78</v>
      </c>
      <c r="Z63" s="53" t="s">
        <v>69</v>
      </c>
      <c r="AA63" s="53" t="s">
        <v>90</v>
      </c>
      <c r="AB63" s="53" t="s">
        <v>237</v>
      </c>
    </row>
    <row r="64" spans="1:28" x14ac:dyDescent="0.15">
      <c r="A64" s="53" t="s">
        <v>34</v>
      </c>
      <c r="B64" s="53" t="s">
        <v>233</v>
      </c>
      <c r="C64" s="53">
        <v>2019</v>
      </c>
      <c r="D64" s="159" t="s">
        <v>298</v>
      </c>
      <c r="E64" s="53" t="s">
        <v>306</v>
      </c>
      <c r="F64" s="53" t="s">
        <v>307</v>
      </c>
      <c r="G64" s="53" t="s">
        <v>36</v>
      </c>
      <c r="H64" s="53" t="s">
        <v>164</v>
      </c>
      <c r="I64" s="53" t="s">
        <v>159</v>
      </c>
      <c r="J64" s="53" t="s">
        <v>38</v>
      </c>
      <c r="K64" s="53" t="s">
        <v>161</v>
      </c>
      <c r="L64" s="53">
        <v>3</v>
      </c>
      <c r="N64" s="53">
        <v>1</v>
      </c>
      <c r="O64" s="53">
        <v>0.75</v>
      </c>
      <c r="P64" s="53">
        <v>0.8</v>
      </c>
      <c r="Q64" s="75">
        <f t="shared" si="0"/>
        <v>0.77500000000000002</v>
      </c>
      <c r="R64" s="53">
        <v>14</v>
      </c>
      <c r="S64" s="53">
        <v>140</v>
      </c>
      <c r="T64" s="16">
        <f t="shared" si="1"/>
        <v>30</v>
      </c>
      <c r="U64" s="53">
        <v>138</v>
      </c>
      <c r="V64" s="16">
        <f t="shared" si="2"/>
        <v>4140</v>
      </c>
      <c r="W64" s="53">
        <v>1</v>
      </c>
      <c r="X64" s="53" t="s">
        <v>46</v>
      </c>
      <c r="Y64" s="53" t="s">
        <v>78</v>
      </c>
      <c r="Z64" s="53" t="s">
        <v>69</v>
      </c>
      <c r="AA64" s="53" t="s">
        <v>90</v>
      </c>
      <c r="AB64" s="53" t="s">
        <v>237</v>
      </c>
    </row>
    <row r="65" spans="1:28" x14ac:dyDescent="0.15">
      <c r="A65" s="53" t="s">
        <v>34</v>
      </c>
      <c r="B65" s="53" t="s">
        <v>233</v>
      </c>
      <c r="C65" s="53">
        <v>2019</v>
      </c>
      <c r="D65" s="159" t="s">
        <v>298</v>
      </c>
      <c r="E65" s="53" t="s">
        <v>306</v>
      </c>
      <c r="F65" s="53" t="s">
        <v>307</v>
      </c>
      <c r="G65" s="53" t="s">
        <v>36</v>
      </c>
      <c r="H65" s="53" t="s">
        <v>160</v>
      </c>
      <c r="I65" s="53" t="s">
        <v>159</v>
      </c>
      <c r="J65" s="53" t="s">
        <v>38</v>
      </c>
      <c r="K65" s="53" t="s">
        <v>161</v>
      </c>
      <c r="L65" s="53">
        <v>1</v>
      </c>
      <c r="N65" s="53">
        <v>1</v>
      </c>
      <c r="O65" s="53">
        <v>0.45</v>
      </c>
      <c r="P65" s="53">
        <v>0.5</v>
      </c>
      <c r="Q65" s="75">
        <f t="shared" si="0"/>
        <v>0.47499999999999998</v>
      </c>
      <c r="R65" s="53">
        <v>16.899999999999999</v>
      </c>
      <c r="S65" s="53">
        <v>160</v>
      </c>
      <c r="T65" s="16">
        <f t="shared" si="1"/>
        <v>18</v>
      </c>
      <c r="U65" s="53">
        <v>127</v>
      </c>
      <c r="V65" s="16">
        <f t="shared" si="2"/>
        <v>2286</v>
      </c>
      <c r="W65" s="53">
        <v>3</v>
      </c>
      <c r="X65" s="53" t="s">
        <v>46</v>
      </c>
      <c r="Y65" s="53" t="s">
        <v>78</v>
      </c>
      <c r="Z65" s="53" t="s">
        <v>69</v>
      </c>
      <c r="AA65" s="53" t="s">
        <v>90</v>
      </c>
      <c r="AB65" s="53" t="s">
        <v>237</v>
      </c>
    </row>
    <row r="66" spans="1:28" x14ac:dyDescent="0.15">
      <c r="A66" s="53" t="s">
        <v>34</v>
      </c>
      <c r="B66" s="53" t="s">
        <v>233</v>
      </c>
      <c r="C66" s="53">
        <v>2019</v>
      </c>
      <c r="D66" s="159" t="s">
        <v>298</v>
      </c>
      <c r="E66" s="53" t="s">
        <v>306</v>
      </c>
      <c r="F66" s="53" t="s">
        <v>307</v>
      </c>
      <c r="G66" s="53" t="s">
        <v>36</v>
      </c>
      <c r="H66" s="53" t="s">
        <v>160</v>
      </c>
      <c r="I66" s="53" t="s">
        <v>159</v>
      </c>
      <c r="J66" s="53" t="s">
        <v>38</v>
      </c>
      <c r="K66" s="53" t="s">
        <v>161</v>
      </c>
      <c r="L66" s="53">
        <v>2</v>
      </c>
      <c r="N66" s="53">
        <v>1</v>
      </c>
      <c r="O66" s="53">
        <v>0.45</v>
      </c>
      <c r="P66" s="53">
        <v>0.45</v>
      </c>
      <c r="Q66" s="75">
        <f t="shared" si="0"/>
        <v>0.45</v>
      </c>
      <c r="R66" s="53">
        <v>16.600000000000001</v>
      </c>
      <c r="S66" s="53">
        <v>156</v>
      </c>
      <c r="T66" s="16">
        <f t="shared" si="1"/>
        <v>18</v>
      </c>
      <c r="U66" s="53">
        <v>127</v>
      </c>
      <c r="V66" s="16">
        <f t="shared" si="2"/>
        <v>2286</v>
      </c>
      <c r="W66" s="53">
        <v>3</v>
      </c>
      <c r="X66" s="53" t="s">
        <v>46</v>
      </c>
      <c r="Y66" s="53" t="s">
        <v>78</v>
      </c>
      <c r="Z66" s="53" t="s">
        <v>69</v>
      </c>
      <c r="AA66" s="53" t="s">
        <v>90</v>
      </c>
      <c r="AB66" s="53" t="s">
        <v>237</v>
      </c>
    </row>
    <row r="67" spans="1:28" x14ac:dyDescent="0.15">
      <c r="A67" s="53" t="s">
        <v>34</v>
      </c>
      <c r="B67" s="53" t="s">
        <v>233</v>
      </c>
      <c r="C67" s="53">
        <v>2019</v>
      </c>
      <c r="D67" s="159" t="s">
        <v>298</v>
      </c>
      <c r="E67" s="53" t="s">
        <v>306</v>
      </c>
      <c r="F67" s="53" t="s">
        <v>307</v>
      </c>
      <c r="G67" s="53" t="s">
        <v>36</v>
      </c>
      <c r="H67" s="53" t="s">
        <v>160</v>
      </c>
      <c r="I67" s="53" t="s">
        <v>159</v>
      </c>
      <c r="J67" s="53" t="s">
        <v>38</v>
      </c>
      <c r="K67" s="53" t="s">
        <v>161</v>
      </c>
      <c r="L67" s="53">
        <v>3</v>
      </c>
      <c r="N67" s="53">
        <v>1</v>
      </c>
      <c r="O67" s="53">
        <v>0.45</v>
      </c>
      <c r="P67" s="53">
        <v>0.45</v>
      </c>
      <c r="Q67" s="75">
        <f t="shared" si="0"/>
        <v>0.45</v>
      </c>
      <c r="R67" s="53">
        <v>16.600000000000001</v>
      </c>
      <c r="S67" s="53">
        <v>168</v>
      </c>
      <c r="T67" s="16">
        <f t="shared" si="1"/>
        <v>18</v>
      </c>
      <c r="U67" s="53">
        <v>127</v>
      </c>
      <c r="V67" s="16">
        <f t="shared" si="2"/>
        <v>2286</v>
      </c>
      <c r="W67" s="53">
        <v>3</v>
      </c>
      <c r="X67" s="53" t="s">
        <v>46</v>
      </c>
      <c r="Y67" s="53" t="s">
        <v>78</v>
      </c>
      <c r="Z67" s="53" t="s">
        <v>69</v>
      </c>
      <c r="AA67" s="53" t="s">
        <v>90</v>
      </c>
      <c r="AB67" s="53" t="s">
        <v>237</v>
      </c>
    </row>
    <row r="68" spans="1:28" x14ac:dyDescent="0.15">
      <c r="A68" s="53" t="s">
        <v>34</v>
      </c>
      <c r="B68" s="53" t="s">
        <v>233</v>
      </c>
      <c r="C68" s="53">
        <v>2019</v>
      </c>
      <c r="D68" s="159" t="s">
        <v>298</v>
      </c>
      <c r="E68" s="53" t="s">
        <v>306</v>
      </c>
      <c r="F68" s="53" t="s">
        <v>307</v>
      </c>
      <c r="G68" s="53" t="s">
        <v>36</v>
      </c>
      <c r="H68" s="53" t="s">
        <v>160</v>
      </c>
      <c r="I68" s="53" t="s">
        <v>159</v>
      </c>
      <c r="J68" s="53" t="s">
        <v>38</v>
      </c>
      <c r="K68" s="53" t="s">
        <v>161</v>
      </c>
      <c r="L68" s="53">
        <v>1</v>
      </c>
      <c r="N68" s="53">
        <v>4</v>
      </c>
      <c r="O68" s="53">
        <v>0.5</v>
      </c>
      <c r="P68" s="53">
        <v>0.5</v>
      </c>
      <c r="Q68" s="75">
        <f t="shared" si="0"/>
        <v>0.5</v>
      </c>
      <c r="R68" s="53">
        <v>14.3</v>
      </c>
      <c r="S68" s="53">
        <v>120</v>
      </c>
      <c r="T68" s="16">
        <f t="shared" si="1"/>
        <v>30</v>
      </c>
      <c r="U68" s="53">
        <v>538</v>
      </c>
      <c r="V68" s="16">
        <f t="shared" si="2"/>
        <v>4035</v>
      </c>
      <c r="W68" s="53">
        <v>3</v>
      </c>
      <c r="X68" s="53" t="s">
        <v>46</v>
      </c>
      <c r="Y68" s="53" t="s">
        <v>78</v>
      </c>
      <c r="Z68" s="53" t="s">
        <v>69</v>
      </c>
      <c r="AA68" s="53" t="s">
        <v>90</v>
      </c>
      <c r="AB68" s="53" t="s">
        <v>237</v>
      </c>
    </row>
    <row r="69" spans="1:28" x14ac:dyDescent="0.15">
      <c r="A69" s="53" t="s">
        <v>34</v>
      </c>
      <c r="B69" s="53" t="s">
        <v>233</v>
      </c>
      <c r="C69" s="53">
        <v>2019</v>
      </c>
      <c r="D69" s="159" t="s">
        <v>298</v>
      </c>
      <c r="E69" s="53" t="s">
        <v>306</v>
      </c>
      <c r="F69" s="53" t="s">
        <v>307</v>
      </c>
      <c r="G69" s="53" t="s">
        <v>36</v>
      </c>
      <c r="H69" s="53" t="s">
        <v>160</v>
      </c>
      <c r="I69" s="53" t="s">
        <v>159</v>
      </c>
      <c r="J69" s="53" t="s">
        <v>38</v>
      </c>
      <c r="K69" s="53" t="s">
        <v>161</v>
      </c>
      <c r="L69" s="53">
        <v>2</v>
      </c>
      <c r="N69" s="53">
        <v>4</v>
      </c>
      <c r="O69" s="53">
        <v>0.6</v>
      </c>
      <c r="P69" s="53">
        <v>0.5</v>
      </c>
      <c r="Q69" s="75">
        <f t="shared" si="0"/>
        <v>0.55000000000000004</v>
      </c>
      <c r="R69" s="53">
        <v>14.3</v>
      </c>
      <c r="S69" s="53">
        <v>120</v>
      </c>
      <c r="T69" s="16">
        <f t="shared" si="1"/>
        <v>30</v>
      </c>
      <c r="U69" s="53">
        <v>538</v>
      </c>
      <c r="V69" s="16">
        <f t="shared" si="2"/>
        <v>4035</v>
      </c>
      <c r="W69" s="53">
        <v>3</v>
      </c>
      <c r="X69" s="53" t="s">
        <v>46</v>
      </c>
      <c r="Y69" s="53" t="s">
        <v>78</v>
      </c>
      <c r="Z69" s="53" t="s">
        <v>69</v>
      </c>
      <c r="AA69" s="53" t="s">
        <v>90</v>
      </c>
      <c r="AB69" s="53" t="s">
        <v>237</v>
      </c>
    </row>
    <row r="70" spans="1:28" x14ac:dyDescent="0.15">
      <c r="A70" s="53" t="s">
        <v>34</v>
      </c>
      <c r="B70" s="53" t="s">
        <v>233</v>
      </c>
      <c r="C70" s="53">
        <v>2019</v>
      </c>
      <c r="D70" s="159" t="s">
        <v>298</v>
      </c>
      <c r="E70" s="53" t="s">
        <v>306</v>
      </c>
      <c r="F70" s="53" t="s">
        <v>307</v>
      </c>
      <c r="G70" s="53" t="s">
        <v>36</v>
      </c>
      <c r="H70" s="53" t="s">
        <v>160</v>
      </c>
      <c r="I70" s="53" t="s">
        <v>159</v>
      </c>
      <c r="J70" s="53" t="s">
        <v>38</v>
      </c>
      <c r="K70" s="53" t="s">
        <v>161</v>
      </c>
      <c r="L70" s="53">
        <v>3</v>
      </c>
      <c r="N70" s="53">
        <v>4</v>
      </c>
      <c r="O70" s="53">
        <v>0.7</v>
      </c>
      <c r="P70" s="53">
        <v>0.5</v>
      </c>
      <c r="Q70" s="75">
        <f t="shared" si="0"/>
        <v>0.6</v>
      </c>
      <c r="R70" s="53">
        <v>14.5</v>
      </c>
      <c r="S70" s="53">
        <v>122</v>
      </c>
      <c r="T70" s="16">
        <f t="shared" si="1"/>
        <v>30</v>
      </c>
      <c r="U70" s="53">
        <v>538</v>
      </c>
      <c r="V70" s="16">
        <f t="shared" si="2"/>
        <v>4035</v>
      </c>
      <c r="W70" s="53">
        <v>3</v>
      </c>
      <c r="X70" s="53" t="s">
        <v>46</v>
      </c>
      <c r="Y70" s="53" t="s">
        <v>78</v>
      </c>
      <c r="Z70" s="53" t="s">
        <v>69</v>
      </c>
      <c r="AA70" s="53" t="s">
        <v>90</v>
      </c>
      <c r="AB70" s="53" t="s">
        <v>237</v>
      </c>
    </row>
    <row r="71" spans="1:28" x14ac:dyDescent="0.15">
      <c r="A71" s="53" t="s">
        <v>34</v>
      </c>
      <c r="B71" s="53" t="s">
        <v>233</v>
      </c>
      <c r="C71" s="53">
        <v>2019</v>
      </c>
      <c r="D71" s="159" t="s">
        <v>298</v>
      </c>
      <c r="E71" s="53" t="s">
        <v>308</v>
      </c>
      <c r="F71" s="53" t="s">
        <v>309</v>
      </c>
      <c r="G71" s="53" t="s">
        <v>36</v>
      </c>
      <c r="H71" s="53" t="s">
        <v>164</v>
      </c>
      <c r="I71" s="53" t="s">
        <v>159</v>
      </c>
      <c r="J71" s="53" t="s">
        <v>38</v>
      </c>
      <c r="K71" s="53" t="s">
        <v>161</v>
      </c>
      <c r="L71" s="53">
        <v>1</v>
      </c>
      <c r="N71" s="53">
        <v>1</v>
      </c>
      <c r="O71" s="53">
        <v>0.6</v>
      </c>
      <c r="P71" s="53">
        <v>0.5</v>
      </c>
      <c r="Q71" s="75">
        <f t="shared" si="0"/>
        <v>0.55000000000000004</v>
      </c>
      <c r="R71" s="53">
        <v>14.4</v>
      </c>
      <c r="S71" s="53">
        <v>97</v>
      </c>
      <c r="T71" s="16">
        <f t="shared" si="1"/>
        <v>36</v>
      </c>
      <c r="U71" s="53">
        <v>105</v>
      </c>
      <c r="V71" s="16">
        <f t="shared" si="2"/>
        <v>3780</v>
      </c>
      <c r="W71" s="53">
        <v>2</v>
      </c>
      <c r="X71" s="53" t="s">
        <v>46</v>
      </c>
      <c r="Y71" s="53" t="s">
        <v>102</v>
      </c>
      <c r="Z71" s="53" t="s">
        <v>78</v>
      </c>
      <c r="AA71" s="53" t="s">
        <v>90</v>
      </c>
      <c r="AB71" s="53" t="s">
        <v>237</v>
      </c>
    </row>
    <row r="72" spans="1:28" x14ac:dyDescent="0.15">
      <c r="A72" s="53" t="s">
        <v>34</v>
      </c>
      <c r="B72" s="53" t="s">
        <v>233</v>
      </c>
      <c r="C72" s="53">
        <v>2019</v>
      </c>
      <c r="D72" s="159" t="s">
        <v>298</v>
      </c>
      <c r="E72" s="53" t="s">
        <v>308</v>
      </c>
      <c r="F72" s="53" t="s">
        <v>309</v>
      </c>
      <c r="G72" s="53" t="s">
        <v>36</v>
      </c>
      <c r="H72" s="53" t="s">
        <v>164</v>
      </c>
      <c r="I72" s="53" t="s">
        <v>159</v>
      </c>
      <c r="J72" s="53" t="s">
        <v>38</v>
      </c>
      <c r="K72" s="53" t="s">
        <v>161</v>
      </c>
      <c r="L72" s="53">
        <v>2</v>
      </c>
      <c r="N72" s="53">
        <v>1</v>
      </c>
      <c r="O72" s="53">
        <v>0.65</v>
      </c>
      <c r="P72" s="53">
        <v>0.6</v>
      </c>
      <c r="Q72" s="75">
        <f t="shared" si="0"/>
        <v>0.625</v>
      </c>
      <c r="R72" s="53">
        <v>15.2</v>
      </c>
      <c r="S72" s="53">
        <v>110</v>
      </c>
      <c r="T72" s="16">
        <f t="shared" si="1"/>
        <v>33</v>
      </c>
      <c r="U72" s="53">
        <v>105</v>
      </c>
      <c r="V72" s="16">
        <f t="shared" si="2"/>
        <v>3465</v>
      </c>
      <c r="W72" s="53">
        <v>2</v>
      </c>
      <c r="X72" s="53" t="s">
        <v>46</v>
      </c>
      <c r="Y72" s="53" t="s">
        <v>102</v>
      </c>
      <c r="Z72" s="53" t="s">
        <v>78</v>
      </c>
      <c r="AA72" s="53" t="s">
        <v>90</v>
      </c>
      <c r="AB72" s="53" t="s">
        <v>237</v>
      </c>
    </row>
    <row r="73" spans="1:28" x14ac:dyDescent="0.15">
      <c r="A73" s="53" t="s">
        <v>34</v>
      </c>
      <c r="B73" s="53" t="s">
        <v>233</v>
      </c>
      <c r="C73" s="53">
        <v>2019</v>
      </c>
      <c r="D73" s="159" t="s">
        <v>298</v>
      </c>
      <c r="E73" s="53" t="s">
        <v>308</v>
      </c>
      <c r="F73" s="53" t="s">
        <v>309</v>
      </c>
      <c r="G73" s="53" t="s">
        <v>36</v>
      </c>
      <c r="H73" s="53" t="s">
        <v>164</v>
      </c>
      <c r="I73" s="53" t="s">
        <v>159</v>
      </c>
      <c r="J73" s="53" t="s">
        <v>38</v>
      </c>
      <c r="K73" s="53" t="s">
        <v>161</v>
      </c>
      <c r="L73" s="53">
        <v>3</v>
      </c>
      <c r="N73" s="53">
        <v>1</v>
      </c>
      <c r="O73" s="53">
        <v>0.6</v>
      </c>
      <c r="P73" s="53">
        <v>0.5</v>
      </c>
      <c r="Q73" s="75">
        <f t="shared" si="0"/>
        <v>0.55000000000000004</v>
      </c>
      <c r="R73" s="53">
        <v>14.6</v>
      </c>
      <c r="S73" s="53">
        <v>95</v>
      </c>
      <c r="T73" s="16">
        <f t="shared" si="1"/>
        <v>36</v>
      </c>
      <c r="U73" s="53">
        <v>105</v>
      </c>
      <c r="V73" s="16">
        <f t="shared" si="2"/>
        <v>3780</v>
      </c>
      <c r="W73" s="53">
        <v>2</v>
      </c>
      <c r="X73" s="53" t="s">
        <v>46</v>
      </c>
      <c r="Y73" s="53" t="s">
        <v>102</v>
      </c>
      <c r="Z73" s="53" t="s">
        <v>78</v>
      </c>
      <c r="AA73" s="53" t="s">
        <v>90</v>
      </c>
      <c r="AB73" s="53" t="s">
        <v>237</v>
      </c>
    </row>
    <row r="74" spans="1:28" x14ac:dyDescent="0.15">
      <c r="A74" s="53" t="s">
        <v>34</v>
      </c>
      <c r="B74" s="53" t="s">
        <v>233</v>
      </c>
      <c r="C74" s="53">
        <v>2019</v>
      </c>
      <c r="D74" s="159" t="s">
        <v>298</v>
      </c>
      <c r="E74" s="53" t="s">
        <v>308</v>
      </c>
      <c r="F74" s="53" t="s">
        <v>309</v>
      </c>
      <c r="G74" s="53" t="s">
        <v>36</v>
      </c>
      <c r="H74" s="53" t="s">
        <v>164</v>
      </c>
      <c r="I74" s="53" t="s">
        <v>159</v>
      </c>
      <c r="J74" s="53" t="s">
        <v>38</v>
      </c>
      <c r="K74" s="53" t="s">
        <v>161</v>
      </c>
      <c r="L74" s="53">
        <v>1</v>
      </c>
      <c r="N74" s="53">
        <v>4</v>
      </c>
      <c r="O74" s="53">
        <v>0.65</v>
      </c>
      <c r="P74" s="53">
        <v>0.5</v>
      </c>
      <c r="Q74" s="75">
        <f t="shared" si="0"/>
        <v>0.57499999999999996</v>
      </c>
      <c r="R74" s="53">
        <v>14.7</v>
      </c>
      <c r="S74" s="53">
        <v>97</v>
      </c>
      <c r="T74" s="16">
        <f t="shared" si="1"/>
        <v>36</v>
      </c>
      <c r="U74" s="53">
        <v>410</v>
      </c>
      <c r="V74" s="16">
        <f t="shared" si="2"/>
        <v>3690</v>
      </c>
      <c r="W74" s="53">
        <v>2</v>
      </c>
      <c r="X74" s="53" t="s">
        <v>46</v>
      </c>
      <c r="Y74" s="53" t="s">
        <v>102</v>
      </c>
      <c r="Z74" s="53" t="s">
        <v>78</v>
      </c>
      <c r="AA74" s="53" t="s">
        <v>90</v>
      </c>
      <c r="AB74" s="53" t="s">
        <v>237</v>
      </c>
    </row>
    <row r="75" spans="1:28" x14ac:dyDescent="0.15">
      <c r="A75" s="53" t="s">
        <v>34</v>
      </c>
      <c r="B75" s="53" t="s">
        <v>233</v>
      </c>
      <c r="C75" s="53">
        <v>2019</v>
      </c>
      <c r="D75" s="159" t="s">
        <v>298</v>
      </c>
      <c r="E75" s="53" t="s">
        <v>308</v>
      </c>
      <c r="F75" s="53" t="s">
        <v>309</v>
      </c>
      <c r="G75" s="53" t="s">
        <v>36</v>
      </c>
      <c r="H75" s="53" t="s">
        <v>164</v>
      </c>
      <c r="I75" s="53" t="s">
        <v>159</v>
      </c>
      <c r="J75" s="53" t="s">
        <v>38</v>
      </c>
      <c r="K75" s="53" t="s">
        <v>161</v>
      </c>
      <c r="L75" s="53">
        <v>2</v>
      </c>
      <c r="N75" s="53">
        <v>4</v>
      </c>
      <c r="O75" s="53">
        <v>0.75</v>
      </c>
      <c r="P75" s="53">
        <v>0.55000000000000004</v>
      </c>
      <c r="Q75" s="75">
        <f t="shared" si="0"/>
        <v>0.65</v>
      </c>
      <c r="R75" s="53">
        <v>15.1</v>
      </c>
      <c r="S75" s="53">
        <v>106</v>
      </c>
      <c r="T75" s="16">
        <f t="shared" si="1"/>
        <v>33</v>
      </c>
      <c r="U75" s="53">
        <v>410</v>
      </c>
      <c r="V75" s="16">
        <f t="shared" si="2"/>
        <v>3382.5</v>
      </c>
      <c r="W75" s="53">
        <v>2</v>
      </c>
      <c r="X75" s="53" t="s">
        <v>46</v>
      </c>
      <c r="Y75" s="53" t="s">
        <v>102</v>
      </c>
      <c r="Z75" s="53" t="s">
        <v>78</v>
      </c>
      <c r="AA75" s="53" t="s">
        <v>90</v>
      </c>
      <c r="AB75" s="53" t="s">
        <v>237</v>
      </c>
    </row>
    <row r="76" spans="1:28" x14ac:dyDescent="0.15">
      <c r="A76" s="53" t="s">
        <v>34</v>
      </c>
      <c r="B76" s="53" t="s">
        <v>233</v>
      </c>
      <c r="C76" s="53">
        <v>2019</v>
      </c>
      <c r="D76" s="159" t="s">
        <v>298</v>
      </c>
      <c r="E76" s="53" t="s">
        <v>308</v>
      </c>
      <c r="F76" s="53" t="s">
        <v>309</v>
      </c>
      <c r="G76" s="53" t="s">
        <v>36</v>
      </c>
      <c r="H76" s="53" t="s">
        <v>164</v>
      </c>
      <c r="I76" s="53" t="s">
        <v>159</v>
      </c>
      <c r="J76" s="53" t="s">
        <v>38</v>
      </c>
      <c r="K76" s="53" t="s">
        <v>161</v>
      </c>
      <c r="L76" s="53">
        <v>3</v>
      </c>
      <c r="N76" s="53">
        <v>4</v>
      </c>
      <c r="O76" s="53">
        <v>0.7</v>
      </c>
      <c r="P76" s="53">
        <v>0.2</v>
      </c>
      <c r="Q76" s="75">
        <f t="shared" si="0"/>
        <v>0.44999999999999996</v>
      </c>
      <c r="R76" s="53">
        <v>14.4</v>
      </c>
      <c r="S76" s="53">
        <v>102</v>
      </c>
      <c r="T76" s="16">
        <f t="shared" si="1"/>
        <v>33</v>
      </c>
      <c r="U76" s="53">
        <v>410</v>
      </c>
      <c r="V76" s="16">
        <f t="shared" si="2"/>
        <v>3382.5</v>
      </c>
      <c r="W76" s="53">
        <v>2</v>
      </c>
      <c r="X76" s="53" t="s">
        <v>46</v>
      </c>
      <c r="Y76" s="53" t="s">
        <v>102</v>
      </c>
      <c r="Z76" s="53" t="s">
        <v>78</v>
      </c>
      <c r="AA76" s="53" t="s">
        <v>90</v>
      </c>
      <c r="AB76" s="53" t="s">
        <v>237</v>
      </c>
    </row>
    <row r="77" spans="1:28" x14ac:dyDescent="0.15">
      <c r="A77" s="53" t="s">
        <v>34</v>
      </c>
      <c r="B77" s="53" t="s">
        <v>233</v>
      </c>
      <c r="C77" s="53">
        <v>2019</v>
      </c>
      <c r="D77" s="159" t="s">
        <v>298</v>
      </c>
      <c r="E77" s="53" t="s">
        <v>308</v>
      </c>
      <c r="F77" s="53" t="s">
        <v>309</v>
      </c>
      <c r="G77" s="53" t="s">
        <v>36</v>
      </c>
      <c r="H77" s="53" t="s">
        <v>160</v>
      </c>
      <c r="I77" s="53" t="s">
        <v>159</v>
      </c>
      <c r="J77" s="53" t="s">
        <v>38</v>
      </c>
      <c r="K77" s="53" t="s">
        <v>161</v>
      </c>
      <c r="L77" s="53">
        <v>1</v>
      </c>
      <c r="N77" s="53">
        <v>1</v>
      </c>
      <c r="O77" s="53">
        <v>0.2</v>
      </c>
      <c r="P77" s="53">
        <v>0.2</v>
      </c>
      <c r="Q77" s="75">
        <f t="shared" si="0"/>
        <v>0.2</v>
      </c>
      <c r="R77" s="53">
        <v>16.7</v>
      </c>
      <c r="S77" s="53">
        <v>100</v>
      </c>
      <c r="T77" s="16">
        <f t="shared" si="1"/>
        <v>33</v>
      </c>
      <c r="U77" s="53">
        <v>105</v>
      </c>
      <c r="V77" s="16">
        <f t="shared" si="2"/>
        <v>3465</v>
      </c>
      <c r="W77" s="53">
        <v>4</v>
      </c>
      <c r="X77" s="53" t="s">
        <v>46</v>
      </c>
      <c r="Y77" s="53" t="s">
        <v>102</v>
      </c>
      <c r="Z77" s="53" t="s">
        <v>78</v>
      </c>
      <c r="AA77" s="53" t="s">
        <v>90</v>
      </c>
      <c r="AB77" s="53" t="s">
        <v>237</v>
      </c>
    </row>
    <row r="78" spans="1:28" x14ac:dyDescent="0.15">
      <c r="A78" s="53" t="s">
        <v>34</v>
      </c>
      <c r="B78" s="53" t="s">
        <v>233</v>
      </c>
      <c r="C78" s="53">
        <v>2019</v>
      </c>
      <c r="D78" s="159" t="s">
        <v>298</v>
      </c>
      <c r="E78" s="53" t="s">
        <v>308</v>
      </c>
      <c r="F78" s="53" t="s">
        <v>309</v>
      </c>
      <c r="G78" s="53" t="s">
        <v>36</v>
      </c>
      <c r="H78" s="53" t="s">
        <v>160</v>
      </c>
      <c r="I78" s="53" t="s">
        <v>159</v>
      </c>
      <c r="J78" s="53" t="s">
        <v>38</v>
      </c>
      <c r="K78" s="53" t="s">
        <v>161</v>
      </c>
      <c r="L78" s="53">
        <v>2</v>
      </c>
      <c r="N78" s="53">
        <v>1</v>
      </c>
      <c r="O78" s="53">
        <v>0.2</v>
      </c>
      <c r="P78" s="53">
        <v>0.2</v>
      </c>
      <c r="Q78" s="75">
        <f t="shared" si="0"/>
        <v>0.2</v>
      </c>
      <c r="R78" s="53">
        <v>17</v>
      </c>
      <c r="S78" s="53">
        <v>102</v>
      </c>
      <c r="T78" s="16">
        <f t="shared" si="1"/>
        <v>33</v>
      </c>
      <c r="U78" s="53">
        <v>105</v>
      </c>
      <c r="V78" s="16">
        <f t="shared" si="2"/>
        <v>3465</v>
      </c>
      <c r="W78" s="53">
        <v>4</v>
      </c>
      <c r="X78" s="53" t="s">
        <v>46</v>
      </c>
      <c r="Y78" s="53" t="s">
        <v>102</v>
      </c>
      <c r="Z78" s="53" t="s">
        <v>78</v>
      </c>
      <c r="AA78" s="53" t="s">
        <v>90</v>
      </c>
      <c r="AB78" s="53" t="s">
        <v>237</v>
      </c>
    </row>
    <row r="79" spans="1:28" x14ac:dyDescent="0.15">
      <c r="A79" s="53" t="s">
        <v>34</v>
      </c>
      <c r="B79" s="53" t="s">
        <v>233</v>
      </c>
      <c r="C79" s="53">
        <v>2019</v>
      </c>
      <c r="D79" s="159" t="s">
        <v>298</v>
      </c>
      <c r="E79" s="53" t="s">
        <v>308</v>
      </c>
      <c r="F79" s="53" t="s">
        <v>309</v>
      </c>
      <c r="G79" s="53" t="s">
        <v>36</v>
      </c>
      <c r="H79" s="53" t="s">
        <v>160</v>
      </c>
      <c r="I79" s="53" t="s">
        <v>159</v>
      </c>
      <c r="J79" s="53" t="s">
        <v>38</v>
      </c>
      <c r="K79" s="53" t="s">
        <v>161</v>
      </c>
      <c r="L79" s="53">
        <v>3</v>
      </c>
      <c r="N79" s="53">
        <v>1</v>
      </c>
      <c r="O79" s="53">
        <v>0.5</v>
      </c>
      <c r="P79" s="53">
        <v>0.5</v>
      </c>
      <c r="Q79" s="75">
        <f t="shared" si="0"/>
        <v>0.5</v>
      </c>
      <c r="R79" s="53">
        <v>14.5</v>
      </c>
      <c r="S79" s="53">
        <v>102</v>
      </c>
      <c r="T79" s="16">
        <f t="shared" si="1"/>
        <v>33</v>
      </c>
      <c r="U79" s="53">
        <v>105</v>
      </c>
      <c r="V79" s="16">
        <f t="shared" si="2"/>
        <v>3465</v>
      </c>
      <c r="W79" s="53">
        <v>4</v>
      </c>
      <c r="X79" s="53" t="s">
        <v>46</v>
      </c>
      <c r="Y79" s="53" t="s">
        <v>102</v>
      </c>
      <c r="Z79" s="53" t="s">
        <v>78</v>
      </c>
      <c r="AA79" s="53" t="s">
        <v>90</v>
      </c>
      <c r="AB79" s="53" t="s">
        <v>237</v>
      </c>
    </row>
    <row r="80" spans="1:28" x14ac:dyDescent="0.15">
      <c r="A80" s="53" t="s">
        <v>34</v>
      </c>
      <c r="B80" s="53" t="s">
        <v>233</v>
      </c>
      <c r="C80" s="53">
        <v>2019</v>
      </c>
      <c r="D80" s="159" t="s">
        <v>298</v>
      </c>
      <c r="E80" s="53" t="s">
        <v>308</v>
      </c>
      <c r="F80" s="53" t="s">
        <v>309</v>
      </c>
      <c r="G80" s="53" t="s">
        <v>36</v>
      </c>
      <c r="H80" s="53" t="s">
        <v>160</v>
      </c>
      <c r="I80" s="53" t="s">
        <v>159</v>
      </c>
      <c r="J80" s="53" t="s">
        <v>38</v>
      </c>
      <c r="K80" s="53" t="s">
        <v>161</v>
      </c>
      <c r="L80" s="53">
        <v>1</v>
      </c>
      <c r="N80" s="53">
        <v>4</v>
      </c>
      <c r="O80" s="53">
        <v>0.5</v>
      </c>
      <c r="P80" s="53">
        <v>0.5</v>
      </c>
      <c r="Q80" s="75">
        <f t="shared" si="0"/>
        <v>0.5</v>
      </c>
      <c r="R80" s="53">
        <v>15.4</v>
      </c>
      <c r="S80" s="53">
        <v>102</v>
      </c>
      <c r="T80" s="16">
        <f t="shared" si="1"/>
        <v>33</v>
      </c>
      <c r="U80" s="53">
        <v>410</v>
      </c>
      <c r="V80" s="16">
        <f t="shared" si="2"/>
        <v>3382.5</v>
      </c>
      <c r="W80" s="53">
        <v>4</v>
      </c>
      <c r="X80" s="53" t="s">
        <v>46</v>
      </c>
      <c r="Y80" s="53" t="s">
        <v>102</v>
      </c>
      <c r="Z80" s="53" t="s">
        <v>78</v>
      </c>
      <c r="AA80" s="53" t="s">
        <v>90</v>
      </c>
      <c r="AB80" s="53" t="s">
        <v>237</v>
      </c>
    </row>
    <row r="81" spans="1:28" x14ac:dyDescent="0.15">
      <c r="A81" s="53" t="s">
        <v>34</v>
      </c>
      <c r="B81" s="53" t="s">
        <v>233</v>
      </c>
      <c r="C81" s="53">
        <v>2019</v>
      </c>
      <c r="D81" s="159" t="s">
        <v>298</v>
      </c>
      <c r="E81" s="53" t="s">
        <v>308</v>
      </c>
      <c r="F81" s="53" t="s">
        <v>309</v>
      </c>
      <c r="G81" s="53" t="s">
        <v>36</v>
      </c>
      <c r="H81" s="53" t="s">
        <v>160</v>
      </c>
      <c r="I81" s="53" t="s">
        <v>159</v>
      </c>
      <c r="J81" s="53" t="s">
        <v>38</v>
      </c>
      <c r="K81" s="53" t="s">
        <v>161</v>
      </c>
      <c r="L81" s="53">
        <v>2</v>
      </c>
      <c r="N81" s="53">
        <v>4</v>
      </c>
      <c r="O81" s="53">
        <v>0.2</v>
      </c>
      <c r="P81" s="53">
        <v>0.2</v>
      </c>
      <c r="Q81" s="75">
        <f t="shared" si="0"/>
        <v>0.2</v>
      </c>
      <c r="R81" s="53">
        <v>13.2</v>
      </c>
      <c r="S81" s="53">
        <v>95</v>
      </c>
      <c r="T81" s="16">
        <f t="shared" si="1"/>
        <v>36</v>
      </c>
      <c r="U81" s="53">
        <v>410</v>
      </c>
      <c r="V81" s="16">
        <f t="shared" si="2"/>
        <v>3690</v>
      </c>
      <c r="W81" s="53">
        <v>4</v>
      </c>
      <c r="X81" s="53" t="s">
        <v>46</v>
      </c>
      <c r="Y81" s="53" t="s">
        <v>102</v>
      </c>
      <c r="Z81" s="53" t="s">
        <v>78</v>
      </c>
      <c r="AA81" s="53" t="s">
        <v>90</v>
      </c>
      <c r="AB81" s="53" t="s">
        <v>237</v>
      </c>
    </row>
    <row r="82" spans="1:28" x14ac:dyDescent="0.15">
      <c r="A82" s="53" t="s">
        <v>34</v>
      </c>
      <c r="B82" s="53" t="s">
        <v>233</v>
      </c>
      <c r="C82" s="53">
        <v>2019</v>
      </c>
      <c r="D82" s="159" t="s">
        <v>298</v>
      </c>
      <c r="E82" s="53" t="s">
        <v>308</v>
      </c>
      <c r="F82" s="53" t="s">
        <v>309</v>
      </c>
      <c r="G82" s="53" t="s">
        <v>36</v>
      </c>
      <c r="H82" s="53" t="s">
        <v>160</v>
      </c>
      <c r="I82" s="53" t="s">
        <v>159</v>
      </c>
      <c r="J82" s="53" t="s">
        <v>38</v>
      </c>
      <c r="K82" s="53" t="s">
        <v>161</v>
      </c>
      <c r="L82" s="53">
        <v>3</v>
      </c>
      <c r="N82" s="53">
        <v>4</v>
      </c>
      <c r="O82" s="53">
        <v>0.2</v>
      </c>
      <c r="P82" s="53">
        <v>0.2</v>
      </c>
      <c r="Q82" s="75">
        <f t="shared" ref="Q82:Q88" si="5">IF(OR(O82="",P82=""),"",AVERAGE(O82,P82))</f>
        <v>0.2</v>
      </c>
      <c r="R82" s="53">
        <v>14.2</v>
      </c>
      <c r="S82" s="53">
        <v>96</v>
      </c>
      <c r="T82" s="16">
        <f t="shared" si="1"/>
        <v>36</v>
      </c>
      <c r="U82" s="53">
        <v>410</v>
      </c>
      <c r="V82" s="16">
        <f t="shared" si="2"/>
        <v>3690</v>
      </c>
      <c r="W82" s="53">
        <v>4</v>
      </c>
      <c r="X82" s="53" t="s">
        <v>46</v>
      </c>
      <c r="Y82" s="53" t="s">
        <v>102</v>
      </c>
      <c r="Z82" s="53" t="s">
        <v>78</v>
      </c>
      <c r="AA82" s="53" t="s">
        <v>90</v>
      </c>
      <c r="AB82" s="53" t="s">
        <v>237</v>
      </c>
    </row>
    <row r="83" spans="1:28" x14ac:dyDescent="0.15">
      <c r="A83" s="53" t="s">
        <v>34</v>
      </c>
      <c r="B83" s="53" t="s">
        <v>233</v>
      </c>
      <c r="C83" s="53">
        <v>2019</v>
      </c>
      <c r="D83" s="159" t="s">
        <v>298</v>
      </c>
      <c r="E83" s="53" t="s">
        <v>308</v>
      </c>
      <c r="F83" s="53" t="s">
        <v>309</v>
      </c>
      <c r="G83" s="53" t="s">
        <v>36</v>
      </c>
      <c r="H83" s="53" t="s">
        <v>164</v>
      </c>
      <c r="I83" s="53" t="s">
        <v>159</v>
      </c>
      <c r="J83" s="53" t="s">
        <v>38</v>
      </c>
      <c r="K83" s="53" t="s">
        <v>161</v>
      </c>
      <c r="L83" s="53">
        <v>1</v>
      </c>
      <c r="N83" s="53">
        <v>1</v>
      </c>
      <c r="O83" s="53">
        <v>0.75</v>
      </c>
      <c r="P83" s="53">
        <v>0.65</v>
      </c>
      <c r="Q83" s="75">
        <f t="shared" si="5"/>
        <v>0.7</v>
      </c>
      <c r="R83" s="53">
        <v>15.5</v>
      </c>
      <c r="S83" s="53">
        <v>116</v>
      </c>
      <c r="T83" s="16">
        <f t="shared" si="1"/>
        <v>30</v>
      </c>
      <c r="U83" s="53">
        <v>149</v>
      </c>
      <c r="V83" s="16">
        <f t="shared" si="2"/>
        <v>4470</v>
      </c>
      <c r="W83" s="53">
        <v>2</v>
      </c>
      <c r="X83" s="53" t="s">
        <v>46</v>
      </c>
      <c r="Y83" s="53" t="s">
        <v>78</v>
      </c>
      <c r="Z83" s="53" t="s">
        <v>90</v>
      </c>
      <c r="AA83" s="53" t="s">
        <v>69</v>
      </c>
      <c r="AB83" s="53" t="s">
        <v>237</v>
      </c>
    </row>
    <row r="84" spans="1:28" x14ac:dyDescent="0.15">
      <c r="A84" s="53" t="s">
        <v>34</v>
      </c>
      <c r="B84" s="53" t="s">
        <v>233</v>
      </c>
      <c r="C84" s="53">
        <v>2019</v>
      </c>
      <c r="D84" s="159" t="s">
        <v>298</v>
      </c>
      <c r="E84" s="53" t="s">
        <v>270</v>
      </c>
      <c r="F84" s="53" t="s">
        <v>310</v>
      </c>
      <c r="G84" s="53" t="s">
        <v>36</v>
      </c>
      <c r="H84" s="53" t="s">
        <v>164</v>
      </c>
      <c r="I84" s="53" t="s">
        <v>159</v>
      </c>
      <c r="J84" s="53" t="s">
        <v>38</v>
      </c>
      <c r="K84" s="53" t="s">
        <v>161</v>
      </c>
      <c r="L84" s="53">
        <v>2</v>
      </c>
      <c r="N84" s="53">
        <v>1</v>
      </c>
      <c r="O84" s="53">
        <v>0.75</v>
      </c>
      <c r="P84" s="53">
        <v>0.6</v>
      </c>
      <c r="Q84" s="16">
        <f t="shared" si="5"/>
        <v>0.67500000000000004</v>
      </c>
      <c r="R84" s="53">
        <v>14.2</v>
      </c>
      <c r="S84" s="53">
        <v>110</v>
      </c>
      <c r="T84" s="16">
        <f t="shared" si="1"/>
        <v>33</v>
      </c>
      <c r="U84" s="53">
        <v>149</v>
      </c>
      <c r="V84" s="16">
        <f t="shared" si="2"/>
        <v>4917</v>
      </c>
      <c r="W84" s="53">
        <v>2</v>
      </c>
      <c r="X84" s="53" t="s">
        <v>46</v>
      </c>
      <c r="Y84" s="53" t="s">
        <v>78</v>
      </c>
      <c r="Z84" s="53" t="s">
        <v>90</v>
      </c>
      <c r="AA84" s="53" t="s">
        <v>69</v>
      </c>
      <c r="AB84" s="53" t="s">
        <v>237</v>
      </c>
    </row>
    <row r="85" spans="1:28" x14ac:dyDescent="0.15">
      <c r="A85" s="53" t="s">
        <v>34</v>
      </c>
      <c r="B85" s="53" t="s">
        <v>233</v>
      </c>
      <c r="C85" s="53">
        <v>2019</v>
      </c>
      <c r="D85" s="159" t="s">
        <v>298</v>
      </c>
      <c r="E85" s="53" t="s">
        <v>270</v>
      </c>
      <c r="F85" s="53" t="s">
        <v>310</v>
      </c>
      <c r="G85" s="53" t="s">
        <v>36</v>
      </c>
      <c r="H85" s="53" t="s">
        <v>164</v>
      </c>
      <c r="I85" s="53" t="s">
        <v>159</v>
      </c>
      <c r="J85" s="53" t="s">
        <v>38</v>
      </c>
      <c r="K85" s="53" t="s">
        <v>161</v>
      </c>
      <c r="L85" s="53">
        <v>3</v>
      </c>
      <c r="N85" s="53">
        <v>1</v>
      </c>
      <c r="O85" s="53">
        <v>0.8</v>
      </c>
      <c r="P85" s="53">
        <v>0.6</v>
      </c>
      <c r="Q85" s="16">
        <f t="shared" si="5"/>
        <v>0.7</v>
      </c>
      <c r="R85" s="53">
        <v>13.9</v>
      </c>
      <c r="S85" s="53">
        <v>110</v>
      </c>
      <c r="T85" s="16">
        <f t="shared" si="1"/>
        <v>33</v>
      </c>
      <c r="U85" s="53">
        <v>149</v>
      </c>
      <c r="V85" s="16">
        <f t="shared" si="2"/>
        <v>4917</v>
      </c>
      <c r="W85" s="53">
        <v>2</v>
      </c>
      <c r="X85" s="53" t="s">
        <v>46</v>
      </c>
      <c r="Y85" s="53" t="s">
        <v>78</v>
      </c>
      <c r="Z85" s="53" t="s">
        <v>90</v>
      </c>
      <c r="AA85" s="53" t="s">
        <v>69</v>
      </c>
      <c r="AB85" s="53" t="s">
        <v>237</v>
      </c>
    </row>
    <row r="86" spans="1:28" x14ac:dyDescent="0.15">
      <c r="A86" s="53" t="s">
        <v>34</v>
      </c>
      <c r="B86" s="53" t="s">
        <v>233</v>
      </c>
      <c r="C86" s="53">
        <v>2019</v>
      </c>
      <c r="D86" s="159" t="s">
        <v>298</v>
      </c>
      <c r="E86" s="53" t="s">
        <v>270</v>
      </c>
      <c r="F86" s="53" t="s">
        <v>310</v>
      </c>
      <c r="G86" s="53" t="s">
        <v>36</v>
      </c>
      <c r="H86" s="53" t="s">
        <v>160</v>
      </c>
      <c r="I86" s="53" t="s">
        <v>159</v>
      </c>
      <c r="J86" s="53" t="s">
        <v>38</v>
      </c>
      <c r="K86" s="53" t="s">
        <v>161</v>
      </c>
      <c r="L86" s="53">
        <v>1</v>
      </c>
      <c r="N86" s="53">
        <v>1</v>
      </c>
      <c r="O86" s="53">
        <v>0.6</v>
      </c>
      <c r="P86" s="53">
        <v>0.5</v>
      </c>
      <c r="Q86" s="16">
        <f t="shared" si="5"/>
        <v>0.55000000000000004</v>
      </c>
      <c r="R86" s="53">
        <v>14.5</v>
      </c>
      <c r="S86" s="53">
        <v>136</v>
      </c>
      <c r="T86" s="16">
        <f t="shared" si="1"/>
        <v>30</v>
      </c>
      <c r="U86" s="53">
        <v>149</v>
      </c>
      <c r="V86" s="16">
        <f t="shared" si="2"/>
        <v>4470</v>
      </c>
      <c r="W86" s="53">
        <v>1</v>
      </c>
      <c r="X86" s="53" t="s">
        <v>46</v>
      </c>
      <c r="Y86" s="53" t="s">
        <v>78</v>
      </c>
      <c r="Z86" s="53" t="s">
        <v>90</v>
      </c>
      <c r="AA86" s="53" t="s">
        <v>69</v>
      </c>
      <c r="AB86" s="53" t="s">
        <v>237</v>
      </c>
    </row>
    <row r="87" spans="1:28" x14ac:dyDescent="0.15">
      <c r="A87" s="53" t="s">
        <v>34</v>
      </c>
      <c r="B87" s="53" t="s">
        <v>233</v>
      </c>
      <c r="C87" s="53">
        <v>2019</v>
      </c>
      <c r="D87" s="159" t="s">
        <v>298</v>
      </c>
      <c r="E87" s="53" t="s">
        <v>270</v>
      </c>
      <c r="F87" s="53" t="s">
        <v>310</v>
      </c>
      <c r="G87" s="53" t="s">
        <v>36</v>
      </c>
      <c r="H87" s="53" t="s">
        <v>160</v>
      </c>
      <c r="I87" s="53" t="s">
        <v>159</v>
      </c>
      <c r="J87" s="53" t="s">
        <v>38</v>
      </c>
      <c r="K87" s="53" t="s">
        <v>161</v>
      </c>
      <c r="L87" s="53">
        <v>2</v>
      </c>
      <c r="N87" s="53">
        <v>1</v>
      </c>
      <c r="O87" s="53">
        <v>0.2</v>
      </c>
      <c r="P87" s="53">
        <v>0.2</v>
      </c>
      <c r="Q87" s="16">
        <f t="shared" si="5"/>
        <v>0.2</v>
      </c>
      <c r="R87" s="53">
        <v>14.7</v>
      </c>
      <c r="S87" s="53">
        <v>132</v>
      </c>
      <c r="T87" s="16">
        <f t="shared" si="1"/>
        <v>30</v>
      </c>
      <c r="U87" s="53">
        <v>149</v>
      </c>
      <c r="V87" s="16">
        <f t="shared" si="2"/>
        <v>4470</v>
      </c>
      <c r="W87" s="53">
        <v>1</v>
      </c>
      <c r="X87" s="53" t="s">
        <v>46</v>
      </c>
      <c r="Y87" s="53" t="s">
        <v>78</v>
      </c>
      <c r="Z87" s="53" t="s">
        <v>90</v>
      </c>
      <c r="AA87" s="53" t="s">
        <v>69</v>
      </c>
      <c r="AB87" s="53" t="s">
        <v>237</v>
      </c>
    </row>
    <row r="88" spans="1:28" x14ac:dyDescent="0.15">
      <c r="A88" s="53" t="s">
        <v>34</v>
      </c>
      <c r="B88" s="53" t="s">
        <v>233</v>
      </c>
      <c r="C88" s="53">
        <v>2019</v>
      </c>
      <c r="D88" s="159" t="s">
        <v>298</v>
      </c>
      <c r="E88" s="53" t="s">
        <v>270</v>
      </c>
      <c r="F88" s="53" t="s">
        <v>310</v>
      </c>
      <c r="G88" s="53" t="s">
        <v>36</v>
      </c>
      <c r="H88" s="53" t="s">
        <v>160</v>
      </c>
      <c r="I88" s="53" t="s">
        <v>159</v>
      </c>
      <c r="J88" s="53" t="s">
        <v>38</v>
      </c>
      <c r="K88" s="53" t="s">
        <v>161</v>
      </c>
      <c r="L88" s="53">
        <v>3</v>
      </c>
      <c r="N88" s="53">
        <v>1</v>
      </c>
      <c r="O88" s="53">
        <v>0.2</v>
      </c>
      <c r="P88" s="53">
        <v>0.2</v>
      </c>
      <c r="Q88" s="16">
        <f t="shared" si="5"/>
        <v>0.2</v>
      </c>
      <c r="R88" s="53">
        <v>14.6</v>
      </c>
      <c r="S88" s="53">
        <v>130</v>
      </c>
      <c r="T88" s="16">
        <f t="shared" si="1"/>
        <v>30</v>
      </c>
      <c r="U88" s="53">
        <v>149</v>
      </c>
      <c r="V88" s="16">
        <f t="shared" si="2"/>
        <v>4470</v>
      </c>
      <c r="W88" s="53">
        <v>1</v>
      </c>
      <c r="X88" s="53" t="s">
        <v>46</v>
      </c>
      <c r="Y88" s="53" t="s">
        <v>78</v>
      </c>
      <c r="Z88" s="53" t="s">
        <v>90</v>
      </c>
      <c r="AA88" s="53" t="s">
        <v>69</v>
      </c>
      <c r="AB88" s="53" t="s">
        <v>237</v>
      </c>
    </row>
    <row r="89" spans="1:28" x14ac:dyDescent="0.15">
      <c r="D89" s="159"/>
    </row>
    <row r="90" spans="1:28" x14ac:dyDescent="0.15">
      <c r="D90" s="159"/>
    </row>
    <row r="91" spans="1:28" x14ac:dyDescent="0.15">
      <c r="D91" s="159"/>
    </row>
    <row r="92" spans="1:28" x14ac:dyDescent="0.15">
      <c r="D92" s="159"/>
    </row>
    <row r="93" spans="1:28" x14ac:dyDescent="0.15">
      <c r="D93" s="159"/>
    </row>
    <row r="94" spans="1:28" x14ac:dyDescent="0.15">
      <c r="D94" s="159"/>
    </row>
    <row r="95" spans="1:28" x14ac:dyDescent="0.15">
      <c r="D95" s="159"/>
    </row>
    <row r="96" spans="1:28" x14ac:dyDescent="0.15">
      <c r="D96" s="159"/>
    </row>
    <row r="97" spans="4:4" x14ac:dyDescent="0.15">
      <c r="D97" s="159"/>
    </row>
    <row r="98" spans="4:4" x14ac:dyDescent="0.15">
      <c r="D98" s="159"/>
    </row>
    <row r="99" spans="4:4" x14ac:dyDescent="0.15">
      <c r="D99" s="159"/>
    </row>
    <row r="100" spans="4:4" x14ac:dyDescent="0.15">
      <c r="D100" s="159"/>
    </row>
    <row r="101" spans="4:4" x14ac:dyDescent="0.15">
      <c r="D101" s="159"/>
    </row>
    <row r="102" spans="4:4" x14ac:dyDescent="0.15">
      <c r="D102" s="159"/>
    </row>
    <row r="103" spans="4:4" x14ac:dyDescent="0.15">
      <c r="D103" s="159"/>
    </row>
    <row r="104" spans="4:4" x14ac:dyDescent="0.15">
      <c r="D104" s="159"/>
    </row>
    <row r="105" spans="4:4" x14ac:dyDescent="0.15">
      <c r="D105" s="159"/>
    </row>
    <row r="106" spans="4:4" x14ac:dyDescent="0.15">
      <c r="D106" s="159"/>
    </row>
    <row r="107" spans="4:4" x14ac:dyDescent="0.15">
      <c r="D107" s="159"/>
    </row>
    <row r="108" spans="4:4" x14ac:dyDescent="0.15">
      <c r="D108" s="159"/>
    </row>
    <row r="109" spans="4:4" x14ac:dyDescent="0.15">
      <c r="D109" s="159"/>
    </row>
    <row r="110" spans="4:4" x14ac:dyDescent="0.15">
      <c r="D110" s="159"/>
    </row>
    <row r="111" spans="4:4" x14ac:dyDescent="0.15">
      <c r="D111" s="159"/>
    </row>
    <row r="112" spans="4:4" x14ac:dyDescent="0.15">
      <c r="D112" s="159"/>
    </row>
    <row r="113" spans="4:4" x14ac:dyDescent="0.15">
      <c r="D113" s="159"/>
    </row>
    <row r="114" spans="4:4" x14ac:dyDescent="0.15">
      <c r="D114" s="159"/>
    </row>
    <row r="115" spans="4:4" x14ac:dyDescent="0.15">
      <c r="D115" s="159"/>
    </row>
    <row r="116" spans="4:4" x14ac:dyDescent="0.15">
      <c r="D116" s="159"/>
    </row>
    <row r="117" spans="4:4" x14ac:dyDescent="0.15">
      <c r="D117" s="159"/>
    </row>
    <row r="118" spans="4:4" x14ac:dyDescent="0.15">
      <c r="D118" s="159"/>
    </row>
    <row r="119" spans="4:4" x14ac:dyDescent="0.15">
      <c r="D119" s="159"/>
    </row>
    <row r="120" spans="4:4" x14ac:dyDescent="0.15">
      <c r="D120" s="159"/>
    </row>
    <row r="121" spans="4:4" x14ac:dyDescent="0.15">
      <c r="D121" s="159"/>
    </row>
    <row r="122" spans="4:4" x14ac:dyDescent="0.15">
      <c r="D122" s="159"/>
    </row>
    <row r="123" spans="4:4" x14ac:dyDescent="0.15">
      <c r="D123" s="159"/>
    </row>
    <row r="124" spans="4:4" x14ac:dyDescent="0.15">
      <c r="D124" s="159"/>
    </row>
    <row r="125" spans="4:4" x14ac:dyDescent="0.15">
      <c r="D125" s="159"/>
    </row>
    <row r="126" spans="4:4" x14ac:dyDescent="0.15">
      <c r="D126" s="159"/>
    </row>
    <row r="127" spans="4:4" x14ac:dyDescent="0.15">
      <c r="D127" s="159"/>
    </row>
    <row r="128" spans="4:4" x14ac:dyDescent="0.15">
      <c r="D128" s="159"/>
    </row>
    <row r="129" spans="4:4" x14ac:dyDescent="0.15">
      <c r="D129" s="159"/>
    </row>
    <row r="130" spans="4:4" x14ac:dyDescent="0.15">
      <c r="D130" s="159"/>
    </row>
    <row r="131" spans="4:4" x14ac:dyDescent="0.15">
      <c r="D131" s="159"/>
    </row>
    <row r="132" spans="4:4" x14ac:dyDescent="0.15">
      <c r="D132" s="159"/>
    </row>
    <row r="133" spans="4:4" x14ac:dyDescent="0.15">
      <c r="D133" s="159"/>
    </row>
    <row r="134" spans="4:4" x14ac:dyDescent="0.15">
      <c r="D134" s="159"/>
    </row>
    <row r="135" spans="4:4" x14ac:dyDescent="0.15">
      <c r="D135" s="159"/>
    </row>
    <row r="136" spans="4:4" x14ac:dyDescent="0.15">
      <c r="D136" s="159"/>
    </row>
    <row r="137" spans="4:4" x14ac:dyDescent="0.15">
      <c r="D137" s="159"/>
    </row>
    <row r="138" spans="4:4" x14ac:dyDescent="0.15">
      <c r="D138" s="159"/>
    </row>
    <row r="139" spans="4:4" x14ac:dyDescent="0.15">
      <c r="D139" s="159"/>
    </row>
    <row r="140" spans="4:4" x14ac:dyDescent="0.15">
      <c r="D140" s="159"/>
    </row>
    <row r="141" spans="4:4" x14ac:dyDescent="0.15">
      <c r="D141" s="159"/>
    </row>
    <row r="142" spans="4:4" x14ac:dyDescent="0.15">
      <c r="D142" s="159"/>
    </row>
    <row r="143" spans="4:4" x14ac:dyDescent="0.15">
      <c r="D143" s="159"/>
    </row>
    <row r="144" spans="4:4" x14ac:dyDescent="0.15">
      <c r="D144" s="159"/>
    </row>
    <row r="145" spans="4:4" x14ac:dyDescent="0.15">
      <c r="D145" s="159"/>
    </row>
    <row r="146" spans="4:4" x14ac:dyDescent="0.15">
      <c r="D146" s="159"/>
    </row>
    <row r="147" spans="4:4" x14ac:dyDescent="0.15">
      <c r="D147" s="159"/>
    </row>
    <row r="148" spans="4:4" x14ac:dyDescent="0.15">
      <c r="D148" s="159"/>
    </row>
    <row r="149" spans="4:4" x14ac:dyDescent="0.15">
      <c r="D149" s="159"/>
    </row>
  </sheetData>
  <autoFilter ref="A1:BA149" xr:uid="{00000000-0009-0000-0000-000000000000}"/>
  <phoneticPr fontId="3"/>
  <dataValidations count="12">
    <dataValidation type="list" allowBlank="1" showInputMessage="1" showErrorMessage="1" sqref="K2:K781" xr:uid="{DBD5B497-D7D6-4A7A-BB09-1209D10144A9}">
      <formula1>$AR$2:$AR$23</formula1>
    </dataValidation>
    <dataValidation operator="equal" allowBlank="1" showInputMessage="1" showErrorMessage="1" sqref="B2:B149" xr:uid="{6C73E8C9-E651-4295-923D-EC39C21FF542}"/>
    <dataValidation type="list" allowBlank="1" showInputMessage="1" showErrorMessage="1" sqref="A2:A468" xr:uid="{F4EE3A97-1AD4-4197-BFB9-1A024DAA679A}">
      <formula1>$AE$2:$AE$19</formula1>
    </dataValidation>
    <dataValidation type="list" allowBlank="1" showInputMessage="1" showErrorMessage="1" sqref="Y2:AA469" xr:uid="{12838B1A-D6DC-4096-AB86-C0CEA5D8DCC9}">
      <formula1>$AV$2:$AV$21</formula1>
    </dataValidation>
    <dataValidation type="list" allowBlank="1" showInputMessage="1" showErrorMessage="1" sqref="H2:H469" xr:uid="{698F14E4-EF14-4C67-BDD8-F3CA9B7F7523}">
      <formula1>$AL$2:$AL$8</formula1>
    </dataValidation>
    <dataValidation type="list" allowBlank="1" showInputMessage="1" showErrorMessage="1" sqref="X2:X469" xr:uid="{CA8DDFE2-553A-4C23-977F-FCDAA3E02996}">
      <formula1>$AT$2:$AT$3</formula1>
    </dataValidation>
    <dataValidation type="list" allowBlank="1" showInputMessage="1" showErrorMessage="1" sqref="G2:G469" xr:uid="{4A4FD743-F763-4F30-A5AF-9B56E7B9715F}">
      <formula1>$AJ$2:$AJ$4</formula1>
    </dataValidation>
    <dataValidation type="list" allowBlank="1" showInputMessage="1" showErrorMessage="1" sqref="I2:I469" xr:uid="{1AAE3D84-3ABE-484C-975F-54C78F93EDC0}">
      <formula1>$AN$5:$AN$6</formula1>
    </dataValidation>
    <dataValidation type="list" allowBlank="1" showInputMessage="1" showErrorMessage="1" sqref="J2:J469" xr:uid="{A2384557-C80E-4D3C-9659-42E14F6436E9}">
      <formula1>$AP$2:$AP$24</formula1>
    </dataValidation>
    <dataValidation type="list" allowBlank="1" showInputMessage="1" showErrorMessage="1" sqref="F2:F469" xr:uid="{9B263ADC-D6CB-4E9A-A5AA-0AB99D5538D1}">
      <formula1>$AH$2:$AH$11</formula1>
    </dataValidation>
    <dataValidation type="list" allowBlank="1" showInputMessage="1" showErrorMessage="1" sqref="E2:E469" xr:uid="{52A5003C-6920-4FB2-87FF-7767BB11911C}">
      <formula1>$AG$2:$AG$11</formula1>
    </dataValidation>
    <dataValidation type="decimal" allowBlank="1" showInputMessage="1" showErrorMessage="1" error="硬度を正しく入力して下さい。" sqref="O2:P49 O59:P469" xr:uid="{C8681545-311B-4E37-8341-761113290147}">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3ECA22-B6D0-4947-A452-407C7CA6A06B}"/>
</file>

<file path=customXml/itemProps2.xml><?xml version="1.0" encoding="utf-8"?>
<ds:datastoreItem xmlns:ds="http://schemas.openxmlformats.org/officeDocument/2006/customXml" ds:itemID="{1B14F3AB-55DC-46AB-9E32-72735DE572EA}"/>
</file>

<file path=customXml/itemProps3.xml><?xml version="1.0" encoding="utf-8"?>
<ds:datastoreItem xmlns:ds="http://schemas.openxmlformats.org/officeDocument/2006/customXml" ds:itemID="{6878AD4E-B333-4994-97D7-EBD4570BA0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2019-10-11T08:32:23Z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