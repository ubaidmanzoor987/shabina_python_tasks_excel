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629"/>
  <workbookPr defaultThemeVersion="124226"/>
  <mc:AlternateContent xmlns:mc="http://schemas.openxmlformats.org/markup-compatibility/2006">
    <mc:Choice Requires="x15">
      <x15ac:absPath xmlns:x15ac="http://schemas.microsoft.com/office/spreadsheetml/2010/11/ac" url="\\192.168.11.200\000_全国共有\2-Zespri\品質調査\2019\22週\"/>
    </mc:Choice>
  </mc:AlternateContent>
  <xr:revisionPtr revIDLastSave="0" documentId="13_ncr:1_{A3221A7B-A1BF-472E-8B20-C377C1AC369D}" xr6:coauthVersionLast="43" xr6:coauthVersionMax="43"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definedNames>
    <definedName name="_xlnm._FilterDatabase" localSheetId="5" hidden="1">fukuoka!$A$1:$BA$152</definedName>
    <definedName name="_xlnm._FilterDatabase" localSheetId="4" hidden="1">hiroshima!$A$1:$BA$1</definedName>
    <definedName name="_xlnm._FilterDatabase" localSheetId="1" hidden="1">miyagi!$A$1:$BA$423</definedName>
    <definedName name="_xlnm._FilterDatabase" localSheetId="2" hidden="1">nagoya!$A$1:$BA$52</definedName>
    <definedName name="_xlnm._FilterDatabase" localSheetId="3" hidden="1">osaka!$A$1:$BA$112</definedName>
    <definedName name="_xlnm._FilterDatabase" localSheetId="0" hidden="1">sapporo!$A$1:$BA$120</definedName>
    <definedName name="_xlnm._FilterDatabase" localSheetId="6" hidden="1">'tokyo-east(ota)'!$A$1:$BA$1</definedName>
    <definedName name="_xlnm._FilterDatabase" localSheetId="7" hidden="1">'tokyo-west(kato)'!$A$1:$BA$82</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iterate="1"/>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T133" i="24" l="1"/>
  <c r="V133" i="24" s="1"/>
  <c r="Q133" i="24"/>
  <c r="T132" i="24"/>
  <c r="V132" i="24" s="1"/>
  <c r="Q132" i="24"/>
  <c r="T131" i="24"/>
  <c r="V131" i="24" s="1"/>
  <c r="Q131" i="24"/>
  <c r="T130" i="24"/>
  <c r="V130" i="24" s="1"/>
  <c r="Q130" i="24"/>
  <c r="T129" i="24"/>
  <c r="V129" i="24" s="1"/>
  <c r="Q129" i="24"/>
  <c r="T128" i="24"/>
  <c r="V128" i="24" s="1"/>
  <c r="Q128" i="24"/>
  <c r="T127" i="24"/>
  <c r="V127" i="24" s="1"/>
  <c r="Q127" i="24"/>
  <c r="T126" i="24"/>
  <c r="V126" i="24" s="1"/>
  <c r="Q126" i="24"/>
  <c r="T125" i="24"/>
  <c r="V125" i="24" s="1"/>
  <c r="Q125" i="24"/>
  <c r="T124" i="24"/>
  <c r="V124" i="24" s="1"/>
  <c r="Q124" i="24"/>
  <c r="T123" i="24"/>
  <c r="V123" i="24" s="1"/>
  <c r="Q123" i="24"/>
  <c r="T122" i="24"/>
  <c r="V122" i="24" s="1"/>
  <c r="Q122" i="24"/>
  <c r="T121" i="24"/>
  <c r="V121" i="24" s="1"/>
  <c r="Q121" i="24"/>
  <c r="T120" i="24"/>
  <c r="V120" i="24" s="1"/>
  <c r="Q120" i="24"/>
  <c r="T119" i="24"/>
  <c r="V119" i="24" s="1"/>
  <c r="Q119" i="24"/>
  <c r="T118" i="24"/>
  <c r="V118" i="24" s="1"/>
  <c r="Q118" i="24"/>
  <c r="T117" i="24"/>
  <c r="V117" i="24" s="1"/>
  <c r="Q117" i="24"/>
  <c r="T116" i="24"/>
  <c r="V116" i="24" s="1"/>
  <c r="Q116" i="24"/>
  <c r="T115" i="24"/>
  <c r="V115" i="24" s="1"/>
  <c r="Q115" i="24"/>
  <c r="T114" i="24"/>
  <c r="V114" i="24" s="1"/>
  <c r="Q114" i="24"/>
  <c r="T113" i="24"/>
  <c r="V113" i="24" s="1"/>
  <c r="Q113" i="24"/>
  <c r="T112" i="24"/>
  <c r="V112" i="24" s="1"/>
  <c r="Q112" i="24"/>
  <c r="T111" i="24"/>
  <c r="V111" i="24" s="1"/>
  <c r="Q111" i="24"/>
  <c r="T110" i="24"/>
  <c r="V110" i="24" s="1"/>
  <c r="Q110" i="24"/>
  <c r="T109" i="24"/>
  <c r="V109" i="24" s="1"/>
  <c r="Q109" i="24"/>
  <c r="T108" i="24"/>
  <c r="V108" i="24" s="1"/>
  <c r="Q108" i="24"/>
  <c r="T107" i="24"/>
  <c r="V107" i="24" s="1"/>
  <c r="Q107" i="24"/>
  <c r="T106" i="24"/>
  <c r="V106" i="24" s="1"/>
  <c r="Q106" i="24"/>
  <c r="T105" i="24"/>
  <c r="V105" i="24" s="1"/>
  <c r="Q105" i="24"/>
  <c r="T104" i="24"/>
  <c r="V104" i="24" s="1"/>
  <c r="Q104" i="24"/>
  <c r="T103" i="24"/>
  <c r="V103" i="24" s="1"/>
  <c r="Q103" i="24"/>
  <c r="T102" i="24"/>
  <c r="V102" i="24" s="1"/>
  <c r="Q102" i="24"/>
  <c r="T101" i="24"/>
  <c r="V101" i="24" s="1"/>
  <c r="Q101" i="24"/>
  <c r="T100" i="24"/>
  <c r="V100" i="24" s="1"/>
  <c r="Q100" i="24"/>
  <c r="T99" i="24"/>
  <c r="V99" i="24" s="1"/>
  <c r="Q99" i="24"/>
  <c r="T98" i="24"/>
  <c r="V98" i="24" s="1"/>
  <c r="Q98" i="24"/>
  <c r="T97" i="24"/>
  <c r="V97" i="24" s="1"/>
  <c r="Q97" i="24"/>
  <c r="T96" i="24"/>
  <c r="V96" i="24" s="1"/>
  <c r="Q96" i="24"/>
  <c r="T95" i="24"/>
  <c r="V95" i="24" s="1"/>
  <c r="Q95" i="24"/>
  <c r="T94" i="24"/>
  <c r="V94" i="24" s="1"/>
  <c r="Q94" i="24"/>
  <c r="T93" i="24"/>
  <c r="V93" i="24" s="1"/>
  <c r="Q93" i="24"/>
  <c r="T92" i="24"/>
  <c r="V92" i="24" s="1"/>
  <c r="Q92" i="24"/>
  <c r="T91" i="24"/>
  <c r="V91" i="24" s="1"/>
  <c r="Q91" i="24"/>
  <c r="T90" i="24"/>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85" i="23" l="1"/>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52" i="22" l="1"/>
  <c r="T152" i="22"/>
  <c r="Q152" i="22"/>
  <c r="V151" i="22"/>
  <c r="T151" i="22"/>
  <c r="Q151" i="22"/>
  <c r="V150" i="22"/>
  <c r="T150" i="22"/>
  <c r="Q150" i="22"/>
  <c r="V149" i="22"/>
  <c r="T149" i="22"/>
  <c r="Q149" i="22"/>
  <c r="V148" i="22"/>
  <c r="T148" i="22"/>
  <c r="Q148" i="22"/>
  <c r="V147" i="22"/>
  <c r="T147" i="22"/>
  <c r="Q147" i="22"/>
  <c r="V146" i="22"/>
  <c r="T146" i="22"/>
  <c r="Q146" i="22"/>
  <c r="V145" i="22"/>
  <c r="T145" i="22"/>
  <c r="Q145" i="22"/>
  <c r="V144" i="22"/>
  <c r="T144" i="22"/>
  <c r="Q144" i="22"/>
  <c r="V143" i="22"/>
  <c r="T143" i="22"/>
  <c r="Q143" i="22"/>
  <c r="V142" i="22"/>
  <c r="T142" i="22"/>
  <c r="Q142" i="22"/>
  <c r="V141" i="22"/>
  <c r="T141" i="22"/>
  <c r="Q141" i="22"/>
  <c r="V140" i="22"/>
  <c r="T140" i="22"/>
  <c r="Q140" i="22"/>
  <c r="V139" i="22"/>
  <c r="T139" i="22"/>
  <c r="Q139" i="22"/>
  <c r="V138" i="22"/>
  <c r="T138" i="22"/>
  <c r="Q138" i="22"/>
  <c r="V137" i="22"/>
  <c r="T137" i="22"/>
  <c r="Q137" i="22"/>
  <c r="V136" i="22"/>
  <c r="T136" i="22"/>
  <c r="Q136" i="22"/>
  <c r="V135" i="22"/>
  <c r="T135" i="22"/>
  <c r="Q135" i="22"/>
  <c r="V134" i="22"/>
  <c r="T134" i="22"/>
  <c r="Q134" i="22"/>
  <c r="V133" i="22"/>
  <c r="T133" i="22"/>
  <c r="Q133" i="22"/>
  <c r="V132" i="22"/>
  <c r="T132" i="22"/>
  <c r="Q132" i="22"/>
  <c r="V131" i="22"/>
  <c r="T131" i="22"/>
  <c r="Q131" i="22"/>
  <c r="V130" i="22"/>
  <c r="T130" i="22"/>
  <c r="Q130" i="22"/>
  <c r="V129" i="22"/>
  <c r="T129" i="22"/>
  <c r="Q129" i="22"/>
  <c r="V128" i="22"/>
  <c r="T128" i="22"/>
  <c r="Q128" i="22"/>
  <c r="V127" i="22"/>
  <c r="T127" i="22"/>
  <c r="Q127" i="22"/>
  <c r="V126" i="22"/>
  <c r="T126" i="22"/>
  <c r="Q126" i="22"/>
  <c r="V125" i="22"/>
  <c r="T125" i="22"/>
  <c r="Q125" i="22"/>
  <c r="V124" i="22"/>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61" i="22"/>
  <c r="T61" i="22"/>
  <c r="Q61" i="22"/>
  <c r="V60" i="22"/>
  <c r="T60" i="22"/>
  <c r="Q60" i="22"/>
  <c r="V59" i="22"/>
  <c r="T59" i="22"/>
  <c r="Q59" i="22"/>
  <c r="V58" i="22"/>
  <c r="T58" i="22"/>
  <c r="Q58" i="22"/>
  <c r="V57" i="22"/>
  <c r="T57" i="22"/>
  <c r="Q57" i="22"/>
  <c r="V56" i="22"/>
  <c r="T56" i="22"/>
  <c r="Q56" i="22"/>
  <c r="V55" i="22"/>
  <c r="T55" i="22"/>
  <c r="Q55" i="22"/>
  <c r="V54" i="22"/>
  <c r="T54" i="22"/>
  <c r="Q54" i="22"/>
  <c r="V53" i="22"/>
  <c r="T53" i="22"/>
  <c r="Q53" i="22"/>
  <c r="V52" i="22"/>
  <c r="T52" i="22"/>
  <c r="Q52" i="22"/>
  <c r="V51" i="22"/>
  <c r="T51" i="22"/>
  <c r="Q51" i="22"/>
  <c r="V50" i="22"/>
  <c r="T50" i="22"/>
  <c r="Q50"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85" i="21" l="1"/>
  <c r="V85" i="21" s="1"/>
  <c r="Q85" i="21"/>
  <c r="T84" i="21"/>
  <c r="V84" i="21" s="1"/>
  <c r="Q84" i="21"/>
  <c r="T83" i="21"/>
  <c r="V83" i="21" s="1"/>
  <c r="Q83" i="21"/>
  <c r="T79" i="21"/>
  <c r="V79" i="21" s="1"/>
  <c r="Q79" i="21"/>
  <c r="T78" i="21"/>
  <c r="V78" i="21" s="1"/>
  <c r="Q78" i="21"/>
  <c r="T77" i="21"/>
  <c r="V77" i="21" s="1"/>
  <c r="Q77" i="21"/>
  <c r="T76" i="21"/>
  <c r="V76" i="21" s="1"/>
  <c r="Q76" i="21"/>
  <c r="T75" i="21"/>
  <c r="V75" i="21" s="1"/>
  <c r="Q75" i="21"/>
  <c r="T74" i="21"/>
  <c r="V74" i="21" s="1"/>
  <c r="Q74" i="21"/>
  <c r="T73" i="21"/>
  <c r="V73" i="21" s="1"/>
  <c r="Q73" i="21"/>
  <c r="T72" i="21"/>
  <c r="V72" i="21" s="1"/>
  <c r="Q72" i="21"/>
  <c r="T71" i="21"/>
  <c r="V71" i="21" s="1"/>
  <c r="Q71" i="21"/>
  <c r="T70" i="21"/>
  <c r="V70" i="21" s="1"/>
  <c r="Q70" i="21"/>
  <c r="T69" i="21"/>
  <c r="V69" i="21" s="1"/>
  <c r="Q69" i="21"/>
  <c r="T68" i="21"/>
  <c r="V68" i="21" s="1"/>
  <c r="Q68"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112" i="20" l="1"/>
  <c r="V112" i="20" s="1"/>
  <c r="Q112" i="20"/>
  <c r="T111" i="20"/>
  <c r="V111" i="20" s="1"/>
  <c r="Q111" i="20"/>
  <c r="T110" i="20"/>
  <c r="V110" i="20" s="1"/>
  <c r="Q110" i="20"/>
  <c r="T109" i="20"/>
  <c r="V109" i="20" s="1"/>
  <c r="Q109" i="20"/>
  <c r="T108" i="20"/>
  <c r="V108" i="20" s="1"/>
  <c r="Q108" i="20"/>
  <c r="T107" i="20"/>
  <c r="V107" i="20" s="1"/>
  <c r="Q107" i="20"/>
  <c r="T106" i="20"/>
  <c r="V106" i="20" s="1"/>
  <c r="Q106" i="20"/>
  <c r="T105" i="20"/>
  <c r="V105" i="20" s="1"/>
  <c r="Q105" i="20"/>
  <c r="T104" i="20"/>
  <c r="V104" i="20" s="1"/>
  <c r="Q104" i="20"/>
  <c r="T103" i="20"/>
  <c r="V103" i="20" s="1"/>
  <c r="Q103" i="20"/>
  <c r="T102" i="20"/>
  <c r="V102" i="20" s="1"/>
  <c r="Q102" i="20"/>
  <c r="T101" i="20"/>
  <c r="V101" i="20" s="1"/>
  <c r="Q101" i="20"/>
  <c r="T100" i="20"/>
  <c r="V100" i="20" s="1"/>
  <c r="Q100" i="20"/>
  <c r="T99" i="20"/>
  <c r="V99" i="20" s="1"/>
  <c r="Q99" i="20"/>
  <c r="T98" i="20"/>
  <c r="V98" i="20" s="1"/>
  <c r="Q98" i="20"/>
  <c r="T97" i="20"/>
  <c r="V97" i="20" s="1"/>
  <c r="Q97" i="20"/>
  <c r="T96" i="20"/>
  <c r="V96" i="20" s="1"/>
  <c r="Q96" i="20"/>
  <c r="T95" i="20"/>
  <c r="V95" i="20" s="1"/>
  <c r="Q95" i="20"/>
  <c r="T94" i="20"/>
  <c r="V94" i="20" s="1"/>
  <c r="Q94" i="20"/>
  <c r="T93" i="20"/>
  <c r="V93" i="20" s="1"/>
  <c r="Q93" i="20"/>
  <c r="T92" i="20"/>
  <c r="V92" i="20" s="1"/>
  <c r="Q92" i="20"/>
  <c r="T91" i="20"/>
  <c r="V91" i="20" s="1"/>
  <c r="Q91" i="20"/>
  <c r="T90" i="20"/>
  <c r="V90" i="20" s="1"/>
  <c r="Q90" i="20"/>
  <c r="T89" i="20"/>
  <c r="V89" i="20" s="1"/>
  <c r="Q89" i="20"/>
  <c r="T88" i="20"/>
  <c r="V88" i="20" s="1"/>
  <c r="Q88" i="20"/>
  <c r="T87" i="20"/>
  <c r="V87" i="20" s="1"/>
  <c r="Q87" i="20"/>
  <c r="T86" i="20"/>
  <c r="V86" i="20" s="1"/>
  <c r="Q86" i="20"/>
  <c r="T85" i="20"/>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67" i="19" l="1"/>
  <c r="V67" i="19" s="1"/>
  <c r="Q67" i="19"/>
  <c r="T66" i="19"/>
  <c r="V66" i="19" s="1"/>
  <c r="Q66" i="19"/>
  <c r="T65" i="19"/>
  <c r="V65" i="19" s="1"/>
  <c r="Q65" i="19"/>
  <c r="T64" i="19"/>
  <c r="V64" i="19" s="1"/>
  <c r="Q64" i="19"/>
  <c r="T63" i="19"/>
  <c r="V63" i="19" s="1"/>
  <c r="Q63" i="19"/>
  <c r="T62" i="19"/>
  <c r="V62" i="19" s="1"/>
  <c r="Q62" i="19"/>
  <c r="T61" i="19"/>
  <c r="V61" i="19" s="1"/>
  <c r="Q61" i="19"/>
  <c r="T60" i="19"/>
  <c r="V60" i="19" s="1"/>
  <c r="Q60" i="19"/>
  <c r="T59" i="19"/>
  <c r="V59" i="19" s="1"/>
  <c r="Q59" i="19"/>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423" i="18" l="1"/>
  <c r="T422" i="18"/>
  <c r="T421" i="18"/>
  <c r="T420" i="18"/>
  <c r="T419" i="18"/>
  <c r="T418" i="18"/>
  <c r="T417" i="18"/>
  <c r="T416" i="18"/>
  <c r="T415" i="18"/>
  <c r="T414" i="18"/>
  <c r="T413" i="18"/>
  <c r="T412" i="18"/>
  <c r="T411" i="18"/>
  <c r="T410" i="18"/>
  <c r="T409" i="18"/>
  <c r="T408" i="18"/>
  <c r="T407" i="18"/>
  <c r="T406" i="18"/>
  <c r="T405" i="18"/>
  <c r="T404" i="18"/>
  <c r="V403" i="18"/>
  <c r="T403" i="18"/>
  <c r="V402" i="18"/>
  <c r="T402" i="18"/>
  <c r="T401" i="18"/>
  <c r="V401" i="18" s="1"/>
  <c r="V400" i="18"/>
  <c r="T400" i="18"/>
  <c r="V399" i="18"/>
  <c r="T399" i="18"/>
  <c r="V398" i="18"/>
  <c r="T398" i="18"/>
  <c r="V397" i="18"/>
  <c r="T397" i="18"/>
  <c r="V396" i="18"/>
  <c r="T396" i="18"/>
  <c r="T395" i="18"/>
  <c r="V395" i="18" s="1"/>
  <c r="Q395" i="18"/>
  <c r="T394" i="18"/>
  <c r="V394" i="18" s="1"/>
  <c r="Q394" i="18"/>
  <c r="V393" i="18"/>
  <c r="T393" i="18"/>
  <c r="Q393" i="18"/>
  <c r="T392" i="18"/>
  <c r="V392" i="18" s="1"/>
  <c r="Q392" i="18"/>
  <c r="T391" i="18"/>
  <c r="V391" i="18" s="1"/>
  <c r="Q391" i="18"/>
  <c r="T390" i="18"/>
  <c r="V390" i="18" s="1"/>
  <c r="Q390" i="18"/>
  <c r="V389" i="18"/>
  <c r="T389" i="18"/>
  <c r="Q389" i="18"/>
  <c r="T388" i="18"/>
  <c r="V388" i="18" s="1"/>
  <c r="Q388" i="18"/>
  <c r="T387" i="18"/>
  <c r="V387" i="18" s="1"/>
  <c r="Q387" i="18"/>
  <c r="T386" i="18"/>
  <c r="V386" i="18" s="1"/>
  <c r="Q386" i="18"/>
  <c r="V385" i="18"/>
  <c r="T385" i="18"/>
  <c r="Q385" i="18"/>
  <c r="T384" i="18"/>
  <c r="V384" i="18" s="1"/>
  <c r="Q384" i="18"/>
  <c r="T383" i="18"/>
  <c r="V383" i="18" s="1"/>
  <c r="Q383" i="18"/>
  <c r="T382" i="18"/>
  <c r="V382" i="18" s="1"/>
  <c r="Q382" i="18"/>
  <c r="V381" i="18"/>
  <c r="T381" i="18"/>
  <c r="Q381" i="18"/>
  <c r="T380" i="18"/>
  <c r="V380" i="18" s="1"/>
  <c r="Q380" i="18"/>
  <c r="T379" i="18"/>
  <c r="V379" i="18" s="1"/>
  <c r="Q379" i="18"/>
  <c r="T378" i="18"/>
  <c r="V378" i="18" s="1"/>
  <c r="Q378" i="18"/>
  <c r="V377" i="18"/>
  <c r="T377" i="18"/>
  <c r="Q377" i="18"/>
  <c r="T376" i="18"/>
  <c r="V376" i="18" s="1"/>
  <c r="Q376" i="18"/>
  <c r="T375" i="18"/>
  <c r="V375" i="18" s="1"/>
  <c r="Q375" i="18"/>
  <c r="T374" i="18"/>
  <c r="V374" i="18" s="1"/>
  <c r="Q374" i="18"/>
  <c r="V373" i="18"/>
  <c r="T373" i="18"/>
  <c r="Q373" i="18"/>
  <c r="T372" i="18"/>
  <c r="V372" i="18" s="1"/>
  <c r="Q372" i="18"/>
  <c r="T371" i="18"/>
  <c r="V371" i="18" s="1"/>
  <c r="Q371" i="18"/>
  <c r="T370" i="18"/>
  <c r="V370" i="18" s="1"/>
  <c r="Q370" i="18"/>
  <c r="V369" i="18"/>
  <c r="T369" i="18"/>
  <c r="Q369" i="18"/>
  <c r="T368" i="18"/>
  <c r="V368" i="18" s="1"/>
  <c r="Q368" i="18"/>
  <c r="T367" i="18"/>
  <c r="V367" i="18" s="1"/>
  <c r="Q367" i="18"/>
  <c r="T366" i="18"/>
  <c r="V366" i="18" s="1"/>
  <c r="Q366" i="18"/>
  <c r="V365" i="18"/>
  <c r="T365" i="18"/>
  <c r="Q365" i="18"/>
  <c r="T364" i="18"/>
  <c r="V364" i="18" s="1"/>
  <c r="Q364" i="18"/>
  <c r="T363" i="18"/>
  <c r="V363" i="18" s="1"/>
  <c r="Q363" i="18"/>
  <c r="T362" i="18"/>
  <c r="V362" i="18" s="1"/>
  <c r="Q362" i="18"/>
  <c r="V361" i="18"/>
  <c r="T361" i="18"/>
  <c r="Q361" i="18"/>
  <c r="T360" i="18"/>
  <c r="V360" i="18" s="1"/>
  <c r="Q360" i="18"/>
  <c r="T359" i="18"/>
  <c r="V359" i="18" s="1"/>
  <c r="Q359" i="18"/>
  <c r="T358" i="18"/>
  <c r="V358" i="18" s="1"/>
  <c r="Q358" i="18"/>
  <c r="V357" i="18"/>
  <c r="T357" i="18"/>
  <c r="Q357" i="18"/>
  <c r="T356" i="18"/>
  <c r="V356" i="18" s="1"/>
  <c r="Q356" i="18"/>
  <c r="T355" i="18"/>
  <c r="V355" i="18" s="1"/>
  <c r="Q355" i="18"/>
  <c r="T354" i="18"/>
  <c r="V354" i="18" s="1"/>
  <c r="Q354" i="18"/>
  <c r="V353" i="18"/>
  <c r="T353" i="18"/>
  <c r="Q353" i="18"/>
  <c r="T352" i="18"/>
  <c r="V352" i="18" s="1"/>
  <c r="Q352" i="18"/>
  <c r="T351" i="18"/>
  <c r="V351" i="18" s="1"/>
  <c r="Q351" i="18"/>
  <c r="T350" i="18"/>
  <c r="V350" i="18" s="1"/>
  <c r="Q350" i="18"/>
  <c r="V349" i="18"/>
  <c r="T349" i="18"/>
  <c r="Q349" i="18"/>
  <c r="T348" i="18"/>
  <c r="V348" i="18" s="1"/>
  <c r="Q348" i="18"/>
  <c r="T347" i="18"/>
  <c r="V347" i="18" s="1"/>
  <c r="Q347" i="18"/>
  <c r="V346" i="18"/>
  <c r="T346" i="18"/>
  <c r="Q346" i="18"/>
  <c r="V345" i="18"/>
  <c r="T345" i="18"/>
  <c r="Q345" i="18"/>
  <c r="T344" i="18"/>
  <c r="V344" i="18" s="1"/>
  <c r="Q344" i="18"/>
  <c r="T343" i="18"/>
  <c r="V343" i="18" s="1"/>
  <c r="Q343" i="18"/>
  <c r="T342" i="18"/>
  <c r="V342" i="18" s="1"/>
  <c r="Q342" i="18"/>
  <c r="V341" i="18"/>
  <c r="T341" i="18"/>
  <c r="Q341" i="18"/>
  <c r="T340" i="18"/>
  <c r="V340" i="18" s="1"/>
  <c r="Q340" i="18"/>
  <c r="T339" i="18"/>
  <c r="V339" i="18" s="1"/>
  <c r="Q339" i="18"/>
  <c r="V338" i="18"/>
  <c r="T338" i="18"/>
  <c r="Q338" i="18"/>
  <c r="V337" i="18"/>
  <c r="T337" i="18"/>
  <c r="Q337" i="18"/>
  <c r="T336" i="18"/>
  <c r="V336" i="18" s="1"/>
  <c r="Q336" i="18"/>
  <c r="T335" i="18"/>
  <c r="V335" i="18" s="1"/>
  <c r="Q335" i="18"/>
  <c r="T334" i="18"/>
  <c r="V334" i="18" s="1"/>
  <c r="Q334" i="18"/>
  <c r="V333" i="18"/>
  <c r="T333" i="18"/>
  <c r="Q333" i="18"/>
  <c r="T332" i="18"/>
  <c r="V332" i="18" s="1"/>
  <c r="Q332" i="18"/>
  <c r="T331" i="18"/>
  <c r="V331" i="18" s="1"/>
  <c r="Q331" i="18"/>
  <c r="T330" i="18"/>
  <c r="V330" i="18" s="1"/>
  <c r="Q330" i="18"/>
  <c r="T329" i="18"/>
  <c r="V329" i="18" s="1"/>
  <c r="Q329" i="18"/>
  <c r="T328" i="18"/>
  <c r="V328" i="18" s="1"/>
  <c r="Q328" i="18"/>
  <c r="T327" i="18"/>
  <c r="V327" i="18" s="1"/>
  <c r="Q327" i="18"/>
  <c r="T326" i="18"/>
  <c r="V326" i="18" s="1"/>
  <c r="Q326" i="18"/>
  <c r="V325" i="18"/>
  <c r="T325" i="18"/>
  <c r="Q325" i="18"/>
  <c r="T324" i="18"/>
  <c r="V324" i="18" s="1"/>
  <c r="Q324" i="18"/>
  <c r="T323" i="18"/>
  <c r="V323" i="18" s="1"/>
  <c r="Q323" i="18"/>
  <c r="V322" i="18"/>
  <c r="T322" i="18"/>
  <c r="Q322" i="18"/>
  <c r="T321" i="18"/>
  <c r="V321" i="18" s="1"/>
  <c r="Q321" i="18"/>
  <c r="T320" i="18"/>
  <c r="V320" i="18" s="1"/>
  <c r="Q320" i="18"/>
  <c r="T319" i="18"/>
  <c r="V319" i="18" s="1"/>
  <c r="Q319" i="18"/>
  <c r="T318" i="18"/>
  <c r="V318" i="18" s="1"/>
  <c r="Q318" i="18"/>
  <c r="T317" i="18"/>
  <c r="V317" i="18" s="1"/>
  <c r="Q317" i="18"/>
  <c r="T316" i="18"/>
  <c r="V316" i="18" s="1"/>
  <c r="Q316" i="18"/>
  <c r="T315" i="18"/>
  <c r="V315" i="18" s="1"/>
  <c r="Q315" i="18"/>
  <c r="V314" i="18"/>
  <c r="T314" i="18"/>
  <c r="Q314" i="18"/>
  <c r="V313" i="18"/>
  <c r="T313" i="18"/>
  <c r="Q313" i="18"/>
  <c r="T312" i="18"/>
  <c r="V312" i="18" s="1"/>
  <c r="Q312" i="18"/>
  <c r="T311" i="18"/>
  <c r="V311" i="18" s="1"/>
  <c r="Q311" i="18"/>
  <c r="T310" i="18"/>
  <c r="V310" i="18" s="1"/>
  <c r="Q310" i="18"/>
  <c r="V309" i="18"/>
  <c r="T309" i="18"/>
  <c r="Q309" i="18"/>
  <c r="T308" i="18"/>
  <c r="V308" i="18" s="1"/>
  <c r="Q308" i="18"/>
  <c r="T307" i="18"/>
  <c r="V307" i="18" s="1"/>
  <c r="Q307" i="18"/>
  <c r="T306" i="18"/>
  <c r="V306" i="18" s="1"/>
  <c r="Q306" i="18"/>
  <c r="T305" i="18"/>
  <c r="V305" i="18" s="1"/>
  <c r="Q305" i="18"/>
  <c r="T304" i="18"/>
  <c r="V304" i="18" s="1"/>
  <c r="Q304" i="18"/>
  <c r="T303" i="18"/>
  <c r="V303" i="18" s="1"/>
  <c r="Q303" i="18"/>
  <c r="V302" i="18"/>
  <c r="T302" i="18"/>
  <c r="Q302" i="18"/>
  <c r="T301" i="18"/>
  <c r="V301" i="18" s="1"/>
  <c r="Q301" i="18"/>
  <c r="T300" i="18"/>
  <c r="V300" i="18" s="1"/>
  <c r="Q300" i="18"/>
  <c r="T299" i="18"/>
  <c r="V299" i="18" s="1"/>
  <c r="Q299" i="18"/>
  <c r="V298" i="18"/>
  <c r="T298" i="18"/>
  <c r="Q298" i="18"/>
  <c r="T297" i="18"/>
  <c r="V297" i="18" s="1"/>
  <c r="Q297" i="18"/>
  <c r="T296" i="18"/>
  <c r="V296" i="18" s="1"/>
  <c r="Q296" i="18"/>
  <c r="T295" i="18"/>
  <c r="V295" i="18" s="1"/>
  <c r="Q295" i="18"/>
  <c r="T294" i="18"/>
  <c r="V294" i="18" s="1"/>
  <c r="Q294" i="18"/>
  <c r="T293" i="18"/>
  <c r="V293" i="18" s="1"/>
  <c r="Q293" i="18"/>
  <c r="T292" i="18"/>
  <c r="V292" i="18" s="1"/>
  <c r="Q292" i="18"/>
  <c r="T291" i="18"/>
  <c r="V291" i="18" s="1"/>
  <c r="Q291" i="18"/>
  <c r="V290" i="18"/>
  <c r="T290" i="18"/>
  <c r="Q290" i="18"/>
  <c r="V289" i="18"/>
  <c r="T289" i="18"/>
  <c r="Q289" i="18"/>
  <c r="T288" i="18"/>
  <c r="V288" i="18" s="1"/>
  <c r="Q288" i="18"/>
  <c r="T287" i="18"/>
  <c r="V287" i="18" s="1"/>
  <c r="Q287" i="18"/>
  <c r="T286" i="18"/>
  <c r="V286" i="18" s="1"/>
  <c r="Q286" i="18"/>
  <c r="V285" i="18"/>
  <c r="T285" i="18"/>
  <c r="Q285" i="18"/>
  <c r="T284" i="18"/>
  <c r="V284" i="18" s="1"/>
  <c r="Q284" i="18"/>
  <c r="T283" i="18"/>
  <c r="V283" i="18" s="1"/>
  <c r="Q283" i="18"/>
  <c r="T282" i="18"/>
  <c r="V282" i="18" s="1"/>
  <c r="Q282" i="18"/>
  <c r="T281" i="18"/>
  <c r="V281" i="18" s="1"/>
  <c r="Q281" i="18"/>
  <c r="T280" i="18"/>
  <c r="V280" i="18" s="1"/>
  <c r="Q280" i="18"/>
  <c r="T279" i="18"/>
  <c r="V279" i="18" s="1"/>
  <c r="Q279" i="18"/>
  <c r="T278" i="18"/>
  <c r="V278" i="18" s="1"/>
  <c r="Q278" i="18"/>
  <c r="T277" i="18"/>
  <c r="V277" i="18" s="1"/>
  <c r="Q277" i="18"/>
  <c r="T276" i="18"/>
  <c r="V276" i="18" s="1"/>
  <c r="Q276" i="18"/>
  <c r="T275" i="18"/>
  <c r="V275" i="18" s="1"/>
  <c r="Q275" i="18"/>
  <c r="V274" i="18"/>
  <c r="T274" i="18"/>
  <c r="Q274" i="18"/>
  <c r="V273" i="18"/>
  <c r="T273" i="18"/>
  <c r="Q273" i="18"/>
  <c r="T272" i="18"/>
  <c r="V272" i="18" s="1"/>
  <c r="Q272" i="18"/>
  <c r="T271" i="18"/>
  <c r="V271" i="18" s="1"/>
  <c r="Q271" i="18"/>
  <c r="T270" i="18"/>
  <c r="V270" i="18" s="1"/>
  <c r="Q270" i="18"/>
  <c r="T269" i="18"/>
  <c r="V269" i="18" s="1"/>
  <c r="Q269" i="18"/>
  <c r="T268" i="18"/>
  <c r="V268" i="18" s="1"/>
  <c r="Q268" i="18"/>
  <c r="T267" i="18"/>
  <c r="V267" i="18" s="1"/>
  <c r="Q267" i="18"/>
  <c r="V266" i="18"/>
  <c r="T266" i="18"/>
  <c r="Q266" i="18"/>
  <c r="V265" i="18"/>
  <c r="T265" i="18"/>
  <c r="Q265" i="18"/>
  <c r="T264" i="18"/>
  <c r="V264" i="18" s="1"/>
  <c r="Q264" i="18"/>
  <c r="T263" i="18"/>
  <c r="V263" i="18" s="1"/>
  <c r="Q263" i="18"/>
  <c r="T262" i="18"/>
  <c r="V262" i="18" s="1"/>
  <c r="Q262" i="18"/>
  <c r="V261" i="18"/>
  <c r="T261" i="18"/>
  <c r="Q261" i="18"/>
  <c r="T260" i="18"/>
  <c r="V260" i="18" s="1"/>
  <c r="Q260" i="18"/>
  <c r="T259" i="18"/>
  <c r="V259" i="18" s="1"/>
  <c r="Q259" i="18"/>
  <c r="V258" i="18"/>
  <c r="T258" i="18"/>
  <c r="Q258" i="18"/>
  <c r="T257" i="18"/>
  <c r="V257" i="18" s="1"/>
  <c r="Q257" i="18"/>
  <c r="T256" i="18"/>
  <c r="V256" i="18" s="1"/>
  <c r="Q256" i="18"/>
  <c r="T255" i="18"/>
  <c r="V255" i="18" s="1"/>
  <c r="Q255" i="18"/>
  <c r="T254" i="18"/>
  <c r="V254" i="18" s="1"/>
  <c r="Q254" i="18"/>
  <c r="T253" i="18"/>
  <c r="V253" i="18" s="1"/>
  <c r="Q253" i="18"/>
  <c r="T252" i="18"/>
  <c r="V252" i="18" s="1"/>
  <c r="Q252" i="18"/>
  <c r="T251" i="18"/>
  <c r="V251" i="18" s="1"/>
  <c r="Q251" i="18"/>
  <c r="V250" i="18"/>
  <c r="T250" i="18"/>
  <c r="Q250" i="18"/>
  <c r="T249" i="18"/>
  <c r="V249" i="18" s="1"/>
  <c r="Q249" i="18"/>
  <c r="T248" i="18"/>
  <c r="V248" i="18" s="1"/>
  <c r="Q248" i="18"/>
  <c r="T247" i="18"/>
  <c r="V247" i="18" s="1"/>
  <c r="Q247" i="18"/>
  <c r="T246" i="18"/>
  <c r="V246" i="18" s="1"/>
  <c r="Q246" i="18"/>
  <c r="T245" i="18"/>
  <c r="V245" i="18" s="1"/>
  <c r="Q245" i="18"/>
  <c r="T244" i="18"/>
  <c r="V244" i="18" s="1"/>
  <c r="Q244" i="18"/>
  <c r="T243" i="18"/>
  <c r="V243" i="18" s="1"/>
  <c r="Q243" i="18"/>
  <c r="V242" i="18"/>
  <c r="T242" i="18"/>
  <c r="Q242" i="18"/>
  <c r="V241" i="18"/>
  <c r="T241" i="18"/>
  <c r="Q241" i="18"/>
  <c r="T240" i="18"/>
  <c r="V240" i="18" s="1"/>
  <c r="Q240" i="18"/>
  <c r="T239" i="18"/>
  <c r="V239" i="18" s="1"/>
  <c r="Q239" i="18"/>
  <c r="T238" i="18"/>
  <c r="V238" i="18" s="1"/>
  <c r="Q238" i="18"/>
  <c r="V237" i="18"/>
  <c r="T237" i="18"/>
  <c r="Q237" i="18"/>
  <c r="T236" i="18"/>
  <c r="V236" i="18" s="1"/>
  <c r="Q236" i="18"/>
  <c r="T235" i="18"/>
  <c r="V235" i="18" s="1"/>
  <c r="Q235" i="18"/>
  <c r="V234" i="18"/>
  <c r="T234" i="18"/>
  <c r="Q234" i="18"/>
  <c r="T233" i="18"/>
  <c r="V233" i="18" s="1"/>
  <c r="Q233" i="18"/>
  <c r="T232" i="18"/>
  <c r="V232" i="18" s="1"/>
  <c r="Q232" i="18"/>
  <c r="T231" i="18"/>
  <c r="V231" i="18" s="1"/>
  <c r="Q231" i="18"/>
  <c r="V230" i="18"/>
  <c r="T230" i="18"/>
  <c r="Q230" i="18"/>
  <c r="T229" i="18"/>
  <c r="V229" i="18" s="1"/>
  <c r="Q229" i="18"/>
  <c r="T228" i="18"/>
  <c r="V228" i="18" s="1"/>
  <c r="Q228" i="18"/>
  <c r="T227" i="18"/>
  <c r="V227" i="18" s="1"/>
  <c r="Q227" i="18"/>
  <c r="V226" i="18"/>
  <c r="T226" i="18"/>
  <c r="Q226" i="18"/>
  <c r="T225" i="18"/>
  <c r="V225" i="18" s="1"/>
  <c r="Q225" i="18"/>
  <c r="T224" i="18"/>
  <c r="V224" i="18" s="1"/>
  <c r="Q224" i="18"/>
  <c r="T223" i="18"/>
  <c r="V223" i="18" s="1"/>
  <c r="Q223" i="18"/>
  <c r="V222" i="18"/>
  <c r="T222" i="18"/>
  <c r="Q222" i="18"/>
  <c r="T221" i="18"/>
  <c r="V221" i="18" s="1"/>
  <c r="Q221" i="18"/>
  <c r="T220" i="18"/>
  <c r="V220" i="18" s="1"/>
  <c r="Q220" i="18"/>
  <c r="T219" i="18"/>
  <c r="V219" i="18" s="1"/>
  <c r="Q219" i="18"/>
  <c r="V218" i="18"/>
  <c r="T218" i="18"/>
  <c r="Q218" i="18"/>
  <c r="V217" i="18"/>
  <c r="T217" i="18"/>
  <c r="Q217" i="18"/>
  <c r="T216" i="18"/>
  <c r="V216" i="18" s="1"/>
  <c r="Q216" i="18"/>
  <c r="T215" i="18"/>
  <c r="V215" i="18" s="1"/>
  <c r="Q215" i="18"/>
  <c r="T214" i="18"/>
  <c r="V214" i="18" s="1"/>
  <c r="Q214" i="18"/>
  <c r="T213" i="18"/>
  <c r="V213" i="18" s="1"/>
  <c r="Q213" i="18"/>
  <c r="T212" i="18"/>
  <c r="V212" i="18" s="1"/>
  <c r="Q212" i="18"/>
  <c r="T211" i="18"/>
  <c r="V211" i="18" s="1"/>
  <c r="Q211" i="18"/>
  <c r="V210" i="18"/>
  <c r="T210" i="18"/>
  <c r="Q210" i="18"/>
  <c r="T209" i="18"/>
  <c r="V209" i="18" s="1"/>
  <c r="Q209" i="18"/>
  <c r="T208" i="18"/>
  <c r="V208" i="18" s="1"/>
  <c r="Q208" i="18"/>
  <c r="T207" i="18"/>
  <c r="V207" i="18" s="1"/>
  <c r="Q207" i="18"/>
  <c r="V206" i="18"/>
  <c r="T206" i="18"/>
  <c r="Q206" i="18"/>
  <c r="T205" i="18"/>
  <c r="V205" i="18" s="1"/>
  <c r="Q205" i="18"/>
  <c r="T204" i="18"/>
  <c r="V204" i="18" s="1"/>
  <c r="Q204" i="18"/>
  <c r="T203" i="18"/>
  <c r="V203" i="18" s="1"/>
  <c r="Q203" i="18"/>
  <c r="V202" i="18"/>
  <c r="T202" i="18"/>
  <c r="Q202" i="18"/>
  <c r="T201" i="18"/>
  <c r="V201" i="18" s="1"/>
  <c r="Q201" i="18"/>
  <c r="T200" i="18"/>
  <c r="V200" i="18" s="1"/>
  <c r="Q200" i="18"/>
  <c r="T199" i="18"/>
  <c r="V199" i="18" s="1"/>
  <c r="Q199" i="18"/>
  <c r="V198" i="18"/>
  <c r="T198" i="18"/>
  <c r="Q198" i="18"/>
  <c r="T197" i="18"/>
  <c r="V197" i="18" s="1"/>
  <c r="Q197" i="18"/>
  <c r="T196" i="18"/>
  <c r="V196" i="18" s="1"/>
  <c r="Q196" i="18"/>
  <c r="T195" i="18"/>
  <c r="V195" i="18" s="1"/>
  <c r="Q195" i="18"/>
  <c r="V194" i="18"/>
  <c r="T194" i="18"/>
  <c r="Q194" i="18"/>
  <c r="V193" i="18"/>
  <c r="T193" i="18"/>
  <c r="Q193" i="18"/>
  <c r="T192" i="18"/>
  <c r="V192" i="18" s="1"/>
  <c r="Q192" i="18"/>
  <c r="T191" i="18"/>
  <c r="V191" i="18" s="1"/>
  <c r="Q191" i="18"/>
  <c r="T190" i="18"/>
  <c r="V190" i="18" s="1"/>
  <c r="Q190" i="18"/>
  <c r="T189" i="18"/>
  <c r="V189" i="18" s="1"/>
  <c r="Q189" i="18"/>
  <c r="T188" i="18"/>
  <c r="V188" i="18" s="1"/>
  <c r="Q188" i="18"/>
  <c r="T187" i="18"/>
  <c r="V187" i="18" s="1"/>
  <c r="Q187" i="18"/>
  <c r="V186" i="18"/>
  <c r="T186" i="18"/>
  <c r="Q186" i="18"/>
  <c r="T185" i="18"/>
  <c r="V185" i="18" s="1"/>
  <c r="Q185" i="18"/>
  <c r="T184" i="18"/>
  <c r="V184" i="18" s="1"/>
  <c r="Q184" i="18"/>
  <c r="T183" i="18"/>
  <c r="V183" i="18" s="1"/>
  <c r="Q183" i="18"/>
  <c r="V182" i="18"/>
  <c r="T182" i="18"/>
  <c r="Q182" i="18"/>
  <c r="T181" i="18"/>
  <c r="V181" i="18" s="1"/>
  <c r="Q181" i="18"/>
  <c r="T180" i="18"/>
  <c r="V180" i="18" s="1"/>
  <c r="Q180" i="18"/>
  <c r="T179" i="18"/>
  <c r="V179" i="18" s="1"/>
  <c r="Q179" i="18"/>
  <c r="V178" i="18"/>
  <c r="T178" i="18"/>
  <c r="Q178" i="18"/>
  <c r="T177" i="18"/>
  <c r="V177" i="18" s="1"/>
  <c r="Q177" i="18"/>
  <c r="T176" i="18"/>
  <c r="V176" i="18" s="1"/>
  <c r="Q176" i="18"/>
  <c r="T175" i="18"/>
  <c r="V175" i="18" s="1"/>
  <c r="Q175" i="18"/>
  <c r="V174" i="18"/>
  <c r="T174" i="18"/>
  <c r="Q174" i="18"/>
  <c r="T173" i="18"/>
  <c r="V173" i="18" s="1"/>
  <c r="Q173" i="18"/>
  <c r="T172" i="18"/>
  <c r="V172" i="18" s="1"/>
  <c r="Q172" i="18"/>
  <c r="T171" i="18"/>
  <c r="V171" i="18" s="1"/>
  <c r="Q171" i="18"/>
  <c r="T170" i="18"/>
  <c r="V170" i="18" s="1"/>
  <c r="Q170" i="18"/>
  <c r="T169" i="18"/>
  <c r="V169" i="18" s="1"/>
  <c r="Q169" i="18"/>
  <c r="T168" i="18"/>
  <c r="V168" i="18" s="1"/>
  <c r="Q168" i="18"/>
  <c r="T167" i="18"/>
  <c r="V167" i="18" s="1"/>
  <c r="Q167" i="18"/>
  <c r="V166" i="18"/>
  <c r="T166" i="18"/>
  <c r="Q166" i="18"/>
  <c r="V165" i="18"/>
  <c r="T165" i="18"/>
  <c r="Q165" i="18"/>
  <c r="T164" i="18"/>
  <c r="V164" i="18" s="1"/>
  <c r="Q164" i="18"/>
  <c r="T163" i="18"/>
  <c r="V163" i="18" s="1"/>
  <c r="Q163" i="18"/>
  <c r="V162" i="18"/>
  <c r="T162" i="18"/>
  <c r="Q162" i="18"/>
  <c r="V161" i="18"/>
  <c r="T161" i="18"/>
  <c r="Q161" i="18"/>
  <c r="T160" i="18"/>
  <c r="V160" i="18" s="1"/>
  <c r="Q160" i="18"/>
  <c r="T159" i="18"/>
  <c r="V159" i="18" s="1"/>
  <c r="Q159" i="18"/>
  <c r="V158" i="18"/>
  <c r="T158" i="18"/>
  <c r="Q158" i="18"/>
  <c r="T157" i="18"/>
  <c r="V157" i="18" s="1"/>
  <c r="Q157" i="18"/>
  <c r="T156" i="18"/>
  <c r="V156" i="18" s="1"/>
  <c r="Q156" i="18"/>
  <c r="T155" i="18"/>
  <c r="V155" i="18" s="1"/>
  <c r="Q155" i="18"/>
  <c r="V154" i="18"/>
  <c r="T154" i="18"/>
  <c r="Q154" i="18"/>
  <c r="T153" i="18"/>
  <c r="V153" i="18" s="1"/>
  <c r="Q153" i="18"/>
  <c r="T152" i="18"/>
  <c r="V152" i="18" s="1"/>
  <c r="Q152" i="18"/>
  <c r="T151" i="18"/>
  <c r="V151" i="18" s="1"/>
  <c r="Q151" i="18"/>
  <c r="V150" i="18"/>
  <c r="T150" i="18"/>
  <c r="Q150" i="18"/>
  <c r="T149" i="18"/>
  <c r="V149" i="18" s="1"/>
  <c r="Q149" i="18"/>
  <c r="T148" i="18"/>
  <c r="V148" i="18" s="1"/>
  <c r="Q148" i="18"/>
  <c r="T147" i="18"/>
  <c r="V147" i="18" s="1"/>
  <c r="Q147" i="18"/>
  <c r="T146" i="18"/>
  <c r="V146" i="18" s="1"/>
  <c r="Q146" i="18"/>
  <c r="T145" i="18"/>
  <c r="V145" i="18" s="1"/>
  <c r="Q145" i="18"/>
  <c r="T144" i="18"/>
  <c r="V144" i="18" s="1"/>
  <c r="Q144" i="18"/>
  <c r="T143" i="18"/>
  <c r="V143" i="18" s="1"/>
  <c r="Q143" i="18"/>
  <c r="V142" i="18"/>
  <c r="T142" i="18"/>
  <c r="Q142" i="18"/>
  <c r="T141" i="18"/>
  <c r="V141" i="18" s="1"/>
  <c r="Q141" i="18"/>
  <c r="T140" i="18"/>
  <c r="V140" i="18" s="1"/>
  <c r="Q140" i="18"/>
  <c r="T139" i="18"/>
  <c r="V139" i="18" s="1"/>
  <c r="Q139" i="18"/>
  <c r="V138" i="18"/>
  <c r="T138" i="18"/>
  <c r="Q138" i="18"/>
  <c r="T137" i="18"/>
  <c r="V137" i="18" s="1"/>
  <c r="Q137" i="18"/>
  <c r="T136" i="18"/>
  <c r="V136" i="18" s="1"/>
  <c r="Q136" i="18"/>
  <c r="T135" i="18"/>
  <c r="V135" i="18" s="1"/>
  <c r="Q135" i="18"/>
  <c r="V134" i="18"/>
  <c r="T134" i="18"/>
  <c r="Q134" i="18"/>
  <c r="T133" i="18"/>
  <c r="V133" i="18" s="1"/>
  <c r="Q133" i="18"/>
  <c r="T132" i="18"/>
  <c r="V132" i="18" s="1"/>
  <c r="Q132" i="18"/>
  <c r="T131" i="18"/>
  <c r="V131" i="18" s="1"/>
  <c r="Q131" i="18"/>
  <c r="V130" i="18"/>
  <c r="T130" i="18"/>
  <c r="Q130" i="18"/>
  <c r="T129" i="18"/>
  <c r="V129" i="18" s="1"/>
  <c r="Q129" i="18"/>
  <c r="T128" i="18"/>
  <c r="V128" i="18" s="1"/>
  <c r="Q128" i="18"/>
  <c r="T127" i="18"/>
  <c r="V127" i="18" s="1"/>
  <c r="Q127" i="18"/>
  <c r="V126" i="18"/>
  <c r="T126" i="18"/>
  <c r="Q126" i="18"/>
  <c r="T125" i="18"/>
  <c r="V125" i="18" s="1"/>
  <c r="Q125" i="18"/>
  <c r="T124" i="18"/>
  <c r="V124" i="18" s="1"/>
  <c r="Q124" i="18"/>
  <c r="T123" i="18"/>
  <c r="V123" i="18" s="1"/>
  <c r="Q123" i="18"/>
  <c r="V122" i="18"/>
  <c r="T122" i="18"/>
  <c r="Q122" i="18"/>
  <c r="T121" i="18"/>
  <c r="V121" i="18" s="1"/>
  <c r="Q121" i="18"/>
  <c r="T120" i="18"/>
  <c r="V120" i="18" s="1"/>
  <c r="Q120" i="18"/>
  <c r="T119" i="18"/>
  <c r="V119" i="18" s="1"/>
  <c r="Q119" i="18"/>
  <c r="V118" i="18"/>
  <c r="T118" i="18"/>
  <c r="Q118" i="18"/>
  <c r="T117" i="18"/>
  <c r="V117" i="18" s="1"/>
  <c r="Q117" i="18"/>
  <c r="T116" i="18"/>
  <c r="V116" i="18" s="1"/>
  <c r="Q116" i="18"/>
  <c r="T115" i="18"/>
  <c r="V115" i="18" s="1"/>
  <c r="Q115" i="18"/>
  <c r="V114" i="18"/>
  <c r="T114" i="18"/>
  <c r="Q114" i="18"/>
  <c r="T113" i="18"/>
  <c r="V113" i="18" s="1"/>
  <c r="Q113" i="18"/>
  <c r="T112" i="18"/>
  <c r="V112" i="18" s="1"/>
  <c r="Q112" i="18"/>
  <c r="T111" i="18"/>
  <c r="V111" i="18" s="1"/>
  <c r="Q111" i="18"/>
  <c r="V110" i="18"/>
  <c r="T110" i="18"/>
  <c r="Q110" i="18"/>
  <c r="T109" i="18"/>
  <c r="V109" i="18" s="1"/>
  <c r="Q109" i="18"/>
  <c r="T108" i="18"/>
  <c r="V108" i="18" s="1"/>
  <c r="Q108" i="18"/>
  <c r="T107" i="18"/>
  <c r="V107" i="18" s="1"/>
  <c r="Q107" i="18"/>
  <c r="V106" i="18"/>
  <c r="T106" i="18"/>
  <c r="Q106" i="18"/>
  <c r="T105" i="18"/>
  <c r="V105" i="18" s="1"/>
  <c r="Q105" i="18"/>
  <c r="T104" i="18"/>
  <c r="V104" i="18" s="1"/>
  <c r="Q104" i="18"/>
  <c r="T103" i="18"/>
  <c r="V103" i="18" s="1"/>
  <c r="Q103" i="18"/>
  <c r="V102" i="18"/>
  <c r="T102" i="18"/>
  <c r="Q102" i="18"/>
  <c r="T101" i="18"/>
  <c r="V101" i="18" s="1"/>
  <c r="Q101" i="18"/>
  <c r="T100" i="18"/>
  <c r="V100" i="18" s="1"/>
  <c r="Q100" i="18"/>
  <c r="T99" i="18"/>
  <c r="V99" i="18" s="1"/>
  <c r="Q99" i="18"/>
  <c r="V98" i="18"/>
  <c r="T98" i="18"/>
  <c r="Q98" i="18"/>
  <c r="T97" i="18"/>
  <c r="V97" i="18" s="1"/>
  <c r="Q97" i="18"/>
  <c r="T96" i="18"/>
  <c r="V96" i="18" s="1"/>
  <c r="Q96" i="18"/>
  <c r="T95" i="18"/>
  <c r="V95" i="18" s="1"/>
  <c r="Q95" i="18"/>
  <c r="V94" i="18"/>
  <c r="T94" i="18"/>
  <c r="Q94" i="18"/>
  <c r="T93" i="18"/>
  <c r="V93" i="18" s="1"/>
  <c r="Q93" i="18"/>
  <c r="T92" i="18"/>
  <c r="V92" i="18" s="1"/>
  <c r="Q92" i="18"/>
  <c r="T91" i="18"/>
  <c r="V91" i="18" s="1"/>
  <c r="Q91" i="18"/>
  <c r="V90" i="18"/>
  <c r="T90" i="18"/>
  <c r="Q90" i="18"/>
  <c r="T89" i="18"/>
  <c r="V89" i="18" s="1"/>
  <c r="Q89" i="18"/>
  <c r="T88" i="18"/>
  <c r="V88" i="18" s="1"/>
  <c r="Q88" i="18"/>
  <c r="T87" i="18"/>
  <c r="V87" i="18" s="1"/>
  <c r="Q87" i="18"/>
  <c r="V86" i="18"/>
  <c r="T86" i="18"/>
  <c r="Q86" i="18"/>
  <c r="T85" i="18"/>
  <c r="V85" i="18" s="1"/>
  <c r="Q85" i="18"/>
  <c r="T84" i="18"/>
  <c r="V84" i="18" s="1"/>
  <c r="Q84" i="18"/>
  <c r="T83" i="18"/>
  <c r="V83" i="18" s="1"/>
  <c r="Q83" i="18"/>
  <c r="V82" i="18"/>
  <c r="T82" i="18"/>
  <c r="Q82" i="18"/>
  <c r="T81" i="18"/>
  <c r="V81" i="18" s="1"/>
  <c r="Q81" i="18"/>
  <c r="T80" i="18"/>
  <c r="V80" i="18" s="1"/>
  <c r="Q80" i="18"/>
  <c r="T79" i="18"/>
  <c r="V79" i="18" s="1"/>
  <c r="Q79" i="18"/>
  <c r="V78" i="18"/>
  <c r="T78" i="18"/>
  <c r="Q78" i="18"/>
  <c r="T77" i="18"/>
  <c r="V77" i="18" s="1"/>
  <c r="Q77" i="18"/>
  <c r="T76" i="18"/>
  <c r="V76" i="18" s="1"/>
  <c r="Q76" i="18"/>
  <c r="T75" i="18"/>
  <c r="V75" i="18" s="1"/>
  <c r="Q75" i="18"/>
  <c r="V74" i="18"/>
  <c r="T74" i="18"/>
  <c r="Q74" i="18"/>
  <c r="T73" i="18"/>
  <c r="V73" i="18" s="1"/>
  <c r="Q73" i="18"/>
  <c r="T72" i="18"/>
  <c r="V72" i="18" s="1"/>
  <c r="Q72" i="18"/>
  <c r="T71" i="18"/>
  <c r="V71" i="18" s="1"/>
  <c r="Q71" i="18"/>
  <c r="V70" i="18"/>
  <c r="T70" i="18"/>
  <c r="Q70" i="18"/>
  <c r="T69" i="18"/>
  <c r="V69" i="18" s="1"/>
  <c r="Q69" i="18"/>
  <c r="T68" i="18"/>
  <c r="V68" i="18" s="1"/>
  <c r="Q68" i="18"/>
  <c r="T67" i="18"/>
  <c r="V67" i="18" s="1"/>
  <c r="Q67" i="18"/>
  <c r="V66" i="18"/>
  <c r="T66" i="18"/>
  <c r="Q66" i="18"/>
  <c r="T65" i="18"/>
  <c r="V65" i="18" s="1"/>
  <c r="Q65" i="18"/>
  <c r="T64" i="18"/>
  <c r="V64" i="18" s="1"/>
  <c r="Q64" i="18"/>
  <c r="T63" i="18"/>
  <c r="V63" i="18" s="1"/>
  <c r="Q63" i="18"/>
  <c r="V62" i="18"/>
  <c r="T62" i="18"/>
  <c r="Q62" i="18"/>
  <c r="T61" i="18"/>
  <c r="V61" i="18" s="1"/>
  <c r="Q61" i="18"/>
  <c r="V60" i="18"/>
  <c r="T60" i="18"/>
  <c r="Q60" i="18"/>
  <c r="T59" i="18"/>
  <c r="V59" i="18" s="1"/>
  <c r="Q59" i="18"/>
  <c r="V58" i="18"/>
  <c r="T58" i="18"/>
  <c r="Q58" i="18"/>
  <c r="T57" i="18"/>
  <c r="V57" i="18" s="1"/>
  <c r="Q57" i="18"/>
  <c r="V56" i="18"/>
  <c r="T56" i="18"/>
  <c r="Q56" i="18"/>
  <c r="T55" i="18"/>
  <c r="V55" i="18" s="1"/>
  <c r="Q55" i="18"/>
  <c r="V54" i="18"/>
  <c r="T54" i="18"/>
  <c r="Q54" i="18"/>
  <c r="T53" i="18"/>
  <c r="V53" i="18" s="1"/>
  <c r="Q53" i="18"/>
  <c r="V52" i="18"/>
  <c r="T52" i="18"/>
  <c r="Q52" i="18"/>
  <c r="T51" i="18"/>
  <c r="V51" i="18" s="1"/>
  <c r="Q51" i="18"/>
  <c r="V50" i="18"/>
  <c r="T50" i="18"/>
  <c r="Q50" i="18"/>
  <c r="T49" i="18"/>
  <c r="V49" i="18" s="1"/>
  <c r="Q49" i="18"/>
  <c r="V48" i="18"/>
  <c r="T48" i="18"/>
  <c r="Q48" i="18"/>
  <c r="T47" i="18"/>
  <c r="V47" i="18" s="1"/>
  <c r="Q47" i="18"/>
  <c r="V46" i="18"/>
  <c r="T46" i="18"/>
  <c r="Q46" i="18"/>
  <c r="T45" i="18"/>
  <c r="V45" i="18" s="1"/>
  <c r="Q45" i="18"/>
  <c r="V44" i="18"/>
  <c r="T44" i="18"/>
  <c r="Q44" i="18"/>
  <c r="T43" i="18"/>
  <c r="V43" i="18" s="1"/>
  <c r="Q43" i="18"/>
  <c r="V42" i="18"/>
  <c r="T42" i="18"/>
  <c r="Q42" i="18"/>
  <c r="T41" i="18"/>
  <c r="V41" i="18" s="1"/>
  <c r="Q41" i="18"/>
  <c r="V40" i="18"/>
  <c r="T40" i="18"/>
  <c r="Q40" i="18"/>
  <c r="T39" i="18"/>
  <c r="V39" i="18" s="1"/>
  <c r="Q39" i="18"/>
  <c r="V38" i="18"/>
  <c r="T38" i="18"/>
  <c r="Q38" i="18"/>
  <c r="T37" i="18"/>
  <c r="V37" i="18" s="1"/>
  <c r="Q37" i="18"/>
  <c r="V36" i="18"/>
  <c r="T36" i="18"/>
  <c r="Q36" i="18"/>
  <c r="T35" i="18"/>
  <c r="V35" i="18" s="1"/>
  <c r="Q35" i="18"/>
  <c r="V34" i="18"/>
  <c r="T34" i="18"/>
  <c r="Q34" i="18"/>
  <c r="T33" i="18"/>
  <c r="V33" i="18" s="1"/>
  <c r="Q33" i="18"/>
  <c r="T32" i="18"/>
  <c r="V32" i="18" s="1"/>
  <c r="Q32" i="18"/>
  <c r="T31" i="18"/>
  <c r="V31" i="18" s="1"/>
  <c r="Q31" i="18"/>
  <c r="V30" i="18"/>
  <c r="T30" i="18"/>
  <c r="Q30" i="18"/>
  <c r="T29" i="18"/>
  <c r="V29" i="18" s="1"/>
  <c r="Q29" i="18"/>
  <c r="T28" i="18"/>
  <c r="V28" i="18" s="1"/>
  <c r="Q28" i="18"/>
  <c r="T27" i="18"/>
  <c r="V27" i="18" s="1"/>
  <c r="Q27" i="18"/>
  <c r="T26" i="18"/>
  <c r="V26" i="18" s="1"/>
  <c r="Q26" i="18"/>
  <c r="T25" i="18"/>
  <c r="V25" i="18" s="1"/>
  <c r="Q25" i="18"/>
  <c r="T24" i="18"/>
  <c r="V24" i="18" s="1"/>
  <c r="Q24" i="18"/>
  <c r="T23" i="18"/>
  <c r="V23" i="18" s="1"/>
  <c r="Q23" i="18"/>
  <c r="T22" i="18"/>
  <c r="V22" i="18" s="1"/>
  <c r="Q22" i="18"/>
  <c r="T21" i="18"/>
  <c r="V21" i="18" s="1"/>
  <c r="Q21" i="18"/>
  <c r="T20" i="18"/>
  <c r="V20" i="18" s="1"/>
  <c r="Q20" i="18"/>
  <c r="T19" i="18"/>
  <c r="V19" i="18" s="1"/>
  <c r="Q19" i="18"/>
  <c r="T18" i="18"/>
  <c r="V18" i="18" s="1"/>
  <c r="Q18" i="18"/>
  <c r="T17" i="18"/>
  <c r="V17" i="18" s="1"/>
  <c r="Q17" i="18"/>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<sst xmlns="http://schemas.openxmlformats.org/spreadsheetml/2006/main" count="12085" uniqueCount="388">
  <si>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</si>
  <si>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</si>
  <si>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</si>
  <si>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</si>
  <si>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</si>
  <si>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</si>
  <si>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</si>
  <si>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</si>
  <si>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</si>
  <si>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</si>
  <si>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</si>
  <si>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</si>
  <si>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</si>
  <si>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</si>
  <si>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</si>
  <si>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</si>
  <si>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</si>
  <si>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</si>
  <si>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</si>
  <si>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</si>
  <si>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</si>
  <si>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</si>
  <si>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</si>
  <si>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</si>
  <si>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</si>
  <si>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</si>
  <si>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</si>
  <si>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</si>
  <si>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</si>
  <si>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</si>
  <si>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</si>
  <si>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</si>
  <si>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</si>
  <si>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</si>
  <si>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</si>
  <si>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</si>
  <si>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</si>
  <si>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</si>
  <si>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</si>
  <si>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</si>
  <si>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</si>
  <si>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</si>
  <si>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</si>
  <si>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</si>
  <si>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</si>
  <si>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</si>
  <si>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</si>
  <si>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</si>
  <si>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</si>
  <si>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</si>
  <si>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</si>
  <si>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</si>
  <si>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</si>
  <si>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</si>
  <si>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</si>
  <si>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</si>
  <si>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</si>
  <si>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</si>
  <si>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</si>
  <si>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</si>
  <si>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</si>
  <si>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</si>
  <si>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</si>
  <si>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</si>
  <si>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</si>
  <si>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</si>
  <si>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</si>
  <si>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</si>
  <si>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</si>
  <si>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</si>
  <si>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</si>
  <si>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</si>
  <si>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</si>
  <si>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</si>
  <si>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</si>
  <si>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</si>
  <si>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</si>
  <si>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</si>
  <si>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</si>
  <si>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</si>
  <si>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</si>
  <si>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</si>
  <si>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</si>
  <si>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</si>
  <si>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</si>
  <si>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</si>
  <si>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</si>
  <si>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</si>
  <si>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</si>
  <si>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</si>
  <si>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</si>
  <si>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</si>
  <si>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</si>
  <si>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</si>
  <si>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</si>
  <si>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</si>
  <si>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</si>
  <si>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</si>
  <si>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</si>
  <si>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</si>
  <si>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</si>
  <si>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</si>
  <si>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</si>
  <si>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</si>
  <si>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</si>
  <si>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</si>
  <si>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</si>
  <si>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</si>
  <si>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</si>
  <si>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</si>
  <si>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</si>
  <si>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</si>
  <si>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</si>
  <si>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</si>
  <si>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</si>
  <si>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</si>
  <si>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</si>
  <si>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</si>
  <si>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</si>
  <si>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</si>
  <si>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</si>
  <si>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</si>
  <si>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</si>
  <si>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</si>
  <si>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</si>
  <si>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</si>
  <si>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</si>
  <si>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</si>
  <si>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</si>
  <si>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</si>
  <si>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</si>
  <si>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</si>
  <si>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</si>
  <si>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</si>
  <si>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</si>
  <si>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</si>
  <si>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</si>
  <si>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</si>
  <si>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</si>
  <si>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</si>
  <si>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</si>
  <si>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</si>
  <si>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</si>
  <si>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</si>
  <si>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</si>
  <si>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</si>
  <si>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</si>
  <si>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</si>
  <si>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</si>
  <si>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</si>
  <si>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</si>
  <si>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</si>
  <si>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</si>
  <si>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</si>
  <si>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</si>
  <si>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</si>
  <si>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</si>
  <si>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</si>
  <si>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</si>
  <si>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</si>
  <si>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</si>
  <si>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</si>
  <si>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</si>
  <si>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</si>
  <si>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</si>
  <si>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OB</t>
  </si>
  <si>
    <t>28.05.2019</t>
  </si>
  <si>
    <t>28.05.2019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</si>
  <si>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</si>
  <si>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</si>
  <si>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</si>
  <si>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</si>
  <si>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</si>
  <si>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</si>
  <si>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</si>
  <si>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</si>
  <si>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</si>
  <si>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</si>
  <si>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</si>
  <si>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</si>
  <si>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</si>
  <si>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</si>
  <si>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</si>
  <si>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</si>
  <si>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30.05.2019</t>
  </si>
  <si>
    <t>利府店</t>
  </si>
  <si>
    <t>HE</t>
  </si>
  <si>
    <t>その他グリーン</t>
  </si>
  <si>
    <t>みやぎ生協</t>
  </si>
  <si>
    <t>その他ゴールド</t>
  </si>
  <si>
    <t>杉の入店</t>
  </si>
  <si>
    <t>その他レッド</t>
  </si>
  <si>
    <t>減農薬栽培</t>
  </si>
  <si>
    <t>D'lish</t>
  </si>
  <si>
    <t>中国</t>
  </si>
  <si>
    <t>ウジエ</t>
  </si>
  <si>
    <t>Del Monte</t>
  </si>
  <si>
    <t>塩釜店</t>
  </si>
  <si>
    <t>GK</t>
  </si>
  <si>
    <t>ザ・ビッグ</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</si>
  <si>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</si>
  <si>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</si>
  <si>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</si>
  <si>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</si>
  <si>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</si>
  <si>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</si>
  <si>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</si>
  <si>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</si>
  <si>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</si>
  <si>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</si>
  <si>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</si>
  <si>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</si>
  <si>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</si>
  <si>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</si>
  <si>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</si>
  <si>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</si>
  <si>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</si>
  <si>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</si>
  <si>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</si>
  <si>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</si>
  <si>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</si>
  <si>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</si>
  <si>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</si>
  <si>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</si>
  <si>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</si>
  <si>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</si>
  <si>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</si>
  <si>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</si>
  <si>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</si>
  <si>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</si>
  <si>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</si>
  <si>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</si>
  <si>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</si>
  <si>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30.05.2019</t>
    <phoneticPr fontId="3"/>
  </si>
  <si>
    <t>旬楽膳</t>
    <rPh sb="0" eb="1">
      <t>シュン</t>
    </rPh>
    <rPh sb="1" eb="2">
      <t>ラク</t>
    </rPh>
    <rPh sb="2" eb="3">
      <t>ゼン</t>
    </rPh>
    <phoneticPr fontId="4"/>
  </si>
  <si>
    <t>日進店</t>
    <rPh sb="0" eb="2">
      <t>ニッシン</t>
    </rPh>
    <rPh sb="2" eb="3">
      <t>ミセ</t>
    </rPh>
    <phoneticPr fontId="4"/>
  </si>
  <si>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</si>
  <si>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</si>
  <si>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</si>
  <si>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</si>
  <si>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</si>
  <si>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</si>
  <si>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</si>
  <si>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</si>
  <si>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</si>
  <si>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</si>
  <si>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</si>
  <si>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</si>
  <si>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</si>
  <si>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</si>
  <si>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</si>
  <si>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ラフランス</t>
    <phoneticPr fontId="4"/>
  </si>
  <si>
    <t>ピアゴ</t>
  </si>
  <si>
    <t>長久手南店</t>
  </si>
  <si>
    <t>カネスエ</t>
  </si>
  <si>
    <t>カネトク</t>
  </si>
  <si>
    <t>フェルナ</t>
  </si>
  <si>
    <t>アピタ</t>
  </si>
  <si>
    <t>31.05.2019</t>
    <phoneticPr fontId="18"/>
  </si>
  <si>
    <t>コノミヤ</t>
  </si>
  <si>
    <t>深井店</t>
  </si>
  <si>
    <t>スイカ</t>
    <phoneticPr fontId="18"/>
  </si>
  <si>
    <t>バナナ</t>
    <phoneticPr fontId="18"/>
  </si>
  <si>
    <t>上野芝店</t>
  </si>
  <si>
    <t>31.05.2019</t>
  </si>
  <si>
    <t>デイリーカナート</t>
  </si>
  <si>
    <t>向ヶ丘店</t>
  </si>
  <si>
    <t>松源</t>
  </si>
  <si>
    <t>北条店</t>
  </si>
  <si>
    <t>ライフ</t>
  </si>
  <si>
    <t>キンショー</t>
  </si>
  <si>
    <t>東湊店</t>
  </si>
  <si>
    <t>万代</t>
  </si>
  <si>
    <t>イズミヤ</t>
  </si>
  <si>
    <t>泉北店</t>
  </si>
  <si>
    <t>ダイエーグルメシティ</t>
  </si>
  <si>
    <t>津久野店</t>
  </si>
  <si>
    <t>キウイフルーツ</t>
    <phoneticPr fontId="18"/>
  </si>
  <si>
    <t>キラキラ</t>
  </si>
  <si>
    <t>グリーンアイ</t>
  </si>
  <si>
    <t>ＪＡ大阪</t>
  </si>
  <si>
    <t>オレンジ</t>
    <phoneticPr fontId="18"/>
  </si>
  <si>
    <t>県名</t>
    <phoneticPr fontId="3"/>
  </si>
  <si>
    <t>チェーン名</t>
    <phoneticPr fontId="3"/>
  </si>
  <si>
    <t>品種</t>
    <phoneticPr fontId="3"/>
  </si>
  <si>
    <t>29.05.2019</t>
    <phoneticPr fontId="3"/>
  </si>
  <si>
    <t>福や</t>
  </si>
  <si>
    <t>鉄砲町店</t>
    <rPh sb="3" eb="4">
      <t>テン</t>
    </rPh>
    <phoneticPr fontId="3"/>
  </si>
  <si>
    <t>JPY</t>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</si>
  <si>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</si>
  <si>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</si>
  <si>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</si>
  <si>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</si>
  <si>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</si>
  <si>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</si>
  <si>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</si>
  <si>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</si>
  <si>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</si>
  <si>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</si>
  <si>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</si>
  <si>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</si>
  <si>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</si>
  <si>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</si>
  <si>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</si>
  <si>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</si>
  <si>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</si>
  <si>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</si>
  <si>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</si>
  <si>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</si>
  <si>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</si>
  <si>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</si>
  <si>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</si>
  <si>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みかん</t>
    <phoneticPr fontId="4"/>
  </si>
  <si>
    <t>マンゴー</t>
    <phoneticPr fontId="3"/>
  </si>
  <si>
    <t>りんご</t>
    <phoneticPr fontId="3"/>
  </si>
  <si>
    <t>販売
ユニット
個数</t>
    <phoneticPr fontId="4"/>
  </si>
  <si>
    <t>U/P JPY</t>
    <phoneticPr fontId="4"/>
  </si>
  <si>
    <t>マルショク</t>
    <phoneticPr fontId="3"/>
  </si>
  <si>
    <t>野間大池</t>
    <rPh sb="0" eb="2">
      <t>ノマ</t>
    </rPh>
    <rPh sb="2" eb="4">
      <t>オオイケ</t>
    </rPh>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</si>
  <si>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</si>
  <si>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</si>
  <si>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</si>
  <si>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</si>
  <si>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</si>
  <si>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</si>
  <si>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</si>
  <si>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</si>
  <si>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</si>
  <si>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</si>
  <si>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</si>
  <si>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</si>
  <si>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</si>
  <si>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</si>
  <si>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</si>
  <si>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</si>
  <si>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</si>
  <si>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</si>
  <si>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</si>
  <si>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</si>
  <si>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</si>
  <si>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</si>
  <si>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</si>
  <si>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</si>
  <si>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</si>
  <si>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</si>
  <si>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</si>
  <si>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</si>
  <si>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</si>
  <si>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</si>
  <si>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</si>
  <si>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</si>
  <si>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</si>
  <si>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</si>
  <si>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</si>
  <si>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</si>
  <si>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</si>
  <si>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</si>
  <si>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</si>
  <si>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サミット</t>
  </si>
  <si>
    <t>久が原食品館</t>
  </si>
  <si>
    <t>東急ストア</t>
  </si>
  <si>
    <t>蒲田</t>
  </si>
  <si>
    <t>マルエツ</t>
  </si>
  <si>
    <t>大森西</t>
  </si>
  <si>
    <t>大森</t>
  </si>
  <si>
    <t>カドヤ</t>
  </si>
  <si>
    <t>大井町</t>
  </si>
  <si>
    <t>品川シーサイド</t>
  </si>
  <si>
    <t>大崎ニューシティ</t>
  </si>
  <si>
    <t>２番人気
果実</t>
    <phoneticPr fontId="3"/>
  </si>
  <si>
    <t>ビッグ・エー</t>
  </si>
  <si>
    <t>江戸川本一色店</t>
  </si>
  <si>
    <t>松江店</t>
  </si>
  <si>
    <t>マックスバリュエクスプレス</t>
  </si>
  <si>
    <t>ヤマイチ</t>
  </si>
  <si>
    <t>中央店</t>
    <rPh sb="0" eb="2">
      <t>チュウオウ</t>
    </rPh>
    <phoneticPr fontId="3"/>
  </si>
  <si>
    <t>コモディイイダ</t>
  </si>
  <si>
    <t>西瑞江店</t>
  </si>
  <si>
    <t>いなげや</t>
  </si>
  <si>
    <t>江戸川春江店</t>
  </si>
  <si>
    <t>鹿骨店</t>
  </si>
  <si>
    <t>東武ストア</t>
  </si>
  <si>
    <t>新小岩店</t>
  </si>
  <si>
    <t>サミットストア</t>
  </si>
  <si>
    <t>江戸川区役所前店</t>
    <rPh sb="0" eb="6">
      <t>エドガワクヤクショ</t>
    </rPh>
    <rPh sb="6" eb="7">
      <t>マエ</t>
    </rPh>
    <rPh sb="7" eb="8">
      <t>ミセ</t>
    </rPh>
    <phoneticPr fontId="3"/>
  </si>
  <si>
    <t>江戸川中央店</t>
  </si>
  <si>
    <t>GA</t>
    <phoneticPr fontId="3"/>
  </si>
  <si>
    <t>ヤマイチ</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</si>
</sst>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0"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10"/>
      <name val="ＭＳ ゴシック"/>
      <family val="3"/>
      <charset val="128"/>
    </font>
    <font>
      <sz val="11"/>
      <color indexed="8"/>
      <name val="ＭＳ Ｐゴシック"/>
      <family val="3"/>
      <charset val="128"/>
    </font>
    <font>
      <sz val="6"/>
      <name val="ＭＳ Ｐゴシック"/>
      <family val="3"/>
      <charset val="128"/>
      <scheme val="minor"/>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6" fillId="0" borderId="22" xfId="2" applyFont="1" applyBorder="1" applyAlignment="1">
      <alignment horizontal="center" vertical="center"/>
    </xf>
    <xf numFmtId="0" fontId="16" fillId="0" borderId="23" xfId="2"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6" fillId="0" borderId="12" xfId="2" applyFont="1" applyBorder="1" applyAlignment="1">
      <alignment horizontal="center" vertical="center"/>
    </xf>
    <xf numFmtId="0" fontId="1" fillId="0" borderId="18" xfId="1" applyBorder="1"/>
    <xf numFmtId="0" fontId="15" fillId="0" borderId="0" xfId="1" applyFont="1"/>
    <xf numFmtId="178" fontId="1" fillId="2" borderId="0" xfId="1" applyNumberFormat="1" applyFill="1"/>
    <xf numFmtId="178" fontId="1" fillId="3" borderId="0" xfId="1" applyNumberFormat="1" applyFill="1"/>
    <xf numFmtId="0" fontId="15" fillId="0" borderId="0" xfId="2"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7" fillId="0" borderId="0" xfId="1" applyNumberFormat="1" applyFont="1"/>
    <xf numFmtId="0" fontId="1" fillId="0" borderId="12" xfId="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14" fontId="17" fillId="0" borderId="0" xfId="1" applyNumberFormat="1" applyFont="1" applyAlignment="1">
      <alignment horizontal="center"/>
    </xf>
    <xf numFmtId="0" fontId="19"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70" zoomScaleNormal="70" workbookViewId="0">
      <selection activeCell="AB8" sqref="AB8"/>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167</v>
      </c>
      <c r="E2" s="15" t="s">
        <v>141</v>
      </c>
      <c r="F2" s="15" t="s">
        <v>149</v>
      </c>
      <c r="G2" s="15" t="s">
        <v>36</v>
      </c>
      <c r="H2" s="15" t="s">
        <v>164</v>
      </c>
      <c r="I2" s="15" t="s">
        <v>159</v>
      </c>
      <c r="J2" s="15" t="s">
        <v>38</v>
      </c>
      <c r="K2" s="7" t="s">
        <v>161</v>
      </c>
      <c r="L2" s="7">
        <v>1</v>
      </c>
      <c r="N2" s="47">
        <v>1</v>
      </c>
      <c r="O2" s="15">
        <v>0.8</v>
      </c>
      <c r="P2" s="15">
        <v>0.8</v>
      </c>
      <c r="Q2" s="51">
        <f t="shared" ref="Q2:Q65" si="0">IF(OR(O2="",P2=""),"",AVERAGE(O2,P2))</f>
        <v>0.8</v>
      </c>
      <c r="R2" s="15">
        <v>11.5</v>
      </c>
      <c r="S2" s="15">
        <v>121</v>
      </c>
      <c r="T2" s="38">
        <f t="shared" ref="T2:T59" si="1">IF(H2="","",IF(OR(H2="GREEN",H2="GK"),IF(S2&gt;=$AX$2,VLOOKUP(S2,$AX$2:$AY$12,2,1),""),IF(S2&gt;=$AZ$2,VLOOKUP(S2,$AZ$2:$BA$12,2,1),"")))</f>
        <v>27</v>
      </c>
      <c r="U2" s="15">
        <v>85</v>
      </c>
      <c r="V2" s="38">
        <f t="shared" ref="V2:V65" si="2">IF(OR(N2="",U2="",T2=""),"",U2/N2*T2)</f>
        <v>2295</v>
      </c>
      <c r="W2" s="15">
        <v>12</v>
      </c>
      <c r="X2" s="15" t="s">
        <v>46</v>
      </c>
      <c r="Y2" s="15" t="s">
        <v>55</v>
      </c>
      <c r="Z2" s="15" t="s">
        <v>47</v>
      </c>
      <c r="AA2" s="15" t="s">
        <v>86</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166</v>
      </c>
      <c r="E3" s="15" t="s">
        <v>141</v>
      </c>
      <c r="F3" s="7" t="s">
        <v>149</v>
      </c>
      <c r="G3" s="7" t="s">
        <v>36</v>
      </c>
      <c r="H3" s="15" t="s">
        <v>164</v>
      </c>
      <c r="I3" s="7" t="s">
        <v>159</v>
      </c>
      <c r="J3" s="15" t="s">
        <v>38</v>
      </c>
      <c r="K3" s="7" t="s">
        <v>161</v>
      </c>
      <c r="L3" s="7">
        <v>2</v>
      </c>
      <c r="N3" s="7">
        <v>1</v>
      </c>
      <c r="O3" s="34">
        <v>0.85</v>
      </c>
      <c r="P3" s="7">
        <v>0.9</v>
      </c>
      <c r="Q3" s="52">
        <f t="shared" si="0"/>
        <v>0.875</v>
      </c>
      <c r="R3" s="7">
        <v>11.8</v>
      </c>
      <c r="S3" s="7">
        <v>127</v>
      </c>
      <c r="T3" s="16">
        <f t="shared" si="1"/>
        <v>27</v>
      </c>
      <c r="U3" s="15">
        <v>85</v>
      </c>
      <c r="V3" s="16">
        <f t="shared" si="2"/>
        <v>2295</v>
      </c>
      <c r="W3" s="15">
        <v>12</v>
      </c>
      <c r="X3" s="15" t="s">
        <v>46</v>
      </c>
      <c r="Y3" s="15" t="s">
        <v>55</v>
      </c>
      <c r="Z3" s="15" t="s">
        <v>47</v>
      </c>
      <c r="AA3" s="15" t="s">
        <v>86</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166</v>
      </c>
      <c r="E4" s="15" t="s">
        <v>141</v>
      </c>
      <c r="F4" s="7" t="s">
        <v>149</v>
      </c>
      <c r="G4" s="7" t="s">
        <v>36</v>
      </c>
      <c r="H4" s="15" t="s">
        <v>164</v>
      </c>
      <c r="I4" s="7" t="s">
        <v>159</v>
      </c>
      <c r="J4" s="15" t="s">
        <v>38</v>
      </c>
      <c r="K4" s="7" t="s">
        <v>161</v>
      </c>
      <c r="L4" s="7">
        <v>3</v>
      </c>
      <c r="N4" s="7">
        <v>1</v>
      </c>
      <c r="O4" s="7">
        <v>0.6</v>
      </c>
      <c r="P4" s="7">
        <v>0.75</v>
      </c>
      <c r="Q4" s="52">
        <f t="shared" si="0"/>
        <v>0.67500000000000004</v>
      </c>
      <c r="R4" s="7">
        <v>15.6</v>
      </c>
      <c r="S4" s="7">
        <v>124</v>
      </c>
      <c r="T4" s="16">
        <f t="shared" si="1"/>
        <v>27</v>
      </c>
      <c r="U4" s="15">
        <v>85</v>
      </c>
      <c r="V4" s="16">
        <f t="shared" si="2"/>
        <v>2295</v>
      </c>
      <c r="W4" s="15">
        <v>12</v>
      </c>
      <c r="X4" s="15" t="s">
        <v>46</v>
      </c>
      <c r="Y4" s="54" t="s">
        <v>55</v>
      </c>
      <c r="Z4" s="54" t="s">
        <v>47</v>
      </c>
      <c r="AA4" s="54" t="s">
        <v>86</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166</v>
      </c>
      <c r="E5" s="15" t="s">
        <v>141</v>
      </c>
      <c r="F5" s="15" t="s">
        <v>149</v>
      </c>
      <c r="G5" s="7" t="s">
        <v>36</v>
      </c>
      <c r="H5" s="15" t="s">
        <v>160</v>
      </c>
      <c r="I5" s="7" t="s">
        <v>159</v>
      </c>
      <c r="J5" s="15" t="s">
        <v>38</v>
      </c>
      <c r="K5" s="7" t="s">
        <v>161</v>
      </c>
      <c r="L5" s="7">
        <v>1</v>
      </c>
      <c r="N5" s="7">
        <v>1</v>
      </c>
      <c r="O5" s="7">
        <v>0.6</v>
      </c>
      <c r="P5" s="7">
        <v>0.7</v>
      </c>
      <c r="Q5" s="52">
        <f t="shared" si="0"/>
        <v>0.64999999999999991</v>
      </c>
      <c r="R5" s="7">
        <v>19.5</v>
      </c>
      <c r="S5" s="7">
        <v>133</v>
      </c>
      <c r="T5" s="16">
        <f t="shared" si="1"/>
        <v>25</v>
      </c>
      <c r="U5" s="15">
        <v>135</v>
      </c>
      <c r="V5" s="16">
        <f t="shared" si="2"/>
        <v>3375</v>
      </c>
      <c r="W5" s="15">
        <v>18</v>
      </c>
      <c r="X5" s="15" t="s">
        <v>46</v>
      </c>
      <c r="Y5" s="54" t="s">
        <v>55</v>
      </c>
      <c r="Z5" s="54" t="s">
        <v>47</v>
      </c>
      <c r="AA5" s="54" t="s">
        <v>86</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166</v>
      </c>
      <c r="E6" s="15" t="s">
        <v>141</v>
      </c>
      <c r="F6" s="7" t="s">
        <v>149</v>
      </c>
      <c r="G6" s="7" t="s">
        <v>36</v>
      </c>
      <c r="H6" s="54" t="s">
        <v>160</v>
      </c>
      <c r="I6" s="7" t="s">
        <v>159</v>
      </c>
      <c r="J6" s="15" t="s">
        <v>38</v>
      </c>
      <c r="K6" s="7" t="s">
        <v>161</v>
      </c>
      <c r="L6" s="7">
        <v>2</v>
      </c>
      <c r="N6" s="7">
        <v>1</v>
      </c>
      <c r="O6" s="7">
        <v>0.9</v>
      </c>
      <c r="P6" s="7">
        <v>0.85</v>
      </c>
      <c r="Q6" s="52">
        <f t="shared" si="0"/>
        <v>0.875</v>
      </c>
      <c r="R6" s="7">
        <v>14</v>
      </c>
      <c r="S6" s="7">
        <v>135</v>
      </c>
      <c r="T6" s="16">
        <f t="shared" si="1"/>
        <v>25</v>
      </c>
      <c r="U6" s="15">
        <v>135</v>
      </c>
      <c r="V6" s="16">
        <f t="shared" si="2"/>
        <v>3375</v>
      </c>
      <c r="W6" s="15">
        <v>18</v>
      </c>
      <c r="X6" s="15" t="s">
        <v>46</v>
      </c>
      <c r="Y6" s="54" t="s">
        <v>55</v>
      </c>
      <c r="Z6" s="54" t="s">
        <v>47</v>
      </c>
      <c r="AA6" s="54" t="s">
        <v>86</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166</v>
      </c>
      <c r="E7" s="15" t="s">
        <v>141</v>
      </c>
      <c r="F7" s="7" t="s">
        <v>149</v>
      </c>
      <c r="G7" s="7" t="s">
        <v>36</v>
      </c>
      <c r="H7" s="54" t="s">
        <v>160</v>
      </c>
      <c r="I7" s="7" t="s">
        <v>159</v>
      </c>
      <c r="J7" s="15" t="s">
        <v>38</v>
      </c>
      <c r="K7" s="7" t="s">
        <v>161</v>
      </c>
      <c r="L7" s="7">
        <v>3</v>
      </c>
      <c r="N7" s="7">
        <v>1</v>
      </c>
      <c r="O7" s="7">
        <v>0.65</v>
      </c>
      <c r="P7" s="7">
        <v>0.65</v>
      </c>
      <c r="Q7" s="52">
        <f t="shared" si="0"/>
        <v>0.65</v>
      </c>
      <c r="R7" s="34">
        <v>16.100000000000001</v>
      </c>
      <c r="S7" s="7">
        <v>132</v>
      </c>
      <c r="T7" s="16">
        <f t="shared" si="1"/>
        <v>25</v>
      </c>
      <c r="U7" s="15">
        <v>135</v>
      </c>
      <c r="V7" s="16">
        <f t="shared" si="2"/>
        <v>3375</v>
      </c>
      <c r="W7" s="15">
        <v>18</v>
      </c>
      <c r="X7" s="15" t="s">
        <v>46</v>
      </c>
      <c r="Y7" s="54" t="s">
        <v>55</v>
      </c>
      <c r="Z7" s="54" t="s">
        <v>47</v>
      </c>
      <c r="AA7" s="54" t="s">
        <v>86</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166</v>
      </c>
      <c r="E8" s="15" t="s">
        <v>133</v>
      </c>
      <c r="F8" s="7" t="s">
        <v>150</v>
      </c>
      <c r="G8" s="7" t="s">
        <v>36</v>
      </c>
      <c r="H8" s="15" t="s">
        <v>164</v>
      </c>
      <c r="I8" s="7" t="s">
        <v>159</v>
      </c>
      <c r="J8" s="15" t="s">
        <v>38</v>
      </c>
      <c r="K8" s="7" t="s">
        <v>161</v>
      </c>
      <c r="L8" s="7">
        <v>1</v>
      </c>
      <c r="N8" s="7">
        <v>1</v>
      </c>
      <c r="O8" s="7">
        <v>0.8</v>
      </c>
      <c r="P8" s="7">
        <v>0.95</v>
      </c>
      <c r="Q8" s="52">
        <f t="shared" si="0"/>
        <v>0.875</v>
      </c>
      <c r="R8" s="34">
        <v>13.1</v>
      </c>
      <c r="S8" s="7">
        <v>129</v>
      </c>
      <c r="T8" s="16">
        <f t="shared" si="1"/>
        <v>25</v>
      </c>
      <c r="U8" s="15">
        <v>95</v>
      </c>
      <c r="V8" s="16">
        <f t="shared" si="2"/>
        <v>2375</v>
      </c>
      <c r="W8" s="15">
        <v>4</v>
      </c>
      <c r="X8" s="15" t="s">
        <v>46</v>
      </c>
      <c r="Y8" s="54" t="s">
        <v>55</v>
      </c>
      <c r="Z8" s="54" t="s">
        <v>47</v>
      </c>
      <c r="AA8" s="54" t="s">
        <v>69</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166</v>
      </c>
      <c r="E9" s="15" t="s">
        <v>133</v>
      </c>
      <c r="F9" s="7" t="s">
        <v>150</v>
      </c>
      <c r="G9" s="7" t="s">
        <v>36</v>
      </c>
      <c r="H9" s="54" t="s">
        <v>164</v>
      </c>
      <c r="I9" s="7" t="s">
        <v>159</v>
      </c>
      <c r="J9" s="15" t="s">
        <v>38</v>
      </c>
      <c r="K9" s="7" t="s">
        <v>161</v>
      </c>
      <c r="L9" s="7">
        <v>2</v>
      </c>
      <c r="N9" s="7">
        <v>1</v>
      </c>
      <c r="O9" s="7">
        <v>0.75</v>
      </c>
      <c r="P9" s="7">
        <v>0.75</v>
      </c>
      <c r="Q9" s="52">
        <f t="shared" si="0"/>
        <v>0.75</v>
      </c>
      <c r="R9" s="7">
        <v>16.5</v>
      </c>
      <c r="S9" s="7">
        <v>127</v>
      </c>
      <c r="T9" s="16">
        <f t="shared" si="1"/>
        <v>27</v>
      </c>
      <c r="U9" s="15">
        <v>95</v>
      </c>
      <c r="V9" s="16">
        <f t="shared" si="2"/>
        <v>2565</v>
      </c>
      <c r="W9" s="15">
        <v>4</v>
      </c>
      <c r="X9" s="15" t="s">
        <v>46</v>
      </c>
      <c r="Y9" s="54" t="s">
        <v>55</v>
      </c>
      <c r="Z9" s="54" t="s">
        <v>47</v>
      </c>
      <c r="AA9" s="54" t="s">
        <v>69</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166</v>
      </c>
      <c r="E10" s="15" t="s">
        <v>133</v>
      </c>
      <c r="F10" s="7" t="s">
        <v>150</v>
      </c>
      <c r="G10" s="7" t="s">
        <v>36</v>
      </c>
      <c r="H10" s="54" t="s">
        <v>164</v>
      </c>
      <c r="I10" s="7" t="s">
        <v>159</v>
      </c>
      <c r="J10" s="15" t="s">
        <v>38</v>
      </c>
      <c r="K10" s="7" t="s">
        <v>161</v>
      </c>
      <c r="L10" s="7">
        <v>3</v>
      </c>
      <c r="N10" s="7">
        <v>1</v>
      </c>
      <c r="O10" s="7">
        <v>0.9</v>
      </c>
      <c r="P10" s="7">
        <v>0.95</v>
      </c>
      <c r="Q10" s="52">
        <f t="shared" si="0"/>
        <v>0.92500000000000004</v>
      </c>
      <c r="R10" s="7">
        <v>13.9</v>
      </c>
      <c r="S10" s="7">
        <v>126</v>
      </c>
      <c r="T10" s="16">
        <f t="shared" si="1"/>
        <v>27</v>
      </c>
      <c r="U10" s="15">
        <v>95</v>
      </c>
      <c r="V10" s="16">
        <f t="shared" si="2"/>
        <v>2565</v>
      </c>
      <c r="W10" s="15">
        <v>4</v>
      </c>
      <c r="X10" s="15" t="s">
        <v>46</v>
      </c>
      <c r="Y10" s="54" t="s">
        <v>55</v>
      </c>
      <c r="Z10" s="54" t="s">
        <v>47</v>
      </c>
      <c r="AA10" s="54" t="s">
        <v>69</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166</v>
      </c>
      <c r="E11" s="15" t="s">
        <v>133</v>
      </c>
      <c r="F11" s="7" t="s">
        <v>150</v>
      </c>
      <c r="G11" s="7" t="s">
        <v>36</v>
      </c>
      <c r="H11" s="15" t="s">
        <v>160</v>
      </c>
      <c r="I11" s="7" t="s">
        <v>159</v>
      </c>
      <c r="J11" s="15" t="s">
        <v>38</v>
      </c>
      <c r="K11" s="7" t="s">
        <v>161</v>
      </c>
      <c r="L11" s="7">
        <v>1</v>
      </c>
      <c r="N11" s="7">
        <v>1</v>
      </c>
      <c r="O11" s="7">
        <v>0.6</v>
      </c>
      <c r="P11" s="7">
        <v>0.7</v>
      </c>
      <c r="Q11" s="52">
        <f t="shared" si="0"/>
        <v>0.64999999999999991</v>
      </c>
      <c r="R11" s="7">
        <v>17.2</v>
      </c>
      <c r="S11" s="7">
        <v>132</v>
      </c>
      <c r="T11" s="16">
        <f t="shared" si="1"/>
        <v>25</v>
      </c>
      <c r="U11" s="7">
        <v>95</v>
      </c>
      <c r="V11" s="16">
        <f t="shared" si="2"/>
        <v>2375</v>
      </c>
      <c r="W11" s="7">
        <v>21</v>
      </c>
      <c r="X11" s="15" t="s">
        <v>46</v>
      </c>
      <c r="Y11" s="54" t="s">
        <v>55</v>
      </c>
      <c r="Z11" s="54" t="s">
        <v>47</v>
      </c>
      <c r="AA11" s="54" t="s">
        <v>69</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166</v>
      </c>
      <c r="E12" s="15" t="s">
        <v>133</v>
      </c>
      <c r="F12" s="7" t="s">
        <v>150</v>
      </c>
      <c r="G12" s="7" t="s">
        <v>36</v>
      </c>
      <c r="H12" s="54" t="s">
        <v>160</v>
      </c>
      <c r="I12" s="53" t="s">
        <v>159</v>
      </c>
      <c r="J12" s="15" t="s">
        <v>38</v>
      </c>
      <c r="K12" s="7" t="s">
        <v>161</v>
      </c>
      <c r="L12" s="7">
        <v>2</v>
      </c>
      <c r="N12" s="7">
        <v>1</v>
      </c>
      <c r="O12" s="7">
        <v>0.9</v>
      </c>
      <c r="P12" s="7">
        <v>0.9</v>
      </c>
      <c r="Q12" s="52">
        <f t="shared" si="0"/>
        <v>0.9</v>
      </c>
      <c r="R12" s="34">
        <v>15.7</v>
      </c>
      <c r="S12" s="7">
        <v>130</v>
      </c>
      <c r="T12" s="16">
        <f t="shared" si="1"/>
        <v>25</v>
      </c>
      <c r="U12" s="7">
        <v>95</v>
      </c>
      <c r="V12" s="16">
        <f t="shared" si="2"/>
        <v>2375</v>
      </c>
      <c r="W12" s="7">
        <v>21</v>
      </c>
      <c r="X12" s="15" t="s">
        <v>46</v>
      </c>
      <c r="Y12" s="54" t="s">
        <v>55</v>
      </c>
      <c r="Z12" s="54" t="s">
        <v>47</v>
      </c>
      <c r="AA12" s="54" t="s">
        <v>69</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166</v>
      </c>
      <c r="E13" s="15" t="s">
        <v>133</v>
      </c>
      <c r="F13" s="7" t="s">
        <v>150</v>
      </c>
      <c r="G13" s="7" t="s">
        <v>36</v>
      </c>
      <c r="H13" s="54" t="s">
        <v>160</v>
      </c>
      <c r="I13" s="53" t="s">
        <v>159</v>
      </c>
      <c r="J13" s="15" t="s">
        <v>38</v>
      </c>
      <c r="K13" s="7" t="s">
        <v>161</v>
      </c>
      <c r="L13" s="7">
        <v>3</v>
      </c>
      <c r="N13" s="7">
        <v>1</v>
      </c>
      <c r="O13" s="7">
        <v>0.65</v>
      </c>
      <c r="P13" s="7">
        <v>0.7</v>
      </c>
      <c r="Q13" s="52">
        <f t="shared" si="0"/>
        <v>0.67500000000000004</v>
      </c>
      <c r="R13" s="7">
        <v>15.8</v>
      </c>
      <c r="S13" s="7">
        <v>136</v>
      </c>
      <c r="T13" s="16">
        <f t="shared" si="1"/>
        <v>25</v>
      </c>
      <c r="U13" s="7">
        <v>95</v>
      </c>
      <c r="V13" s="16">
        <f t="shared" si="2"/>
        <v>2375</v>
      </c>
      <c r="W13" s="7">
        <v>21</v>
      </c>
      <c r="X13" s="15" t="s">
        <v>46</v>
      </c>
      <c r="Y13" s="54" t="s">
        <v>55</v>
      </c>
      <c r="Z13" s="54" t="s">
        <v>47</v>
      </c>
      <c r="AA13" s="54" t="s">
        <v>69</v>
      </c>
      <c r="AB13" s="39" t="s">
        <v>158</v>
      </c>
      <c r="AE13" s="22" t="s">
        <v>73</v>
      </c>
      <c r="AG13" s="23"/>
      <c r="AH13" s="23"/>
      <c r="AP13" s="23" t="s">
        <v>71</v>
      </c>
      <c r="AR13" s="30" t="s">
        <v>103</v>
      </c>
      <c r="AV13" s="23" t="s">
        <v>75</v>
      </c>
    </row>
    <row r="14" spans="1:53" x14ac:dyDescent="0.15">
      <c r="A14" s="15" t="s">
        <v>156</v>
      </c>
      <c r="B14" s="15" t="s">
        <v>157</v>
      </c>
      <c r="C14" s="15">
        <v>2019</v>
      </c>
      <c r="D14" s="37" t="s">
        <v>166</v>
      </c>
      <c r="E14" s="15" t="s">
        <v>142</v>
      </c>
      <c r="F14" s="7" t="s">
        <v>151</v>
      </c>
      <c r="G14" s="7" t="s">
        <v>36</v>
      </c>
      <c r="H14" s="15" t="s">
        <v>164</v>
      </c>
      <c r="I14" s="7" t="s">
        <v>159</v>
      </c>
      <c r="J14" s="15" t="s">
        <v>38</v>
      </c>
      <c r="K14" s="7" t="s">
        <v>161</v>
      </c>
      <c r="L14" s="7">
        <v>1</v>
      </c>
      <c r="N14" s="53">
        <v>1</v>
      </c>
      <c r="O14" s="7">
        <v>0.85</v>
      </c>
      <c r="P14" s="7">
        <v>0.75</v>
      </c>
      <c r="Q14" s="52">
        <f t="shared" si="0"/>
        <v>0.8</v>
      </c>
      <c r="R14" s="7">
        <v>13.4</v>
      </c>
      <c r="S14" s="7">
        <v>107</v>
      </c>
      <c r="T14" s="16">
        <f t="shared" si="1"/>
        <v>33</v>
      </c>
      <c r="U14" s="7">
        <v>138</v>
      </c>
      <c r="V14" s="16">
        <f t="shared" si="2"/>
        <v>4554</v>
      </c>
      <c r="W14" s="7">
        <v>4</v>
      </c>
      <c r="X14" s="15" t="s">
        <v>46</v>
      </c>
      <c r="Y14" s="54" t="s">
        <v>55</v>
      </c>
      <c r="Z14" s="54" t="s">
        <v>69</v>
      </c>
      <c r="AA14" s="15" t="s">
        <v>86</v>
      </c>
      <c r="AB14" s="39" t="s">
        <v>158</v>
      </c>
      <c r="AE14" s="22" t="s">
        <v>76</v>
      </c>
      <c r="AG14" s="23"/>
      <c r="AH14" s="23"/>
      <c r="AP14" s="23" t="s">
        <v>74</v>
      </c>
      <c r="AR14" s="30" t="s">
        <v>125</v>
      </c>
      <c r="AV14" s="23" t="s">
        <v>78</v>
      </c>
    </row>
    <row r="15" spans="1:53" x14ac:dyDescent="0.15">
      <c r="A15" s="15" t="s">
        <v>156</v>
      </c>
      <c r="B15" s="15" t="s">
        <v>157</v>
      </c>
      <c r="C15" s="15">
        <v>2019</v>
      </c>
      <c r="D15" s="37" t="s">
        <v>166</v>
      </c>
      <c r="E15" s="15" t="s">
        <v>142</v>
      </c>
      <c r="F15" s="7" t="s">
        <v>151</v>
      </c>
      <c r="G15" s="7" t="s">
        <v>36</v>
      </c>
      <c r="H15" s="15" t="s">
        <v>164</v>
      </c>
      <c r="I15" s="7" t="s">
        <v>159</v>
      </c>
      <c r="J15" s="15" t="s">
        <v>38</v>
      </c>
      <c r="K15" s="7" t="s">
        <v>161</v>
      </c>
      <c r="L15" s="7">
        <v>2</v>
      </c>
      <c r="N15" s="53">
        <v>1</v>
      </c>
      <c r="O15" s="7">
        <v>0.7</v>
      </c>
      <c r="P15" s="7">
        <v>0.65</v>
      </c>
      <c r="Q15" s="52">
        <f t="shared" si="0"/>
        <v>0.67500000000000004</v>
      </c>
      <c r="R15" s="7">
        <v>12.9</v>
      </c>
      <c r="S15" s="7">
        <v>111</v>
      </c>
      <c r="T15" s="16">
        <f t="shared" si="1"/>
        <v>33</v>
      </c>
      <c r="U15" s="7">
        <v>138</v>
      </c>
      <c r="V15" s="16">
        <f t="shared" si="2"/>
        <v>4554</v>
      </c>
      <c r="W15" s="7">
        <v>4</v>
      </c>
      <c r="X15" s="15" t="s">
        <v>46</v>
      </c>
      <c r="Y15" s="54" t="s">
        <v>55</v>
      </c>
      <c r="Z15" s="54" t="s">
        <v>69</v>
      </c>
      <c r="AA15" s="54" t="s">
        <v>86</v>
      </c>
      <c r="AB15" s="39" t="s">
        <v>158</v>
      </c>
      <c r="AE15" s="22" t="s">
        <v>79</v>
      </c>
      <c r="AG15" s="23"/>
      <c r="AH15" s="23"/>
      <c r="AP15" s="23" t="s">
        <v>77</v>
      </c>
      <c r="AR15" s="30" t="s">
        <v>94</v>
      </c>
      <c r="AV15" s="23" t="s">
        <v>107</v>
      </c>
    </row>
    <row r="16" spans="1:53" x14ac:dyDescent="0.15">
      <c r="A16" s="15" t="s">
        <v>156</v>
      </c>
      <c r="B16" s="15" t="s">
        <v>157</v>
      </c>
      <c r="C16" s="15">
        <v>2019</v>
      </c>
      <c r="D16" s="37" t="s">
        <v>166</v>
      </c>
      <c r="E16" s="15" t="s">
        <v>142</v>
      </c>
      <c r="F16" s="7" t="s">
        <v>151</v>
      </c>
      <c r="G16" s="7" t="s">
        <v>36</v>
      </c>
      <c r="H16" s="15" t="s">
        <v>164</v>
      </c>
      <c r="I16" s="7" t="s">
        <v>159</v>
      </c>
      <c r="J16" s="15" t="s">
        <v>38</v>
      </c>
      <c r="K16" s="7" t="s">
        <v>161</v>
      </c>
      <c r="L16" s="7">
        <v>3</v>
      </c>
      <c r="N16" s="53">
        <v>1</v>
      </c>
      <c r="O16" s="7">
        <v>0.65</v>
      </c>
      <c r="P16" s="7">
        <v>0.8</v>
      </c>
      <c r="Q16" s="52">
        <f t="shared" si="0"/>
        <v>0.72500000000000009</v>
      </c>
      <c r="R16" s="7">
        <v>13.9</v>
      </c>
      <c r="S16" s="7">
        <v>119</v>
      </c>
      <c r="T16" s="16">
        <f t="shared" si="1"/>
        <v>30</v>
      </c>
      <c r="U16" s="7">
        <v>138</v>
      </c>
      <c r="V16" s="16">
        <f t="shared" si="2"/>
        <v>4140</v>
      </c>
      <c r="W16" s="7">
        <v>4</v>
      </c>
      <c r="X16" s="15" t="s">
        <v>46</v>
      </c>
      <c r="Y16" s="54" t="s">
        <v>55</v>
      </c>
      <c r="Z16" s="54" t="s">
        <v>69</v>
      </c>
      <c r="AA16" s="54" t="s">
        <v>86</v>
      </c>
      <c r="AB16" s="39" t="s">
        <v>158</v>
      </c>
      <c r="AE16" s="22" t="s">
        <v>82</v>
      </c>
      <c r="AG16" s="28"/>
      <c r="AH16" s="28"/>
      <c r="AP16" s="23" t="s">
        <v>80</v>
      </c>
      <c r="AR16" s="41" t="s">
        <v>63</v>
      </c>
      <c r="AV16" s="23" t="s">
        <v>84</v>
      </c>
    </row>
    <row r="17" spans="1:48" x14ac:dyDescent="0.15">
      <c r="A17" s="15" t="s">
        <v>156</v>
      </c>
      <c r="B17" s="15" t="s">
        <v>157</v>
      </c>
      <c r="C17" s="15">
        <v>2019</v>
      </c>
      <c r="D17" s="37" t="s">
        <v>166</v>
      </c>
      <c r="E17" s="15" t="s">
        <v>142</v>
      </c>
      <c r="F17" s="7" t="s">
        <v>151</v>
      </c>
      <c r="G17" s="7" t="s">
        <v>36</v>
      </c>
      <c r="H17" s="15" t="s">
        <v>160</v>
      </c>
      <c r="I17" s="7" t="s">
        <v>159</v>
      </c>
      <c r="J17" s="15" t="s">
        <v>38</v>
      </c>
      <c r="K17" s="7" t="s">
        <v>161</v>
      </c>
      <c r="L17" s="7">
        <v>1</v>
      </c>
      <c r="N17" s="7">
        <v>1</v>
      </c>
      <c r="O17" s="7">
        <v>0.55000000000000004</v>
      </c>
      <c r="P17" s="7">
        <v>0.55000000000000004</v>
      </c>
      <c r="Q17" s="52">
        <f t="shared" si="0"/>
        <v>0.55000000000000004</v>
      </c>
      <c r="R17" s="7">
        <v>15.2</v>
      </c>
      <c r="S17" s="7">
        <v>140</v>
      </c>
      <c r="T17" s="16">
        <f t="shared" si="1"/>
        <v>22</v>
      </c>
      <c r="U17" s="7">
        <v>159</v>
      </c>
      <c r="V17" s="16">
        <f t="shared" si="2"/>
        <v>3498</v>
      </c>
      <c r="W17" s="7">
        <v>6</v>
      </c>
      <c r="X17" s="15" t="s">
        <v>46</v>
      </c>
      <c r="Y17" s="54" t="s">
        <v>55</v>
      </c>
      <c r="Z17" s="54" t="s">
        <v>69</v>
      </c>
      <c r="AA17" s="54" t="s">
        <v>86</v>
      </c>
      <c r="AB17" s="39" t="s">
        <v>158</v>
      </c>
      <c r="AE17" s="22" t="s">
        <v>85</v>
      </c>
      <c r="AP17" s="43" t="s">
        <v>110</v>
      </c>
      <c r="AR17" s="41" t="s">
        <v>96</v>
      </c>
      <c r="AV17" s="23" t="s">
        <v>86</v>
      </c>
    </row>
    <row r="18" spans="1:48" x14ac:dyDescent="0.15">
      <c r="A18" s="15" t="s">
        <v>156</v>
      </c>
      <c r="B18" s="15" t="s">
        <v>157</v>
      </c>
      <c r="C18" s="15">
        <v>2019</v>
      </c>
      <c r="D18" s="37" t="s">
        <v>166</v>
      </c>
      <c r="E18" s="15" t="s">
        <v>142</v>
      </c>
      <c r="F18" s="7" t="s">
        <v>151</v>
      </c>
      <c r="G18" s="7" t="s">
        <v>36</v>
      </c>
      <c r="H18" s="15" t="s">
        <v>160</v>
      </c>
      <c r="I18" s="7" t="s">
        <v>159</v>
      </c>
      <c r="J18" s="15" t="s">
        <v>38</v>
      </c>
      <c r="K18" s="7" t="s">
        <v>161</v>
      </c>
      <c r="L18" s="7">
        <v>2</v>
      </c>
      <c r="N18" s="7">
        <v>1</v>
      </c>
      <c r="O18" s="7">
        <v>0.5</v>
      </c>
      <c r="P18" s="7">
        <v>0.6</v>
      </c>
      <c r="Q18" s="52">
        <f t="shared" si="0"/>
        <v>0.55000000000000004</v>
      </c>
      <c r="R18" s="7">
        <v>15.3</v>
      </c>
      <c r="S18" s="7">
        <v>141</v>
      </c>
      <c r="T18" s="16">
        <f t="shared" si="1"/>
        <v>22</v>
      </c>
      <c r="U18" s="7">
        <v>159</v>
      </c>
      <c r="V18" s="16">
        <f t="shared" si="2"/>
        <v>3498</v>
      </c>
      <c r="W18" s="7">
        <v>6</v>
      </c>
      <c r="X18" s="15" t="s">
        <v>46</v>
      </c>
      <c r="Y18" s="54" t="s">
        <v>55</v>
      </c>
      <c r="Z18" s="54" t="s">
        <v>69</v>
      </c>
      <c r="AA18" s="54" t="s">
        <v>86</v>
      </c>
      <c r="AB18" s="39" t="s">
        <v>158</v>
      </c>
      <c r="AE18" s="22" t="s">
        <v>87</v>
      </c>
      <c r="AP18" s="43" t="s">
        <v>111</v>
      </c>
      <c r="AR18" s="41" t="s">
        <v>101</v>
      </c>
      <c r="AV18" s="23" t="s">
        <v>88</v>
      </c>
    </row>
    <row r="19" spans="1:48" x14ac:dyDescent="0.15">
      <c r="A19" s="15" t="s">
        <v>156</v>
      </c>
      <c r="B19" s="15" t="s">
        <v>157</v>
      </c>
      <c r="C19" s="15">
        <v>2019</v>
      </c>
      <c r="D19" s="37" t="s">
        <v>166</v>
      </c>
      <c r="E19" s="15" t="s">
        <v>142</v>
      </c>
      <c r="F19" s="7" t="s">
        <v>151</v>
      </c>
      <c r="G19" s="7" t="s">
        <v>36</v>
      </c>
      <c r="H19" s="15" t="s">
        <v>160</v>
      </c>
      <c r="I19" s="7" t="s">
        <v>159</v>
      </c>
      <c r="J19" s="15" t="s">
        <v>38</v>
      </c>
      <c r="K19" s="7" t="s">
        <v>161</v>
      </c>
      <c r="L19" s="7">
        <v>3</v>
      </c>
      <c r="N19" s="7">
        <v>1</v>
      </c>
      <c r="O19" s="7">
        <v>0.6</v>
      </c>
      <c r="P19" s="7">
        <v>0.65</v>
      </c>
      <c r="Q19" s="52">
        <f t="shared" si="0"/>
        <v>0.625</v>
      </c>
      <c r="R19" s="7">
        <v>16.5</v>
      </c>
      <c r="S19" s="7">
        <v>149</v>
      </c>
      <c r="T19" s="16">
        <f t="shared" si="1"/>
        <v>22</v>
      </c>
      <c r="U19" s="7">
        <v>159</v>
      </c>
      <c r="V19" s="16">
        <f t="shared" si="2"/>
        <v>3498</v>
      </c>
      <c r="W19" s="7">
        <v>6</v>
      </c>
      <c r="X19" s="15" t="s">
        <v>46</v>
      </c>
      <c r="Y19" s="54" t="s">
        <v>55</v>
      </c>
      <c r="Z19" s="54" t="s">
        <v>69</v>
      </c>
      <c r="AA19" s="54" t="s">
        <v>86</v>
      </c>
      <c r="AB19" s="39" t="s">
        <v>158</v>
      </c>
      <c r="AE19" s="35" t="s">
        <v>89</v>
      </c>
      <c r="AP19" s="43" t="s">
        <v>112</v>
      </c>
      <c r="AR19" s="30" t="s">
        <v>126</v>
      </c>
      <c r="AV19" s="23" t="s">
        <v>90</v>
      </c>
    </row>
    <row r="20" spans="1:48" x14ac:dyDescent="0.15">
      <c r="A20" s="15" t="s">
        <v>156</v>
      </c>
      <c r="B20" s="15" t="s">
        <v>157</v>
      </c>
      <c r="C20" s="15">
        <v>2019</v>
      </c>
      <c r="D20" s="37" t="s">
        <v>166</v>
      </c>
      <c r="E20" s="15" t="s">
        <v>143</v>
      </c>
      <c r="F20" s="7" t="s">
        <v>152</v>
      </c>
      <c r="G20" s="7" t="s">
        <v>36</v>
      </c>
      <c r="H20" s="15" t="s">
        <v>164</v>
      </c>
      <c r="I20" s="7" t="s">
        <v>159</v>
      </c>
      <c r="J20" s="15" t="s">
        <v>38</v>
      </c>
      <c r="K20" s="7" t="s">
        <v>161</v>
      </c>
      <c r="L20" s="7">
        <v>1</v>
      </c>
      <c r="N20" s="7">
        <v>1</v>
      </c>
      <c r="O20" s="7">
        <v>0.7</v>
      </c>
      <c r="P20" s="34">
        <v>0.8</v>
      </c>
      <c r="Q20" s="52">
        <f t="shared" si="0"/>
        <v>0.75</v>
      </c>
      <c r="R20" s="7">
        <v>13.9</v>
      </c>
      <c r="S20" s="7">
        <v>129</v>
      </c>
      <c r="T20" s="16">
        <f t="shared" si="1"/>
        <v>25</v>
      </c>
      <c r="U20" s="7">
        <v>85</v>
      </c>
      <c r="V20" s="16">
        <f t="shared" si="2"/>
        <v>2125</v>
      </c>
      <c r="W20" s="7">
        <v>5</v>
      </c>
      <c r="X20" s="15" t="s">
        <v>46</v>
      </c>
      <c r="Y20" s="54" t="s">
        <v>55</v>
      </c>
      <c r="Z20" s="54" t="s">
        <v>97</v>
      </c>
      <c r="AA20" s="54" t="s">
        <v>86</v>
      </c>
      <c r="AB20" s="39" t="s">
        <v>158</v>
      </c>
      <c r="AE20" s="22"/>
      <c r="AP20" s="43" t="s">
        <v>113</v>
      </c>
      <c r="AR20" s="41" t="s">
        <v>105</v>
      </c>
      <c r="AV20" s="27" t="s">
        <v>135</v>
      </c>
    </row>
    <row r="21" spans="1:48" x14ac:dyDescent="0.15">
      <c r="A21" s="15" t="s">
        <v>156</v>
      </c>
      <c r="B21" s="15" t="s">
        <v>157</v>
      </c>
      <c r="C21" s="15">
        <v>2019</v>
      </c>
      <c r="D21" s="37" t="s">
        <v>166</v>
      </c>
      <c r="E21" s="15" t="s">
        <v>143</v>
      </c>
      <c r="F21" s="7" t="s">
        <v>152</v>
      </c>
      <c r="G21" s="7" t="s">
        <v>36</v>
      </c>
      <c r="H21" s="15" t="s">
        <v>164</v>
      </c>
      <c r="I21" s="7" t="s">
        <v>159</v>
      </c>
      <c r="J21" s="15" t="s">
        <v>38</v>
      </c>
      <c r="K21" s="7" t="s">
        <v>161</v>
      </c>
      <c r="L21" s="7">
        <v>2</v>
      </c>
      <c r="N21" s="7">
        <v>1</v>
      </c>
      <c r="O21" s="7">
        <v>0.85</v>
      </c>
      <c r="P21" s="7">
        <v>0.8</v>
      </c>
      <c r="Q21" s="52">
        <f t="shared" si="0"/>
        <v>0.82499999999999996</v>
      </c>
      <c r="R21" s="7">
        <v>16.3</v>
      </c>
      <c r="S21" s="7">
        <v>122</v>
      </c>
      <c r="T21" s="16">
        <f t="shared" si="1"/>
        <v>27</v>
      </c>
      <c r="U21" s="7">
        <v>85</v>
      </c>
      <c r="V21" s="16">
        <f t="shared" si="2"/>
        <v>2295</v>
      </c>
      <c r="W21" s="7">
        <v>5</v>
      </c>
      <c r="X21" s="15" t="s">
        <v>46</v>
      </c>
      <c r="Y21" s="54" t="s">
        <v>55</v>
      </c>
      <c r="Z21" s="54" t="s">
        <v>97</v>
      </c>
      <c r="AA21" s="54" t="s">
        <v>86</v>
      </c>
      <c r="AB21" s="39" t="s">
        <v>158</v>
      </c>
      <c r="AE21" s="22"/>
      <c r="AP21" s="43" t="s">
        <v>114</v>
      </c>
      <c r="AR21" s="41" t="s">
        <v>68</v>
      </c>
      <c r="AV21" s="27" t="s">
        <v>136</v>
      </c>
    </row>
    <row r="22" spans="1:48" x14ac:dyDescent="0.15">
      <c r="A22" s="15" t="s">
        <v>156</v>
      </c>
      <c r="B22" s="15" t="s">
        <v>157</v>
      </c>
      <c r="C22" s="15">
        <v>2019</v>
      </c>
      <c r="D22" s="37" t="s">
        <v>166</v>
      </c>
      <c r="E22" s="15" t="s">
        <v>143</v>
      </c>
      <c r="F22" s="7" t="s">
        <v>152</v>
      </c>
      <c r="G22" s="7" t="s">
        <v>36</v>
      </c>
      <c r="H22" s="15" t="s">
        <v>164</v>
      </c>
      <c r="I22" s="7" t="s">
        <v>159</v>
      </c>
      <c r="J22" s="15" t="s">
        <v>38</v>
      </c>
      <c r="K22" s="7" t="s">
        <v>161</v>
      </c>
      <c r="L22" s="7">
        <v>3</v>
      </c>
      <c r="N22" s="7">
        <v>1</v>
      </c>
      <c r="O22" s="34">
        <v>0.8</v>
      </c>
      <c r="P22" s="7">
        <v>0.8</v>
      </c>
      <c r="Q22" s="52">
        <f t="shared" si="0"/>
        <v>0.8</v>
      </c>
      <c r="R22" s="7">
        <v>14.7</v>
      </c>
      <c r="S22" s="7">
        <v>133</v>
      </c>
      <c r="T22" s="16">
        <f t="shared" si="1"/>
        <v>25</v>
      </c>
      <c r="U22" s="7">
        <v>85</v>
      </c>
      <c r="V22" s="16">
        <f t="shared" si="2"/>
        <v>2125</v>
      </c>
      <c r="W22" s="7">
        <v>5</v>
      </c>
      <c r="X22" s="15" t="s">
        <v>46</v>
      </c>
      <c r="Y22" s="54" t="s">
        <v>55</v>
      </c>
      <c r="Z22" s="54" t="s">
        <v>97</v>
      </c>
      <c r="AA22" s="54" t="s">
        <v>86</v>
      </c>
      <c r="AB22" s="39" t="s">
        <v>158</v>
      </c>
      <c r="AE22" s="35"/>
      <c r="AP22" s="43" t="s">
        <v>115</v>
      </c>
      <c r="AR22" s="41" t="s">
        <v>83</v>
      </c>
      <c r="AV22" s="27"/>
    </row>
    <row r="23" spans="1:48" x14ac:dyDescent="0.15">
      <c r="A23" s="15" t="s">
        <v>156</v>
      </c>
      <c r="B23" s="15" t="s">
        <v>157</v>
      </c>
      <c r="C23" s="15">
        <v>2019</v>
      </c>
      <c r="D23" s="37" t="s">
        <v>166</v>
      </c>
      <c r="E23" s="7" t="s">
        <v>143</v>
      </c>
      <c r="F23" s="7" t="s">
        <v>152</v>
      </c>
      <c r="G23" s="7" t="s">
        <v>36</v>
      </c>
      <c r="H23" s="15" t="s">
        <v>160</v>
      </c>
      <c r="I23" s="7" t="s">
        <v>159</v>
      </c>
      <c r="J23" s="15" t="s">
        <v>38</v>
      </c>
      <c r="K23" s="7" t="s">
        <v>161</v>
      </c>
      <c r="L23" s="7">
        <v>1</v>
      </c>
      <c r="N23" s="7">
        <v>1</v>
      </c>
      <c r="O23" s="34">
        <v>1.1499999999999999</v>
      </c>
      <c r="P23" s="7">
        <v>1.1000000000000001</v>
      </c>
      <c r="Q23" s="52">
        <f t="shared" si="0"/>
        <v>1.125</v>
      </c>
      <c r="R23" s="7">
        <v>15.3</v>
      </c>
      <c r="S23" s="7">
        <v>117</v>
      </c>
      <c r="T23" s="16">
        <f t="shared" si="1"/>
        <v>30</v>
      </c>
      <c r="U23" s="7">
        <v>138</v>
      </c>
      <c r="V23" s="16">
        <f t="shared" si="2"/>
        <v>4140</v>
      </c>
      <c r="W23" s="7">
        <v>8</v>
      </c>
      <c r="X23" s="15" t="s">
        <v>46</v>
      </c>
      <c r="Y23" s="54" t="s">
        <v>55</v>
      </c>
      <c r="Z23" s="54" t="s">
        <v>97</v>
      </c>
      <c r="AA23" s="54" t="s">
        <v>86</v>
      </c>
      <c r="AB23" s="39" t="s">
        <v>158</v>
      </c>
      <c r="AE23" s="22"/>
      <c r="AP23" s="43" t="s">
        <v>137</v>
      </c>
      <c r="AR23" s="41" t="s">
        <v>61</v>
      </c>
      <c r="AV23" s="27"/>
    </row>
    <row r="24" spans="1:48" x14ac:dyDescent="0.15">
      <c r="A24" s="15" t="s">
        <v>156</v>
      </c>
      <c r="B24" s="15" t="s">
        <v>157</v>
      </c>
      <c r="C24" s="15">
        <v>2019</v>
      </c>
      <c r="D24" s="37" t="s">
        <v>166</v>
      </c>
      <c r="E24" s="7" t="s">
        <v>143</v>
      </c>
      <c r="F24" s="7" t="s">
        <v>152</v>
      </c>
      <c r="G24" s="7" t="s">
        <v>36</v>
      </c>
      <c r="H24" s="15" t="s">
        <v>160</v>
      </c>
      <c r="I24" s="7" t="s">
        <v>159</v>
      </c>
      <c r="J24" s="15" t="s">
        <v>38</v>
      </c>
      <c r="K24" s="7" t="s">
        <v>161</v>
      </c>
      <c r="L24" s="7">
        <v>2</v>
      </c>
      <c r="N24" s="7">
        <v>1</v>
      </c>
      <c r="O24" s="7">
        <v>0.6</v>
      </c>
      <c r="P24" s="7">
        <v>0.6</v>
      </c>
      <c r="Q24" s="52">
        <f t="shared" si="0"/>
        <v>0.6</v>
      </c>
      <c r="R24" s="7">
        <v>17.3</v>
      </c>
      <c r="S24" s="7">
        <v>122</v>
      </c>
      <c r="T24" s="16">
        <f t="shared" si="1"/>
        <v>27</v>
      </c>
      <c r="U24" s="7">
        <v>138</v>
      </c>
      <c r="V24" s="16">
        <f t="shared" si="2"/>
        <v>3726</v>
      </c>
      <c r="W24" s="7">
        <v>8</v>
      </c>
      <c r="X24" s="15" t="s">
        <v>46</v>
      </c>
      <c r="Y24" s="54" t="s">
        <v>55</v>
      </c>
      <c r="Z24" s="54" t="s">
        <v>97</v>
      </c>
      <c r="AA24" s="54" t="s">
        <v>86</v>
      </c>
      <c r="AB24" s="39" t="s">
        <v>158</v>
      </c>
      <c r="AE24" s="22"/>
      <c r="AP24" s="43" t="s">
        <v>138</v>
      </c>
      <c r="AR24" s="41" t="s">
        <v>91</v>
      </c>
      <c r="AV24" s="27"/>
    </row>
    <row r="25" spans="1:48" x14ac:dyDescent="0.15">
      <c r="A25" s="15" t="s">
        <v>156</v>
      </c>
      <c r="B25" s="15" t="s">
        <v>157</v>
      </c>
      <c r="C25" s="15">
        <v>2019</v>
      </c>
      <c r="D25" s="37" t="s">
        <v>166</v>
      </c>
      <c r="E25" s="7" t="s">
        <v>143</v>
      </c>
      <c r="F25" s="7" t="s">
        <v>152</v>
      </c>
      <c r="G25" s="7" t="s">
        <v>36</v>
      </c>
      <c r="H25" s="15" t="s">
        <v>160</v>
      </c>
      <c r="I25" s="7" t="s">
        <v>159</v>
      </c>
      <c r="J25" s="15" t="s">
        <v>38</v>
      </c>
      <c r="K25" s="7" t="s">
        <v>161</v>
      </c>
      <c r="L25" s="7">
        <v>3</v>
      </c>
      <c r="N25" s="7">
        <v>1</v>
      </c>
      <c r="O25" s="7">
        <v>0.7</v>
      </c>
      <c r="P25" s="7">
        <v>0.8</v>
      </c>
      <c r="Q25" s="52">
        <f t="shared" si="0"/>
        <v>0.75</v>
      </c>
      <c r="R25" s="7">
        <v>15.3</v>
      </c>
      <c r="S25" s="7">
        <v>116</v>
      </c>
      <c r="T25" s="16">
        <f t="shared" si="1"/>
        <v>30</v>
      </c>
      <c r="U25" s="7">
        <v>138</v>
      </c>
      <c r="V25" s="16">
        <f t="shared" si="2"/>
        <v>4140</v>
      </c>
      <c r="W25" s="7">
        <v>8</v>
      </c>
      <c r="X25" s="15" t="s">
        <v>46</v>
      </c>
      <c r="Y25" s="54" t="s">
        <v>55</v>
      </c>
      <c r="Z25" s="54" t="s">
        <v>97</v>
      </c>
      <c r="AA25" s="54" t="s">
        <v>86</v>
      </c>
      <c r="AB25" s="39" t="s">
        <v>158</v>
      </c>
      <c r="AE25" s="35"/>
      <c r="AP25" s="43" t="s">
        <v>116</v>
      </c>
      <c r="AR25" s="42" t="s">
        <v>92</v>
      </c>
      <c r="AV25" s="27"/>
    </row>
    <row r="26" spans="1:48" x14ac:dyDescent="0.15">
      <c r="A26" s="15" t="s">
        <v>156</v>
      </c>
      <c r="B26" s="15" t="s">
        <v>157</v>
      </c>
      <c r="C26" s="15">
        <v>2019</v>
      </c>
      <c r="D26" s="37" t="s">
        <v>166</v>
      </c>
      <c r="E26" s="7" t="s">
        <v>131</v>
      </c>
      <c r="F26" s="7" t="s">
        <v>144</v>
      </c>
      <c r="G26" s="7" t="s">
        <v>36</v>
      </c>
      <c r="H26" s="15" t="s">
        <v>164</v>
      </c>
      <c r="I26" s="7" t="s">
        <v>159</v>
      </c>
      <c r="J26" s="15" t="s">
        <v>38</v>
      </c>
      <c r="K26" s="7" t="s">
        <v>161</v>
      </c>
      <c r="L26" s="7">
        <v>1</v>
      </c>
      <c r="N26" s="53">
        <v>1</v>
      </c>
      <c r="O26" s="7">
        <v>0.6</v>
      </c>
      <c r="P26" s="7">
        <v>0.75</v>
      </c>
      <c r="Q26" s="52">
        <f t="shared" si="0"/>
        <v>0.67500000000000004</v>
      </c>
      <c r="R26" s="7">
        <v>13.9</v>
      </c>
      <c r="S26" s="7">
        <v>113</v>
      </c>
      <c r="T26" s="16">
        <f t="shared" si="1"/>
        <v>30</v>
      </c>
      <c r="U26" s="7">
        <v>107</v>
      </c>
      <c r="V26" s="16">
        <f t="shared" si="2"/>
        <v>3210</v>
      </c>
      <c r="W26" s="7">
        <v>5</v>
      </c>
      <c r="X26" s="15" t="s">
        <v>46</v>
      </c>
      <c r="Y26" s="54" t="s">
        <v>55</v>
      </c>
      <c r="Z26" s="54" t="s">
        <v>78</v>
      </c>
      <c r="AA26" s="54" t="s">
        <v>47</v>
      </c>
      <c r="AB26" s="39" t="s">
        <v>158</v>
      </c>
      <c r="AE26" s="35"/>
      <c r="AP26" s="43" t="s">
        <v>117</v>
      </c>
      <c r="AR26" s="23" t="s">
        <v>153</v>
      </c>
      <c r="AV26" s="28"/>
    </row>
    <row r="27" spans="1:48" x14ac:dyDescent="0.15">
      <c r="A27" s="15" t="s">
        <v>156</v>
      </c>
      <c r="B27" s="15" t="s">
        <v>157</v>
      </c>
      <c r="C27" s="15">
        <v>2019</v>
      </c>
      <c r="D27" s="37" t="s">
        <v>166</v>
      </c>
      <c r="E27" s="7" t="s">
        <v>131</v>
      </c>
      <c r="F27" s="7" t="s">
        <v>144</v>
      </c>
      <c r="G27" s="7" t="s">
        <v>36</v>
      </c>
      <c r="H27" s="54" t="s">
        <v>164</v>
      </c>
      <c r="I27" s="7" t="s">
        <v>159</v>
      </c>
      <c r="J27" s="15" t="s">
        <v>38</v>
      </c>
      <c r="K27" s="7" t="s">
        <v>161</v>
      </c>
      <c r="L27" s="7">
        <v>2</v>
      </c>
      <c r="N27" s="53">
        <v>1</v>
      </c>
      <c r="O27" s="7">
        <v>0.9</v>
      </c>
      <c r="P27" s="7">
        <v>0.8</v>
      </c>
      <c r="Q27" s="52">
        <f t="shared" si="0"/>
        <v>0.85000000000000009</v>
      </c>
      <c r="R27" s="7">
        <v>14.3</v>
      </c>
      <c r="S27" s="7">
        <v>119</v>
      </c>
      <c r="T27" s="16">
        <f t="shared" si="1"/>
        <v>30</v>
      </c>
      <c r="U27" s="7">
        <v>107</v>
      </c>
      <c r="V27" s="16">
        <f t="shared" si="2"/>
        <v>3210</v>
      </c>
      <c r="W27" s="7">
        <v>5</v>
      </c>
      <c r="X27" s="15" t="s">
        <v>46</v>
      </c>
      <c r="Y27" s="54" t="s">
        <v>55</v>
      </c>
      <c r="Z27" s="54" t="s">
        <v>78</v>
      </c>
      <c r="AA27" s="54" t="s">
        <v>47</v>
      </c>
      <c r="AB27" s="39" t="s">
        <v>158</v>
      </c>
      <c r="AE27" s="28"/>
      <c r="AP27" s="43" t="s">
        <v>118</v>
      </c>
      <c r="AR27" s="23"/>
    </row>
    <row r="28" spans="1:48" x14ac:dyDescent="0.15">
      <c r="A28" s="15" t="s">
        <v>156</v>
      </c>
      <c r="B28" s="15" t="s">
        <v>157</v>
      </c>
      <c r="C28" s="15">
        <v>2019</v>
      </c>
      <c r="D28" s="37" t="s">
        <v>166</v>
      </c>
      <c r="E28" s="7" t="s">
        <v>131</v>
      </c>
      <c r="F28" s="7" t="s">
        <v>144</v>
      </c>
      <c r="G28" s="7" t="s">
        <v>36</v>
      </c>
      <c r="H28" s="54" t="s">
        <v>164</v>
      </c>
      <c r="I28" s="7" t="s">
        <v>159</v>
      </c>
      <c r="J28" s="15" t="s">
        <v>38</v>
      </c>
      <c r="K28" s="7" t="s">
        <v>161</v>
      </c>
      <c r="L28" s="7">
        <v>3</v>
      </c>
      <c r="N28" s="53">
        <v>1</v>
      </c>
      <c r="O28" s="7">
        <v>0.85</v>
      </c>
      <c r="P28" s="7">
        <v>0.85</v>
      </c>
      <c r="Q28" s="52">
        <f t="shared" si="0"/>
        <v>0.85</v>
      </c>
      <c r="R28" s="7">
        <v>13.9</v>
      </c>
      <c r="S28" s="7">
        <v>117</v>
      </c>
      <c r="T28" s="16">
        <f t="shared" si="1"/>
        <v>30</v>
      </c>
      <c r="U28" s="7">
        <v>107</v>
      </c>
      <c r="V28" s="16">
        <f t="shared" si="2"/>
        <v>3210</v>
      </c>
      <c r="W28" s="7">
        <v>5</v>
      </c>
      <c r="X28" s="15" t="s">
        <v>46</v>
      </c>
      <c r="Y28" s="54" t="s">
        <v>55</v>
      </c>
      <c r="Z28" s="54" t="s">
        <v>78</v>
      </c>
      <c r="AA28" s="54" t="s">
        <v>47</v>
      </c>
      <c r="AB28" s="39" t="s">
        <v>158</v>
      </c>
      <c r="AP28" s="27"/>
      <c r="AR28" s="23"/>
    </row>
    <row r="29" spans="1:48" x14ac:dyDescent="0.15">
      <c r="A29" s="15" t="s">
        <v>156</v>
      </c>
      <c r="B29" s="15" t="s">
        <v>157</v>
      </c>
      <c r="C29" s="15">
        <v>2019</v>
      </c>
      <c r="D29" s="37" t="s">
        <v>166</v>
      </c>
      <c r="E29" s="7" t="s">
        <v>131</v>
      </c>
      <c r="F29" s="7" t="s">
        <v>144</v>
      </c>
      <c r="G29" s="7" t="s">
        <v>36</v>
      </c>
      <c r="H29" s="54" t="s">
        <v>164</v>
      </c>
      <c r="I29" s="7" t="s">
        <v>165</v>
      </c>
      <c r="J29" s="15" t="s">
        <v>38</v>
      </c>
      <c r="K29" s="7" t="s">
        <v>161</v>
      </c>
      <c r="L29" s="7">
        <v>1</v>
      </c>
      <c r="N29" s="53">
        <v>4</v>
      </c>
      <c r="O29" s="7">
        <v>0.95</v>
      </c>
      <c r="P29" s="7">
        <v>0.95</v>
      </c>
      <c r="Q29" s="52">
        <f t="shared" si="0"/>
        <v>0.95</v>
      </c>
      <c r="R29" s="7">
        <v>15.2</v>
      </c>
      <c r="S29" s="7">
        <v>95</v>
      </c>
      <c r="T29" s="16">
        <f t="shared" si="1"/>
        <v>36</v>
      </c>
      <c r="U29" s="7">
        <v>430</v>
      </c>
      <c r="V29" s="16">
        <f t="shared" si="2"/>
        <v>3870</v>
      </c>
      <c r="W29" s="7">
        <v>1</v>
      </c>
      <c r="X29" s="15" t="s">
        <v>46</v>
      </c>
      <c r="Y29" s="54" t="s">
        <v>55</v>
      </c>
      <c r="Z29" s="54" t="s">
        <v>78</v>
      </c>
      <c r="AA29" s="54" t="s">
        <v>47</v>
      </c>
      <c r="AB29" s="39" t="s">
        <v>158</v>
      </c>
      <c r="AP29" s="27"/>
      <c r="AR29" s="27"/>
      <c r="AV29" s="28"/>
    </row>
    <row r="30" spans="1:48" x14ac:dyDescent="0.15">
      <c r="A30" s="15" t="s">
        <v>156</v>
      </c>
      <c r="B30" s="15" t="s">
        <v>157</v>
      </c>
      <c r="C30" s="15">
        <v>2019</v>
      </c>
      <c r="D30" s="37" t="s">
        <v>166</v>
      </c>
      <c r="E30" s="7" t="s">
        <v>131</v>
      </c>
      <c r="F30" s="7" t="s">
        <v>144</v>
      </c>
      <c r="G30" s="7" t="s">
        <v>36</v>
      </c>
      <c r="H30" s="54" t="s">
        <v>164</v>
      </c>
      <c r="I30" s="53" t="s">
        <v>165</v>
      </c>
      <c r="J30" s="15" t="s">
        <v>38</v>
      </c>
      <c r="K30" s="7" t="s">
        <v>161</v>
      </c>
      <c r="L30" s="7">
        <v>2</v>
      </c>
      <c r="N30" s="7">
        <v>4</v>
      </c>
      <c r="O30" s="7">
        <v>0.7</v>
      </c>
      <c r="P30" s="7">
        <v>0.7</v>
      </c>
      <c r="Q30" s="52">
        <f t="shared" si="0"/>
        <v>0.7</v>
      </c>
      <c r="R30" s="7">
        <v>13.8</v>
      </c>
      <c r="S30" s="7">
        <v>100</v>
      </c>
      <c r="T30" s="16">
        <f t="shared" si="1"/>
        <v>33</v>
      </c>
      <c r="U30" s="7">
        <v>430</v>
      </c>
      <c r="V30" s="16">
        <f t="shared" si="2"/>
        <v>3547.5</v>
      </c>
      <c r="W30" s="7">
        <v>1</v>
      </c>
      <c r="X30" s="15" t="s">
        <v>46</v>
      </c>
      <c r="Y30" s="54" t="s">
        <v>55</v>
      </c>
      <c r="Z30" s="54" t="s">
        <v>78</v>
      </c>
      <c r="AA30" s="54" t="s">
        <v>47</v>
      </c>
      <c r="AB30" s="39" t="s">
        <v>158</v>
      </c>
      <c r="AP30" s="27"/>
      <c r="AR30" s="27"/>
    </row>
    <row r="31" spans="1:48" x14ac:dyDescent="0.15">
      <c r="A31" s="15" t="s">
        <v>156</v>
      </c>
      <c r="B31" s="15" t="s">
        <v>157</v>
      </c>
      <c r="C31" s="15">
        <v>2019</v>
      </c>
      <c r="D31" s="37" t="s">
        <v>166</v>
      </c>
      <c r="E31" s="7" t="s">
        <v>131</v>
      </c>
      <c r="F31" s="7" t="s">
        <v>144</v>
      </c>
      <c r="G31" s="7" t="s">
        <v>36</v>
      </c>
      <c r="H31" s="54" t="s">
        <v>164</v>
      </c>
      <c r="I31" s="53" t="s">
        <v>165</v>
      </c>
      <c r="J31" s="15" t="s">
        <v>38</v>
      </c>
      <c r="K31" s="7" t="s">
        <v>161</v>
      </c>
      <c r="L31" s="7">
        <v>3</v>
      </c>
      <c r="N31" s="7">
        <v>4</v>
      </c>
      <c r="O31" s="7">
        <v>0.75</v>
      </c>
      <c r="P31" s="7">
        <v>0.7</v>
      </c>
      <c r="Q31" s="52">
        <f t="shared" si="0"/>
        <v>0.72499999999999998</v>
      </c>
      <c r="R31" s="7">
        <v>15.7</v>
      </c>
      <c r="S31" s="7">
        <v>101</v>
      </c>
      <c r="T31" s="16">
        <f t="shared" si="1"/>
        <v>33</v>
      </c>
      <c r="U31" s="7">
        <v>430</v>
      </c>
      <c r="V31" s="16">
        <f t="shared" si="2"/>
        <v>3547.5</v>
      </c>
      <c r="W31" s="7">
        <v>1</v>
      </c>
      <c r="X31" s="15" t="s">
        <v>46</v>
      </c>
      <c r="Y31" s="54" t="s">
        <v>55</v>
      </c>
      <c r="Z31" s="54" t="s">
        <v>78</v>
      </c>
      <c r="AA31" s="54" t="s">
        <v>47</v>
      </c>
      <c r="AB31" s="39" t="s">
        <v>158</v>
      </c>
      <c r="AP31" s="27"/>
      <c r="AR31" s="27"/>
    </row>
    <row r="32" spans="1:48" x14ac:dyDescent="0.15">
      <c r="A32" s="15" t="s">
        <v>156</v>
      </c>
      <c r="B32" s="15" t="s">
        <v>157</v>
      </c>
      <c r="C32" s="15">
        <v>2019</v>
      </c>
      <c r="D32" s="37" t="s">
        <v>166</v>
      </c>
      <c r="E32" s="7" t="s">
        <v>131</v>
      </c>
      <c r="F32" s="7" t="s">
        <v>144</v>
      </c>
      <c r="G32" s="7" t="s">
        <v>36</v>
      </c>
      <c r="H32" s="15" t="s">
        <v>160</v>
      </c>
      <c r="I32" s="7" t="s">
        <v>159</v>
      </c>
      <c r="J32" s="15" t="s">
        <v>38</v>
      </c>
      <c r="K32" s="7" t="s">
        <v>161</v>
      </c>
      <c r="L32" s="7">
        <v>1</v>
      </c>
      <c r="N32" s="7">
        <v>1</v>
      </c>
      <c r="O32" s="7">
        <v>0.6</v>
      </c>
      <c r="P32" s="7">
        <v>0.6</v>
      </c>
      <c r="Q32" s="52">
        <f t="shared" si="0"/>
        <v>0.6</v>
      </c>
      <c r="R32" s="7">
        <v>15.7</v>
      </c>
      <c r="S32" s="7">
        <v>126</v>
      </c>
      <c r="T32" s="16">
        <f t="shared" si="1"/>
        <v>27</v>
      </c>
      <c r="U32" s="7">
        <v>107</v>
      </c>
      <c r="V32" s="16">
        <f t="shared" si="2"/>
        <v>2889</v>
      </c>
      <c r="W32" s="7">
        <v>2</v>
      </c>
      <c r="X32" s="15" t="s">
        <v>46</v>
      </c>
      <c r="Y32" s="54" t="s">
        <v>55</v>
      </c>
      <c r="Z32" s="54" t="s">
        <v>78</v>
      </c>
      <c r="AA32" s="54" t="s">
        <v>47</v>
      </c>
      <c r="AB32" s="39" t="s">
        <v>158</v>
      </c>
      <c r="AP32" s="28"/>
      <c r="AR32" s="28"/>
    </row>
    <row r="33" spans="1:44" x14ac:dyDescent="0.15">
      <c r="A33" s="15" t="s">
        <v>156</v>
      </c>
      <c r="B33" s="15" t="s">
        <v>157</v>
      </c>
      <c r="C33" s="15">
        <v>2019</v>
      </c>
      <c r="D33" s="37" t="s">
        <v>166</v>
      </c>
      <c r="E33" s="7" t="s">
        <v>131</v>
      </c>
      <c r="F33" s="7" t="s">
        <v>144</v>
      </c>
      <c r="G33" s="7" t="s">
        <v>36</v>
      </c>
      <c r="H33" s="15" t="s">
        <v>160</v>
      </c>
      <c r="I33" s="53" t="s">
        <v>159</v>
      </c>
      <c r="J33" s="15" t="s">
        <v>38</v>
      </c>
      <c r="K33" s="7" t="s">
        <v>161</v>
      </c>
      <c r="L33" s="7">
        <v>2</v>
      </c>
      <c r="N33" s="7">
        <v>1</v>
      </c>
      <c r="O33" s="7">
        <v>0.5</v>
      </c>
      <c r="P33" s="7">
        <v>0.5</v>
      </c>
      <c r="Q33" s="52">
        <f t="shared" si="0"/>
        <v>0.5</v>
      </c>
      <c r="R33" s="7">
        <v>15.8</v>
      </c>
      <c r="S33" s="7">
        <v>133</v>
      </c>
      <c r="T33" s="16">
        <f t="shared" si="1"/>
        <v>25</v>
      </c>
      <c r="U33" s="7">
        <v>107</v>
      </c>
      <c r="V33" s="16">
        <f t="shared" si="2"/>
        <v>2675</v>
      </c>
      <c r="W33" s="7">
        <v>2</v>
      </c>
      <c r="X33" s="15" t="s">
        <v>46</v>
      </c>
      <c r="Y33" s="54" t="s">
        <v>55</v>
      </c>
      <c r="Z33" s="54" t="s">
        <v>78</v>
      </c>
      <c r="AA33" s="54" t="s">
        <v>47</v>
      </c>
      <c r="AB33" s="39" t="s">
        <v>158</v>
      </c>
    </row>
    <row r="34" spans="1:44" x14ac:dyDescent="0.15">
      <c r="A34" s="15" t="s">
        <v>156</v>
      </c>
      <c r="B34" s="15" t="s">
        <v>157</v>
      </c>
      <c r="C34" s="15">
        <v>2019</v>
      </c>
      <c r="D34" s="37" t="s">
        <v>166</v>
      </c>
      <c r="E34" s="7" t="s">
        <v>131</v>
      </c>
      <c r="F34" s="7" t="s">
        <v>144</v>
      </c>
      <c r="G34" s="7" t="s">
        <v>36</v>
      </c>
      <c r="H34" s="15" t="s">
        <v>160</v>
      </c>
      <c r="I34" s="53" t="s">
        <v>159</v>
      </c>
      <c r="J34" s="15" t="s">
        <v>38</v>
      </c>
      <c r="K34" s="7" t="s">
        <v>161</v>
      </c>
      <c r="L34" s="7">
        <v>3</v>
      </c>
      <c r="N34" s="7">
        <v>1</v>
      </c>
      <c r="O34" s="7">
        <v>0.6</v>
      </c>
      <c r="P34" s="7">
        <v>0.5</v>
      </c>
      <c r="Q34" s="52">
        <f t="shared" si="0"/>
        <v>0.55000000000000004</v>
      </c>
      <c r="R34" s="7">
        <v>16.7</v>
      </c>
      <c r="S34" s="7">
        <v>127</v>
      </c>
      <c r="T34" s="16">
        <f t="shared" si="1"/>
        <v>27</v>
      </c>
      <c r="U34" s="7">
        <v>107</v>
      </c>
      <c r="V34" s="16">
        <f t="shared" si="2"/>
        <v>2889</v>
      </c>
      <c r="W34" s="7">
        <v>2</v>
      </c>
      <c r="X34" s="15" t="s">
        <v>46</v>
      </c>
      <c r="Y34" s="54" t="s">
        <v>55</v>
      </c>
      <c r="Z34" s="54" t="s">
        <v>78</v>
      </c>
      <c r="AA34" s="54" t="s">
        <v>47</v>
      </c>
      <c r="AB34" s="39" t="s">
        <v>158</v>
      </c>
    </row>
    <row r="35" spans="1:44" x14ac:dyDescent="0.15">
      <c r="A35" s="15" t="s">
        <v>156</v>
      </c>
      <c r="B35" s="15" t="s">
        <v>157</v>
      </c>
      <c r="C35" s="15">
        <v>2019</v>
      </c>
      <c r="D35" s="37" t="s">
        <v>166</v>
      </c>
      <c r="E35" s="7" t="s">
        <v>131</v>
      </c>
      <c r="F35" s="7" t="s">
        <v>144</v>
      </c>
      <c r="G35" s="7" t="s">
        <v>36</v>
      </c>
      <c r="H35" s="15" t="s">
        <v>160</v>
      </c>
      <c r="I35" s="7" t="s">
        <v>165</v>
      </c>
      <c r="J35" s="15" t="s">
        <v>38</v>
      </c>
      <c r="K35" s="7" t="s">
        <v>161</v>
      </c>
      <c r="L35" s="7">
        <v>1</v>
      </c>
      <c r="N35" s="7">
        <v>4</v>
      </c>
      <c r="O35" s="7">
        <v>0.6</v>
      </c>
      <c r="P35" s="7">
        <v>0.7</v>
      </c>
      <c r="Q35" s="52">
        <f t="shared" si="0"/>
        <v>0.64999999999999991</v>
      </c>
      <c r="R35" s="7">
        <v>16.8</v>
      </c>
      <c r="S35" s="7">
        <v>89</v>
      </c>
      <c r="T35" s="16">
        <f t="shared" si="1"/>
        <v>36</v>
      </c>
      <c r="U35" s="7">
        <v>538</v>
      </c>
      <c r="V35" s="16">
        <f t="shared" si="2"/>
        <v>4842</v>
      </c>
      <c r="W35" s="7">
        <v>1</v>
      </c>
      <c r="X35" s="15" t="s">
        <v>46</v>
      </c>
      <c r="Y35" s="54" t="s">
        <v>55</v>
      </c>
      <c r="Z35" s="54" t="s">
        <v>78</v>
      </c>
      <c r="AA35" s="54" t="s">
        <v>47</v>
      </c>
      <c r="AB35" s="39" t="s">
        <v>158</v>
      </c>
      <c r="AP35" s="28"/>
      <c r="AR35" s="28"/>
    </row>
    <row r="36" spans="1:44" x14ac:dyDescent="0.15">
      <c r="A36" s="15" t="s">
        <v>156</v>
      </c>
      <c r="B36" s="15" t="s">
        <v>157</v>
      </c>
      <c r="C36" s="15">
        <v>2019</v>
      </c>
      <c r="D36" s="37" t="s">
        <v>166</v>
      </c>
      <c r="E36" s="7" t="s">
        <v>131</v>
      </c>
      <c r="F36" s="7" t="s">
        <v>144</v>
      </c>
      <c r="G36" s="7" t="s">
        <v>36</v>
      </c>
      <c r="H36" s="54" t="s">
        <v>160</v>
      </c>
      <c r="I36" s="7" t="s">
        <v>165</v>
      </c>
      <c r="J36" s="15" t="s">
        <v>38</v>
      </c>
      <c r="K36" s="7" t="s">
        <v>161</v>
      </c>
      <c r="L36" s="7">
        <v>2</v>
      </c>
      <c r="N36" s="7">
        <v>4</v>
      </c>
      <c r="O36" s="7">
        <v>0.55000000000000004</v>
      </c>
      <c r="P36" s="7">
        <v>0.55000000000000004</v>
      </c>
      <c r="Q36" s="52">
        <f t="shared" si="0"/>
        <v>0.55000000000000004</v>
      </c>
      <c r="R36" s="7">
        <v>14.6</v>
      </c>
      <c r="S36" s="7">
        <v>91</v>
      </c>
      <c r="T36" s="16">
        <f t="shared" si="1"/>
        <v>36</v>
      </c>
      <c r="U36" s="7">
        <v>538</v>
      </c>
      <c r="V36" s="16">
        <f t="shared" si="2"/>
        <v>4842</v>
      </c>
      <c r="W36" s="7">
        <v>1</v>
      </c>
      <c r="X36" s="15" t="s">
        <v>46</v>
      </c>
      <c r="Y36" s="54" t="s">
        <v>55</v>
      </c>
      <c r="Z36" s="54" t="s">
        <v>78</v>
      </c>
      <c r="AA36" s="54" t="s">
        <v>47</v>
      </c>
      <c r="AB36" s="39" t="s">
        <v>158</v>
      </c>
    </row>
    <row r="37" spans="1:44" x14ac:dyDescent="0.15">
      <c r="A37" s="15" t="s">
        <v>156</v>
      </c>
      <c r="B37" s="15" t="s">
        <v>157</v>
      </c>
      <c r="C37" s="15">
        <v>2019</v>
      </c>
      <c r="D37" s="37" t="s">
        <v>166</v>
      </c>
      <c r="E37" s="7" t="s">
        <v>131</v>
      </c>
      <c r="F37" s="7" t="s">
        <v>144</v>
      </c>
      <c r="G37" s="7" t="s">
        <v>36</v>
      </c>
      <c r="H37" s="54" t="s">
        <v>160</v>
      </c>
      <c r="I37" s="7" t="s">
        <v>165</v>
      </c>
      <c r="J37" s="15" t="s">
        <v>38</v>
      </c>
      <c r="K37" s="7" t="s">
        <v>161</v>
      </c>
      <c r="L37" s="7">
        <v>3</v>
      </c>
      <c r="N37" s="7">
        <v>4</v>
      </c>
      <c r="O37" s="34">
        <v>0.7</v>
      </c>
      <c r="P37" s="34">
        <v>0.65</v>
      </c>
      <c r="Q37" s="52">
        <f t="shared" si="0"/>
        <v>0.67500000000000004</v>
      </c>
      <c r="R37" s="7">
        <v>18.100000000000001</v>
      </c>
      <c r="S37" s="7">
        <v>99</v>
      </c>
      <c r="T37" s="16">
        <f t="shared" si="1"/>
        <v>33</v>
      </c>
      <c r="U37" s="7">
        <v>538</v>
      </c>
      <c r="V37" s="16">
        <f t="shared" si="2"/>
        <v>4438.5</v>
      </c>
      <c r="W37" s="7">
        <v>1</v>
      </c>
      <c r="X37" s="15" t="s">
        <v>46</v>
      </c>
      <c r="Y37" s="54" t="s">
        <v>55</v>
      </c>
      <c r="Z37" s="54" t="s">
        <v>78</v>
      </c>
      <c r="AA37" s="54" t="s">
        <v>47</v>
      </c>
      <c r="AB37" s="39" t="s">
        <v>158</v>
      </c>
    </row>
    <row r="38" spans="1:44" x14ac:dyDescent="0.15">
      <c r="A38" s="15" t="s">
        <v>156</v>
      </c>
      <c r="B38" s="15" t="s">
        <v>157</v>
      </c>
      <c r="C38" s="15">
        <v>2019</v>
      </c>
      <c r="D38" s="37" t="s">
        <v>166</v>
      </c>
      <c r="E38" s="7" t="s">
        <v>139</v>
      </c>
      <c r="F38" s="7" t="s">
        <v>145</v>
      </c>
      <c r="G38" s="7" t="s">
        <v>36</v>
      </c>
      <c r="H38" s="15" t="s">
        <v>164</v>
      </c>
      <c r="I38" s="7" t="s">
        <v>159</v>
      </c>
      <c r="J38" s="15" t="s">
        <v>38</v>
      </c>
      <c r="K38" s="7" t="s">
        <v>161</v>
      </c>
      <c r="L38" s="7">
        <v>1</v>
      </c>
      <c r="N38" s="53">
        <v>1</v>
      </c>
      <c r="O38" s="34">
        <v>0.5</v>
      </c>
      <c r="P38" s="34">
        <v>0.5</v>
      </c>
      <c r="Q38" s="52">
        <f t="shared" si="0"/>
        <v>0.5</v>
      </c>
      <c r="R38" s="7">
        <v>15.2</v>
      </c>
      <c r="S38" s="7">
        <v>114</v>
      </c>
      <c r="T38" s="16">
        <f t="shared" si="1"/>
        <v>30</v>
      </c>
      <c r="U38" s="7">
        <v>100</v>
      </c>
      <c r="V38" s="16">
        <f t="shared" si="2"/>
        <v>3000</v>
      </c>
      <c r="W38" s="7">
        <v>6</v>
      </c>
      <c r="X38" s="15" t="s">
        <v>46</v>
      </c>
      <c r="Y38" s="54" t="s">
        <v>55</v>
      </c>
      <c r="Z38" s="54" t="s">
        <v>97</v>
      </c>
      <c r="AA38" s="54" t="s">
        <v>47</v>
      </c>
      <c r="AB38" s="39" t="s">
        <v>158</v>
      </c>
    </row>
    <row r="39" spans="1:44" x14ac:dyDescent="0.15">
      <c r="A39" s="15" t="s">
        <v>156</v>
      </c>
      <c r="B39" s="15" t="s">
        <v>157</v>
      </c>
      <c r="C39" s="15">
        <v>2019</v>
      </c>
      <c r="D39" s="37" t="s">
        <v>166</v>
      </c>
      <c r="E39" s="7" t="s">
        <v>139</v>
      </c>
      <c r="F39" s="7" t="s">
        <v>145</v>
      </c>
      <c r="G39" s="7" t="s">
        <v>36</v>
      </c>
      <c r="H39" s="54" t="s">
        <v>164</v>
      </c>
      <c r="I39" s="7" t="s">
        <v>159</v>
      </c>
      <c r="J39" s="15" t="s">
        <v>38</v>
      </c>
      <c r="K39" s="7" t="s">
        <v>161</v>
      </c>
      <c r="L39" s="7">
        <v>2</v>
      </c>
      <c r="N39" s="53">
        <v>1</v>
      </c>
      <c r="O39" s="7">
        <v>0.6</v>
      </c>
      <c r="P39" s="7">
        <v>0.5</v>
      </c>
      <c r="Q39" s="52">
        <f t="shared" si="0"/>
        <v>0.55000000000000004</v>
      </c>
      <c r="R39" s="34">
        <v>13</v>
      </c>
      <c r="S39" s="7">
        <v>106</v>
      </c>
      <c r="T39" s="16">
        <f t="shared" si="1"/>
        <v>33</v>
      </c>
      <c r="U39" s="7">
        <v>100</v>
      </c>
      <c r="V39" s="16">
        <f t="shared" si="2"/>
        <v>3300</v>
      </c>
      <c r="W39" s="7">
        <v>6</v>
      </c>
      <c r="X39" s="15" t="s">
        <v>46</v>
      </c>
      <c r="Y39" s="54" t="s">
        <v>55</v>
      </c>
      <c r="Z39" s="54" t="s">
        <v>97</v>
      </c>
      <c r="AA39" s="54" t="s">
        <v>47</v>
      </c>
      <c r="AB39" s="39" t="s">
        <v>158</v>
      </c>
    </row>
    <row r="40" spans="1:44" x14ac:dyDescent="0.15">
      <c r="A40" s="15" t="s">
        <v>156</v>
      </c>
      <c r="B40" s="15" t="s">
        <v>157</v>
      </c>
      <c r="C40" s="15">
        <v>2019</v>
      </c>
      <c r="D40" s="37" t="s">
        <v>166</v>
      </c>
      <c r="E40" s="7" t="s">
        <v>139</v>
      </c>
      <c r="F40" s="7" t="s">
        <v>145</v>
      </c>
      <c r="G40" s="7" t="s">
        <v>36</v>
      </c>
      <c r="H40" s="54" t="s">
        <v>164</v>
      </c>
      <c r="I40" s="7" t="s">
        <v>159</v>
      </c>
      <c r="J40" s="15" t="s">
        <v>38</v>
      </c>
      <c r="K40" s="7" t="s">
        <v>161</v>
      </c>
      <c r="L40" s="7">
        <v>3</v>
      </c>
      <c r="N40" s="53">
        <v>1</v>
      </c>
      <c r="O40" s="7">
        <v>0.5</v>
      </c>
      <c r="P40" s="7">
        <v>0.5</v>
      </c>
      <c r="Q40" s="52">
        <f t="shared" si="0"/>
        <v>0.5</v>
      </c>
      <c r="R40" s="7">
        <v>13.9</v>
      </c>
      <c r="S40" s="7">
        <v>111</v>
      </c>
      <c r="T40" s="16">
        <f t="shared" si="1"/>
        <v>33</v>
      </c>
      <c r="U40" s="7">
        <v>100</v>
      </c>
      <c r="V40" s="16">
        <f t="shared" si="2"/>
        <v>3300</v>
      </c>
      <c r="W40" s="7">
        <v>6</v>
      </c>
      <c r="X40" s="15" t="s">
        <v>46</v>
      </c>
      <c r="Y40" s="54" t="s">
        <v>55</v>
      </c>
      <c r="Z40" s="54" t="s">
        <v>97</v>
      </c>
      <c r="AA40" s="54" t="s">
        <v>47</v>
      </c>
      <c r="AB40" s="39" t="s">
        <v>158</v>
      </c>
    </row>
    <row r="41" spans="1:44" ht="12.75" customHeight="1" x14ac:dyDescent="0.15">
      <c r="A41" s="15" t="s">
        <v>156</v>
      </c>
      <c r="B41" s="15" t="s">
        <v>157</v>
      </c>
      <c r="C41" s="15">
        <v>2019</v>
      </c>
      <c r="D41" s="37" t="s">
        <v>166</v>
      </c>
      <c r="E41" s="7" t="s">
        <v>139</v>
      </c>
      <c r="F41" s="7" t="s">
        <v>145</v>
      </c>
      <c r="G41" s="7" t="s">
        <v>36</v>
      </c>
      <c r="H41" s="15" t="s">
        <v>160</v>
      </c>
      <c r="I41" s="7" t="s">
        <v>159</v>
      </c>
      <c r="J41" s="15" t="s">
        <v>38</v>
      </c>
      <c r="K41" s="7" t="s">
        <v>161</v>
      </c>
      <c r="L41" s="7">
        <v>1</v>
      </c>
      <c r="N41" s="7">
        <v>1</v>
      </c>
      <c r="O41" s="7">
        <v>0.55000000000000004</v>
      </c>
      <c r="P41" s="7">
        <v>0.65</v>
      </c>
      <c r="Q41" s="52">
        <f t="shared" si="0"/>
        <v>0.60000000000000009</v>
      </c>
      <c r="R41" s="7">
        <v>17.899999999999999</v>
      </c>
      <c r="S41" s="7">
        <v>145</v>
      </c>
      <c r="T41" s="16">
        <f t="shared" si="1"/>
        <v>22</v>
      </c>
      <c r="U41" s="7">
        <v>159</v>
      </c>
      <c r="V41" s="16">
        <f t="shared" si="2"/>
        <v>3498</v>
      </c>
      <c r="W41" s="7">
        <v>16</v>
      </c>
      <c r="X41" s="15" t="s">
        <v>46</v>
      </c>
      <c r="Y41" s="54" t="s">
        <v>55</v>
      </c>
      <c r="Z41" s="54" t="s">
        <v>97</v>
      </c>
      <c r="AA41" s="54" t="s">
        <v>47</v>
      </c>
      <c r="AB41" s="39" t="s">
        <v>158</v>
      </c>
    </row>
    <row r="42" spans="1:44" x14ac:dyDescent="0.15">
      <c r="A42" s="15" t="s">
        <v>156</v>
      </c>
      <c r="B42" s="15" t="s">
        <v>157</v>
      </c>
      <c r="C42" s="15">
        <v>2019</v>
      </c>
      <c r="D42" s="37" t="s">
        <v>166</v>
      </c>
      <c r="E42" s="7" t="s">
        <v>139</v>
      </c>
      <c r="F42" s="7" t="s">
        <v>145</v>
      </c>
      <c r="G42" s="7" t="s">
        <v>36</v>
      </c>
      <c r="H42" s="54" t="s">
        <v>160</v>
      </c>
      <c r="I42" s="7" t="s">
        <v>159</v>
      </c>
      <c r="J42" s="15" t="s">
        <v>38</v>
      </c>
      <c r="K42" s="7" t="s">
        <v>161</v>
      </c>
      <c r="L42" s="7">
        <v>2</v>
      </c>
      <c r="N42" s="7">
        <v>1</v>
      </c>
      <c r="O42" s="7">
        <v>0.65</v>
      </c>
      <c r="P42" s="7">
        <v>0.6</v>
      </c>
      <c r="Q42" s="52">
        <f t="shared" si="0"/>
        <v>0.625</v>
      </c>
      <c r="R42" s="7">
        <v>16.7</v>
      </c>
      <c r="S42" s="7">
        <v>144</v>
      </c>
      <c r="T42" s="16">
        <f t="shared" si="1"/>
        <v>22</v>
      </c>
      <c r="U42" s="7">
        <v>159</v>
      </c>
      <c r="V42" s="16">
        <f t="shared" si="2"/>
        <v>3498</v>
      </c>
      <c r="W42" s="7">
        <v>16</v>
      </c>
      <c r="X42" s="15" t="s">
        <v>46</v>
      </c>
      <c r="Y42" s="54" t="s">
        <v>55</v>
      </c>
      <c r="Z42" s="54" t="s">
        <v>97</v>
      </c>
      <c r="AA42" s="54" t="s">
        <v>47</v>
      </c>
      <c r="AB42" s="39" t="s">
        <v>158</v>
      </c>
    </row>
    <row r="43" spans="1:44" x14ac:dyDescent="0.15">
      <c r="A43" s="15" t="s">
        <v>156</v>
      </c>
      <c r="B43" s="15" t="s">
        <v>157</v>
      </c>
      <c r="C43" s="15">
        <v>2019</v>
      </c>
      <c r="D43" s="37" t="s">
        <v>166</v>
      </c>
      <c r="E43" s="7" t="s">
        <v>139</v>
      </c>
      <c r="F43" s="7" t="s">
        <v>145</v>
      </c>
      <c r="G43" s="7" t="s">
        <v>36</v>
      </c>
      <c r="H43" s="54" t="s">
        <v>160</v>
      </c>
      <c r="I43" s="7" t="s">
        <v>159</v>
      </c>
      <c r="J43" s="15" t="s">
        <v>38</v>
      </c>
      <c r="K43" s="7" t="s">
        <v>161</v>
      </c>
      <c r="L43" s="7">
        <v>3</v>
      </c>
      <c r="N43" s="7">
        <v>1</v>
      </c>
      <c r="O43" s="7">
        <v>0.65</v>
      </c>
      <c r="P43" s="7">
        <v>0.7</v>
      </c>
      <c r="Q43" s="52">
        <f t="shared" si="0"/>
        <v>0.67500000000000004</v>
      </c>
      <c r="R43" s="7">
        <v>15.7</v>
      </c>
      <c r="S43" s="7">
        <v>147</v>
      </c>
      <c r="T43" s="16">
        <f t="shared" si="1"/>
        <v>22</v>
      </c>
      <c r="U43" s="7">
        <v>159</v>
      </c>
      <c r="V43" s="16">
        <f t="shared" si="2"/>
        <v>3498</v>
      </c>
      <c r="W43" s="7">
        <v>16</v>
      </c>
      <c r="X43" s="15" t="s">
        <v>46</v>
      </c>
      <c r="Y43" s="54" t="s">
        <v>55</v>
      </c>
      <c r="Z43" s="54" t="s">
        <v>97</v>
      </c>
      <c r="AA43" s="54" t="s">
        <v>47</v>
      </c>
      <c r="AB43" s="39" t="s">
        <v>158</v>
      </c>
    </row>
    <row r="44" spans="1:44" x14ac:dyDescent="0.15">
      <c r="A44" s="15" t="s">
        <v>156</v>
      </c>
      <c r="B44" s="15" t="s">
        <v>157</v>
      </c>
      <c r="C44" s="15">
        <v>2019</v>
      </c>
      <c r="D44" s="37" t="s">
        <v>166</v>
      </c>
      <c r="E44" s="7" t="s">
        <v>162</v>
      </c>
      <c r="F44" s="7" t="s">
        <v>163</v>
      </c>
      <c r="G44" s="7" t="s">
        <v>36</v>
      </c>
      <c r="H44" s="15" t="s">
        <v>164</v>
      </c>
      <c r="I44" s="7" t="s">
        <v>159</v>
      </c>
      <c r="J44" s="15" t="s">
        <v>38</v>
      </c>
      <c r="K44" s="7" t="s">
        <v>161</v>
      </c>
      <c r="L44" s="7">
        <v>1</v>
      </c>
      <c r="N44" s="7">
        <v>1</v>
      </c>
      <c r="O44" s="7">
        <v>0.9</v>
      </c>
      <c r="P44" s="7">
        <v>1.05</v>
      </c>
      <c r="Q44" s="52">
        <f t="shared" si="0"/>
        <v>0.97500000000000009</v>
      </c>
      <c r="R44" s="7">
        <v>14.2</v>
      </c>
      <c r="S44" s="7">
        <v>108</v>
      </c>
      <c r="T44" s="16">
        <f t="shared" si="1"/>
        <v>33</v>
      </c>
      <c r="U44" s="7">
        <v>85</v>
      </c>
      <c r="V44" s="16">
        <f t="shared" si="2"/>
        <v>2805</v>
      </c>
      <c r="W44" s="7">
        <v>6</v>
      </c>
      <c r="X44" s="15" t="s">
        <v>46</v>
      </c>
      <c r="Y44" s="54" t="s">
        <v>55</v>
      </c>
      <c r="Z44" s="54" t="s">
        <v>47</v>
      </c>
      <c r="AA44" s="54" t="s">
        <v>78</v>
      </c>
      <c r="AB44" s="39" t="s">
        <v>158</v>
      </c>
    </row>
    <row r="45" spans="1:44" x14ac:dyDescent="0.15">
      <c r="A45" s="15" t="s">
        <v>156</v>
      </c>
      <c r="B45" s="15" t="s">
        <v>157</v>
      </c>
      <c r="C45" s="15">
        <v>2019</v>
      </c>
      <c r="D45" s="37" t="s">
        <v>166</v>
      </c>
      <c r="E45" s="7" t="s">
        <v>162</v>
      </c>
      <c r="F45" s="7" t="s">
        <v>163</v>
      </c>
      <c r="G45" s="7" t="s">
        <v>36</v>
      </c>
      <c r="H45" s="15" t="s">
        <v>164</v>
      </c>
      <c r="I45" s="7" t="s">
        <v>159</v>
      </c>
      <c r="J45" s="15" t="s">
        <v>38</v>
      </c>
      <c r="K45" s="7" t="s">
        <v>161</v>
      </c>
      <c r="L45" s="7">
        <v>2</v>
      </c>
      <c r="N45" s="7">
        <v>1</v>
      </c>
      <c r="O45" s="7">
        <v>0.75</v>
      </c>
      <c r="P45" s="7">
        <v>0.85</v>
      </c>
      <c r="Q45" s="52">
        <f t="shared" si="0"/>
        <v>0.8</v>
      </c>
      <c r="R45" s="7">
        <v>14.7</v>
      </c>
      <c r="S45" s="7">
        <v>110</v>
      </c>
      <c r="T45" s="16">
        <f t="shared" si="1"/>
        <v>33</v>
      </c>
      <c r="U45" s="7">
        <v>85</v>
      </c>
      <c r="V45" s="16">
        <f t="shared" si="2"/>
        <v>2805</v>
      </c>
      <c r="W45" s="7">
        <v>6</v>
      </c>
      <c r="X45" s="15" t="s">
        <v>46</v>
      </c>
      <c r="Y45" s="54" t="s">
        <v>55</v>
      </c>
      <c r="Z45" s="54" t="s">
        <v>47</v>
      </c>
      <c r="AA45" s="54" t="s">
        <v>78</v>
      </c>
      <c r="AB45" s="39" t="s">
        <v>158</v>
      </c>
    </row>
    <row r="46" spans="1:44" x14ac:dyDescent="0.15">
      <c r="A46" s="15" t="s">
        <v>156</v>
      </c>
      <c r="B46" s="15" t="s">
        <v>157</v>
      </c>
      <c r="C46" s="15">
        <v>2019</v>
      </c>
      <c r="D46" s="37" t="s">
        <v>166</v>
      </c>
      <c r="E46" s="7" t="s">
        <v>162</v>
      </c>
      <c r="F46" s="7" t="s">
        <v>163</v>
      </c>
      <c r="G46" s="7" t="s">
        <v>36</v>
      </c>
      <c r="H46" s="15" t="s">
        <v>164</v>
      </c>
      <c r="I46" s="7" t="s">
        <v>159</v>
      </c>
      <c r="J46" s="15" t="s">
        <v>38</v>
      </c>
      <c r="K46" s="7" t="s">
        <v>161</v>
      </c>
      <c r="L46" s="7">
        <v>3</v>
      </c>
      <c r="N46" s="7">
        <v>1</v>
      </c>
      <c r="O46" s="7">
        <v>0.75</v>
      </c>
      <c r="P46" s="34">
        <v>0.6</v>
      </c>
      <c r="Q46" s="52">
        <f t="shared" si="0"/>
        <v>0.67500000000000004</v>
      </c>
      <c r="R46" s="7">
        <v>15.1</v>
      </c>
      <c r="S46" s="7">
        <v>114</v>
      </c>
      <c r="T46" s="16">
        <f t="shared" si="1"/>
        <v>30</v>
      </c>
      <c r="U46" s="7">
        <v>85</v>
      </c>
      <c r="V46" s="16">
        <f t="shared" si="2"/>
        <v>2550</v>
      </c>
      <c r="W46" s="7">
        <v>6</v>
      </c>
      <c r="X46" s="15" t="s">
        <v>46</v>
      </c>
      <c r="Y46" s="54" t="s">
        <v>55</v>
      </c>
      <c r="Z46" s="54" t="s">
        <v>47</v>
      </c>
      <c r="AA46" s="54" t="s">
        <v>78</v>
      </c>
      <c r="AB46" s="39" t="s">
        <v>158</v>
      </c>
    </row>
    <row r="47" spans="1:44" x14ac:dyDescent="0.15">
      <c r="A47" s="15" t="s">
        <v>156</v>
      </c>
      <c r="B47" s="15" t="s">
        <v>157</v>
      </c>
      <c r="C47" s="15">
        <v>2019</v>
      </c>
      <c r="D47" s="37" t="s">
        <v>166</v>
      </c>
      <c r="E47" s="7" t="s">
        <v>162</v>
      </c>
      <c r="F47" s="7" t="s">
        <v>163</v>
      </c>
      <c r="G47" s="7" t="s">
        <v>36</v>
      </c>
      <c r="H47" s="15" t="s">
        <v>160</v>
      </c>
      <c r="I47" s="7" t="s">
        <v>159</v>
      </c>
      <c r="J47" s="15" t="s">
        <v>38</v>
      </c>
      <c r="K47" s="7" t="s">
        <v>161</v>
      </c>
      <c r="L47" s="7">
        <v>1</v>
      </c>
      <c r="N47" s="7">
        <v>1</v>
      </c>
      <c r="O47" s="7">
        <v>0.65</v>
      </c>
      <c r="P47" s="7">
        <v>0.8</v>
      </c>
      <c r="Q47" s="52">
        <f t="shared" si="0"/>
        <v>0.72500000000000009</v>
      </c>
      <c r="R47" s="7">
        <v>16</v>
      </c>
      <c r="S47" s="7">
        <v>116</v>
      </c>
      <c r="T47" s="16">
        <f t="shared" si="1"/>
        <v>30</v>
      </c>
      <c r="U47" s="7">
        <v>95</v>
      </c>
      <c r="V47" s="16">
        <f t="shared" si="2"/>
        <v>2850</v>
      </c>
      <c r="W47" s="7">
        <v>7</v>
      </c>
      <c r="X47" s="15" t="s">
        <v>46</v>
      </c>
      <c r="Y47" s="54" t="s">
        <v>55</v>
      </c>
      <c r="Z47" s="54" t="s">
        <v>47</v>
      </c>
      <c r="AA47" s="54" t="s">
        <v>78</v>
      </c>
      <c r="AB47" s="39" t="s">
        <v>158</v>
      </c>
    </row>
    <row r="48" spans="1:44" x14ac:dyDescent="0.15">
      <c r="A48" s="15" t="s">
        <v>156</v>
      </c>
      <c r="B48" s="15" t="s">
        <v>157</v>
      </c>
      <c r="C48" s="15">
        <v>2019</v>
      </c>
      <c r="D48" s="37" t="s">
        <v>166</v>
      </c>
      <c r="E48" s="7" t="s">
        <v>162</v>
      </c>
      <c r="F48" s="7" t="s">
        <v>163</v>
      </c>
      <c r="G48" s="7" t="s">
        <v>36</v>
      </c>
      <c r="H48" s="15" t="s">
        <v>160</v>
      </c>
      <c r="I48" s="7" t="s">
        <v>159</v>
      </c>
      <c r="J48" s="15" t="s">
        <v>38</v>
      </c>
      <c r="K48" s="7" t="s">
        <v>161</v>
      </c>
      <c r="L48" s="7">
        <v>2</v>
      </c>
      <c r="N48" s="7">
        <v>1</v>
      </c>
      <c r="O48" s="7">
        <v>0.85</v>
      </c>
      <c r="P48" s="7">
        <v>0.7</v>
      </c>
      <c r="Q48" s="52">
        <f t="shared" si="0"/>
        <v>0.77499999999999991</v>
      </c>
      <c r="R48" s="7">
        <v>17.100000000000001</v>
      </c>
      <c r="S48" s="7">
        <v>116</v>
      </c>
      <c r="T48" s="16">
        <f t="shared" si="1"/>
        <v>30</v>
      </c>
      <c r="U48" s="7">
        <v>95</v>
      </c>
      <c r="V48" s="16">
        <f t="shared" si="2"/>
        <v>2850</v>
      </c>
      <c r="W48" s="7">
        <v>7</v>
      </c>
      <c r="X48" s="15" t="s">
        <v>46</v>
      </c>
      <c r="Y48" s="54" t="s">
        <v>55</v>
      </c>
      <c r="Z48" s="54" t="s">
        <v>47</v>
      </c>
      <c r="AA48" s="54" t="s">
        <v>78</v>
      </c>
      <c r="AB48" s="39" t="s">
        <v>158</v>
      </c>
    </row>
    <row r="49" spans="1:29" x14ac:dyDescent="0.15">
      <c r="A49" s="15" t="s">
        <v>156</v>
      </c>
      <c r="B49" s="15" t="s">
        <v>157</v>
      </c>
      <c r="C49" s="15">
        <v>2019</v>
      </c>
      <c r="D49" s="37" t="s">
        <v>166</v>
      </c>
      <c r="E49" s="7" t="s">
        <v>162</v>
      </c>
      <c r="F49" s="7" t="s">
        <v>163</v>
      </c>
      <c r="G49" s="7" t="s">
        <v>36</v>
      </c>
      <c r="H49" s="15" t="s">
        <v>160</v>
      </c>
      <c r="I49" s="7" t="s">
        <v>159</v>
      </c>
      <c r="J49" s="15" t="s">
        <v>38</v>
      </c>
      <c r="K49" s="7" t="s">
        <v>161</v>
      </c>
      <c r="L49" s="7">
        <v>3</v>
      </c>
      <c r="N49" s="7">
        <v>1</v>
      </c>
      <c r="O49" s="7">
        <v>1.1000000000000001</v>
      </c>
      <c r="P49" s="34">
        <v>1.05</v>
      </c>
      <c r="Q49" s="52">
        <f t="shared" si="0"/>
        <v>1.0750000000000002</v>
      </c>
      <c r="R49" s="7">
        <v>18.600000000000001</v>
      </c>
      <c r="S49" s="7">
        <v>115</v>
      </c>
      <c r="T49" s="16">
        <f t="shared" si="1"/>
        <v>30</v>
      </c>
      <c r="U49" s="7">
        <v>95</v>
      </c>
      <c r="V49" s="16">
        <f t="shared" si="2"/>
        <v>2850</v>
      </c>
      <c r="W49" s="7">
        <v>7</v>
      </c>
      <c r="X49" s="15" t="s">
        <v>46</v>
      </c>
      <c r="Y49" s="54" t="s">
        <v>55</v>
      </c>
      <c r="Z49" s="54" t="s">
        <v>47</v>
      </c>
      <c r="AA49" s="54" t="s">
        <v>78</v>
      </c>
      <c r="AB49" s="39" t="s">
        <v>158</v>
      </c>
    </row>
    <row r="50" spans="1:29" x14ac:dyDescent="0.15">
      <c r="A50" s="15" t="s">
        <v>156</v>
      </c>
      <c r="B50" s="15" t="s">
        <v>157</v>
      </c>
      <c r="C50" s="15">
        <v>2019</v>
      </c>
      <c r="D50" s="37" t="s">
        <v>166</v>
      </c>
      <c r="E50" s="7" t="s">
        <v>130</v>
      </c>
      <c r="F50" s="7" t="s">
        <v>146</v>
      </c>
      <c r="G50" s="7" t="s">
        <v>36</v>
      </c>
      <c r="H50" s="15" t="s">
        <v>164</v>
      </c>
      <c r="I50" s="7" t="s">
        <v>159</v>
      </c>
      <c r="J50" s="15" t="s">
        <v>38</v>
      </c>
      <c r="K50" s="7" t="s">
        <v>161</v>
      </c>
      <c r="L50" s="7">
        <v>1</v>
      </c>
      <c r="N50" s="7">
        <v>1</v>
      </c>
      <c r="O50" s="7">
        <v>1.1000000000000001</v>
      </c>
      <c r="P50" s="7">
        <v>1.05</v>
      </c>
      <c r="Q50" s="52">
        <f t="shared" si="0"/>
        <v>1.0750000000000002</v>
      </c>
      <c r="R50" s="7">
        <v>13.9</v>
      </c>
      <c r="S50" s="7">
        <v>121</v>
      </c>
      <c r="T50" s="16">
        <f t="shared" si="1"/>
        <v>27</v>
      </c>
      <c r="U50" s="7">
        <v>85</v>
      </c>
      <c r="V50" s="16">
        <f t="shared" si="2"/>
        <v>2295</v>
      </c>
      <c r="W50" s="7">
        <v>10</v>
      </c>
      <c r="X50" s="15" t="s">
        <v>46</v>
      </c>
      <c r="Y50" s="54" t="s">
        <v>55</v>
      </c>
      <c r="Z50" s="54" t="s">
        <v>86</v>
      </c>
      <c r="AA50" s="54" t="s">
        <v>40</v>
      </c>
      <c r="AB50" s="39" t="s">
        <v>158</v>
      </c>
    </row>
    <row r="51" spans="1:29" x14ac:dyDescent="0.15">
      <c r="A51" s="15" t="s">
        <v>156</v>
      </c>
      <c r="B51" s="15" t="s">
        <v>157</v>
      </c>
      <c r="C51" s="15">
        <v>2019</v>
      </c>
      <c r="D51" s="37" t="s">
        <v>166</v>
      </c>
      <c r="E51" s="7" t="s">
        <v>130</v>
      </c>
      <c r="F51" s="7" t="s">
        <v>146</v>
      </c>
      <c r="G51" s="7" t="s">
        <v>36</v>
      </c>
      <c r="H51" s="15" t="s">
        <v>164</v>
      </c>
      <c r="I51" s="7" t="s">
        <v>159</v>
      </c>
      <c r="J51" s="15" t="s">
        <v>38</v>
      </c>
      <c r="K51" s="7" t="s">
        <v>161</v>
      </c>
      <c r="L51" s="7">
        <v>2</v>
      </c>
      <c r="N51" s="7">
        <v>1</v>
      </c>
      <c r="O51" s="7">
        <v>0.5</v>
      </c>
      <c r="P51" s="7">
        <v>0.5</v>
      </c>
      <c r="Q51" s="52">
        <f t="shared" si="0"/>
        <v>0.5</v>
      </c>
      <c r="R51" s="7">
        <v>14.1</v>
      </c>
      <c r="S51" s="7">
        <v>124</v>
      </c>
      <c r="T51" s="16">
        <f t="shared" si="1"/>
        <v>27</v>
      </c>
      <c r="U51" s="7">
        <v>85</v>
      </c>
      <c r="V51" s="16">
        <f t="shared" si="2"/>
        <v>2295</v>
      </c>
      <c r="W51" s="7">
        <v>10</v>
      </c>
      <c r="X51" s="15" t="s">
        <v>46</v>
      </c>
      <c r="Y51" s="54" t="s">
        <v>55</v>
      </c>
      <c r="Z51" s="54" t="s">
        <v>86</v>
      </c>
      <c r="AA51" s="54" t="s">
        <v>40</v>
      </c>
      <c r="AB51" s="39" t="s">
        <v>158</v>
      </c>
    </row>
    <row r="52" spans="1:29" x14ac:dyDescent="0.15">
      <c r="A52" s="15" t="s">
        <v>156</v>
      </c>
      <c r="B52" s="15" t="s">
        <v>157</v>
      </c>
      <c r="C52" s="15">
        <v>2019</v>
      </c>
      <c r="D52" s="37" t="s">
        <v>166</v>
      </c>
      <c r="E52" s="7" t="s">
        <v>130</v>
      </c>
      <c r="F52" s="7" t="s">
        <v>146</v>
      </c>
      <c r="G52" s="7" t="s">
        <v>36</v>
      </c>
      <c r="H52" s="15" t="s">
        <v>164</v>
      </c>
      <c r="I52" s="7" t="s">
        <v>159</v>
      </c>
      <c r="J52" s="15" t="s">
        <v>38</v>
      </c>
      <c r="K52" s="7" t="s">
        <v>161</v>
      </c>
      <c r="L52" s="7">
        <v>3</v>
      </c>
      <c r="N52" s="7">
        <v>1</v>
      </c>
      <c r="O52" s="7">
        <v>0.5</v>
      </c>
      <c r="P52" s="7">
        <v>0.5</v>
      </c>
      <c r="Q52" s="52">
        <f t="shared" si="0"/>
        <v>0.5</v>
      </c>
      <c r="R52" s="7">
        <v>14.2</v>
      </c>
      <c r="S52" s="7">
        <v>113</v>
      </c>
      <c r="T52" s="16">
        <f t="shared" si="1"/>
        <v>30</v>
      </c>
      <c r="U52" s="7">
        <v>85</v>
      </c>
      <c r="V52" s="16">
        <f t="shared" si="2"/>
        <v>2550</v>
      </c>
      <c r="W52" s="7">
        <v>10</v>
      </c>
      <c r="X52" s="15" t="s">
        <v>46</v>
      </c>
      <c r="Y52" s="54" t="s">
        <v>55</v>
      </c>
      <c r="Z52" s="54" t="s">
        <v>86</v>
      </c>
      <c r="AA52" s="54" t="s">
        <v>40</v>
      </c>
      <c r="AB52" s="39" t="s">
        <v>158</v>
      </c>
    </row>
    <row r="53" spans="1:29" x14ac:dyDescent="0.15">
      <c r="A53" s="15" t="s">
        <v>156</v>
      </c>
      <c r="B53" s="15" t="s">
        <v>157</v>
      </c>
      <c r="C53" s="15">
        <v>2019</v>
      </c>
      <c r="D53" s="37" t="s">
        <v>166</v>
      </c>
      <c r="E53" s="7" t="s">
        <v>130</v>
      </c>
      <c r="F53" s="7" t="s">
        <v>146</v>
      </c>
      <c r="G53" s="7" t="s">
        <v>36</v>
      </c>
      <c r="H53" s="15" t="s">
        <v>160</v>
      </c>
      <c r="I53" s="7" t="s">
        <v>159</v>
      </c>
      <c r="J53" s="15" t="s">
        <v>38</v>
      </c>
      <c r="K53" s="7" t="s">
        <v>161</v>
      </c>
      <c r="L53" s="7">
        <v>1</v>
      </c>
      <c r="N53" s="7">
        <v>1</v>
      </c>
      <c r="O53" s="7">
        <v>0.55000000000000004</v>
      </c>
      <c r="P53" s="7">
        <v>0.65</v>
      </c>
      <c r="Q53" s="52">
        <f t="shared" si="0"/>
        <v>0.60000000000000009</v>
      </c>
      <c r="R53" s="7">
        <v>17.600000000000001</v>
      </c>
      <c r="S53" s="7">
        <v>133</v>
      </c>
      <c r="T53" s="16">
        <f t="shared" si="1"/>
        <v>25</v>
      </c>
      <c r="U53" s="7">
        <v>105</v>
      </c>
      <c r="V53" s="16">
        <f t="shared" si="2"/>
        <v>2625</v>
      </c>
      <c r="W53" s="7">
        <v>16</v>
      </c>
      <c r="X53" s="15" t="s">
        <v>46</v>
      </c>
      <c r="Y53" s="54" t="s">
        <v>55</v>
      </c>
      <c r="Z53" s="54" t="s">
        <v>86</v>
      </c>
      <c r="AA53" s="54" t="s">
        <v>40</v>
      </c>
      <c r="AB53" s="39" t="s">
        <v>158</v>
      </c>
      <c r="AC53" s="36"/>
    </row>
    <row r="54" spans="1:29" x14ac:dyDescent="0.15">
      <c r="A54" s="15" t="s">
        <v>156</v>
      </c>
      <c r="B54" s="15" t="s">
        <v>157</v>
      </c>
      <c r="C54" s="15">
        <v>2019</v>
      </c>
      <c r="D54" s="37" t="s">
        <v>166</v>
      </c>
      <c r="E54" s="7" t="s">
        <v>130</v>
      </c>
      <c r="F54" s="7" t="s">
        <v>146</v>
      </c>
      <c r="G54" s="7" t="s">
        <v>36</v>
      </c>
      <c r="H54" s="15" t="s">
        <v>160</v>
      </c>
      <c r="I54" s="7" t="s">
        <v>159</v>
      </c>
      <c r="J54" s="15" t="s">
        <v>38</v>
      </c>
      <c r="K54" s="7" t="s">
        <v>161</v>
      </c>
      <c r="L54" s="7">
        <v>2</v>
      </c>
      <c r="N54" s="7">
        <v>1</v>
      </c>
      <c r="O54" s="7">
        <v>0.65</v>
      </c>
      <c r="P54" s="7">
        <v>0.7</v>
      </c>
      <c r="Q54" s="52">
        <f t="shared" si="0"/>
        <v>0.67500000000000004</v>
      </c>
      <c r="R54" s="7">
        <v>16.100000000000001</v>
      </c>
      <c r="S54" s="7">
        <v>131</v>
      </c>
      <c r="T54" s="16">
        <f t="shared" si="1"/>
        <v>25</v>
      </c>
      <c r="U54" s="7">
        <v>105</v>
      </c>
      <c r="V54" s="16">
        <f t="shared" si="2"/>
        <v>2625</v>
      </c>
      <c r="W54" s="7">
        <v>16</v>
      </c>
      <c r="X54" s="15" t="s">
        <v>46</v>
      </c>
      <c r="Y54" s="54" t="s">
        <v>55</v>
      </c>
      <c r="Z54" s="54" t="s">
        <v>86</v>
      </c>
      <c r="AA54" s="54" t="s">
        <v>40</v>
      </c>
      <c r="AB54" s="39" t="s">
        <v>158</v>
      </c>
      <c r="AC54" s="36"/>
    </row>
    <row r="55" spans="1:29" x14ac:dyDescent="0.15">
      <c r="A55" s="15" t="s">
        <v>156</v>
      </c>
      <c r="B55" s="15" t="s">
        <v>157</v>
      </c>
      <c r="C55" s="15">
        <v>2019</v>
      </c>
      <c r="D55" s="37" t="s">
        <v>166</v>
      </c>
      <c r="E55" s="7" t="s">
        <v>130</v>
      </c>
      <c r="F55" s="7" t="s">
        <v>146</v>
      </c>
      <c r="G55" s="7" t="s">
        <v>36</v>
      </c>
      <c r="H55" s="15" t="s">
        <v>160</v>
      </c>
      <c r="I55" s="7" t="s">
        <v>159</v>
      </c>
      <c r="J55" s="15" t="s">
        <v>38</v>
      </c>
      <c r="K55" s="7" t="s">
        <v>161</v>
      </c>
      <c r="L55" s="7">
        <v>3</v>
      </c>
      <c r="N55" s="7">
        <v>1</v>
      </c>
      <c r="O55" s="7">
        <v>0.7</v>
      </c>
      <c r="P55" s="7">
        <v>0.7</v>
      </c>
      <c r="Q55" s="52">
        <f t="shared" si="0"/>
        <v>0.7</v>
      </c>
      <c r="R55" s="7">
        <v>16.3</v>
      </c>
      <c r="S55" s="7">
        <v>129</v>
      </c>
      <c r="T55" s="16">
        <f t="shared" si="1"/>
        <v>25</v>
      </c>
      <c r="U55" s="7">
        <v>105</v>
      </c>
      <c r="V55" s="16">
        <f t="shared" si="2"/>
        <v>2625</v>
      </c>
      <c r="W55" s="7">
        <v>16</v>
      </c>
      <c r="X55" s="15" t="s">
        <v>46</v>
      </c>
      <c r="Y55" s="54" t="s">
        <v>55</v>
      </c>
      <c r="Z55" s="54" t="s">
        <v>86</v>
      </c>
      <c r="AA55" s="54" t="s">
        <v>40</v>
      </c>
      <c r="AB55" s="39" t="s">
        <v>158</v>
      </c>
      <c r="AC55" s="36"/>
    </row>
    <row r="56" spans="1:29" x14ac:dyDescent="0.15">
      <c r="A56" s="15" t="s">
        <v>156</v>
      </c>
      <c r="B56" s="15" t="s">
        <v>157</v>
      </c>
      <c r="C56" s="15">
        <v>2019</v>
      </c>
      <c r="D56" s="37" t="s">
        <v>166</v>
      </c>
      <c r="E56" s="7" t="s">
        <v>132</v>
      </c>
      <c r="F56" s="7" t="s">
        <v>147</v>
      </c>
      <c r="G56" s="7" t="s">
        <v>36</v>
      </c>
      <c r="H56" s="15" t="s">
        <v>164</v>
      </c>
      <c r="I56" s="7" t="s">
        <v>159</v>
      </c>
      <c r="J56" s="15" t="s">
        <v>38</v>
      </c>
      <c r="K56" s="7" t="s">
        <v>161</v>
      </c>
      <c r="L56" s="7">
        <v>1</v>
      </c>
      <c r="N56" s="7">
        <v>1</v>
      </c>
      <c r="O56" s="7">
        <v>0.85</v>
      </c>
      <c r="P56" s="7">
        <v>0.9</v>
      </c>
      <c r="Q56" s="52">
        <f t="shared" si="0"/>
        <v>0.875</v>
      </c>
      <c r="R56" s="7">
        <v>13.9</v>
      </c>
      <c r="S56" s="7">
        <v>110</v>
      </c>
      <c r="T56" s="16">
        <f t="shared" si="1"/>
        <v>33</v>
      </c>
      <c r="U56" s="7">
        <v>138</v>
      </c>
      <c r="V56" s="16">
        <f t="shared" si="2"/>
        <v>4554</v>
      </c>
      <c r="W56" s="7">
        <v>8</v>
      </c>
      <c r="X56" s="15" t="s">
        <v>46</v>
      </c>
      <c r="Y56" s="54" t="s">
        <v>55</v>
      </c>
      <c r="Z56" s="54" t="s">
        <v>78</v>
      </c>
      <c r="AA56" s="54" t="s">
        <v>47</v>
      </c>
      <c r="AB56" s="39" t="s">
        <v>158</v>
      </c>
    </row>
    <row r="57" spans="1:29" x14ac:dyDescent="0.15">
      <c r="A57" s="15" t="s">
        <v>156</v>
      </c>
      <c r="B57" s="15" t="s">
        <v>157</v>
      </c>
      <c r="C57" s="15">
        <v>2019</v>
      </c>
      <c r="D57" s="37" t="s">
        <v>166</v>
      </c>
      <c r="E57" s="7" t="s">
        <v>132</v>
      </c>
      <c r="F57" s="7" t="s">
        <v>147</v>
      </c>
      <c r="G57" s="7" t="s">
        <v>36</v>
      </c>
      <c r="H57" s="15" t="s">
        <v>164</v>
      </c>
      <c r="I57" s="7" t="s">
        <v>159</v>
      </c>
      <c r="J57" s="15" t="s">
        <v>38</v>
      </c>
      <c r="K57" s="7" t="s">
        <v>161</v>
      </c>
      <c r="L57" s="7">
        <v>2</v>
      </c>
      <c r="N57" s="7">
        <v>1</v>
      </c>
      <c r="O57" s="7">
        <v>0.75</v>
      </c>
      <c r="P57" s="7">
        <v>0.75</v>
      </c>
      <c r="Q57" s="52">
        <f t="shared" si="0"/>
        <v>0.75</v>
      </c>
      <c r="R57" s="7">
        <v>15.3</v>
      </c>
      <c r="S57" s="7">
        <v>111</v>
      </c>
      <c r="T57" s="16">
        <f t="shared" si="1"/>
        <v>33</v>
      </c>
      <c r="U57" s="7">
        <v>138</v>
      </c>
      <c r="V57" s="16">
        <f t="shared" si="2"/>
        <v>4554</v>
      </c>
      <c r="W57" s="7">
        <v>8</v>
      </c>
      <c r="X57" s="15" t="s">
        <v>46</v>
      </c>
      <c r="Y57" s="54" t="s">
        <v>55</v>
      </c>
      <c r="Z57" s="54" t="s">
        <v>78</v>
      </c>
      <c r="AA57" s="54" t="s">
        <v>47</v>
      </c>
      <c r="AB57" s="39" t="s">
        <v>158</v>
      </c>
    </row>
    <row r="58" spans="1:29" x14ac:dyDescent="0.15">
      <c r="A58" s="15" t="s">
        <v>156</v>
      </c>
      <c r="B58" s="15" t="s">
        <v>157</v>
      </c>
      <c r="C58" s="15">
        <v>2019</v>
      </c>
      <c r="D58" s="37" t="s">
        <v>166</v>
      </c>
      <c r="E58" s="7" t="s">
        <v>132</v>
      </c>
      <c r="F58" s="7" t="s">
        <v>147</v>
      </c>
      <c r="G58" s="7" t="s">
        <v>36</v>
      </c>
      <c r="H58" s="15" t="s">
        <v>164</v>
      </c>
      <c r="I58" s="7" t="s">
        <v>159</v>
      </c>
      <c r="J58" s="15" t="s">
        <v>38</v>
      </c>
      <c r="K58" s="7" t="s">
        <v>161</v>
      </c>
      <c r="L58" s="7">
        <v>3</v>
      </c>
      <c r="N58" s="7">
        <v>1</v>
      </c>
      <c r="O58" s="7">
        <v>0.5</v>
      </c>
      <c r="P58" s="7">
        <v>0.55000000000000004</v>
      </c>
      <c r="Q58" s="52">
        <f t="shared" si="0"/>
        <v>0.52500000000000002</v>
      </c>
      <c r="R58" s="7">
        <v>13.2</v>
      </c>
      <c r="S58" s="7">
        <v>115</v>
      </c>
      <c r="T58" s="16">
        <f t="shared" si="1"/>
        <v>30</v>
      </c>
      <c r="U58" s="7">
        <v>138</v>
      </c>
      <c r="V58" s="16">
        <f t="shared" si="2"/>
        <v>4140</v>
      </c>
      <c r="W58" s="7">
        <v>8</v>
      </c>
      <c r="X58" s="15" t="s">
        <v>46</v>
      </c>
      <c r="Y58" s="54" t="s">
        <v>55</v>
      </c>
      <c r="Z58" s="54" t="s">
        <v>78</v>
      </c>
      <c r="AA58" s="54" t="s">
        <v>47</v>
      </c>
      <c r="AB58" s="39" t="s">
        <v>158</v>
      </c>
    </row>
    <row r="59" spans="1:29" x14ac:dyDescent="0.15">
      <c r="A59" s="15" t="s">
        <v>156</v>
      </c>
      <c r="B59" s="15" t="s">
        <v>157</v>
      </c>
      <c r="C59" s="15">
        <v>2019</v>
      </c>
      <c r="D59" s="37" t="s">
        <v>166</v>
      </c>
      <c r="E59" s="7" t="s">
        <v>132</v>
      </c>
      <c r="F59" s="7" t="s">
        <v>147</v>
      </c>
      <c r="G59" s="7" t="s">
        <v>36</v>
      </c>
      <c r="H59" s="15" t="s">
        <v>160</v>
      </c>
      <c r="I59" s="7" t="s">
        <v>159</v>
      </c>
      <c r="J59" s="15" t="s">
        <v>38</v>
      </c>
      <c r="K59" s="7" t="s">
        <v>161</v>
      </c>
      <c r="L59" s="7">
        <v>1</v>
      </c>
      <c r="N59" s="7">
        <v>1</v>
      </c>
      <c r="O59" s="7">
        <v>0.5</v>
      </c>
      <c r="P59" s="7">
        <v>0.5</v>
      </c>
      <c r="Q59" s="52">
        <f t="shared" si="0"/>
        <v>0.5</v>
      </c>
      <c r="R59" s="7">
        <v>19</v>
      </c>
      <c r="S59" s="7">
        <v>141</v>
      </c>
      <c r="T59" s="16">
        <f t="shared" si="1"/>
        <v>22</v>
      </c>
      <c r="U59" s="7">
        <v>149</v>
      </c>
      <c r="V59" s="16">
        <f t="shared" si="2"/>
        <v>3278</v>
      </c>
      <c r="W59" s="7">
        <v>8</v>
      </c>
      <c r="X59" s="15" t="s">
        <v>46</v>
      </c>
      <c r="Y59" s="54" t="s">
        <v>55</v>
      </c>
      <c r="Z59" s="54" t="s">
        <v>78</v>
      </c>
      <c r="AA59" s="54" t="s">
        <v>47</v>
      </c>
      <c r="AB59" s="39" t="s">
        <v>158</v>
      </c>
    </row>
    <row r="60" spans="1:29" x14ac:dyDescent="0.15">
      <c r="A60" s="15" t="s">
        <v>156</v>
      </c>
      <c r="B60" s="15" t="s">
        <v>157</v>
      </c>
      <c r="C60" s="15">
        <v>2019</v>
      </c>
      <c r="D60" s="37" t="s">
        <v>166</v>
      </c>
      <c r="E60" s="7" t="s">
        <v>132</v>
      </c>
      <c r="F60" s="7" t="s">
        <v>147</v>
      </c>
      <c r="G60" s="7" t="s">
        <v>36</v>
      </c>
      <c r="H60" s="15" t="s">
        <v>160</v>
      </c>
      <c r="I60" s="7" t="s">
        <v>159</v>
      </c>
      <c r="J60" s="15" t="s">
        <v>38</v>
      </c>
      <c r="K60" s="7" t="s">
        <v>161</v>
      </c>
      <c r="L60" s="7">
        <v>2</v>
      </c>
      <c r="N60" s="7">
        <v>1</v>
      </c>
      <c r="O60" s="7">
        <v>0.6</v>
      </c>
      <c r="P60" s="7">
        <v>0.5</v>
      </c>
      <c r="Q60" s="52">
        <f t="shared" si="0"/>
        <v>0.55000000000000004</v>
      </c>
      <c r="R60" s="7">
        <v>13.8</v>
      </c>
      <c r="S60" s="7">
        <v>136</v>
      </c>
      <c r="T60" s="16">
        <f>IF(H60="","",IF(OR(H60="GREEN",H60="GK"),IF(S60&gt;=$AX$2,VLOOKUP(S60,$AX$2:$AY$12,2,1),""),IF(S60&gt;=$AZ$2,VLOOKUP(S60,$AZ$2:$BA$12,2,1),"")))</f>
        <v>25</v>
      </c>
      <c r="U60" s="7">
        <v>149</v>
      </c>
      <c r="V60" s="16">
        <f t="shared" si="2"/>
        <v>3725</v>
      </c>
      <c r="W60" s="7">
        <v>8</v>
      </c>
      <c r="X60" s="15" t="s">
        <v>46</v>
      </c>
      <c r="Y60" s="54" t="s">
        <v>55</v>
      </c>
      <c r="Z60" s="54" t="s">
        <v>78</v>
      </c>
      <c r="AA60" s="54" t="s">
        <v>47</v>
      </c>
      <c r="AB60" s="39" t="s">
        <v>158</v>
      </c>
    </row>
    <row r="61" spans="1:29" x14ac:dyDescent="0.15">
      <c r="A61" s="15" t="s">
        <v>156</v>
      </c>
      <c r="B61" s="15" t="s">
        <v>157</v>
      </c>
      <c r="C61" s="15">
        <v>2019</v>
      </c>
      <c r="D61" s="37" t="s">
        <v>166</v>
      </c>
      <c r="E61" s="7" t="s">
        <v>132</v>
      </c>
      <c r="F61" s="7" t="s">
        <v>147</v>
      </c>
      <c r="G61" s="7" t="s">
        <v>36</v>
      </c>
      <c r="H61" s="15" t="s">
        <v>160</v>
      </c>
      <c r="I61" s="7" t="s">
        <v>159</v>
      </c>
      <c r="J61" s="15" t="s">
        <v>38</v>
      </c>
      <c r="K61" s="7" t="s">
        <v>161</v>
      </c>
      <c r="L61" s="7">
        <v>3</v>
      </c>
      <c r="N61" s="53">
        <v>1</v>
      </c>
      <c r="O61" s="7">
        <v>0.65</v>
      </c>
      <c r="P61" s="7">
        <v>0.6</v>
      </c>
      <c r="Q61" s="52">
        <f t="shared" si="0"/>
        <v>0.625</v>
      </c>
      <c r="R61" s="7">
        <v>17.399999999999999</v>
      </c>
      <c r="S61" s="7">
        <v>138</v>
      </c>
      <c r="T61" s="16">
        <f>IF(H61="","",IF(OR(H61="GREEN",H61="GK"),IF(S61&gt;=$AX$2,VLOOKUP(S61,$AX$2:$AY$12,2,1),""),IF(S61&gt;=$AZ$2,VLOOKUP(S61,$AZ$2:$BA$12,2,1),"")))</f>
        <v>22</v>
      </c>
      <c r="U61" s="7">
        <v>149</v>
      </c>
      <c r="V61" s="16">
        <f t="shared" si="2"/>
        <v>3278</v>
      </c>
      <c r="W61" s="7">
        <v>8</v>
      </c>
      <c r="X61" s="15" t="s">
        <v>46</v>
      </c>
      <c r="Y61" s="54" t="s">
        <v>55</v>
      </c>
      <c r="Z61" s="54" t="s">
        <v>78</v>
      </c>
      <c r="AA61" s="54" t="s">
        <v>47</v>
      </c>
      <c r="AB61" s="39" t="s">
        <v>158</v>
      </c>
    </row>
    <row r="62" spans="1:29" x14ac:dyDescent="0.15">
      <c r="A62" s="15" t="s">
        <v>156</v>
      </c>
      <c r="B62" s="15" t="s">
        <v>157</v>
      </c>
      <c r="C62" s="15">
        <v>2019</v>
      </c>
      <c r="D62" s="37" t="s">
        <v>166</v>
      </c>
      <c r="E62" s="7" t="s">
        <v>140</v>
      </c>
      <c r="F62" s="7" t="s">
        <v>148</v>
      </c>
      <c r="G62" s="7" t="s">
        <v>36</v>
      </c>
      <c r="H62" s="15" t="s">
        <v>164</v>
      </c>
      <c r="I62" s="7" t="s">
        <v>159</v>
      </c>
      <c r="J62" s="15" t="s">
        <v>38</v>
      </c>
      <c r="K62" s="7" t="s">
        <v>161</v>
      </c>
      <c r="L62" s="7">
        <v>1</v>
      </c>
      <c r="N62" s="53">
        <v>1</v>
      </c>
      <c r="O62" s="7">
        <v>0.7</v>
      </c>
      <c r="P62" s="7">
        <v>0.85</v>
      </c>
      <c r="Q62" s="52">
        <f t="shared" si="0"/>
        <v>0.77499999999999991</v>
      </c>
      <c r="R62" s="7">
        <v>16.3</v>
      </c>
      <c r="S62" s="7">
        <v>124</v>
      </c>
      <c r="T62" s="16">
        <f t="shared" ref="T62:T120" si="3">IF(H62="","",IF(OR(H62="GREEN",H62="GK"),IF(S62&gt;=$AX$2,VLOOKUP(S62,$AX$2:$AY$12,2,1),""),IF(S62&gt;=$AZ$2,VLOOKUP(S62,$AZ$2:$BA$12,2,1),"")))</f>
        <v>27</v>
      </c>
      <c r="U62" s="7">
        <v>278</v>
      </c>
      <c r="V62" s="16">
        <f t="shared" si="2"/>
        <v>7506</v>
      </c>
      <c r="W62" s="7">
        <v>15</v>
      </c>
      <c r="X62" s="54" t="s">
        <v>46</v>
      </c>
      <c r="Y62" s="54" t="s">
        <v>55</v>
      </c>
      <c r="Z62" s="54" t="s">
        <v>86</v>
      </c>
      <c r="AA62" s="54" t="s">
        <v>40</v>
      </c>
      <c r="AB62" s="39" t="s">
        <v>158</v>
      </c>
    </row>
    <row r="63" spans="1:29" x14ac:dyDescent="0.15">
      <c r="A63" s="15" t="s">
        <v>156</v>
      </c>
      <c r="B63" s="15" t="s">
        <v>157</v>
      </c>
      <c r="C63" s="15">
        <v>2019</v>
      </c>
      <c r="D63" s="37" t="s">
        <v>166</v>
      </c>
      <c r="E63" s="7" t="s">
        <v>140</v>
      </c>
      <c r="F63" s="7" t="s">
        <v>148</v>
      </c>
      <c r="G63" s="7" t="s">
        <v>36</v>
      </c>
      <c r="H63" s="15" t="s">
        <v>164</v>
      </c>
      <c r="I63" s="7" t="s">
        <v>159</v>
      </c>
      <c r="J63" s="15" t="s">
        <v>38</v>
      </c>
      <c r="K63" s="7" t="s">
        <v>161</v>
      </c>
      <c r="L63" s="7">
        <v>2</v>
      </c>
      <c r="N63" s="53">
        <v>1</v>
      </c>
      <c r="O63" s="7">
        <v>0.8</v>
      </c>
      <c r="P63" s="7">
        <v>0.9</v>
      </c>
      <c r="Q63" s="52">
        <f t="shared" si="0"/>
        <v>0.85000000000000009</v>
      </c>
      <c r="R63" s="7">
        <v>14.2</v>
      </c>
      <c r="S63" s="7">
        <v>137</v>
      </c>
      <c r="T63" s="16">
        <f t="shared" si="3"/>
        <v>25</v>
      </c>
      <c r="U63" s="7">
        <v>278</v>
      </c>
      <c r="V63" s="16">
        <f t="shared" si="2"/>
        <v>6950</v>
      </c>
      <c r="W63" s="7">
        <v>15</v>
      </c>
      <c r="X63" s="54" t="s">
        <v>46</v>
      </c>
      <c r="Y63" s="54" t="s">
        <v>55</v>
      </c>
      <c r="Z63" s="54" t="s">
        <v>86</v>
      </c>
      <c r="AA63" s="54" t="s">
        <v>40</v>
      </c>
      <c r="AB63" s="39" t="s">
        <v>158</v>
      </c>
    </row>
    <row r="64" spans="1:29" x14ac:dyDescent="0.15">
      <c r="A64" s="15" t="s">
        <v>156</v>
      </c>
      <c r="B64" s="15" t="s">
        <v>157</v>
      </c>
      <c r="C64" s="15">
        <v>2019</v>
      </c>
      <c r="D64" s="37" t="s">
        <v>166</v>
      </c>
      <c r="E64" s="7" t="s">
        <v>140</v>
      </c>
      <c r="F64" s="7" t="s">
        <v>148</v>
      </c>
      <c r="G64" s="7" t="s">
        <v>36</v>
      </c>
      <c r="H64" s="15" t="s">
        <v>164</v>
      </c>
      <c r="I64" s="7" t="s">
        <v>159</v>
      </c>
      <c r="J64" s="15" t="s">
        <v>38</v>
      </c>
      <c r="K64" s="7" t="s">
        <v>161</v>
      </c>
      <c r="L64" s="7">
        <v>3</v>
      </c>
      <c r="N64" s="53">
        <v>1</v>
      </c>
      <c r="O64" s="7">
        <v>0.65</v>
      </c>
      <c r="P64" s="7">
        <v>0.5</v>
      </c>
      <c r="Q64" s="52">
        <f t="shared" si="0"/>
        <v>0.57499999999999996</v>
      </c>
      <c r="R64" s="7">
        <v>16.5</v>
      </c>
      <c r="S64" s="7">
        <v>125</v>
      </c>
      <c r="T64" s="16">
        <f t="shared" si="3"/>
        <v>27</v>
      </c>
      <c r="U64" s="7">
        <v>278</v>
      </c>
      <c r="V64" s="16">
        <f t="shared" si="2"/>
        <v>7506</v>
      </c>
      <c r="W64" s="7">
        <v>15</v>
      </c>
      <c r="X64" s="54" t="s">
        <v>46</v>
      </c>
      <c r="Y64" s="54" t="s">
        <v>55</v>
      </c>
      <c r="Z64" s="54" t="s">
        <v>86</v>
      </c>
      <c r="AA64" s="54" t="s">
        <v>40</v>
      </c>
      <c r="AB64" s="39" t="s">
        <v>158</v>
      </c>
    </row>
    <row r="65" spans="1:28" x14ac:dyDescent="0.15">
      <c r="A65" s="15" t="s">
        <v>156</v>
      </c>
      <c r="B65" s="15" t="s">
        <v>157</v>
      </c>
      <c r="C65" s="15">
        <v>2019</v>
      </c>
      <c r="D65" s="37" t="s">
        <v>166</v>
      </c>
      <c r="E65" s="7" t="s">
        <v>140</v>
      </c>
      <c r="F65" s="7" t="s">
        <v>148</v>
      </c>
      <c r="G65" s="7" t="s">
        <v>36</v>
      </c>
      <c r="H65" s="15" t="s">
        <v>160</v>
      </c>
      <c r="I65" s="7" t="s">
        <v>159</v>
      </c>
      <c r="J65" s="15" t="s">
        <v>38</v>
      </c>
      <c r="K65" s="7" t="s">
        <v>161</v>
      </c>
      <c r="L65" s="7">
        <v>1</v>
      </c>
      <c r="N65" s="53">
        <v>1</v>
      </c>
      <c r="O65" s="7">
        <v>0.65</v>
      </c>
      <c r="P65" s="7">
        <v>0.65</v>
      </c>
      <c r="Q65" s="52">
        <f t="shared" si="0"/>
        <v>0.65</v>
      </c>
      <c r="R65" s="7">
        <v>15.9</v>
      </c>
      <c r="S65" s="7">
        <v>114</v>
      </c>
      <c r="T65" s="16">
        <f t="shared" si="3"/>
        <v>30</v>
      </c>
      <c r="U65" s="7">
        <v>138</v>
      </c>
      <c r="V65" s="16">
        <f t="shared" si="2"/>
        <v>4140</v>
      </c>
      <c r="W65" s="7">
        <v>26</v>
      </c>
      <c r="X65" s="54" t="s">
        <v>46</v>
      </c>
      <c r="Y65" s="54" t="s">
        <v>55</v>
      </c>
      <c r="Z65" s="54" t="s">
        <v>86</v>
      </c>
      <c r="AA65" s="54" t="s">
        <v>40</v>
      </c>
      <c r="AB65" s="39" t="s">
        <v>158</v>
      </c>
    </row>
    <row r="66" spans="1:28" x14ac:dyDescent="0.15">
      <c r="A66" s="15" t="s">
        <v>156</v>
      </c>
      <c r="B66" s="15" t="s">
        <v>157</v>
      </c>
      <c r="C66" s="15">
        <v>2019</v>
      </c>
      <c r="D66" s="37" t="s">
        <v>166</v>
      </c>
      <c r="E66" s="7" t="s">
        <v>140</v>
      </c>
      <c r="F66" s="7" t="s">
        <v>148</v>
      </c>
      <c r="G66" s="7" t="s">
        <v>36</v>
      </c>
      <c r="H66" s="15" t="s">
        <v>160</v>
      </c>
      <c r="I66" s="7" t="s">
        <v>159</v>
      </c>
      <c r="J66" s="15" t="s">
        <v>38</v>
      </c>
      <c r="K66" s="7" t="s">
        <v>161</v>
      </c>
      <c r="L66" s="7">
        <v>2</v>
      </c>
      <c r="N66" s="7">
        <v>1</v>
      </c>
      <c r="O66" s="7">
        <v>0.5</v>
      </c>
      <c r="P66" s="7">
        <v>0.5</v>
      </c>
      <c r="Q66" s="52">
        <f t="shared" ref="Q66:Q77" si="4">IF(OR(O66="",P66=""),"",AVERAGE(O66,P66))</f>
        <v>0.5</v>
      </c>
      <c r="R66" s="7">
        <v>18.100000000000001</v>
      </c>
      <c r="S66" s="7">
        <v>118</v>
      </c>
      <c r="T66" s="16">
        <f t="shared" si="3"/>
        <v>30</v>
      </c>
      <c r="U66" s="7">
        <v>138</v>
      </c>
      <c r="V66" s="16">
        <f t="shared" ref="V66:V70" si="5">IF(OR(N66="",U66="",T66=""),"",U66/N66*T66)</f>
        <v>4140</v>
      </c>
      <c r="W66" s="7">
        <v>26</v>
      </c>
      <c r="X66" s="54" t="s">
        <v>46</v>
      </c>
      <c r="Y66" s="54" t="s">
        <v>55</v>
      </c>
      <c r="Z66" s="54" t="s">
        <v>86</v>
      </c>
      <c r="AA66" s="54" t="s">
        <v>40</v>
      </c>
      <c r="AB66" s="39" t="s">
        <v>158</v>
      </c>
    </row>
    <row r="67" spans="1:28" x14ac:dyDescent="0.15">
      <c r="A67" s="15" t="s">
        <v>156</v>
      </c>
      <c r="B67" s="15" t="s">
        <v>157</v>
      </c>
      <c r="C67" s="15">
        <v>2019</v>
      </c>
      <c r="D67" s="37" t="s">
        <v>166</v>
      </c>
      <c r="E67" s="7" t="s">
        <v>140</v>
      </c>
      <c r="F67" s="7" t="s">
        <v>148</v>
      </c>
      <c r="G67" s="7" t="s">
        <v>36</v>
      </c>
      <c r="H67" s="15" t="s">
        <v>160</v>
      </c>
      <c r="I67" s="7" t="s">
        <v>159</v>
      </c>
      <c r="J67" s="15" t="s">
        <v>38</v>
      </c>
      <c r="K67" s="7" t="s">
        <v>161</v>
      </c>
      <c r="L67" s="7">
        <v>3</v>
      </c>
      <c r="N67" s="7">
        <v>1</v>
      </c>
      <c r="O67" s="7">
        <v>0.65</v>
      </c>
      <c r="P67" s="7">
        <v>0.65</v>
      </c>
      <c r="Q67" s="52">
        <f t="shared" si="4"/>
        <v>0.65</v>
      </c>
      <c r="R67" s="7">
        <v>16.600000000000001</v>
      </c>
      <c r="S67" s="7">
        <v>119</v>
      </c>
      <c r="T67" s="16">
        <f t="shared" si="3"/>
        <v>30</v>
      </c>
      <c r="U67" s="7">
        <v>138</v>
      </c>
      <c r="V67" s="16">
        <f t="shared" si="5"/>
        <v>4140</v>
      </c>
      <c r="W67" s="7">
        <v>26</v>
      </c>
      <c r="X67" s="54" t="s">
        <v>46</v>
      </c>
      <c r="Y67" s="54" t="s">
        <v>55</v>
      </c>
      <c r="Z67" s="54" t="s">
        <v>86</v>
      </c>
      <c r="AA67" s="54" t="s">
        <v>40</v>
      </c>
      <c r="AB67" s="39" t="s">
        <v>158</v>
      </c>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30543-0FDC-4C03-8B13-27DA288020B7}">
  <dimension ref="A1:BA423"/>
  <sheetViews>
    <sheetView topLeftCell="A19" zoomScale="70" zoomScaleNormal="70" workbookViewId="0">
      <selection activeCell="AH27" sqref="AH27"/>
    </sheetView>
  </sheetViews>
  <sheetFormatPr defaultColWidth="9" defaultRowHeight="13.5" x14ac:dyDescent="0.15"/>
  <cols>
    <col min="1" max="3" width="9" style="53"/>
    <col min="4" max="4" width="11" style="53" customWidth="1"/>
    <col min="5" max="5" width="10.875" style="53" customWidth="1"/>
    <col min="6"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168</v>
      </c>
      <c r="C1" s="55" t="s">
        <v>169</v>
      </c>
      <c r="D1" s="56" t="s">
        <v>3</v>
      </c>
      <c r="E1" s="45" t="s">
        <v>4</v>
      </c>
      <c r="F1" s="45" t="s">
        <v>5</v>
      </c>
      <c r="G1" s="45" t="s">
        <v>6</v>
      </c>
      <c r="H1" s="45" t="s">
        <v>7</v>
      </c>
      <c r="I1" s="45" t="s">
        <v>8</v>
      </c>
      <c r="J1" s="45" t="s">
        <v>9</v>
      </c>
      <c r="K1" s="45" t="s">
        <v>10</v>
      </c>
      <c r="L1" s="56" t="s">
        <v>170</v>
      </c>
      <c r="M1" s="56" t="s">
        <v>171</v>
      </c>
      <c r="N1" s="56" t="s">
        <v>13</v>
      </c>
      <c r="O1" s="56" t="s">
        <v>172</v>
      </c>
      <c r="P1" s="56" t="s">
        <v>173</v>
      </c>
      <c r="Q1" s="57" t="s">
        <v>174</v>
      </c>
      <c r="R1" s="56" t="s">
        <v>175</v>
      </c>
      <c r="S1" s="56" t="s">
        <v>176</v>
      </c>
      <c r="T1" s="57" t="s">
        <v>19</v>
      </c>
      <c r="U1" s="58" t="s">
        <v>108</v>
      </c>
      <c r="V1" s="59" t="s">
        <v>20</v>
      </c>
      <c r="W1" s="56" t="s">
        <v>177</v>
      </c>
      <c r="X1" s="45" t="s">
        <v>22</v>
      </c>
      <c r="Y1" s="45" t="s">
        <v>23</v>
      </c>
      <c r="Z1" s="45" t="s">
        <v>24</v>
      </c>
      <c r="AA1" s="45" t="s">
        <v>25</v>
      </c>
      <c r="AB1" s="46" t="s">
        <v>178</v>
      </c>
      <c r="AE1" s="60" t="s">
        <v>0</v>
      </c>
      <c r="AF1" s="61"/>
      <c r="AG1" s="60" t="s">
        <v>4</v>
      </c>
      <c r="AH1" s="60" t="s">
        <v>5</v>
      </c>
      <c r="AI1" s="61"/>
      <c r="AJ1" s="60" t="s">
        <v>6</v>
      </c>
      <c r="AK1" s="61"/>
      <c r="AL1" s="10" t="s">
        <v>7</v>
      </c>
      <c r="AM1" s="61"/>
      <c r="AN1" s="10" t="s">
        <v>8</v>
      </c>
      <c r="AO1" s="61"/>
      <c r="AP1" s="10" t="s">
        <v>27</v>
      </c>
      <c r="AQ1" s="61"/>
      <c r="AR1" s="10" t="s">
        <v>10</v>
      </c>
      <c r="AS1" s="61"/>
      <c r="AT1" s="11" t="s">
        <v>179</v>
      </c>
      <c r="AU1" s="61"/>
      <c r="AV1" s="10" t="s">
        <v>29</v>
      </c>
      <c r="AX1" s="12" t="s">
        <v>180</v>
      </c>
      <c r="AY1" s="13" t="s">
        <v>181</v>
      </c>
      <c r="AZ1" s="13" t="s">
        <v>182</v>
      </c>
      <c r="BA1" s="14" t="s">
        <v>183</v>
      </c>
    </row>
    <row r="2" spans="1:53" x14ac:dyDescent="0.15">
      <c r="A2" s="53" t="s">
        <v>41</v>
      </c>
      <c r="B2" s="53" t="s">
        <v>157</v>
      </c>
      <c r="C2" s="62">
        <v>2019</v>
      </c>
      <c r="D2" s="63" t="s">
        <v>184</v>
      </c>
      <c r="E2" s="53" t="s">
        <v>133</v>
      </c>
      <c r="F2" s="53" t="s">
        <v>185</v>
      </c>
      <c r="G2" s="53" t="s">
        <v>42</v>
      </c>
      <c r="H2" s="53" t="s">
        <v>186</v>
      </c>
      <c r="I2" s="53" t="s">
        <v>159</v>
      </c>
      <c r="J2" s="53" t="s">
        <v>38</v>
      </c>
      <c r="K2" s="53" t="s">
        <v>161</v>
      </c>
      <c r="L2" s="53">
        <v>1</v>
      </c>
      <c r="N2" s="53">
        <v>1</v>
      </c>
      <c r="O2" s="53">
        <v>0.35</v>
      </c>
      <c r="P2" s="53">
        <v>0.4</v>
      </c>
      <c r="Q2" s="16">
        <f t="shared" ref="Q2:Q65" si="0">IF(OR(O2="",P2=""),"",AVERAGE(O2,P2))</f>
        <v>0.375</v>
      </c>
      <c r="R2" s="53">
        <v>12.6</v>
      </c>
      <c r="S2" s="53">
        <v>135</v>
      </c>
      <c r="T2" s="16">
        <f t="shared" ref="T2:T65" si="1">IF(H2="","",IF(OR(H2="GREEN",H2="GK"),IF(S2&gt;=$AX$2,VLOOKUP(S2,$AX$2:$AY$10,2,1),""),IF(S2&gt;=$AZ$2,VLOOKUP(S2,$AZ$2:$BA$10,2,1),"")))</f>
        <v>25</v>
      </c>
      <c r="U2" s="53">
        <v>753</v>
      </c>
      <c r="V2" s="16">
        <f t="shared" ref="V2:V65" si="2">IF(OR(N2="",U2="",T2=""),"",U2/N2*T2)</f>
        <v>18825</v>
      </c>
      <c r="W2" s="53">
        <v>2</v>
      </c>
      <c r="X2" s="53" t="s">
        <v>46</v>
      </c>
      <c r="Y2" s="53" t="s">
        <v>55</v>
      </c>
      <c r="Z2" s="53" t="s">
        <v>69</v>
      </c>
      <c r="AA2" s="53" t="s">
        <v>78</v>
      </c>
      <c r="AB2" s="53" t="s">
        <v>158</v>
      </c>
      <c r="AE2" s="64" t="s">
        <v>35</v>
      </c>
      <c r="AG2" s="65" t="s">
        <v>133</v>
      </c>
      <c r="AH2" s="66" t="s">
        <v>185</v>
      </c>
      <c r="AJ2" s="67" t="s">
        <v>36</v>
      </c>
      <c r="AL2" s="67" t="s">
        <v>187</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184</v>
      </c>
      <c r="E3" s="53" t="s">
        <v>133</v>
      </c>
      <c r="F3" s="53" t="s">
        <v>185</v>
      </c>
      <c r="G3" s="53" t="s">
        <v>42</v>
      </c>
      <c r="H3" s="53" t="s">
        <v>186</v>
      </c>
      <c r="I3" s="53" t="s">
        <v>159</v>
      </c>
      <c r="J3" s="53" t="s">
        <v>38</v>
      </c>
      <c r="K3" s="53" t="s">
        <v>161</v>
      </c>
      <c r="L3" s="53">
        <v>2</v>
      </c>
      <c r="N3" s="53">
        <v>1</v>
      </c>
      <c r="O3" s="53">
        <v>0.3</v>
      </c>
      <c r="P3" s="53">
        <v>0.25</v>
      </c>
      <c r="Q3" s="16">
        <f t="shared" si="0"/>
        <v>0.27500000000000002</v>
      </c>
      <c r="R3" s="53">
        <v>15.8</v>
      </c>
      <c r="S3" s="53">
        <v>133</v>
      </c>
      <c r="T3" s="16">
        <f t="shared" si="1"/>
        <v>25</v>
      </c>
      <c r="U3" s="53">
        <v>753</v>
      </c>
      <c r="V3" s="16">
        <f t="shared" si="2"/>
        <v>18825</v>
      </c>
      <c r="W3" s="53">
        <v>2</v>
      </c>
      <c r="X3" s="53" t="s">
        <v>46</v>
      </c>
      <c r="Y3" s="53" t="s">
        <v>55</v>
      </c>
      <c r="Z3" s="53" t="s">
        <v>69</v>
      </c>
      <c r="AA3" s="53" t="s">
        <v>78</v>
      </c>
      <c r="AB3" s="53" t="s">
        <v>158</v>
      </c>
      <c r="AE3" s="22" t="s">
        <v>41</v>
      </c>
      <c r="AG3" s="71" t="s">
        <v>188</v>
      </c>
      <c r="AH3" s="71" t="s">
        <v>185</v>
      </c>
      <c r="AJ3" s="23" t="s">
        <v>42</v>
      </c>
      <c r="AL3" s="23" t="s">
        <v>189</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184</v>
      </c>
      <c r="E4" s="53" t="s">
        <v>133</v>
      </c>
      <c r="F4" s="53" t="s">
        <v>185</v>
      </c>
      <c r="G4" s="53" t="s">
        <v>42</v>
      </c>
      <c r="H4" s="53" t="s">
        <v>186</v>
      </c>
      <c r="I4" s="53" t="s">
        <v>159</v>
      </c>
      <c r="J4" s="53" t="s">
        <v>38</v>
      </c>
      <c r="K4" s="53" t="s">
        <v>161</v>
      </c>
      <c r="L4" s="53">
        <v>3</v>
      </c>
      <c r="N4" s="53">
        <v>1</v>
      </c>
      <c r="O4" s="53">
        <v>0.35</v>
      </c>
      <c r="P4" s="53">
        <v>0.25</v>
      </c>
      <c r="Q4" s="16">
        <f t="shared" si="0"/>
        <v>0.3</v>
      </c>
      <c r="R4" s="53">
        <v>14.8</v>
      </c>
      <c r="S4" s="53">
        <v>132</v>
      </c>
      <c r="T4" s="16">
        <f t="shared" si="1"/>
        <v>25</v>
      </c>
      <c r="U4" s="53">
        <v>753</v>
      </c>
      <c r="V4" s="16">
        <f t="shared" si="2"/>
        <v>18825</v>
      </c>
      <c r="W4" s="53">
        <v>2</v>
      </c>
      <c r="X4" s="53" t="s">
        <v>46</v>
      </c>
      <c r="Y4" s="53" t="s">
        <v>55</v>
      </c>
      <c r="Z4" s="53" t="s">
        <v>69</v>
      </c>
      <c r="AA4" s="53" t="s">
        <v>78</v>
      </c>
      <c r="AB4" s="53" t="s">
        <v>158</v>
      </c>
      <c r="AE4" s="22" t="s">
        <v>34</v>
      </c>
      <c r="AG4" s="71" t="s">
        <v>188</v>
      </c>
      <c r="AH4" s="71" t="s">
        <v>190</v>
      </c>
      <c r="AJ4" s="27" t="s">
        <v>48</v>
      </c>
      <c r="AL4" s="27" t="s">
        <v>191</v>
      </c>
      <c r="AN4" s="28" t="s">
        <v>192</v>
      </c>
      <c r="AP4" s="23" t="s">
        <v>193</v>
      </c>
      <c r="AR4" s="23" t="s">
        <v>194</v>
      </c>
      <c r="AT4" s="28"/>
      <c r="AV4" s="23" t="s">
        <v>50</v>
      </c>
      <c r="AX4" s="24">
        <v>75</v>
      </c>
      <c r="AY4" s="25">
        <v>42</v>
      </c>
      <c r="AZ4" s="25">
        <v>76</v>
      </c>
      <c r="BA4" s="26">
        <v>39</v>
      </c>
    </row>
    <row r="5" spans="1:53" ht="13.5" customHeight="1" x14ac:dyDescent="0.15">
      <c r="A5" s="53" t="s">
        <v>41</v>
      </c>
      <c r="B5" s="53" t="s">
        <v>157</v>
      </c>
      <c r="C5" s="62">
        <v>2019</v>
      </c>
      <c r="D5" s="63" t="s">
        <v>184</v>
      </c>
      <c r="E5" s="53" t="s">
        <v>133</v>
      </c>
      <c r="F5" s="53" t="s">
        <v>185</v>
      </c>
      <c r="G5" s="53" t="s">
        <v>42</v>
      </c>
      <c r="H5" s="53" t="s">
        <v>186</v>
      </c>
      <c r="I5" s="53" t="s">
        <v>159</v>
      </c>
      <c r="J5" s="53" t="s">
        <v>38</v>
      </c>
      <c r="K5" s="53" t="s">
        <v>161</v>
      </c>
      <c r="L5" s="53">
        <v>1</v>
      </c>
      <c r="N5" s="53">
        <v>8</v>
      </c>
      <c r="O5" s="53">
        <v>0.45</v>
      </c>
      <c r="P5" s="53">
        <v>0.35</v>
      </c>
      <c r="Q5" s="16">
        <f t="shared" si="0"/>
        <v>0.4</v>
      </c>
      <c r="R5" s="53">
        <v>16.7</v>
      </c>
      <c r="S5" s="53">
        <v>118</v>
      </c>
      <c r="T5" s="16">
        <f t="shared" si="1"/>
        <v>30</v>
      </c>
      <c r="U5" s="53">
        <v>105</v>
      </c>
      <c r="V5" s="16">
        <f t="shared" si="2"/>
        <v>393.75</v>
      </c>
      <c r="W5" s="53">
        <v>5</v>
      </c>
      <c r="X5" s="53" t="s">
        <v>46</v>
      </c>
      <c r="Y5" s="53" t="s">
        <v>55</v>
      </c>
      <c r="Z5" s="53" t="s">
        <v>69</v>
      </c>
      <c r="AA5" s="53" t="s">
        <v>78</v>
      </c>
      <c r="AB5" s="53" t="s">
        <v>158</v>
      </c>
      <c r="AE5" s="22" t="s">
        <v>51</v>
      </c>
      <c r="AG5" s="71" t="s">
        <v>195</v>
      </c>
      <c r="AH5" s="71" t="s">
        <v>185</v>
      </c>
      <c r="AJ5" s="28"/>
      <c r="AL5" s="72" t="s">
        <v>164</v>
      </c>
      <c r="AN5" s="72" t="s">
        <v>159</v>
      </c>
      <c r="AP5" s="23" t="s">
        <v>196</v>
      </c>
      <c r="AR5" s="23" t="s">
        <v>54</v>
      </c>
      <c r="AV5" s="23" t="s">
        <v>55</v>
      </c>
      <c r="AX5" s="24">
        <v>84</v>
      </c>
      <c r="AY5" s="25">
        <v>39</v>
      </c>
      <c r="AZ5" s="25">
        <v>84</v>
      </c>
      <c r="BA5" s="26">
        <v>36</v>
      </c>
    </row>
    <row r="6" spans="1:53" x14ac:dyDescent="0.15">
      <c r="A6" s="53" t="s">
        <v>41</v>
      </c>
      <c r="B6" s="53" t="s">
        <v>157</v>
      </c>
      <c r="C6" s="62">
        <v>2019</v>
      </c>
      <c r="D6" s="63" t="s">
        <v>184</v>
      </c>
      <c r="E6" s="53" t="s">
        <v>133</v>
      </c>
      <c r="F6" s="53" t="s">
        <v>185</v>
      </c>
      <c r="G6" s="53" t="s">
        <v>42</v>
      </c>
      <c r="H6" s="53" t="s">
        <v>186</v>
      </c>
      <c r="I6" s="53" t="s">
        <v>159</v>
      </c>
      <c r="J6" s="53" t="s">
        <v>38</v>
      </c>
      <c r="K6" s="53" t="s">
        <v>161</v>
      </c>
      <c r="L6" s="53">
        <v>2</v>
      </c>
      <c r="N6" s="53">
        <v>8</v>
      </c>
      <c r="O6" s="53">
        <v>0.25</v>
      </c>
      <c r="P6" s="53">
        <v>0.25</v>
      </c>
      <c r="Q6" s="16">
        <f t="shared" si="0"/>
        <v>0.25</v>
      </c>
      <c r="R6" s="53">
        <v>15</v>
      </c>
      <c r="S6" s="53">
        <v>120</v>
      </c>
      <c r="T6" s="16">
        <f t="shared" si="1"/>
        <v>30</v>
      </c>
      <c r="U6" s="53">
        <v>105</v>
      </c>
      <c r="V6" s="16">
        <f t="shared" si="2"/>
        <v>393.75</v>
      </c>
      <c r="W6" s="53">
        <v>5</v>
      </c>
      <c r="X6" s="53" t="s">
        <v>46</v>
      </c>
      <c r="Y6" s="53" t="s">
        <v>55</v>
      </c>
      <c r="Z6" s="53" t="s">
        <v>69</v>
      </c>
      <c r="AA6" s="53" t="s">
        <v>78</v>
      </c>
      <c r="AB6" s="53" t="s">
        <v>158</v>
      </c>
      <c r="AE6" s="22" t="s">
        <v>56</v>
      </c>
      <c r="AG6" s="71" t="s">
        <v>195</v>
      </c>
      <c r="AH6" s="71" t="s">
        <v>197</v>
      </c>
      <c r="AL6" s="72" t="s">
        <v>198</v>
      </c>
      <c r="AN6" s="72" t="s">
        <v>165</v>
      </c>
      <c r="AP6" s="23" t="s">
        <v>53</v>
      </c>
      <c r="AR6" s="23" t="s">
        <v>59</v>
      </c>
      <c r="AV6" s="23" t="s">
        <v>60</v>
      </c>
      <c r="AX6" s="24">
        <v>97</v>
      </c>
      <c r="AY6" s="25">
        <v>36</v>
      </c>
      <c r="AZ6" s="25">
        <v>99</v>
      </c>
      <c r="BA6" s="26">
        <v>33</v>
      </c>
    </row>
    <row r="7" spans="1:53" x14ac:dyDescent="0.15">
      <c r="A7" s="53" t="s">
        <v>41</v>
      </c>
      <c r="B7" s="53" t="s">
        <v>157</v>
      </c>
      <c r="C7" s="62">
        <v>2019</v>
      </c>
      <c r="D7" s="63" t="s">
        <v>184</v>
      </c>
      <c r="E7" s="53" t="s">
        <v>133</v>
      </c>
      <c r="F7" s="53" t="s">
        <v>185</v>
      </c>
      <c r="G7" s="53" t="s">
        <v>42</v>
      </c>
      <c r="H7" s="53" t="s">
        <v>186</v>
      </c>
      <c r="I7" s="53" t="s">
        <v>159</v>
      </c>
      <c r="J7" s="53" t="s">
        <v>38</v>
      </c>
      <c r="K7" s="53" t="s">
        <v>161</v>
      </c>
      <c r="L7" s="53">
        <v>3</v>
      </c>
      <c r="N7" s="53">
        <v>8</v>
      </c>
      <c r="O7" s="53">
        <v>0.25</v>
      </c>
      <c r="P7" s="53">
        <v>0.35</v>
      </c>
      <c r="Q7" s="16">
        <f t="shared" si="0"/>
        <v>0.3</v>
      </c>
      <c r="R7" s="53">
        <v>15</v>
      </c>
      <c r="S7" s="53">
        <v>115</v>
      </c>
      <c r="T7" s="16">
        <f t="shared" si="1"/>
        <v>30</v>
      </c>
      <c r="U7" s="53">
        <v>105</v>
      </c>
      <c r="V7" s="16">
        <f t="shared" si="2"/>
        <v>393.75</v>
      </c>
      <c r="W7" s="53">
        <v>5</v>
      </c>
      <c r="X7" s="53" t="s">
        <v>46</v>
      </c>
      <c r="Y7" s="53" t="s">
        <v>55</v>
      </c>
      <c r="Z7" s="53" t="s">
        <v>69</v>
      </c>
      <c r="AA7" s="53" t="s">
        <v>78</v>
      </c>
      <c r="AB7" s="53" t="s">
        <v>158</v>
      </c>
      <c r="AE7" s="22" t="s">
        <v>61</v>
      </c>
      <c r="AG7" s="71" t="s">
        <v>199</v>
      </c>
      <c r="AH7" s="71" t="s">
        <v>197</v>
      </c>
      <c r="AL7" s="73" t="s">
        <v>186</v>
      </c>
      <c r="AP7" s="23" t="s">
        <v>58</v>
      </c>
      <c r="AR7" s="23" t="s">
        <v>200</v>
      </c>
      <c r="AV7" s="23" t="s">
        <v>64</v>
      </c>
      <c r="AX7" s="24">
        <v>109</v>
      </c>
      <c r="AY7" s="25">
        <v>33</v>
      </c>
      <c r="AZ7" s="25">
        <v>113</v>
      </c>
      <c r="BA7" s="26">
        <v>30</v>
      </c>
    </row>
    <row r="8" spans="1:53" x14ac:dyDescent="0.15">
      <c r="A8" s="53" t="s">
        <v>41</v>
      </c>
      <c r="B8" s="53" t="s">
        <v>157</v>
      </c>
      <c r="C8" s="62">
        <v>2019</v>
      </c>
      <c r="D8" s="63" t="s">
        <v>184</v>
      </c>
      <c r="E8" s="53" t="s">
        <v>133</v>
      </c>
      <c r="F8" s="53" t="s">
        <v>185</v>
      </c>
      <c r="G8" s="53" t="s">
        <v>42</v>
      </c>
      <c r="H8" s="53" t="s">
        <v>160</v>
      </c>
      <c r="I8" s="53" t="s">
        <v>159</v>
      </c>
      <c r="J8" s="53" t="s">
        <v>38</v>
      </c>
      <c r="K8" s="53" t="s">
        <v>161</v>
      </c>
      <c r="L8" s="53">
        <v>1</v>
      </c>
      <c r="N8" s="53">
        <v>1</v>
      </c>
      <c r="O8" s="53">
        <v>1</v>
      </c>
      <c r="P8" s="53">
        <v>1.2</v>
      </c>
      <c r="Q8" s="16">
        <f t="shared" si="0"/>
        <v>1.1000000000000001</v>
      </c>
      <c r="R8" s="53">
        <v>12.8</v>
      </c>
      <c r="S8" s="53">
        <v>128</v>
      </c>
      <c r="T8" s="16">
        <f t="shared" si="1"/>
        <v>27</v>
      </c>
      <c r="U8" s="53">
        <v>149</v>
      </c>
      <c r="V8" s="16">
        <f t="shared" si="2"/>
        <v>4023</v>
      </c>
      <c r="W8" s="53">
        <v>6</v>
      </c>
      <c r="X8" s="53" t="s">
        <v>46</v>
      </c>
      <c r="Y8" s="53" t="s">
        <v>55</v>
      </c>
      <c r="Z8" s="53" t="s">
        <v>69</v>
      </c>
      <c r="AA8" s="53" t="s">
        <v>78</v>
      </c>
      <c r="AB8" s="53" t="s">
        <v>158</v>
      </c>
      <c r="AE8" s="22" t="s">
        <v>59</v>
      </c>
      <c r="AG8" s="71" t="s">
        <v>201</v>
      </c>
      <c r="AH8" s="71" t="s">
        <v>202</v>
      </c>
      <c r="AL8" s="73" t="s">
        <v>160</v>
      </c>
      <c r="AP8" s="23" t="s">
        <v>62</v>
      </c>
      <c r="AR8" s="23" t="s">
        <v>81</v>
      </c>
      <c r="AV8" s="23" t="s">
        <v>97</v>
      </c>
      <c r="AX8" s="24">
        <v>119</v>
      </c>
      <c r="AY8" s="25">
        <v>30</v>
      </c>
      <c r="AZ8" s="25">
        <v>121</v>
      </c>
      <c r="BA8" s="26">
        <v>27</v>
      </c>
    </row>
    <row r="9" spans="1:53" x14ac:dyDescent="0.15">
      <c r="A9" s="53" t="s">
        <v>41</v>
      </c>
      <c r="B9" s="53" t="s">
        <v>157</v>
      </c>
      <c r="C9" s="62">
        <v>2019</v>
      </c>
      <c r="D9" s="63" t="s">
        <v>184</v>
      </c>
      <c r="E9" s="53" t="s">
        <v>133</v>
      </c>
      <c r="F9" s="53" t="s">
        <v>185</v>
      </c>
      <c r="G9" s="53" t="s">
        <v>42</v>
      </c>
      <c r="H9" s="53" t="s">
        <v>160</v>
      </c>
      <c r="I9" s="53" t="s">
        <v>159</v>
      </c>
      <c r="J9" s="53" t="s">
        <v>38</v>
      </c>
      <c r="K9" s="53" t="s">
        <v>161</v>
      </c>
      <c r="L9" s="53">
        <v>2</v>
      </c>
      <c r="N9" s="53">
        <v>1</v>
      </c>
      <c r="O9" s="53">
        <v>0.95</v>
      </c>
      <c r="P9" s="53">
        <v>1.05</v>
      </c>
      <c r="Q9" s="16">
        <f t="shared" si="0"/>
        <v>1</v>
      </c>
      <c r="R9" s="53">
        <v>15.7</v>
      </c>
      <c r="S9" s="53">
        <v>127</v>
      </c>
      <c r="T9" s="16">
        <f t="shared" si="1"/>
        <v>27</v>
      </c>
      <c r="U9" s="53">
        <v>149</v>
      </c>
      <c r="V9" s="16">
        <f t="shared" si="2"/>
        <v>4023</v>
      </c>
      <c r="W9" s="53">
        <v>6</v>
      </c>
      <c r="X9" s="53" t="s">
        <v>46</v>
      </c>
      <c r="Y9" s="53" t="s">
        <v>55</v>
      </c>
      <c r="Z9" s="53" t="s">
        <v>69</v>
      </c>
      <c r="AA9" s="53" t="s">
        <v>78</v>
      </c>
      <c r="AB9" s="53" t="s">
        <v>158</v>
      </c>
      <c r="AE9" s="22" t="s">
        <v>203</v>
      </c>
      <c r="AG9" s="71" t="s">
        <v>204</v>
      </c>
      <c r="AH9" s="71" t="s">
        <v>205</v>
      </c>
      <c r="AL9" s="72"/>
      <c r="AP9" s="23" t="s">
        <v>95</v>
      </c>
      <c r="AR9" s="23" t="s">
        <v>206</v>
      </c>
      <c r="AV9" s="23" t="s">
        <v>102</v>
      </c>
      <c r="AX9" s="24">
        <v>128</v>
      </c>
      <c r="AY9" s="25">
        <v>27</v>
      </c>
      <c r="AZ9" s="25">
        <v>129</v>
      </c>
      <c r="BA9" s="26">
        <v>25</v>
      </c>
    </row>
    <row r="10" spans="1:53" x14ac:dyDescent="0.15">
      <c r="A10" s="53" t="s">
        <v>41</v>
      </c>
      <c r="B10" s="53" t="s">
        <v>157</v>
      </c>
      <c r="C10" s="62">
        <v>2019</v>
      </c>
      <c r="D10" s="63" t="s">
        <v>184</v>
      </c>
      <c r="E10" s="53" t="s">
        <v>133</v>
      </c>
      <c r="F10" s="53" t="s">
        <v>185</v>
      </c>
      <c r="G10" s="53" t="s">
        <v>42</v>
      </c>
      <c r="H10" s="53" t="s">
        <v>160</v>
      </c>
      <c r="I10" s="53" t="s">
        <v>159</v>
      </c>
      <c r="J10" s="53" t="s">
        <v>38</v>
      </c>
      <c r="K10" s="53" t="s">
        <v>161</v>
      </c>
      <c r="L10" s="53">
        <v>3</v>
      </c>
      <c r="N10" s="53">
        <v>1</v>
      </c>
      <c r="O10" s="53">
        <v>0.85</v>
      </c>
      <c r="P10" s="53">
        <v>0.9</v>
      </c>
      <c r="Q10" s="16">
        <f t="shared" si="0"/>
        <v>0.875</v>
      </c>
      <c r="R10" s="53">
        <v>16.8</v>
      </c>
      <c r="S10" s="53">
        <v>124</v>
      </c>
      <c r="T10" s="16">
        <f t="shared" si="1"/>
        <v>27</v>
      </c>
      <c r="U10" s="53">
        <v>149</v>
      </c>
      <c r="V10" s="16">
        <f t="shared" si="2"/>
        <v>4023</v>
      </c>
      <c r="W10" s="53">
        <v>6</v>
      </c>
      <c r="X10" s="53" t="s">
        <v>46</v>
      </c>
      <c r="Y10" s="53" t="s">
        <v>55</v>
      </c>
      <c r="Z10" s="53" t="s">
        <v>69</v>
      </c>
      <c r="AA10" s="53" t="s">
        <v>78</v>
      </c>
      <c r="AB10" s="53" t="s">
        <v>158</v>
      </c>
      <c r="AE10" s="22" t="s">
        <v>207</v>
      </c>
      <c r="AG10" s="71" t="s">
        <v>201</v>
      </c>
      <c r="AH10" s="71" t="s">
        <v>208</v>
      </c>
      <c r="AL10" s="73"/>
      <c r="AP10" s="23" t="s">
        <v>100</v>
      </c>
      <c r="AR10" s="23" t="s">
        <v>209</v>
      </c>
      <c r="AV10" s="23" t="s">
        <v>106</v>
      </c>
      <c r="AX10" s="24">
        <v>138</v>
      </c>
      <c r="AY10" s="25">
        <v>25</v>
      </c>
      <c r="AZ10" s="25">
        <v>138</v>
      </c>
      <c r="BA10" s="26">
        <v>22</v>
      </c>
    </row>
    <row r="11" spans="1:53" x14ac:dyDescent="0.15">
      <c r="A11" s="53" t="s">
        <v>41</v>
      </c>
      <c r="B11" s="53" t="s">
        <v>157</v>
      </c>
      <c r="C11" s="62">
        <v>2019</v>
      </c>
      <c r="D11" s="63" t="s">
        <v>184</v>
      </c>
      <c r="E11" s="53" t="s">
        <v>133</v>
      </c>
      <c r="F11" s="53" t="s">
        <v>185</v>
      </c>
      <c r="G11" s="53" t="s">
        <v>42</v>
      </c>
      <c r="H11" s="53" t="s">
        <v>160</v>
      </c>
      <c r="I11" s="53" t="s">
        <v>159</v>
      </c>
      <c r="J11" s="53" t="s">
        <v>38</v>
      </c>
      <c r="K11" s="53" t="s">
        <v>161</v>
      </c>
      <c r="L11" s="53">
        <v>1</v>
      </c>
      <c r="N11" s="53">
        <v>16</v>
      </c>
      <c r="O11" s="53">
        <v>0.35</v>
      </c>
      <c r="P11" s="53">
        <v>0.4</v>
      </c>
      <c r="Q11" s="16">
        <f t="shared" si="0"/>
        <v>0.375</v>
      </c>
      <c r="R11" s="53">
        <v>17.8</v>
      </c>
      <c r="S11" s="53">
        <v>110</v>
      </c>
      <c r="T11" s="16">
        <f t="shared" si="1"/>
        <v>33</v>
      </c>
      <c r="U11" s="53">
        <v>1382</v>
      </c>
      <c r="V11" s="16">
        <f t="shared" si="2"/>
        <v>2850.375</v>
      </c>
      <c r="W11" s="53">
        <v>6</v>
      </c>
      <c r="X11" s="53" t="s">
        <v>46</v>
      </c>
      <c r="Y11" s="53" t="s">
        <v>55</v>
      </c>
      <c r="Z11" s="53" t="s">
        <v>69</v>
      </c>
      <c r="AA11" s="53" t="s">
        <v>78</v>
      </c>
      <c r="AB11" s="53" t="s">
        <v>158</v>
      </c>
      <c r="AE11" s="22" t="s">
        <v>68</v>
      </c>
      <c r="AG11" s="71" t="s">
        <v>210</v>
      </c>
      <c r="AH11" s="71" t="s">
        <v>211</v>
      </c>
      <c r="AL11" s="73"/>
      <c r="AP11" s="23" t="s">
        <v>104</v>
      </c>
      <c r="AR11" s="23" t="s">
        <v>212</v>
      </c>
      <c r="AV11" s="23" t="s">
        <v>69</v>
      </c>
      <c r="AX11" s="24">
        <v>151</v>
      </c>
      <c r="AY11" s="25">
        <v>22</v>
      </c>
      <c r="AZ11" s="25">
        <v>152</v>
      </c>
      <c r="BA11" s="26">
        <v>18</v>
      </c>
    </row>
    <row r="12" spans="1:53" x14ac:dyDescent="0.15">
      <c r="A12" s="53" t="s">
        <v>41</v>
      </c>
      <c r="B12" s="53" t="s">
        <v>157</v>
      </c>
      <c r="C12" s="62">
        <v>2019</v>
      </c>
      <c r="D12" s="63" t="s">
        <v>184</v>
      </c>
      <c r="E12" s="53" t="s">
        <v>133</v>
      </c>
      <c r="F12" s="53" t="s">
        <v>185</v>
      </c>
      <c r="G12" s="53" t="s">
        <v>42</v>
      </c>
      <c r="H12" s="53" t="s">
        <v>160</v>
      </c>
      <c r="I12" s="53" t="s">
        <v>159</v>
      </c>
      <c r="J12" s="53" t="s">
        <v>38</v>
      </c>
      <c r="K12" s="53" t="s">
        <v>161</v>
      </c>
      <c r="L12" s="53">
        <v>2</v>
      </c>
      <c r="N12" s="53">
        <v>16</v>
      </c>
      <c r="O12" s="53">
        <v>0.65</v>
      </c>
      <c r="P12" s="53">
        <v>0.55000000000000004</v>
      </c>
      <c r="Q12" s="16">
        <f t="shared" si="0"/>
        <v>0.60000000000000009</v>
      </c>
      <c r="R12" s="53">
        <v>14.1</v>
      </c>
      <c r="S12" s="53">
        <v>110</v>
      </c>
      <c r="T12" s="16">
        <f t="shared" si="1"/>
        <v>33</v>
      </c>
      <c r="U12" s="53">
        <v>1382</v>
      </c>
      <c r="V12" s="16">
        <f t="shared" si="2"/>
        <v>2850.375</v>
      </c>
      <c r="W12" s="53">
        <v>6</v>
      </c>
      <c r="X12" s="53" t="s">
        <v>46</v>
      </c>
      <c r="Y12" s="53" t="s">
        <v>55</v>
      </c>
      <c r="Z12" s="53" t="s">
        <v>69</v>
      </c>
      <c r="AA12" s="53" t="s">
        <v>78</v>
      </c>
      <c r="AB12" s="53" t="s">
        <v>158</v>
      </c>
      <c r="AE12" s="22" t="s">
        <v>213</v>
      </c>
      <c r="AG12" s="22"/>
      <c r="AH12" s="22"/>
      <c r="AL12" s="73"/>
      <c r="AP12" s="23" t="s">
        <v>67</v>
      </c>
      <c r="AR12" s="23" t="s">
        <v>214</v>
      </c>
      <c r="AV12" s="23" t="s">
        <v>72</v>
      </c>
      <c r="AX12" s="31">
        <v>180</v>
      </c>
      <c r="AY12" s="32">
        <v>18</v>
      </c>
      <c r="AZ12" s="32">
        <v>181</v>
      </c>
      <c r="BA12" s="33">
        <v>16</v>
      </c>
    </row>
    <row r="13" spans="1:53" x14ac:dyDescent="0.15">
      <c r="A13" s="53" t="s">
        <v>41</v>
      </c>
      <c r="B13" s="53" t="s">
        <v>157</v>
      </c>
      <c r="C13" s="62">
        <v>2019</v>
      </c>
      <c r="D13" s="63" t="s">
        <v>184</v>
      </c>
      <c r="E13" s="53" t="s">
        <v>133</v>
      </c>
      <c r="F13" s="53" t="s">
        <v>185</v>
      </c>
      <c r="G13" s="53" t="s">
        <v>42</v>
      </c>
      <c r="H13" s="53" t="s">
        <v>160</v>
      </c>
      <c r="I13" s="53" t="s">
        <v>159</v>
      </c>
      <c r="J13" s="53" t="s">
        <v>38</v>
      </c>
      <c r="K13" s="53" t="s">
        <v>161</v>
      </c>
      <c r="L13" s="53">
        <v>3</v>
      </c>
      <c r="N13" s="53">
        <v>16</v>
      </c>
      <c r="O13" s="53">
        <v>0.5</v>
      </c>
      <c r="P13" s="53">
        <v>0.45</v>
      </c>
      <c r="Q13" s="16">
        <f t="shared" si="0"/>
        <v>0.47499999999999998</v>
      </c>
      <c r="R13" s="53">
        <v>15.1</v>
      </c>
      <c r="S13" s="53">
        <v>114</v>
      </c>
      <c r="T13" s="16">
        <f t="shared" si="1"/>
        <v>30</v>
      </c>
      <c r="U13" s="53">
        <v>1382</v>
      </c>
      <c r="V13" s="16">
        <f t="shared" si="2"/>
        <v>2591.25</v>
      </c>
      <c r="W13" s="53">
        <v>6</v>
      </c>
      <c r="X13" s="53" t="s">
        <v>46</v>
      </c>
      <c r="Y13" s="53" t="s">
        <v>55</v>
      </c>
      <c r="Z13" s="53" t="s">
        <v>69</v>
      </c>
      <c r="AA13" s="53" t="s">
        <v>78</v>
      </c>
      <c r="AB13" s="53" t="s">
        <v>158</v>
      </c>
      <c r="AE13" s="22" t="s">
        <v>215</v>
      </c>
      <c r="AG13" s="23"/>
      <c r="AH13" s="23"/>
      <c r="AP13" s="23" t="s">
        <v>71</v>
      </c>
      <c r="AR13" s="23" t="s">
        <v>207</v>
      </c>
      <c r="AV13" s="23" t="s">
        <v>75</v>
      </c>
    </row>
    <row r="14" spans="1:53" x14ac:dyDescent="0.15">
      <c r="A14" s="53" t="s">
        <v>41</v>
      </c>
      <c r="B14" s="53" t="s">
        <v>157</v>
      </c>
      <c r="C14" s="62">
        <v>2019</v>
      </c>
      <c r="D14" s="63" t="s">
        <v>184</v>
      </c>
      <c r="E14" s="53" t="s">
        <v>133</v>
      </c>
      <c r="F14" s="53" t="s">
        <v>185</v>
      </c>
      <c r="G14" s="53" t="s">
        <v>42</v>
      </c>
      <c r="H14" s="53" t="s">
        <v>160</v>
      </c>
      <c r="I14" s="53" t="s">
        <v>159</v>
      </c>
      <c r="J14" s="53" t="s">
        <v>38</v>
      </c>
      <c r="K14" s="53" t="s">
        <v>161</v>
      </c>
      <c r="L14" s="53">
        <v>1</v>
      </c>
      <c r="N14" s="53">
        <v>8</v>
      </c>
      <c r="O14" s="53">
        <v>0.45</v>
      </c>
      <c r="P14" s="53">
        <v>0.5</v>
      </c>
      <c r="Q14" s="74">
        <f t="shared" si="0"/>
        <v>0.47499999999999998</v>
      </c>
      <c r="R14" s="53">
        <v>14.9</v>
      </c>
      <c r="S14" s="53">
        <v>118</v>
      </c>
      <c r="T14" s="16">
        <f t="shared" si="1"/>
        <v>30</v>
      </c>
      <c r="U14" s="53">
        <v>753</v>
      </c>
      <c r="V14" s="16">
        <f t="shared" si="2"/>
        <v>2823.75</v>
      </c>
      <c r="W14" s="53">
        <v>4</v>
      </c>
      <c r="X14" s="53" t="s">
        <v>46</v>
      </c>
      <c r="Y14" s="53" t="s">
        <v>55</v>
      </c>
      <c r="Z14" s="53" t="s">
        <v>69</v>
      </c>
      <c r="AA14" s="53" t="s">
        <v>78</v>
      </c>
      <c r="AB14" s="53" t="s">
        <v>158</v>
      </c>
      <c r="AE14" s="22" t="s">
        <v>96</v>
      </c>
      <c r="AG14" s="23"/>
      <c r="AH14" s="23"/>
      <c r="AP14" s="23" t="s">
        <v>74</v>
      </c>
      <c r="AR14" s="23" t="s">
        <v>216</v>
      </c>
      <c r="AV14" s="23" t="s">
        <v>78</v>
      </c>
    </row>
    <row r="15" spans="1:53" x14ac:dyDescent="0.15">
      <c r="A15" s="53" t="s">
        <v>41</v>
      </c>
      <c r="B15" s="53" t="s">
        <v>157</v>
      </c>
      <c r="C15" s="62">
        <v>2019</v>
      </c>
      <c r="D15" s="63" t="s">
        <v>184</v>
      </c>
      <c r="E15" s="53" t="s">
        <v>133</v>
      </c>
      <c r="F15" s="53" t="s">
        <v>185</v>
      </c>
      <c r="G15" s="53" t="s">
        <v>42</v>
      </c>
      <c r="H15" s="53" t="s">
        <v>160</v>
      </c>
      <c r="I15" s="53" t="s">
        <v>159</v>
      </c>
      <c r="J15" s="53" t="s">
        <v>38</v>
      </c>
      <c r="K15" s="53" t="s">
        <v>161</v>
      </c>
      <c r="L15" s="53">
        <v>2</v>
      </c>
      <c r="N15" s="53">
        <v>8</v>
      </c>
      <c r="O15" s="53">
        <v>0.5</v>
      </c>
      <c r="P15" s="53">
        <v>0.65</v>
      </c>
      <c r="Q15" s="74">
        <f t="shared" si="0"/>
        <v>0.57499999999999996</v>
      </c>
      <c r="R15" s="53">
        <v>13.3</v>
      </c>
      <c r="S15" s="53">
        <v>120</v>
      </c>
      <c r="T15" s="16">
        <f t="shared" si="1"/>
        <v>30</v>
      </c>
      <c r="U15" s="53">
        <v>753</v>
      </c>
      <c r="V15" s="16">
        <f t="shared" si="2"/>
        <v>2823.75</v>
      </c>
      <c r="W15" s="53">
        <v>4</v>
      </c>
      <c r="X15" s="53" t="s">
        <v>46</v>
      </c>
      <c r="Y15" s="53" t="s">
        <v>55</v>
      </c>
      <c r="Z15" s="53" t="s">
        <v>69</v>
      </c>
      <c r="AA15" s="53" t="s">
        <v>78</v>
      </c>
      <c r="AB15" s="53" t="s">
        <v>158</v>
      </c>
      <c r="AE15" s="22" t="s">
        <v>217</v>
      </c>
      <c r="AG15" s="23"/>
      <c r="AH15" s="23"/>
      <c r="AP15" s="23" t="s">
        <v>77</v>
      </c>
      <c r="AR15" s="23" t="s">
        <v>80</v>
      </c>
      <c r="AV15" s="23" t="s">
        <v>107</v>
      </c>
    </row>
    <row r="16" spans="1:53" x14ac:dyDescent="0.15">
      <c r="A16" s="53" t="s">
        <v>41</v>
      </c>
      <c r="B16" s="53" t="s">
        <v>157</v>
      </c>
      <c r="C16" s="62">
        <v>2019</v>
      </c>
      <c r="D16" s="63" t="s">
        <v>184</v>
      </c>
      <c r="E16" s="53" t="s">
        <v>133</v>
      </c>
      <c r="F16" s="53" t="s">
        <v>185</v>
      </c>
      <c r="G16" s="53" t="s">
        <v>42</v>
      </c>
      <c r="H16" s="53" t="s">
        <v>160</v>
      </c>
      <c r="I16" s="53" t="s">
        <v>159</v>
      </c>
      <c r="J16" s="53" t="s">
        <v>38</v>
      </c>
      <c r="K16" s="53" t="s">
        <v>161</v>
      </c>
      <c r="L16" s="53">
        <v>3</v>
      </c>
      <c r="N16" s="53">
        <v>8</v>
      </c>
      <c r="O16" s="53">
        <v>0.25</v>
      </c>
      <c r="P16" s="53">
        <v>0.4</v>
      </c>
      <c r="Q16" s="74">
        <f t="shared" si="0"/>
        <v>0.32500000000000001</v>
      </c>
      <c r="R16" s="53">
        <v>12.8</v>
      </c>
      <c r="S16" s="53">
        <v>115</v>
      </c>
      <c r="T16" s="16">
        <f t="shared" si="1"/>
        <v>30</v>
      </c>
      <c r="U16" s="53">
        <v>753</v>
      </c>
      <c r="V16" s="16">
        <f t="shared" si="2"/>
        <v>2823.75</v>
      </c>
      <c r="W16" s="53">
        <v>4</v>
      </c>
      <c r="X16" s="53" t="s">
        <v>46</v>
      </c>
      <c r="Y16" s="53" t="s">
        <v>55</v>
      </c>
      <c r="Z16" s="53" t="s">
        <v>69</v>
      </c>
      <c r="AA16" s="53" t="s">
        <v>78</v>
      </c>
      <c r="AB16" s="53" t="s">
        <v>158</v>
      </c>
      <c r="AE16" s="22" t="s">
        <v>218</v>
      </c>
      <c r="AG16" s="28"/>
      <c r="AH16" s="28"/>
      <c r="AP16" s="23" t="s">
        <v>80</v>
      </c>
      <c r="AR16" s="23" t="s">
        <v>63</v>
      </c>
      <c r="AV16" s="23" t="s">
        <v>84</v>
      </c>
    </row>
    <row r="17" spans="1:48" x14ac:dyDescent="0.15">
      <c r="A17" s="53" t="s">
        <v>41</v>
      </c>
      <c r="B17" s="53" t="s">
        <v>157</v>
      </c>
      <c r="C17" s="62">
        <v>2019</v>
      </c>
      <c r="D17" s="63" t="s">
        <v>184</v>
      </c>
      <c r="E17" s="53" t="s">
        <v>133</v>
      </c>
      <c r="F17" s="53" t="s">
        <v>185</v>
      </c>
      <c r="G17" s="53" t="s">
        <v>42</v>
      </c>
      <c r="H17" s="53" t="s">
        <v>164</v>
      </c>
      <c r="I17" s="53" t="s">
        <v>159</v>
      </c>
      <c r="J17" s="53" t="s">
        <v>38</v>
      </c>
      <c r="K17" s="53" t="s">
        <v>161</v>
      </c>
      <c r="L17" s="53">
        <v>1</v>
      </c>
      <c r="N17" s="53">
        <v>15</v>
      </c>
      <c r="O17" s="53">
        <v>1.2</v>
      </c>
      <c r="P17" s="53">
        <v>1.35</v>
      </c>
      <c r="Q17" s="75">
        <f t="shared" si="0"/>
        <v>1.2749999999999999</v>
      </c>
      <c r="R17" s="53">
        <v>11.9</v>
      </c>
      <c r="S17" s="53">
        <v>114</v>
      </c>
      <c r="T17" s="16">
        <f t="shared" si="1"/>
        <v>30</v>
      </c>
      <c r="U17" s="53">
        <v>950</v>
      </c>
      <c r="V17" s="16">
        <f t="shared" si="2"/>
        <v>1900</v>
      </c>
      <c r="W17" s="53">
        <v>6</v>
      </c>
      <c r="X17" s="53" t="s">
        <v>46</v>
      </c>
      <c r="Y17" s="53" t="s">
        <v>55</v>
      </c>
      <c r="Z17" s="53" t="s">
        <v>69</v>
      </c>
      <c r="AA17" s="53" t="s">
        <v>78</v>
      </c>
      <c r="AB17" s="53" t="s">
        <v>158</v>
      </c>
      <c r="AE17" s="22" t="s">
        <v>219</v>
      </c>
      <c r="AP17" s="27" t="s">
        <v>220</v>
      </c>
      <c r="AR17" s="23" t="s">
        <v>96</v>
      </c>
      <c r="AV17" s="23" t="s">
        <v>86</v>
      </c>
    </row>
    <row r="18" spans="1:48" x14ac:dyDescent="0.15">
      <c r="A18" s="53" t="s">
        <v>41</v>
      </c>
      <c r="B18" s="53" t="s">
        <v>157</v>
      </c>
      <c r="C18" s="62">
        <v>2019</v>
      </c>
      <c r="D18" s="63" t="s">
        <v>184</v>
      </c>
      <c r="E18" s="53" t="s">
        <v>133</v>
      </c>
      <c r="F18" s="53" t="s">
        <v>185</v>
      </c>
      <c r="G18" s="53" t="s">
        <v>42</v>
      </c>
      <c r="H18" s="53" t="s">
        <v>164</v>
      </c>
      <c r="I18" s="53" t="s">
        <v>159</v>
      </c>
      <c r="J18" s="53" t="s">
        <v>38</v>
      </c>
      <c r="K18" s="53" t="s">
        <v>161</v>
      </c>
      <c r="L18" s="53">
        <v>2</v>
      </c>
      <c r="N18" s="53">
        <v>15</v>
      </c>
      <c r="O18" s="53">
        <v>0.95</v>
      </c>
      <c r="P18" s="53">
        <v>0.9</v>
      </c>
      <c r="Q18" s="75">
        <f t="shared" si="0"/>
        <v>0.92500000000000004</v>
      </c>
      <c r="R18" s="53">
        <v>14.5</v>
      </c>
      <c r="S18" s="53">
        <v>110</v>
      </c>
      <c r="T18" s="16">
        <f t="shared" si="1"/>
        <v>33</v>
      </c>
      <c r="U18" s="53">
        <v>950</v>
      </c>
      <c r="V18" s="16">
        <f t="shared" si="2"/>
        <v>2090</v>
      </c>
      <c r="W18" s="53">
        <v>6</v>
      </c>
      <c r="X18" s="53" t="s">
        <v>46</v>
      </c>
      <c r="Y18" s="53" t="s">
        <v>55</v>
      </c>
      <c r="Z18" s="53" t="s">
        <v>69</v>
      </c>
      <c r="AA18" s="53" t="s">
        <v>78</v>
      </c>
      <c r="AB18" s="53" t="s">
        <v>158</v>
      </c>
      <c r="AE18" s="22" t="s">
        <v>212</v>
      </c>
      <c r="AP18" s="27" t="s">
        <v>221</v>
      </c>
      <c r="AR18" s="23" t="s">
        <v>101</v>
      </c>
      <c r="AV18" s="23" t="s">
        <v>88</v>
      </c>
    </row>
    <row r="19" spans="1:48" x14ac:dyDescent="0.15">
      <c r="A19" s="53" t="s">
        <v>41</v>
      </c>
      <c r="B19" s="53" t="s">
        <v>157</v>
      </c>
      <c r="C19" s="62">
        <v>2019</v>
      </c>
      <c r="D19" s="63" t="s">
        <v>184</v>
      </c>
      <c r="E19" s="53" t="s">
        <v>133</v>
      </c>
      <c r="F19" s="53" t="s">
        <v>185</v>
      </c>
      <c r="G19" s="53" t="s">
        <v>42</v>
      </c>
      <c r="H19" s="53" t="s">
        <v>164</v>
      </c>
      <c r="I19" s="53" t="s">
        <v>159</v>
      </c>
      <c r="J19" s="53" t="s">
        <v>38</v>
      </c>
      <c r="K19" s="53" t="s">
        <v>161</v>
      </c>
      <c r="L19" s="53">
        <v>3</v>
      </c>
      <c r="N19" s="53">
        <v>15</v>
      </c>
      <c r="O19" s="53">
        <v>1.05</v>
      </c>
      <c r="P19" s="53">
        <v>1.2</v>
      </c>
      <c r="Q19" s="75">
        <f t="shared" si="0"/>
        <v>1.125</v>
      </c>
      <c r="R19" s="53">
        <v>14.3</v>
      </c>
      <c r="S19" s="53">
        <v>112</v>
      </c>
      <c r="T19" s="16">
        <f t="shared" si="1"/>
        <v>33</v>
      </c>
      <c r="U19" s="53">
        <v>950</v>
      </c>
      <c r="V19" s="16">
        <f t="shared" si="2"/>
        <v>2090</v>
      </c>
      <c r="W19" s="53">
        <v>6</v>
      </c>
      <c r="X19" s="53" t="s">
        <v>46</v>
      </c>
      <c r="Y19" s="53" t="s">
        <v>55</v>
      </c>
      <c r="Z19" s="53" t="s">
        <v>69</v>
      </c>
      <c r="AA19" s="53" t="s">
        <v>78</v>
      </c>
      <c r="AB19" s="53" t="s">
        <v>158</v>
      </c>
      <c r="AE19" s="35" t="s">
        <v>206</v>
      </c>
      <c r="AP19" s="27" t="s">
        <v>222</v>
      </c>
      <c r="AR19" s="23" t="s">
        <v>223</v>
      </c>
      <c r="AV19" s="23" t="s">
        <v>90</v>
      </c>
    </row>
    <row r="20" spans="1:48" x14ac:dyDescent="0.15">
      <c r="A20" s="53" t="s">
        <v>41</v>
      </c>
      <c r="B20" s="53" t="s">
        <v>157</v>
      </c>
      <c r="C20" s="62">
        <v>2019</v>
      </c>
      <c r="D20" s="63" t="s">
        <v>184</v>
      </c>
      <c r="E20" s="53" t="s">
        <v>188</v>
      </c>
      <c r="F20" s="53" t="s">
        <v>185</v>
      </c>
      <c r="G20" s="53" t="s">
        <v>42</v>
      </c>
      <c r="H20" s="53" t="s">
        <v>160</v>
      </c>
      <c r="I20" s="53" t="s">
        <v>159</v>
      </c>
      <c r="J20" s="53" t="s">
        <v>38</v>
      </c>
      <c r="K20" s="53" t="s">
        <v>161</v>
      </c>
      <c r="L20" s="53">
        <v>1</v>
      </c>
      <c r="N20" s="53">
        <v>1</v>
      </c>
      <c r="O20" s="53">
        <v>0.65</v>
      </c>
      <c r="P20" s="73">
        <v>0.45</v>
      </c>
      <c r="Q20" s="75">
        <f t="shared" si="0"/>
        <v>0.55000000000000004</v>
      </c>
      <c r="R20" s="53">
        <v>15.9</v>
      </c>
      <c r="S20" s="53">
        <v>128</v>
      </c>
      <c r="T20" s="16">
        <f t="shared" si="1"/>
        <v>27</v>
      </c>
      <c r="U20" s="53">
        <v>149</v>
      </c>
      <c r="V20" s="16">
        <f t="shared" si="2"/>
        <v>4023</v>
      </c>
      <c r="W20" s="53">
        <v>2</v>
      </c>
      <c r="X20" s="53" t="s">
        <v>46</v>
      </c>
      <c r="Y20" s="53" t="s">
        <v>55</v>
      </c>
      <c r="Z20" s="53" t="s">
        <v>69</v>
      </c>
      <c r="AA20" s="53" t="s">
        <v>78</v>
      </c>
      <c r="AB20" s="53" t="s">
        <v>158</v>
      </c>
      <c r="AE20" s="35"/>
      <c r="AP20" s="27" t="s">
        <v>224</v>
      </c>
      <c r="AR20" s="23" t="s">
        <v>105</v>
      </c>
      <c r="AV20" s="27" t="s">
        <v>225</v>
      </c>
    </row>
    <row r="21" spans="1:48" x14ac:dyDescent="0.15">
      <c r="A21" s="53" t="s">
        <v>41</v>
      </c>
      <c r="B21" s="53" t="s">
        <v>157</v>
      </c>
      <c r="C21" s="62">
        <v>2019</v>
      </c>
      <c r="D21" s="63" t="s">
        <v>184</v>
      </c>
      <c r="E21" s="53" t="s">
        <v>188</v>
      </c>
      <c r="F21" s="53" t="s">
        <v>185</v>
      </c>
      <c r="G21" s="53" t="s">
        <v>42</v>
      </c>
      <c r="H21" s="53" t="s">
        <v>160</v>
      </c>
      <c r="I21" s="53" t="s">
        <v>159</v>
      </c>
      <c r="J21" s="53" t="s">
        <v>38</v>
      </c>
      <c r="K21" s="53" t="s">
        <v>161</v>
      </c>
      <c r="L21" s="53">
        <v>2</v>
      </c>
      <c r="N21" s="53">
        <v>1</v>
      </c>
      <c r="O21" s="53">
        <v>0.45</v>
      </c>
      <c r="P21" s="53">
        <v>0.55000000000000004</v>
      </c>
      <c r="Q21" s="75">
        <f t="shared" si="0"/>
        <v>0.5</v>
      </c>
      <c r="R21" s="53">
        <v>15.1</v>
      </c>
      <c r="S21" s="53">
        <v>125</v>
      </c>
      <c r="T21" s="16">
        <f t="shared" si="1"/>
        <v>27</v>
      </c>
      <c r="U21" s="53">
        <v>149</v>
      </c>
      <c r="V21" s="16">
        <f t="shared" si="2"/>
        <v>4023</v>
      </c>
      <c r="W21" s="53">
        <v>2</v>
      </c>
      <c r="X21" s="53" t="s">
        <v>46</v>
      </c>
      <c r="Y21" s="53" t="s">
        <v>55</v>
      </c>
      <c r="Z21" s="53" t="s">
        <v>69</v>
      </c>
      <c r="AA21" s="53" t="s">
        <v>78</v>
      </c>
      <c r="AB21" s="53" t="s">
        <v>158</v>
      </c>
      <c r="AE21" s="28"/>
      <c r="AP21" s="27" t="s">
        <v>226</v>
      </c>
      <c r="AR21" s="23" t="s">
        <v>68</v>
      </c>
      <c r="AV21" s="27" t="s">
        <v>227</v>
      </c>
    </row>
    <row r="22" spans="1:48" x14ac:dyDescent="0.15">
      <c r="A22" s="53" t="s">
        <v>41</v>
      </c>
      <c r="B22" s="53" t="s">
        <v>157</v>
      </c>
      <c r="C22" s="62">
        <v>2019</v>
      </c>
      <c r="D22" s="63" t="s">
        <v>184</v>
      </c>
      <c r="E22" s="53" t="s">
        <v>188</v>
      </c>
      <c r="F22" s="53" t="s">
        <v>185</v>
      </c>
      <c r="G22" s="53" t="s">
        <v>42</v>
      </c>
      <c r="H22" s="53" t="s">
        <v>160</v>
      </c>
      <c r="I22" s="53" t="s">
        <v>159</v>
      </c>
      <c r="J22" s="53" t="s">
        <v>38</v>
      </c>
      <c r="K22" s="53" t="s">
        <v>161</v>
      </c>
      <c r="L22" s="53">
        <v>3</v>
      </c>
      <c r="N22" s="53">
        <v>1</v>
      </c>
      <c r="O22" s="53">
        <v>0.35</v>
      </c>
      <c r="P22" s="53">
        <v>0.35</v>
      </c>
      <c r="Q22" s="75">
        <f t="shared" si="0"/>
        <v>0.35</v>
      </c>
      <c r="R22" s="53">
        <v>16.399999999999999</v>
      </c>
      <c r="S22" s="53">
        <v>123</v>
      </c>
      <c r="T22" s="16">
        <f t="shared" si="1"/>
        <v>27</v>
      </c>
      <c r="U22" s="53">
        <v>149</v>
      </c>
      <c r="V22" s="16">
        <f t="shared" si="2"/>
        <v>4023</v>
      </c>
      <c r="W22" s="53">
        <v>2</v>
      </c>
      <c r="X22" s="53" t="s">
        <v>46</v>
      </c>
      <c r="Y22" s="53" t="s">
        <v>55</v>
      </c>
      <c r="Z22" s="53" t="s">
        <v>69</v>
      </c>
      <c r="AA22" s="53" t="s">
        <v>78</v>
      </c>
      <c r="AB22" s="53" t="s">
        <v>158</v>
      </c>
      <c r="AP22" s="27" t="s">
        <v>228</v>
      </c>
      <c r="AR22" s="23" t="s">
        <v>83</v>
      </c>
      <c r="AV22" s="27"/>
    </row>
    <row r="23" spans="1:48" x14ac:dyDescent="0.15">
      <c r="A23" s="53" t="s">
        <v>41</v>
      </c>
      <c r="B23" s="53" t="s">
        <v>157</v>
      </c>
      <c r="C23" s="62">
        <v>2019</v>
      </c>
      <c r="D23" s="63" t="s">
        <v>184</v>
      </c>
      <c r="E23" s="53" t="s">
        <v>188</v>
      </c>
      <c r="F23" s="53" t="s">
        <v>185</v>
      </c>
      <c r="G23" s="53" t="s">
        <v>42</v>
      </c>
      <c r="H23" s="53" t="s">
        <v>160</v>
      </c>
      <c r="I23" s="53" t="s">
        <v>159</v>
      </c>
      <c r="J23" s="53" t="s">
        <v>38</v>
      </c>
      <c r="K23" s="53" t="s">
        <v>161</v>
      </c>
      <c r="L23" s="53">
        <v>1</v>
      </c>
      <c r="N23" s="53">
        <v>4</v>
      </c>
      <c r="O23" s="53">
        <v>0.65</v>
      </c>
      <c r="P23" s="53">
        <v>0.75</v>
      </c>
      <c r="Q23" s="75">
        <f t="shared" si="0"/>
        <v>0.7</v>
      </c>
      <c r="R23" s="53">
        <v>17.399999999999999</v>
      </c>
      <c r="S23" s="53">
        <v>115</v>
      </c>
      <c r="T23" s="16">
        <f t="shared" si="1"/>
        <v>30</v>
      </c>
      <c r="U23" s="53">
        <v>429</v>
      </c>
      <c r="V23" s="16">
        <f t="shared" si="2"/>
        <v>3217.5</v>
      </c>
      <c r="W23" s="53">
        <v>2</v>
      </c>
      <c r="X23" s="53" t="s">
        <v>46</v>
      </c>
      <c r="Y23" s="53" t="s">
        <v>55</v>
      </c>
      <c r="Z23" s="53" t="s">
        <v>69</v>
      </c>
      <c r="AA23" s="53" t="s">
        <v>78</v>
      </c>
      <c r="AB23" s="53" t="s">
        <v>158</v>
      </c>
      <c r="AP23" s="27" t="s">
        <v>229</v>
      </c>
      <c r="AR23" s="28" t="s">
        <v>230</v>
      </c>
      <c r="AV23" s="28"/>
    </row>
    <row r="24" spans="1:48" x14ac:dyDescent="0.15">
      <c r="A24" s="53" t="s">
        <v>41</v>
      </c>
      <c r="B24" s="53" t="s">
        <v>157</v>
      </c>
      <c r="C24" s="62">
        <v>2019</v>
      </c>
      <c r="D24" s="63" t="s">
        <v>184</v>
      </c>
      <c r="E24" s="53" t="s">
        <v>188</v>
      </c>
      <c r="F24" s="53" t="s">
        <v>185</v>
      </c>
      <c r="G24" s="53" t="s">
        <v>42</v>
      </c>
      <c r="H24" s="53" t="s">
        <v>160</v>
      </c>
      <c r="I24" s="53" t="s">
        <v>159</v>
      </c>
      <c r="J24" s="53" t="s">
        <v>38</v>
      </c>
      <c r="K24" s="53" t="s">
        <v>161</v>
      </c>
      <c r="L24" s="53">
        <v>2</v>
      </c>
      <c r="N24" s="53">
        <v>4</v>
      </c>
      <c r="O24" s="53">
        <v>0.75</v>
      </c>
      <c r="P24" s="53">
        <v>0.6</v>
      </c>
      <c r="Q24" s="74">
        <f t="shared" si="0"/>
        <v>0.67500000000000004</v>
      </c>
      <c r="R24" s="53">
        <v>12.8</v>
      </c>
      <c r="S24" s="53">
        <v>120</v>
      </c>
      <c r="T24" s="16">
        <f t="shared" si="1"/>
        <v>30</v>
      </c>
      <c r="U24" s="53">
        <v>429</v>
      </c>
      <c r="V24" s="16">
        <f t="shared" si="2"/>
        <v>3217.5</v>
      </c>
      <c r="W24" s="53">
        <v>2</v>
      </c>
      <c r="X24" s="53" t="s">
        <v>46</v>
      </c>
      <c r="Y24" s="53" t="s">
        <v>55</v>
      </c>
      <c r="Z24" s="53" t="s">
        <v>69</v>
      </c>
      <c r="AA24" s="53" t="s">
        <v>78</v>
      </c>
      <c r="AB24" s="53" t="s">
        <v>158</v>
      </c>
      <c r="AP24" s="27" t="s">
        <v>231</v>
      </c>
    </row>
    <row r="25" spans="1:48" x14ac:dyDescent="0.15">
      <c r="A25" s="53" t="s">
        <v>41</v>
      </c>
      <c r="B25" s="53" t="s">
        <v>157</v>
      </c>
      <c r="C25" s="62">
        <v>2019</v>
      </c>
      <c r="D25" s="63" t="s">
        <v>184</v>
      </c>
      <c r="E25" s="53" t="s">
        <v>188</v>
      </c>
      <c r="F25" s="53" t="s">
        <v>185</v>
      </c>
      <c r="G25" s="53" t="s">
        <v>42</v>
      </c>
      <c r="H25" s="53" t="s">
        <v>160</v>
      </c>
      <c r="I25" s="53" t="s">
        <v>159</v>
      </c>
      <c r="J25" s="53" t="s">
        <v>38</v>
      </c>
      <c r="K25" s="53" t="s">
        <v>161</v>
      </c>
      <c r="L25" s="53">
        <v>3</v>
      </c>
      <c r="N25" s="53">
        <v>4</v>
      </c>
      <c r="O25" s="53">
        <v>0.6</v>
      </c>
      <c r="P25" s="53">
        <v>0.45</v>
      </c>
      <c r="Q25" s="74">
        <f t="shared" si="0"/>
        <v>0.52500000000000002</v>
      </c>
      <c r="R25" s="53">
        <v>13.5</v>
      </c>
      <c r="S25" s="53">
        <v>118</v>
      </c>
      <c r="T25" s="16">
        <f t="shared" si="1"/>
        <v>30</v>
      </c>
      <c r="U25" s="53">
        <v>429</v>
      </c>
      <c r="V25" s="16">
        <f t="shared" si="2"/>
        <v>3217.5</v>
      </c>
      <c r="W25" s="53">
        <v>2</v>
      </c>
      <c r="X25" s="53" t="s">
        <v>46</v>
      </c>
      <c r="Y25" s="53" t="s">
        <v>55</v>
      </c>
      <c r="Z25" s="53" t="s">
        <v>69</v>
      </c>
      <c r="AA25" s="53" t="s">
        <v>78</v>
      </c>
      <c r="AB25" s="53" t="s">
        <v>158</v>
      </c>
    </row>
    <row r="26" spans="1:48" x14ac:dyDescent="0.15">
      <c r="A26" s="53" t="s">
        <v>41</v>
      </c>
      <c r="B26" s="53" t="s">
        <v>157</v>
      </c>
      <c r="C26" s="62">
        <v>2019</v>
      </c>
      <c r="D26" s="63" t="s">
        <v>184</v>
      </c>
      <c r="E26" s="53" t="s">
        <v>188</v>
      </c>
      <c r="F26" s="53" t="s">
        <v>185</v>
      </c>
      <c r="G26" s="53" t="s">
        <v>42</v>
      </c>
      <c r="H26" s="53" t="s">
        <v>160</v>
      </c>
      <c r="I26" s="53" t="s">
        <v>159</v>
      </c>
      <c r="J26" s="53" t="s">
        <v>38</v>
      </c>
      <c r="K26" s="53" t="s">
        <v>161</v>
      </c>
      <c r="L26" s="53">
        <v>1</v>
      </c>
      <c r="N26" s="53">
        <v>6</v>
      </c>
      <c r="O26" s="53">
        <v>0.35</v>
      </c>
      <c r="P26" s="53">
        <v>0.45</v>
      </c>
      <c r="Q26" s="74">
        <f t="shared" si="0"/>
        <v>0.4</v>
      </c>
      <c r="R26" s="53">
        <v>14.4</v>
      </c>
      <c r="S26" s="53">
        <v>122</v>
      </c>
      <c r="T26" s="16">
        <f t="shared" si="1"/>
        <v>27</v>
      </c>
      <c r="U26" s="53">
        <v>626</v>
      </c>
      <c r="V26" s="16">
        <f t="shared" si="2"/>
        <v>2817</v>
      </c>
      <c r="W26" s="53">
        <v>2</v>
      </c>
      <c r="X26" s="53" t="s">
        <v>46</v>
      </c>
      <c r="Y26" s="53" t="s">
        <v>55</v>
      </c>
      <c r="Z26" s="53" t="s">
        <v>69</v>
      </c>
      <c r="AA26" s="53" t="s">
        <v>78</v>
      </c>
      <c r="AB26" s="53" t="s">
        <v>158</v>
      </c>
    </row>
    <row r="27" spans="1:48" x14ac:dyDescent="0.15">
      <c r="A27" s="53" t="s">
        <v>41</v>
      </c>
      <c r="B27" s="53" t="s">
        <v>157</v>
      </c>
      <c r="C27" s="62">
        <v>2019</v>
      </c>
      <c r="D27" s="63" t="s">
        <v>184</v>
      </c>
      <c r="E27" s="53" t="s">
        <v>188</v>
      </c>
      <c r="F27" s="53" t="s">
        <v>185</v>
      </c>
      <c r="G27" s="53" t="s">
        <v>42</v>
      </c>
      <c r="H27" s="53" t="s">
        <v>160</v>
      </c>
      <c r="I27" s="53" t="s">
        <v>159</v>
      </c>
      <c r="J27" s="53" t="s">
        <v>38</v>
      </c>
      <c r="K27" s="53" t="s">
        <v>161</v>
      </c>
      <c r="L27" s="53">
        <v>2</v>
      </c>
      <c r="N27" s="53">
        <v>6</v>
      </c>
      <c r="O27" s="53">
        <v>0.25</v>
      </c>
      <c r="P27" s="53">
        <v>0.35</v>
      </c>
      <c r="Q27" s="74">
        <f t="shared" si="0"/>
        <v>0.3</v>
      </c>
      <c r="R27" s="53">
        <v>15.4</v>
      </c>
      <c r="S27" s="53">
        <v>120</v>
      </c>
      <c r="T27" s="16">
        <f t="shared" si="1"/>
        <v>30</v>
      </c>
      <c r="U27" s="53">
        <v>626</v>
      </c>
      <c r="V27" s="16">
        <f t="shared" si="2"/>
        <v>3130</v>
      </c>
      <c r="W27" s="53">
        <v>2</v>
      </c>
      <c r="X27" s="53" t="s">
        <v>46</v>
      </c>
      <c r="Y27" s="53" t="s">
        <v>55</v>
      </c>
      <c r="Z27" s="53" t="s">
        <v>69</v>
      </c>
      <c r="AA27" s="53" t="s">
        <v>78</v>
      </c>
      <c r="AB27" s="53" t="s">
        <v>158</v>
      </c>
    </row>
    <row r="28" spans="1:48" x14ac:dyDescent="0.15">
      <c r="A28" s="53" t="s">
        <v>41</v>
      </c>
      <c r="B28" s="53" t="s">
        <v>157</v>
      </c>
      <c r="C28" s="62">
        <v>2019</v>
      </c>
      <c r="D28" s="63" t="s">
        <v>184</v>
      </c>
      <c r="E28" s="53" t="s">
        <v>188</v>
      </c>
      <c r="F28" s="53" t="s">
        <v>185</v>
      </c>
      <c r="G28" s="53" t="s">
        <v>42</v>
      </c>
      <c r="H28" s="53" t="s">
        <v>160</v>
      </c>
      <c r="I28" s="53" t="s">
        <v>159</v>
      </c>
      <c r="J28" s="53" t="s">
        <v>38</v>
      </c>
      <c r="K28" s="53" t="s">
        <v>161</v>
      </c>
      <c r="L28" s="53">
        <v>3</v>
      </c>
      <c r="N28" s="53">
        <v>6</v>
      </c>
      <c r="O28" s="53">
        <v>0.35</v>
      </c>
      <c r="P28" s="53">
        <v>0.45</v>
      </c>
      <c r="Q28" s="74">
        <f t="shared" si="0"/>
        <v>0.4</v>
      </c>
      <c r="R28" s="53">
        <v>13.8</v>
      </c>
      <c r="S28" s="53">
        <v>118</v>
      </c>
      <c r="T28" s="16">
        <f t="shared" si="1"/>
        <v>30</v>
      </c>
      <c r="U28" s="53">
        <v>626</v>
      </c>
      <c r="V28" s="16">
        <f t="shared" si="2"/>
        <v>3130</v>
      </c>
      <c r="W28" s="53">
        <v>2</v>
      </c>
      <c r="X28" s="53" t="s">
        <v>46</v>
      </c>
      <c r="Y28" s="53" t="s">
        <v>55</v>
      </c>
      <c r="Z28" s="53" t="s">
        <v>69</v>
      </c>
      <c r="AA28" s="53" t="s">
        <v>78</v>
      </c>
      <c r="AB28" s="53" t="s">
        <v>158</v>
      </c>
    </row>
    <row r="29" spans="1:48" x14ac:dyDescent="0.15">
      <c r="A29" s="53" t="s">
        <v>41</v>
      </c>
      <c r="B29" s="53" t="s">
        <v>157</v>
      </c>
      <c r="C29" s="62">
        <v>2019</v>
      </c>
      <c r="D29" s="63" t="s">
        <v>184</v>
      </c>
      <c r="E29" s="53" t="s">
        <v>188</v>
      </c>
      <c r="F29" s="53" t="s">
        <v>185</v>
      </c>
      <c r="G29" s="53" t="s">
        <v>42</v>
      </c>
      <c r="H29" s="53" t="s">
        <v>164</v>
      </c>
      <c r="I29" s="53" t="s">
        <v>159</v>
      </c>
      <c r="J29" s="53" t="s">
        <v>38</v>
      </c>
      <c r="K29" s="53" t="s">
        <v>161</v>
      </c>
      <c r="L29" s="53">
        <v>1</v>
      </c>
      <c r="N29" s="53">
        <v>1</v>
      </c>
      <c r="O29" s="53">
        <v>0.85</v>
      </c>
      <c r="P29" s="53">
        <v>0.95</v>
      </c>
      <c r="Q29" s="74">
        <f t="shared" si="0"/>
        <v>0.89999999999999991</v>
      </c>
      <c r="R29" s="53">
        <v>12.2</v>
      </c>
      <c r="S29" s="53">
        <v>134</v>
      </c>
      <c r="T29" s="16">
        <f t="shared" si="1"/>
        <v>25</v>
      </c>
      <c r="U29" s="53">
        <v>149</v>
      </c>
      <c r="V29" s="16">
        <f t="shared" si="2"/>
        <v>3725</v>
      </c>
      <c r="W29" s="53">
        <v>2</v>
      </c>
      <c r="X29" s="53" t="s">
        <v>46</v>
      </c>
      <c r="Y29" s="53" t="s">
        <v>55</v>
      </c>
      <c r="Z29" s="53" t="s">
        <v>69</v>
      </c>
      <c r="AA29" s="53" t="s">
        <v>78</v>
      </c>
      <c r="AB29" s="53" t="s">
        <v>158</v>
      </c>
    </row>
    <row r="30" spans="1:48" x14ac:dyDescent="0.15">
      <c r="A30" s="53" t="s">
        <v>41</v>
      </c>
      <c r="B30" s="53" t="s">
        <v>157</v>
      </c>
      <c r="C30" s="62">
        <v>2019</v>
      </c>
      <c r="D30" s="63" t="s">
        <v>184</v>
      </c>
      <c r="E30" s="53" t="s">
        <v>188</v>
      </c>
      <c r="F30" s="53" t="s">
        <v>185</v>
      </c>
      <c r="G30" s="53" t="s">
        <v>42</v>
      </c>
      <c r="H30" s="53" t="s">
        <v>164</v>
      </c>
      <c r="I30" s="53" t="s">
        <v>159</v>
      </c>
      <c r="J30" s="53" t="s">
        <v>38</v>
      </c>
      <c r="K30" s="53" t="s">
        <v>161</v>
      </c>
      <c r="L30" s="53">
        <v>2</v>
      </c>
      <c r="N30" s="53">
        <v>1</v>
      </c>
      <c r="O30" s="53">
        <v>0.9</v>
      </c>
      <c r="P30" s="53">
        <v>1.05</v>
      </c>
      <c r="Q30" s="74">
        <f t="shared" si="0"/>
        <v>0.97500000000000009</v>
      </c>
      <c r="R30" s="53">
        <v>13.8</v>
      </c>
      <c r="S30" s="53">
        <v>129</v>
      </c>
      <c r="T30" s="16">
        <f t="shared" si="1"/>
        <v>25</v>
      </c>
      <c r="U30" s="53">
        <v>149</v>
      </c>
      <c r="V30" s="16">
        <f t="shared" si="2"/>
        <v>3725</v>
      </c>
      <c r="W30" s="53">
        <v>2</v>
      </c>
      <c r="X30" s="53" t="s">
        <v>46</v>
      </c>
      <c r="Y30" s="53" t="s">
        <v>55</v>
      </c>
      <c r="Z30" s="53" t="s">
        <v>69</v>
      </c>
      <c r="AA30" s="53" t="s">
        <v>78</v>
      </c>
      <c r="AB30" s="53" t="s">
        <v>158</v>
      </c>
    </row>
    <row r="31" spans="1:48" x14ac:dyDescent="0.15">
      <c r="A31" s="53" t="s">
        <v>41</v>
      </c>
      <c r="B31" s="53" t="s">
        <v>157</v>
      </c>
      <c r="C31" s="62">
        <v>2019</v>
      </c>
      <c r="D31" s="63" t="s">
        <v>184</v>
      </c>
      <c r="E31" s="53" t="s">
        <v>188</v>
      </c>
      <c r="F31" s="53" t="s">
        <v>185</v>
      </c>
      <c r="G31" s="53" t="s">
        <v>42</v>
      </c>
      <c r="H31" s="53" t="s">
        <v>164</v>
      </c>
      <c r="I31" s="53" t="s">
        <v>159</v>
      </c>
      <c r="J31" s="53" t="s">
        <v>38</v>
      </c>
      <c r="K31" s="53" t="s">
        <v>161</v>
      </c>
      <c r="L31" s="53">
        <v>3</v>
      </c>
      <c r="N31" s="53">
        <v>1</v>
      </c>
      <c r="O31" s="53">
        <v>1</v>
      </c>
      <c r="P31" s="53">
        <v>1.2</v>
      </c>
      <c r="Q31" s="74">
        <f t="shared" si="0"/>
        <v>1.1000000000000001</v>
      </c>
      <c r="R31" s="53">
        <v>14</v>
      </c>
      <c r="S31" s="53">
        <v>131</v>
      </c>
      <c r="T31" s="16">
        <f t="shared" si="1"/>
        <v>25</v>
      </c>
      <c r="U31" s="53">
        <v>149</v>
      </c>
      <c r="V31" s="16">
        <f t="shared" si="2"/>
        <v>3725</v>
      </c>
      <c r="W31" s="53">
        <v>2</v>
      </c>
      <c r="X31" s="53" t="s">
        <v>46</v>
      </c>
      <c r="Y31" s="53" t="s">
        <v>55</v>
      </c>
      <c r="Z31" s="53" t="s">
        <v>69</v>
      </c>
      <c r="AA31" s="53" t="s">
        <v>78</v>
      </c>
      <c r="AB31" s="53" t="s">
        <v>158</v>
      </c>
    </row>
    <row r="32" spans="1:48" x14ac:dyDescent="0.15">
      <c r="A32" s="53" t="s">
        <v>41</v>
      </c>
      <c r="B32" s="53" t="s">
        <v>157</v>
      </c>
      <c r="C32" s="62">
        <v>2019</v>
      </c>
      <c r="D32" s="63" t="s">
        <v>184</v>
      </c>
      <c r="E32" s="53" t="s">
        <v>188</v>
      </c>
      <c r="F32" s="53" t="s">
        <v>185</v>
      </c>
      <c r="G32" s="53" t="s">
        <v>42</v>
      </c>
      <c r="H32" s="53" t="s">
        <v>164</v>
      </c>
      <c r="I32" s="53" t="s">
        <v>159</v>
      </c>
      <c r="J32" s="53" t="s">
        <v>38</v>
      </c>
      <c r="K32" s="53" t="s">
        <v>161</v>
      </c>
      <c r="L32" s="53">
        <v>1</v>
      </c>
      <c r="N32" s="53">
        <v>5</v>
      </c>
      <c r="O32" s="53">
        <v>1.05</v>
      </c>
      <c r="P32" s="53">
        <v>0.95</v>
      </c>
      <c r="Q32" s="74">
        <f t="shared" si="0"/>
        <v>1</v>
      </c>
      <c r="R32" s="53">
        <v>14.5</v>
      </c>
      <c r="S32" s="53">
        <v>122</v>
      </c>
      <c r="T32" s="16">
        <f t="shared" si="1"/>
        <v>27</v>
      </c>
      <c r="U32" s="53">
        <v>429</v>
      </c>
      <c r="V32" s="16">
        <f t="shared" si="2"/>
        <v>2316.6</v>
      </c>
      <c r="W32" s="53">
        <v>2</v>
      </c>
      <c r="X32" s="53" t="s">
        <v>46</v>
      </c>
      <c r="Y32" s="53" t="s">
        <v>55</v>
      </c>
      <c r="Z32" s="53" t="s">
        <v>69</v>
      </c>
      <c r="AA32" s="53" t="s">
        <v>78</v>
      </c>
      <c r="AB32" s="53" t="s">
        <v>158</v>
      </c>
    </row>
    <row r="33" spans="1:28" x14ac:dyDescent="0.15">
      <c r="A33" s="53" t="s">
        <v>41</v>
      </c>
      <c r="B33" s="53" t="s">
        <v>157</v>
      </c>
      <c r="C33" s="62">
        <v>2019</v>
      </c>
      <c r="D33" s="63" t="s">
        <v>184</v>
      </c>
      <c r="E33" s="53" t="s">
        <v>188</v>
      </c>
      <c r="F33" s="53" t="s">
        <v>185</v>
      </c>
      <c r="G33" s="53" t="s">
        <v>42</v>
      </c>
      <c r="H33" s="53" t="s">
        <v>164</v>
      </c>
      <c r="I33" s="53" t="s">
        <v>159</v>
      </c>
      <c r="J33" s="53" t="s">
        <v>38</v>
      </c>
      <c r="K33" s="53" t="s">
        <v>161</v>
      </c>
      <c r="L33" s="53">
        <v>2</v>
      </c>
      <c r="N33" s="53">
        <v>5</v>
      </c>
      <c r="O33" s="53">
        <v>1.3</v>
      </c>
      <c r="P33" s="53">
        <v>1.45</v>
      </c>
      <c r="Q33" s="74">
        <f t="shared" si="0"/>
        <v>1.375</v>
      </c>
      <c r="R33" s="53">
        <v>16.7</v>
      </c>
      <c r="S33" s="53">
        <v>118</v>
      </c>
      <c r="T33" s="16">
        <f t="shared" si="1"/>
        <v>30</v>
      </c>
      <c r="U33" s="53">
        <v>429</v>
      </c>
      <c r="V33" s="16">
        <f t="shared" si="2"/>
        <v>2574</v>
      </c>
      <c r="W33" s="53">
        <v>2</v>
      </c>
      <c r="X33" s="53" t="s">
        <v>46</v>
      </c>
      <c r="Y33" s="53" t="s">
        <v>55</v>
      </c>
      <c r="Z33" s="53" t="s">
        <v>69</v>
      </c>
      <c r="AA33" s="53" t="s">
        <v>78</v>
      </c>
      <c r="AB33" s="53" t="s">
        <v>158</v>
      </c>
    </row>
    <row r="34" spans="1:28" x14ac:dyDescent="0.15">
      <c r="A34" s="53" t="s">
        <v>41</v>
      </c>
      <c r="B34" s="53" t="s">
        <v>157</v>
      </c>
      <c r="C34" s="62">
        <v>2019</v>
      </c>
      <c r="D34" s="63" t="s">
        <v>184</v>
      </c>
      <c r="E34" s="53" t="s">
        <v>188</v>
      </c>
      <c r="F34" s="53" t="s">
        <v>185</v>
      </c>
      <c r="G34" s="53" t="s">
        <v>42</v>
      </c>
      <c r="H34" s="53" t="s">
        <v>164</v>
      </c>
      <c r="I34" s="53" t="s">
        <v>159</v>
      </c>
      <c r="J34" s="53" t="s">
        <v>38</v>
      </c>
      <c r="K34" s="53" t="s">
        <v>161</v>
      </c>
      <c r="L34" s="53">
        <v>3</v>
      </c>
      <c r="N34" s="53">
        <v>5</v>
      </c>
      <c r="O34" s="53">
        <v>0.95</v>
      </c>
      <c r="P34" s="53">
        <v>0.9</v>
      </c>
      <c r="Q34" s="74">
        <f t="shared" si="0"/>
        <v>0.92500000000000004</v>
      </c>
      <c r="R34" s="53">
        <v>15.1</v>
      </c>
      <c r="S34" s="53">
        <v>120</v>
      </c>
      <c r="T34" s="16">
        <f t="shared" si="1"/>
        <v>30</v>
      </c>
      <c r="U34" s="53">
        <v>429</v>
      </c>
      <c r="V34" s="16">
        <f t="shared" si="2"/>
        <v>2574</v>
      </c>
      <c r="W34" s="53">
        <v>2</v>
      </c>
      <c r="X34" s="53" t="s">
        <v>46</v>
      </c>
      <c r="Y34" s="53" t="s">
        <v>55</v>
      </c>
      <c r="Z34" s="53" t="s">
        <v>69</v>
      </c>
      <c r="AA34" s="53" t="s">
        <v>78</v>
      </c>
      <c r="AB34" s="53" t="s">
        <v>158</v>
      </c>
    </row>
    <row r="35" spans="1:28" x14ac:dyDescent="0.15">
      <c r="A35" s="53" t="s">
        <v>41</v>
      </c>
      <c r="B35" s="53" t="s">
        <v>157</v>
      </c>
      <c r="C35" s="62">
        <v>2019</v>
      </c>
      <c r="D35" s="63" t="s">
        <v>184</v>
      </c>
      <c r="E35" s="53" t="s">
        <v>188</v>
      </c>
      <c r="F35" s="53" t="s">
        <v>185</v>
      </c>
      <c r="G35" s="53" t="s">
        <v>42</v>
      </c>
      <c r="H35" s="53" t="s">
        <v>164</v>
      </c>
      <c r="I35" s="53" t="s">
        <v>159</v>
      </c>
      <c r="J35" s="53" t="s">
        <v>38</v>
      </c>
      <c r="K35" s="53" t="s">
        <v>161</v>
      </c>
      <c r="L35" s="53">
        <v>1</v>
      </c>
      <c r="N35" s="53">
        <v>8</v>
      </c>
      <c r="O35" s="53">
        <v>0.65</v>
      </c>
      <c r="P35" s="53">
        <v>0.75</v>
      </c>
      <c r="Q35" s="74">
        <f t="shared" si="0"/>
        <v>0.7</v>
      </c>
      <c r="R35" s="53">
        <v>12.2</v>
      </c>
      <c r="S35" s="53">
        <v>120</v>
      </c>
      <c r="T35" s="16">
        <f t="shared" si="1"/>
        <v>30</v>
      </c>
      <c r="U35" s="53">
        <v>626</v>
      </c>
      <c r="V35" s="16">
        <f t="shared" si="2"/>
        <v>2347.5</v>
      </c>
      <c r="W35" s="53">
        <v>2</v>
      </c>
      <c r="X35" s="53" t="s">
        <v>46</v>
      </c>
      <c r="Y35" s="53" t="s">
        <v>55</v>
      </c>
      <c r="Z35" s="53" t="s">
        <v>69</v>
      </c>
      <c r="AA35" s="53" t="s">
        <v>78</v>
      </c>
      <c r="AB35" s="53" t="s">
        <v>158</v>
      </c>
    </row>
    <row r="36" spans="1:28" x14ac:dyDescent="0.15">
      <c r="A36" s="53" t="s">
        <v>41</v>
      </c>
      <c r="B36" s="53" t="s">
        <v>157</v>
      </c>
      <c r="C36" s="62">
        <v>2019</v>
      </c>
      <c r="D36" s="63" t="s">
        <v>184</v>
      </c>
      <c r="E36" s="53" t="s">
        <v>188</v>
      </c>
      <c r="F36" s="53" t="s">
        <v>185</v>
      </c>
      <c r="G36" s="53" t="s">
        <v>42</v>
      </c>
      <c r="H36" s="53" t="s">
        <v>164</v>
      </c>
      <c r="I36" s="53" t="s">
        <v>159</v>
      </c>
      <c r="J36" s="53" t="s">
        <v>38</v>
      </c>
      <c r="K36" s="53" t="s">
        <v>161</v>
      </c>
      <c r="L36" s="53">
        <v>2</v>
      </c>
      <c r="N36" s="53">
        <v>8</v>
      </c>
      <c r="O36" s="53">
        <v>0.75</v>
      </c>
      <c r="P36" s="53">
        <v>0.8</v>
      </c>
      <c r="Q36" s="74">
        <f t="shared" si="0"/>
        <v>0.77500000000000002</v>
      </c>
      <c r="R36" s="53">
        <v>10.8</v>
      </c>
      <c r="S36" s="53">
        <v>117</v>
      </c>
      <c r="T36" s="16">
        <f t="shared" si="1"/>
        <v>30</v>
      </c>
      <c r="U36" s="53">
        <v>626</v>
      </c>
      <c r="V36" s="16">
        <f t="shared" si="2"/>
        <v>2347.5</v>
      </c>
      <c r="W36" s="53">
        <v>2</v>
      </c>
      <c r="X36" s="53" t="s">
        <v>46</v>
      </c>
      <c r="Y36" s="53" t="s">
        <v>55</v>
      </c>
      <c r="Z36" s="53" t="s">
        <v>69</v>
      </c>
      <c r="AA36" s="53" t="s">
        <v>78</v>
      </c>
      <c r="AB36" s="53" t="s">
        <v>158</v>
      </c>
    </row>
    <row r="37" spans="1:28" x14ac:dyDescent="0.15">
      <c r="A37" s="53" t="s">
        <v>41</v>
      </c>
      <c r="B37" s="53" t="s">
        <v>157</v>
      </c>
      <c r="C37" s="62">
        <v>2019</v>
      </c>
      <c r="D37" s="63" t="s">
        <v>184</v>
      </c>
      <c r="E37" s="53" t="s">
        <v>188</v>
      </c>
      <c r="F37" s="53" t="s">
        <v>185</v>
      </c>
      <c r="G37" s="53" t="s">
        <v>42</v>
      </c>
      <c r="H37" s="53" t="s">
        <v>164</v>
      </c>
      <c r="I37" s="53" t="s">
        <v>159</v>
      </c>
      <c r="J37" s="53" t="s">
        <v>38</v>
      </c>
      <c r="K37" s="53" t="s">
        <v>161</v>
      </c>
      <c r="L37" s="53">
        <v>3</v>
      </c>
      <c r="N37" s="53">
        <v>8</v>
      </c>
      <c r="O37" s="53">
        <v>0.45</v>
      </c>
      <c r="P37" s="53">
        <v>0.65</v>
      </c>
      <c r="Q37" s="74">
        <f t="shared" si="0"/>
        <v>0.55000000000000004</v>
      </c>
      <c r="R37" s="53">
        <v>13.7</v>
      </c>
      <c r="S37" s="53">
        <v>115</v>
      </c>
      <c r="T37" s="16">
        <f t="shared" si="1"/>
        <v>30</v>
      </c>
      <c r="U37" s="53">
        <v>626</v>
      </c>
      <c r="V37" s="16">
        <f t="shared" si="2"/>
        <v>2347.5</v>
      </c>
      <c r="W37" s="53">
        <v>2</v>
      </c>
      <c r="X37" s="53" t="s">
        <v>46</v>
      </c>
      <c r="Y37" s="53" t="s">
        <v>55</v>
      </c>
      <c r="Z37" s="53" t="s">
        <v>69</v>
      </c>
      <c r="AA37" s="53" t="s">
        <v>78</v>
      </c>
      <c r="AB37" s="53" t="s">
        <v>158</v>
      </c>
    </row>
    <row r="38" spans="1:28" x14ac:dyDescent="0.15">
      <c r="A38" s="53" t="s">
        <v>41</v>
      </c>
      <c r="B38" s="53" t="s">
        <v>157</v>
      </c>
      <c r="C38" s="62">
        <v>2019</v>
      </c>
      <c r="D38" s="63" t="s">
        <v>184</v>
      </c>
      <c r="E38" s="53" t="s">
        <v>188</v>
      </c>
      <c r="F38" s="53" t="s">
        <v>185</v>
      </c>
      <c r="G38" s="53" t="s">
        <v>42</v>
      </c>
      <c r="H38" s="53" t="s">
        <v>164</v>
      </c>
      <c r="I38" s="53" t="s">
        <v>159</v>
      </c>
      <c r="J38" s="53" t="s">
        <v>38</v>
      </c>
      <c r="K38" s="53" t="s">
        <v>161</v>
      </c>
      <c r="L38" s="53">
        <v>1</v>
      </c>
      <c r="N38" s="53">
        <v>10</v>
      </c>
      <c r="O38" s="53">
        <v>1.3</v>
      </c>
      <c r="P38" s="53">
        <v>1.4</v>
      </c>
      <c r="Q38" s="74">
        <f t="shared" si="0"/>
        <v>1.35</v>
      </c>
      <c r="R38" s="53">
        <v>13.8</v>
      </c>
      <c r="S38" s="53">
        <v>122</v>
      </c>
      <c r="T38" s="16">
        <f t="shared" si="1"/>
        <v>27</v>
      </c>
      <c r="U38" s="53">
        <v>1058</v>
      </c>
      <c r="V38" s="16">
        <f t="shared" si="2"/>
        <v>2856.6</v>
      </c>
      <c r="W38" s="53">
        <v>1</v>
      </c>
      <c r="X38" s="53" t="s">
        <v>46</v>
      </c>
      <c r="Y38" s="53" t="s">
        <v>55</v>
      </c>
      <c r="Z38" s="53" t="s">
        <v>69</v>
      </c>
      <c r="AA38" s="53" t="s">
        <v>78</v>
      </c>
      <c r="AB38" s="53" t="s">
        <v>158</v>
      </c>
    </row>
    <row r="39" spans="1:28" x14ac:dyDescent="0.15">
      <c r="A39" s="53" t="s">
        <v>41</v>
      </c>
      <c r="B39" s="53" t="s">
        <v>157</v>
      </c>
      <c r="C39" s="62">
        <v>2019</v>
      </c>
      <c r="D39" s="63" t="s">
        <v>184</v>
      </c>
      <c r="E39" s="53" t="s">
        <v>188</v>
      </c>
      <c r="F39" s="53" t="s">
        <v>185</v>
      </c>
      <c r="G39" s="53" t="s">
        <v>42</v>
      </c>
      <c r="H39" s="53" t="s">
        <v>164</v>
      </c>
      <c r="I39" s="53" t="s">
        <v>159</v>
      </c>
      <c r="J39" s="53" t="s">
        <v>38</v>
      </c>
      <c r="K39" s="53" t="s">
        <v>161</v>
      </c>
      <c r="L39" s="53">
        <v>2</v>
      </c>
      <c r="N39" s="53">
        <v>10</v>
      </c>
      <c r="O39" s="53">
        <v>1.25</v>
      </c>
      <c r="P39" s="53">
        <v>1.35</v>
      </c>
      <c r="Q39" s="74">
        <f t="shared" si="0"/>
        <v>1.3</v>
      </c>
      <c r="R39" s="53">
        <v>12.9</v>
      </c>
      <c r="S39" s="53">
        <v>123</v>
      </c>
      <c r="T39" s="16">
        <f t="shared" si="1"/>
        <v>27</v>
      </c>
      <c r="U39" s="53">
        <v>1058</v>
      </c>
      <c r="V39" s="16">
        <f t="shared" si="2"/>
        <v>2856.6</v>
      </c>
      <c r="W39" s="53">
        <v>1</v>
      </c>
      <c r="X39" s="53" t="s">
        <v>46</v>
      </c>
      <c r="Y39" s="53" t="s">
        <v>55</v>
      </c>
      <c r="Z39" s="53" t="s">
        <v>69</v>
      </c>
      <c r="AA39" s="53" t="s">
        <v>78</v>
      </c>
      <c r="AB39" s="53" t="s">
        <v>158</v>
      </c>
    </row>
    <row r="40" spans="1:28" x14ac:dyDescent="0.15">
      <c r="A40" s="53" t="s">
        <v>41</v>
      </c>
      <c r="B40" s="53" t="s">
        <v>157</v>
      </c>
      <c r="C40" s="62">
        <v>2019</v>
      </c>
      <c r="D40" s="63" t="s">
        <v>184</v>
      </c>
      <c r="E40" s="53" t="s">
        <v>188</v>
      </c>
      <c r="F40" s="53" t="s">
        <v>185</v>
      </c>
      <c r="G40" s="53" t="s">
        <v>42</v>
      </c>
      <c r="H40" s="53" t="s">
        <v>164</v>
      </c>
      <c r="I40" s="53" t="s">
        <v>159</v>
      </c>
      <c r="J40" s="53" t="s">
        <v>38</v>
      </c>
      <c r="K40" s="53" t="s">
        <v>161</v>
      </c>
      <c r="L40" s="53">
        <v>3</v>
      </c>
      <c r="N40" s="53">
        <v>10</v>
      </c>
      <c r="O40" s="53">
        <v>1.3</v>
      </c>
      <c r="P40" s="53">
        <v>1.45</v>
      </c>
      <c r="Q40" s="74">
        <f t="shared" si="0"/>
        <v>1.375</v>
      </c>
      <c r="R40" s="53">
        <v>12.4</v>
      </c>
      <c r="S40" s="53">
        <v>121</v>
      </c>
      <c r="T40" s="16">
        <f t="shared" si="1"/>
        <v>27</v>
      </c>
      <c r="U40" s="53">
        <v>1058</v>
      </c>
      <c r="V40" s="16">
        <f t="shared" si="2"/>
        <v>2856.6</v>
      </c>
      <c r="W40" s="53">
        <v>1</v>
      </c>
      <c r="X40" s="53" t="s">
        <v>46</v>
      </c>
      <c r="Y40" s="53" t="s">
        <v>55</v>
      </c>
      <c r="Z40" s="53" t="s">
        <v>69</v>
      </c>
      <c r="AA40" s="53" t="s">
        <v>78</v>
      </c>
      <c r="AB40" s="53" t="s">
        <v>158</v>
      </c>
    </row>
    <row r="41" spans="1:28" x14ac:dyDescent="0.15">
      <c r="A41" s="53" t="s">
        <v>41</v>
      </c>
      <c r="B41" s="53" t="s">
        <v>157</v>
      </c>
      <c r="C41" s="62">
        <v>2019</v>
      </c>
      <c r="D41" s="63" t="s">
        <v>184</v>
      </c>
      <c r="E41" s="53" t="s">
        <v>188</v>
      </c>
      <c r="F41" s="53" t="s">
        <v>185</v>
      </c>
      <c r="G41" s="53" t="s">
        <v>42</v>
      </c>
      <c r="H41" s="53" t="s">
        <v>164</v>
      </c>
      <c r="I41" s="53" t="s">
        <v>165</v>
      </c>
      <c r="J41" s="53" t="s">
        <v>38</v>
      </c>
      <c r="K41" s="53" t="s">
        <v>161</v>
      </c>
      <c r="L41" s="53">
        <v>1</v>
      </c>
      <c r="N41" s="53">
        <v>2</v>
      </c>
      <c r="O41" s="53">
        <v>1.25</v>
      </c>
      <c r="P41" s="53">
        <v>1.3</v>
      </c>
      <c r="Q41" s="74">
        <f t="shared" si="0"/>
        <v>1.2749999999999999</v>
      </c>
      <c r="R41" s="53">
        <v>13.5</v>
      </c>
      <c r="S41" s="53">
        <v>134</v>
      </c>
      <c r="T41" s="16">
        <f t="shared" si="1"/>
        <v>25</v>
      </c>
      <c r="U41" s="53">
        <v>321</v>
      </c>
      <c r="V41" s="16">
        <f t="shared" si="2"/>
        <v>4012.5</v>
      </c>
      <c r="W41" s="53">
        <v>2</v>
      </c>
      <c r="X41" s="53" t="s">
        <v>46</v>
      </c>
      <c r="Y41" s="53" t="s">
        <v>55</v>
      </c>
      <c r="Z41" s="53" t="s">
        <v>69</v>
      </c>
      <c r="AA41" s="53" t="s">
        <v>78</v>
      </c>
      <c r="AB41" s="53" t="s">
        <v>158</v>
      </c>
    </row>
    <row r="42" spans="1:28" x14ac:dyDescent="0.15">
      <c r="A42" s="53" t="s">
        <v>41</v>
      </c>
      <c r="B42" s="53" t="s">
        <v>157</v>
      </c>
      <c r="C42" s="62">
        <v>2019</v>
      </c>
      <c r="D42" s="63" t="s">
        <v>184</v>
      </c>
      <c r="E42" s="53" t="s">
        <v>188</v>
      </c>
      <c r="F42" s="53" t="s">
        <v>185</v>
      </c>
      <c r="G42" s="53" t="s">
        <v>42</v>
      </c>
      <c r="H42" s="53" t="s">
        <v>164</v>
      </c>
      <c r="I42" s="53" t="s">
        <v>165</v>
      </c>
      <c r="J42" s="53" t="s">
        <v>38</v>
      </c>
      <c r="K42" s="53" t="s">
        <v>161</v>
      </c>
      <c r="L42" s="53">
        <v>2</v>
      </c>
      <c r="N42" s="53">
        <v>2</v>
      </c>
      <c r="O42" s="53">
        <v>1.3</v>
      </c>
      <c r="P42" s="53">
        <v>1.25</v>
      </c>
      <c r="Q42" s="74">
        <f t="shared" si="0"/>
        <v>1.2749999999999999</v>
      </c>
      <c r="R42" s="53">
        <v>14.1</v>
      </c>
      <c r="S42" s="53">
        <v>138</v>
      </c>
      <c r="T42" s="16">
        <f t="shared" si="1"/>
        <v>22</v>
      </c>
      <c r="U42" s="53">
        <v>321</v>
      </c>
      <c r="V42" s="16">
        <f t="shared" si="2"/>
        <v>3531</v>
      </c>
      <c r="W42" s="53">
        <v>2</v>
      </c>
      <c r="X42" s="53" t="s">
        <v>46</v>
      </c>
      <c r="Y42" s="53" t="s">
        <v>55</v>
      </c>
      <c r="Z42" s="53" t="s">
        <v>69</v>
      </c>
      <c r="AA42" s="53" t="s">
        <v>78</v>
      </c>
      <c r="AB42" s="53" t="s">
        <v>158</v>
      </c>
    </row>
    <row r="43" spans="1:28" x14ac:dyDescent="0.15">
      <c r="A43" s="53" t="s">
        <v>41</v>
      </c>
      <c r="B43" s="53" t="s">
        <v>157</v>
      </c>
      <c r="C43" s="62">
        <v>2019</v>
      </c>
      <c r="D43" s="63" t="s">
        <v>184</v>
      </c>
      <c r="E43" s="53" t="s">
        <v>188</v>
      </c>
      <c r="F43" s="53" t="s">
        <v>185</v>
      </c>
      <c r="G43" s="53" t="s">
        <v>42</v>
      </c>
      <c r="H43" s="53" t="s">
        <v>164</v>
      </c>
      <c r="I43" s="53" t="s">
        <v>165</v>
      </c>
      <c r="J43" s="53" t="s">
        <v>38</v>
      </c>
      <c r="K43" s="53" t="s">
        <v>161</v>
      </c>
      <c r="L43" s="53">
        <v>3</v>
      </c>
      <c r="N43" s="53">
        <v>2</v>
      </c>
      <c r="O43" s="53">
        <v>1</v>
      </c>
      <c r="P43" s="53">
        <v>1.2</v>
      </c>
      <c r="Q43" s="74">
        <f t="shared" si="0"/>
        <v>1.1000000000000001</v>
      </c>
      <c r="R43" s="53">
        <v>14.8</v>
      </c>
      <c r="S43" s="53">
        <v>135</v>
      </c>
      <c r="T43" s="16">
        <f t="shared" si="1"/>
        <v>25</v>
      </c>
      <c r="U43" s="53">
        <v>321</v>
      </c>
      <c r="V43" s="16">
        <f t="shared" si="2"/>
        <v>4012.5</v>
      </c>
      <c r="W43" s="53">
        <v>2</v>
      </c>
      <c r="X43" s="53" t="s">
        <v>46</v>
      </c>
      <c r="Y43" s="53" t="s">
        <v>55</v>
      </c>
      <c r="Z43" s="53" t="s">
        <v>69</v>
      </c>
      <c r="AA43" s="53" t="s">
        <v>78</v>
      </c>
      <c r="AB43" s="53" t="s">
        <v>158</v>
      </c>
    </row>
    <row r="44" spans="1:28" x14ac:dyDescent="0.15">
      <c r="A44" s="53" t="s">
        <v>41</v>
      </c>
      <c r="B44" s="53" t="s">
        <v>157</v>
      </c>
      <c r="C44" s="62">
        <v>2019</v>
      </c>
      <c r="D44" s="63" t="s">
        <v>184</v>
      </c>
      <c r="E44" s="53" t="s">
        <v>188</v>
      </c>
      <c r="F44" s="53" t="s">
        <v>185</v>
      </c>
      <c r="G44" s="53" t="s">
        <v>42</v>
      </c>
      <c r="H44" s="53" t="s">
        <v>160</v>
      </c>
      <c r="I44" s="53" t="s">
        <v>165</v>
      </c>
      <c r="J44" s="53" t="s">
        <v>38</v>
      </c>
      <c r="K44" s="53" t="s">
        <v>161</v>
      </c>
      <c r="L44" s="53">
        <v>1</v>
      </c>
      <c r="N44" s="53">
        <v>2</v>
      </c>
      <c r="O44" s="53">
        <v>0.95</v>
      </c>
      <c r="P44" s="53">
        <v>0.85</v>
      </c>
      <c r="Q44" s="74">
        <f t="shared" si="0"/>
        <v>0.89999999999999991</v>
      </c>
      <c r="R44" s="53">
        <v>15.4</v>
      </c>
      <c r="S44" s="53">
        <v>125</v>
      </c>
      <c r="T44" s="16">
        <f t="shared" si="1"/>
        <v>27</v>
      </c>
      <c r="U44" s="53">
        <v>321</v>
      </c>
      <c r="V44" s="16">
        <f t="shared" si="2"/>
        <v>4333.5</v>
      </c>
      <c r="W44" s="53">
        <v>2</v>
      </c>
      <c r="X44" s="53" t="s">
        <v>46</v>
      </c>
      <c r="Y44" s="53" t="s">
        <v>55</v>
      </c>
      <c r="Z44" s="53" t="s">
        <v>69</v>
      </c>
      <c r="AA44" s="53" t="s">
        <v>78</v>
      </c>
      <c r="AB44" s="53" t="s">
        <v>158</v>
      </c>
    </row>
    <row r="45" spans="1:28" x14ac:dyDescent="0.15">
      <c r="A45" s="53" t="s">
        <v>41</v>
      </c>
      <c r="B45" s="53" t="s">
        <v>157</v>
      </c>
      <c r="C45" s="62">
        <v>2019</v>
      </c>
      <c r="D45" s="63" t="s">
        <v>184</v>
      </c>
      <c r="E45" s="53" t="s">
        <v>188</v>
      </c>
      <c r="F45" s="53" t="s">
        <v>185</v>
      </c>
      <c r="G45" s="53" t="s">
        <v>42</v>
      </c>
      <c r="H45" s="53" t="s">
        <v>160</v>
      </c>
      <c r="I45" s="53" t="s">
        <v>165</v>
      </c>
      <c r="J45" s="53" t="s">
        <v>38</v>
      </c>
      <c r="K45" s="53" t="s">
        <v>161</v>
      </c>
      <c r="L45" s="53">
        <v>2</v>
      </c>
      <c r="N45" s="53">
        <v>2</v>
      </c>
      <c r="O45" s="53">
        <v>0.8</v>
      </c>
      <c r="P45" s="53">
        <v>0.75</v>
      </c>
      <c r="Q45" s="74">
        <f t="shared" si="0"/>
        <v>0.77500000000000002</v>
      </c>
      <c r="R45" s="53">
        <v>15</v>
      </c>
      <c r="S45" s="53">
        <v>126</v>
      </c>
      <c r="T45" s="16">
        <f t="shared" si="1"/>
        <v>27</v>
      </c>
      <c r="U45" s="53">
        <v>321</v>
      </c>
      <c r="V45" s="16">
        <f t="shared" si="2"/>
        <v>4333.5</v>
      </c>
      <c r="W45" s="53">
        <v>2</v>
      </c>
      <c r="X45" s="53" t="s">
        <v>46</v>
      </c>
      <c r="Y45" s="53" t="s">
        <v>55</v>
      </c>
      <c r="Z45" s="53" t="s">
        <v>69</v>
      </c>
      <c r="AA45" s="53" t="s">
        <v>78</v>
      </c>
      <c r="AB45" s="53" t="s">
        <v>158</v>
      </c>
    </row>
    <row r="46" spans="1:28" x14ac:dyDescent="0.15">
      <c r="A46" s="53" t="s">
        <v>41</v>
      </c>
      <c r="B46" s="53" t="s">
        <v>157</v>
      </c>
      <c r="C46" s="62">
        <v>2019</v>
      </c>
      <c r="D46" s="63" t="s">
        <v>184</v>
      </c>
      <c r="E46" s="53" t="s">
        <v>188</v>
      </c>
      <c r="F46" s="53" t="s">
        <v>185</v>
      </c>
      <c r="G46" s="53" t="s">
        <v>42</v>
      </c>
      <c r="H46" s="53" t="s">
        <v>160</v>
      </c>
      <c r="I46" s="53" t="s">
        <v>165</v>
      </c>
      <c r="J46" s="53" t="s">
        <v>38</v>
      </c>
      <c r="K46" s="53" t="s">
        <v>161</v>
      </c>
      <c r="L46" s="53">
        <v>3</v>
      </c>
      <c r="N46" s="53">
        <v>2</v>
      </c>
      <c r="O46" s="53">
        <v>0.95</v>
      </c>
      <c r="P46" s="53">
        <v>0.65</v>
      </c>
      <c r="Q46" s="74">
        <f t="shared" si="0"/>
        <v>0.8</v>
      </c>
      <c r="R46" s="53">
        <v>13.8</v>
      </c>
      <c r="S46" s="53">
        <v>124</v>
      </c>
      <c r="T46" s="16">
        <f t="shared" si="1"/>
        <v>27</v>
      </c>
      <c r="U46" s="53">
        <v>321</v>
      </c>
      <c r="V46" s="16">
        <f t="shared" si="2"/>
        <v>4333.5</v>
      </c>
      <c r="W46" s="53">
        <v>2</v>
      </c>
      <c r="X46" s="53" t="s">
        <v>46</v>
      </c>
      <c r="Y46" s="53" t="s">
        <v>55</v>
      </c>
      <c r="Z46" s="53" t="s">
        <v>69</v>
      </c>
      <c r="AA46" s="53" t="s">
        <v>78</v>
      </c>
      <c r="AB46" s="53" t="s">
        <v>158</v>
      </c>
    </row>
    <row r="47" spans="1:28" x14ac:dyDescent="0.15">
      <c r="A47" s="53" t="s">
        <v>41</v>
      </c>
      <c r="B47" s="53" t="s">
        <v>157</v>
      </c>
      <c r="C47" s="62">
        <v>2019</v>
      </c>
      <c r="D47" s="63" t="s">
        <v>184</v>
      </c>
      <c r="E47" s="53" t="s">
        <v>188</v>
      </c>
      <c r="F47" s="53" t="s">
        <v>190</v>
      </c>
      <c r="G47" s="53" t="s">
        <v>42</v>
      </c>
      <c r="H47" s="53" t="s">
        <v>160</v>
      </c>
      <c r="I47" s="53" t="s">
        <v>159</v>
      </c>
      <c r="J47" s="53" t="s">
        <v>38</v>
      </c>
      <c r="K47" s="53" t="s">
        <v>161</v>
      </c>
      <c r="L47" s="53">
        <v>1</v>
      </c>
      <c r="N47" s="53">
        <v>1</v>
      </c>
      <c r="O47" s="53">
        <v>1.05</v>
      </c>
      <c r="P47" s="53">
        <v>1</v>
      </c>
      <c r="Q47" s="74">
        <f t="shared" si="0"/>
        <v>1.0249999999999999</v>
      </c>
      <c r="R47" s="53">
        <v>16.399999999999999</v>
      </c>
      <c r="S47" s="53">
        <v>125</v>
      </c>
      <c r="T47" s="16">
        <f t="shared" si="1"/>
        <v>27</v>
      </c>
      <c r="U47" s="53">
        <v>149</v>
      </c>
      <c r="V47" s="16">
        <f t="shared" si="2"/>
        <v>4023</v>
      </c>
      <c r="W47" s="53">
        <v>2</v>
      </c>
      <c r="X47" s="53" t="s">
        <v>46</v>
      </c>
      <c r="Y47" s="53" t="s">
        <v>55</v>
      </c>
      <c r="Z47" s="53" t="s">
        <v>69</v>
      </c>
      <c r="AA47" s="53" t="s">
        <v>78</v>
      </c>
      <c r="AB47" s="53" t="s">
        <v>158</v>
      </c>
    </row>
    <row r="48" spans="1:28" x14ac:dyDescent="0.15">
      <c r="A48" s="53" t="s">
        <v>41</v>
      </c>
      <c r="B48" s="53" t="s">
        <v>157</v>
      </c>
      <c r="C48" s="62">
        <v>2019</v>
      </c>
      <c r="D48" s="63" t="s">
        <v>184</v>
      </c>
      <c r="E48" s="53" t="s">
        <v>188</v>
      </c>
      <c r="F48" s="53" t="s">
        <v>190</v>
      </c>
      <c r="G48" s="53" t="s">
        <v>42</v>
      </c>
      <c r="H48" s="53" t="s">
        <v>160</v>
      </c>
      <c r="I48" s="53" t="s">
        <v>159</v>
      </c>
      <c r="J48" s="53" t="s">
        <v>38</v>
      </c>
      <c r="K48" s="53" t="s">
        <v>161</v>
      </c>
      <c r="L48" s="53">
        <v>2</v>
      </c>
      <c r="N48" s="53">
        <v>1</v>
      </c>
      <c r="O48" s="53">
        <v>1.3</v>
      </c>
      <c r="P48" s="53">
        <v>1.2</v>
      </c>
      <c r="Q48" s="74">
        <f t="shared" si="0"/>
        <v>1.25</v>
      </c>
      <c r="R48" s="53">
        <v>15.2</v>
      </c>
      <c r="S48" s="53">
        <v>126</v>
      </c>
      <c r="T48" s="16">
        <f t="shared" si="1"/>
        <v>27</v>
      </c>
      <c r="U48" s="53">
        <v>149</v>
      </c>
      <c r="V48" s="16">
        <f t="shared" si="2"/>
        <v>4023</v>
      </c>
      <c r="W48" s="53">
        <v>2</v>
      </c>
      <c r="X48" s="53" t="s">
        <v>46</v>
      </c>
      <c r="Y48" s="53" t="s">
        <v>55</v>
      </c>
      <c r="Z48" s="53" t="s">
        <v>69</v>
      </c>
      <c r="AA48" s="53" t="s">
        <v>78</v>
      </c>
      <c r="AB48" s="53" t="s">
        <v>158</v>
      </c>
    </row>
    <row r="49" spans="1:28" x14ac:dyDescent="0.15">
      <c r="A49" s="53" t="s">
        <v>41</v>
      </c>
      <c r="B49" s="53" t="s">
        <v>157</v>
      </c>
      <c r="C49" s="62">
        <v>2019</v>
      </c>
      <c r="D49" s="63" t="s">
        <v>184</v>
      </c>
      <c r="E49" s="53" t="s">
        <v>188</v>
      </c>
      <c r="F49" s="53" t="s">
        <v>190</v>
      </c>
      <c r="G49" s="53" t="s">
        <v>42</v>
      </c>
      <c r="H49" s="53" t="s">
        <v>160</v>
      </c>
      <c r="I49" s="53" t="s">
        <v>159</v>
      </c>
      <c r="J49" s="53" t="s">
        <v>38</v>
      </c>
      <c r="K49" s="53" t="s">
        <v>161</v>
      </c>
      <c r="L49" s="53">
        <v>3</v>
      </c>
      <c r="N49" s="53">
        <v>1</v>
      </c>
      <c r="O49" s="53">
        <v>1</v>
      </c>
      <c r="P49" s="53">
        <v>1.05</v>
      </c>
      <c r="Q49" s="74">
        <f t="shared" si="0"/>
        <v>1.0249999999999999</v>
      </c>
      <c r="R49" s="53">
        <v>15</v>
      </c>
      <c r="S49" s="53">
        <v>123</v>
      </c>
      <c r="T49" s="16">
        <f t="shared" si="1"/>
        <v>27</v>
      </c>
      <c r="U49" s="53">
        <v>149</v>
      </c>
      <c r="V49" s="16">
        <f t="shared" si="2"/>
        <v>4023</v>
      </c>
      <c r="W49" s="53">
        <v>2</v>
      </c>
      <c r="X49" s="53" t="s">
        <v>46</v>
      </c>
      <c r="Y49" s="53" t="s">
        <v>55</v>
      </c>
      <c r="Z49" s="53" t="s">
        <v>69</v>
      </c>
      <c r="AA49" s="53" t="s">
        <v>78</v>
      </c>
      <c r="AB49" s="53" t="s">
        <v>158</v>
      </c>
    </row>
    <row r="50" spans="1:28" x14ac:dyDescent="0.15">
      <c r="A50" s="53" t="s">
        <v>41</v>
      </c>
      <c r="B50" s="53" t="s">
        <v>157</v>
      </c>
      <c r="C50" s="62">
        <v>2019</v>
      </c>
      <c r="D50" s="63" t="s">
        <v>184</v>
      </c>
      <c r="E50" s="53" t="s">
        <v>188</v>
      </c>
      <c r="F50" s="53" t="s">
        <v>190</v>
      </c>
      <c r="G50" s="53" t="s">
        <v>42</v>
      </c>
      <c r="H50" s="53" t="s">
        <v>160</v>
      </c>
      <c r="I50" s="53" t="s">
        <v>159</v>
      </c>
      <c r="J50" s="53" t="s">
        <v>38</v>
      </c>
      <c r="K50" s="53" t="s">
        <v>161</v>
      </c>
      <c r="L50" s="53">
        <v>1</v>
      </c>
      <c r="N50" s="53">
        <v>4</v>
      </c>
      <c r="O50" s="53">
        <v>0.45</v>
      </c>
      <c r="P50" s="53">
        <v>0.6</v>
      </c>
      <c r="Q50" s="74">
        <f t="shared" si="0"/>
        <v>0.52500000000000002</v>
      </c>
      <c r="R50" s="53">
        <v>14.8</v>
      </c>
      <c r="S50" s="53">
        <v>120</v>
      </c>
      <c r="T50" s="16">
        <f t="shared" si="1"/>
        <v>30</v>
      </c>
      <c r="U50" s="53">
        <v>429</v>
      </c>
      <c r="V50" s="16">
        <f t="shared" si="2"/>
        <v>3217.5</v>
      </c>
      <c r="W50" s="53">
        <v>4</v>
      </c>
      <c r="X50" s="53" t="s">
        <v>46</v>
      </c>
      <c r="Y50" s="53" t="s">
        <v>55</v>
      </c>
      <c r="Z50" s="53" t="s">
        <v>69</v>
      </c>
      <c r="AA50" s="53" t="s">
        <v>78</v>
      </c>
      <c r="AB50" s="53" t="s">
        <v>158</v>
      </c>
    </row>
    <row r="51" spans="1:28" x14ac:dyDescent="0.15">
      <c r="A51" s="53" t="s">
        <v>41</v>
      </c>
      <c r="B51" s="53" t="s">
        <v>157</v>
      </c>
      <c r="C51" s="62">
        <v>2019</v>
      </c>
      <c r="D51" s="63" t="s">
        <v>184</v>
      </c>
      <c r="E51" s="53" t="s">
        <v>188</v>
      </c>
      <c r="F51" s="53" t="s">
        <v>190</v>
      </c>
      <c r="G51" s="53" t="s">
        <v>42</v>
      </c>
      <c r="H51" s="53" t="s">
        <v>160</v>
      </c>
      <c r="I51" s="53" t="s">
        <v>159</v>
      </c>
      <c r="J51" s="53" t="s">
        <v>38</v>
      </c>
      <c r="K51" s="53" t="s">
        <v>161</v>
      </c>
      <c r="L51" s="53">
        <v>2</v>
      </c>
      <c r="N51" s="53">
        <v>4</v>
      </c>
      <c r="O51" s="53">
        <v>0.3</v>
      </c>
      <c r="P51" s="53">
        <v>0.5</v>
      </c>
      <c r="Q51" s="74">
        <f t="shared" si="0"/>
        <v>0.4</v>
      </c>
      <c r="R51" s="53">
        <v>13.8</v>
      </c>
      <c r="S51" s="53">
        <v>119</v>
      </c>
      <c r="T51" s="16">
        <f t="shared" si="1"/>
        <v>30</v>
      </c>
      <c r="U51" s="53">
        <v>429</v>
      </c>
      <c r="V51" s="16">
        <f t="shared" si="2"/>
        <v>3217.5</v>
      </c>
      <c r="W51" s="53">
        <v>4</v>
      </c>
      <c r="X51" s="53" t="s">
        <v>46</v>
      </c>
      <c r="Y51" s="53" t="s">
        <v>55</v>
      </c>
      <c r="Z51" s="53" t="s">
        <v>69</v>
      </c>
      <c r="AA51" s="53" t="s">
        <v>78</v>
      </c>
      <c r="AB51" s="53" t="s">
        <v>158</v>
      </c>
    </row>
    <row r="52" spans="1:28" x14ac:dyDescent="0.15">
      <c r="A52" s="53" t="s">
        <v>41</v>
      </c>
      <c r="B52" s="53" t="s">
        <v>157</v>
      </c>
      <c r="C52" s="62">
        <v>2019</v>
      </c>
      <c r="D52" s="63" t="s">
        <v>184</v>
      </c>
      <c r="E52" s="53" t="s">
        <v>188</v>
      </c>
      <c r="F52" s="53" t="s">
        <v>190</v>
      </c>
      <c r="G52" s="53" t="s">
        <v>42</v>
      </c>
      <c r="H52" s="53" t="s">
        <v>160</v>
      </c>
      <c r="I52" s="53" t="s">
        <v>159</v>
      </c>
      <c r="J52" s="53" t="s">
        <v>38</v>
      </c>
      <c r="K52" s="53" t="s">
        <v>161</v>
      </c>
      <c r="L52" s="53">
        <v>3</v>
      </c>
      <c r="N52" s="53">
        <v>4</v>
      </c>
      <c r="O52" s="53">
        <v>0.5</v>
      </c>
      <c r="P52" s="53">
        <v>0.5</v>
      </c>
      <c r="Q52" s="74">
        <f t="shared" si="0"/>
        <v>0.5</v>
      </c>
      <c r="R52" s="53">
        <v>14.1</v>
      </c>
      <c r="S52" s="53">
        <v>120</v>
      </c>
      <c r="T52" s="16">
        <f t="shared" si="1"/>
        <v>30</v>
      </c>
      <c r="U52" s="53">
        <v>429</v>
      </c>
      <c r="V52" s="16">
        <f t="shared" si="2"/>
        <v>3217.5</v>
      </c>
      <c r="W52" s="53">
        <v>4</v>
      </c>
      <c r="X52" s="53" t="s">
        <v>46</v>
      </c>
      <c r="Y52" s="53" t="s">
        <v>55</v>
      </c>
      <c r="Z52" s="53" t="s">
        <v>69</v>
      </c>
      <c r="AA52" s="53" t="s">
        <v>78</v>
      </c>
      <c r="AB52" s="53" t="s">
        <v>158</v>
      </c>
    </row>
    <row r="53" spans="1:28" x14ac:dyDescent="0.15">
      <c r="A53" s="53" t="s">
        <v>41</v>
      </c>
      <c r="B53" s="53" t="s">
        <v>157</v>
      </c>
      <c r="C53" s="62">
        <v>2019</v>
      </c>
      <c r="D53" s="63" t="s">
        <v>184</v>
      </c>
      <c r="E53" s="53" t="s">
        <v>188</v>
      </c>
      <c r="F53" s="53" t="s">
        <v>190</v>
      </c>
      <c r="G53" s="53" t="s">
        <v>42</v>
      </c>
      <c r="H53" s="53" t="s">
        <v>160</v>
      </c>
      <c r="I53" s="53" t="s">
        <v>159</v>
      </c>
      <c r="J53" s="53" t="s">
        <v>38</v>
      </c>
      <c r="K53" s="53" t="s">
        <v>161</v>
      </c>
      <c r="L53" s="53">
        <v>1</v>
      </c>
      <c r="N53" s="53">
        <v>6</v>
      </c>
      <c r="O53" s="53">
        <v>0.95</v>
      </c>
      <c r="P53" s="53">
        <v>0.8</v>
      </c>
      <c r="Q53" s="16">
        <f t="shared" si="0"/>
        <v>0.875</v>
      </c>
      <c r="R53" s="53">
        <v>15.1</v>
      </c>
      <c r="S53" s="53">
        <v>114</v>
      </c>
      <c r="T53" s="16">
        <f t="shared" si="1"/>
        <v>30</v>
      </c>
      <c r="U53" s="53">
        <v>429</v>
      </c>
      <c r="V53" s="16">
        <f t="shared" si="2"/>
        <v>2145</v>
      </c>
      <c r="W53" s="53">
        <v>2</v>
      </c>
      <c r="X53" s="53" t="s">
        <v>46</v>
      </c>
      <c r="Y53" s="53" t="s">
        <v>55</v>
      </c>
      <c r="Z53" s="53" t="s">
        <v>69</v>
      </c>
      <c r="AA53" s="53" t="s">
        <v>78</v>
      </c>
      <c r="AB53" s="53" t="s">
        <v>158</v>
      </c>
    </row>
    <row r="54" spans="1:28" x14ac:dyDescent="0.15">
      <c r="A54" s="53" t="s">
        <v>41</v>
      </c>
      <c r="B54" s="53" t="s">
        <v>157</v>
      </c>
      <c r="C54" s="62">
        <v>2019</v>
      </c>
      <c r="D54" s="63" t="s">
        <v>184</v>
      </c>
      <c r="E54" s="53" t="s">
        <v>188</v>
      </c>
      <c r="F54" s="53" t="s">
        <v>190</v>
      </c>
      <c r="G54" s="53" t="s">
        <v>42</v>
      </c>
      <c r="H54" s="53" t="s">
        <v>160</v>
      </c>
      <c r="I54" s="53" t="s">
        <v>159</v>
      </c>
      <c r="J54" s="53" t="s">
        <v>38</v>
      </c>
      <c r="K54" s="53" t="s">
        <v>161</v>
      </c>
      <c r="L54" s="53">
        <v>2</v>
      </c>
      <c r="N54" s="53">
        <v>6</v>
      </c>
      <c r="O54" s="53">
        <v>0.7</v>
      </c>
      <c r="P54" s="53">
        <v>0.65</v>
      </c>
      <c r="Q54" s="16">
        <f t="shared" si="0"/>
        <v>0.67500000000000004</v>
      </c>
      <c r="R54" s="53">
        <v>15.6</v>
      </c>
      <c r="S54" s="53">
        <v>116</v>
      </c>
      <c r="T54" s="16">
        <f t="shared" si="1"/>
        <v>30</v>
      </c>
      <c r="U54" s="53">
        <v>429</v>
      </c>
      <c r="V54" s="16">
        <f t="shared" si="2"/>
        <v>2145</v>
      </c>
      <c r="W54" s="53">
        <v>2</v>
      </c>
      <c r="X54" s="53" t="s">
        <v>46</v>
      </c>
      <c r="Y54" s="53" t="s">
        <v>55</v>
      </c>
      <c r="Z54" s="53" t="s">
        <v>69</v>
      </c>
      <c r="AA54" s="53" t="s">
        <v>78</v>
      </c>
      <c r="AB54" s="53" t="s">
        <v>158</v>
      </c>
    </row>
    <row r="55" spans="1:28" x14ac:dyDescent="0.15">
      <c r="A55" s="53" t="s">
        <v>41</v>
      </c>
      <c r="B55" s="53" t="s">
        <v>157</v>
      </c>
      <c r="C55" s="62">
        <v>2019</v>
      </c>
      <c r="D55" s="63" t="s">
        <v>184</v>
      </c>
      <c r="E55" s="53" t="s">
        <v>188</v>
      </c>
      <c r="F55" s="53" t="s">
        <v>190</v>
      </c>
      <c r="G55" s="53" t="s">
        <v>42</v>
      </c>
      <c r="H55" s="53" t="s">
        <v>160</v>
      </c>
      <c r="I55" s="53" t="s">
        <v>159</v>
      </c>
      <c r="J55" s="53" t="s">
        <v>38</v>
      </c>
      <c r="K55" s="53" t="s">
        <v>161</v>
      </c>
      <c r="L55" s="53">
        <v>3</v>
      </c>
      <c r="N55" s="53">
        <v>6</v>
      </c>
      <c r="O55" s="53">
        <v>0.5</v>
      </c>
      <c r="P55" s="53">
        <v>0.55000000000000004</v>
      </c>
      <c r="Q55" s="16">
        <f t="shared" si="0"/>
        <v>0.52500000000000002</v>
      </c>
      <c r="R55" s="53">
        <v>14.8</v>
      </c>
      <c r="S55" s="53">
        <v>117</v>
      </c>
      <c r="T55" s="16">
        <f t="shared" si="1"/>
        <v>30</v>
      </c>
      <c r="U55" s="53">
        <v>429</v>
      </c>
      <c r="V55" s="16">
        <f t="shared" si="2"/>
        <v>2145</v>
      </c>
      <c r="W55" s="53">
        <v>2</v>
      </c>
      <c r="X55" s="53" t="s">
        <v>46</v>
      </c>
      <c r="Y55" s="53" t="s">
        <v>55</v>
      </c>
      <c r="Z55" s="53" t="s">
        <v>69</v>
      </c>
      <c r="AA55" s="53" t="s">
        <v>78</v>
      </c>
      <c r="AB55" s="53" t="s">
        <v>158</v>
      </c>
    </row>
    <row r="56" spans="1:28" x14ac:dyDescent="0.15">
      <c r="A56" s="53" t="s">
        <v>41</v>
      </c>
      <c r="B56" s="53" t="s">
        <v>157</v>
      </c>
      <c r="C56" s="62">
        <v>2019</v>
      </c>
      <c r="D56" s="63" t="s">
        <v>184</v>
      </c>
      <c r="E56" s="53" t="s">
        <v>188</v>
      </c>
      <c r="F56" s="53" t="s">
        <v>190</v>
      </c>
      <c r="G56" s="53" t="s">
        <v>42</v>
      </c>
      <c r="H56" s="53" t="s">
        <v>164</v>
      </c>
      <c r="I56" s="53" t="s">
        <v>159</v>
      </c>
      <c r="J56" s="53" t="s">
        <v>38</v>
      </c>
      <c r="K56" s="53" t="s">
        <v>161</v>
      </c>
      <c r="L56" s="53">
        <v>1</v>
      </c>
      <c r="N56" s="53">
        <v>1</v>
      </c>
      <c r="O56" s="53">
        <v>0.65</v>
      </c>
      <c r="P56" s="53">
        <v>0.6</v>
      </c>
      <c r="Q56" s="16">
        <f t="shared" si="0"/>
        <v>0.625</v>
      </c>
      <c r="R56" s="53">
        <v>12.6</v>
      </c>
      <c r="S56" s="53">
        <v>134</v>
      </c>
      <c r="T56" s="16">
        <f t="shared" si="1"/>
        <v>25</v>
      </c>
      <c r="U56" s="53">
        <v>149</v>
      </c>
      <c r="V56" s="16">
        <f t="shared" si="2"/>
        <v>3725</v>
      </c>
      <c r="W56" s="53">
        <v>2</v>
      </c>
      <c r="X56" s="53" t="s">
        <v>46</v>
      </c>
      <c r="Y56" s="53" t="s">
        <v>55</v>
      </c>
      <c r="Z56" s="53" t="s">
        <v>69</v>
      </c>
      <c r="AA56" s="53" t="s">
        <v>78</v>
      </c>
      <c r="AB56" s="53" t="s">
        <v>158</v>
      </c>
    </row>
    <row r="57" spans="1:28" x14ac:dyDescent="0.15">
      <c r="A57" s="53" t="s">
        <v>41</v>
      </c>
      <c r="B57" s="53" t="s">
        <v>157</v>
      </c>
      <c r="C57" s="62">
        <v>2019</v>
      </c>
      <c r="D57" s="63" t="s">
        <v>184</v>
      </c>
      <c r="E57" s="53" t="s">
        <v>188</v>
      </c>
      <c r="F57" s="53" t="s">
        <v>190</v>
      </c>
      <c r="G57" s="53" t="s">
        <v>42</v>
      </c>
      <c r="H57" s="53" t="s">
        <v>164</v>
      </c>
      <c r="I57" s="53" t="s">
        <v>159</v>
      </c>
      <c r="J57" s="53" t="s">
        <v>38</v>
      </c>
      <c r="K57" s="53" t="s">
        <v>161</v>
      </c>
      <c r="L57" s="53">
        <v>2</v>
      </c>
      <c r="N57" s="53">
        <v>1</v>
      </c>
      <c r="O57" s="53">
        <v>0.7</v>
      </c>
      <c r="P57" s="53">
        <v>0.75</v>
      </c>
      <c r="Q57" s="16">
        <f t="shared" si="0"/>
        <v>0.72499999999999998</v>
      </c>
      <c r="R57" s="53">
        <v>10</v>
      </c>
      <c r="S57" s="53">
        <v>130</v>
      </c>
      <c r="T57" s="16">
        <f t="shared" si="1"/>
        <v>25</v>
      </c>
      <c r="U57" s="53">
        <v>149</v>
      </c>
      <c r="V57" s="16">
        <f t="shared" si="2"/>
        <v>3725</v>
      </c>
      <c r="W57" s="53">
        <v>2</v>
      </c>
      <c r="X57" s="53" t="s">
        <v>46</v>
      </c>
      <c r="Y57" s="53" t="s">
        <v>55</v>
      </c>
      <c r="Z57" s="53" t="s">
        <v>69</v>
      </c>
      <c r="AA57" s="53" t="s">
        <v>78</v>
      </c>
      <c r="AB57" s="53" t="s">
        <v>158</v>
      </c>
    </row>
    <row r="58" spans="1:28" x14ac:dyDescent="0.15">
      <c r="A58" s="53" t="s">
        <v>41</v>
      </c>
      <c r="B58" s="53" t="s">
        <v>157</v>
      </c>
      <c r="C58" s="62">
        <v>2019</v>
      </c>
      <c r="D58" s="63" t="s">
        <v>184</v>
      </c>
      <c r="E58" s="53" t="s">
        <v>188</v>
      </c>
      <c r="F58" s="53" t="s">
        <v>190</v>
      </c>
      <c r="G58" s="53" t="s">
        <v>42</v>
      </c>
      <c r="H58" s="53" t="s">
        <v>164</v>
      </c>
      <c r="I58" s="53" t="s">
        <v>159</v>
      </c>
      <c r="J58" s="53" t="s">
        <v>38</v>
      </c>
      <c r="K58" s="53" t="s">
        <v>161</v>
      </c>
      <c r="L58" s="53">
        <v>3</v>
      </c>
      <c r="N58" s="53">
        <v>1</v>
      </c>
      <c r="O58" s="53">
        <v>0.45</v>
      </c>
      <c r="P58" s="53">
        <v>0.5</v>
      </c>
      <c r="Q58" s="16">
        <f t="shared" si="0"/>
        <v>0.47499999999999998</v>
      </c>
      <c r="R58" s="53">
        <v>12.3</v>
      </c>
      <c r="S58" s="53">
        <v>130</v>
      </c>
      <c r="T58" s="16">
        <f t="shared" si="1"/>
        <v>25</v>
      </c>
      <c r="U58" s="53">
        <v>149</v>
      </c>
      <c r="V58" s="16">
        <f t="shared" si="2"/>
        <v>3725</v>
      </c>
      <c r="W58" s="53">
        <v>2</v>
      </c>
      <c r="X58" s="53" t="s">
        <v>46</v>
      </c>
      <c r="Y58" s="53" t="s">
        <v>55</v>
      </c>
      <c r="Z58" s="53" t="s">
        <v>69</v>
      </c>
      <c r="AA58" s="53" t="s">
        <v>78</v>
      </c>
      <c r="AB58" s="53" t="s">
        <v>158</v>
      </c>
    </row>
    <row r="59" spans="1:28" x14ac:dyDescent="0.15">
      <c r="A59" s="53" t="s">
        <v>41</v>
      </c>
      <c r="B59" s="53" t="s">
        <v>157</v>
      </c>
      <c r="C59" s="62">
        <v>2019</v>
      </c>
      <c r="D59" s="63" t="s">
        <v>184</v>
      </c>
      <c r="E59" s="53" t="s">
        <v>188</v>
      </c>
      <c r="F59" s="53" t="s">
        <v>190</v>
      </c>
      <c r="G59" s="53" t="s">
        <v>42</v>
      </c>
      <c r="H59" s="53" t="s">
        <v>164</v>
      </c>
      <c r="I59" s="53" t="s">
        <v>159</v>
      </c>
      <c r="J59" s="53" t="s">
        <v>38</v>
      </c>
      <c r="K59" s="53" t="s">
        <v>161</v>
      </c>
      <c r="L59" s="53">
        <v>1</v>
      </c>
      <c r="N59" s="53">
        <v>5</v>
      </c>
      <c r="O59" s="53">
        <v>0.95</v>
      </c>
      <c r="P59" s="73">
        <v>0.8</v>
      </c>
      <c r="Q59" s="16">
        <f t="shared" si="0"/>
        <v>0.875</v>
      </c>
      <c r="R59" s="53">
        <v>11.5</v>
      </c>
      <c r="S59" s="53">
        <v>126</v>
      </c>
      <c r="T59" s="16">
        <f t="shared" si="1"/>
        <v>27</v>
      </c>
      <c r="U59" s="53">
        <v>429</v>
      </c>
      <c r="V59" s="16">
        <f t="shared" si="2"/>
        <v>2316.6</v>
      </c>
      <c r="W59" s="53">
        <v>4</v>
      </c>
      <c r="X59" s="53" t="s">
        <v>46</v>
      </c>
      <c r="Y59" s="53" t="s">
        <v>55</v>
      </c>
      <c r="Z59" s="53" t="s">
        <v>69</v>
      </c>
      <c r="AA59" s="53" t="s">
        <v>78</v>
      </c>
      <c r="AB59" s="53" t="s">
        <v>158</v>
      </c>
    </row>
    <row r="60" spans="1:28" x14ac:dyDescent="0.15">
      <c r="A60" s="53" t="s">
        <v>41</v>
      </c>
      <c r="B60" s="53" t="s">
        <v>157</v>
      </c>
      <c r="C60" s="62">
        <v>2019</v>
      </c>
      <c r="D60" s="63" t="s">
        <v>184</v>
      </c>
      <c r="E60" s="53" t="s">
        <v>188</v>
      </c>
      <c r="F60" s="53" t="s">
        <v>190</v>
      </c>
      <c r="G60" s="53" t="s">
        <v>42</v>
      </c>
      <c r="H60" s="53" t="s">
        <v>164</v>
      </c>
      <c r="I60" s="53" t="s">
        <v>159</v>
      </c>
      <c r="J60" s="53" t="s">
        <v>38</v>
      </c>
      <c r="K60" s="53" t="s">
        <v>161</v>
      </c>
      <c r="L60" s="53">
        <v>2</v>
      </c>
      <c r="N60" s="53">
        <v>5</v>
      </c>
      <c r="O60" s="53">
        <v>0.6</v>
      </c>
      <c r="P60" s="53">
        <v>0.65</v>
      </c>
      <c r="Q60" s="16">
        <f t="shared" si="0"/>
        <v>0.625</v>
      </c>
      <c r="R60" s="53">
        <v>13.4</v>
      </c>
      <c r="S60" s="53">
        <v>125</v>
      </c>
      <c r="T60" s="16">
        <f t="shared" si="1"/>
        <v>27</v>
      </c>
      <c r="U60" s="53">
        <v>429</v>
      </c>
      <c r="V60" s="16">
        <f t="shared" si="2"/>
        <v>2316.6</v>
      </c>
      <c r="W60" s="53">
        <v>4</v>
      </c>
      <c r="X60" s="53" t="s">
        <v>46</v>
      </c>
      <c r="Y60" s="53" t="s">
        <v>55</v>
      </c>
      <c r="Z60" s="53" t="s">
        <v>69</v>
      </c>
      <c r="AA60" s="53" t="s">
        <v>78</v>
      </c>
      <c r="AB60" s="53" t="s">
        <v>158</v>
      </c>
    </row>
    <row r="61" spans="1:28" x14ac:dyDescent="0.15">
      <c r="A61" s="53" t="s">
        <v>41</v>
      </c>
      <c r="B61" s="53" t="s">
        <v>157</v>
      </c>
      <c r="C61" s="62">
        <v>2019</v>
      </c>
      <c r="D61" s="63" t="s">
        <v>184</v>
      </c>
      <c r="E61" s="53" t="s">
        <v>188</v>
      </c>
      <c r="F61" s="53" t="s">
        <v>190</v>
      </c>
      <c r="G61" s="53" t="s">
        <v>42</v>
      </c>
      <c r="H61" s="53" t="s">
        <v>164</v>
      </c>
      <c r="I61" s="53" t="s">
        <v>159</v>
      </c>
      <c r="J61" s="53" t="s">
        <v>38</v>
      </c>
      <c r="K61" s="53" t="s">
        <v>161</v>
      </c>
      <c r="L61" s="53">
        <v>3</v>
      </c>
      <c r="N61" s="53">
        <v>5</v>
      </c>
      <c r="O61" s="53">
        <v>0.55000000000000004</v>
      </c>
      <c r="P61" s="53">
        <v>0.7</v>
      </c>
      <c r="Q61" s="16">
        <f t="shared" si="0"/>
        <v>0.625</v>
      </c>
      <c r="R61" s="53">
        <v>14.5</v>
      </c>
      <c r="S61" s="53">
        <v>124</v>
      </c>
      <c r="T61" s="16">
        <f t="shared" si="1"/>
        <v>27</v>
      </c>
      <c r="U61" s="53">
        <v>429</v>
      </c>
      <c r="V61" s="16">
        <f t="shared" si="2"/>
        <v>2316.6</v>
      </c>
      <c r="W61" s="53">
        <v>4</v>
      </c>
      <c r="X61" s="53" t="s">
        <v>46</v>
      </c>
      <c r="Y61" s="53" t="s">
        <v>55</v>
      </c>
      <c r="Z61" s="53" t="s">
        <v>69</v>
      </c>
      <c r="AA61" s="53" t="s">
        <v>78</v>
      </c>
      <c r="AB61" s="53" t="s">
        <v>158</v>
      </c>
    </row>
    <row r="62" spans="1:28" x14ac:dyDescent="0.15">
      <c r="A62" s="53" t="s">
        <v>41</v>
      </c>
      <c r="B62" s="53" t="s">
        <v>157</v>
      </c>
      <c r="C62" s="62">
        <v>2019</v>
      </c>
      <c r="D62" s="63" t="s">
        <v>184</v>
      </c>
      <c r="E62" s="53" t="s">
        <v>188</v>
      </c>
      <c r="F62" s="53" t="s">
        <v>190</v>
      </c>
      <c r="G62" s="53" t="s">
        <v>42</v>
      </c>
      <c r="H62" s="53" t="s">
        <v>164</v>
      </c>
      <c r="I62" s="53" t="s">
        <v>159</v>
      </c>
      <c r="J62" s="53" t="s">
        <v>38</v>
      </c>
      <c r="K62" s="53" t="s">
        <v>161</v>
      </c>
      <c r="L62" s="53">
        <v>1</v>
      </c>
      <c r="N62" s="53">
        <v>8</v>
      </c>
      <c r="O62" s="53">
        <v>0.25</v>
      </c>
      <c r="P62" s="53">
        <v>0.25</v>
      </c>
      <c r="Q62" s="16">
        <f t="shared" si="0"/>
        <v>0.25</v>
      </c>
      <c r="R62" s="53">
        <v>12.8</v>
      </c>
      <c r="S62" s="53">
        <v>120</v>
      </c>
      <c r="T62" s="16">
        <f t="shared" si="1"/>
        <v>30</v>
      </c>
      <c r="U62" s="53">
        <v>626</v>
      </c>
      <c r="V62" s="16">
        <f t="shared" si="2"/>
        <v>2347.5</v>
      </c>
      <c r="W62" s="53">
        <v>1</v>
      </c>
      <c r="X62" s="53" t="s">
        <v>46</v>
      </c>
      <c r="Y62" s="53" t="s">
        <v>55</v>
      </c>
      <c r="Z62" s="53" t="s">
        <v>69</v>
      </c>
      <c r="AA62" s="53" t="s">
        <v>78</v>
      </c>
      <c r="AB62" s="53" t="s">
        <v>158</v>
      </c>
    </row>
    <row r="63" spans="1:28" x14ac:dyDescent="0.15">
      <c r="A63" s="53" t="s">
        <v>41</v>
      </c>
      <c r="B63" s="53" t="s">
        <v>157</v>
      </c>
      <c r="C63" s="62">
        <v>2019</v>
      </c>
      <c r="D63" s="63" t="s">
        <v>184</v>
      </c>
      <c r="E63" s="53" t="s">
        <v>188</v>
      </c>
      <c r="F63" s="53" t="s">
        <v>190</v>
      </c>
      <c r="G63" s="53" t="s">
        <v>42</v>
      </c>
      <c r="H63" s="53" t="s">
        <v>164</v>
      </c>
      <c r="I63" s="53" t="s">
        <v>159</v>
      </c>
      <c r="J63" s="53" t="s">
        <v>38</v>
      </c>
      <c r="K63" s="53" t="s">
        <v>161</v>
      </c>
      <c r="L63" s="53">
        <v>2</v>
      </c>
      <c r="N63" s="53">
        <v>8</v>
      </c>
      <c r="O63" s="53">
        <v>0.45</v>
      </c>
      <c r="P63" s="53">
        <v>0.3</v>
      </c>
      <c r="Q63" s="16">
        <f t="shared" si="0"/>
        <v>0.375</v>
      </c>
      <c r="R63" s="53">
        <v>13.8</v>
      </c>
      <c r="S63" s="53">
        <v>122</v>
      </c>
      <c r="T63" s="16">
        <f t="shared" si="1"/>
        <v>27</v>
      </c>
      <c r="U63" s="53">
        <v>626</v>
      </c>
      <c r="V63" s="16">
        <f t="shared" si="2"/>
        <v>2112.75</v>
      </c>
      <c r="W63" s="53">
        <v>1</v>
      </c>
      <c r="X63" s="53" t="s">
        <v>46</v>
      </c>
      <c r="Y63" s="53" t="s">
        <v>55</v>
      </c>
      <c r="Z63" s="53" t="s">
        <v>69</v>
      </c>
      <c r="AA63" s="53" t="s">
        <v>78</v>
      </c>
      <c r="AB63" s="53" t="s">
        <v>158</v>
      </c>
    </row>
    <row r="64" spans="1:28" x14ac:dyDescent="0.15">
      <c r="A64" s="53" t="s">
        <v>41</v>
      </c>
      <c r="B64" s="53" t="s">
        <v>157</v>
      </c>
      <c r="C64" s="62">
        <v>2019</v>
      </c>
      <c r="D64" s="63" t="s">
        <v>184</v>
      </c>
      <c r="E64" s="53" t="s">
        <v>188</v>
      </c>
      <c r="F64" s="53" t="s">
        <v>190</v>
      </c>
      <c r="G64" s="53" t="s">
        <v>42</v>
      </c>
      <c r="H64" s="53" t="s">
        <v>164</v>
      </c>
      <c r="I64" s="53" t="s">
        <v>159</v>
      </c>
      <c r="J64" s="53" t="s">
        <v>38</v>
      </c>
      <c r="K64" s="53" t="s">
        <v>161</v>
      </c>
      <c r="L64" s="53">
        <v>3</v>
      </c>
      <c r="N64" s="53">
        <v>8</v>
      </c>
      <c r="O64" s="53">
        <v>0.5</v>
      </c>
      <c r="P64" s="53">
        <v>0.35</v>
      </c>
      <c r="Q64" s="16">
        <f t="shared" si="0"/>
        <v>0.42499999999999999</v>
      </c>
      <c r="R64" s="53">
        <v>14</v>
      </c>
      <c r="S64" s="53">
        <v>120</v>
      </c>
      <c r="T64" s="16">
        <f t="shared" si="1"/>
        <v>30</v>
      </c>
      <c r="U64" s="53">
        <v>626</v>
      </c>
      <c r="V64" s="16">
        <f t="shared" si="2"/>
        <v>2347.5</v>
      </c>
      <c r="W64" s="53">
        <v>1</v>
      </c>
      <c r="X64" s="53" t="s">
        <v>46</v>
      </c>
      <c r="Y64" s="53" t="s">
        <v>55</v>
      </c>
      <c r="Z64" s="53" t="s">
        <v>69</v>
      </c>
      <c r="AA64" s="53" t="s">
        <v>78</v>
      </c>
      <c r="AB64" s="53" t="s">
        <v>158</v>
      </c>
    </row>
    <row r="65" spans="1:28" x14ac:dyDescent="0.15">
      <c r="A65" s="53" t="s">
        <v>41</v>
      </c>
      <c r="B65" s="53" t="s">
        <v>157</v>
      </c>
      <c r="C65" s="62">
        <v>2019</v>
      </c>
      <c r="D65" s="63" t="s">
        <v>184</v>
      </c>
      <c r="E65" s="53" t="s">
        <v>195</v>
      </c>
      <c r="F65" s="53" t="s">
        <v>185</v>
      </c>
      <c r="G65" s="53" t="s">
        <v>42</v>
      </c>
      <c r="H65" s="53" t="s">
        <v>164</v>
      </c>
      <c r="I65" s="53" t="s">
        <v>159</v>
      </c>
      <c r="J65" s="53" t="s">
        <v>38</v>
      </c>
      <c r="K65" s="53" t="s">
        <v>161</v>
      </c>
      <c r="L65" s="53">
        <v>1</v>
      </c>
      <c r="N65" s="53">
        <v>1</v>
      </c>
      <c r="O65" s="53">
        <v>0.85</v>
      </c>
      <c r="P65" s="53">
        <v>0.65</v>
      </c>
      <c r="Q65" s="74">
        <f t="shared" si="0"/>
        <v>0.75</v>
      </c>
      <c r="R65" s="53">
        <v>14</v>
      </c>
      <c r="S65" s="53">
        <v>125</v>
      </c>
      <c r="T65" s="16">
        <f t="shared" si="1"/>
        <v>27</v>
      </c>
      <c r="U65" s="53">
        <v>108</v>
      </c>
      <c r="V65" s="16">
        <f t="shared" si="2"/>
        <v>2916</v>
      </c>
      <c r="W65" s="53">
        <v>4</v>
      </c>
      <c r="X65" s="53" t="s">
        <v>46</v>
      </c>
      <c r="Y65" s="53" t="s">
        <v>55</v>
      </c>
      <c r="Z65" s="53" t="s">
        <v>69</v>
      </c>
      <c r="AA65" s="53" t="s">
        <v>97</v>
      </c>
      <c r="AB65" s="53" t="s">
        <v>158</v>
      </c>
    </row>
    <row r="66" spans="1:28" x14ac:dyDescent="0.15">
      <c r="A66" s="53" t="s">
        <v>41</v>
      </c>
      <c r="B66" s="53" t="s">
        <v>157</v>
      </c>
      <c r="C66" s="62">
        <v>2019</v>
      </c>
      <c r="D66" s="63" t="s">
        <v>184</v>
      </c>
      <c r="E66" s="53" t="s">
        <v>195</v>
      </c>
      <c r="F66" s="53" t="s">
        <v>185</v>
      </c>
      <c r="G66" s="53" t="s">
        <v>42</v>
      </c>
      <c r="H66" s="53" t="s">
        <v>164</v>
      </c>
      <c r="I66" s="53" t="s">
        <v>159</v>
      </c>
      <c r="J66" s="53" t="s">
        <v>38</v>
      </c>
      <c r="K66" s="53" t="s">
        <v>161</v>
      </c>
      <c r="L66" s="53">
        <v>2</v>
      </c>
      <c r="N66" s="53">
        <v>1</v>
      </c>
      <c r="O66" s="53">
        <v>0.7</v>
      </c>
      <c r="P66" s="53">
        <v>0.65</v>
      </c>
      <c r="Q66" s="74">
        <f t="shared" ref="Q66:Q129" si="3">IF(OR(O66="",P66=""),"",AVERAGE(O66,P66))</f>
        <v>0.67500000000000004</v>
      </c>
      <c r="R66" s="53">
        <v>12.3</v>
      </c>
      <c r="S66" s="53">
        <v>122</v>
      </c>
      <c r="T66" s="16">
        <f t="shared" ref="T66:T129" si="4">IF(H66="","",IF(OR(H66="GREEN",H66="GK"),IF(S66&gt;=$AX$2,VLOOKUP(S66,$AX$2:$AY$10,2,1),""),IF(S66&gt;=$AZ$2,VLOOKUP(S66,$AZ$2:$BA$10,2,1),"")))</f>
        <v>27</v>
      </c>
      <c r="U66" s="53">
        <v>108</v>
      </c>
      <c r="V66" s="16">
        <f t="shared" ref="V66:V129" si="5">IF(OR(N66="",U66="",T66=""),"",U66/N66*T66)</f>
        <v>2916</v>
      </c>
      <c r="W66" s="53">
        <v>4</v>
      </c>
      <c r="X66" s="53" t="s">
        <v>46</v>
      </c>
      <c r="Y66" s="53" t="s">
        <v>55</v>
      </c>
      <c r="Z66" s="53" t="s">
        <v>69</v>
      </c>
      <c r="AA66" s="53" t="s">
        <v>97</v>
      </c>
      <c r="AB66" s="53" t="s">
        <v>158</v>
      </c>
    </row>
    <row r="67" spans="1:28" x14ac:dyDescent="0.15">
      <c r="A67" s="53" t="s">
        <v>41</v>
      </c>
      <c r="B67" s="53" t="s">
        <v>157</v>
      </c>
      <c r="C67" s="62">
        <v>2019</v>
      </c>
      <c r="D67" s="63" t="s">
        <v>184</v>
      </c>
      <c r="E67" s="53" t="s">
        <v>195</v>
      </c>
      <c r="F67" s="53" t="s">
        <v>185</v>
      </c>
      <c r="G67" s="53" t="s">
        <v>42</v>
      </c>
      <c r="H67" s="53" t="s">
        <v>164</v>
      </c>
      <c r="I67" s="53" t="s">
        <v>159</v>
      </c>
      <c r="J67" s="53" t="s">
        <v>38</v>
      </c>
      <c r="K67" s="53" t="s">
        <v>161</v>
      </c>
      <c r="L67" s="53">
        <v>3</v>
      </c>
      <c r="N67" s="53">
        <v>1</v>
      </c>
      <c r="O67" s="53">
        <v>0.65</v>
      </c>
      <c r="P67" s="53">
        <v>0.8</v>
      </c>
      <c r="Q67" s="74">
        <f t="shared" si="3"/>
        <v>0.72500000000000009</v>
      </c>
      <c r="R67" s="53">
        <v>12.5</v>
      </c>
      <c r="S67" s="53">
        <v>126</v>
      </c>
      <c r="T67" s="16">
        <f t="shared" si="4"/>
        <v>27</v>
      </c>
      <c r="U67" s="53">
        <v>108</v>
      </c>
      <c r="V67" s="16">
        <f t="shared" si="5"/>
        <v>2916</v>
      </c>
      <c r="W67" s="53">
        <v>4</v>
      </c>
      <c r="X67" s="53" t="s">
        <v>46</v>
      </c>
      <c r="Y67" s="53" t="s">
        <v>55</v>
      </c>
      <c r="Z67" s="53" t="s">
        <v>69</v>
      </c>
      <c r="AA67" s="53" t="s">
        <v>97</v>
      </c>
      <c r="AB67" s="53" t="s">
        <v>158</v>
      </c>
    </row>
    <row r="68" spans="1:28" x14ac:dyDescent="0.15">
      <c r="A68" s="53" t="s">
        <v>41</v>
      </c>
      <c r="B68" s="53" t="s">
        <v>157</v>
      </c>
      <c r="C68" s="62">
        <v>2019</v>
      </c>
      <c r="D68" s="63" t="s">
        <v>184</v>
      </c>
      <c r="E68" s="53" t="s">
        <v>195</v>
      </c>
      <c r="F68" s="53" t="s">
        <v>185</v>
      </c>
      <c r="G68" s="53" t="s">
        <v>42</v>
      </c>
      <c r="H68" s="53" t="s">
        <v>164</v>
      </c>
      <c r="I68" s="53" t="s">
        <v>159</v>
      </c>
      <c r="J68" s="53" t="s">
        <v>38</v>
      </c>
      <c r="K68" s="53" t="s">
        <v>161</v>
      </c>
      <c r="L68" s="53">
        <v>1</v>
      </c>
      <c r="N68" s="53">
        <v>4</v>
      </c>
      <c r="O68" s="53">
        <v>0.8</v>
      </c>
      <c r="P68" s="53">
        <v>0.75</v>
      </c>
      <c r="Q68" s="74">
        <f t="shared" si="3"/>
        <v>0.77500000000000002</v>
      </c>
      <c r="R68" s="53">
        <v>13.8</v>
      </c>
      <c r="S68" s="53">
        <v>122</v>
      </c>
      <c r="T68" s="16">
        <f t="shared" si="4"/>
        <v>27</v>
      </c>
      <c r="U68" s="53">
        <v>429</v>
      </c>
      <c r="V68" s="16">
        <f t="shared" si="5"/>
        <v>2895.75</v>
      </c>
      <c r="W68" s="53">
        <v>2</v>
      </c>
      <c r="X68" s="53" t="s">
        <v>46</v>
      </c>
      <c r="Y68" s="53" t="s">
        <v>55</v>
      </c>
      <c r="Z68" s="53" t="s">
        <v>69</v>
      </c>
      <c r="AA68" s="53" t="s">
        <v>97</v>
      </c>
      <c r="AB68" s="53" t="s">
        <v>158</v>
      </c>
    </row>
    <row r="69" spans="1:28" x14ac:dyDescent="0.15">
      <c r="A69" s="53" t="s">
        <v>41</v>
      </c>
      <c r="B69" s="53" t="s">
        <v>157</v>
      </c>
      <c r="C69" s="62">
        <v>2019</v>
      </c>
      <c r="D69" s="63" t="s">
        <v>184</v>
      </c>
      <c r="E69" s="53" t="s">
        <v>195</v>
      </c>
      <c r="F69" s="53" t="s">
        <v>185</v>
      </c>
      <c r="G69" s="53" t="s">
        <v>42</v>
      </c>
      <c r="H69" s="53" t="s">
        <v>164</v>
      </c>
      <c r="I69" s="53" t="s">
        <v>159</v>
      </c>
      <c r="J69" s="53" t="s">
        <v>38</v>
      </c>
      <c r="K69" s="53" t="s">
        <v>161</v>
      </c>
      <c r="L69" s="53">
        <v>2</v>
      </c>
      <c r="N69" s="53">
        <v>4</v>
      </c>
      <c r="O69" s="53">
        <v>0.65</v>
      </c>
      <c r="P69" s="53">
        <v>0.7</v>
      </c>
      <c r="Q69" s="74">
        <f t="shared" si="3"/>
        <v>0.67500000000000004</v>
      </c>
      <c r="R69" s="53">
        <v>11.5</v>
      </c>
      <c r="S69" s="53">
        <v>122</v>
      </c>
      <c r="T69" s="16">
        <f t="shared" si="4"/>
        <v>27</v>
      </c>
      <c r="U69" s="53">
        <v>429</v>
      </c>
      <c r="V69" s="16">
        <f t="shared" si="5"/>
        <v>2895.75</v>
      </c>
      <c r="W69" s="53">
        <v>2</v>
      </c>
      <c r="X69" s="53" t="s">
        <v>46</v>
      </c>
      <c r="Y69" s="53" t="s">
        <v>55</v>
      </c>
      <c r="Z69" s="53" t="s">
        <v>69</v>
      </c>
      <c r="AA69" s="53" t="s">
        <v>97</v>
      </c>
      <c r="AB69" s="53" t="s">
        <v>158</v>
      </c>
    </row>
    <row r="70" spans="1:28" x14ac:dyDescent="0.15">
      <c r="A70" s="53" t="s">
        <v>41</v>
      </c>
      <c r="B70" s="53" t="s">
        <v>157</v>
      </c>
      <c r="C70" s="62">
        <v>2019</v>
      </c>
      <c r="D70" s="63" t="s">
        <v>184</v>
      </c>
      <c r="E70" s="53" t="s">
        <v>195</v>
      </c>
      <c r="F70" s="53" t="s">
        <v>185</v>
      </c>
      <c r="G70" s="53" t="s">
        <v>42</v>
      </c>
      <c r="H70" s="53" t="s">
        <v>164</v>
      </c>
      <c r="I70" s="53" t="s">
        <v>159</v>
      </c>
      <c r="J70" s="53" t="s">
        <v>38</v>
      </c>
      <c r="K70" s="53" t="s">
        <v>161</v>
      </c>
      <c r="L70" s="53">
        <v>3</v>
      </c>
      <c r="N70" s="53">
        <v>4</v>
      </c>
      <c r="O70" s="53">
        <v>0.4</v>
      </c>
      <c r="P70" s="53">
        <v>0.65</v>
      </c>
      <c r="Q70" s="74">
        <f t="shared" si="3"/>
        <v>0.52500000000000002</v>
      </c>
      <c r="R70" s="53">
        <v>12.1</v>
      </c>
      <c r="S70" s="53">
        <v>119</v>
      </c>
      <c r="T70" s="16">
        <f t="shared" si="4"/>
        <v>30</v>
      </c>
      <c r="U70" s="53">
        <v>429</v>
      </c>
      <c r="V70" s="16">
        <f t="shared" si="5"/>
        <v>3217.5</v>
      </c>
      <c r="W70" s="53">
        <v>2</v>
      </c>
      <c r="X70" s="53" t="s">
        <v>46</v>
      </c>
      <c r="Y70" s="53" t="s">
        <v>55</v>
      </c>
      <c r="Z70" s="53" t="s">
        <v>69</v>
      </c>
      <c r="AA70" s="53" t="s">
        <v>97</v>
      </c>
      <c r="AB70" s="53" t="s">
        <v>158</v>
      </c>
    </row>
    <row r="71" spans="1:28" x14ac:dyDescent="0.15">
      <c r="A71" s="53" t="s">
        <v>41</v>
      </c>
      <c r="B71" s="53" t="s">
        <v>157</v>
      </c>
      <c r="C71" s="62">
        <v>2019</v>
      </c>
      <c r="D71" s="63" t="s">
        <v>184</v>
      </c>
      <c r="E71" s="53" t="s">
        <v>195</v>
      </c>
      <c r="F71" s="53" t="s">
        <v>185</v>
      </c>
      <c r="G71" s="53" t="s">
        <v>42</v>
      </c>
      <c r="H71" s="53" t="s">
        <v>160</v>
      </c>
      <c r="I71" s="53" t="s">
        <v>159</v>
      </c>
      <c r="J71" s="53" t="s">
        <v>38</v>
      </c>
      <c r="K71" s="53" t="s">
        <v>161</v>
      </c>
      <c r="L71" s="53">
        <v>1</v>
      </c>
      <c r="N71" s="53">
        <v>8</v>
      </c>
      <c r="O71" s="53">
        <v>0.3</v>
      </c>
      <c r="P71" s="53">
        <v>0.35</v>
      </c>
      <c r="Q71" s="74">
        <f t="shared" si="3"/>
        <v>0.32499999999999996</v>
      </c>
      <c r="R71" s="53">
        <v>14.1</v>
      </c>
      <c r="S71" s="53">
        <v>115</v>
      </c>
      <c r="T71" s="16">
        <f t="shared" si="4"/>
        <v>30</v>
      </c>
      <c r="U71" s="53">
        <v>1058</v>
      </c>
      <c r="V71" s="16">
        <f t="shared" si="5"/>
        <v>3967.5</v>
      </c>
      <c r="W71" s="53">
        <v>1</v>
      </c>
      <c r="X71" s="53" t="s">
        <v>46</v>
      </c>
      <c r="Y71" s="53" t="s">
        <v>55</v>
      </c>
      <c r="Z71" s="53" t="s">
        <v>69</v>
      </c>
      <c r="AA71" s="53" t="s">
        <v>97</v>
      </c>
      <c r="AB71" s="53" t="s">
        <v>158</v>
      </c>
    </row>
    <row r="72" spans="1:28" x14ac:dyDescent="0.15">
      <c r="A72" s="53" t="s">
        <v>41</v>
      </c>
      <c r="B72" s="53" t="s">
        <v>157</v>
      </c>
      <c r="C72" s="62">
        <v>2019</v>
      </c>
      <c r="D72" s="63" t="s">
        <v>184</v>
      </c>
      <c r="E72" s="53" t="s">
        <v>195</v>
      </c>
      <c r="F72" s="53" t="s">
        <v>185</v>
      </c>
      <c r="G72" s="53" t="s">
        <v>42</v>
      </c>
      <c r="H72" s="53" t="s">
        <v>160</v>
      </c>
      <c r="I72" s="53" t="s">
        <v>159</v>
      </c>
      <c r="J72" s="53" t="s">
        <v>38</v>
      </c>
      <c r="K72" s="53" t="s">
        <v>161</v>
      </c>
      <c r="L72" s="53">
        <v>2</v>
      </c>
      <c r="N72" s="53">
        <v>8</v>
      </c>
      <c r="O72" s="53">
        <v>0.25</v>
      </c>
      <c r="P72" s="53">
        <v>0.35</v>
      </c>
      <c r="Q72" s="74">
        <f t="shared" si="3"/>
        <v>0.3</v>
      </c>
      <c r="R72" s="53">
        <v>15.1</v>
      </c>
      <c r="S72" s="53">
        <v>118</v>
      </c>
      <c r="T72" s="16">
        <f t="shared" si="4"/>
        <v>30</v>
      </c>
      <c r="U72" s="53">
        <v>1058</v>
      </c>
      <c r="V72" s="16">
        <f t="shared" si="5"/>
        <v>3967.5</v>
      </c>
      <c r="W72" s="53">
        <v>1</v>
      </c>
      <c r="X72" s="53" t="s">
        <v>46</v>
      </c>
      <c r="Y72" s="53" t="s">
        <v>55</v>
      </c>
      <c r="Z72" s="53" t="s">
        <v>69</v>
      </c>
      <c r="AA72" s="53" t="s">
        <v>97</v>
      </c>
      <c r="AB72" s="53" t="s">
        <v>158</v>
      </c>
    </row>
    <row r="73" spans="1:28" x14ac:dyDescent="0.15">
      <c r="A73" s="53" t="s">
        <v>41</v>
      </c>
      <c r="B73" s="53" t="s">
        <v>157</v>
      </c>
      <c r="C73" s="62">
        <v>2019</v>
      </c>
      <c r="D73" s="63" t="s">
        <v>184</v>
      </c>
      <c r="E73" s="53" t="s">
        <v>195</v>
      </c>
      <c r="F73" s="53" t="s">
        <v>185</v>
      </c>
      <c r="G73" s="53" t="s">
        <v>42</v>
      </c>
      <c r="H73" s="53" t="s">
        <v>160</v>
      </c>
      <c r="I73" s="53" t="s">
        <v>159</v>
      </c>
      <c r="J73" s="53" t="s">
        <v>38</v>
      </c>
      <c r="K73" s="53" t="s">
        <v>161</v>
      </c>
      <c r="L73" s="53">
        <v>3</v>
      </c>
      <c r="N73" s="53">
        <v>8</v>
      </c>
      <c r="O73" s="53">
        <v>0.35</v>
      </c>
      <c r="P73" s="53">
        <v>0.25</v>
      </c>
      <c r="Q73" s="74">
        <f t="shared" si="3"/>
        <v>0.3</v>
      </c>
      <c r="R73" s="53">
        <v>12.9</v>
      </c>
      <c r="S73" s="53">
        <v>120</v>
      </c>
      <c r="T73" s="16">
        <f t="shared" si="4"/>
        <v>30</v>
      </c>
      <c r="U73" s="53">
        <v>1058</v>
      </c>
      <c r="V73" s="16">
        <f t="shared" si="5"/>
        <v>3967.5</v>
      </c>
      <c r="W73" s="53">
        <v>1</v>
      </c>
      <c r="X73" s="53" t="s">
        <v>46</v>
      </c>
      <c r="Y73" s="53" t="s">
        <v>55</v>
      </c>
      <c r="Z73" s="53" t="s">
        <v>69</v>
      </c>
      <c r="AA73" s="53" t="s">
        <v>97</v>
      </c>
      <c r="AB73" s="53" t="s">
        <v>158</v>
      </c>
    </row>
    <row r="74" spans="1:28" x14ac:dyDescent="0.15">
      <c r="A74" s="53" t="s">
        <v>41</v>
      </c>
      <c r="B74" s="53" t="s">
        <v>157</v>
      </c>
      <c r="C74" s="62">
        <v>2019</v>
      </c>
      <c r="D74" s="63" t="s">
        <v>184</v>
      </c>
      <c r="E74" s="53" t="s">
        <v>195</v>
      </c>
      <c r="F74" s="53" t="s">
        <v>185</v>
      </c>
      <c r="G74" s="53" t="s">
        <v>42</v>
      </c>
      <c r="H74" s="53" t="s">
        <v>160</v>
      </c>
      <c r="I74" s="53" t="s">
        <v>159</v>
      </c>
      <c r="J74" s="53" t="s">
        <v>38</v>
      </c>
      <c r="K74" s="53" t="s">
        <v>161</v>
      </c>
      <c r="L74" s="53">
        <v>1</v>
      </c>
      <c r="N74" s="53">
        <v>1</v>
      </c>
      <c r="O74" s="53">
        <v>0.35</v>
      </c>
      <c r="P74" s="53">
        <v>0.3</v>
      </c>
      <c r="Q74" s="74">
        <f t="shared" si="3"/>
        <v>0.32499999999999996</v>
      </c>
      <c r="R74" s="53">
        <v>13.5</v>
      </c>
      <c r="S74" s="53">
        <v>123</v>
      </c>
      <c r="T74" s="16">
        <f t="shared" si="4"/>
        <v>27</v>
      </c>
      <c r="U74" s="53">
        <v>138</v>
      </c>
      <c r="V74" s="16">
        <f t="shared" si="5"/>
        <v>3726</v>
      </c>
      <c r="W74" s="53">
        <v>3</v>
      </c>
      <c r="X74" s="53" t="s">
        <v>46</v>
      </c>
      <c r="Y74" s="53" t="s">
        <v>55</v>
      </c>
      <c r="Z74" s="53" t="s">
        <v>69</v>
      </c>
      <c r="AA74" s="53" t="s">
        <v>97</v>
      </c>
      <c r="AB74" s="53" t="s">
        <v>158</v>
      </c>
    </row>
    <row r="75" spans="1:28" x14ac:dyDescent="0.15">
      <c r="A75" s="53" t="s">
        <v>41</v>
      </c>
      <c r="B75" s="53" t="s">
        <v>157</v>
      </c>
      <c r="C75" s="62">
        <v>2019</v>
      </c>
      <c r="D75" s="63" t="s">
        <v>184</v>
      </c>
      <c r="E75" s="53" t="s">
        <v>195</v>
      </c>
      <c r="F75" s="53" t="s">
        <v>185</v>
      </c>
      <c r="G75" s="53" t="s">
        <v>42</v>
      </c>
      <c r="H75" s="53" t="s">
        <v>160</v>
      </c>
      <c r="I75" s="53" t="s">
        <v>159</v>
      </c>
      <c r="J75" s="53" t="s">
        <v>38</v>
      </c>
      <c r="K75" s="53" t="s">
        <v>161</v>
      </c>
      <c r="L75" s="53">
        <v>2</v>
      </c>
      <c r="N75" s="53">
        <v>1</v>
      </c>
      <c r="O75" s="53">
        <v>0.35</v>
      </c>
      <c r="P75" s="53">
        <v>0.25</v>
      </c>
      <c r="Q75" s="74">
        <f t="shared" si="3"/>
        <v>0.3</v>
      </c>
      <c r="R75" s="53">
        <v>14</v>
      </c>
      <c r="S75" s="53">
        <v>128</v>
      </c>
      <c r="T75" s="16">
        <f t="shared" si="4"/>
        <v>27</v>
      </c>
      <c r="U75" s="53">
        <v>138</v>
      </c>
      <c r="V75" s="16">
        <f t="shared" si="5"/>
        <v>3726</v>
      </c>
      <c r="W75" s="53">
        <v>3</v>
      </c>
      <c r="X75" s="53" t="s">
        <v>46</v>
      </c>
      <c r="Y75" s="53" t="s">
        <v>55</v>
      </c>
      <c r="Z75" s="53" t="s">
        <v>69</v>
      </c>
      <c r="AA75" s="53" t="s">
        <v>97</v>
      </c>
      <c r="AB75" s="53" t="s">
        <v>158</v>
      </c>
    </row>
    <row r="76" spans="1:28" x14ac:dyDescent="0.15">
      <c r="A76" s="53" t="s">
        <v>41</v>
      </c>
      <c r="B76" s="53" t="s">
        <v>157</v>
      </c>
      <c r="C76" s="62">
        <v>2019</v>
      </c>
      <c r="D76" s="63" t="s">
        <v>184</v>
      </c>
      <c r="E76" s="53" t="s">
        <v>195</v>
      </c>
      <c r="F76" s="53" t="s">
        <v>185</v>
      </c>
      <c r="G76" s="53" t="s">
        <v>42</v>
      </c>
      <c r="H76" s="53" t="s">
        <v>160</v>
      </c>
      <c r="I76" s="53" t="s">
        <v>159</v>
      </c>
      <c r="J76" s="53" t="s">
        <v>38</v>
      </c>
      <c r="K76" s="53" t="s">
        <v>161</v>
      </c>
      <c r="L76" s="53">
        <v>3</v>
      </c>
      <c r="N76" s="53">
        <v>1</v>
      </c>
      <c r="O76" s="53">
        <v>0.35</v>
      </c>
      <c r="P76" s="53">
        <v>0.25</v>
      </c>
      <c r="Q76" s="74">
        <f t="shared" si="3"/>
        <v>0.3</v>
      </c>
      <c r="R76" s="53">
        <v>14.8</v>
      </c>
      <c r="S76" s="53">
        <v>127</v>
      </c>
      <c r="T76" s="16">
        <f t="shared" si="4"/>
        <v>27</v>
      </c>
      <c r="U76" s="53">
        <v>138</v>
      </c>
      <c r="V76" s="16">
        <f t="shared" si="5"/>
        <v>3726</v>
      </c>
      <c r="W76" s="53">
        <v>3</v>
      </c>
      <c r="X76" s="53" t="s">
        <v>46</v>
      </c>
      <c r="Y76" s="53" t="s">
        <v>55</v>
      </c>
      <c r="Z76" s="53" t="s">
        <v>69</v>
      </c>
      <c r="AA76" s="53" t="s">
        <v>97</v>
      </c>
      <c r="AB76" s="53" t="s">
        <v>158</v>
      </c>
    </row>
    <row r="77" spans="1:28" x14ac:dyDescent="0.15">
      <c r="A77" s="53" t="s">
        <v>41</v>
      </c>
      <c r="B77" s="53" t="s">
        <v>157</v>
      </c>
      <c r="C77" s="62">
        <v>2019</v>
      </c>
      <c r="D77" s="63" t="s">
        <v>184</v>
      </c>
      <c r="E77" s="53" t="s">
        <v>195</v>
      </c>
      <c r="F77" s="53" t="s">
        <v>185</v>
      </c>
      <c r="G77" s="53" t="s">
        <v>42</v>
      </c>
      <c r="H77" s="53" t="s">
        <v>160</v>
      </c>
      <c r="I77" s="53" t="s">
        <v>159</v>
      </c>
      <c r="J77" s="53" t="s">
        <v>38</v>
      </c>
      <c r="K77" s="53" t="s">
        <v>161</v>
      </c>
      <c r="L77" s="53">
        <v>1</v>
      </c>
      <c r="N77" s="53">
        <v>4</v>
      </c>
      <c r="O77" s="53">
        <v>0.5</v>
      </c>
      <c r="P77" s="53">
        <v>0.4</v>
      </c>
      <c r="Q77" s="74">
        <f t="shared" si="3"/>
        <v>0.45</v>
      </c>
      <c r="R77" s="53">
        <v>16</v>
      </c>
      <c r="S77" s="53">
        <v>120</v>
      </c>
      <c r="T77" s="16">
        <f t="shared" si="4"/>
        <v>30</v>
      </c>
      <c r="U77" s="53">
        <v>537</v>
      </c>
      <c r="V77" s="16">
        <f t="shared" si="5"/>
        <v>4027.5</v>
      </c>
      <c r="W77" s="53">
        <v>2</v>
      </c>
      <c r="X77" s="53" t="s">
        <v>46</v>
      </c>
      <c r="Y77" s="53" t="s">
        <v>55</v>
      </c>
      <c r="Z77" s="53" t="s">
        <v>69</v>
      </c>
      <c r="AA77" s="53" t="s">
        <v>97</v>
      </c>
      <c r="AB77" s="53" t="s">
        <v>158</v>
      </c>
    </row>
    <row r="78" spans="1:28" x14ac:dyDescent="0.15">
      <c r="A78" s="53" t="s">
        <v>41</v>
      </c>
      <c r="B78" s="53" t="s">
        <v>157</v>
      </c>
      <c r="C78" s="62">
        <v>2019</v>
      </c>
      <c r="D78" s="63" t="s">
        <v>184</v>
      </c>
      <c r="E78" s="53" t="s">
        <v>195</v>
      </c>
      <c r="F78" s="53" t="s">
        <v>185</v>
      </c>
      <c r="G78" s="53" t="s">
        <v>42</v>
      </c>
      <c r="H78" s="53" t="s">
        <v>160</v>
      </c>
      <c r="I78" s="53" t="s">
        <v>159</v>
      </c>
      <c r="J78" s="53" t="s">
        <v>38</v>
      </c>
      <c r="K78" s="53" t="s">
        <v>161</v>
      </c>
      <c r="L78" s="53">
        <v>2</v>
      </c>
      <c r="N78" s="53">
        <v>4</v>
      </c>
      <c r="O78" s="53">
        <v>0.25</v>
      </c>
      <c r="P78" s="53">
        <v>0.3</v>
      </c>
      <c r="Q78" s="74">
        <f t="shared" si="3"/>
        <v>0.27500000000000002</v>
      </c>
      <c r="R78" s="53">
        <v>16.100000000000001</v>
      </c>
      <c r="S78" s="53">
        <v>120</v>
      </c>
      <c r="T78" s="16">
        <f t="shared" si="4"/>
        <v>30</v>
      </c>
      <c r="U78" s="53">
        <v>537</v>
      </c>
      <c r="V78" s="16">
        <f t="shared" si="5"/>
        <v>4027.5</v>
      </c>
      <c r="W78" s="53">
        <v>2</v>
      </c>
      <c r="X78" s="53" t="s">
        <v>46</v>
      </c>
      <c r="Y78" s="53" t="s">
        <v>55</v>
      </c>
      <c r="Z78" s="53" t="s">
        <v>69</v>
      </c>
      <c r="AA78" s="53" t="s">
        <v>97</v>
      </c>
      <c r="AB78" s="53" t="s">
        <v>158</v>
      </c>
    </row>
    <row r="79" spans="1:28" x14ac:dyDescent="0.15">
      <c r="A79" s="53" t="s">
        <v>41</v>
      </c>
      <c r="B79" s="53" t="s">
        <v>157</v>
      </c>
      <c r="C79" s="62">
        <v>2019</v>
      </c>
      <c r="D79" s="63" t="s">
        <v>184</v>
      </c>
      <c r="E79" s="53" t="s">
        <v>195</v>
      </c>
      <c r="F79" s="53" t="s">
        <v>185</v>
      </c>
      <c r="G79" s="53" t="s">
        <v>42</v>
      </c>
      <c r="H79" s="53" t="s">
        <v>160</v>
      </c>
      <c r="I79" s="53" t="s">
        <v>159</v>
      </c>
      <c r="J79" s="53" t="s">
        <v>38</v>
      </c>
      <c r="K79" s="53" t="s">
        <v>161</v>
      </c>
      <c r="L79" s="53">
        <v>3</v>
      </c>
      <c r="N79" s="53">
        <v>4</v>
      </c>
      <c r="O79" s="53">
        <v>0.3</v>
      </c>
      <c r="P79" s="53">
        <v>0.25</v>
      </c>
      <c r="Q79" s="74">
        <f t="shared" si="3"/>
        <v>0.27500000000000002</v>
      </c>
      <c r="R79" s="53">
        <v>15.1</v>
      </c>
      <c r="S79" s="53">
        <v>120</v>
      </c>
      <c r="T79" s="16">
        <f t="shared" si="4"/>
        <v>30</v>
      </c>
      <c r="U79" s="53">
        <v>537</v>
      </c>
      <c r="V79" s="16">
        <f t="shared" si="5"/>
        <v>4027.5</v>
      </c>
      <c r="W79" s="53">
        <v>2</v>
      </c>
      <c r="X79" s="53" t="s">
        <v>46</v>
      </c>
      <c r="Y79" s="53" t="s">
        <v>55</v>
      </c>
      <c r="Z79" s="53" t="s">
        <v>69</v>
      </c>
      <c r="AA79" s="53" t="s">
        <v>97</v>
      </c>
      <c r="AB79" s="53" t="s">
        <v>158</v>
      </c>
    </row>
    <row r="80" spans="1:28" x14ac:dyDescent="0.15">
      <c r="A80" s="53" t="s">
        <v>41</v>
      </c>
      <c r="B80" s="53" t="s">
        <v>157</v>
      </c>
      <c r="C80" s="62">
        <v>2019</v>
      </c>
      <c r="D80" s="63" t="s">
        <v>184</v>
      </c>
      <c r="E80" s="53" t="s">
        <v>195</v>
      </c>
      <c r="F80" s="53" t="s">
        <v>197</v>
      </c>
      <c r="G80" s="53" t="s">
        <v>42</v>
      </c>
      <c r="H80" s="53" t="s">
        <v>164</v>
      </c>
      <c r="I80" s="53" t="s">
        <v>159</v>
      </c>
      <c r="J80" s="53" t="s">
        <v>38</v>
      </c>
      <c r="K80" s="53" t="s">
        <v>161</v>
      </c>
      <c r="L80" s="53">
        <v>1</v>
      </c>
      <c r="N80" s="53">
        <v>1</v>
      </c>
      <c r="O80" s="53">
        <v>0.4</v>
      </c>
      <c r="P80" s="53">
        <v>0.6</v>
      </c>
      <c r="Q80" s="74">
        <f t="shared" si="3"/>
        <v>0.5</v>
      </c>
      <c r="R80" s="53">
        <v>14.2</v>
      </c>
      <c r="S80" s="53">
        <v>128</v>
      </c>
      <c r="T80" s="16">
        <f t="shared" si="4"/>
        <v>27</v>
      </c>
      <c r="U80" s="53">
        <v>105</v>
      </c>
      <c r="V80" s="16">
        <f t="shared" si="5"/>
        <v>2835</v>
      </c>
      <c r="W80" s="53">
        <v>3</v>
      </c>
      <c r="X80" s="53" t="s">
        <v>46</v>
      </c>
      <c r="Y80" s="53" t="s">
        <v>69</v>
      </c>
      <c r="Z80" s="53" t="s">
        <v>55</v>
      </c>
      <c r="AA80" s="53" t="s">
        <v>97</v>
      </c>
      <c r="AB80" s="53" t="s">
        <v>158</v>
      </c>
    </row>
    <row r="81" spans="1:34" x14ac:dyDescent="0.15">
      <c r="A81" s="53" t="s">
        <v>41</v>
      </c>
      <c r="B81" s="53" t="s">
        <v>157</v>
      </c>
      <c r="C81" s="62">
        <v>2019</v>
      </c>
      <c r="D81" s="63" t="s">
        <v>184</v>
      </c>
      <c r="E81" s="53" t="s">
        <v>195</v>
      </c>
      <c r="F81" s="53" t="s">
        <v>197</v>
      </c>
      <c r="G81" s="53" t="s">
        <v>42</v>
      </c>
      <c r="H81" s="53" t="s">
        <v>164</v>
      </c>
      <c r="I81" s="53" t="s">
        <v>159</v>
      </c>
      <c r="J81" s="53" t="s">
        <v>38</v>
      </c>
      <c r="K81" s="53" t="s">
        <v>161</v>
      </c>
      <c r="L81" s="53">
        <v>2</v>
      </c>
      <c r="N81" s="53">
        <v>1</v>
      </c>
      <c r="O81" s="53">
        <v>0.65</v>
      </c>
      <c r="P81" s="53">
        <v>0.7</v>
      </c>
      <c r="Q81" s="74">
        <f t="shared" si="3"/>
        <v>0.67500000000000004</v>
      </c>
      <c r="R81" s="53">
        <v>13.8</v>
      </c>
      <c r="S81" s="53">
        <v>123</v>
      </c>
      <c r="T81" s="16">
        <f t="shared" si="4"/>
        <v>27</v>
      </c>
      <c r="U81" s="53">
        <v>105</v>
      </c>
      <c r="V81" s="16">
        <f t="shared" si="5"/>
        <v>2835</v>
      </c>
      <c r="W81" s="53">
        <v>3</v>
      </c>
      <c r="X81" s="53" t="s">
        <v>46</v>
      </c>
      <c r="Y81" s="53" t="s">
        <v>69</v>
      </c>
      <c r="Z81" s="53" t="s">
        <v>55</v>
      </c>
      <c r="AA81" s="53" t="s">
        <v>97</v>
      </c>
      <c r="AB81" s="53" t="s">
        <v>158</v>
      </c>
    </row>
    <row r="82" spans="1:34" x14ac:dyDescent="0.15">
      <c r="A82" s="53" t="s">
        <v>41</v>
      </c>
      <c r="B82" s="53" t="s">
        <v>157</v>
      </c>
      <c r="C82" s="62">
        <v>2019</v>
      </c>
      <c r="D82" s="63" t="s">
        <v>184</v>
      </c>
      <c r="E82" s="53" t="s">
        <v>195</v>
      </c>
      <c r="F82" s="53" t="s">
        <v>197</v>
      </c>
      <c r="G82" s="53" t="s">
        <v>42</v>
      </c>
      <c r="H82" s="53" t="s">
        <v>164</v>
      </c>
      <c r="I82" s="53" t="s">
        <v>159</v>
      </c>
      <c r="J82" s="53" t="s">
        <v>38</v>
      </c>
      <c r="K82" s="53" t="s">
        <v>161</v>
      </c>
      <c r="L82" s="53">
        <v>3</v>
      </c>
      <c r="N82" s="53">
        <v>1</v>
      </c>
      <c r="O82" s="53">
        <v>0.55000000000000004</v>
      </c>
      <c r="P82" s="53">
        <v>0.4</v>
      </c>
      <c r="Q82" s="74">
        <f t="shared" si="3"/>
        <v>0.47500000000000003</v>
      </c>
      <c r="R82" s="53">
        <v>12.1</v>
      </c>
      <c r="S82" s="53">
        <v>124</v>
      </c>
      <c r="T82" s="16">
        <f t="shared" si="4"/>
        <v>27</v>
      </c>
      <c r="U82" s="53">
        <v>105</v>
      </c>
      <c r="V82" s="16">
        <f t="shared" si="5"/>
        <v>2835</v>
      </c>
      <c r="W82" s="53">
        <v>3</v>
      </c>
      <c r="X82" s="53" t="s">
        <v>46</v>
      </c>
      <c r="Y82" s="53" t="s">
        <v>69</v>
      </c>
      <c r="Z82" s="53" t="s">
        <v>55</v>
      </c>
      <c r="AA82" s="53" t="s">
        <v>97</v>
      </c>
      <c r="AB82" s="53" t="s">
        <v>158</v>
      </c>
    </row>
    <row r="83" spans="1:34" x14ac:dyDescent="0.15">
      <c r="A83" s="53" t="s">
        <v>41</v>
      </c>
      <c r="B83" s="53" t="s">
        <v>157</v>
      </c>
      <c r="C83" s="62">
        <v>2019</v>
      </c>
      <c r="D83" s="63" t="s">
        <v>184</v>
      </c>
      <c r="E83" s="53" t="s">
        <v>195</v>
      </c>
      <c r="F83" s="53" t="s">
        <v>197</v>
      </c>
      <c r="G83" s="53" t="s">
        <v>42</v>
      </c>
      <c r="H83" s="53" t="s">
        <v>164</v>
      </c>
      <c r="I83" s="53" t="s">
        <v>159</v>
      </c>
      <c r="J83" s="53" t="s">
        <v>38</v>
      </c>
      <c r="K83" s="53" t="s">
        <v>161</v>
      </c>
      <c r="L83" s="53">
        <v>1</v>
      </c>
      <c r="N83" s="53">
        <v>4</v>
      </c>
      <c r="O83" s="53">
        <v>0.35</v>
      </c>
      <c r="P83" s="53">
        <v>0.4</v>
      </c>
      <c r="Q83" s="74">
        <f t="shared" si="3"/>
        <v>0.375</v>
      </c>
      <c r="R83" s="53">
        <v>11.5</v>
      </c>
      <c r="S83" s="53">
        <v>125</v>
      </c>
      <c r="T83" s="16">
        <f t="shared" si="4"/>
        <v>27</v>
      </c>
      <c r="U83" s="53">
        <v>429</v>
      </c>
      <c r="V83" s="16">
        <f t="shared" si="5"/>
        <v>2895.75</v>
      </c>
      <c r="W83" s="53">
        <v>1</v>
      </c>
      <c r="X83" s="53" t="s">
        <v>46</v>
      </c>
      <c r="Y83" s="53" t="s">
        <v>69</v>
      </c>
      <c r="Z83" s="53" t="s">
        <v>55</v>
      </c>
      <c r="AA83" s="53" t="s">
        <v>97</v>
      </c>
      <c r="AB83" s="53" t="s">
        <v>158</v>
      </c>
    </row>
    <row r="84" spans="1:34" x14ac:dyDescent="0.15">
      <c r="A84" s="53" t="s">
        <v>41</v>
      </c>
      <c r="B84" s="53" t="s">
        <v>157</v>
      </c>
      <c r="C84" s="62">
        <v>2019</v>
      </c>
      <c r="D84" s="63" t="s">
        <v>184</v>
      </c>
      <c r="E84" s="53" t="s">
        <v>195</v>
      </c>
      <c r="F84" s="53" t="s">
        <v>197</v>
      </c>
      <c r="G84" s="53" t="s">
        <v>42</v>
      </c>
      <c r="H84" s="53" t="s">
        <v>164</v>
      </c>
      <c r="I84" s="53" t="s">
        <v>159</v>
      </c>
      <c r="J84" s="53" t="s">
        <v>38</v>
      </c>
      <c r="K84" s="53" t="s">
        <v>161</v>
      </c>
      <c r="L84" s="53">
        <v>2</v>
      </c>
      <c r="N84" s="53">
        <v>4</v>
      </c>
      <c r="O84" s="53">
        <v>0.25</v>
      </c>
      <c r="P84" s="53">
        <v>0.35</v>
      </c>
      <c r="Q84" s="74">
        <f t="shared" si="3"/>
        <v>0.3</v>
      </c>
      <c r="R84" s="53">
        <v>15</v>
      </c>
      <c r="S84" s="53">
        <v>123</v>
      </c>
      <c r="T84" s="16">
        <f t="shared" si="4"/>
        <v>27</v>
      </c>
      <c r="U84" s="53">
        <v>429</v>
      </c>
      <c r="V84" s="16">
        <f t="shared" si="5"/>
        <v>2895.75</v>
      </c>
      <c r="W84" s="53">
        <v>1</v>
      </c>
      <c r="X84" s="53" t="s">
        <v>46</v>
      </c>
      <c r="Y84" s="53" t="s">
        <v>69</v>
      </c>
      <c r="Z84" s="53" t="s">
        <v>55</v>
      </c>
      <c r="AA84" s="53" t="s">
        <v>97</v>
      </c>
      <c r="AB84" s="53" t="s">
        <v>158</v>
      </c>
    </row>
    <row r="85" spans="1:34" x14ac:dyDescent="0.15">
      <c r="A85" s="53" t="s">
        <v>41</v>
      </c>
      <c r="B85" s="53" t="s">
        <v>157</v>
      </c>
      <c r="C85" s="62">
        <v>2019</v>
      </c>
      <c r="D85" s="63" t="s">
        <v>184</v>
      </c>
      <c r="E85" s="53" t="s">
        <v>195</v>
      </c>
      <c r="F85" s="53" t="s">
        <v>197</v>
      </c>
      <c r="G85" s="53" t="s">
        <v>42</v>
      </c>
      <c r="H85" s="53" t="s">
        <v>164</v>
      </c>
      <c r="I85" s="53" t="s">
        <v>159</v>
      </c>
      <c r="J85" s="53" t="s">
        <v>38</v>
      </c>
      <c r="K85" s="53" t="s">
        <v>161</v>
      </c>
      <c r="L85" s="53">
        <v>3</v>
      </c>
      <c r="N85" s="53">
        <v>4</v>
      </c>
      <c r="O85" s="53">
        <v>0.25</v>
      </c>
      <c r="P85" s="53">
        <v>0.3</v>
      </c>
      <c r="Q85" s="74">
        <f t="shared" si="3"/>
        <v>0.27500000000000002</v>
      </c>
      <c r="R85" s="53">
        <v>12.3</v>
      </c>
      <c r="S85" s="53">
        <v>124</v>
      </c>
      <c r="T85" s="16">
        <f t="shared" si="4"/>
        <v>27</v>
      </c>
      <c r="U85" s="53">
        <v>429</v>
      </c>
      <c r="V85" s="16">
        <f t="shared" si="5"/>
        <v>2895.75</v>
      </c>
      <c r="W85" s="53">
        <v>1</v>
      </c>
      <c r="X85" s="53" t="s">
        <v>46</v>
      </c>
      <c r="Y85" s="53" t="s">
        <v>69</v>
      </c>
      <c r="Z85" s="53" t="s">
        <v>55</v>
      </c>
      <c r="AA85" s="53" t="s">
        <v>97</v>
      </c>
      <c r="AB85" s="53" t="s">
        <v>158</v>
      </c>
    </row>
    <row r="86" spans="1:34" x14ac:dyDescent="0.15">
      <c r="A86" s="53" t="s">
        <v>41</v>
      </c>
      <c r="B86" s="53" t="s">
        <v>157</v>
      </c>
      <c r="C86" s="62">
        <v>2019</v>
      </c>
      <c r="D86" s="63" t="s">
        <v>184</v>
      </c>
      <c r="E86" s="53" t="s">
        <v>195</v>
      </c>
      <c r="F86" s="53" t="s">
        <v>197</v>
      </c>
      <c r="G86" s="53" t="s">
        <v>42</v>
      </c>
      <c r="H86" s="53" t="s">
        <v>164</v>
      </c>
      <c r="I86" s="53" t="s">
        <v>159</v>
      </c>
      <c r="J86" s="53" t="s">
        <v>38</v>
      </c>
      <c r="K86" s="53" t="s">
        <v>161</v>
      </c>
      <c r="L86" s="53">
        <v>1</v>
      </c>
      <c r="N86" s="53">
        <v>9</v>
      </c>
      <c r="O86" s="53">
        <v>0.75</v>
      </c>
      <c r="P86" s="53">
        <v>0.6</v>
      </c>
      <c r="Q86" s="74">
        <f t="shared" si="3"/>
        <v>0.67500000000000004</v>
      </c>
      <c r="R86" s="53">
        <v>13.8</v>
      </c>
      <c r="S86" s="53">
        <v>120</v>
      </c>
      <c r="T86" s="16">
        <f t="shared" si="4"/>
        <v>30</v>
      </c>
      <c r="U86" s="53">
        <v>734</v>
      </c>
      <c r="V86" s="16">
        <f t="shared" si="5"/>
        <v>2446.6666666666665</v>
      </c>
      <c r="W86" s="53">
        <v>1</v>
      </c>
      <c r="X86" s="53" t="s">
        <v>46</v>
      </c>
      <c r="Y86" s="53" t="s">
        <v>69</v>
      </c>
      <c r="Z86" s="53" t="s">
        <v>55</v>
      </c>
      <c r="AA86" s="53" t="s">
        <v>97</v>
      </c>
      <c r="AB86" s="53" t="s">
        <v>158</v>
      </c>
      <c r="AC86" s="76"/>
      <c r="AD86" s="76"/>
      <c r="AE86" s="76"/>
      <c r="AF86" s="76"/>
      <c r="AG86" s="76"/>
      <c r="AH86" s="76"/>
    </row>
    <row r="87" spans="1:34" x14ac:dyDescent="0.15">
      <c r="A87" s="53" t="s">
        <v>41</v>
      </c>
      <c r="B87" s="53" t="s">
        <v>157</v>
      </c>
      <c r="C87" s="62">
        <v>2019</v>
      </c>
      <c r="D87" s="63" t="s">
        <v>184</v>
      </c>
      <c r="E87" s="53" t="s">
        <v>195</v>
      </c>
      <c r="F87" s="53" t="s">
        <v>197</v>
      </c>
      <c r="G87" s="53" t="s">
        <v>42</v>
      </c>
      <c r="H87" s="53" t="s">
        <v>164</v>
      </c>
      <c r="I87" s="53" t="s">
        <v>159</v>
      </c>
      <c r="J87" s="53" t="s">
        <v>38</v>
      </c>
      <c r="K87" s="53" t="s">
        <v>161</v>
      </c>
      <c r="L87" s="53">
        <v>2</v>
      </c>
      <c r="N87" s="53">
        <v>9</v>
      </c>
      <c r="O87" s="53">
        <v>0.5</v>
      </c>
      <c r="P87" s="53">
        <v>0.65</v>
      </c>
      <c r="Q87" s="74">
        <f t="shared" si="3"/>
        <v>0.57499999999999996</v>
      </c>
      <c r="R87" s="53">
        <v>15.2</v>
      </c>
      <c r="S87" s="53">
        <v>115</v>
      </c>
      <c r="T87" s="16">
        <f t="shared" si="4"/>
        <v>30</v>
      </c>
      <c r="U87" s="53">
        <v>734</v>
      </c>
      <c r="V87" s="16">
        <f t="shared" si="5"/>
        <v>2446.6666666666665</v>
      </c>
      <c r="W87" s="53">
        <v>1</v>
      </c>
      <c r="X87" s="53" t="s">
        <v>46</v>
      </c>
      <c r="Y87" s="53" t="s">
        <v>69</v>
      </c>
      <c r="Z87" s="53" t="s">
        <v>55</v>
      </c>
      <c r="AA87" s="53" t="s">
        <v>97</v>
      </c>
      <c r="AB87" s="53" t="s">
        <v>158</v>
      </c>
      <c r="AC87" s="76"/>
      <c r="AD87" s="76"/>
      <c r="AE87" s="76"/>
      <c r="AF87" s="76"/>
      <c r="AG87" s="76"/>
      <c r="AH87" s="76"/>
    </row>
    <row r="88" spans="1:34" x14ac:dyDescent="0.15">
      <c r="A88" s="53" t="s">
        <v>41</v>
      </c>
      <c r="B88" s="53" t="s">
        <v>157</v>
      </c>
      <c r="C88" s="62">
        <v>2019</v>
      </c>
      <c r="D88" s="63" t="s">
        <v>184</v>
      </c>
      <c r="E88" s="53" t="s">
        <v>195</v>
      </c>
      <c r="F88" s="53" t="s">
        <v>197</v>
      </c>
      <c r="G88" s="53" t="s">
        <v>42</v>
      </c>
      <c r="H88" s="53" t="s">
        <v>164</v>
      </c>
      <c r="I88" s="53" t="s">
        <v>159</v>
      </c>
      <c r="J88" s="53" t="s">
        <v>38</v>
      </c>
      <c r="K88" s="53" t="s">
        <v>161</v>
      </c>
      <c r="L88" s="53">
        <v>3</v>
      </c>
      <c r="N88" s="53">
        <v>9</v>
      </c>
      <c r="O88" s="53">
        <v>0.85</v>
      </c>
      <c r="P88" s="53">
        <v>0.65</v>
      </c>
      <c r="Q88" s="74">
        <f t="shared" si="3"/>
        <v>0.75</v>
      </c>
      <c r="R88" s="53">
        <v>12.5</v>
      </c>
      <c r="S88" s="53">
        <v>118</v>
      </c>
      <c r="T88" s="16">
        <f t="shared" si="4"/>
        <v>30</v>
      </c>
      <c r="U88" s="53">
        <v>734</v>
      </c>
      <c r="V88" s="16">
        <f t="shared" si="5"/>
        <v>2446.6666666666665</v>
      </c>
      <c r="W88" s="53">
        <v>1</v>
      </c>
      <c r="X88" s="53" t="s">
        <v>46</v>
      </c>
      <c r="Y88" s="53" t="s">
        <v>69</v>
      </c>
      <c r="Z88" s="53" t="s">
        <v>55</v>
      </c>
      <c r="AA88" s="53" t="s">
        <v>97</v>
      </c>
      <c r="AB88" s="53" t="s">
        <v>158</v>
      </c>
      <c r="AC88" s="76"/>
      <c r="AD88" s="76"/>
      <c r="AE88" s="76"/>
      <c r="AF88" s="76"/>
      <c r="AG88" s="76"/>
      <c r="AH88" s="76"/>
    </row>
    <row r="89" spans="1:34" x14ac:dyDescent="0.15">
      <c r="A89" s="53" t="s">
        <v>41</v>
      </c>
      <c r="B89" s="53" t="s">
        <v>157</v>
      </c>
      <c r="C89" s="62">
        <v>2019</v>
      </c>
      <c r="D89" s="63" t="s">
        <v>184</v>
      </c>
      <c r="E89" s="53" t="s">
        <v>195</v>
      </c>
      <c r="F89" s="53" t="s">
        <v>197</v>
      </c>
      <c r="G89" s="53" t="s">
        <v>42</v>
      </c>
      <c r="H89" s="53" t="s">
        <v>160</v>
      </c>
      <c r="I89" s="53" t="s">
        <v>159</v>
      </c>
      <c r="J89" s="53" t="s">
        <v>38</v>
      </c>
      <c r="K89" s="53" t="s">
        <v>161</v>
      </c>
      <c r="L89" s="53">
        <v>1</v>
      </c>
      <c r="N89" s="53">
        <v>1</v>
      </c>
      <c r="O89" s="53">
        <v>0.35</v>
      </c>
      <c r="P89" s="53">
        <v>0.35</v>
      </c>
      <c r="Q89" s="74">
        <f t="shared" si="3"/>
        <v>0.35</v>
      </c>
      <c r="R89" s="53">
        <v>13.4</v>
      </c>
      <c r="S89" s="53">
        <v>125</v>
      </c>
      <c r="T89" s="16">
        <f t="shared" si="4"/>
        <v>27</v>
      </c>
      <c r="U89" s="53">
        <v>170</v>
      </c>
      <c r="V89" s="16">
        <f t="shared" si="5"/>
        <v>4590</v>
      </c>
      <c r="W89" s="53">
        <v>2</v>
      </c>
      <c r="X89" s="53" t="s">
        <v>46</v>
      </c>
      <c r="Y89" s="53" t="s">
        <v>69</v>
      </c>
      <c r="Z89" s="53" t="s">
        <v>55</v>
      </c>
      <c r="AA89" s="53" t="s">
        <v>97</v>
      </c>
      <c r="AB89" s="53" t="s">
        <v>158</v>
      </c>
      <c r="AC89" s="76"/>
      <c r="AD89" s="76"/>
      <c r="AE89" s="76"/>
      <c r="AF89" s="76"/>
      <c r="AG89" s="76"/>
      <c r="AH89" s="76"/>
    </row>
    <row r="90" spans="1:34" x14ac:dyDescent="0.15">
      <c r="A90" s="53" t="s">
        <v>41</v>
      </c>
      <c r="B90" s="53" t="s">
        <v>157</v>
      </c>
      <c r="C90" s="62">
        <v>2019</v>
      </c>
      <c r="D90" s="63" t="s">
        <v>184</v>
      </c>
      <c r="E90" s="53" t="s">
        <v>195</v>
      </c>
      <c r="F90" s="53" t="s">
        <v>197</v>
      </c>
      <c r="G90" s="53" t="s">
        <v>42</v>
      </c>
      <c r="H90" s="53" t="s">
        <v>160</v>
      </c>
      <c r="I90" s="53" t="s">
        <v>159</v>
      </c>
      <c r="J90" s="53" t="s">
        <v>38</v>
      </c>
      <c r="K90" s="53" t="s">
        <v>161</v>
      </c>
      <c r="L90" s="53">
        <v>2</v>
      </c>
      <c r="N90" s="53">
        <v>1</v>
      </c>
      <c r="O90" s="53">
        <v>0.25</v>
      </c>
      <c r="P90" s="53">
        <v>0.35</v>
      </c>
      <c r="Q90" s="74">
        <f t="shared" si="3"/>
        <v>0.3</v>
      </c>
      <c r="R90" s="53">
        <v>13.3</v>
      </c>
      <c r="S90" s="53">
        <v>123</v>
      </c>
      <c r="T90" s="16">
        <f t="shared" si="4"/>
        <v>27</v>
      </c>
      <c r="U90" s="53">
        <v>170</v>
      </c>
      <c r="V90" s="16">
        <f t="shared" si="5"/>
        <v>4590</v>
      </c>
      <c r="W90" s="53">
        <v>2</v>
      </c>
      <c r="X90" s="53" t="s">
        <v>46</v>
      </c>
      <c r="Y90" s="53" t="s">
        <v>69</v>
      </c>
      <c r="Z90" s="53" t="s">
        <v>55</v>
      </c>
      <c r="AA90" s="53" t="s">
        <v>97</v>
      </c>
      <c r="AB90" s="53" t="s">
        <v>158</v>
      </c>
      <c r="AC90" s="76"/>
      <c r="AD90" s="76"/>
      <c r="AE90" s="76"/>
      <c r="AF90" s="76"/>
      <c r="AG90" s="76"/>
      <c r="AH90" s="76"/>
    </row>
    <row r="91" spans="1:34" x14ac:dyDescent="0.15">
      <c r="A91" s="53" t="s">
        <v>41</v>
      </c>
      <c r="B91" s="53" t="s">
        <v>157</v>
      </c>
      <c r="C91" s="62">
        <v>2019</v>
      </c>
      <c r="D91" s="63" t="s">
        <v>184</v>
      </c>
      <c r="E91" s="53" t="s">
        <v>195</v>
      </c>
      <c r="F91" s="53" t="s">
        <v>197</v>
      </c>
      <c r="G91" s="53" t="s">
        <v>42</v>
      </c>
      <c r="H91" s="53" t="s">
        <v>160</v>
      </c>
      <c r="I91" s="53" t="s">
        <v>159</v>
      </c>
      <c r="J91" s="53" t="s">
        <v>38</v>
      </c>
      <c r="K91" s="53" t="s">
        <v>161</v>
      </c>
      <c r="L91" s="53">
        <v>3</v>
      </c>
      <c r="N91" s="53">
        <v>1</v>
      </c>
      <c r="O91" s="53">
        <v>0.4</v>
      </c>
      <c r="P91" s="53">
        <v>0.35</v>
      </c>
      <c r="Q91" s="74">
        <f t="shared" si="3"/>
        <v>0.375</v>
      </c>
      <c r="R91" s="53">
        <v>12</v>
      </c>
      <c r="S91" s="53">
        <v>127</v>
      </c>
      <c r="T91" s="16">
        <f t="shared" si="4"/>
        <v>27</v>
      </c>
      <c r="U91" s="53">
        <v>170</v>
      </c>
      <c r="V91" s="16">
        <f t="shared" si="5"/>
        <v>4590</v>
      </c>
      <c r="W91" s="53">
        <v>2</v>
      </c>
      <c r="X91" s="53" t="s">
        <v>46</v>
      </c>
      <c r="Y91" s="53" t="s">
        <v>69</v>
      </c>
      <c r="Z91" s="53" t="s">
        <v>55</v>
      </c>
      <c r="AA91" s="53" t="s">
        <v>97</v>
      </c>
      <c r="AB91" s="53" t="s">
        <v>158</v>
      </c>
      <c r="AC91" s="76"/>
      <c r="AD91" s="76"/>
      <c r="AE91" s="76"/>
      <c r="AF91" s="76"/>
      <c r="AG91" s="76"/>
      <c r="AH91" s="76"/>
    </row>
    <row r="92" spans="1:34" x14ac:dyDescent="0.15">
      <c r="A92" s="53" t="s">
        <v>41</v>
      </c>
      <c r="B92" s="53" t="s">
        <v>157</v>
      </c>
      <c r="C92" s="62">
        <v>2019</v>
      </c>
      <c r="D92" s="63" t="s">
        <v>184</v>
      </c>
      <c r="E92" s="53" t="s">
        <v>195</v>
      </c>
      <c r="F92" s="53" t="s">
        <v>197</v>
      </c>
      <c r="G92" s="53" t="s">
        <v>42</v>
      </c>
      <c r="H92" s="53" t="s">
        <v>160</v>
      </c>
      <c r="I92" s="53" t="s">
        <v>159</v>
      </c>
      <c r="J92" s="53" t="s">
        <v>38</v>
      </c>
      <c r="K92" s="53" t="s">
        <v>161</v>
      </c>
      <c r="L92" s="53">
        <v>1</v>
      </c>
      <c r="N92" s="53">
        <v>4</v>
      </c>
      <c r="O92" s="53">
        <v>1</v>
      </c>
      <c r="P92" s="53">
        <v>0.95</v>
      </c>
      <c r="Q92" s="74">
        <f t="shared" si="3"/>
        <v>0.97499999999999998</v>
      </c>
      <c r="R92" s="53">
        <v>14.5</v>
      </c>
      <c r="S92" s="53">
        <v>120</v>
      </c>
      <c r="T92" s="16">
        <f t="shared" si="4"/>
        <v>30</v>
      </c>
      <c r="U92" s="53">
        <v>645</v>
      </c>
      <c r="V92" s="16">
        <f t="shared" si="5"/>
        <v>4837.5</v>
      </c>
      <c r="W92" s="53">
        <v>2</v>
      </c>
      <c r="X92" s="53" t="s">
        <v>46</v>
      </c>
      <c r="Y92" s="53" t="s">
        <v>69</v>
      </c>
      <c r="Z92" s="53" t="s">
        <v>55</v>
      </c>
      <c r="AA92" s="53" t="s">
        <v>97</v>
      </c>
      <c r="AB92" s="53" t="s">
        <v>158</v>
      </c>
      <c r="AC92" s="76"/>
      <c r="AD92" s="76"/>
      <c r="AE92" s="76"/>
      <c r="AF92" s="76"/>
      <c r="AG92" s="76"/>
      <c r="AH92" s="76"/>
    </row>
    <row r="93" spans="1:34" x14ac:dyDescent="0.15">
      <c r="A93" s="53" t="s">
        <v>41</v>
      </c>
      <c r="B93" s="53" t="s">
        <v>157</v>
      </c>
      <c r="C93" s="62">
        <v>2019</v>
      </c>
      <c r="D93" s="63" t="s">
        <v>184</v>
      </c>
      <c r="E93" s="53" t="s">
        <v>195</v>
      </c>
      <c r="F93" s="53" t="s">
        <v>197</v>
      </c>
      <c r="G93" s="53" t="s">
        <v>42</v>
      </c>
      <c r="H93" s="53" t="s">
        <v>160</v>
      </c>
      <c r="I93" s="53" t="s">
        <v>159</v>
      </c>
      <c r="J93" s="53" t="s">
        <v>38</v>
      </c>
      <c r="K93" s="53" t="s">
        <v>161</v>
      </c>
      <c r="L93" s="53">
        <v>2</v>
      </c>
      <c r="N93" s="53">
        <v>4</v>
      </c>
      <c r="O93" s="53">
        <v>0.85</v>
      </c>
      <c r="P93" s="53">
        <v>0.9</v>
      </c>
      <c r="Q93" s="74">
        <f t="shared" si="3"/>
        <v>0.875</v>
      </c>
      <c r="R93" s="53">
        <v>16.399999999999999</v>
      </c>
      <c r="S93" s="53">
        <v>121</v>
      </c>
      <c r="T93" s="16">
        <f t="shared" si="4"/>
        <v>27</v>
      </c>
      <c r="U93" s="53">
        <v>645</v>
      </c>
      <c r="V93" s="16">
        <f t="shared" si="5"/>
        <v>4353.75</v>
      </c>
      <c r="W93" s="53">
        <v>2</v>
      </c>
      <c r="X93" s="53" t="s">
        <v>46</v>
      </c>
      <c r="Y93" s="53" t="s">
        <v>69</v>
      </c>
      <c r="Z93" s="53" t="s">
        <v>55</v>
      </c>
      <c r="AA93" s="53" t="s">
        <v>97</v>
      </c>
      <c r="AB93" s="53" t="s">
        <v>158</v>
      </c>
      <c r="AC93" s="76"/>
      <c r="AD93" s="76"/>
      <c r="AE93" s="76"/>
      <c r="AF93" s="76"/>
      <c r="AG93" s="76"/>
      <c r="AH93" s="76"/>
    </row>
    <row r="94" spans="1:34" x14ac:dyDescent="0.15">
      <c r="A94" s="53" t="s">
        <v>41</v>
      </c>
      <c r="B94" s="53" t="s">
        <v>157</v>
      </c>
      <c r="C94" s="62">
        <v>2019</v>
      </c>
      <c r="D94" s="63" t="s">
        <v>184</v>
      </c>
      <c r="E94" s="53" t="s">
        <v>195</v>
      </c>
      <c r="F94" s="53" t="s">
        <v>197</v>
      </c>
      <c r="G94" s="53" t="s">
        <v>42</v>
      </c>
      <c r="H94" s="53" t="s">
        <v>160</v>
      </c>
      <c r="I94" s="53" t="s">
        <v>159</v>
      </c>
      <c r="J94" s="53" t="s">
        <v>38</v>
      </c>
      <c r="K94" s="53" t="s">
        <v>161</v>
      </c>
      <c r="L94" s="53">
        <v>3</v>
      </c>
      <c r="N94" s="53">
        <v>4</v>
      </c>
      <c r="O94" s="53">
        <v>0.6</v>
      </c>
      <c r="P94" s="53">
        <v>0.7</v>
      </c>
      <c r="Q94" s="74">
        <f t="shared" si="3"/>
        <v>0.64999999999999991</v>
      </c>
      <c r="R94" s="53">
        <v>15.1</v>
      </c>
      <c r="S94" s="53">
        <v>123</v>
      </c>
      <c r="T94" s="16">
        <f t="shared" si="4"/>
        <v>27</v>
      </c>
      <c r="U94" s="53">
        <v>645</v>
      </c>
      <c r="V94" s="16">
        <f t="shared" si="5"/>
        <v>4353.75</v>
      </c>
      <c r="W94" s="53">
        <v>2</v>
      </c>
      <c r="X94" s="53" t="s">
        <v>46</v>
      </c>
      <c r="Y94" s="53" t="s">
        <v>69</v>
      </c>
      <c r="Z94" s="53" t="s">
        <v>55</v>
      </c>
      <c r="AA94" s="53" t="s">
        <v>97</v>
      </c>
      <c r="AB94" s="53" t="s">
        <v>158</v>
      </c>
      <c r="AC94" s="76"/>
      <c r="AD94" s="76"/>
      <c r="AE94" s="76"/>
      <c r="AF94" s="76"/>
      <c r="AG94" s="76"/>
      <c r="AH94" s="76"/>
    </row>
    <row r="95" spans="1:34" x14ac:dyDescent="0.15">
      <c r="A95" s="53" t="s">
        <v>41</v>
      </c>
      <c r="B95" s="53" t="s">
        <v>157</v>
      </c>
      <c r="C95" s="62">
        <v>2019</v>
      </c>
      <c r="D95" s="63" t="s">
        <v>184</v>
      </c>
      <c r="E95" s="53" t="s">
        <v>195</v>
      </c>
      <c r="F95" s="53" t="s">
        <v>197</v>
      </c>
      <c r="G95" s="53" t="s">
        <v>42</v>
      </c>
      <c r="H95" s="53" t="s">
        <v>160</v>
      </c>
      <c r="I95" s="53" t="s">
        <v>159</v>
      </c>
      <c r="J95" s="53" t="s">
        <v>38</v>
      </c>
      <c r="K95" s="53" t="s">
        <v>161</v>
      </c>
      <c r="L95" s="53">
        <v>1</v>
      </c>
      <c r="N95" s="53">
        <v>7</v>
      </c>
      <c r="O95" s="53">
        <v>0.65</v>
      </c>
      <c r="P95" s="53">
        <v>0.65</v>
      </c>
      <c r="Q95" s="74">
        <f t="shared" si="3"/>
        <v>0.65</v>
      </c>
      <c r="R95" s="53">
        <v>14.8</v>
      </c>
      <c r="S95" s="53">
        <v>124</v>
      </c>
      <c r="T95" s="16">
        <f t="shared" si="4"/>
        <v>27</v>
      </c>
      <c r="U95" s="53">
        <v>1069</v>
      </c>
      <c r="V95" s="16">
        <f t="shared" si="5"/>
        <v>4123.2857142857147</v>
      </c>
      <c r="W95" s="53">
        <v>1</v>
      </c>
      <c r="X95" s="53" t="s">
        <v>46</v>
      </c>
      <c r="Y95" s="53" t="s">
        <v>69</v>
      </c>
      <c r="Z95" s="53" t="s">
        <v>55</v>
      </c>
      <c r="AA95" s="53" t="s">
        <v>97</v>
      </c>
      <c r="AB95" s="53" t="s">
        <v>158</v>
      </c>
      <c r="AC95" s="76"/>
      <c r="AD95" s="76"/>
      <c r="AE95" s="76"/>
      <c r="AF95" s="76"/>
      <c r="AG95" s="76"/>
      <c r="AH95" s="76"/>
    </row>
    <row r="96" spans="1:34" x14ac:dyDescent="0.15">
      <c r="A96" s="53" t="s">
        <v>41</v>
      </c>
      <c r="B96" s="53" t="s">
        <v>157</v>
      </c>
      <c r="C96" s="62">
        <v>2019</v>
      </c>
      <c r="D96" s="63" t="s">
        <v>184</v>
      </c>
      <c r="E96" s="53" t="s">
        <v>195</v>
      </c>
      <c r="F96" s="53" t="s">
        <v>197</v>
      </c>
      <c r="G96" s="53" t="s">
        <v>42</v>
      </c>
      <c r="H96" s="53" t="s">
        <v>160</v>
      </c>
      <c r="I96" s="53" t="s">
        <v>159</v>
      </c>
      <c r="J96" s="53" t="s">
        <v>38</v>
      </c>
      <c r="K96" s="53" t="s">
        <v>161</v>
      </c>
      <c r="L96" s="53">
        <v>2</v>
      </c>
      <c r="N96" s="53">
        <v>7</v>
      </c>
      <c r="O96" s="53">
        <v>0.7</v>
      </c>
      <c r="P96" s="53">
        <v>0.5</v>
      </c>
      <c r="Q96" s="74">
        <f t="shared" si="3"/>
        <v>0.6</v>
      </c>
      <c r="R96" s="53">
        <v>14.2</v>
      </c>
      <c r="S96" s="53">
        <v>122</v>
      </c>
      <c r="T96" s="16">
        <f t="shared" si="4"/>
        <v>27</v>
      </c>
      <c r="U96" s="53">
        <v>1069</v>
      </c>
      <c r="V96" s="16">
        <f t="shared" si="5"/>
        <v>4123.2857142857147</v>
      </c>
      <c r="W96" s="53">
        <v>1</v>
      </c>
      <c r="X96" s="53" t="s">
        <v>46</v>
      </c>
      <c r="Y96" s="53" t="s">
        <v>69</v>
      </c>
      <c r="Z96" s="53" t="s">
        <v>55</v>
      </c>
      <c r="AA96" s="53" t="s">
        <v>97</v>
      </c>
      <c r="AB96" s="53" t="s">
        <v>158</v>
      </c>
      <c r="AC96" s="76"/>
      <c r="AD96" s="76"/>
      <c r="AE96" s="76"/>
      <c r="AF96" s="76"/>
      <c r="AG96" s="76"/>
      <c r="AH96" s="76"/>
    </row>
    <row r="97" spans="1:34" x14ac:dyDescent="0.15">
      <c r="A97" s="53" t="s">
        <v>41</v>
      </c>
      <c r="B97" s="53" t="s">
        <v>157</v>
      </c>
      <c r="C97" s="62">
        <v>2019</v>
      </c>
      <c r="D97" s="63" t="s">
        <v>184</v>
      </c>
      <c r="E97" s="53" t="s">
        <v>195</v>
      </c>
      <c r="F97" s="53" t="s">
        <v>197</v>
      </c>
      <c r="G97" s="53" t="s">
        <v>42</v>
      </c>
      <c r="H97" s="53" t="s">
        <v>160</v>
      </c>
      <c r="I97" s="53" t="s">
        <v>159</v>
      </c>
      <c r="J97" s="53" t="s">
        <v>38</v>
      </c>
      <c r="K97" s="53" t="s">
        <v>161</v>
      </c>
      <c r="L97" s="53">
        <v>3</v>
      </c>
      <c r="N97" s="53">
        <v>7</v>
      </c>
      <c r="O97" s="53">
        <v>0.5</v>
      </c>
      <c r="P97" s="53">
        <v>0.7</v>
      </c>
      <c r="Q97" s="74">
        <f t="shared" si="3"/>
        <v>0.6</v>
      </c>
      <c r="R97" s="53">
        <v>14</v>
      </c>
      <c r="S97" s="53">
        <v>124</v>
      </c>
      <c r="T97" s="16">
        <f t="shared" si="4"/>
        <v>27</v>
      </c>
      <c r="U97" s="53">
        <v>1069</v>
      </c>
      <c r="V97" s="16">
        <f t="shared" si="5"/>
        <v>4123.2857142857147</v>
      </c>
      <c r="W97" s="53">
        <v>1</v>
      </c>
      <c r="X97" s="53" t="s">
        <v>46</v>
      </c>
      <c r="Y97" s="53" t="s">
        <v>69</v>
      </c>
      <c r="Z97" s="53" t="s">
        <v>55</v>
      </c>
      <c r="AA97" s="53" t="s">
        <v>97</v>
      </c>
      <c r="AB97" s="53" t="s">
        <v>158</v>
      </c>
      <c r="AC97" s="76"/>
      <c r="AD97" s="76"/>
      <c r="AE97" s="76"/>
      <c r="AF97" s="76"/>
      <c r="AG97" s="76"/>
      <c r="AH97" s="76"/>
    </row>
    <row r="98" spans="1:34" x14ac:dyDescent="0.15">
      <c r="A98" s="53" t="s">
        <v>41</v>
      </c>
      <c r="B98" s="53" t="s">
        <v>157</v>
      </c>
      <c r="C98" s="62">
        <v>2019</v>
      </c>
      <c r="D98" s="63" t="s">
        <v>184</v>
      </c>
      <c r="E98" s="53" t="s">
        <v>199</v>
      </c>
      <c r="F98" s="53" t="s">
        <v>197</v>
      </c>
      <c r="G98" s="53" t="s">
        <v>42</v>
      </c>
      <c r="H98" s="53" t="s">
        <v>160</v>
      </c>
      <c r="I98" s="53" t="s">
        <v>159</v>
      </c>
      <c r="J98" s="53" t="s">
        <v>38</v>
      </c>
      <c r="K98" s="53" t="s">
        <v>161</v>
      </c>
      <c r="L98" s="53">
        <v>1</v>
      </c>
      <c r="N98" s="53">
        <v>5</v>
      </c>
      <c r="O98" s="53">
        <v>0.85</v>
      </c>
      <c r="P98" s="53">
        <v>0.65</v>
      </c>
      <c r="Q98" s="16">
        <f t="shared" si="3"/>
        <v>0.75</v>
      </c>
      <c r="R98" s="53">
        <v>12.6</v>
      </c>
      <c r="S98" s="53">
        <v>121</v>
      </c>
      <c r="T98" s="16">
        <f t="shared" si="4"/>
        <v>27</v>
      </c>
      <c r="U98" s="53">
        <v>428</v>
      </c>
      <c r="V98" s="16">
        <f t="shared" si="5"/>
        <v>2311.1999999999998</v>
      </c>
      <c r="W98" s="53">
        <v>2</v>
      </c>
      <c r="X98" s="53" t="s">
        <v>46</v>
      </c>
      <c r="Y98" s="53" t="s">
        <v>55</v>
      </c>
      <c r="Z98" s="53" t="s">
        <v>69</v>
      </c>
      <c r="AA98" s="53" t="s">
        <v>97</v>
      </c>
      <c r="AB98" s="53" t="s">
        <v>158</v>
      </c>
      <c r="AC98" s="76"/>
      <c r="AD98" s="76"/>
      <c r="AE98" s="76"/>
      <c r="AF98" s="76"/>
      <c r="AG98" s="76"/>
      <c r="AH98" s="76"/>
    </row>
    <row r="99" spans="1:34" x14ac:dyDescent="0.15">
      <c r="A99" s="53" t="s">
        <v>41</v>
      </c>
      <c r="B99" s="53" t="s">
        <v>157</v>
      </c>
      <c r="C99" s="62">
        <v>2019</v>
      </c>
      <c r="D99" s="63" t="s">
        <v>184</v>
      </c>
      <c r="E99" s="53" t="s">
        <v>199</v>
      </c>
      <c r="F99" s="53" t="s">
        <v>197</v>
      </c>
      <c r="G99" s="53" t="s">
        <v>42</v>
      </c>
      <c r="H99" s="53" t="s">
        <v>160</v>
      </c>
      <c r="I99" s="53" t="s">
        <v>159</v>
      </c>
      <c r="J99" s="53" t="s">
        <v>38</v>
      </c>
      <c r="K99" s="53" t="s">
        <v>161</v>
      </c>
      <c r="L99" s="53">
        <v>2</v>
      </c>
      <c r="N99" s="53">
        <v>5</v>
      </c>
      <c r="O99" s="53">
        <v>0.6</v>
      </c>
      <c r="P99" s="53">
        <v>0.5</v>
      </c>
      <c r="Q99" s="16">
        <f t="shared" si="3"/>
        <v>0.55000000000000004</v>
      </c>
      <c r="R99" s="53">
        <v>16.8</v>
      </c>
      <c r="S99" s="53">
        <v>119</v>
      </c>
      <c r="T99" s="16">
        <f t="shared" si="4"/>
        <v>30</v>
      </c>
      <c r="U99" s="53">
        <v>428</v>
      </c>
      <c r="V99" s="16">
        <f t="shared" si="5"/>
        <v>2568</v>
      </c>
      <c r="W99" s="53">
        <v>2</v>
      </c>
      <c r="X99" s="53" t="s">
        <v>46</v>
      </c>
      <c r="Y99" s="53" t="s">
        <v>55</v>
      </c>
      <c r="Z99" s="53" t="s">
        <v>69</v>
      </c>
      <c r="AA99" s="53" t="s">
        <v>97</v>
      </c>
      <c r="AB99" s="53" t="s">
        <v>158</v>
      </c>
      <c r="AC99" s="76"/>
      <c r="AD99" s="76"/>
      <c r="AE99" s="76"/>
      <c r="AF99" s="76"/>
      <c r="AG99" s="76"/>
      <c r="AH99" s="76"/>
    </row>
    <row r="100" spans="1:34" x14ac:dyDescent="0.15">
      <c r="A100" s="53" t="s">
        <v>41</v>
      </c>
      <c r="B100" s="53" t="s">
        <v>157</v>
      </c>
      <c r="C100" s="62">
        <v>2019</v>
      </c>
      <c r="D100" s="63" t="s">
        <v>184</v>
      </c>
      <c r="E100" s="53" t="s">
        <v>199</v>
      </c>
      <c r="F100" s="53" t="s">
        <v>197</v>
      </c>
      <c r="G100" s="53" t="s">
        <v>42</v>
      </c>
      <c r="H100" s="53" t="s">
        <v>160</v>
      </c>
      <c r="I100" s="53" t="s">
        <v>159</v>
      </c>
      <c r="J100" s="53" t="s">
        <v>38</v>
      </c>
      <c r="K100" s="53" t="s">
        <v>161</v>
      </c>
      <c r="L100" s="53">
        <v>3</v>
      </c>
      <c r="N100" s="53">
        <v>5</v>
      </c>
      <c r="O100" s="53">
        <v>0.5</v>
      </c>
      <c r="P100" s="53">
        <v>0.65</v>
      </c>
      <c r="Q100" s="16">
        <f t="shared" si="3"/>
        <v>0.57499999999999996</v>
      </c>
      <c r="R100" s="53">
        <v>13.5</v>
      </c>
      <c r="S100" s="53">
        <v>120</v>
      </c>
      <c r="T100" s="38">
        <f t="shared" si="4"/>
        <v>30</v>
      </c>
      <c r="U100" s="53">
        <v>428</v>
      </c>
      <c r="V100" s="16">
        <f t="shared" si="5"/>
        <v>2568</v>
      </c>
      <c r="W100" s="53">
        <v>2</v>
      </c>
      <c r="X100" s="53" t="s">
        <v>46</v>
      </c>
      <c r="Y100" s="53" t="s">
        <v>55</v>
      </c>
      <c r="Z100" s="53" t="s">
        <v>69</v>
      </c>
      <c r="AA100" s="53" t="s">
        <v>97</v>
      </c>
      <c r="AB100" s="53" t="s">
        <v>158</v>
      </c>
      <c r="AC100" s="76"/>
      <c r="AD100" s="76"/>
      <c r="AE100" s="76"/>
      <c r="AF100" s="76"/>
      <c r="AG100" s="76"/>
      <c r="AH100" s="76"/>
    </row>
    <row r="101" spans="1:34" x14ac:dyDescent="0.15">
      <c r="A101" s="53" t="s">
        <v>41</v>
      </c>
      <c r="B101" s="53" t="s">
        <v>157</v>
      </c>
      <c r="C101" s="62">
        <v>2019</v>
      </c>
      <c r="D101" s="63" t="s">
        <v>184</v>
      </c>
      <c r="E101" s="53" t="s">
        <v>199</v>
      </c>
      <c r="F101" s="53" t="s">
        <v>197</v>
      </c>
      <c r="G101" s="53" t="s">
        <v>42</v>
      </c>
      <c r="H101" s="53" t="s">
        <v>160</v>
      </c>
      <c r="I101" s="53" t="s">
        <v>159</v>
      </c>
      <c r="J101" s="53" t="s">
        <v>38</v>
      </c>
      <c r="K101" s="53" t="s">
        <v>161</v>
      </c>
      <c r="L101" s="53">
        <v>1</v>
      </c>
      <c r="N101" s="53">
        <v>1</v>
      </c>
      <c r="O101" s="53">
        <v>0.45</v>
      </c>
      <c r="P101" s="53">
        <v>0.55000000000000004</v>
      </c>
      <c r="Q101" s="16">
        <f t="shared" si="3"/>
        <v>0.5</v>
      </c>
      <c r="R101" s="53">
        <v>14</v>
      </c>
      <c r="S101" s="53">
        <v>118</v>
      </c>
      <c r="T101" s="38">
        <f t="shared" si="4"/>
        <v>30</v>
      </c>
      <c r="U101" s="53">
        <v>83</v>
      </c>
      <c r="V101" s="16">
        <f t="shared" si="5"/>
        <v>2490</v>
      </c>
      <c r="W101" s="53">
        <v>8</v>
      </c>
      <c r="X101" s="53" t="s">
        <v>46</v>
      </c>
      <c r="Y101" s="53" t="s">
        <v>55</v>
      </c>
      <c r="Z101" s="53" t="s">
        <v>69</v>
      </c>
      <c r="AA101" s="53" t="s">
        <v>97</v>
      </c>
      <c r="AB101" s="53" t="s">
        <v>158</v>
      </c>
      <c r="AC101" s="76"/>
      <c r="AD101" s="76"/>
      <c r="AE101" s="76"/>
      <c r="AF101" s="76"/>
      <c r="AG101" s="76"/>
      <c r="AH101" s="76"/>
    </row>
    <row r="102" spans="1:34" x14ac:dyDescent="0.15">
      <c r="A102" s="53" t="s">
        <v>41</v>
      </c>
      <c r="B102" s="53" t="s">
        <v>157</v>
      </c>
      <c r="C102" s="62">
        <v>2019</v>
      </c>
      <c r="D102" s="63" t="s">
        <v>184</v>
      </c>
      <c r="E102" s="53" t="s">
        <v>199</v>
      </c>
      <c r="F102" s="53" t="s">
        <v>197</v>
      </c>
      <c r="G102" s="53" t="s">
        <v>42</v>
      </c>
      <c r="H102" s="53" t="s">
        <v>160</v>
      </c>
      <c r="I102" s="53" t="s">
        <v>159</v>
      </c>
      <c r="J102" s="53" t="s">
        <v>38</v>
      </c>
      <c r="K102" s="53" t="s">
        <v>161</v>
      </c>
      <c r="L102" s="53">
        <v>2</v>
      </c>
      <c r="N102" s="53">
        <v>1</v>
      </c>
      <c r="O102" s="53">
        <v>0.65</v>
      </c>
      <c r="P102" s="53">
        <v>0.65</v>
      </c>
      <c r="Q102" s="16">
        <f t="shared" si="3"/>
        <v>0.65</v>
      </c>
      <c r="R102" s="53">
        <v>16.7</v>
      </c>
      <c r="S102" s="53">
        <v>115</v>
      </c>
      <c r="T102" s="38">
        <f t="shared" si="4"/>
        <v>30</v>
      </c>
      <c r="U102" s="53">
        <v>83</v>
      </c>
      <c r="V102" s="16">
        <f t="shared" si="5"/>
        <v>2490</v>
      </c>
      <c r="W102" s="53">
        <v>8</v>
      </c>
      <c r="X102" s="53" t="s">
        <v>46</v>
      </c>
      <c r="Y102" s="53" t="s">
        <v>55</v>
      </c>
      <c r="Z102" s="53" t="s">
        <v>69</v>
      </c>
      <c r="AA102" s="53" t="s">
        <v>97</v>
      </c>
      <c r="AB102" s="53" t="s">
        <v>158</v>
      </c>
      <c r="AC102" s="76"/>
      <c r="AD102" s="76"/>
      <c r="AE102" s="76"/>
      <c r="AF102" s="76"/>
      <c r="AG102" s="76"/>
      <c r="AH102" s="76"/>
    </row>
    <row r="103" spans="1:34" x14ac:dyDescent="0.15">
      <c r="A103" s="53" t="s">
        <v>41</v>
      </c>
      <c r="B103" s="53" t="s">
        <v>157</v>
      </c>
      <c r="C103" s="62">
        <v>2019</v>
      </c>
      <c r="D103" s="63" t="s">
        <v>184</v>
      </c>
      <c r="E103" s="53" t="s">
        <v>199</v>
      </c>
      <c r="F103" s="53" t="s">
        <v>197</v>
      </c>
      <c r="G103" s="53" t="s">
        <v>42</v>
      </c>
      <c r="H103" s="53" t="s">
        <v>160</v>
      </c>
      <c r="I103" s="53" t="s">
        <v>159</v>
      </c>
      <c r="J103" s="53" t="s">
        <v>38</v>
      </c>
      <c r="K103" s="53" t="s">
        <v>161</v>
      </c>
      <c r="L103" s="53">
        <v>3</v>
      </c>
      <c r="N103" s="53">
        <v>1</v>
      </c>
      <c r="O103" s="53">
        <v>0.8</v>
      </c>
      <c r="P103" s="53">
        <v>0.6</v>
      </c>
      <c r="Q103" s="16">
        <f t="shared" si="3"/>
        <v>0.7</v>
      </c>
      <c r="R103" s="53">
        <v>12.1</v>
      </c>
      <c r="S103" s="53">
        <v>116</v>
      </c>
      <c r="T103" s="38">
        <f t="shared" si="4"/>
        <v>30</v>
      </c>
      <c r="U103" s="53">
        <v>83</v>
      </c>
      <c r="V103" s="38">
        <f t="shared" si="5"/>
        <v>2490</v>
      </c>
      <c r="W103" s="53">
        <v>8</v>
      </c>
      <c r="X103" s="53" t="s">
        <v>46</v>
      </c>
      <c r="Y103" s="53" t="s">
        <v>55</v>
      </c>
      <c r="Z103" s="53" t="s">
        <v>69</v>
      </c>
      <c r="AA103" s="53" t="s">
        <v>97</v>
      </c>
      <c r="AB103" s="53" t="s">
        <v>158</v>
      </c>
      <c r="AC103" s="76"/>
      <c r="AD103" s="76"/>
      <c r="AE103" s="76"/>
      <c r="AF103" s="76"/>
      <c r="AG103" s="76"/>
      <c r="AH103" s="76"/>
    </row>
    <row r="104" spans="1:34" x14ac:dyDescent="0.15">
      <c r="A104" s="53" t="s">
        <v>41</v>
      </c>
      <c r="B104" s="53" t="s">
        <v>157</v>
      </c>
      <c r="C104" s="62">
        <v>2019</v>
      </c>
      <c r="D104" s="63" t="s">
        <v>184</v>
      </c>
      <c r="E104" s="53" t="s">
        <v>199</v>
      </c>
      <c r="F104" s="53" t="s">
        <v>197</v>
      </c>
      <c r="G104" s="53" t="s">
        <v>42</v>
      </c>
      <c r="H104" s="53" t="s">
        <v>164</v>
      </c>
      <c r="I104" s="53" t="s">
        <v>159</v>
      </c>
      <c r="J104" s="53" t="s">
        <v>38</v>
      </c>
      <c r="K104" s="53" t="s">
        <v>161</v>
      </c>
      <c r="L104" s="53">
        <v>1</v>
      </c>
      <c r="N104" s="53">
        <v>6</v>
      </c>
      <c r="O104" s="53">
        <v>0.45</v>
      </c>
      <c r="P104" s="53">
        <v>0.4</v>
      </c>
      <c r="Q104" s="16">
        <f t="shared" si="3"/>
        <v>0.42500000000000004</v>
      </c>
      <c r="R104" s="53">
        <v>11</v>
      </c>
      <c r="S104" s="53">
        <v>122</v>
      </c>
      <c r="T104" s="38">
        <f t="shared" si="4"/>
        <v>27</v>
      </c>
      <c r="U104" s="53">
        <v>536</v>
      </c>
      <c r="V104" s="38">
        <f t="shared" si="5"/>
        <v>2412</v>
      </c>
      <c r="W104" s="53">
        <v>2</v>
      </c>
      <c r="X104" s="53" t="s">
        <v>46</v>
      </c>
      <c r="Y104" s="53" t="s">
        <v>55</v>
      </c>
      <c r="Z104" s="53" t="s">
        <v>69</v>
      </c>
      <c r="AA104" s="53" t="s">
        <v>97</v>
      </c>
      <c r="AB104" s="53" t="s">
        <v>158</v>
      </c>
      <c r="AC104" s="76"/>
      <c r="AD104" s="76"/>
      <c r="AE104" s="76"/>
      <c r="AF104" s="76"/>
      <c r="AG104" s="76"/>
      <c r="AH104" s="76"/>
    </row>
    <row r="105" spans="1:34" x14ac:dyDescent="0.15">
      <c r="A105" s="53" t="s">
        <v>41</v>
      </c>
      <c r="B105" s="53" t="s">
        <v>157</v>
      </c>
      <c r="C105" s="62">
        <v>2019</v>
      </c>
      <c r="D105" s="63" t="s">
        <v>184</v>
      </c>
      <c r="E105" s="53" t="s">
        <v>199</v>
      </c>
      <c r="F105" s="53" t="s">
        <v>197</v>
      </c>
      <c r="G105" s="53" t="s">
        <v>42</v>
      </c>
      <c r="H105" s="53" t="s">
        <v>164</v>
      </c>
      <c r="I105" s="53" t="s">
        <v>159</v>
      </c>
      <c r="J105" s="53" t="s">
        <v>38</v>
      </c>
      <c r="K105" s="53" t="s">
        <v>161</v>
      </c>
      <c r="L105" s="53">
        <v>2</v>
      </c>
      <c r="N105" s="53">
        <v>6</v>
      </c>
      <c r="O105" s="53">
        <v>0.25</v>
      </c>
      <c r="P105" s="53">
        <v>0.35</v>
      </c>
      <c r="Q105" s="16">
        <f t="shared" si="3"/>
        <v>0.3</v>
      </c>
      <c r="R105" s="53">
        <v>12.7</v>
      </c>
      <c r="S105" s="53">
        <v>122</v>
      </c>
      <c r="T105" s="38">
        <f t="shared" si="4"/>
        <v>27</v>
      </c>
      <c r="U105" s="53">
        <v>536</v>
      </c>
      <c r="V105" s="38">
        <f t="shared" si="5"/>
        <v>2412</v>
      </c>
      <c r="W105" s="53">
        <v>2</v>
      </c>
      <c r="X105" s="53" t="s">
        <v>46</v>
      </c>
      <c r="Y105" s="53" t="s">
        <v>55</v>
      </c>
      <c r="Z105" s="53" t="s">
        <v>69</v>
      </c>
      <c r="AA105" s="53" t="s">
        <v>97</v>
      </c>
      <c r="AB105" s="53" t="s">
        <v>158</v>
      </c>
      <c r="AC105" s="76"/>
      <c r="AD105" s="76"/>
      <c r="AE105" s="76"/>
      <c r="AF105" s="76"/>
      <c r="AG105" s="76"/>
      <c r="AH105" s="76"/>
    </row>
    <row r="106" spans="1:34" x14ac:dyDescent="0.15">
      <c r="A106" s="53" t="s">
        <v>41</v>
      </c>
      <c r="B106" s="53" t="s">
        <v>157</v>
      </c>
      <c r="C106" s="62">
        <v>2019</v>
      </c>
      <c r="D106" s="63" t="s">
        <v>184</v>
      </c>
      <c r="E106" s="53" t="s">
        <v>199</v>
      </c>
      <c r="F106" s="53" t="s">
        <v>197</v>
      </c>
      <c r="G106" s="53" t="s">
        <v>42</v>
      </c>
      <c r="H106" s="53" t="s">
        <v>164</v>
      </c>
      <c r="I106" s="53" t="s">
        <v>159</v>
      </c>
      <c r="J106" s="53" t="s">
        <v>38</v>
      </c>
      <c r="K106" s="53" t="s">
        <v>161</v>
      </c>
      <c r="L106" s="53">
        <v>3</v>
      </c>
      <c r="N106" s="53">
        <v>6</v>
      </c>
      <c r="O106" s="53">
        <v>0.3</v>
      </c>
      <c r="P106" s="53">
        <v>0.25</v>
      </c>
      <c r="Q106" s="16">
        <f t="shared" si="3"/>
        <v>0.27500000000000002</v>
      </c>
      <c r="R106" s="53">
        <v>14.1</v>
      </c>
      <c r="S106" s="53">
        <v>120</v>
      </c>
      <c r="T106" s="38">
        <f t="shared" si="4"/>
        <v>30</v>
      </c>
      <c r="U106" s="53">
        <v>536</v>
      </c>
      <c r="V106" s="38">
        <f t="shared" si="5"/>
        <v>2680</v>
      </c>
      <c r="W106" s="53">
        <v>2</v>
      </c>
      <c r="X106" s="53" t="s">
        <v>46</v>
      </c>
      <c r="Y106" s="53" t="s">
        <v>55</v>
      </c>
      <c r="Z106" s="53" t="s">
        <v>69</v>
      </c>
      <c r="AA106" s="53" t="s">
        <v>97</v>
      </c>
      <c r="AB106" s="53" t="s">
        <v>158</v>
      </c>
      <c r="AC106" s="76"/>
      <c r="AD106" s="76"/>
      <c r="AE106" s="76"/>
      <c r="AF106" s="76"/>
      <c r="AG106" s="76"/>
      <c r="AH106" s="76"/>
    </row>
    <row r="107" spans="1:34" x14ac:dyDescent="0.15">
      <c r="A107" s="53" t="s">
        <v>41</v>
      </c>
      <c r="B107" s="53" t="s">
        <v>157</v>
      </c>
      <c r="C107" s="62">
        <v>2019</v>
      </c>
      <c r="D107" s="63" t="s">
        <v>184</v>
      </c>
      <c r="E107" s="53" t="s">
        <v>199</v>
      </c>
      <c r="F107" s="53" t="s">
        <v>197</v>
      </c>
      <c r="G107" s="53" t="s">
        <v>42</v>
      </c>
      <c r="H107" s="53" t="s">
        <v>164</v>
      </c>
      <c r="I107" s="53" t="s">
        <v>159</v>
      </c>
      <c r="J107" s="53" t="s">
        <v>38</v>
      </c>
      <c r="K107" s="53" t="s">
        <v>161</v>
      </c>
      <c r="L107" s="53">
        <v>1</v>
      </c>
      <c r="N107" s="53">
        <v>1</v>
      </c>
      <c r="O107" s="53">
        <v>0.25</v>
      </c>
      <c r="P107" s="53">
        <v>0.25</v>
      </c>
      <c r="Q107" s="74">
        <f t="shared" si="3"/>
        <v>0.25</v>
      </c>
      <c r="R107" s="53">
        <v>13.8</v>
      </c>
      <c r="S107" s="53">
        <v>118</v>
      </c>
      <c r="T107" s="16">
        <f t="shared" si="4"/>
        <v>30</v>
      </c>
      <c r="U107" s="53">
        <v>83</v>
      </c>
      <c r="V107" s="16">
        <f t="shared" si="5"/>
        <v>2490</v>
      </c>
      <c r="W107" s="53">
        <v>1</v>
      </c>
      <c r="X107" s="53" t="s">
        <v>46</v>
      </c>
      <c r="Y107" s="53" t="s">
        <v>55</v>
      </c>
      <c r="Z107" s="53" t="s">
        <v>69</v>
      </c>
      <c r="AA107" s="53" t="s">
        <v>97</v>
      </c>
      <c r="AB107" s="53" t="s">
        <v>158</v>
      </c>
      <c r="AC107" s="76"/>
      <c r="AD107" s="76"/>
      <c r="AE107" s="76"/>
      <c r="AF107" s="76"/>
      <c r="AG107" s="76"/>
      <c r="AH107" s="76"/>
    </row>
    <row r="108" spans="1:34" x14ac:dyDescent="0.15">
      <c r="A108" s="53" t="s">
        <v>41</v>
      </c>
      <c r="B108" s="53" t="s">
        <v>157</v>
      </c>
      <c r="C108" s="62">
        <v>2019</v>
      </c>
      <c r="D108" s="63" t="s">
        <v>184</v>
      </c>
      <c r="E108" s="53" t="s">
        <v>199</v>
      </c>
      <c r="F108" s="53" t="s">
        <v>197</v>
      </c>
      <c r="G108" s="53" t="s">
        <v>42</v>
      </c>
      <c r="H108" s="53" t="s">
        <v>164</v>
      </c>
      <c r="I108" s="53" t="s">
        <v>159</v>
      </c>
      <c r="J108" s="53" t="s">
        <v>38</v>
      </c>
      <c r="K108" s="53" t="s">
        <v>161</v>
      </c>
      <c r="L108" s="53">
        <v>2</v>
      </c>
      <c r="N108" s="53">
        <v>1</v>
      </c>
      <c r="O108" s="53">
        <v>0.35</v>
      </c>
      <c r="P108" s="53">
        <v>0.25</v>
      </c>
      <c r="Q108" s="74">
        <f t="shared" si="3"/>
        <v>0.3</v>
      </c>
      <c r="R108" s="53">
        <v>14.7</v>
      </c>
      <c r="S108" s="53">
        <v>120</v>
      </c>
      <c r="T108" s="16">
        <f t="shared" si="4"/>
        <v>30</v>
      </c>
      <c r="U108" s="53">
        <v>83</v>
      </c>
      <c r="V108" s="16">
        <f t="shared" si="5"/>
        <v>2490</v>
      </c>
      <c r="W108" s="53">
        <v>1</v>
      </c>
      <c r="X108" s="53" t="s">
        <v>46</v>
      </c>
      <c r="Y108" s="53" t="s">
        <v>55</v>
      </c>
      <c r="Z108" s="53" t="s">
        <v>69</v>
      </c>
      <c r="AA108" s="53" t="s">
        <v>97</v>
      </c>
      <c r="AB108" s="53" t="s">
        <v>158</v>
      </c>
      <c r="AC108" s="76"/>
      <c r="AD108" s="76"/>
      <c r="AE108" s="76"/>
      <c r="AF108" s="76"/>
      <c r="AG108" s="76"/>
      <c r="AH108" s="76"/>
    </row>
    <row r="109" spans="1:34" x14ac:dyDescent="0.15">
      <c r="A109" s="53" t="s">
        <v>41</v>
      </c>
      <c r="B109" s="53" t="s">
        <v>157</v>
      </c>
      <c r="C109" s="62">
        <v>2019</v>
      </c>
      <c r="D109" s="63" t="s">
        <v>184</v>
      </c>
      <c r="E109" s="53" t="s">
        <v>199</v>
      </c>
      <c r="F109" s="53" t="s">
        <v>197</v>
      </c>
      <c r="G109" s="53" t="s">
        <v>42</v>
      </c>
      <c r="H109" s="53" t="s">
        <v>164</v>
      </c>
      <c r="I109" s="53" t="s">
        <v>159</v>
      </c>
      <c r="J109" s="53" t="s">
        <v>38</v>
      </c>
      <c r="K109" s="53" t="s">
        <v>161</v>
      </c>
      <c r="L109" s="53">
        <v>3</v>
      </c>
      <c r="N109" s="53">
        <v>1</v>
      </c>
      <c r="O109" s="53">
        <v>0.25</v>
      </c>
      <c r="P109" s="53">
        <v>0.35</v>
      </c>
      <c r="Q109" s="74">
        <f t="shared" si="3"/>
        <v>0.3</v>
      </c>
      <c r="R109" s="53">
        <v>15.1</v>
      </c>
      <c r="S109" s="53">
        <v>120</v>
      </c>
      <c r="T109" s="16">
        <f t="shared" si="4"/>
        <v>30</v>
      </c>
      <c r="U109" s="53">
        <v>83</v>
      </c>
      <c r="V109" s="16">
        <f t="shared" si="5"/>
        <v>2490</v>
      </c>
      <c r="W109" s="53">
        <v>1</v>
      </c>
      <c r="X109" s="53" t="s">
        <v>46</v>
      </c>
      <c r="Y109" s="53" t="s">
        <v>55</v>
      </c>
      <c r="Z109" s="53" t="s">
        <v>69</v>
      </c>
      <c r="AA109" s="53" t="s">
        <v>97</v>
      </c>
      <c r="AB109" s="53" t="s">
        <v>158</v>
      </c>
      <c r="AC109" s="76"/>
      <c r="AD109" s="76"/>
      <c r="AE109" s="76"/>
      <c r="AF109" s="76"/>
      <c r="AG109" s="76"/>
      <c r="AH109" s="76"/>
    </row>
    <row r="110" spans="1:34" x14ac:dyDescent="0.15">
      <c r="A110" s="53" t="s">
        <v>41</v>
      </c>
      <c r="B110" s="53" t="s">
        <v>157</v>
      </c>
      <c r="C110" s="62">
        <v>2019</v>
      </c>
      <c r="D110" s="63" t="s">
        <v>184</v>
      </c>
      <c r="E110" s="53" t="s">
        <v>201</v>
      </c>
      <c r="F110" s="53" t="s">
        <v>202</v>
      </c>
      <c r="G110" s="53" t="s">
        <v>42</v>
      </c>
      <c r="H110" s="53" t="s">
        <v>160</v>
      </c>
      <c r="I110" s="53" t="s">
        <v>159</v>
      </c>
      <c r="J110" s="53" t="s">
        <v>38</v>
      </c>
      <c r="K110" s="53" t="s">
        <v>161</v>
      </c>
      <c r="L110" s="53">
        <v>1</v>
      </c>
      <c r="N110" s="53">
        <v>1</v>
      </c>
      <c r="O110" s="53">
        <v>0.7</v>
      </c>
      <c r="P110" s="53">
        <v>0.8</v>
      </c>
      <c r="Q110" s="74">
        <f t="shared" si="3"/>
        <v>0.75</v>
      </c>
      <c r="R110" s="53">
        <v>13.4</v>
      </c>
      <c r="S110" s="53">
        <v>126</v>
      </c>
      <c r="T110" s="16">
        <f t="shared" si="4"/>
        <v>27</v>
      </c>
      <c r="U110" s="53">
        <v>95</v>
      </c>
      <c r="V110" s="16">
        <f t="shared" si="5"/>
        <v>2565</v>
      </c>
      <c r="W110" s="53">
        <v>4</v>
      </c>
      <c r="X110" s="53" t="s">
        <v>46</v>
      </c>
      <c r="Y110" s="53" t="s">
        <v>55</v>
      </c>
      <c r="Z110" s="53" t="s">
        <v>69</v>
      </c>
      <c r="AA110" s="53" t="s">
        <v>78</v>
      </c>
      <c r="AB110" s="53" t="s">
        <v>158</v>
      </c>
      <c r="AC110" s="76"/>
      <c r="AD110" s="76"/>
      <c r="AE110" s="76"/>
      <c r="AF110" s="76"/>
      <c r="AG110" s="76"/>
      <c r="AH110" s="76"/>
    </row>
    <row r="111" spans="1:34" x14ac:dyDescent="0.15">
      <c r="A111" s="53" t="s">
        <v>41</v>
      </c>
      <c r="B111" s="53" t="s">
        <v>157</v>
      </c>
      <c r="C111" s="62">
        <v>2019</v>
      </c>
      <c r="D111" s="63" t="s">
        <v>184</v>
      </c>
      <c r="E111" s="53" t="s">
        <v>201</v>
      </c>
      <c r="F111" s="53" t="s">
        <v>202</v>
      </c>
      <c r="G111" s="53" t="s">
        <v>42</v>
      </c>
      <c r="H111" s="53" t="s">
        <v>160</v>
      </c>
      <c r="I111" s="53" t="s">
        <v>159</v>
      </c>
      <c r="J111" s="53" t="s">
        <v>38</v>
      </c>
      <c r="K111" s="53" t="s">
        <v>161</v>
      </c>
      <c r="L111" s="53">
        <v>2</v>
      </c>
      <c r="N111" s="53">
        <v>1</v>
      </c>
      <c r="O111" s="53">
        <v>0.7</v>
      </c>
      <c r="P111" s="53">
        <v>0.65</v>
      </c>
      <c r="Q111" s="74">
        <f t="shared" si="3"/>
        <v>0.67500000000000004</v>
      </c>
      <c r="R111" s="53">
        <v>15.7</v>
      </c>
      <c r="S111" s="53">
        <v>124</v>
      </c>
      <c r="T111" s="16">
        <f t="shared" si="4"/>
        <v>27</v>
      </c>
      <c r="U111" s="53">
        <v>95</v>
      </c>
      <c r="V111" s="16">
        <f t="shared" si="5"/>
        <v>2565</v>
      </c>
      <c r="W111" s="53">
        <v>4</v>
      </c>
      <c r="X111" s="53" t="s">
        <v>46</v>
      </c>
      <c r="Y111" s="53" t="s">
        <v>55</v>
      </c>
      <c r="Z111" s="53" t="s">
        <v>69</v>
      </c>
      <c r="AA111" s="53" t="s">
        <v>78</v>
      </c>
      <c r="AB111" s="53" t="s">
        <v>158</v>
      </c>
      <c r="AC111" s="76"/>
      <c r="AD111" s="76"/>
      <c r="AE111" s="76"/>
      <c r="AF111" s="76"/>
      <c r="AG111" s="76"/>
      <c r="AH111" s="76"/>
    </row>
    <row r="112" spans="1:34" x14ac:dyDescent="0.15">
      <c r="A112" s="53" t="s">
        <v>41</v>
      </c>
      <c r="B112" s="53" t="s">
        <v>157</v>
      </c>
      <c r="C112" s="62">
        <v>2019</v>
      </c>
      <c r="D112" s="63" t="s">
        <v>184</v>
      </c>
      <c r="E112" s="53" t="s">
        <v>201</v>
      </c>
      <c r="F112" s="53" t="s">
        <v>202</v>
      </c>
      <c r="G112" s="53" t="s">
        <v>42</v>
      </c>
      <c r="H112" s="53" t="s">
        <v>160</v>
      </c>
      <c r="I112" s="53" t="s">
        <v>159</v>
      </c>
      <c r="J112" s="53" t="s">
        <v>38</v>
      </c>
      <c r="K112" s="53" t="s">
        <v>161</v>
      </c>
      <c r="L112" s="53">
        <v>3</v>
      </c>
      <c r="N112" s="53">
        <v>1</v>
      </c>
      <c r="O112" s="53">
        <v>0.8</v>
      </c>
      <c r="P112" s="53">
        <v>0.65</v>
      </c>
      <c r="Q112" s="74">
        <f t="shared" si="3"/>
        <v>0.72500000000000009</v>
      </c>
      <c r="R112" s="53">
        <v>14.8</v>
      </c>
      <c r="S112" s="53">
        <v>125</v>
      </c>
      <c r="T112" s="16">
        <f t="shared" si="4"/>
        <v>27</v>
      </c>
      <c r="U112" s="53">
        <v>95</v>
      </c>
      <c r="V112" s="16">
        <f t="shared" si="5"/>
        <v>2565</v>
      </c>
      <c r="W112" s="53">
        <v>4</v>
      </c>
      <c r="X112" s="53" t="s">
        <v>46</v>
      </c>
      <c r="Y112" s="53" t="s">
        <v>55</v>
      </c>
      <c r="Z112" s="53" t="s">
        <v>69</v>
      </c>
      <c r="AA112" s="53" t="s">
        <v>78</v>
      </c>
      <c r="AB112" s="53" t="s">
        <v>158</v>
      </c>
      <c r="AC112" s="76"/>
      <c r="AD112" s="76"/>
      <c r="AE112" s="76"/>
      <c r="AF112" s="76"/>
      <c r="AG112" s="76"/>
      <c r="AH112" s="76"/>
    </row>
    <row r="113" spans="1:34" x14ac:dyDescent="0.15">
      <c r="A113" s="53" t="s">
        <v>41</v>
      </c>
      <c r="B113" s="53" t="s">
        <v>157</v>
      </c>
      <c r="C113" s="62">
        <v>2019</v>
      </c>
      <c r="D113" s="63" t="s">
        <v>184</v>
      </c>
      <c r="E113" s="53" t="s">
        <v>201</v>
      </c>
      <c r="F113" s="53" t="s">
        <v>202</v>
      </c>
      <c r="G113" s="53" t="s">
        <v>42</v>
      </c>
      <c r="H113" s="53" t="s">
        <v>160</v>
      </c>
      <c r="I113" s="53" t="s">
        <v>159</v>
      </c>
      <c r="J113" s="53" t="s">
        <v>38</v>
      </c>
      <c r="K113" s="53" t="s">
        <v>161</v>
      </c>
      <c r="L113" s="53">
        <v>1</v>
      </c>
      <c r="N113" s="53">
        <v>3</v>
      </c>
      <c r="O113" s="53">
        <v>0.85</v>
      </c>
      <c r="P113" s="53">
        <v>0.8</v>
      </c>
      <c r="Q113" s="74">
        <f t="shared" si="3"/>
        <v>0.82499999999999996</v>
      </c>
      <c r="R113" s="53">
        <v>16.5</v>
      </c>
      <c r="S113" s="53">
        <v>152</v>
      </c>
      <c r="T113" s="16">
        <f t="shared" si="4"/>
        <v>22</v>
      </c>
      <c r="U113" s="53">
        <v>429</v>
      </c>
      <c r="V113" s="16">
        <f t="shared" si="5"/>
        <v>3146</v>
      </c>
      <c r="W113" s="53">
        <v>1</v>
      </c>
      <c r="X113" s="53" t="s">
        <v>46</v>
      </c>
      <c r="Y113" s="53" t="s">
        <v>55</v>
      </c>
      <c r="Z113" s="53" t="s">
        <v>69</v>
      </c>
      <c r="AA113" s="53" t="s">
        <v>78</v>
      </c>
      <c r="AB113" s="53" t="s">
        <v>158</v>
      </c>
      <c r="AC113" s="76"/>
      <c r="AD113" s="76"/>
      <c r="AE113" s="76"/>
      <c r="AF113" s="76"/>
      <c r="AG113" s="76"/>
      <c r="AH113" s="76"/>
    </row>
    <row r="114" spans="1:34" x14ac:dyDescent="0.15">
      <c r="A114" s="53" t="s">
        <v>41</v>
      </c>
      <c r="B114" s="53" t="s">
        <v>157</v>
      </c>
      <c r="C114" s="62">
        <v>2019</v>
      </c>
      <c r="D114" s="63" t="s">
        <v>184</v>
      </c>
      <c r="E114" s="53" t="s">
        <v>201</v>
      </c>
      <c r="F114" s="53" t="s">
        <v>202</v>
      </c>
      <c r="G114" s="53" t="s">
        <v>42</v>
      </c>
      <c r="H114" s="53" t="s">
        <v>160</v>
      </c>
      <c r="I114" s="53" t="s">
        <v>159</v>
      </c>
      <c r="J114" s="53" t="s">
        <v>38</v>
      </c>
      <c r="K114" s="53" t="s">
        <v>161</v>
      </c>
      <c r="L114" s="53">
        <v>2</v>
      </c>
      <c r="N114" s="53">
        <v>3</v>
      </c>
      <c r="O114" s="53">
        <v>0.7</v>
      </c>
      <c r="P114" s="53">
        <v>0.85</v>
      </c>
      <c r="Q114" s="74">
        <f t="shared" si="3"/>
        <v>0.77499999999999991</v>
      </c>
      <c r="R114" s="53">
        <v>14.5</v>
      </c>
      <c r="S114" s="53">
        <v>160</v>
      </c>
      <c r="T114" s="16">
        <f t="shared" si="4"/>
        <v>22</v>
      </c>
      <c r="U114" s="53">
        <v>429</v>
      </c>
      <c r="V114" s="16">
        <f t="shared" si="5"/>
        <v>3146</v>
      </c>
      <c r="W114" s="53">
        <v>1</v>
      </c>
      <c r="X114" s="53" t="s">
        <v>46</v>
      </c>
      <c r="Y114" s="53" t="s">
        <v>55</v>
      </c>
      <c r="Z114" s="53" t="s">
        <v>69</v>
      </c>
      <c r="AA114" s="53" t="s">
        <v>78</v>
      </c>
      <c r="AB114" s="53" t="s">
        <v>158</v>
      </c>
      <c r="AC114" s="76"/>
      <c r="AD114" s="76"/>
      <c r="AE114" s="76"/>
      <c r="AF114" s="76"/>
      <c r="AG114" s="76"/>
      <c r="AH114" s="76"/>
    </row>
    <row r="115" spans="1:34" x14ac:dyDescent="0.15">
      <c r="A115" s="53" t="s">
        <v>41</v>
      </c>
      <c r="B115" s="53" t="s">
        <v>157</v>
      </c>
      <c r="C115" s="62">
        <v>2019</v>
      </c>
      <c r="D115" s="63" t="s">
        <v>184</v>
      </c>
      <c r="E115" s="53" t="s">
        <v>201</v>
      </c>
      <c r="F115" s="53" t="s">
        <v>202</v>
      </c>
      <c r="G115" s="53" t="s">
        <v>42</v>
      </c>
      <c r="H115" s="53" t="s">
        <v>160</v>
      </c>
      <c r="I115" s="53" t="s">
        <v>159</v>
      </c>
      <c r="J115" s="53" t="s">
        <v>38</v>
      </c>
      <c r="K115" s="53" t="s">
        <v>161</v>
      </c>
      <c r="L115" s="53">
        <v>3</v>
      </c>
      <c r="N115" s="53">
        <v>3</v>
      </c>
      <c r="O115" s="53">
        <v>0.9</v>
      </c>
      <c r="P115" s="53">
        <v>0.8</v>
      </c>
      <c r="Q115" s="75">
        <f t="shared" si="3"/>
        <v>0.85000000000000009</v>
      </c>
      <c r="R115" s="53">
        <v>12.8</v>
      </c>
      <c r="S115" s="53">
        <v>154</v>
      </c>
      <c r="T115" s="38">
        <f t="shared" si="4"/>
        <v>22</v>
      </c>
      <c r="U115" s="53">
        <v>429</v>
      </c>
      <c r="V115" s="16">
        <f t="shared" si="5"/>
        <v>3146</v>
      </c>
      <c r="W115" s="53">
        <v>1</v>
      </c>
      <c r="X115" s="53" t="s">
        <v>46</v>
      </c>
      <c r="Y115" s="53" t="s">
        <v>55</v>
      </c>
      <c r="Z115" s="53" t="s">
        <v>69</v>
      </c>
      <c r="AA115" s="53" t="s">
        <v>78</v>
      </c>
      <c r="AB115" s="53" t="s">
        <v>158</v>
      </c>
      <c r="AC115" s="76"/>
      <c r="AD115" s="76"/>
      <c r="AE115" s="76"/>
      <c r="AF115" s="76"/>
      <c r="AG115" s="76"/>
      <c r="AH115" s="76"/>
    </row>
    <row r="116" spans="1:34" x14ac:dyDescent="0.15">
      <c r="A116" s="53" t="s">
        <v>41</v>
      </c>
      <c r="B116" s="53" t="s">
        <v>157</v>
      </c>
      <c r="C116" s="62">
        <v>2019</v>
      </c>
      <c r="D116" s="63" t="s">
        <v>184</v>
      </c>
      <c r="E116" s="53" t="s">
        <v>201</v>
      </c>
      <c r="F116" s="53" t="s">
        <v>202</v>
      </c>
      <c r="G116" s="53" t="s">
        <v>42</v>
      </c>
      <c r="H116" s="53" t="s">
        <v>160</v>
      </c>
      <c r="I116" s="53" t="s">
        <v>159</v>
      </c>
      <c r="J116" s="53" t="s">
        <v>38</v>
      </c>
      <c r="K116" s="53" t="s">
        <v>161</v>
      </c>
      <c r="L116" s="53">
        <v>1</v>
      </c>
      <c r="N116" s="53">
        <v>6</v>
      </c>
      <c r="O116" s="53">
        <v>0.55000000000000004</v>
      </c>
      <c r="P116" s="53">
        <v>0.6</v>
      </c>
      <c r="Q116" s="75">
        <f t="shared" si="3"/>
        <v>0.57499999999999996</v>
      </c>
      <c r="R116" s="53">
        <v>16.100000000000001</v>
      </c>
      <c r="S116" s="53">
        <v>120</v>
      </c>
      <c r="T116" s="38">
        <f t="shared" si="4"/>
        <v>30</v>
      </c>
      <c r="U116" s="53">
        <v>626</v>
      </c>
      <c r="V116" s="16">
        <f t="shared" si="5"/>
        <v>3130</v>
      </c>
      <c r="W116" s="53">
        <v>5</v>
      </c>
      <c r="X116" s="53" t="s">
        <v>46</v>
      </c>
      <c r="Y116" s="53" t="s">
        <v>55</v>
      </c>
      <c r="Z116" s="53" t="s">
        <v>69</v>
      </c>
      <c r="AA116" s="53" t="s">
        <v>78</v>
      </c>
      <c r="AB116" s="53" t="s">
        <v>158</v>
      </c>
      <c r="AC116" s="76"/>
      <c r="AD116" s="76"/>
      <c r="AE116" s="76"/>
      <c r="AF116" s="76"/>
      <c r="AG116" s="76"/>
      <c r="AH116" s="76"/>
    </row>
    <row r="117" spans="1:34" x14ac:dyDescent="0.15">
      <c r="A117" s="53" t="s">
        <v>41</v>
      </c>
      <c r="B117" s="53" t="s">
        <v>157</v>
      </c>
      <c r="C117" s="62">
        <v>2019</v>
      </c>
      <c r="D117" s="63" t="s">
        <v>184</v>
      </c>
      <c r="E117" s="53" t="s">
        <v>201</v>
      </c>
      <c r="F117" s="53" t="s">
        <v>202</v>
      </c>
      <c r="G117" s="53" t="s">
        <v>42</v>
      </c>
      <c r="H117" s="53" t="s">
        <v>160</v>
      </c>
      <c r="I117" s="53" t="s">
        <v>159</v>
      </c>
      <c r="J117" s="53" t="s">
        <v>38</v>
      </c>
      <c r="K117" s="53" t="s">
        <v>161</v>
      </c>
      <c r="L117" s="53">
        <v>2</v>
      </c>
      <c r="N117" s="53">
        <v>6</v>
      </c>
      <c r="O117" s="53">
        <v>0.45</v>
      </c>
      <c r="P117" s="53">
        <v>0.3</v>
      </c>
      <c r="Q117" s="75">
        <f t="shared" si="3"/>
        <v>0.375</v>
      </c>
      <c r="R117" s="53">
        <v>13.8</v>
      </c>
      <c r="S117" s="53">
        <v>118</v>
      </c>
      <c r="T117" s="38">
        <f t="shared" si="4"/>
        <v>30</v>
      </c>
      <c r="U117" s="53">
        <v>626</v>
      </c>
      <c r="V117" s="16">
        <f t="shared" si="5"/>
        <v>3130</v>
      </c>
      <c r="W117" s="53">
        <v>5</v>
      </c>
      <c r="X117" s="53" t="s">
        <v>46</v>
      </c>
      <c r="Y117" s="53" t="s">
        <v>55</v>
      </c>
      <c r="Z117" s="53" t="s">
        <v>69</v>
      </c>
      <c r="AA117" s="53" t="s">
        <v>78</v>
      </c>
      <c r="AB117" s="53" t="s">
        <v>158</v>
      </c>
      <c r="AC117" s="76"/>
      <c r="AD117" s="76"/>
      <c r="AE117" s="76"/>
      <c r="AF117" s="76"/>
      <c r="AG117" s="76"/>
      <c r="AH117" s="76"/>
    </row>
    <row r="118" spans="1:34" x14ac:dyDescent="0.15">
      <c r="A118" s="53" t="s">
        <v>41</v>
      </c>
      <c r="B118" s="53" t="s">
        <v>157</v>
      </c>
      <c r="C118" s="62">
        <v>2019</v>
      </c>
      <c r="D118" s="63" t="s">
        <v>184</v>
      </c>
      <c r="E118" s="53" t="s">
        <v>201</v>
      </c>
      <c r="F118" s="53" t="s">
        <v>202</v>
      </c>
      <c r="G118" s="53" t="s">
        <v>42</v>
      </c>
      <c r="H118" s="53" t="s">
        <v>160</v>
      </c>
      <c r="I118" s="53" t="s">
        <v>159</v>
      </c>
      <c r="J118" s="53" t="s">
        <v>38</v>
      </c>
      <c r="K118" s="53" t="s">
        <v>161</v>
      </c>
      <c r="L118" s="53">
        <v>3</v>
      </c>
      <c r="N118" s="53">
        <v>6</v>
      </c>
      <c r="O118" s="53">
        <v>0.35</v>
      </c>
      <c r="P118" s="53">
        <v>0.3</v>
      </c>
      <c r="Q118" s="75">
        <f t="shared" si="3"/>
        <v>0.32499999999999996</v>
      </c>
      <c r="R118" s="53">
        <v>14.1</v>
      </c>
      <c r="S118" s="53">
        <v>116</v>
      </c>
      <c r="T118" s="38">
        <f t="shared" si="4"/>
        <v>30</v>
      </c>
      <c r="U118" s="53">
        <v>626</v>
      </c>
      <c r="V118" s="38">
        <f t="shared" si="5"/>
        <v>3130</v>
      </c>
      <c r="W118" s="53">
        <v>5</v>
      </c>
      <c r="X118" s="53" t="s">
        <v>46</v>
      </c>
      <c r="Y118" s="53" t="s">
        <v>55</v>
      </c>
      <c r="Z118" s="53" t="s">
        <v>69</v>
      </c>
      <c r="AA118" s="53" t="s">
        <v>78</v>
      </c>
      <c r="AB118" s="53" t="s">
        <v>158</v>
      </c>
      <c r="AC118" s="76"/>
      <c r="AD118" s="76"/>
      <c r="AE118" s="76"/>
      <c r="AF118" s="76"/>
      <c r="AG118" s="76"/>
      <c r="AH118" s="76"/>
    </row>
    <row r="119" spans="1:34" x14ac:dyDescent="0.15">
      <c r="A119" s="53" t="s">
        <v>41</v>
      </c>
      <c r="B119" s="53" t="s">
        <v>157</v>
      </c>
      <c r="C119" s="62">
        <v>2019</v>
      </c>
      <c r="D119" s="63" t="s">
        <v>184</v>
      </c>
      <c r="E119" s="53" t="s">
        <v>201</v>
      </c>
      <c r="F119" s="53" t="s">
        <v>202</v>
      </c>
      <c r="G119" s="53" t="s">
        <v>42</v>
      </c>
      <c r="H119" s="53" t="s">
        <v>164</v>
      </c>
      <c r="I119" s="53" t="s">
        <v>159</v>
      </c>
      <c r="J119" s="53" t="s">
        <v>38</v>
      </c>
      <c r="K119" s="53" t="s">
        <v>161</v>
      </c>
      <c r="L119" s="53">
        <v>1</v>
      </c>
      <c r="N119" s="53">
        <v>1</v>
      </c>
      <c r="O119" s="53">
        <v>0.25</v>
      </c>
      <c r="P119" s="53">
        <v>0.3</v>
      </c>
      <c r="Q119" s="75">
        <f t="shared" si="3"/>
        <v>0.27500000000000002</v>
      </c>
      <c r="R119" s="53">
        <v>12.9</v>
      </c>
      <c r="S119" s="53">
        <v>135</v>
      </c>
      <c r="T119" s="38">
        <f t="shared" si="4"/>
        <v>25</v>
      </c>
      <c r="U119" s="53">
        <v>95</v>
      </c>
      <c r="V119" s="38">
        <f t="shared" si="5"/>
        <v>2375</v>
      </c>
      <c r="W119" s="53">
        <v>2</v>
      </c>
      <c r="X119" s="53" t="s">
        <v>46</v>
      </c>
      <c r="Y119" s="53" t="s">
        <v>55</v>
      </c>
      <c r="Z119" s="53" t="s">
        <v>69</v>
      </c>
      <c r="AA119" s="53" t="s">
        <v>78</v>
      </c>
      <c r="AB119" s="53" t="s">
        <v>158</v>
      </c>
      <c r="AC119" s="76"/>
      <c r="AD119" s="76"/>
      <c r="AE119" s="76"/>
      <c r="AF119" s="76"/>
      <c r="AG119" s="76"/>
      <c r="AH119" s="76"/>
    </row>
    <row r="120" spans="1:34" x14ac:dyDescent="0.15">
      <c r="A120" s="53" t="s">
        <v>41</v>
      </c>
      <c r="B120" s="53" t="s">
        <v>157</v>
      </c>
      <c r="C120" s="62">
        <v>2019</v>
      </c>
      <c r="D120" s="63" t="s">
        <v>184</v>
      </c>
      <c r="E120" s="53" t="s">
        <v>201</v>
      </c>
      <c r="F120" s="53" t="s">
        <v>202</v>
      </c>
      <c r="G120" s="53" t="s">
        <v>42</v>
      </c>
      <c r="H120" s="53" t="s">
        <v>164</v>
      </c>
      <c r="I120" s="53" t="s">
        <v>159</v>
      </c>
      <c r="J120" s="53" t="s">
        <v>38</v>
      </c>
      <c r="K120" s="53" t="s">
        <v>161</v>
      </c>
      <c r="L120" s="53">
        <v>2</v>
      </c>
      <c r="N120" s="53">
        <v>1</v>
      </c>
      <c r="O120" s="53">
        <v>0.35</v>
      </c>
      <c r="P120" s="53">
        <v>0.35</v>
      </c>
      <c r="Q120" s="75">
        <f t="shared" si="3"/>
        <v>0.35</v>
      </c>
      <c r="R120" s="53">
        <v>13.4</v>
      </c>
      <c r="S120" s="53">
        <v>127</v>
      </c>
      <c r="T120" s="38">
        <f t="shared" si="4"/>
        <v>27</v>
      </c>
      <c r="U120" s="53">
        <v>95</v>
      </c>
      <c r="V120" s="38">
        <f t="shared" si="5"/>
        <v>2565</v>
      </c>
      <c r="W120" s="53">
        <v>2</v>
      </c>
      <c r="X120" s="53" t="s">
        <v>46</v>
      </c>
      <c r="Y120" s="53" t="s">
        <v>55</v>
      </c>
      <c r="Z120" s="53" t="s">
        <v>69</v>
      </c>
      <c r="AA120" s="53" t="s">
        <v>78</v>
      </c>
      <c r="AB120" s="53" t="s">
        <v>158</v>
      </c>
      <c r="AC120" s="76"/>
      <c r="AD120" s="76"/>
      <c r="AE120" s="76"/>
      <c r="AF120" s="76"/>
      <c r="AG120" s="76"/>
      <c r="AH120" s="76"/>
    </row>
    <row r="121" spans="1:34" x14ac:dyDescent="0.15">
      <c r="A121" s="53" t="s">
        <v>41</v>
      </c>
      <c r="B121" s="53" t="s">
        <v>157</v>
      </c>
      <c r="C121" s="62">
        <v>2019</v>
      </c>
      <c r="D121" s="63" t="s">
        <v>184</v>
      </c>
      <c r="E121" s="53" t="s">
        <v>201</v>
      </c>
      <c r="F121" s="53" t="s">
        <v>202</v>
      </c>
      <c r="G121" s="53" t="s">
        <v>42</v>
      </c>
      <c r="H121" s="53" t="s">
        <v>164</v>
      </c>
      <c r="I121" s="53" t="s">
        <v>159</v>
      </c>
      <c r="J121" s="53" t="s">
        <v>38</v>
      </c>
      <c r="K121" s="53" t="s">
        <v>161</v>
      </c>
      <c r="L121" s="53">
        <v>3</v>
      </c>
      <c r="N121" s="53">
        <v>1</v>
      </c>
      <c r="O121" s="53">
        <v>0.25</v>
      </c>
      <c r="P121" s="53">
        <v>0.25</v>
      </c>
      <c r="Q121" s="75">
        <f t="shared" si="3"/>
        <v>0.25</v>
      </c>
      <c r="R121" s="53">
        <v>12</v>
      </c>
      <c r="S121" s="53">
        <v>129</v>
      </c>
      <c r="T121" s="38">
        <f t="shared" si="4"/>
        <v>25</v>
      </c>
      <c r="U121" s="53">
        <v>95</v>
      </c>
      <c r="V121" s="38">
        <f t="shared" si="5"/>
        <v>2375</v>
      </c>
      <c r="W121" s="53">
        <v>2</v>
      </c>
      <c r="X121" s="53" t="s">
        <v>46</v>
      </c>
      <c r="Y121" s="53" t="s">
        <v>55</v>
      </c>
      <c r="Z121" s="53" t="s">
        <v>69</v>
      </c>
      <c r="AA121" s="53" t="s">
        <v>78</v>
      </c>
      <c r="AB121" s="53" t="s">
        <v>158</v>
      </c>
      <c r="AC121" s="76"/>
      <c r="AD121" s="76"/>
      <c r="AE121" s="76"/>
      <c r="AF121" s="76"/>
      <c r="AG121" s="76"/>
      <c r="AH121" s="76"/>
    </row>
    <row r="122" spans="1:34" x14ac:dyDescent="0.15">
      <c r="A122" s="53" t="s">
        <v>41</v>
      </c>
      <c r="B122" s="53" t="s">
        <v>157</v>
      </c>
      <c r="C122" s="62">
        <v>2019</v>
      </c>
      <c r="D122" s="63" t="s">
        <v>184</v>
      </c>
      <c r="E122" s="53" t="s">
        <v>201</v>
      </c>
      <c r="F122" s="53" t="s">
        <v>202</v>
      </c>
      <c r="G122" s="53" t="s">
        <v>42</v>
      </c>
      <c r="H122" s="53" t="s">
        <v>164</v>
      </c>
      <c r="I122" s="53" t="s">
        <v>159</v>
      </c>
      <c r="J122" s="53" t="s">
        <v>38</v>
      </c>
      <c r="K122" s="53" t="s">
        <v>161</v>
      </c>
      <c r="L122" s="53">
        <v>1</v>
      </c>
      <c r="N122" s="53">
        <v>4</v>
      </c>
      <c r="O122" s="53">
        <v>0.35</v>
      </c>
      <c r="P122" s="53">
        <v>0.35</v>
      </c>
      <c r="Q122" s="74">
        <f t="shared" si="3"/>
        <v>0.35</v>
      </c>
      <c r="R122" s="53">
        <v>14.3</v>
      </c>
      <c r="S122" s="53">
        <v>124</v>
      </c>
      <c r="T122" s="16">
        <f t="shared" si="4"/>
        <v>27</v>
      </c>
      <c r="U122" s="53">
        <v>378</v>
      </c>
      <c r="V122" s="16">
        <f t="shared" si="5"/>
        <v>2551.5</v>
      </c>
      <c r="W122" s="53">
        <v>2</v>
      </c>
      <c r="X122" s="53" t="s">
        <v>46</v>
      </c>
      <c r="Y122" s="53" t="s">
        <v>55</v>
      </c>
      <c r="Z122" s="53" t="s">
        <v>69</v>
      </c>
      <c r="AA122" s="53" t="s">
        <v>78</v>
      </c>
      <c r="AB122" s="53" t="s">
        <v>158</v>
      </c>
      <c r="AC122" s="76"/>
      <c r="AD122" s="76"/>
      <c r="AE122" s="76"/>
      <c r="AF122" s="76"/>
      <c r="AG122" s="76"/>
      <c r="AH122" s="76"/>
    </row>
    <row r="123" spans="1:34" x14ac:dyDescent="0.15">
      <c r="A123" s="53" t="s">
        <v>41</v>
      </c>
      <c r="B123" s="53" t="s">
        <v>157</v>
      </c>
      <c r="C123" s="62">
        <v>2019</v>
      </c>
      <c r="D123" s="63" t="s">
        <v>184</v>
      </c>
      <c r="E123" s="53" t="s">
        <v>201</v>
      </c>
      <c r="F123" s="53" t="s">
        <v>202</v>
      </c>
      <c r="G123" s="53" t="s">
        <v>42</v>
      </c>
      <c r="H123" s="53" t="s">
        <v>164</v>
      </c>
      <c r="I123" s="53" t="s">
        <v>159</v>
      </c>
      <c r="J123" s="53" t="s">
        <v>38</v>
      </c>
      <c r="K123" s="53" t="s">
        <v>161</v>
      </c>
      <c r="L123" s="53">
        <v>2</v>
      </c>
      <c r="N123" s="53">
        <v>4</v>
      </c>
      <c r="O123" s="53">
        <v>0.4</v>
      </c>
      <c r="P123" s="53">
        <v>0.35</v>
      </c>
      <c r="Q123" s="74">
        <f t="shared" si="3"/>
        <v>0.375</v>
      </c>
      <c r="R123" s="53">
        <v>10.5</v>
      </c>
      <c r="S123" s="53">
        <v>122</v>
      </c>
      <c r="T123" s="16">
        <f t="shared" si="4"/>
        <v>27</v>
      </c>
      <c r="U123" s="53">
        <v>378</v>
      </c>
      <c r="V123" s="16">
        <f t="shared" si="5"/>
        <v>2551.5</v>
      </c>
      <c r="W123" s="53">
        <v>2</v>
      </c>
      <c r="X123" s="53" t="s">
        <v>46</v>
      </c>
      <c r="Y123" s="53" t="s">
        <v>55</v>
      </c>
      <c r="Z123" s="53" t="s">
        <v>69</v>
      </c>
      <c r="AA123" s="53" t="s">
        <v>78</v>
      </c>
      <c r="AB123" s="53" t="s">
        <v>158</v>
      </c>
      <c r="AC123" s="76"/>
      <c r="AD123" s="76"/>
      <c r="AE123" s="76"/>
      <c r="AF123" s="76"/>
      <c r="AG123" s="76"/>
      <c r="AH123" s="76"/>
    </row>
    <row r="124" spans="1:34" x14ac:dyDescent="0.15">
      <c r="A124" s="53" t="s">
        <v>41</v>
      </c>
      <c r="B124" s="53" t="s">
        <v>157</v>
      </c>
      <c r="C124" s="62">
        <v>2019</v>
      </c>
      <c r="D124" s="63" t="s">
        <v>184</v>
      </c>
      <c r="E124" s="53" t="s">
        <v>201</v>
      </c>
      <c r="F124" s="53" t="s">
        <v>202</v>
      </c>
      <c r="G124" s="53" t="s">
        <v>42</v>
      </c>
      <c r="H124" s="53" t="s">
        <v>164</v>
      </c>
      <c r="I124" s="53" t="s">
        <v>159</v>
      </c>
      <c r="J124" s="53" t="s">
        <v>38</v>
      </c>
      <c r="K124" s="53" t="s">
        <v>161</v>
      </c>
      <c r="L124" s="53">
        <v>3</v>
      </c>
      <c r="N124" s="53">
        <v>4</v>
      </c>
      <c r="O124" s="53">
        <v>0.65</v>
      </c>
      <c r="P124" s="53">
        <v>0.55000000000000004</v>
      </c>
      <c r="Q124" s="74">
        <f t="shared" si="3"/>
        <v>0.60000000000000009</v>
      </c>
      <c r="R124" s="53">
        <v>11.4</v>
      </c>
      <c r="S124" s="53">
        <v>122</v>
      </c>
      <c r="T124" s="16">
        <f t="shared" si="4"/>
        <v>27</v>
      </c>
      <c r="U124" s="53">
        <v>378</v>
      </c>
      <c r="V124" s="16">
        <f t="shared" si="5"/>
        <v>2551.5</v>
      </c>
      <c r="W124" s="53">
        <v>2</v>
      </c>
      <c r="X124" s="53" t="s">
        <v>46</v>
      </c>
      <c r="Y124" s="53" t="s">
        <v>55</v>
      </c>
      <c r="Z124" s="53" t="s">
        <v>69</v>
      </c>
      <c r="AA124" s="53" t="s">
        <v>78</v>
      </c>
      <c r="AB124" s="53" t="s">
        <v>158</v>
      </c>
      <c r="AC124" s="76"/>
      <c r="AD124" s="76"/>
      <c r="AE124" s="76"/>
      <c r="AF124" s="76"/>
      <c r="AG124" s="76"/>
      <c r="AH124" s="76"/>
    </row>
    <row r="125" spans="1:34" x14ac:dyDescent="0.15">
      <c r="A125" s="53" t="s">
        <v>41</v>
      </c>
      <c r="B125" s="53" t="s">
        <v>157</v>
      </c>
      <c r="C125" s="62">
        <v>2019</v>
      </c>
      <c r="D125" s="63" t="s">
        <v>184</v>
      </c>
      <c r="E125" s="53" t="s">
        <v>201</v>
      </c>
      <c r="F125" s="53" t="s">
        <v>202</v>
      </c>
      <c r="G125" s="53" t="s">
        <v>42</v>
      </c>
      <c r="H125" s="53" t="s">
        <v>164</v>
      </c>
      <c r="I125" s="53" t="s">
        <v>159</v>
      </c>
      <c r="J125" s="53" t="s">
        <v>38</v>
      </c>
      <c r="K125" s="53" t="s">
        <v>161</v>
      </c>
      <c r="L125" s="53">
        <v>1</v>
      </c>
      <c r="N125" s="53">
        <v>8</v>
      </c>
      <c r="O125" s="53">
        <v>0.75</v>
      </c>
      <c r="P125" s="53">
        <v>0.85</v>
      </c>
      <c r="Q125" s="74">
        <f t="shared" si="3"/>
        <v>0.8</v>
      </c>
      <c r="R125" s="53">
        <v>12.8</v>
      </c>
      <c r="S125" s="53">
        <v>120</v>
      </c>
      <c r="T125" s="16">
        <f t="shared" si="4"/>
        <v>30</v>
      </c>
      <c r="U125" s="53">
        <v>626</v>
      </c>
      <c r="V125" s="16">
        <f t="shared" si="5"/>
        <v>2347.5</v>
      </c>
      <c r="W125" s="53">
        <v>3</v>
      </c>
      <c r="X125" s="53" t="s">
        <v>46</v>
      </c>
      <c r="Y125" s="53" t="s">
        <v>55</v>
      </c>
      <c r="Z125" s="53" t="s">
        <v>69</v>
      </c>
      <c r="AA125" s="53" t="s">
        <v>78</v>
      </c>
      <c r="AB125" s="53" t="s">
        <v>158</v>
      </c>
      <c r="AC125" s="76"/>
      <c r="AD125" s="76"/>
      <c r="AE125" s="76"/>
      <c r="AF125" s="76"/>
      <c r="AG125" s="76"/>
      <c r="AH125" s="76"/>
    </row>
    <row r="126" spans="1:34" x14ac:dyDescent="0.15">
      <c r="A126" s="53" t="s">
        <v>41</v>
      </c>
      <c r="B126" s="53" t="s">
        <v>157</v>
      </c>
      <c r="C126" s="62">
        <v>2019</v>
      </c>
      <c r="D126" s="63" t="s">
        <v>184</v>
      </c>
      <c r="E126" s="53" t="s">
        <v>201</v>
      </c>
      <c r="F126" s="53" t="s">
        <v>202</v>
      </c>
      <c r="G126" s="53" t="s">
        <v>42</v>
      </c>
      <c r="H126" s="53" t="s">
        <v>164</v>
      </c>
      <c r="I126" s="53" t="s">
        <v>159</v>
      </c>
      <c r="J126" s="53" t="s">
        <v>38</v>
      </c>
      <c r="K126" s="53" t="s">
        <v>161</v>
      </c>
      <c r="L126" s="53">
        <v>2</v>
      </c>
      <c r="N126" s="53">
        <v>8</v>
      </c>
      <c r="O126" s="53">
        <v>0.75</v>
      </c>
      <c r="P126" s="53">
        <v>0.9</v>
      </c>
      <c r="Q126" s="74">
        <f t="shared" si="3"/>
        <v>0.82499999999999996</v>
      </c>
      <c r="R126" s="53">
        <v>13.5</v>
      </c>
      <c r="S126" s="53">
        <v>126</v>
      </c>
      <c r="T126" s="16">
        <f t="shared" si="4"/>
        <v>27</v>
      </c>
      <c r="U126" s="53">
        <v>626</v>
      </c>
      <c r="V126" s="16">
        <f t="shared" si="5"/>
        <v>2112.75</v>
      </c>
      <c r="W126" s="53">
        <v>3</v>
      </c>
      <c r="X126" s="53" t="s">
        <v>46</v>
      </c>
      <c r="Y126" s="53" t="s">
        <v>55</v>
      </c>
      <c r="Z126" s="53" t="s">
        <v>69</v>
      </c>
      <c r="AA126" s="53" t="s">
        <v>78</v>
      </c>
      <c r="AB126" s="53" t="s">
        <v>158</v>
      </c>
      <c r="AC126" s="76"/>
      <c r="AD126" s="76"/>
      <c r="AE126" s="76"/>
      <c r="AF126" s="76"/>
      <c r="AG126" s="76"/>
      <c r="AH126" s="76"/>
    </row>
    <row r="127" spans="1:34" x14ac:dyDescent="0.15">
      <c r="A127" s="53" t="s">
        <v>41</v>
      </c>
      <c r="B127" s="53" t="s">
        <v>157</v>
      </c>
      <c r="C127" s="62">
        <v>2019</v>
      </c>
      <c r="D127" s="63" t="s">
        <v>184</v>
      </c>
      <c r="E127" s="53" t="s">
        <v>201</v>
      </c>
      <c r="F127" s="53" t="s">
        <v>202</v>
      </c>
      <c r="G127" s="53" t="s">
        <v>42</v>
      </c>
      <c r="H127" s="53" t="s">
        <v>164</v>
      </c>
      <c r="I127" s="53" t="s">
        <v>159</v>
      </c>
      <c r="J127" s="53" t="s">
        <v>38</v>
      </c>
      <c r="K127" s="53" t="s">
        <v>161</v>
      </c>
      <c r="L127" s="53">
        <v>3</v>
      </c>
      <c r="N127" s="53">
        <v>8</v>
      </c>
      <c r="O127" s="53">
        <v>0.9</v>
      </c>
      <c r="P127" s="53">
        <v>1.05</v>
      </c>
      <c r="Q127" s="75">
        <f t="shared" si="3"/>
        <v>0.97500000000000009</v>
      </c>
      <c r="R127" s="53">
        <v>13</v>
      </c>
      <c r="S127" s="53">
        <v>124</v>
      </c>
      <c r="T127" s="38">
        <f t="shared" si="4"/>
        <v>27</v>
      </c>
      <c r="U127" s="53">
        <v>626</v>
      </c>
      <c r="V127" s="16">
        <f t="shared" si="5"/>
        <v>2112.75</v>
      </c>
      <c r="W127" s="53">
        <v>3</v>
      </c>
      <c r="X127" s="53" t="s">
        <v>46</v>
      </c>
      <c r="Y127" s="53" t="s">
        <v>55</v>
      </c>
      <c r="Z127" s="53" t="s">
        <v>69</v>
      </c>
      <c r="AA127" s="53" t="s">
        <v>78</v>
      </c>
      <c r="AB127" s="53" t="s">
        <v>158</v>
      </c>
      <c r="AC127" s="76"/>
      <c r="AD127" s="76"/>
      <c r="AE127" s="76"/>
      <c r="AF127" s="76"/>
      <c r="AG127" s="76"/>
      <c r="AH127" s="76"/>
    </row>
    <row r="128" spans="1:34" x14ac:dyDescent="0.15">
      <c r="A128" s="53" t="s">
        <v>41</v>
      </c>
      <c r="B128" s="53" t="s">
        <v>157</v>
      </c>
      <c r="C128" s="62">
        <v>2019</v>
      </c>
      <c r="D128" s="63" t="s">
        <v>184</v>
      </c>
      <c r="E128" s="53" t="s">
        <v>201</v>
      </c>
      <c r="F128" s="53" t="s">
        <v>208</v>
      </c>
      <c r="G128" s="53" t="s">
        <v>42</v>
      </c>
      <c r="H128" s="53" t="s">
        <v>160</v>
      </c>
      <c r="I128" s="53" t="s">
        <v>159</v>
      </c>
      <c r="J128" s="53" t="s">
        <v>38</v>
      </c>
      <c r="K128" s="53" t="s">
        <v>161</v>
      </c>
      <c r="L128" s="53">
        <v>1</v>
      </c>
      <c r="N128" s="53">
        <v>1</v>
      </c>
      <c r="O128" s="53">
        <v>1</v>
      </c>
      <c r="P128" s="53">
        <v>1</v>
      </c>
      <c r="Q128" s="75">
        <f t="shared" si="3"/>
        <v>1</v>
      </c>
      <c r="R128" s="53">
        <v>13.5</v>
      </c>
      <c r="S128" s="53">
        <v>126</v>
      </c>
      <c r="T128" s="38">
        <f t="shared" si="4"/>
        <v>27</v>
      </c>
      <c r="U128" s="53">
        <v>95</v>
      </c>
      <c r="V128" s="16">
        <f t="shared" si="5"/>
        <v>2565</v>
      </c>
      <c r="W128" s="53">
        <v>4</v>
      </c>
      <c r="X128" s="53" t="s">
        <v>46</v>
      </c>
      <c r="Y128" s="53" t="s">
        <v>55</v>
      </c>
      <c r="Z128" s="53" t="s">
        <v>69</v>
      </c>
      <c r="AA128" s="53" t="s">
        <v>78</v>
      </c>
      <c r="AB128" s="53" t="s">
        <v>158</v>
      </c>
      <c r="AC128" s="76"/>
      <c r="AD128" s="76"/>
      <c r="AE128" s="76"/>
      <c r="AF128" s="76"/>
      <c r="AG128" s="76"/>
      <c r="AH128" s="76"/>
    </row>
    <row r="129" spans="1:34" x14ac:dyDescent="0.15">
      <c r="A129" s="53" t="s">
        <v>41</v>
      </c>
      <c r="B129" s="53" t="s">
        <v>157</v>
      </c>
      <c r="C129" s="62">
        <v>2019</v>
      </c>
      <c r="D129" s="63" t="s">
        <v>184</v>
      </c>
      <c r="E129" s="53" t="s">
        <v>201</v>
      </c>
      <c r="F129" s="53" t="s">
        <v>208</v>
      </c>
      <c r="G129" s="53" t="s">
        <v>42</v>
      </c>
      <c r="H129" s="53" t="s">
        <v>160</v>
      </c>
      <c r="I129" s="53" t="s">
        <v>159</v>
      </c>
      <c r="J129" s="53" t="s">
        <v>38</v>
      </c>
      <c r="K129" s="53" t="s">
        <v>161</v>
      </c>
      <c r="L129" s="53">
        <v>2</v>
      </c>
      <c r="N129" s="53">
        <v>1</v>
      </c>
      <c r="O129" s="53">
        <v>1</v>
      </c>
      <c r="P129" s="53">
        <v>0.95</v>
      </c>
      <c r="Q129" s="75">
        <f t="shared" si="3"/>
        <v>0.97499999999999998</v>
      </c>
      <c r="R129" s="53">
        <v>14.5</v>
      </c>
      <c r="S129" s="53">
        <v>128</v>
      </c>
      <c r="T129" s="38">
        <f t="shared" si="4"/>
        <v>27</v>
      </c>
      <c r="U129" s="53">
        <v>95</v>
      </c>
      <c r="V129" s="16">
        <f t="shared" si="5"/>
        <v>2565</v>
      </c>
      <c r="W129" s="53">
        <v>4</v>
      </c>
      <c r="X129" s="53" t="s">
        <v>46</v>
      </c>
      <c r="Y129" s="53" t="s">
        <v>55</v>
      </c>
      <c r="Z129" s="53" t="s">
        <v>69</v>
      </c>
      <c r="AA129" s="53" t="s">
        <v>78</v>
      </c>
      <c r="AB129" s="53" t="s">
        <v>158</v>
      </c>
      <c r="AC129" s="76"/>
      <c r="AD129" s="76"/>
      <c r="AE129" s="76"/>
      <c r="AF129" s="76"/>
      <c r="AG129" s="76"/>
      <c r="AH129" s="76"/>
    </row>
    <row r="130" spans="1:34" x14ac:dyDescent="0.15">
      <c r="A130" s="53" t="s">
        <v>41</v>
      </c>
      <c r="B130" s="53" t="s">
        <v>157</v>
      </c>
      <c r="C130" s="62">
        <v>2019</v>
      </c>
      <c r="D130" s="63" t="s">
        <v>184</v>
      </c>
      <c r="E130" s="53" t="s">
        <v>201</v>
      </c>
      <c r="F130" s="53" t="s">
        <v>208</v>
      </c>
      <c r="G130" s="53" t="s">
        <v>42</v>
      </c>
      <c r="H130" s="53" t="s">
        <v>160</v>
      </c>
      <c r="I130" s="53" t="s">
        <v>159</v>
      </c>
      <c r="J130" s="53" t="s">
        <v>38</v>
      </c>
      <c r="K130" s="53" t="s">
        <v>161</v>
      </c>
      <c r="L130" s="53">
        <v>3</v>
      </c>
      <c r="N130" s="53">
        <v>1</v>
      </c>
      <c r="O130" s="53">
        <v>1</v>
      </c>
      <c r="P130" s="53">
        <v>0.95</v>
      </c>
      <c r="Q130" s="75">
        <f t="shared" ref="Q130:Q193" si="6">IF(OR(O130="",P130=""),"",AVERAGE(O130,P130))</f>
        <v>0.97499999999999998</v>
      </c>
      <c r="R130" s="53">
        <v>12</v>
      </c>
      <c r="S130" s="53">
        <v>122</v>
      </c>
      <c r="T130" s="38">
        <f t="shared" ref="T130:T193" si="7">IF(H130="","",IF(OR(H130="GREEN",H130="GK"),IF(S130&gt;=$AX$2,VLOOKUP(S130,$AX$2:$AY$10,2,1),""),IF(S130&gt;=$AZ$2,VLOOKUP(S130,$AZ$2:$BA$10,2,1),"")))</f>
        <v>27</v>
      </c>
      <c r="U130" s="53">
        <v>95</v>
      </c>
      <c r="V130" s="38">
        <f t="shared" ref="V130:V193" si="8">IF(OR(N130="",U130="",T130=""),"",U130/N130*T130)</f>
        <v>2565</v>
      </c>
      <c r="W130" s="53">
        <v>4</v>
      </c>
      <c r="X130" s="53" t="s">
        <v>46</v>
      </c>
      <c r="Y130" s="53" t="s">
        <v>55</v>
      </c>
      <c r="Z130" s="53" t="s">
        <v>69</v>
      </c>
      <c r="AA130" s="53" t="s">
        <v>78</v>
      </c>
      <c r="AB130" s="53" t="s">
        <v>158</v>
      </c>
      <c r="AC130" s="76"/>
      <c r="AD130" s="76"/>
      <c r="AE130" s="76"/>
      <c r="AF130" s="76"/>
      <c r="AG130" s="76"/>
      <c r="AH130" s="76"/>
    </row>
    <row r="131" spans="1:34" x14ac:dyDescent="0.15">
      <c r="A131" s="53" t="s">
        <v>41</v>
      </c>
      <c r="B131" s="53" t="s">
        <v>157</v>
      </c>
      <c r="C131" s="62">
        <v>2019</v>
      </c>
      <c r="D131" s="63" t="s">
        <v>184</v>
      </c>
      <c r="E131" s="53" t="s">
        <v>201</v>
      </c>
      <c r="F131" s="53" t="s">
        <v>208</v>
      </c>
      <c r="G131" s="53" t="s">
        <v>42</v>
      </c>
      <c r="H131" s="53" t="s">
        <v>160</v>
      </c>
      <c r="I131" s="53" t="s">
        <v>159</v>
      </c>
      <c r="J131" s="53" t="s">
        <v>38</v>
      </c>
      <c r="K131" s="53" t="s">
        <v>161</v>
      </c>
      <c r="L131" s="53">
        <v>1</v>
      </c>
      <c r="N131" s="53">
        <v>3</v>
      </c>
      <c r="O131" s="53">
        <v>0.65</v>
      </c>
      <c r="P131" s="53">
        <v>0.55000000000000004</v>
      </c>
      <c r="Q131" s="75">
        <f t="shared" si="6"/>
        <v>0.60000000000000009</v>
      </c>
      <c r="R131" s="53">
        <v>15.4</v>
      </c>
      <c r="S131" s="53">
        <v>159</v>
      </c>
      <c r="T131" s="38">
        <f t="shared" si="7"/>
        <v>22</v>
      </c>
      <c r="U131" s="53">
        <v>429</v>
      </c>
      <c r="V131" s="38">
        <f t="shared" si="8"/>
        <v>3146</v>
      </c>
      <c r="W131" s="53">
        <v>2</v>
      </c>
      <c r="X131" s="53" t="s">
        <v>46</v>
      </c>
      <c r="Y131" s="53" t="s">
        <v>55</v>
      </c>
      <c r="Z131" s="53" t="s">
        <v>69</v>
      </c>
      <c r="AA131" s="53" t="s">
        <v>78</v>
      </c>
      <c r="AB131" s="53" t="s">
        <v>158</v>
      </c>
      <c r="AC131" s="76"/>
      <c r="AD131" s="76"/>
      <c r="AE131" s="76"/>
      <c r="AF131" s="76"/>
      <c r="AG131" s="76"/>
      <c r="AH131" s="76"/>
    </row>
    <row r="132" spans="1:34" x14ac:dyDescent="0.15">
      <c r="A132" s="53" t="s">
        <v>41</v>
      </c>
      <c r="B132" s="53" t="s">
        <v>157</v>
      </c>
      <c r="C132" s="62">
        <v>2019</v>
      </c>
      <c r="D132" s="63" t="s">
        <v>184</v>
      </c>
      <c r="E132" s="53" t="s">
        <v>201</v>
      </c>
      <c r="F132" s="53" t="s">
        <v>208</v>
      </c>
      <c r="G132" s="53" t="s">
        <v>42</v>
      </c>
      <c r="H132" s="53" t="s">
        <v>160</v>
      </c>
      <c r="I132" s="53" t="s">
        <v>159</v>
      </c>
      <c r="J132" s="53" t="s">
        <v>38</v>
      </c>
      <c r="K132" s="53" t="s">
        <v>161</v>
      </c>
      <c r="L132" s="53">
        <v>2</v>
      </c>
      <c r="N132" s="53">
        <v>3</v>
      </c>
      <c r="O132" s="53">
        <v>0.75</v>
      </c>
      <c r="P132" s="53">
        <v>0.65</v>
      </c>
      <c r="Q132" s="75">
        <f t="shared" si="6"/>
        <v>0.7</v>
      </c>
      <c r="R132" s="53">
        <v>15.8</v>
      </c>
      <c r="S132" s="53">
        <v>167</v>
      </c>
      <c r="T132" s="38">
        <f t="shared" si="7"/>
        <v>22</v>
      </c>
      <c r="U132" s="53">
        <v>429</v>
      </c>
      <c r="V132" s="38">
        <f t="shared" si="8"/>
        <v>3146</v>
      </c>
      <c r="W132" s="53">
        <v>2</v>
      </c>
      <c r="X132" s="53" t="s">
        <v>46</v>
      </c>
      <c r="Y132" s="53" t="s">
        <v>55</v>
      </c>
      <c r="Z132" s="53" t="s">
        <v>69</v>
      </c>
      <c r="AA132" s="53" t="s">
        <v>78</v>
      </c>
      <c r="AB132" s="53" t="s">
        <v>158</v>
      </c>
      <c r="AC132" s="76"/>
      <c r="AD132" s="76"/>
      <c r="AE132" s="76"/>
      <c r="AF132" s="76"/>
      <c r="AG132" s="76"/>
      <c r="AH132" s="76"/>
    </row>
    <row r="133" spans="1:34" x14ac:dyDescent="0.15">
      <c r="A133" s="53" t="s">
        <v>41</v>
      </c>
      <c r="B133" s="53" t="s">
        <v>157</v>
      </c>
      <c r="C133" s="62">
        <v>2019</v>
      </c>
      <c r="D133" s="63" t="s">
        <v>184</v>
      </c>
      <c r="E133" s="53" t="s">
        <v>201</v>
      </c>
      <c r="F133" s="53" t="s">
        <v>208</v>
      </c>
      <c r="G133" s="53" t="s">
        <v>42</v>
      </c>
      <c r="H133" s="53" t="s">
        <v>160</v>
      </c>
      <c r="I133" s="53" t="s">
        <v>159</v>
      </c>
      <c r="J133" s="53" t="s">
        <v>38</v>
      </c>
      <c r="K133" s="53" t="s">
        <v>161</v>
      </c>
      <c r="L133" s="53">
        <v>3</v>
      </c>
      <c r="N133" s="53">
        <v>3</v>
      </c>
      <c r="O133" s="53">
        <v>0.5</v>
      </c>
      <c r="P133" s="53">
        <v>0.65</v>
      </c>
      <c r="Q133" s="75">
        <f t="shared" si="6"/>
        <v>0.57499999999999996</v>
      </c>
      <c r="R133" s="53">
        <v>16</v>
      </c>
      <c r="S133" s="53">
        <v>164</v>
      </c>
      <c r="T133" s="38">
        <f t="shared" si="7"/>
        <v>22</v>
      </c>
      <c r="U133" s="53">
        <v>429</v>
      </c>
      <c r="V133" s="38">
        <f t="shared" si="8"/>
        <v>3146</v>
      </c>
      <c r="W133" s="53">
        <v>2</v>
      </c>
      <c r="X133" s="53" t="s">
        <v>46</v>
      </c>
      <c r="Y133" s="53" t="s">
        <v>55</v>
      </c>
      <c r="Z133" s="53" t="s">
        <v>69</v>
      </c>
      <c r="AA133" s="53" t="s">
        <v>78</v>
      </c>
      <c r="AB133" s="53" t="s">
        <v>158</v>
      </c>
      <c r="AC133" s="76"/>
      <c r="AD133" s="76"/>
      <c r="AE133" s="76"/>
      <c r="AF133" s="76"/>
      <c r="AG133" s="76"/>
      <c r="AH133" s="76"/>
    </row>
    <row r="134" spans="1:34" x14ac:dyDescent="0.15">
      <c r="A134" s="53" t="s">
        <v>41</v>
      </c>
      <c r="B134" s="53" t="s">
        <v>157</v>
      </c>
      <c r="C134" s="62">
        <v>2019</v>
      </c>
      <c r="D134" s="63" t="s">
        <v>184</v>
      </c>
      <c r="E134" s="53" t="s">
        <v>201</v>
      </c>
      <c r="F134" s="53" t="s">
        <v>208</v>
      </c>
      <c r="G134" s="53" t="s">
        <v>42</v>
      </c>
      <c r="H134" s="53" t="s">
        <v>160</v>
      </c>
      <c r="I134" s="53" t="s">
        <v>159</v>
      </c>
      <c r="J134" s="53" t="s">
        <v>38</v>
      </c>
      <c r="K134" s="53" t="s">
        <v>161</v>
      </c>
      <c r="L134" s="53">
        <v>1</v>
      </c>
      <c r="N134" s="53">
        <v>6</v>
      </c>
      <c r="O134" s="53">
        <v>0.45</v>
      </c>
      <c r="P134" s="53">
        <v>0.5</v>
      </c>
      <c r="Q134" s="74">
        <f t="shared" si="6"/>
        <v>0.47499999999999998</v>
      </c>
      <c r="R134" s="53">
        <v>13.8</v>
      </c>
      <c r="S134" s="53">
        <v>120</v>
      </c>
      <c r="T134" s="16">
        <f t="shared" si="7"/>
        <v>30</v>
      </c>
      <c r="U134" s="53">
        <v>537</v>
      </c>
      <c r="V134" s="16">
        <f t="shared" si="8"/>
        <v>2685</v>
      </c>
      <c r="W134" s="53">
        <v>2</v>
      </c>
      <c r="X134" s="53" t="s">
        <v>46</v>
      </c>
      <c r="Y134" s="53" t="s">
        <v>55</v>
      </c>
      <c r="Z134" s="53" t="s">
        <v>69</v>
      </c>
      <c r="AA134" s="53" t="s">
        <v>78</v>
      </c>
      <c r="AB134" s="53" t="s">
        <v>158</v>
      </c>
      <c r="AC134" s="76"/>
      <c r="AD134" s="76"/>
      <c r="AE134" s="76"/>
      <c r="AF134" s="76"/>
      <c r="AG134" s="76"/>
      <c r="AH134" s="76"/>
    </row>
    <row r="135" spans="1:34" x14ac:dyDescent="0.15">
      <c r="A135" s="53" t="s">
        <v>41</v>
      </c>
      <c r="B135" s="53" t="s">
        <v>157</v>
      </c>
      <c r="C135" s="62">
        <v>2019</v>
      </c>
      <c r="D135" s="63" t="s">
        <v>184</v>
      </c>
      <c r="E135" s="53" t="s">
        <v>201</v>
      </c>
      <c r="F135" s="53" t="s">
        <v>208</v>
      </c>
      <c r="G135" s="53" t="s">
        <v>42</v>
      </c>
      <c r="H135" s="53" t="s">
        <v>160</v>
      </c>
      <c r="I135" s="53" t="s">
        <v>159</v>
      </c>
      <c r="J135" s="53" t="s">
        <v>38</v>
      </c>
      <c r="K135" s="53" t="s">
        <v>161</v>
      </c>
      <c r="L135" s="53">
        <v>2</v>
      </c>
      <c r="N135" s="53">
        <v>6</v>
      </c>
      <c r="O135" s="53">
        <v>0.45</v>
      </c>
      <c r="P135" s="53">
        <v>0.6</v>
      </c>
      <c r="Q135" s="74">
        <f t="shared" si="6"/>
        <v>0.52500000000000002</v>
      </c>
      <c r="R135" s="53">
        <v>14.1</v>
      </c>
      <c r="S135" s="53">
        <v>118</v>
      </c>
      <c r="T135" s="16">
        <f t="shared" si="7"/>
        <v>30</v>
      </c>
      <c r="U135" s="53">
        <v>537</v>
      </c>
      <c r="V135" s="16">
        <f t="shared" si="8"/>
        <v>2685</v>
      </c>
      <c r="W135" s="53">
        <v>2</v>
      </c>
      <c r="X135" s="53" t="s">
        <v>46</v>
      </c>
      <c r="Y135" s="53" t="s">
        <v>55</v>
      </c>
      <c r="Z135" s="53" t="s">
        <v>69</v>
      </c>
      <c r="AA135" s="53" t="s">
        <v>78</v>
      </c>
      <c r="AB135" s="53" t="s">
        <v>158</v>
      </c>
      <c r="AC135" s="76"/>
      <c r="AD135" s="76"/>
      <c r="AE135" s="76"/>
      <c r="AF135" s="76"/>
      <c r="AG135" s="76"/>
      <c r="AH135" s="76"/>
    </row>
    <row r="136" spans="1:34" x14ac:dyDescent="0.15">
      <c r="A136" s="53" t="s">
        <v>41</v>
      </c>
      <c r="B136" s="53" t="s">
        <v>157</v>
      </c>
      <c r="C136" s="62">
        <v>2019</v>
      </c>
      <c r="D136" s="63" t="s">
        <v>184</v>
      </c>
      <c r="E136" s="53" t="s">
        <v>201</v>
      </c>
      <c r="F136" s="53" t="s">
        <v>208</v>
      </c>
      <c r="G136" s="53" t="s">
        <v>42</v>
      </c>
      <c r="H136" s="53" t="s">
        <v>160</v>
      </c>
      <c r="I136" s="53" t="s">
        <v>159</v>
      </c>
      <c r="J136" s="53" t="s">
        <v>38</v>
      </c>
      <c r="K136" s="53" t="s">
        <v>161</v>
      </c>
      <c r="L136" s="53">
        <v>3</v>
      </c>
      <c r="N136" s="53">
        <v>6</v>
      </c>
      <c r="O136" s="53">
        <v>0.6</v>
      </c>
      <c r="P136" s="53">
        <v>0.75</v>
      </c>
      <c r="Q136" s="74">
        <f t="shared" si="6"/>
        <v>0.67500000000000004</v>
      </c>
      <c r="R136" s="53">
        <v>15.1</v>
      </c>
      <c r="S136" s="53">
        <v>117</v>
      </c>
      <c r="T136" s="16">
        <f t="shared" si="7"/>
        <v>30</v>
      </c>
      <c r="U136" s="53">
        <v>537</v>
      </c>
      <c r="V136" s="16">
        <f t="shared" si="8"/>
        <v>2685</v>
      </c>
      <c r="W136" s="53">
        <v>2</v>
      </c>
      <c r="X136" s="53" t="s">
        <v>46</v>
      </c>
      <c r="Y136" s="53" t="s">
        <v>55</v>
      </c>
      <c r="Z136" s="53" t="s">
        <v>69</v>
      </c>
      <c r="AA136" s="53" t="s">
        <v>78</v>
      </c>
      <c r="AB136" s="53" t="s">
        <v>158</v>
      </c>
      <c r="AC136" s="76"/>
      <c r="AD136" s="76"/>
      <c r="AE136" s="76"/>
      <c r="AF136" s="76"/>
      <c r="AG136" s="76"/>
      <c r="AH136" s="76"/>
    </row>
    <row r="137" spans="1:34" x14ac:dyDescent="0.15">
      <c r="A137" s="53" t="s">
        <v>41</v>
      </c>
      <c r="B137" s="53" t="s">
        <v>157</v>
      </c>
      <c r="C137" s="62">
        <v>2019</v>
      </c>
      <c r="D137" s="63" t="s">
        <v>184</v>
      </c>
      <c r="E137" s="53" t="s">
        <v>201</v>
      </c>
      <c r="F137" s="53" t="s">
        <v>208</v>
      </c>
      <c r="G137" s="53" t="s">
        <v>42</v>
      </c>
      <c r="H137" s="53" t="s">
        <v>164</v>
      </c>
      <c r="I137" s="53" t="s">
        <v>159</v>
      </c>
      <c r="J137" s="53" t="s">
        <v>38</v>
      </c>
      <c r="K137" s="53" t="s">
        <v>161</v>
      </c>
      <c r="L137" s="53">
        <v>1</v>
      </c>
      <c r="N137" s="53">
        <v>1</v>
      </c>
      <c r="O137" s="53">
        <v>0.65</v>
      </c>
      <c r="P137" s="53">
        <v>0.7</v>
      </c>
      <c r="Q137" s="74">
        <f t="shared" si="6"/>
        <v>0.67500000000000004</v>
      </c>
      <c r="R137" s="53">
        <v>12.8</v>
      </c>
      <c r="S137" s="53">
        <v>129</v>
      </c>
      <c r="T137" s="16">
        <f t="shared" si="7"/>
        <v>25</v>
      </c>
      <c r="U137" s="53">
        <v>95</v>
      </c>
      <c r="V137" s="16">
        <f t="shared" si="8"/>
        <v>2375</v>
      </c>
      <c r="W137" s="53">
        <v>1</v>
      </c>
      <c r="X137" s="53" t="s">
        <v>46</v>
      </c>
      <c r="Y137" s="53" t="s">
        <v>55</v>
      </c>
      <c r="Z137" s="53" t="s">
        <v>69</v>
      </c>
      <c r="AA137" s="53" t="s">
        <v>78</v>
      </c>
      <c r="AB137" s="53" t="s">
        <v>158</v>
      </c>
      <c r="AC137" s="76"/>
      <c r="AD137" s="76"/>
      <c r="AE137" s="76"/>
      <c r="AF137" s="76"/>
      <c r="AG137" s="76"/>
      <c r="AH137" s="76"/>
    </row>
    <row r="138" spans="1:34" x14ac:dyDescent="0.15">
      <c r="A138" s="53" t="s">
        <v>41</v>
      </c>
      <c r="B138" s="53" t="s">
        <v>157</v>
      </c>
      <c r="C138" s="62">
        <v>2019</v>
      </c>
      <c r="D138" s="63" t="s">
        <v>184</v>
      </c>
      <c r="E138" s="53" t="s">
        <v>201</v>
      </c>
      <c r="F138" s="53" t="s">
        <v>208</v>
      </c>
      <c r="G138" s="53" t="s">
        <v>42</v>
      </c>
      <c r="H138" s="53" t="s">
        <v>164</v>
      </c>
      <c r="I138" s="53" t="s">
        <v>159</v>
      </c>
      <c r="J138" s="53" t="s">
        <v>38</v>
      </c>
      <c r="K138" s="53" t="s">
        <v>161</v>
      </c>
      <c r="L138" s="53">
        <v>2</v>
      </c>
      <c r="N138" s="53">
        <v>1</v>
      </c>
      <c r="O138" s="53">
        <v>0.5</v>
      </c>
      <c r="P138" s="53">
        <v>0.65</v>
      </c>
      <c r="Q138" s="74">
        <f t="shared" si="6"/>
        <v>0.57499999999999996</v>
      </c>
      <c r="R138" s="53">
        <v>12.6</v>
      </c>
      <c r="S138" s="53">
        <v>130</v>
      </c>
      <c r="T138" s="16">
        <f t="shared" si="7"/>
        <v>25</v>
      </c>
      <c r="U138" s="53">
        <v>95</v>
      </c>
      <c r="V138" s="16">
        <f t="shared" si="8"/>
        <v>2375</v>
      </c>
      <c r="W138" s="53">
        <v>1</v>
      </c>
      <c r="X138" s="53" t="s">
        <v>46</v>
      </c>
      <c r="Y138" s="53" t="s">
        <v>55</v>
      </c>
      <c r="Z138" s="53" t="s">
        <v>69</v>
      </c>
      <c r="AA138" s="53" t="s">
        <v>78</v>
      </c>
      <c r="AB138" s="53" t="s">
        <v>158</v>
      </c>
      <c r="AC138" s="76"/>
      <c r="AD138" s="76"/>
      <c r="AE138" s="76"/>
      <c r="AF138" s="76"/>
      <c r="AG138" s="76"/>
      <c r="AH138" s="76"/>
    </row>
    <row r="139" spans="1:34" x14ac:dyDescent="0.15">
      <c r="A139" s="53" t="s">
        <v>41</v>
      </c>
      <c r="B139" s="53" t="s">
        <v>157</v>
      </c>
      <c r="C139" s="62">
        <v>2019</v>
      </c>
      <c r="D139" s="63" t="s">
        <v>184</v>
      </c>
      <c r="E139" s="53" t="s">
        <v>201</v>
      </c>
      <c r="F139" s="53" t="s">
        <v>208</v>
      </c>
      <c r="G139" s="53" t="s">
        <v>42</v>
      </c>
      <c r="H139" s="53" t="s">
        <v>164</v>
      </c>
      <c r="I139" s="53" t="s">
        <v>159</v>
      </c>
      <c r="J139" s="53" t="s">
        <v>38</v>
      </c>
      <c r="K139" s="53" t="s">
        <v>161</v>
      </c>
      <c r="L139" s="53">
        <v>3</v>
      </c>
      <c r="N139" s="53">
        <v>1</v>
      </c>
      <c r="O139" s="53">
        <v>0.45</v>
      </c>
      <c r="P139" s="53">
        <v>0.5</v>
      </c>
      <c r="Q139" s="74">
        <f t="shared" si="6"/>
        <v>0.47499999999999998</v>
      </c>
      <c r="R139" s="53">
        <v>12.7</v>
      </c>
      <c r="S139" s="53">
        <v>124</v>
      </c>
      <c r="T139" s="16">
        <f t="shared" si="7"/>
        <v>27</v>
      </c>
      <c r="U139" s="53">
        <v>95</v>
      </c>
      <c r="V139" s="16">
        <f t="shared" si="8"/>
        <v>2565</v>
      </c>
      <c r="W139" s="53">
        <v>1</v>
      </c>
      <c r="X139" s="53" t="s">
        <v>46</v>
      </c>
      <c r="Y139" s="53" t="s">
        <v>55</v>
      </c>
      <c r="Z139" s="53" t="s">
        <v>69</v>
      </c>
      <c r="AA139" s="53" t="s">
        <v>78</v>
      </c>
      <c r="AB139" s="53" t="s">
        <v>158</v>
      </c>
      <c r="AC139" s="76"/>
      <c r="AD139" s="76"/>
      <c r="AE139" s="76"/>
      <c r="AF139" s="76"/>
      <c r="AG139" s="76"/>
      <c r="AH139" s="76"/>
    </row>
    <row r="140" spans="1:34" x14ac:dyDescent="0.15">
      <c r="A140" s="53" t="s">
        <v>41</v>
      </c>
      <c r="B140" s="53" t="s">
        <v>157</v>
      </c>
      <c r="C140" s="62">
        <v>2019</v>
      </c>
      <c r="D140" s="63" t="s">
        <v>184</v>
      </c>
      <c r="E140" s="53" t="s">
        <v>201</v>
      </c>
      <c r="F140" s="53" t="s">
        <v>208</v>
      </c>
      <c r="G140" s="53" t="s">
        <v>42</v>
      </c>
      <c r="H140" s="53" t="s">
        <v>164</v>
      </c>
      <c r="I140" s="53" t="s">
        <v>159</v>
      </c>
      <c r="J140" s="53" t="s">
        <v>38</v>
      </c>
      <c r="K140" s="53" t="s">
        <v>161</v>
      </c>
      <c r="L140" s="53">
        <v>1</v>
      </c>
      <c r="N140" s="53">
        <v>4</v>
      </c>
      <c r="O140" s="53">
        <v>1.3</v>
      </c>
      <c r="P140" s="53">
        <v>1.35</v>
      </c>
      <c r="Q140" s="74">
        <f t="shared" si="6"/>
        <v>1.3250000000000002</v>
      </c>
      <c r="R140" s="53">
        <v>15</v>
      </c>
      <c r="S140" s="53">
        <v>122</v>
      </c>
      <c r="T140" s="16">
        <f t="shared" si="7"/>
        <v>27</v>
      </c>
      <c r="U140" s="53">
        <v>378</v>
      </c>
      <c r="V140" s="16">
        <f t="shared" si="8"/>
        <v>2551.5</v>
      </c>
      <c r="W140" s="53">
        <v>3</v>
      </c>
      <c r="X140" s="53" t="s">
        <v>46</v>
      </c>
      <c r="Y140" s="53" t="s">
        <v>55</v>
      </c>
      <c r="Z140" s="53" t="s">
        <v>69</v>
      </c>
      <c r="AA140" s="53" t="s">
        <v>78</v>
      </c>
      <c r="AB140" s="53" t="s">
        <v>158</v>
      </c>
      <c r="AC140" s="76"/>
      <c r="AD140" s="76"/>
      <c r="AE140" s="76"/>
      <c r="AF140" s="76"/>
      <c r="AG140" s="76"/>
      <c r="AH140" s="76"/>
    </row>
    <row r="141" spans="1:34" x14ac:dyDescent="0.15">
      <c r="A141" s="53" t="s">
        <v>41</v>
      </c>
      <c r="B141" s="53" t="s">
        <v>157</v>
      </c>
      <c r="C141" s="62">
        <v>2019</v>
      </c>
      <c r="D141" s="63" t="s">
        <v>184</v>
      </c>
      <c r="E141" s="53" t="s">
        <v>201</v>
      </c>
      <c r="F141" s="53" t="s">
        <v>208</v>
      </c>
      <c r="G141" s="53" t="s">
        <v>42</v>
      </c>
      <c r="H141" s="53" t="s">
        <v>164</v>
      </c>
      <c r="I141" s="53" t="s">
        <v>159</v>
      </c>
      <c r="J141" s="53" t="s">
        <v>38</v>
      </c>
      <c r="K141" s="53" t="s">
        <v>161</v>
      </c>
      <c r="L141" s="53">
        <v>2</v>
      </c>
      <c r="N141" s="53">
        <v>4</v>
      </c>
      <c r="O141" s="53">
        <v>1.5</v>
      </c>
      <c r="P141" s="53">
        <v>1.3</v>
      </c>
      <c r="Q141" s="74">
        <f t="shared" si="6"/>
        <v>1.4</v>
      </c>
      <c r="R141" s="53">
        <v>14.5</v>
      </c>
      <c r="S141" s="53">
        <v>124</v>
      </c>
      <c r="T141" s="16">
        <f t="shared" si="7"/>
        <v>27</v>
      </c>
      <c r="U141" s="53">
        <v>378</v>
      </c>
      <c r="V141" s="16">
        <f t="shared" si="8"/>
        <v>2551.5</v>
      </c>
      <c r="W141" s="53">
        <v>3</v>
      </c>
      <c r="X141" s="53" t="s">
        <v>46</v>
      </c>
      <c r="Y141" s="53" t="s">
        <v>55</v>
      </c>
      <c r="Z141" s="53" t="s">
        <v>69</v>
      </c>
      <c r="AA141" s="53" t="s">
        <v>78</v>
      </c>
      <c r="AB141" s="53" t="s">
        <v>158</v>
      </c>
      <c r="AC141" s="76"/>
      <c r="AD141" s="76"/>
      <c r="AE141" s="76"/>
      <c r="AF141" s="76"/>
      <c r="AG141" s="76"/>
      <c r="AH141" s="76"/>
    </row>
    <row r="142" spans="1:34" x14ac:dyDescent="0.15">
      <c r="A142" s="53" t="s">
        <v>41</v>
      </c>
      <c r="B142" s="53" t="s">
        <v>157</v>
      </c>
      <c r="C142" s="62">
        <v>2019</v>
      </c>
      <c r="D142" s="63" t="s">
        <v>184</v>
      </c>
      <c r="E142" s="53" t="s">
        <v>201</v>
      </c>
      <c r="F142" s="53" t="s">
        <v>208</v>
      </c>
      <c r="G142" s="53" t="s">
        <v>42</v>
      </c>
      <c r="H142" s="53" t="s">
        <v>164</v>
      </c>
      <c r="I142" s="53" t="s">
        <v>159</v>
      </c>
      <c r="J142" s="53" t="s">
        <v>38</v>
      </c>
      <c r="K142" s="53" t="s">
        <v>161</v>
      </c>
      <c r="L142" s="53">
        <v>3</v>
      </c>
      <c r="N142" s="53">
        <v>4</v>
      </c>
      <c r="O142" s="53">
        <v>1.4</v>
      </c>
      <c r="P142" s="53">
        <v>1.2</v>
      </c>
      <c r="Q142" s="74">
        <f t="shared" si="6"/>
        <v>1.2999999999999998</v>
      </c>
      <c r="R142" s="53">
        <v>13.7</v>
      </c>
      <c r="S142" s="53">
        <v>121</v>
      </c>
      <c r="T142" s="16">
        <f t="shared" si="7"/>
        <v>27</v>
      </c>
      <c r="U142" s="53">
        <v>378</v>
      </c>
      <c r="V142" s="16">
        <f t="shared" si="8"/>
        <v>2551.5</v>
      </c>
      <c r="W142" s="53">
        <v>3</v>
      </c>
      <c r="X142" s="53" t="s">
        <v>46</v>
      </c>
      <c r="Y142" s="53" t="s">
        <v>55</v>
      </c>
      <c r="Z142" s="53" t="s">
        <v>69</v>
      </c>
      <c r="AA142" s="53" t="s">
        <v>78</v>
      </c>
      <c r="AB142" s="53" t="s">
        <v>158</v>
      </c>
      <c r="AC142" s="76"/>
      <c r="AD142" s="76"/>
      <c r="AE142" s="76"/>
      <c r="AF142" s="76"/>
      <c r="AG142" s="76"/>
      <c r="AH142" s="76"/>
    </row>
    <row r="143" spans="1:34" x14ac:dyDescent="0.15">
      <c r="A143" s="53" t="s">
        <v>41</v>
      </c>
      <c r="B143" s="53" t="s">
        <v>157</v>
      </c>
      <c r="C143" s="62">
        <v>2019</v>
      </c>
      <c r="D143" s="63" t="s">
        <v>184</v>
      </c>
      <c r="E143" s="53" t="s">
        <v>201</v>
      </c>
      <c r="F143" s="53" t="s">
        <v>208</v>
      </c>
      <c r="G143" s="53" t="s">
        <v>42</v>
      </c>
      <c r="H143" s="53" t="s">
        <v>164</v>
      </c>
      <c r="I143" s="53" t="s">
        <v>159</v>
      </c>
      <c r="J143" s="53" t="s">
        <v>38</v>
      </c>
      <c r="K143" s="53" t="s">
        <v>161</v>
      </c>
      <c r="L143" s="53">
        <v>1</v>
      </c>
      <c r="N143" s="53">
        <v>8</v>
      </c>
      <c r="O143" s="53">
        <v>0.95</v>
      </c>
      <c r="P143" s="53">
        <v>1</v>
      </c>
      <c r="Q143" s="74">
        <f t="shared" si="6"/>
        <v>0.97499999999999998</v>
      </c>
      <c r="R143" s="53">
        <v>13.5</v>
      </c>
      <c r="S143" s="53">
        <v>120</v>
      </c>
      <c r="T143" s="16">
        <f t="shared" si="7"/>
        <v>30</v>
      </c>
      <c r="U143" s="53">
        <v>537</v>
      </c>
      <c r="V143" s="16">
        <f t="shared" si="8"/>
        <v>2013.75</v>
      </c>
      <c r="W143" s="53">
        <v>4</v>
      </c>
      <c r="X143" s="53" t="s">
        <v>46</v>
      </c>
      <c r="Y143" s="53" t="s">
        <v>55</v>
      </c>
      <c r="Z143" s="53" t="s">
        <v>69</v>
      </c>
      <c r="AA143" s="53" t="s">
        <v>78</v>
      </c>
      <c r="AB143" s="53" t="s">
        <v>158</v>
      </c>
      <c r="AC143" s="76"/>
      <c r="AD143" s="76"/>
      <c r="AE143" s="76"/>
      <c r="AF143" s="76"/>
      <c r="AG143" s="76"/>
      <c r="AH143" s="76"/>
    </row>
    <row r="144" spans="1:34" x14ac:dyDescent="0.15">
      <c r="A144" s="53" t="s">
        <v>41</v>
      </c>
      <c r="B144" s="53" t="s">
        <v>157</v>
      </c>
      <c r="C144" s="62">
        <v>2019</v>
      </c>
      <c r="D144" s="63" t="s">
        <v>184</v>
      </c>
      <c r="E144" s="53" t="s">
        <v>201</v>
      </c>
      <c r="F144" s="53" t="s">
        <v>208</v>
      </c>
      <c r="G144" s="53" t="s">
        <v>42</v>
      </c>
      <c r="H144" s="53" t="s">
        <v>164</v>
      </c>
      <c r="I144" s="53" t="s">
        <v>159</v>
      </c>
      <c r="J144" s="53" t="s">
        <v>38</v>
      </c>
      <c r="K144" s="53" t="s">
        <v>161</v>
      </c>
      <c r="L144" s="53">
        <v>2</v>
      </c>
      <c r="N144" s="53">
        <v>8</v>
      </c>
      <c r="O144" s="53">
        <v>0.85</v>
      </c>
      <c r="P144" s="53">
        <v>0.9</v>
      </c>
      <c r="Q144" s="74">
        <f t="shared" si="6"/>
        <v>0.875</v>
      </c>
      <c r="R144" s="53">
        <v>12.8</v>
      </c>
      <c r="S144" s="53">
        <v>117</v>
      </c>
      <c r="T144" s="16">
        <f t="shared" si="7"/>
        <v>30</v>
      </c>
      <c r="U144" s="53">
        <v>537</v>
      </c>
      <c r="V144" s="16">
        <f t="shared" si="8"/>
        <v>2013.75</v>
      </c>
      <c r="W144" s="53">
        <v>4</v>
      </c>
      <c r="X144" s="53" t="s">
        <v>46</v>
      </c>
      <c r="Y144" s="53" t="s">
        <v>55</v>
      </c>
      <c r="Z144" s="53" t="s">
        <v>69</v>
      </c>
      <c r="AA144" s="53" t="s">
        <v>78</v>
      </c>
      <c r="AB144" s="53" t="s">
        <v>158</v>
      </c>
      <c r="AC144" s="76"/>
      <c r="AD144" s="76"/>
      <c r="AE144" s="76"/>
      <c r="AF144" s="76"/>
      <c r="AG144" s="76"/>
      <c r="AH144" s="76"/>
    </row>
    <row r="145" spans="1:34" x14ac:dyDescent="0.15">
      <c r="A145" s="53" t="s">
        <v>41</v>
      </c>
      <c r="B145" s="53" t="s">
        <v>157</v>
      </c>
      <c r="C145" s="62">
        <v>2019</v>
      </c>
      <c r="D145" s="63" t="s">
        <v>184</v>
      </c>
      <c r="E145" s="53" t="s">
        <v>201</v>
      </c>
      <c r="F145" s="53" t="s">
        <v>208</v>
      </c>
      <c r="G145" s="53" t="s">
        <v>42</v>
      </c>
      <c r="H145" s="53" t="s">
        <v>164</v>
      </c>
      <c r="I145" s="53" t="s">
        <v>159</v>
      </c>
      <c r="J145" s="53" t="s">
        <v>38</v>
      </c>
      <c r="K145" s="53" t="s">
        <v>161</v>
      </c>
      <c r="L145" s="53">
        <v>3</v>
      </c>
      <c r="N145" s="53">
        <v>8</v>
      </c>
      <c r="O145" s="53">
        <v>0.6</v>
      </c>
      <c r="P145" s="53">
        <v>0.7</v>
      </c>
      <c r="Q145" s="75">
        <f t="shared" si="6"/>
        <v>0.64999999999999991</v>
      </c>
      <c r="R145" s="53">
        <v>12.2</v>
      </c>
      <c r="S145" s="53">
        <v>119</v>
      </c>
      <c r="T145" s="38">
        <f t="shared" si="7"/>
        <v>30</v>
      </c>
      <c r="U145" s="53">
        <v>537</v>
      </c>
      <c r="V145" s="16">
        <f t="shared" si="8"/>
        <v>2013.75</v>
      </c>
      <c r="W145" s="53">
        <v>4</v>
      </c>
      <c r="X145" s="53" t="s">
        <v>46</v>
      </c>
      <c r="Y145" s="53" t="s">
        <v>55</v>
      </c>
      <c r="Z145" s="53" t="s">
        <v>69</v>
      </c>
      <c r="AA145" s="53" t="s">
        <v>78</v>
      </c>
      <c r="AB145" s="53" t="s">
        <v>158</v>
      </c>
      <c r="AC145" s="76"/>
      <c r="AD145" s="76"/>
      <c r="AE145" s="76"/>
      <c r="AF145" s="76"/>
      <c r="AG145" s="76"/>
      <c r="AH145" s="76"/>
    </row>
    <row r="146" spans="1:34" x14ac:dyDescent="0.15">
      <c r="A146" s="53" t="s">
        <v>41</v>
      </c>
      <c r="B146" s="53" t="s">
        <v>157</v>
      </c>
      <c r="C146" s="62">
        <v>2019</v>
      </c>
      <c r="D146" s="63" t="s">
        <v>184</v>
      </c>
      <c r="E146" s="53" t="s">
        <v>204</v>
      </c>
      <c r="F146" s="53" t="s">
        <v>205</v>
      </c>
      <c r="G146" s="53" t="s">
        <v>42</v>
      </c>
      <c r="H146" s="53" t="s">
        <v>164</v>
      </c>
      <c r="I146" s="53" t="s">
        <v>159</v>
      </c>
      <c r="J146" s="53" t="s">
        <v>38</v>
      </c>
      <c r="K146" s="53" t="s">
        <v>161</v>
      </c>
      <c r="L146" s="53">
        <v>1</v>
      </c>
      <c r="N146" s="53">
        <v>1</v>
      </c>
      <c r="O146" s="53">
        <v>0.4</v>
      </c>
      <c r="P146" s="53">
        <v>0.4</v>
      </c>
      <c r="Q146" s="75">
        <f t="shared" si="6"/>
        <v>0.4</v>
      </c>
      <c r="R146" s="53">
        <v>12.5</v>
      </c>
      <c r="S146" s="53">
        <v>135</v>
      </c>
      <c r="T146" s="38">
        <f t="shared" si="7"/>
        <v>25</v>
      </c>
      <c r="U146" s="53">
        <v>138</v>
      </c>
      <c r="V146" s="16">
        <f t="shared" si="8"/>
        <v>3450</v>
      </c>
      <c r="W146" s="53">
        <v>4</v>
      </c>
      <c r="X146" s="53" t="s">
        <v>46</v>
      </c>
      <c r="Y146" s="53" t="s">
        <v>55</v>
      </c>
      <c r="Z146" s="53" t="s">
        <v>97</v>
      </c>
      <c r="AA146" s="53" t="s">
        <v>69</v>
      </c>
      <c r="AB146" s="53" t="s">
        <v>158</v>
      </c>
      <c r="AC146" s="76"/>
      <c r="AD146" s="76"/>
      <c r="AE146" s="76"/>
      <c r="AF146" s="76"/>
      <c r="AG146" s="76"/>
      <c r="AH146" s="76"/>
    </row>
    <row r="147" spans="1:34" x14ac:dyDescent="0.15">
      <c r="A147" s="53" t="s">
        <v>41</v>
      </c>
      <c r="B147" s="53" t="s">
        <v>157</v>
      </c>
      <c r="C147" s="62">
        <v>2019</v>
      </c>
      <c r="D147" s="63" t="s">
        <v>184</v>
      </c>
      <c r="E147" s="53" t="s">
        <v>204</v>
      </c>
      <c r="F147" s="53" t="s">
        <v>205</v>
      </c>
      <c r="G147" s="53" t="s">
        <v>42</v>
      </c>
      <c r="H147" s="53" t="s">
        <v>164</v>
      </c>
      <c r="I147" s="53" t="s">
        <v>159</v>
      </c>
      <c r="J147" s="53" t="s">
        <v>38</v>
      </c>
      <c r="K147" s="53" t="s">
        <v>161</v>
      </c>
      <c r="L147" s="53">
        <v>2</v>
      </c>
      <c r="N147" s="53">
        <v>1</v>
      </c>
      <c r="O147" s="53">
        <v>0.3</v>
      </c>
      <c r="P147" s="53">
        <v>0.35</v>
      </c>
      <c r="Q147" s="75">
        <f t="shared" si="6"/>
        <v>0.32499999999999996</v>
      </c>
      <c r="R147" s="53">
        <v>10.5</v>
      </c>
      <c r="S147" s="53">
        <v>128</v>
      </c>
      <c r="T147" s="38">
        <f t="shared" si="7"/>
        <v>27</v>
      </c>
      <c r="U147" s="53">
        <v>138</v>
      </c>
      <c r="V147" s="16">
        <f t="shared" si="8"/>
        <v>3726</v>
      </c>
      <c r="W147" s="53">
        <v>4</v>
      </c>
      <c r="X147" s="53" t="s">
        <v>46</v>
      </c>
      <c r="Y147" s="53" t="s">
        <v>55</v>
      </c>
      <c r="Z147" s="53" t="s">
        <v>97</v>
      </c>
      <c r="AA147" s="53" t="s">
        <v>69</v>
      </c>
      <c r="AB147" s="53" t="s">
        <v>158</v>
      </c>
      <c r="AC147" s="76"/>
      <c r="AD147" s="76"/>
      <c r="AE147" s="76"/>
      <c r="AF147" s="76"/>
      <c r="AG147" s="76"/>
      <c r="AH147" s="76"/>
    </row>
    <row r="148" spans="1:34" x14ac:dyDescent="0.15">
      <c r="A148" s="53" t="s">
        <v>41</v>
      </c>
      <c r="B148" s="53" t="s">
        <v>157</v>
      </c>
      <c r="C148" s="62">
        <v>2019</v>
      </c>
      <c r="D148" s="63" t="s">
        <v>184</v>
      </c>
      <c r="E148" s="53" t="s">
        <v>204</v>
      </c>
      <c r="F148" s="53" t="s">
        <v>205</v>
      </c>
      <c r="G148" s="53" t="s">
        <v>42</v>
      </c>
      <c r="H148" s="53" t="s">
        <v>164</v>
      </c>
      <c r="I148" s="53" t="s">
        <v>159</v>
      </c>
      <c r="J148" s="53" t="s">
        <v>38</v>
      </c>
      <c r="K148" s="53" t="s">
        <v>161</v>
      </c>
      <c r="L148" s="53">
        <v>3</v>
      </c>
      <c r="N148" s="53">
        <v>1</v>
      </c>
      <c r="O148" s="53">
        <v>0.45</v>
      </c>
      <c r="P148" s="53">
        <v>0.4</v>
      </c>
      <c r="Q148" s="75">
        <f t="shared" si="6"/>
        <v>0.42500000000000004</v>
      </c>
      <c r="R148" s="53">
        <v>10.4</v>
      </c>
      <c r="S148" s="53">
        <v>129</v>
      </c>
      <c r="T148" s="38">
        <f t="shared" si="7"/>
        <v>25</v>
      </c>
      <c r="U148" s="53">
        <v>138</v>
      </c>
      <c r="V148" s="38">
        <f t="shared" si="8"/>
        <v>3450</v>
      </c>
      <c r="W148" s="53">
        <v>4</v>
      </c>
      <c r="X148" s="53" t="s">
        <v>46</v>
      </c>
      <c r="Y148" s="53" t="s">
        <v>55</v>
      </c>
      <c r="Z148" s="53" t="s">
        <v>97</v>
      </c>
      <c r="AA148" s="53" t="s">
        <v>69</v>
      </c>
      <c r="AB148" s="53" t="s">
        <v>158</v>
      </c>
      <c r="AC148" s="76"/>
      <c r="AD148" s="76"/>
      <c r="AE148" s="76"/>
      <c r="AF148" s="76"/>
      <c r="AG148" s="76"/>
      <c r="AH148" s="76"/>
    </row>
    <row r="149" spans="1:34" x14ac:dyDescent="0.15">
      <c r="A149" s="53" t="s">
        <v>41</v>
      </c>
      <c r="B149" s="53" t="s">
        <v>157</v>
      </c>
      <c r="C149" s="62">
        <v>2018</v>
      </c>
      <c r="D149" s="63" t="s">
        <v>184</v>
      </c>
      <c r="E149" s="53" t="s">
        <v>204</v>
      </c>
      <c r="F149" s="53" t="s">
        <v>205</v>
      </c>
      <c r="G149" s="53" t="s">
        <v>42</v>
      </c>
      <c r="H149" s="53" t="s">
        <v>164</v>
      </c>
      <c r="I149" s="53" t="s">
        <v>159</v>
      </c>
      <c r="J149" s="53" t="s">
        <v>38</v>
      </c>
      <c r="K149" s="53" t="s">
        <v>161</v>
      </c>
      <c r="L149" s="53">
        <v>1</v>
      </c>
      <c r="N149" s="53">
        <v>4</v>
      </c>
      <c r="O149" s="53">
        <v>0.65</v>
      </c>
      <c r="P149" s="53">
        <v>0.6</v>
      </c>
      <c r="Q149" s="16">
        <f t="shared" si="6"/>
        <v>0.625</v>
      </c>
      <c r="R149" s="53">
        <v>11.2</v>
      </c>
      <c r="S149" s="53">
        <v>127</v>
      </c>
      <c r="T149" s="16">
        <f t="shared" si="7"/>
        <v>27</v>
      </c>
      <c r="U149" s="53">
        <v>537</v>
      </c>
      <c r="V149" s="16">
        <f t="shared" si="8"/>
        <v>3624.75</v>
      </c>
      <c r="W149" s="53">
        <v>3</v>
      </c>
      <c r="X149" s="53" t="s">
        <v>46</v>
      </c>
      <c r="Y149" s="53" t="s">
        <v>55</v>
      </c>
      <c r="Z149" s="53" t="s">
        <v>97</v>
      </c>
      <c r="AA149" s="53" t="s">
        <v>69</v>
      </c>
      <c r="AB149" s="53" t="s">
        <v>158</v>
      </c>
    </row>
    <row r="150" spans="1:34" x14ac:dyDescent="0.15">
      <c r="A150" s="53" t="s">
        <v>41</v>
      </c>
      <c r="B150" s="53" t="s">
        <v>157</v>
      </c>
      <c r="C150" s="62">
        <v>2018</v>
      </c>
      <c r="D150" s="63" t="s">
        <v>184</v>
      </c>
      <c r="E150" s="53" t="s">
        <v>204</v>
      </c>
      <c r="F150" s="53" t="s">
        <v>205</v>
      </c>
      <c r="G150" s="53" t="s">
        <v>42</v>
      </c>
      <c r="H150" s="53" t="s">
        <v>164</v>
      </c>
      <c r="I150" s="53" t="s">
        <v>159</v>
      </c>
      <c r="J150" s="53" t="s">
        <v>38</v>
      </c>
      <c r="K150" s="53" t="s">
        <v>161</v>
      </c>
      <c r="L150" s="53">
        <v>2</v>
      </c>
      <c r="N150" s="53">
        <v>4</v>
      </c>
      <c r="O150" s="53">
        <v>0.4</v>
      </c>
      <c r="P150" s="53">
        <v>0.5</v>
      </c>
      <c r="Q150" s="16">
        <f t="shared" si="6"/>
        <v>0.45</v>
      </c>
      <c r="R150" s="53">
        <v>11.8</v>
      </c>
      <c r="S150" s="53">
        <v>125</v>
      </c>
      <c r="T150" s="16">
        <f t="shared" si="7"/>
        <v>27</v>
      </c>
      <c r="U150" s="53">
        <v>537</v>
      </c>
      <c r="V150" s="16">
        <f t="shared" si="8"/>
        <v>3624.75</v>
      </c>
      <c r="W150" s="53">
        <v>3</v>
      </c>
      <c r="X150" s="53" t="s">
        <v>46</v>
      </c>
      <c r="Y150" s="53" t="s">
        <v>55</v>
      </c>
      <c r="Z150" s="53" t="s">
        <v>97</v>
      </c>
      <c r="AA150" s="53" t="s">
        <v>69</v>
      </c>
      <c r="AB150" s="53" t="s">
        <v>158</v>
      </c>
    </row>
    <row r="151" spans="1:34" x14ac:dyDescent="0.15">
      <c r="A151" s="53" t="s">
        <v>41</v>
      </c>
      <c r="B151" s="53" t="s">
        <v>157</v>
      </c>
      <c r="C151" s="62">
        <v>2018</v>
      </c>
      <c r="D151" s="63" t="s">
        <v>184</v>
      </c>
      <c r="E151" s="53" t="s">
        <v>204</v>
      </c>
      <c r="F151" s="53" t="s">
        <v>205</v>
      </c>
      <c r="G151" s="53" t="s">
        <v>42</v>
      </c>
      <c r="H151" s="53" t="s">
        <v>164</v>
      </c>
      <c r="I151" s="53" t="s">
        <v>159</v>
      </c>
      <c r="J151" s="53" t="s">
        <v>38</v>
      </c>
      <c r="K151" s="53" t="s">
        <v>161</v>
      </c>
      <c r="L151" s="53">
        <v>3</v>
      </c>
      <c r="N151" s="53">
        <v>4</v>
      </c>
      <c r="O151" s="53">
        <v>0.95</v>
      </c>
      <c r="P151" s="53">
        <v>0.8</v>
      </c>
      <c r="Q151" s="16">
        <f t="shared" si="6"/>
        <v>0.875</v>
      </c>
      <c r="R151" s="53">
        <v>13.5</v>
      </c>
      <c r="S151" s="53">
        <v>127</v>
      </c>
      <c r="T151" s="16">
        <f t="shared" si="7"/>
        <v>27</v>
      </c>
      <c r="U151" s="53">
        <v>537</v>
      </c>
      <c r="V151" s="16">
        <f t="shared" si="8"/>
        <v>3624.75</v>
      </c>
      <c r="W151" s="53">
        <v>3</v>
      </c>
      <c r="X151" s="53" t="s">
        <v>46</v>
      </c>
      <c r="Y151" s="53" t="s">
        <v>55</v>
      </c>
      <c r="Z151" s="53" t="s">
        <v>97</v>
      </c>
      <c r="AA151" s="53" t="s">
        <v>69</v>
      </c>
      <c r="AB151" s="53" t="s">
        <v>158</v>
      </c>
    </row>
    <row r="152" spans="1:34" x14ac:dyDescent="0.15">
      <c r="A152" s="53" t="s">
        <v>41</v>
      </c>
      <c r="B152" s="53" t="s">
        <v>157</v>
      </c>
      <c r="C152" s="62">
        <v>2018</v>
      </c>
      <c r="D152" s="63" t="s">
        <v>184</v>
      </c>
      <c r="E152" s="53" t="s">
        <v>204</v>
      </c>
      <c r="F152" s="53" t="s">
        <v>205</v>
      </c>
      <c r="G152" s="53" t="s">
        <v>42</v>
      </c>
      <c r="H152" s="53" t="s">
        <v>160</v>
      </c>
      <c r="I152" s="53" t="s">
        <v>159</v>
      </c>
      <c r="J152" s="53" t="s">
        <v>38</v>
      </c>
      <c r="K152" s="53" t="s">
        <v>161</v>
      </c>
      <c r="L152" s="53">
        <v>1</v>
      </c>
      <c r="N152" s="53">
        <v>1</v>
      </c>
      <c r="O152" s="53">
        <v>0.65</v>
      </c>
      <c r="P152" s="53">
        <v>0.6</v>
      </c>
      <c r="Q152" s="16">
        <f t="shared" si="6"/>
        <v>0.625</v>
      </c>
      <c r="R152" s="53">
        <v>14.2</v>
      </c>
      <c r="S152" s="53">
        <v>130</v>
      </c>
      <c r="T152" s="16">
        <f t="shared" si="7"/>
        <v>25</v>
      </c>
      <c r="U152" s="53">
        <v>138</v>
      </c>
      <c r="V152" s="16">
        <f t="shared" si="8"/>
        <v>3450</v>
      </c>
      <c r="W152" s="53">
        <v>4</v>
      </c>
      <c r="X152" s="53" t="s">
        <v>46</v>
      </c>
      <c r="Y152" s="53" t="s">
        <v>55</v>
      </c>
      <c r="Z152" s="53" t="s">
        <v>97</v>
      </c>
      <c r="AA152" s="53" t="s">
        <v>69</v>
      </c>
      <c r="AB152" s="53" t="s">
        <v>158</v>
      </c>
    </row>
    <row r="153" spans="1:34" x14ac:dyDescent="0.15">
      <c r="A153" s="53" t="s">
        <v>41</v>
      </c>
      <c r="B153" s="53" t="s">
        <v>157</v>
      </c>
      <c r="C153" s="62">
        <v>2018</v>
      </c>
      <c r="D153" s="63" t="s">
        <v>184</v>
      </c>
      <c r="E153" s="53" t="s">
        <v>204</v>
      </c>
      <c r="F153" s="53" t="s">
        <v>205</v>
      </c>
      <c r="G153" s="53" t="s">
        <v>42</v>
      </c>
      <c r="H153" s="53" t="s">
        <v>160</v>
      </c>
      <c r="I153" s="53" t="s">
        <v>159</v>
      </c>
      <c r="J153" s="53" t="s">
        <v>38</v>
      </c>
      <c r="K153" s="53" t="s">
        <v>161</v>
      </c>
      <c r="L153" s="53">
        <v>2</v>
      </c>
      <c r="N153" s="53">
        <v>1</v>
      </c>
      <c r="O153" s="53">
        <v>0.6</v>
      </c>
      <c r="P153" s="53">
        <v>0.65</v>
      </c>
      <c r="Q153" s="16">
        <f t="shared" si="6"/>
        <v>0.625</v>
      </c>
      <c r="R153" s="53">
        <v>15</v>
      </c>
      <c r="S153" s="53">
        <v>129</v>
      </c>
      <c r="T153" s="16">
        <f t="shared" si="7"/>
        <v>25</v>
      </c>
      <c r="U153" s="53">
        <v>138</v>
      </c>
      <c r="V153" s="16">
        <f t="shared" si="8"/>
        <v>3450</v>
      </c>
      <c r="W153" s="53">
        <v>4</v>
      </c>
      <c r="X153" s="53" t="s">
        <v>46</v>
      </c>
      <c r="Y153" s="53" t="s">
        <v>55</v>
      </c>
      <c r="Z153" s="53" t="s">
        <v>97</v>
      </c>
      <c r="AA153" s="53" t="s">
        <v>69</v>
      </c>
      <c r="AB153" s="53" t="s">
        <v>158</v>
      </c>
    </row>
    <row r="154" spans="1:34" x14ac:dyDescent="0.15">
      <c r="A154" s="53" t="s">
        <v>41</v>
      </c>
      <c r="B154" s="53" t="s">
        <v>157</v>
      </c>
      <c r="C154" s="62">
        <v>2018</v>
      </c>
      <c r="D154" s="63" t="s">
        <v>184</v>
      </c>
      <c r="E154" s="53" t="s">
        <v>204</v>
      </c>
      <c r="F154" s="53" t="s">
        <v>205</v>
      </c>
      <c r="G154" s="53" t="s">
        <v>42</v>
      </c>
      <c r="H154" s="53" t="s">
        <v>160</v>
      </c>
      <c r="I154" s="53" t="s">
        <v>159</v>
      </c>
      <c r="J154" s="53" t="s">
        <v>38</v>
      </c>
      <c r="K154" s="53" t="s">
        <v>161</v>
      </c>
      <c r="L154" s="53">
        <v>3</v>
      </c>
      <c r="N154" s="53">
        <v>1</v>
      </c>
      <c r="O154" s="53">
        <v>0.5</v>
      </c>
      <c r="P154" s="53">
        <v>0.6</v>
      </c>
      <c r="Q154" s="16">
        <f t="shared" si="6"/>
        <v>0.55000000000000004</v>
      </c>
      <c r="R154" s="53">
        <v>14.5</v>
      </c>
      <c r="S154" s="53">
        <v>133</v>
      </c>
      <c r="T154" s="16">
        <f t="shared" si="7"/>
        <v>25</v>
      </c>
      <c r="U154" s="53">
        <v>138</v>
      </c>
      <c r="V154" s="16">
        <f t="shared" si="8"/>
        <v>3450</v>
      </c>
      <c r="W154" s="53">
        <v>4</v>
      </c>
      <c r="X154" s="53" t="s">
        <v>46</v>
      </c>
      <c r="Y154" s="53" t="s">
        <v>55</v>
      </c>
      <c r="Z154" s="53" t="s">
        <v>97</v>
      </c>
      <c r="AA154" s="53" t="s">
        <v>69</v>
      </c>
      <c r="AB154" s="53" t="s">
        <v>158</v>
      </c>
    </row>
    <row r="155" spans="1:34" x14ac:dyDescent="0.15">
      <c r="A155" s="53" t="s">
        <v>41</v>
      </c>
      <c r="B155" s="53" t="s">
        <v>157</v>
      </c>
      <c r="C155" s="62">
        <v>2018</v>
      </c>
      <c r="D155" s="63" t="s">
        <v>184</v>
      </c>
      <c r="E155" s="53" t="s">
        <v>204</v>
      </c>
      <c r="F155" s="53" t="s">
        <v>205</v>
      </c>
      <c r="G155" s="53" t="s">
        <v>42</v>
      </c>
      <c r="H155" s="53" t="s">
        <v>160</v>
      </c>
      <c r="I155" s="53" t="s">
        <v>159</v>
      </c>
      <c r="J155" s="53" t="s">
        <v>38</v>
      </c>
      <c r="K155" s="53" t="s">
        <v>161</v>
      </c>
      <c r="L155" s="53">
        <v>1</v>
      </c>
      <c r="N155" s="53">
        <v>4</v>
      </c>
      <c r="O155" s="53">
        <v>0.8</v>
      </c>
      <c r="P155" s="53">
        <v>0.75</v>
      </c>
      <c r="Q155" s="16">
        <f t="shared" si="6"/>
        <v>0.77500000000000002</v>
      </c>
      <c r="R155" s="53">
        <v>16.5</v>
      </c>
      <c r="S155" s="53">
        <v>132</v>
      </c>
      <c r="T155" s="16">
        <f t="shared" si="7"/>
        <v>25</v>
      </c>
      <c r="U155" s="53">
        <v>537</v>
      </c>
      <c r="V155" s="16">
        <f t="shared" si="8"/>
        <v>3356.25</v>
      </c>
      <c r="W155" s="53">
        <v>3</v>
      </c>
      <c r="X155" s="53" t="s">
        <v>46</v>
      </c>
      <c r="Y155" s="53" t="s">
        <v>55</v>
      </c>
      <c r="Z155" s="53" t="s">
        <v>97</v>
      </c>
      <c r="AA155" s="53" t="s">
        <v>69</v>
      </c>
      <c r="AB155" s="53" t="s">
        <v>158</v>
      </c>
    </row>
    <row r="156" spans="1:34" x14ac:dyDescent="0.15">
      <c r="A156" s="53" t="s">
        <v>41</v>
      </c>
      <c r="B156" s="53" t="s">
        <v>157</v>
      </c>
      <c r="C156" s="62">
        <v>2018</v>
      </c>
      <c r="D156" s="63" t="s">
        <v>184</v>
      </c>
      <c r="E156" s="53" t="s">
        <v>204</v>
      </c>
      <c r="F156" s="53" t="s">
        <v>205</v>
      </c>
      <c r="G156" s="53" t="s">
        <v>42</v>
      </c>
      <c r="H156" s="53" t="s">
        <v>160</v>
      </c>
      <c r="I156" s="53" t="s">
        <v>159</v>
      </c>
      <c r="J156" s="53" t="s">
        <v>38</v>
      </c>
      <c r="K156" s="53" t="s">
        <v>161</v>
      </c>
      <c r="L156" s="53">
        <v>2</v>
      </c>
      <c r="N156" s="53">
        <v>4</v>
      </c>
      <c r="O156" s="53">
        <v>0.65</v>
      </c>
      <c r="P156" s="53">
        <v>0.5</v>
      </c>
      <c r="Q156" s="16">
        <f t="shared" si="6"/>
        <v>0.57499999999999996</v>
      </c>
      <c r="R156" s="53">
        <v>14.4</v>
      </c>
      <c r="S156" s="53">
        <v>130</v>
      </c>
      <c r="T156" s="16">
        <f t="shared" si="7"/>
        <v>25</v>
      </c>
      <c r="U156" s="53">
        <v>537</v>
      </c>
      <c r="V156" s="16">
        <f t="shared" si="8"/>
        <v>3356.25</v>
      </c>
      <c r="W156" s="53">
        <v>3</v>
      </c>
      <c r="X156" s="53" t="s">
        <v>46</v>
      </c>
      <c r="Y156" s="53" t="s">
        <v>55</v>
      </c>
      <c r="Z156" s="53" t="s">
        <v>97</v>
      </c>
      <c r="AA156" s="53" t="s">
        <v>69</v>
      </c>
      <c r="AB156" s="53" t="s">
        <v>158</v>
      </c>
    </row>
    <row r="157" spans="1:34" x14ac:dyDescent="0.15">
      <c r="A157" s="53" t="s">
        <v>41</v>
      </c>
      <c r="B157" s="53" t="s">
        <v>157</v>
      </c>
      <c r="C157" s="62">
        <v>2018</v>
      </c>
      <c r="D157" s="63" t="s">
        <v>184</v>
      </c>
      <c r="E157" s="53" t="s">
        <v>204</v>
      </c>
      <c r="F157" s="53" t="s">
        <v>205</v>
      </c>
      <c r="G157" s="53" t="s">
        <v>42</v>
      </c>
      <c r="H157" s="53" t="s">
        <v>160</v>
      </c>
      <c r="I157" s="53" t="s">
        <v>159</v>
      </c>
      <c r="J157" s="53" t="s">
        <v>38</v>
      </c>
      <c r="K157" s="53" t="s">
        <v>161</v>
      </c>
      <c r="L157" s="53">
        <v>3</v>
      </c>
      <c r="N157" s="53">
        <v>4</v>
      </c>
      <c r="O157" s="53">
        <v>0.4</v>
      </c>
      <c r="P157" s="53">
        <v>0.6</v>
      </c>
      <c r="Q157" s="16">
        <f t="shared" si="6"/>
        <v>0.5</v>
      </c>
      <c r="R157" s="53">
        <v>14.3</v>
      </c>
      <c r="S157" s="53">
        <v>125</v>
      </c>
      <c r="T157" s="16">
        <f t="shared" si="7"/>
        <v>27</v>
      </c>
      <c r="U157" s="53">
        <v>537</v>
      </c>
      <c r="V157" s="16">
        <f t="shared" si="8"/>
        <v>3624.75</v>
      </c>
      <c r="W157" s="53">
        <v>3</v>
      </c>
      <c r="X157" s="53" t="s">
        <v>46</v>
      </c>
      <c r="Y157" s="53" t="s">
        <v>55</v>
      </c>
      <c r="Z157" s="53" t="s">
        <v>97</v>
      </c>
      <c r="AA157" s="53" t="s">
        <v>69</v>
      </c>
      <c r="AB157" s="53" t="s">
        <v>158</v>
      </c>
    </row>
    <row r="158" spans="1:34" x14ac:dyDescent="0.15">
      <c r="A158" s="53" t="s">
        <v>41</v>
      </c>
      <c r="B158" s="53" t="s">
        <v>157</v>
      </c>
      <c r="C158" s="62">
        <v>2019</v>
      </c>
      <c r="D158" s="63" t="s">
        <v>184</v>
      </c>
      <c r="E158" s="53" t="s">
        <v>204</v>
      </c>
      <c r="F158" s="53" t="s">
        <v>205</v>
      </c>
      <c r="G158" s="53" t="s">
        <v>42</v>
      </c>
      <c r="H158" s="53" t="s">
        <v>160</v>
      </c>
      <c r="I158" s="53" t="s">
        <v>159</v>
      </c>
      <c r="J158" s="53" t="s">
        <v>38</v>
      </c>
      <c r="K158" s="53" t="s">
        <v>161</v>
      </c>
      <c r="L158" s="53">
        <v>1</v>
      </c>
      <c r="N158" s="53">
        <v>6</v>
      </c>
      <c r="O158" s="53">
        <v>0.65</v>
      </c>
      <c r="P158" s="53">
        <v>0.5</v>
      </c>
      <c r="Q158" s="75">
        <f t="shared" si="6"/>
        <v>0.57499999999999996</v>
      </c>
      <c r="R158" s="53">
        <v>12.8</v>
      </c>
      <c r="S158" s="53">
        <v>120</v>
      </c>
      <c r="T158" s="38">
        <f t="shared" si="7"/>
        <v>30</v>
      </c>
      <c r="U158" s="53">
        <v>626</v>
      </c>
      <c r="V158" s="38">
        <f t="shared" si="8"/>
        <v>3130</v>
      </c>
      <c r="W158" s="53">
        <v>2</v>
      </c>
      <c r="X158" s="53" t="s">
        <v>46</v>
      </c>
      <c r="Y158" s="53" t="s">
        <v>55</v>
      </c>
      <c r="Z158" s="53" t="s">
        <v>97</v>
      </c>
      <c r="AA158" s="53" t="s">
        <v>69</v>
      </c>
      <c r="AB158" s="53" t="s">
        <v>158</v>
      </c>
      <c r="AC158" s="76"/>
      <c r="AD158" s="76"/>
      <c r="AE158" s="76"/>
      <c r="AF158" s="76"/>
      <c r="AG158" s="76"/>
      <c r="AH158" s="76"/>
    </row>
    <row r="159" spans="1:34" x14ac:dyDescent="0.15">
      <c r="A159" s="53" t="s">
        <v>41</v>
      </c>
      <c r="B159" s="53" t="s">
        <v>157</v>
      </c>
      <c r="C159" s="62">
        <v>2019</v>
      </c>
      <c r="D159" s="63" t="s">
        <v>184</v>
      </c>
      <c r="E159" s="53" t="s">
        <v>204</v>
      </c>
      <c r="F159" s="53" t="s">
        <v>205</v>
      </c>
      <c r="G159" s="53" t="s">
        <v>42</v>
      </c>
      <c r="H159" s="53" t="s">
        <v>160</v>
      </c>
      <c r="I159" s="53" t="s">
        <v>159</v>
      </c>
      <c r="J159" s="53" t="s">
        <v>38</v>
      </c>
      <c r="K159" s="53" t="s">
        <v>161</v>
      </c>
      <c r="L159" s="53">
        <v>2</v>
      </c>
      <c r="N159" s="53">
        <v>6</v>
      </c>
      <c r="O159" s="53">
        <v>0.7</v>
      </c>
      <c r="P159" s="53">
        <v>0.55000000000000004</v>
      </c>
      <c r="Q159" s="75">
        <f t="shared" si="6"/>
        <v>0.625</v>
      </c>
      <c r="R159" s="53">
        <v>16.8</v>
      </c>
      <c r="S159" s="53">
        <v>121</v>
      </c>
      <c r="T159" s="38">
        <f t="shared" si="7"/>
        <v>27</v>
      </c>
      <c r="U159" s="53">
        <v>626</v>
      </c>
      <c r="V159" s="38">
        <f t="shared" si="8"/>
        <v>2817</v>
      </c>
      <c r="W159" s="53">
        <v>2</v>
      </c>
      <c r="X159" s="53" t="s">
        <v>46</v>
      </c>
      <c r="Y159" s="53" t="s">
        <v>55</v>
      </c>
      <c r="Z159" s="53" t="s">
        <v>97</v>
      </c>
      <c r="AA159" s="53" t="s">
        <v>69</v>
      </c>
      <c r="AB159" s="53" t="s">
        <v>158</v>
      </c>
      <c r="AC159" s="76"/>
      <c r="AD159" s="76"/>
      <c r="AE159" s="76"/>
      <c r="AF159" s="76"/>
      <c r="AG159" s="76"/>
      <c r="AH159" s="76"/>
    </row>
    <row r="160" spans="1:34" x14ac:dyDescent="0.15">
      <c r="A160" s="53" t="s">
        <v>41</v>
      </c>
      <c r="B160" s="53" t="s">
        <v>157</v>
      </c>
      <c r="C160" s="62">
        <v>2019</v>
      </c>
      <c r="D160" s="63" t="s">
        <v>184</v>
      </c>
      <c r="E160" s="53" t="s">
        <v>204</v>
      </c>
      <c r="F160" s="53" t="s">
        <v>205</v>
      </c>
      <c r="G160" s="53" t="s">
        <v>42</v>
      </c>
      <c r="H160" s="53" t="s">
        <v>160</v>
      </c>
      <c r="I160" s="53" t="s">
        <v>159</v>
      </c>
      <c r="J160" s="53" t="s">
        <v>38</v>
      </c>
      <c r="K160" s="53" t="s">
        <v>161</v>
      </c>
      <c r="L160" s="53">
        <v>3</v>
      </c>
      <c r="N160" s="53">
        <v>6</v>
      </c>
      <c r="O160" s="53">
        <v>0.5</v>
      </c>
      <c r="P160" s="53">
        <v>0.35</v>
      </c>
      <c r="Q160" s="75">
        <f t="shared" si="6"/>
        <v>0.42499999999999999</v>
      </c>
      <c r="R160" s="53">
        <v>15.9</v>
      </c>
      <c r="S160" s="53">
        <v>121</v>
      </c>
      <c r="T160" s="38">
        <f t="shared" si="7"/>
        <v>27</v>
      </c>
      <c r="U160" s="53">
        <v>626</v>
      </c>
      <c r="V160" s="38">
        <f t="shared" si="8"/>
        <v>2817</v>
      </c>
      <c r="W160" s="53">
        <v>2</v>
      </c>
      <c r="X160" s="53" t="s">
        <v>46</v>
      </c>
      <c r="Y160" s="53" t="s">
        <v>55</v>
      </c>
      <c r="Z160" s="53" t="s">
        <v>97</v>
      </c>
      <c r="AA160" s="53" t="s">
        <v>69</v>
      </c>
      <c r="AB160" s="53" t="s">
        <v>158</v>
      </c>
      <c r="AC160" s="76"/>
      <c r="AD160" s="76"/>
      <c r="AE160" s="76"/>
      <c r="AF160" s="76"/>
      <c r="AG160" s="76"/>
      <c r="AH160" s="76"/>
    </row>
    <row r="161" spans="1:34" x14ac:dyDescent="0.15">
      <c r="A161" s="53" t="s">
        <v>41</v>
      </c>
      <c r="B161" s="53" t="s">
        <v>157</v>
      </c>
      <c r="C161" s="62">
        <v>2019</v>
      </c>
      <c r="D161" s="63" t="s">
        <v>184</v>
      </c>
      <c r="E161" s="53" t="s">
        <v>210</v>
      </c>
      <c r="F161" s="53" t="s">
        <v>211</v>
      </c>
      <c r="G161" s="53" t="s">
        <v>42</v>
      </c>
      <c r="H161" s="53" t="s">
        <v>160</v>
      </c>
      <c r="I161" s="53" t="s">
        <v>159</v>
      </c>
      <c r="J161" s="53" t="s">
        <v>38</v>
      </c>
      <c r="K161" s="53" t="s">
        <v>161</v>
      </c>
      <c r="L161" s="53">
        <v>1</v>
      </c>
      <c r="N161" s="53">
        <v>1</v>
      </c>
      <c r="O161" s="53">
        <v>0.4</v>
      </c>
      <c r="P161" s="53">
        <v>0.5</v>
      </c>
      <c r="Q161" s="16">
        <f t="shared" si="6"/>
        <v>0.45</v>
      </c>
      <c r="R161" s="53">
        <v>16.5</v>
      </c>
      <c r="S161" s="53">
        <v>126</v>
      </c>
      <c r="T161" s="38">
        <f t="shared" si="7"/>
        <v>27</v>
      </c>
      <c r="U161" s="53">
        <v>104</v>
      </c>
      <c r="V161" s="38">
        <f t="shared" si="8"/>
        <v>2808</v>
      </c>
      <c r="W161" s="53">
        <v>6</v>
      </c>
      <c r="X161" s="53" t="s">
        <v>46</v>
      </c>
      <c r="Y161" s="53" t="s">
        <v>55</v>
      </c>
      <c r="Z161" s="53" t="s">
        <v>69</v>
      </c>
      <c r="AA161" s="53" t="s">
        <v>78</v>
      </c>
      <c r="AB161" s="53" t="s">
        <v>158</v>
      </c>
      <c r="AC161" s="76"/>
      <c r="AD161" s="76"/>
      <c r="AE161" s="76"/>
      <c r="AF161" s="76"/>
      <c r="AG161" s="76"/>
      <c r="AH161" s="76"/>
    </row>
    <row r="162" spans="1:34" x14ac:dyDescent="0.15">
      <c r="A162" s="53" t="s">
        <v>41</v>
      </c>
      <c r="B162" s="53" t="s">
        <v>157</v>
      </c>
      <c r="C162" s="62">
        <v>2019</v>
      </c>
      <c r="D162" s="63" t="s">
        <v>184</v>
      </c>
      <c r="E162" s="53" t="s">
        <v>210</v>
      </c>
      <c r="F162" s="53" t="s">
        <v>211</v>
      </c>
      <c r="G162" s="53" t="s">
        <v>42</v>
      </c>
      <c r="H162" s="53" t="s">
        <v>160</v>
      </c>
      <c r="I162" s="53" t="s">
        <v>159</v>
      </c>
      <c r="J162" s="53" t="s">
        <v>38</v>
      </c>
      <c r="K162" s="53" t="s">
        <v>161</v>
      </c>
      <c r="L162" s="53">
        <v>2</v>
      </c>
      <c r="N162" s="53">
        <v>1</v>
      </c>
      <c r="O162" s="53">
        <v>0.5</v>
      </c>
      <c r="P162" s="53">
        <v>0.35</v>
      </c>
      <c r="Q162" s="16">
        <f t="shared" si="6"/>
        <v>0.42499999999999999</v>
      </c>
      <c r="R162" s="53">
        <v>14.8</v>
      </c>
      <c r="S162" s="53">
        <v>125</v>
      </c>
      <c r="T162" s="38">
        <f t="shared" si="7"/>
        <v>27</v>
      </c>
      <c r="U162" s="53">
        <v>104</v>
      </c>
      <c r="V162" s="38">
        <f t="shared" si="8"/>
        <v>2808</v>
      </c>
      <c r="W162" s="53">
        <v>6</v>
      </c>
      <c r="X162" s="53" t="s">
        <v>46</v>
      </c>
      <c r="Y162" s="53" t="s">
        <v>55</v>
      </c>
      <c r="Z162" s="53" t="s">
        <v>69</v>
      </c>
      <c r="AA162" s="53" t="s">
        <v>78</v>
      </c>
      <c r="AB162" s="53" t="s">
        <v>158</v>
      </c>
      <c r="AC162" s="76"/>
      <c r="AD162" s="76"/>
      <c r="AE162" s="76"/>
      <c r="AF162" s="76"/>
      <c r="AG162" s="76"/>
      <c r="AH162" s="76"/>
    </row>
    <row r="163" spans="1:34" x14ac:dyDescent="0.15">
      <c r="A163" s="53" t="s">
        <v>41</v>
      </c>
      <c r="B163" s="53" t="s">
        <v>157</v>
      </c>
      <c r="C163" s="62">
        <v>2019</v>
      </c>
      <c r="D163" s="63" t="s">
        <v>184</v>
      </c>
      <c r="E163" s="53" t="s">
        <v>210</v>
      </c>
      <c r="F163" s="53" t="s">
        <v>211</v>
      </c>
      <c r="G163" s="53" t="s">
        <v>42</v>
      </c>
      <c r="H163" s="53" t="s">
        <v>160</v>
      </c>
      <c r="I163" s="53" t="s">
        <v>159</v>
      </c>
      <c r="J163" s="53" t="s">
        <v>38</v>
      </c>
      <c r="K163" s="53" t="s">
        <v>161</v>
      </c>
      <c r="L163" s="53">
        <v>3</v>
      </c>
      <c r="N163" s="53">
        <v>1</v>
      </c>
      <c r="O163" s="53">
        <v>0.35</v>
      </c>
      <c r="P163" s="53">
        <v>0.35</v>
      </c>
      <c r="Q163" s="16">
        <f t="shared" si="6"/>
        <v>0.35</v>
      </c>
      <c r="R163" s="53">
        <v>14.1</v>
      </c>
      <c r="S163" s="53">
        <v>126</v>
      </c>
      <c r="T163" s="38">
        <f t="shared" si="7"/>
        <v>27</v>
      </c>
      <c r="U163" s="53">
        <v>104</v>
      </c>
      <c r="V163" s="38">
        <f t="shared" si="8"/>
        <v>2808</v>
      </c>
      <c r="W163" s="53">
        <v>6</v>
      </c>
      <c r="X163" s="53" t="s">
        <v>46</v>
      </c>
      <c r="Y163" s="53" t="s">
        <v>55</v>
      </c>
      <c r="Z163" s="53" t="s">
        <v>69</v>
      </c>
      <c r="AA163" s="53" t="s">
        <v>78</v>
      </c>
      <c r="AB163" s="53" t="s">
        <v>158</v>
      </c>
      <c r="AC163" s="76"/>
      <c r="AD163" s="76"/>
      <c r="AE163" s="76"/>
      <c r="AF163" s="76"/>
      <c r="AG163" s="76"/>
      <c r="AH163" s="76"/>
    </row>
    <row r="164" spans="1:34" x14ac:dyDescent="0.15">
      <c r="A164" s="53" t="s">
        <v>41</v>
      </c>
      <c r="B164" s="53" t="s">
        <v>157</v>
      </c>
      <c r="C164" s="62">
        <v>2019</v>
      </c>
      <c r="D164" s="63" t="s">
        <v>184</v>
      </c>
      <c r="E164" s="53" t="s">
        <v>210</v>
      </c>
      <c r="F164" s="53" t="s">
        <v>211</v>
      </c>
      <c r="G164" s="53" t="s">
        <v>42</v>
      </c>
      <c r="H164" s="53" t="s">
        <v>160</v>
      </c>
      <c r="I164" s="53" t="s">
        <v>159</v>
      </c>
      <c r="J164" s="53" t="s">
        <v>38</v>
      </c>
      <c r="K164" s="53" t="s">
        <v>161</v>
      </c>
      <c r="L164" s="53">
        <v>1</v>
      </c>
      <c r="N164" s="53">
        <v>4</v>
      </c>
      <c r="O164" s="53">
        <v>0.65</v>
      </c>
      <c r="P164" s="53">
        <v>0.8</v>
      </c>
      <c r="Q164" s="16">
        <f t="shared" si="6"/>
        <v>0.72500000000000009</v>
      </c>
      <c r="R164" s="53">
        <v>14.5</v>
      </c>
      <c r="S164" s="53">
        <v>126</v>
      </c>
      <c r="T164" s="38">
        <f t="shared" si="7"/>
        <v>27</v>
      </c>
      <c r="U164" s="53">
        <v>407</v>
      </c>
      <c r="V164" s="38">
        <f t="shared" si="8"/>
        <v>2747.25</v>
      </c>
      <c r="W164" s="53">
        <v>3</v>
      </c>
      <c r="X164" s="53" t="s">
        <v>46</v>
      </c>
      <c r="Y164" s="53" t="s">
        <v>55</v>
      </c>
      <c r="Z164" s="53" t="s">
        <v>69</v>
      </c>
      <c r="AA164" s="53" t="s">
        <v>78</v>
      </c>
      <c r="AB164" s="53" t="s">
        <v>158</v>
      </c>
      <c r="AC164" s="76"/>
      <c r="AD164" s="76"/>
      <c r="AE164" s="76"/>
      <c r="AF164" s="76"/>
      <c r="AG164" s="76"/>
      <c r="AH164" s="76"/>
    </row>
    <row r="165" spans="1:34" x14ac:dyDescent="0.15">
      <c r="A165" s="53" t="s">
        <v>41</v>
      </c>
      <c r="B165" s="53" t="s">
        <v>157</v>
      </c>
      <c r="C165" s="62">
        <v>2019</v>
      </c>
      <c r="D165" s="63" t="s">
        <v>184</v>
      </c>
      <c r="E165" s="53" t="s">
        <v>210</v>
      </c>
      <c r="F165" s="53" t="s">
        <v>211</v>
      </c>
      <c r="G165" s="53" t="s">
        <v>42</v>
      </c>
      <c r="H165" s="53" t="s">
        <v>160</v>
      </c>
      <c r="I165" s="53" t="s">
        <v>159</v>
      </c>
      <c r="J165" s="53" t="s">
        <v>38</v>
      </c>
      <c r="K165" s="53" t="s">
        <v>161</v>
      </c>
      <c r="L165" s="53">
        <v>2</v>
      </c>
      <c r="N165" s="53">
        <v>4</v>
      </c>
      <c r="O165" s="53">
        <v>0.7</v>
      </c>
      <c r="P165" s="53">
        <v>0.65</v>
      </c>
      <c r="Q165" s="16">
        <f t="shared" si="6"/>
        <v>0.67500000000000004</v>
      </c>
      <c r="R165" s="53">
        <v>15.8</v>
      </c>
      <c r="S165" s="53">
        <v>122</v>
      </c>
      <c r="T165" s="38">
        <f t="shared" si="7"/>
        <v>27</v>
      </c>
      <c r="U165" s="53">
        <v>407</v>
      </c>
      <c r="V165" s="38">
        <f t="shared" si="8"/>
        <v>2747.25</v>
      </c>
      <c r="W165" s="53">
        <v>3</v>
      </c>
      <c r="X165" s="53" t="s">
        <v>46</v>
      </c>
      <c r="Y165" s="53" t="s">
        <v>55</v>
      </c>
      <c r="Z165" s="53" t="s">
        <v>69</v>
      </c>
      <c r="AA165" s="53" t="s">
        <v>78</v>
      </c>
      <c r="AB165" s="53" t="s">
        <v>158</v>
      </c>
      <c r="AC165" s="76"/>
      <c r="AD165" s="76"/>
      <c r="AE165" s="76"/>
      <c r="AF165" s="76"/>
      <c r="AG165" s="76"/>
      <c r="AH165" s="76"/>
    </row>
    <row r="166" spans="1:34" x14ac:dyDescent="0.15">
      <c r="A166" s="53" t="s">
        <v>41</v>
      </c>
      <c r="B166" s="53" t="s">
        <v>157</v>
      </c>
      <c r="C166" s="62">
        <v>2019</v>
      </c>
      <c r="D166" s="63" t="s">
        <v>184</v>
      </c>
      <c r="E166" s="53" t="s">
        <v>210</v>
      </c>
      <c r="F166" s="53" t="s">
        <v>211</v>
      </c>
      <c r="G166" s="53" t="s">
        <v>42</v>
      </c>
      <c r="H166" s="53" t="s">
        <v>160</v>
      </c>
      <c r="I166" s="53" t="s">
        <v>159</v>
      </c>
      <c r="J166" s="53" t="s">
        <v>38</v>
      </c>
      <c r="K166" s="53" t="s">
        <v>161</v>
      </c>
      <c r="L166" s="53">
        <v>3</v>
      </c>
      <c r="N166" s="53">
        <v>4</v>
      </c>
      <c r="O166" s="53">
        <v>0.9</v>
      </c>
      <c r="P166" s="53">
        <v>0.85</v>
      </c>
      <c r="Q166" s="16">
        <f t="shared" si="6"/>
        <v>0.875</v>
      </c>
      <c r="R166" s="53">
        <v>12</v>
      </c>
      <c r="S166" s="53">
        <v>122</v>
      </c>
      <c r="T166" s="38">
        <f t="shared" si="7"/>
        <v>27</v>
      </c>
      <c r="U166" s="53">
        <v>407</v>
      </c>
      <c r="V166" s="38">
        <f t="shared" si="8"/>
        <v>2747.25</v>
      </c>
      <c r="W166" s="53">
        <v>3</v>
      </c>
      <c r="X166" s="53" t="s">
        <v>46</v>
      </c>
      <c r="Y166" s="53" t="s">
        <v>55</v>
      </c>
      <c r="Z166" s="53" t="s">
        <v>69</v>
      </c>
      <c r="AA166" s="53" t="s">
        <v>78</v>
      </c>
      <c r="AB166" s="53" t="s">
        <v>158</v>
      </c>
      <c r="AC166" s="76"/>
      <c r="AD166" s="76"/>
      <c r="AE166" s="76"/>
      <c r="AF166" s="76"/>
      <c r="AG166" s="76"/>
      <c r="AH166" s="76"/>
    </row>
    <row r="167" spans="1:34" x14ac:dyDescent="0.15">
      <c r="A167" s="53" t="s">
        <v>41</v>
      </c>
      <c r="B167" s="53" t="s">
        <v>157</v>
      </c>
      <c r="C167" s="62">
        <v>2019</v>
      </c>
      <c r="D167" s="63" t="s">
        <v>184</v>
      </c>
      <c r="E167" s="53" t="s">
        <v>210</v>
      </c>
      <c r="F167" s="53" t="s">
        <v>211</v>
      </c>
      <c r="G167" s="53" t="s">
        <v>42</v>
      </c>
      <c r="H167" s="53" t="s">
        <v>164</v>
      </c>
      <c r="I167" s="53" t="s">
        <v>159</v>
      </c>
      <c r="J167" s="53" t="s">
        <v>38</v>
      </c>
      <c r="K167" s="53" t="s">
        <v>161</v>
      </c>
      <c r="L167" s="53">
        <v>1</v>
      </c>
      <c r="N167" s="53">
        <v>1</v>
      </c>
      <c r="O167" s="53">
        <v>0.45</v>
      </c>
      <c r="P167" s="53">
        <v>0.5</v>
      </c>
      <c r="Q167" s="16">
        <f t="shared" si="6"/>
        <v>0.47499999999999998</v>
      </c>
      <c r="R167" s="53">
        <v>13.7</v>
      </c>
      <c r="S167" s="53">
        <v>132</v>
      </c>
      <c r="T167" s="38">
        <f t="shared" si="7"/>
        <v>25</v>
      </c>
      <c r="U167" s="53">
        <v>104</v>
      </c>
      <c r="V167" s="38">
        <f t="shared" si="8"/>
        <v>2600</v>
      </c>
      <c r="W167" s="53">
        <v>4</v>
      </c>
      <c r="X167" s="53" t="s">
        <v>46</v>
      </c>
      <c r="Y167" s="53" t="s">
        <v>55</v>
      </c>
      <c r="Z167" s="53" t="s">
        <v>69</v>
      </c>
      <c r="AA167" s="53" t="s">
        <v>78</v>
      </c>
      <c r="AB167" s="53" t="s">
        <v>158</v>
      </c>
      <c r="AC167" s="76"/>
      <c r="AD167" s="76"/>
      <c r="AE167" s="76"/>
      <c r="AF167" s="76"/>
      <c r="AG167" s="76"/>
      <c r="AH167" s="76"/>
    </row>
    <row r="168" spans="1:34" x14ac:dyDescent="0.15">
      <c r="A168" s="53" t="s">
        <v>41</v>
      </c>
      <c r="B168" s="53" t="s">
        <v>157</v>
      </c>
      <c r="C168" s="62">
        <v>2019</v>
      </c>
      <c r="D168" s="63" t="s">
        <v>184</v>
      </c>
      <c r="E168" s="53" t="s">
        <v>210</v>
      </c>
      <c r="F168" s="53" t="s">
        <v>211</v>
      </c>
      <c r="G168" s="53" t="s">
        <v>42</v>
      </c>
      <c r="H168" s="53" t="s">
        <v>164</v>
      </c>
      <c r="I168" s="53" t="s">
        <v>159</v>
      </c>
      <c r="J168" s="53" t="s">
        <v>38</v>
      </c>
      <c r="K168" s="53" t="s">
        <v>161</v>
      </c>
      <c r="L168" s="53">
        <v>2</v>
      </c>
      <c r="N168" s="53">
        <v>1</v>
      </c>
      <c r="O168" s="53">
        <v>0.45</v>
      </c>
      <c r="P168" s="53">
        <v>0.6</v>
      </c>
      <c r="Q168" s="16">
        <f t="shared" si="6"/>
        <v>0.52500000000000002</v>
      </c>
      <c r="R168" s="53">
        <v>14.1</v>
      </c>
      <c r="S168" s="53">
        <v>135</v>
      </c>
      <c r="T168" s="38">
        <f t="shared" si="7"/>
        <v>25</v>
      </c>
      <c r="U168" s="53">
        <v>104</v>
      </c>
      <c r="V168" s="38">
        <f t="shared" si="8"/>
        <v>2600</v>
      </c>
      <c r="W168" s="53">
        <v>4</v>
      </c>
      <c r="X168" s="53" t="s">
        <v>46</v>
      </c>
      <c r="Y168" s="53" t="s">
        <v>55</v>
      </c>
      <c r="Z168" s="53" t="s">
        <v>69</v>
      </c>
      <c r="AA168" s="53" t="s">
        <v>78</v>
      </c>
      <c r="AB168" s="53" t="s">
        <v>158</v>
      </c>
      <c r="AC168" s="76"/>
      <c r="AD168" s="76"/>
      <c r="AE168" s="76"/>
      <c r="AF168" s="76"/>
      <c r="AG168" s="76"/>
      <c r="AH168" s="76"/>
    </row>
    <row r="169" spans="1:34" x14ac:dyDescent="0.15">
      <c r="A169" s="53" t="s">
        <v>41</v>
      </c>
      <c r="B169" s="53" t="s">
        <v>157</v>
      </c>
      <c r="C169" s="62">
        <v>2019</v>
      </c>
      <c r="D169" s="63" t="s">
        <v>184</v>
      </c>
      <c r="E169" s="53" t="s">
        <v>210</v>
      </c>
      <c r="F169" s="53" t="s">
        <v>211</v>
      </c>
      <c r="G169" s="53" t="s">
        <v>42</v>
      </c>
      <c r="H169" s="53" t="s">
        <v>164</v>
      </c>
      <c r="I169" s="53" t="s">
        <v>159</v>
      </c>
      <c r="J169" s="53" t="s">
        <v>38</v>
      </c>
      <c r="K169" s="53" t="s">
        <v>161</v>
      </c>
      <c r="L169" s="53">
        <v>3</v>
      </c>
      <c r="N169" s="53">
        <v>1</v>
      </c>
      <c r="O169" s="53">
        <v>0.6</v>
      </c>
      <c r="P169" s="53">
        <v>0.55000000000000004</v>
      </c>
      <c r="Q169" s="16">
        <f t="shared" si="6"/>
        <v>0.57499999999999996</v>
      </c>
      <c r="R169" s="53">
        <v>13.8</v>
      </c>
      <c r="S169" s="53">
        <v>130</v>
      </c>
      <c r="T169" s="38">
        <f t="shared" si="7"/>
        <v>25</v>
      </c>
      <c r="U169" s="53">
        <v>104</v>
      </c>
      <c r="V169" s="38">
        <f t="shared" si="8"/>
        <v>2600</v>
      </c>
      <c r="W169" s="53">
        <v>4</v>
      </c>
      <c r="X169" s="53" t="s">
        <v>46</v>
      </c>
      <c r="Y169" s="53" t="s">
        <v>55</v>
      </c>
      <c r="Z169" s="53" t="s">
        <v>69</v>
      </c>
      <c r="AA169" s="53" t="s">
        <v>78</v>
      </c>
      <c r="AB169" s="53" t="s">
        <v>158</v>
      </c>
      <c r="AC169" s="76"/>
      <c r="AD169" s="76"/>
      <c r="AE169" s="76"/>
      <c r="AF169" s="76"/>
      <c r="AG169" s="76"/>
      <c r="AH169" s="76"/>
    </row>
    <row r="170" spans="1:34" x14ac:dyDescent="0.15">
      <c r="A170" s="53" t="s">
        <v>41</v>
      </c>
      <c r="B170" s="53" t="s">
        <v>157</v>
      </c>
      <c r="C170" s="62">
        <v>2019</v>
      </c>
      <c r="D170" s="63" t="s">
        <v>184</v>
      </c>
      <c r="E170" s="53" t="s">
        <v>210</v>
      </c>
      <c r="F170" s="53" t="s">
        <v>211</v>
      </c>
      <c r="G170" s="53" t="s">
        <v>42</v>
      </c>
      <c r="H170" s="53" t="s">
        <v>164</v>
      </c>
      <c r="I170" s="53" t="s">
        <v>159</v>
      </c>
      <c r="J170" s="53" t="s">
        <v>38</v>
      </c>
      <c r="K170" s="53" t="s">
        <v>161</v>
      </c>
      <c r="L170" s="53">
        <v>1</v>
      </c>
      <c r="N170" s="53">
        <v>4</v>
      </c>
      <c r="O170" s="53">
        <v>0.7</v>
      </c>
      <c r="P170" s="53">
        <v>0.5</v>
      </c>
      <c r="Q170" s="16">
        <f t="shared" si="6"/>
        <v>0.6</v>
      </c>
      <c r="R170" s="53">
        <v>12.8</v>
      </c>
      <c r="S170" s="53">
        <v>125</v>
      </c>
      <c r="T170" s="38">
        <f t="shared" si="7"/>
        <v>27</v>
      </c>
      <c r="U170" s="53">
        <v>407</v>
      </c>
      <c r="V170" s="38">
        <f t="shared" si="8"/>
        <v>2747.25</v>
      </c>
      <c r="W170" s="53">
        <v>3</v>
      </c>
      <c r="X170" s="53" t="s">
        <v>46</v>
      </c>
      <c r="Y170" s="53" t="s">
        <v>55</v>
      </c>
      <c r="Z170" s="53" t="s">
        <v>69</v>
      </c>
      <c r="AA170" s="53" t="s">
        <v>78</v>
      </c>
      <c r="AB170" s="53" t="s">
        <v>158</v>
      </c>
      <c r="AC170" s="76"/>
      <c r="AD170" s="76"/>
      <c r="AE170" s="76"/>
      <c r="AF170" s="76"/>
      <c r="AG170" s="76"/>
      <c r="AH170" s="76"/>
    </row>
    <row r="171" spans="1:34" x14ac:dyDescent="0.15">
      <c r="A171" s="53" t="s">
        <v>41</v>
      </c>
      <c r="B171" s="53" t="s">
        <v>157</v>
      </c>
      <c r="C171" s="62">
        <v>2019</v>
      </c>
      <c r="D171" s="63" t="s">
        <v>184</v>
      </c>
      <c r="E171" s="53" t="s">
        <v>210</v>
      </c>
      <c r="F171" s="53" t="s">
        <v>211</v>
      </c>
      <c r="G171" s="53" t="s">
        <v>42</v>
      </c>
      <c r="H171" s="53" t="s">
        <v>164</v>
      </c>
      <c r="I171" s="53" t="s">
        <v>159</v>
      </c>
      <c r="J171" s="53" t="s">
        <v>38</v>
      </c>
      <c r="K171" s="53" t="s">
        <v>161</v>
      </c>
      <c r="L171" s="53">
        <v>2</v>
      </c>
      <c r="N171" s="53">
        <v>4</v>
      </c>
      <c r="O171" s="53">
        <v>0.4</v>
      </c>
      <c r="P171" s="53">
        <v>0.45</v>
      </c>
      <c r="Q171" s="16">
        <f t="shared" si="6"/>
        <v>0.42500000000000004</v>
      </c>
      <c r="R171" s="53">
        <v>11.7</v>
      </c>
      <c r="S171" s="53">
        <v>127</v>
      </c>
      <c r="T171" s="38">
        <f t="shared" si="7"/>
        <v>27</v>
      </c>
      <c r="U171" s="53">
        <v>407</v>
      </c>
      <c r="V171" s="38">
        <f t="shared" si="8"/>
        <v>2747.25</v>
      </c>
      <c r="W171" s="53">
        <v>3</v>
      </c>
      <c r="X171" s="53" t="s">
        <v>46</v>
      </c>
      <c r="Y171" s="53" t="s">
        <v>55</v>
      </c>
      <c r="Z171" s="53" t="s">
        <v>69</v>
      </c>
      <c r="AA171" s="53" t="s">
        <v>78</v>
      </c>
      <c r="AB171" s="53" t="s">
        <v>158</v>
      </c>
      <c r="AC171" s="76"/>
      <c r="AD171" s="76"/>
      <c r="AE171" s="76"/>
      <c r="AF171" s="76"/>
      <c r="AG171" s="76"/>
      <c r="AH171" s="76"/>
    </row>
    <row r="172" spans="1:34" x14ac:dyDescent="0.15">
      <c r="A172" s="53" t="s">
        <v>41</v>
      </c>
      <c r="B172" s="53" t="s">
        <v>157</v>
      </c>
      <c r="C172" s="62">
        <v>2019</v>
      </c>
      <c r="D172" s="63" t="s">
        <v>184</v>
      </c>
      <c r="E172" s="53" t="s">
        <v>210</v>
      </c>
      <c r="F172" s="53" t="s">
        <v>211</v>
      </c>
      <c r="G172" s="53" t="s">
        <v>42</v>
      </c>
      <c r="H172" s="53" t="s">
        <v>164</v>
      </c>
      <c r="I172" s="53" t="s">
        <v>159</v>
      </c>
      <c r="J172" s="53" t="s">
        <v>38</v>
      </c>
      <c r="K172" s="53" t="s">
        <v>161</v>
      </c>
      <c r="L172" s="53">
        <v>3</v>
      </c>
      <c r="N172" s="53">
        <v>4</v>
      </c>
      <c r="O172" s="53">
        <v>0.35</v>
      </c>
      <c r="P172" s="53">
        <v>0.3</v>
      </c>
      <c r="Q172" s="16">
        <f t="shared" si="6"/>
        <v>0.32499999999999996</v>
      </c>
      <c r="R172" s="53">
        <v>12</v>
      </c>
      <c r="S172" s="53">
        <v>128</v>
      </c>
      <c r="T172" s="38">
        <f t="shared" si="7"/>
        <v>27</v>
      </c>
      <c r="U172" s="53">
        <v>407</v>
      </c>
      <c r="V172" s="38">
        <f t="shared" si="8"/>
        <v>2747.25</v>
      </c>
      <c r="W172" s="53">
        <v>3</v>
      </c>
      <c r="X172" s="53" t="s">
        <v>46</v>
      </c>
      <c r="Y172" s="53" t="s">
        <v>55</v>
      </c>
      <c r="Z172" s="53" t="s">
        <v>69</v>
      </c>
      <c r="AA172" s="53" t="s">
        <v>78</v>
      </c>
      <c r="AB172" s="53" t="s">
        <v>158</v>
      </c>
      <c r="AC172" s="76"/>
      <c r="AD172" s="76"/>
      <c r="AE172" s="76"/>
      <c r="AF172" s="76"/>
      <c r="AG172" s="76"/>
      <c r="AH172" s="76"/>
    </row>
    <row r="173" spans="1:34" x14ac:dyDescent="0.15">
      <c r="Q173" s="74" t="str">
        <f t="shared" si="6"/>
        <v/>
      </c>
      <c r="T173" s="16" t="str">
        <f t="shared" si="7"/>
        <v/>
      </c>
      <c r="V173" s="16" t="str">
        <f t="shared" si="8"/>
        <v/>
      </c>
    </row>
    <row r="174" spans="1:34" x14ac:dyDescent="0.15">
      <c r="Q174" s="74" t="str">
        <f t="shared" si="6"/>
        <v/>
      </c>
      <c r="T174" s="16" t="str">
        <f t="shared" si="7"/>
        <v/>
      </c>
      <c r="V174" s="16" t="str">
        <f t="shared" si="8"/>
        <v/>
      </c>
    </row>
    <row r="175" spans="1:34" x14ac:dyDescent="0.15">
      <c r="Q175" s="74" t="str">
        <f t="shared" si="6"/>
        <v/>
      </c>
      <c r="T175" s="16" t="str">
        <f t="shared" si="7"/>
        <v/>
      </c>
      <c r="V175" s="16" t="str">
        <f t="shared" si="8"/>
        <v/>
      </c>
    </row>
    <row r="176" spans="1:34" x14ac:dyDescent="0.15">
      <c r="Q176" s="74" t="str">
        <f t="shared" si="6"/>
        <v/>
      </c>
      <c r="T176" s="16" t="str">
        <f t="shared" si="7"/>
        <v/>
      </c>
      <c r="V176" s="16" t="str">
        <f t="shared" si="8"/>
        <v/>
      </c>
    </row>
    <row r="177" spans="17:22" x14ac:dyDescent="0.15">
      <c r="Q177" s="74" t="str">
        <f t="shared" si="6"/>
        <v/>
      </c>
      <c r="T177" s="16" t="str">
        <f t="shared" si="7"/>
        <v/>
      </c>
      <c r="V177" s="16" t="str">
        <f t="shared" si="8"/>
        <v/>
      </c>
    </row>
    <row r="178" spans="17:22" x14ac:dyDescent="0.15">
      <c r="Q178" s="74" t="str">
        <f t="shared" si="6"/>
        <v/>
      </c>
      <c r="T178" s="16" t="str">
        <f t="shared" si="7"/>
        <v/>
      </c>
      <c r="V178" s="16" t="str">
        <f t="shared" si="8"/>
        <v/>
      </c>
    </row>
    <row r="179" spans="17:22" x14ac:dyDescent="0.15">
      <c r="Q179" s="74" t="str">
        <f t="shared" si="6"/>
        <v/>
      </c>
      <c r="T179" s="16" t="str">
        <f t="shared" si="7"/>
        <v/>
      </c>
      <c r="V179" s="16" t="str">
        <f t="shared" si="8"/>
        <v/>
      </c>
    </row>
    <row r="180" spans="17:22" x14ac:dyDescent="0.15">
      <c r="Q180" s="74" t="str">
        <f t="shared" si="6"/>
        <v/>
      </c>
      <c r="T180" s="16" t="str">
        <f t="shared" si="7"/>
        <v/>
      </c>
      <c r="V180" s="16" t="str">
        <f t="shared" si="8"/>
        <v/>
      </c>
    </row>
    <row r="181" spans="17:22" x14ac:dyDescent="0.15">
      <c r="Q181" s="74" t="str">
        <f t="shared" si="6"/>
        <v/>
      </c>
      <c r="T181" s="16" t="str">
        <f t="shared" si="7"/>
        <v/>
      </c>
      <c r="V181" s="16" t="str">
        <f t="shared" si="8"/>
        <v/>
      </c>
    </row>
    <row r="182" spans="17:22" x14ac:dyDescent="0.15">
      <c r="Q182" s="74" t="str">
        <f t="shared" si="6"/>
        <v/>
      </c>
      <c r="T182" s="16" t="str">
        <f t="shared" si="7"/>
        <v/>
      </c>
      <c r="V182" s="16" t="str">
        <f t="shared" si="8"/>
        <v/>
      </c>
    </row>
    <row r="183" spans="17:22" x14ac:dyDescent="0.15">
      <c r="Q183" s="74" t="str">
        <f t="shared" si="6"/>
        <v/>
      </c>
      <c r="T183" s="16" t="str">
        <f t="shared" si="7"/>
        <v/>
      </c>
      <c r="V183" s="16" t="str">
        <f t="shared" si="8"/>
        <v/>
      </c>
    </row>
    <row r="184" spans="17:22" x14ac:dyDescent="0.15">
      <c r="Q184" s="74" t="str">
        <f t="shared" si="6"/>
        <v/>
      </c>
      <c r="T184" s="16" t="str">
        <f t="shared" si="7"/>
        <v/>
      </c>
      <c r="V184" s="16" t="str">
        <f t="shared" si="8"/>
        <v/>
      </c>
    </row>
    <row r="185" spans="17:22" x14ac:dyDescent="0.15">
      <c r="Q185" s="74" t="str">
        <f t="shared" si="6"/>
        <v/>
      </c>
      <c r="T185" s="16" t="str">
        <f t="shared" si="7"/>
        <v/>
      </c>
      <c r="V185" s="16" t="str">
        <f t="shared" si="8"/>
        <v/>
      </c>
    </row>
    <row r="186" spans="17:22" x14ac:dyDescent="0.15">
      <c r="Q186" s="74" t="str">
        <f t="shared" si="6"/>
        <v/>
      </c>
      <c r="T186" s="16" t="str">
        <f t="shared" si="7"/>
        <v/>
      </c>
      <c r="V186" s="16" t="str">
        <f t="shared" si="8"/>
        <v/>
      </c>
    </row>
    <row r="187" spans="17:22" x14ac:dyDescent="0.15">
      <c r="Q187" s="74" t="str">
        <f t="shared" si="6"/>
        <v/>
      </c>
      <c r="T187" s="16" t="str">
        <f t="shared" si="7"/>
        <v/>
      </c>
      <c r="V187" s="16" t="str">
        <f t="shared" si="8"/>
        <v/>
      </c>
    </row>
    <row r="188" spans="17:22" x14ac:dyDescent="0.15">
      <c r="Q188" s="74" t="str">
        <f t="shared" si="6"/>
        <v/>
      </c>
      <c r="T188" s="16" t="str">
        <f t="shared" si="7"/>
        <v/>
      </c>
      <c r="V188" s="16" t="str">
        <f t="shared" si="8"/>
        <v/>
      </c>
    </row>
    <row r="189" spans="17:22" x14ac:dyDescent="0.15">
      <c r="Q189" s="74" t="str">
        <f t="shared" si="6"/>
        <v/>
      </c>
      <c r="T189" s="16" t="str">
        <f t="shared" si="7"/>
        <v/>
      </c>
      <c r="V189" s="16" t="str">
        <f t="shared" si="8"/>
        <v/>
      </c>
    </row>
    <row r="190" spans="17:22" x14ac:dyDescent="0.15">
      <c r="Q190" s="74" t="str">
        <f t="shared" si="6"/>
        <v/>
      </c>
      <c r="T190" s="16" t="str">
        <f t="shared" si="7"/>
        <v/>
      </c>
      <c r="V190" s="16" t="str">
        <f t="shared" si="8"/>
        <v/>
      </c>
    </row>
    <row r="191" spans="17:22" x14ac:dyDescent="0.15">
      <c r="Q191" s="74" t="str">
        <f t="shared" si="6"/>
        <v/>
      </c>
      <c r="T191" s="16" t="str">
        <f t="shared" si="7"/>
        <v/>
      </c>
      <c r="V191" s="16" t="str">
        <f t="shared" si="8"/>
        <v/>
      </c>
    </row>
    <row r="192" spans="17:22" x14ac:dyDescent="0.15">
      <c r="Q192" s="74" t="str">
        <f t="shared" si="6"/>
        <v/>
      </c>
      <c r="T192" s="16" t="str">
        <f t="shared" si="7"/>
        <v/>
      </c>
      <c r="V192" s="16" t="str">
        <f t="shared" si="8"/>
        <v/>
      </c>
    </row>
    <row r="193" spans="17:22" x14ac:dyDescent="0.15">
      <c r="Q193" s="74" t="str">
        <f t="shared" si="6"/>
        <v/>
      </c>
      <c r="T193" s="16" t="str">
        <f t="shared" si="7"/>
        <v/>
      </c>
      <c r="V193" s="16" t="str">
        <f t="shared" si="8"/>
        <v/>
      </c>
    </row>
    <row r="194" spans="17:22" x14ac:dyDescent="0.15">
      <c r="Q194" s="74" t="str">
        <f t="shared" ref="Q194:Q257" si="9">IF(OR(O194="",P194=""),"",AVERAGE(O194,P194))</f>
        <v/>
      </c>
      <c r="T194" s="16" t="str">
        <f t="shared" ref="T194:T257" si="10">IF(H194="","",IF(OR(H194="GREEN",H194="GK"),IF(S194&gt;=$AX$2,VLOOKUP(S194,$AX$2:$AY$10,2,1),""),IF(S194&gt;=$AZ$2,VLOOKUP(S194,$AZ$2:$BA$10,2,1),"")))</f>
        <v/>
      </c>
      <c r="V194" s="16" t="str">
        <f t="shared" ref="V194:V257" si="11">IF(OR(N194="",U194="",T194=""),"",U194/N194*T194)</f>
        <v/>
      </c>
    </row>
    <row r="195" spans="17:22" x14ac:dyDescent="0.15">
      <c r="Q195" s="74" t="str">
        <f t="shared" si="9"/>
        <v/>
      </c>
      <c r="T195" s="16" t="str">
        <f t="shared" si="10"/>
        <v/>
      </c>
      <c r="V195" s="16" t="str">
        <f t="shared" si="11"/>
        <v/>
      </c>
    </row>
    <row r="196" spans="17:22" x14ac:dyDescent="0.15">
      <c r="Q196" s="74" t="str">
        <f t="shared" si="9"/>
        <v/>
      </c>
      <c r="T196" s="16" t="str">
        <f t="shared" si="10"/>
        <v/>
      </c>
      <c r="V196" s="16" t="str">
        <f t="shared" si="11"/>
        <v/>
      </c>
    </row>
    <row r="197" spans="17:22" x14ac:dyDescent="0.15">
      <c r="Q197" s="74" t="str">
        <f t="shared" si="9"/>
        <v/>
      </c>
      <c r="T197" s="16" t="str">
        <f t="shared" si="10"/>
        <v/>
      </c>
      <c r="V197" s="16" t="str">
        <f t="shared" si="11"/>
        <v/>
      </c>
    </row>
    <row r="198" spans="17:22" x14ac:dyDescent="0.15">
      <c r="Q198" s="74" t="str">
        <f t="shared" si="9"/>
        <v/>
      </c>
      <c r="T198" s="16" t="str">
        <f t="shared" si="10"/>
        <v/>
      </c>
      <c r="V198" s="16" t="str">
        <f t="shared" si="11"/>
        <v/>
      </c>
    </row>
    <row r="199" spans="17:22" x14ac:dyDescent="0.15">
      <c r="Q199" s="74" t="str">
        <f t="shared" si="9"/>
        <v/>
      </c>
      <c r="T199" s="16" t="str">
        <f t="shared" si="10"/>
        <v/>
      </c>
      <c r="V199" s="16" t="str">
        <f t="shared" si="11"/>
        <v/>
      </c>
    </row>
    <row r="200" spans="17:22" x14ac:dyDescent="0.15">
      <c r="Q200" s="74" t="str">
        <f t="shared" si="9"/>
        <v/>
      </c>
      <c r="T200" s="16" t="str">
        <f t="shared" si="10"/>
        <v/>
      </c>
      <c r="V200" s="16" t="str">
        <f t="shared" si="11"/>
        <v/>
      </c>
    </row>
    <row r="201" spans="17:22" x14ac:dyDescent="0.15">
      <c r="Q201" s="74" t="str">
        <f t="shared" si="9"/>
        <v/>
      </c>
      <c r="T201" s="16" t="str">
        <f t="shared" si="10"/>
        <v/>
      </c>
      <c r="V201" s="16" t="str">
        <f t="shared" si="11"/>
        <v/>
      </c>
    </row>
    <row r="202" spans="17:22" x14ac:dyDescent="0.15">
      <c r="Q202" s="74" t="str">
        <f t="shared" si="9"/>
        <v/>
      </c>
      <c r="T202" s="16" t="str">
        <f t="shared" si="10"/>
        <v/>
      </c>
      <c r="V202" s="16" t="str">
        <f t="shared" si="11"/>
        <v/>
      </c>
    </row>
    <row r="203" spans="17:22" x14ac:dyDescent="0.15">
      <c r="Q203" s="74" t="str">
        <f t="shared" si="9"/>
        <v/>
      </c>
      <c r="T203" s="16" t="str">
        <f t="shared" si="10"/>
        <v/>
      </c>
      <c r="V203" s="16" t="str">
        <f t="shared" si="11"/>
        <v/>
      </c>
    </row>
    <row r="204" spans="17:22" x14ac:dyDescent="0.15">
      <c r="Q204" s="74" t="str">
        <f t="shared" si="9"/>
        <v/>
      </c>
      <c r="T204" s="16" t="str">
        <f t="shared" si="10"/>
        <v/>
      </c>
      <c r="V204" s="16" t="str">
        <f t="shared" si="11"/>
        <v/>
      </c>
    </row>
    <row r="205" spans="17:22" x14ac:dyDescent="0.15">
      <c r="Q205" s="74" t="str">
        <f t="shared" si="9"/>
        <v/>
      </c>
      <c r="T205" s="16" t="str">
        <f t="shared" si="10"/>
        <v/>
      </c>
      <c r="V205" s="16" t="str">
        <f t="shared" si="11"/>
        <v/>
      </c>
    </row>
    <row r="206" spans="17:22" x14ac:dyDescent="0.15">
      <c r="Q206" s="74" t="str">
        <f t="shared" si="9"/>
        <v/>
      </c>
      <c r="T206" s="16" t="str">
        <f t="shared" si="10"/>
        <v/>
      </c>
      <c r="V206" s="16" t="str">
        <f t="shared" si="11"/>
        <v/>
      </c>
    </row>
    <row r="207" spans="17:22" x14ac:dyDescent="0.15">
      <c r="Q207" s="74" t="str">
        <f t="shared" si="9"/>
        <v/>
      </c>
      <c r="T207" s="16" t="str">
        <f t="shared" si="10"/>
        <v/>
      </c>
      <c r="V207" s="16" t="str">
        <f t="shared" si="11"/>
        <v/>
      </c>
    </row>
    <row r="208" spans="17:22" x14ac:dyDescent="0.15">
      <c r="Q208" s="74" t="str">
        <f t="shared" si="9"/>
        <v/>
      </c>
      <c r="T208" s="16" t="str">
        <f t="shared" si="10"/>
        <v/>
      </c>
      <c r="V208" s="16" t="str">
        <f t="shared" si="11"/>
        <v/>
      </c>
    </row>
    <row r="209" spans="17:22" x14ac:dyDescent="0.15">
      <c r="Q209" s="74" t="str">
        <f t="shared" si="9"/>
        <v/>
      </c>
      <c r="T209" s="16" t="str">
        <f t="shared" si="10"/>
        <v/>
      </c>
      <c r="V209" s="16" t="str">
        <f t="shared" si="11"/>
        <v/>
      </c>
    </row>
    <row r="210" spans="17:22" x14ac:dyDescent="0.15">
      <c r="Q210" s="74" t="str">
        <f t="shared" si="9"/>
        <v/>
      </c>
      <c r="T210" s="16" t="str">
        <f t="shared" si="10"/>
        <v/>
      </c>
      <c r="V210" s="16" t="str">
        <f t="shared" si="11"/>
        <v/>
      </c>
    </row>
    <row r="211" spans="17:22" x14ac:dyDescent="0.15">
      <c r="Q211" s="74" t="str">
        <f t="shared" si="9"/>
        <v/>
      </c>
      <c r="T211" s="16" t="str">
        <f t="shared" si="10"/>
        <v/>
      </c>
      <c r="V211" s="16" t="str">
        <f t="shared" si="11"/>
        <v/>
      </c>
    </row>
    <row r="212" spans="17:22" x14ac:dyDescent="0.15">
      <c r="Q212" s="74" t="str">
        <f t="shared" si="9"/>
        <v/>
      </c>
      <c r="T212" s="16" t="str">
        <f t="shared" si="10"/>
        <v/>
      </c>
      <c r="V212" s="16" t="str">
        <f t="shared" si="11"/>
        <v/>
      </c>
    </row>
    <row r="213" spans="17:22" x14ac:dyDescent="0.15">
      <c r="Q213" s="74" t="str">
        <f t="shared" si="9"/>
        <v/>
      </c>
      <c r="T213" s="16" t="str">
        <f t="shared" si="10"/>
        <v/>
      </c>
      <c r="V213" s="16" t="str">
        <f t="shared" si="11"/>
        <v/>
      </c>
    </row>
    <row r="214" spans="17:22" x14ac:dyDescent="0.15">
      <c r="Q214" s="74" t="str">
        <f t="shared" si="9"/>
        <v/>
      </c>
      <c r="T214" s="16" t="str">
        <f t="shared" si="10"/>
        <v/>
      </c>
      <c r="V214" s="16" t="str">
        <f t="shared" si="11"/>
        <v/>
      </c>
    </row>
    <row r="215" spans="17:22" x14ac:dyDescent="0.15">
      <c r="Q215" s="74" t="str">
        <f t="shared" si="9"/>
        <v/>
      </c>
      <c r="T215" s="16" t="str">
        <f t="shared" si="10"/>
        <v/>
      </c>
      <c r="V215" s="16" t="str">
        <f t="shared" si="11"/>
        <v/>
      </c>
    </row>
    <row r="216" spans="17:22" x14ac:dyDescent="0.15">
      <c r="Q216" s="74" t="str">
        <f t="shared" si="9"/>
        <v/>
      </c>
      <c r="T216" s="16" t="str">
        <f t="shared" si="10"/>
        <v/>
      </c>
      <c r="V216" s="16" t="str">
        <f t="shared" si="11"/>
        <v/>
      </c>
    </row>
    <row r="217" spans="17:22" x14ac:dyDescent="0.15">
      <c r="Q217" s="74" t="str">
        <f t="shared" si="9"/>
        <v/>
      </c>
      <c r="T217" s="16" t="str">
        <f t="shared" si="10"/>
        <v/>
      </c>
      <c r="V217" s="16" t="str">
        <f t="shared" si="11"/>
        <v/>
      </c>
    </row>
    <row r="218" spans="17:22" x14ac:dyDescent="0.15">
      <c r="Q218" s="74" t="str">
        <f t="shared" si="9"/>
        <v/>
      </c>
      <c r="T218" s="16" t="str">
        <f t="shared" si="10"/>
        <v/>
      </c>
      <c r="V218" s="16" t="str">
        <f t="shared" si="11"/>
        <v/>
      </c>
    </row>
    <row r="219" spans="17:22" x14ac:dyDescent="0.15">
      <c r="Q219" s="74" t="str">
        <f t="shared" si="9"/>
        <v/>
      </c>
      <c r="T219" s="16" t="str">
        <f t="shared" si="10"/>
        <v/>
      </c>
      <c r="V219" s="16" t="str">
        <f t="shared" si="11"/>
        <v/>
      </c>
    </row>
    <row r="220" spans="17:22" x14ac:dyDescent="0.15">
      <c r="Q220" s="74" t="str">
        <f t="shared" si="9"/>
        <v/>
      </c>
      <c r="T220" s="16" t="str">
        <f t="shared" si="10"/>
        <v/>
      </c>
      <c r="V220" s="16" t="str">
        <f t="shared" si="11"/>
        <v/>
      </c>
    </row>
    <row r="221" spans="17:22" x14ac:dyDescent="0.15">
      <c r="Q221" s="74" t="str">
        <f t="shared" si="9"/>
        <v/>
      </c>
      <c r="T221" s="16" t="str">
        <f t="shared" si="10"/>
        <v/>
      </c>
      <c r="V221" s="16" t="str">
        <f t="shared" si="11"/>
        <v/>
      </c>
    </row>
    <row r="222" spans="17:22" x14ac:dyDescent="0.15">
      <c r="Q222" s="74" t="str">
        <f t="shared" si="9"/>
        <v/>
      </c>
      <c r="T222" s="16" t="str">
        <f t="shared" si="10"/>
        <v/>
      </c>
      <c r="V222" s="16" t="str">
        <f t="shared" si="11"/>
        <v/>
      </c>
    </row>
    <row r="223" spans="17:22" x14ac:dyDescent="0.15">
      <c r="Q223" s="74" t="str">
        <f t="shared" si="9"/>
        <v/>
      </c>
      <c r="T223" s="16" t="str">
        <f t="shared" si="10"/>
        <v/>
      </c>
      <c r="V223" s="16" t="str">
        <f t="shared" si="11"/>
        <v/>
      </c>
    </row>
    <row r="224" spans="17:22" x14ac:dyDescent="0.15">
      <c r="Q224" s="74" t="str">
        <f t="shared" si="9"/>
        <v/>
      </c>
      <c r="T224" s="16" t="str">
        <f t="shared" si="10"/>
        <v/>
      </c>
      <c r="V224" s="16" t="str">
        <f t="shared" si="11"/>
        <v/>
      </c>
    </row>
    <row r="225" spans="17:22" x14ac:dyDescent="0.15">
      <c r="Q225" s="74" t="str">
        <f t="shared" si="9"/>
        <v/>
      </c>
      <c r="T225" s="16" t="str">
        <f t="shared" si="10"/>
        <v/>
      </c>
      <c r="V225" s="16" t="str">
        <f t="shared" si="11"/>
        <v/>
      </c>
    </row>
    <row r="226" spans="17:22" x14ac:dyDescent="0.15">
      <c r="Q226" s="74" t="str">
        <f t="shared" si="9"/>
        <v/>
      </c>
      <c r="T226" s="16" t="str">
        <f t="shared" si="10"/>
        <v/>
      </c>
      <c r="V226" s="16" t="str">
        <f t="shared" si="11"/>
        <v/>
      </c>
    </row>
    <row r="227" spans="17:22" x14ac:dyDescent="0.15">
      <c r="Q227" s="74" t="str">
        <f t="shared" si="9"/>
        <v/>
      </c>
      <c r="T227" s="16" t="str">
        <f t="shared" si="10"/>
        <v/>
      </c>
      <c r="V227" s="16" t="str">
        <f t="shared" si="11"/>
        <v/>
      </c>
    </row>
    <row r="228" spans="17:22" x14ac:dyDescent="0.15">
      <c r="Q228" s="74" t="str">
        <f t="shared" si="9"/>
        <v/>
      </c>
      <c r="T228" s="16" t="str">
        <f t="shared" si="10"/>
        <v/>
      </c>
      <c r="V228" s="16" t="str">
        <f t="shared" si="11"/>
        <v/>
      </c>
    </row>
    <row r="229" spans="17:22" x14ac:dyDescent="0.15">
      <c r="Q229" s="74" t="str">
        <f t="shared" si="9"/>
        <v/>
      </c>
      <c r="T229" s="16" t="str">
        <f t="shared" si="10"/>
        <v/>
      </c>
      <c r="V229" s="16" t="str">
        <f t="shared" si="11"/>
        <v/>
      </c>
    </row>
    <row r="230" spans="17:22" x14ac:dyDescent="0.15">
      <c r="Q230" s="74" t="str">
        <f t="shared" si="9"/>
        <v/>
      </c>
      <c r="T230" s="16" t="str">
        <f t="shared" si="10"/>
        <v/>
      </c>
      <c r="V230" s="16" t="str">
        <f t="shared" si="11"/>
        <v/>
      </c>
    </row>
    <row r="231" spans="17:22" x14ac:dyDescent="0.15">
      <c r="Q231" s="74" t="str">
        <f t="shared" si="9"/>
        <v/>
      </c>
      <c r="T231" s="16" t="str">
        <f t="shared" si="10"/>
        <v/>
      </c>
      <c r="V231" s="16" t="str">
        <f t="shared" si="11"/>
        <v/>
      </c>
    </row>
    <row r="232" spans="17:22" x14ac:dyDescent="0.15">
      <c r="Q232" s="74" t="str">
        <f t="shared" si="9"/>
        <v/>
      </c>
      <c r="T232" s="16" t="str">
        <f t="shared" si="10"/>
        <v/>
      </c>
      <c r="V232" s="16" t="str">
        <f t="shared" si="11"/>
        <v/>
      </c>
    </row>
    <row r="233" spans="17:22" x14ac:dyDescent="0.15">
      <c r="Q233" s="74" t="str">
        <f t="shared" si="9"/>
        <v/>
      </c>
      <c r="T233" s="16" t="str">
        <f t="shared" si="10"/>
        <v/>
      </c>
      <c r="V233" s="16" t="str">
        <f t="shared" si="11"/>
        <v/>
      </c>
    </row>
    <row r="234" spans="17:22" x14ac:dyDescent="0.15">
      <c r="Q234" s="74" t="str">
        <f t="shared" si="9"/>
        <v/>
      </c>
      <c r="T234" s="16" t="str">
        <f t="shared" si="10"/>
        <v/>
      </c>
      <c r="V234" s="16" t="str">
        <f t="shared" si="11"/>
        <v/>
      </c>
    </row>
    <row r="235" spans="17:22" x14ac:dyDescent="0.15">
      <c r="Q235" s="74" t="str">
        <f t="shared" si="9"/>
        <v/>
      </c>
      <c r="T235" s="16" t="str">
        <f t="shared" si="10"/>
        <v/>
      </c>
      <c r="V235" s="16" t="str">
        <f t="shared" si="11"/>
        <v/>
      </c>
    </row>
    <row r="236" spans="17:22" x14ac:dyDescent="0.15">
      <c r="Q236" s="74" t="str">
        <f t="shared" si="9"/>
        <v/>
      </c>
      <c r="T236" s="16" t="str">
        <f t="shared" si="10"/>
        <v/>
      </c>
      <c r="V236" s="16" t="str">
        <f t="shared" si="11"/>
        <v/>
      </c>
    </row>
    <row r="237" spans="17:22" x14ac:dyDescent="0.15">
      <c r="Q237" s="74" t="str">
        <f t="shared" si="9"/>
        <v/>
      </c>
      <c r="T237" s="16" t="str">
        <f t="shared" si="10"/>
        <v/>
      </c>
      <c r="V237" s="16" t="str">
        <f t="shared" si="11"/>
        <v/>
      </c>
    </row>
    <row r="238" spans="17:22" x14ac:dyDescent="0.15">
      <c r="Q238" s="74" t="str">
        <f t="shared" si="9"/>
        <v/>
      </c>
      <c r="T238" s="16" t="str">
        <f t="shared" si="10"/>
        <v/>
      </c>
      <c r="V238" s="16" t="str">
        <f t="shared" si="11"/>
        <v/>
      </c>
    </row>
    <row r="239" spans="17:22" x14ac:dyDescent="0.15">
      <c r="Q239" s="74" t="str">
        <f t="shared" si="9"/>
        <v/>
      </c>
      <c r="T239" s="16" t="str">
        <f t="shared" si="10"/>
        <v/>
      </c>
      <c r="V239" s="16" t="str">
        <f t="shared" si="11"/>
        <v/>
      </c>
    </row>
    <row r="240" spans="17:22" x14ac:dyDescent="0.15">
      <c r="Q240" s="74" t="str">
        <f t="shared" si="9"/>
        <v/>
      </c>
      <c r="T240" s="16" t="str">
        <f t="shared" si="10"/>
        <v/>
      </c>
      <c r="V240" s="16" t="str">
        <f t="shared" si="11"/>
        <v/>
      </c>
    </row>
    <row r="241" spans="17:22" x14ac:dyDescent="0.15">
      <c r="Q241" s="74" t="str">
        <f t="shared" si="9"/>
        <v/>
      </c>
      <c r="T241" s="16" t="str">
        <f t="shared" si="10"/>
        <v/>
      </c>
      <c r="V241" s="16" t="str">
        <f t="shared" si="11"/>
        <v/>
      </c>
    </row>
    <row r="242" spans="17:22" x14ac:dyDescent="0.15">
      <c r="Q242" s="74" t="str">
        <f t="shared" si="9"/>
        <v/>
      </c>
      <c r="T242" s="16" t="str">
        <f t="shared" si="10"/>
        <v/>
      </c>
      <c r="V242" s="16" t="str">
        <f t="shared" si="11"/>
        <v/>
      </c>
    </row>
    <row r="243" spans="17:22" x14ac:dyDescent="0.15">
      <c r="Q243" s="74" t="str">
        <f t="shared" si="9"/>
        <v/>
      </c>
      <c r="T243" s="16" t="str">
        <f t="shared" si="10"/>
        <v/>
      </c>
      <c r="V243" s="16" t="str">
        <f t="shared" si="11"/>
        <v/>
      </c>
    </row>
    <row r="244" spans="17:22" x14ac:dyDescent="0.15">
      <c r="Q244" s="74" t="str">
        <f t="shared" si="9"/>
        <v/>
      </c>
      <c r="T244" s="16" t="str">
        <f t="shared" si="10"/>
        <v/>
      </c>
      <c r="V244" s="16" t="str">
        <f t="shared" si="11"/>
        <v/>
      </c>
    </row>
    <row r="245" spans="17:22" x14ac:dyDescent="0.15">
      <c r="Q245" s="74" t="str">
        <f t="shared" si="9"/>
        <v/>
      </c>
      <c r="T245" s="16" t="str">
        <f t="shared" si="10"/>
        <v/>
      </c>
      <c r="V245" s="16" t="str">
        <f t="shared" si="11"/>
        <v/>
      </c>
    </row>
    <row r="246" spans="17:22" x14ac:dyDescent="0.15">
      <c r="Q246" s="74" t="str">
        <f t="shared" si="9"/>
        <v/>
      </c>
      <c r="T246" s="16" t="str">
        <f t="shared" si="10"/>
        <v/>
      </c>
      <c r="V246" s="16" t="str">
        <f t="shared" si="11"/>
        <v/>
      </c>
    </row>
    <row r="247" spans="17:22" x14ac:dyDescent="0.15">
      <c r="Q247" s="74" t="str">
        <f t="shared" si="9"/>
        <v/>
      </c>
      <c r="T247" s="16" t="str">
        <f t="shared" si="10"/>
        <v/>
      </c>
      <c r="V247" s="16" t="str">
        <f t="shared" si="11"/>
        <v/>
      </c>
    </row>
    <row r="248" spans="17:22" x14ac:dyDescent="0.15">
      <c r="Q248" s="74" t="str">
        <f t="shared" si="9"/>
        <v/>
      </c>
      <c r="T248" s="16" t="str">
        <f t="shared" si="10"/>
        <v/>
      </c>
      <c r="V248" s="16" t="str">
        <f t="shared" si="11"/>
        <v/>
      </c>
    </row>
    <row r="249" spans="17:22" x14ac:dyDescent="0.15">
      <c r="Q249" s="74" t="str">
        <f t="shared" si="9"/>
        <v/>
      </c>
      <c r="T249" s="16" t="str">
        <f t="shared" si="10"/>
        <v/>
      </c>
      <c r="V249" s="16" t="str">
        <f t="shared" si="11"/>
        <v/>
      </c>
    </row>
    <row r="250" spans="17:22" x14ac:dyDescent="0.15">
      <c r="Q250" s="74" t="str">
        <f t="shared" si="9"/>
        <v/>
      </c>
      <c r="T250" s="16" t="str">
        <f t="shared" si="10"/>
        <v/>
      </c>
      <c r="V250" s="16" t="str">
        <f t="shared" si="11"/>
        <v/>
      </c>
    </row>
    <row r="251" spans="17:22" x14ac:dyDescent="0.15">
      <c r="Q251" s="74" t="str">
        <f t="shared" si="9"/>
        <v/>
      </c>
      <c r="T251" s="16" t="str">
        <f t="shared" si="10"/>
        <v/>
      </c>
      <c r="V251" s="16" t="str">
        <f t="shared" si="11"/>
        <v/>
      </c>
    </row>
    <row r="252" spans="17:22" x14ac:dyDescent="0.15">
      <c r="Q252" s="74" t="str">
        <f t="shared" si="9"/>
        <v/>
      </c>
      <c r="T252" s="16" t="str">
        <f t="shared" si="10"/>
        <v/>
      </c>
      <c r="V252" s="16" t="str">
        <f t="shared" si="11"/>
        <v/>
      </c>
    </row>
    <row r="253" spans="17:22" x14ac:dyDescent="0.15">
      <c r="Q253" s="74" t="str">
        <f t="shared" si="9"/>
        <v/>
      </c>
      <c r="T253" s="16" t="str">
        <f t="shared" si="10"/>
        <v/>
      </c>
      <c r="V253" s="16" t="str">
        <f t="shared" si="11"/>
        <v/>
      </c>
    </row>
    <row r="254" spans="17:22" x14ac:dyDescent="0.15">
      <c r="Q254" s="74" t="str">
        <f t="shared" si="9"/>
        <v/>
      </c>
      <c r="T254" s="16" t="str">
        <f t="shared" si="10"/>
        <v/>
      </c>
      <c r="V254" s="16" t="str">
        <f t="shared" si="11"/>
        <v/>
      </c>
    </row>
    <row r="255" spans="17:22" x14ac:dyDescent="0.15">
      <c r="Q255" s="74" t="str">
        <f t="shared" si="9"/>
        <v/>
      </c>
      <c r="T255" s="16" t="str">
        <f t="shared" si="10"/>
        <v/>
      </c>
      <c r="V255" s="16" t="str">
        <f t="shared" si="11"/>
        <v/>
      </c>
    </row>
    <row r="256" spans="17:22" x14ac:dyDescent="0.15">
      <c r="Q256" s="74" t="str">
        <f t="shared" si="9"/>
        <v/>
      </c>
      <c r="T256" s="16" t="str">
        <f t="shared" si="10"/>
        <v/>
      </c>
      <c r="V256" s="16" t="str">
        <f t="shared" si="11"/>
        <v/>
      </c>
    </row>
    <row r="257" spans="17:22" x14ac:dyDescent="0.15">
      <c r="Q257" s="74" t="str">
        <f t="shared" si="9"/>
        <v/>
      </c>
      <c r="T257" s="16" t="str">
        <f t="shared" si="10"/>
        <v/>
      </c>
      <c r="V257" s="16" t="str">
        <f t="shared" si="11"/>
        <v/>
      </c>
    </row>
    <row r="258" spans="17:22" x14ac:dyDescent="0.15">
      <c r="Q258" s="74" t="str">
        <f t="shared" ref="Q258:Q321" si="12">IF(OR(O258="",P258=""),"",AVERAGE(O258,P258))</f>
        <v/>
      </c>
      <c r="T258" s="16" t="str">
        <f t="shared" ref="T258:T321" si="13">IF(H258="","",IF(OR(H258="GREEN",H258="GK"),IF(S258&gt;=$AX$2,VLOOKUP(S258,$AX$2:$AY$10,2,1),""),IF(S258&gt;=$AZ$2,VLOOKUP(S258,$AZ$2:$BA$10,2,1),"")))</f>
        <v/>
      </c>
      <c r="V258" s="16" t="str">
        <f t="shared" ref="V258:V321" si="14">IF(OR(N258="",U258="",T258=""),"",U258/N258*T258)</f>
        <v/>
      </c>
    </row>
    <row r="259" spans="17:22" x14ac:dyDescent="0.15">
      <c r="Q259" s="74" t="str">
        <f t="shared" si="12"/>
        <v/>
      </c>
      <c r="T259" s="16" t="str">
        <f t="shared" si="13"/>
        <v/>
      </c>
      <c r="V259" s="16" t="str">
        <f t="shared" si="14"/>
        <v/>
      </c>
    </row>
    <row r="260" spans="17:22" x14ac:dyDescent="0.15">
      <c r="Q260" s="74" t="str">
        <f t="shared" si="12"/>
        <v/>
      </c>
      <c r="T260" s="16" t="str">
        <f t="shared" si="13"/>
        <v/>
      </c>
      <c r="V260" s="16" t="str">
        <f t="shared" si="14"/>
        <v/>
      </c>
    </row>
    <row r="261" spans="17:22" x14ac:dyDescent="0.15">
      <c r="Q261" s="74" t="str">
        <f t="shared" si="12"/>
        <v/>
      </c>
      <c r="T261" s="16" t="str">
        <f t="shared" si="13"/>
        <v/>
      </c>
      <c r="V261" s="16" t="str">
        <f t="shared" si="14"/>
        <v/>
      </c>
    </row>
    <row r="262" spans="17:22" x14ac:dyDescent="0.15">
      <c r="Q262" s="74" t="str">
        <f t="shared" si="12"/>
        <v/>
      </c>
      <c r="T262" s="16" t="str">
        <f t="shared" si="13"/>
        <v/>
      </c>
      <c r="V262" s="16" t="str">
        <f t="shared" si="14"/>
        <v/>
      </c>
    </row>
    <row r="263" spans="17:22" x14ac:dyDescent="0.15">
      <c r="Q263" s="74" t="str">
        <f t="shared" si="12"/>
        <v/>
      </c>
      <c r="T263" s="16" t="str">
        <f t="shared" si="13"/>
        <v/>
      </c>
      <c r="V263" s="16" t="str">
        <f t="shared" si="14"/>
        <v/>
      </c>
    </row>
    <row r="264" spans="17:22" x14ac:dyDescent="0.15">
      <c r="Q264" s="74" t="str">
        <f t="shared" si="12"/>
        <v/>
      </c>
      <c r="T264" s="16" t="str">
        <f t="shared" si="13"/>
        <v/>
      </c>
      <c r="V264" s="16" t="str">
        <f t="shared" si="14"/>
        <v/>
      </c>
    </row>
    <row r="265" spans="17:22" x14ac:dyDescent="0.15">
      <c r="Q265" s="74" t="str">
        <f t="shared" si="12"/>
        <v/>
      </c>
      <c r="T265" s="16" t="str">
        <f t="shared" si="13"/>
        <v/>
      </c>
      <c r="V265" s="16" t="str">
        <f t="shared" si="14"/>
        <v/>
      </c>
    </row>
    <row r="266" spans="17:22" x14ac:dyDescent="0.15">
      <c r="Q266" s="74" t="str">
        <f t="shared" si="12"/>
        <v/>
      </c>
      <c r="T266" s="16" t="str">
        <f t="shared" si="13"/>
        <v/>
      </c>
      <c r="V266" s="16" t="str">
        <f t="shared" si="14"/>
        <v/>
      </c>
    </row>
    <row r="267" spans="17:22" x14ac:dyDescent="0.15">
      <c r="Q267" s="74" t="str">
        <f t="shared" si="12"/>
        <v/>
      </c>
      <c r="T267" s="16" t="str">
        <f t="shared" si="13"/>
        <v/>
      </c>
      <c r="V267" s="16" t="str">
        <f t="shared" si="14"/>
        <v/>
      </c>
    </row>
    <row r="268" spans="17:22" x14ac:dyDescent="0.15">
      <c r="Q268" s="74" t="str">
        <f t="shared" si="12"/>
        <v/>
      </c>
      <c r="T268" s="16" t="str">
        <f t="shared" si="13"/>
        <v/>
      </c>
      <c r="V268" s="16" t="str">
        <f t="shared" si="14"/>
        <v/>
      </c>
    </row>
    <row r="269" spans="17:22" x14ac:dyDescent="0.15">
      <c r="Q269" s="74" t="str">
        <f t="shared" si="12"/>
        <v/>
      </c>
      <c r="T269" s="16" t="str">
        <f t="shared" si="13"/>
        <v/>
      </c>
      <c r="V269" s="16" t="str">
        <f t="shared" si="14"/>
        <v/>
      </c>
    </row>
    <row r="270" spans="17:22" x14ac:dyDescent="0.15">
      <c r="Q270" s="74" t="str">
        <f t="shared" si="12"/>
        <v/>
      </c>
      <c r="T270" s="16" t="str">
        <f t="shared" si="13"/>
        <v/>
      </c>
      <c r="V270" s="16" t="str">
        <f t="shared" si="14"/>
        <v/>
      </c>
    </row>
    <row r="271" spans="17:22" x14ac:dyDescent="0.15">
      <c r="Q271" s="74" t="str">
        <f t="shared" si="12"/>
        <v/>
      </c>
      <c r="T271" s="16" t="str">
        <f t="shared" si="13"/>
        <v/>
      </c>
      <c r="V271" s="16" t="str">
        <f t="shared" si="14"/>
        <v/>
      </c>
    </row>
    <row r="272" spans="17:22" x14ac:dyDescent="0.15">
      <c r="Q272" s="74" t="str">
        <f t="shared" si="12"/>
        <v/>
      </c>
      <c r="T272" s="16" t="str">
        <f t="shared" si="13"/>
        <v/>
      </c>
      <c r="V272" s="16" t="str">
        <f t="shared" si="14"/>
        <v/>
      </c>
    </row>
    <row r="273" spans="17:22" x14ac:dyDescent="0.15">
      <c r="Q273" s="74" t="str">
        <f t="shared" si="12"/>
        <v/>
      </c>
      <c r="T273" s="16" t="str">
        <f t="shared" si="13"/>
        <v/>
      </c>
      <c r="V273" s="16" t="str">
        <f t="shared" si="14"/>
        <v/>
      </c>
    </row>
    <row r="274" spans="17:22" x14ac:dyDescent="0.15">
      <c r="Q274" s="74" t="str">
        <f t="shared" si="12"/>
        <v/>
      </c>
      <c r="T274" s="16" t="str">
        <f t="shared" si="13"/>
        <v/>
      </c>
      <c r="V274" s="16" t="str">
        <f t="shared" si="14"/>
        <v/>
      </c>
    </row>
    <row r="275" spans="17:22" x14ac:dyDescent="0.15">
      <c r="Q275" s="74" t="str">
        <f t="shared" si="12"/>
        <v/>
      </c>
      <c r="T275" s="16" t="str">
        <f t="shared" si="13"/>
        <v/>
      </c>
      <c r="V275" s="16" t="str">
        <f t="shared" si="14"/>
        <v/>
      </c>
    </row>
    <row r="276" spans="17:22" x14ac:dyDescent="0.15">
      <c r="Q276" s="74" t="str">
        <f t="shared" si="12"/>
        <v/>
      </c>
      <c r="T276" s="16" t="str">
        <f t="shared" si="13"/>
        <v/>
      </c>
      <c r="V276" s="16" t="str">
        <f t="shared" si="14"/>
        <v/>
      </c>
    </row>
    <row r="277" spans="17:22" x14ac:dyDescent="0.15">
      <c r="Q277" s="74" t="str">
        <f t="shared" si="12"/>
        <v/>
      </c>
      <c r="T277" s="16" t="str">
        <f t="shared" si="13"/>
        <v/>
      </c>
      <c r="V277" s="16" t="str">
        <f t="shared" si="14"/>
        <v/>
      </c>
    </row>
    <row r="278" spans="17:22" x14ac:dyDescent="0.15">
      <c r="Q278" s="74" t="str">
        <f t="shared" si="12"/>
        <v/>
      </c>
      <c r="T278" s="16" t="str">
        <f t="shared" si="13"/>
        <v/>
      </c>
      <c r="V278" s="16" t="str">
        <f t="shared" si="14"/>
        <v/>
      </c>
    </row>
    <row r="279" spans="17:22" x14ac:dyDescent="0.15">
      <c r="Q279" s="74" t="str">
        <f t="shared" si="12"/>
        <v/>
      </c>
      <c r="T279" s="16" t="str">
        <f t="shared" si="13"/>
        <v/>
      </c>
      <c r="V279" s="16" t="str">
        <f t="shared" si="14"/>
        <v/>
      </c>
    </row>
    <row r="280" spans="17:22" x14ac:dyDescent="0.15">
      <c r="Q280" s="74" t="str">
        <f t="shared" si="12"/>
        <v/>
      </c>
      <c r="T280" s="16" t="str">
        <f t="shared" si="13"/>
        <v/>
      </c>
      <c r="V280" s="16" t="str">
        <f t="shared" si="14"/>
        <v/>
      </c>
    </row>
    <row r="281" spans="17:22" x14ac:dyDescent="0.15">
      <c r="Q281" s="74" t="str">
        <f t="shared" si="12"/>
        <v/>
      </c>
      <c r="T281" s="16" t="str">
        <f t="shared" si="13"/>
        <v/>
      </c>
      <c r="V281" s="16" t="str">
        <f t="shared" si="14"/>
        <v/>
      </c>
    </row>
    <row r="282" spans="17:22" x14ac:dyDescent="0.15">
      <c r="Q282" s="74" t="str">
        <f t="shared" si="12"/>
        <v/>
      </c>
      <c r="T282" s="16" t="str">
        <f t="shared" si="13"/>
        <v/>
      </c>
      <c r="V282" s="16" t="str">
        <f t="shared" si="14"/>
        <v/>
      </c>
    </row>
    <row r="283" spans="17:22" x14ac:dyDescent="0.15">
      <c r="Q283" s="74" t="str">
        <f t="shared" si="12"/>
        <v/>
      </c>
      <c r="T283" s="16" t="str">
        <f t="shared" si="13"/>
        <v/>
      </c>
      <c r="V283" s="16" t="str">
        <f t="shared" si="14"/>
        <v/>
      </c>
    </row>
    <row r="284" spans="17:22" x14ac:dyDescent="0.15">
      <c r="Q284" s="74" t="str">
        <f t="shared" si="12"/>
        <v/>
      </c>
      <c r="T284" s="16" t="str">
        <f t="shared" si="13"/>
        <v/>
      </c>
      <c r="V284" s="16" t="str">
        <f t="shared" si="14"/>
        <v/>
      </c>
    </row>
    <row r="285" spans="17:22" x14ac:dyDescent="0.15">
      <c r="Q285" s="74" t="str">
        <f t="shared" si="12"/>
        <v/>
      </c>
      <c r="T285" s="16" t="str">
        <f t="shared" si="13"/>
        <v/>
      </c>
      <c r="V285" s="16" t="str">
        <f t="shared" si="14"/>
        <v/>
      </c>
    </row>
    <row r="286" spans="17:22" x14ac:dyDescent="0.15">
      <c r="Q286" s="74" t="str">
        <f t="shared" si="12"/>
        <v/>
      </c>
      <c r="T286" s="16" t="str">
        <f t="shared" si="13"/>
        <v/>
      </c>
      <c r="V286" s="16" t="str">
        <f t="shared" si="14"/>
        <v/>
      </c>
    </row>
    <row r="287" spans="17:22" x14ac:dyDescent="0.15">
      <c r="Q287" s="74" t="str">
        <f t="shared" si="12"/>
        <v/>
      </c>
      <c r="T287" s="16" t="str">
        <f t="shared" si="13"/>
        <v/>
      </c>
      <c r="V287" s="16" t="str">
        <f t="shared" si="14"/>
        <v/>
      </c>
    </row>
    <row r="288" spans="17:22" x14ac:dyDescent="0.15">
      <c r="Q288" s="74" t="str">
        <f t="shared" si="12"/>
        <v/>
      </c>
      <c r="T288" s="16" t="str">
        <f t="shared" si="13"/>
        <v/>
      </c>
      <c r="V288" s="16" t="str">
        <f t="shared" si="14"/>
        <v/>
      </c>
    </row>
    <row r="289" spans="17:22" x14ac:dyDescent="0.15">
      <c r="Q289" s="74" t="str">
        <f t="shared" si="12"/>
        <v/>
      </c>
      <c r="T289" s="16" t="str">
        <f t="shared" si="13"/>
        <v/>
      </c>
      <c r="V289" s="16" t="str">
        <f t="shared" si="14"/>
        <v/>
      </c>
    </row>
    <row r="290" spans="17:22" x14ac:dyDescent="0.15">
      <c r="Q290" s="74" t="str">
        <f t="shared" si="12"/>
        <v/>
      </c>
      <c r="T290" s="16" t="str">
        <f t="shared" si="13"/>
        <v/>
      </c>
      <c r="V290" s="16" t="str">
        <f t="shared" si="14"/>
        <v/>
      </c>
    </row>
    <row r="291" spans="17:22" x14ac:dyDescent="0.15">
      <c r="Q291" s="74" t="str">
        <f t="shared" si="12"/>
        <v/>
      </c>
      <c r="T291" s="16" t="str">
        <f t="shared" si="13"/>
        <v/>
      </c>
      <c r="V291" s="16" t="str">
        <f t="shared" si="14"/>
        <v/>
      </c>
    </row>
    <row r="292" spans="17:22" x14ac:dyDescent="0.15">
      <c r="Q292" s="74" t="str">
        <f t="shared" si="12"/>
        <v/>
      </c>
      <c r="T292" s="16" t="str">
        <f t="shared" si="13"/>
        <v/>
      </c>
      <c r="V292" s="16" t="str">
        <f t="shared" si="14"/>
        <v/>
      </c>
    </row>
    <row r="293" spans="17:22" x14ac:dyDescent="0.15">
      <c r="Q293" s="74" t="str">
        <f t="shared" si="12"/>
        <v/>
      </c>
      <c r="T293" s="16" t="str">
        <f t="shared" si="13"/>
        <v/>
      </c>
      <c r="V293" s="16" t="str">
        <f t="shared" si="14"/>
        <v/>
      </c>
    </row>
    <row r="294" spans="17:22" x14ac:dyDescent="0.15">
      <c r="Q294" s="74" t="str">
        <f t="shared" si="12"/>
        <v/>
      </c>
      <c r="T294" s="16" t="str">
        <f t="shared" si="13"/>
        <v/>
      </c>
      <c r="V294" s="16" t="str">
        <f t="shared" si="14"/>
        <v/>
      </c>
    </row>
    <row r="295" spans="17:22" x14ac:dyDescent="0.15">
      <c r="Q295" s="74" t="str">
        <f t="shared" si="12"/>
        <v/>
      </c>
      <c r="T295" s="16" t="str">
        <f t="shared" si="13"/>
        <v/>
      </c>
      <c r="V295" s="16" t="str">
        <f t="shared" si="14"/>
        <v/>
      </c>
    </row>
    <row r="296" spans="17:22" x14ac:dyDescent="0.15">
      <c r="Q296" s="74" t="str">
        <f t="shared" si="12"/>
        <v/>
      </c>
      <c r="T296" s="16" t="str">
        <f t="shared" si="13"/>
        <v/>
      </c>
      <c r="V296" s="16" t="str">
        <f t="shared" si="14"/>
        <v/>
      </c>
    </row>
    <row r="297" spans="17:22" x14ac:dyDescent="0.15">
      <c r="Q297" s="74" t="str">
        <f t="shared" si="12"/>
        <v/>
      </c>
      <c r="T297" s="16" t="str">
        <f t="shared" si="13"/>
        <v/>
      </c>
      <c r="V297" s="16" t="str">
        <f t="shared" si="14"/>
        <v/>
      </c>
    </row>
    <row r="298" spans="17:22" x14ac:dyDescent="0.15">
      <c r="Q298" s="74" t="str">
        <f t="shared" si="12"/>
        <v/>
      </c>
      <c r="T298" s="16" t="str">
        <f t="shared" si="13"/>
        <v/>
      </c>
      <c r="V298" s="16" t="str">
        <f t="shared" si="14"/>
        <v/>
      </c>
    </row>
    <row r="299" spans="17:22" x14ac:dyDescent="0.15">
      <c r="Q299" s="74" t="str">
        <f t="shared" si="12"/>
        <v/>
      </c>
      <c r="T299" s="16" t="str">
        <f t="shared" si="13"/>
        <v/>
      </c>
      <c r="V299" s="16" t="str">
        <f t="shared" si="14"/>
        <v/>
      </c>
    </row>
    <row r="300" spans="17:22" x14ac:dyDescent="0.15">
      <c r="Q300" s="74" t="str">
        <f t="shared" si="12"/>
        <v/>
      </c>
      <c r="T300" s="16" t="str">
        <f t="shared" si="13"/>
        <v/>
      </c>
      <c r="V300" s="16" t="str">
        <f t="shared" si="14"/>
        <v/>
      </c>
    </row>
    <row r="301" spans="17:22" x14ac:dyDescent="0.15">
      <c r="Q301" s="74" t="str">
        <f t="shared" si="12"/>
        <v/>
      </c>
      <c r="T301" s="16" t="str">
        <f t="shared" si="13"/>
        <v/>
      </c>
      <c r="V301" s="16" t="str">
        <f t="shared" si="14"/>
        <v/>
      </c>
    </row>
    <row r="302" spans="17:22" x14ac:dyDescent="0.15">
      <c r="Q302" s="74" t="str">
        <f t="shared" si="12"/>
        <v/>
      </c>
      <c r="T302" s="16" t="str">
        <f t="shared" si="13"/>
        <v/>
      </c>
      <c r="V302" s="16" t="str">
        <f t="shared" si="14"/>
        <v/>
      </c>
    </row>
    <row r="303" spans="17:22" x14ac:dyDescent="0.15">
      <c r="Q303" s="74" t="str">
        <f t="shared" si="12"/>
        <v/>
      </c>
      <c r="T303" s="16" t="str">
        <f t="shared" si="13"/>
        <v/>
      </c>
      <c r="V303" s="16" t="str">
        <f t="shared" si="14"/>
        <v/>
      </c>
    </row>
    <row r="304" spans="17:22" x14ac:dyDescent="0.15">
      <c r="Q304" s="74" t="str">
        <f t="shared" si="12"/>
        <v/>
      </c>
      <c r="T304" s="16" t="str">
        <f t="shared" si="13"/>
        <v/>
      </c>
      <c r="V304" s="16" t="str">
        <f t="shared" si="14"/>
        <v/>
      </c>
    </row>
    <row r="305" spans="17:22" x14ac:dyDescent="0.15">
      <c r="Q305" s="74" t="str">
        <f t="shared" si="12"/>
        <v/>
      </c>
      <c r="T305" s="16" t="str">
        <f t="shared" si="13"/>
        <v/>
      </c>
      <c r="V305" s="16" t="str">
        <f t="shared" si="14"/>
        <v/>
      </c>
    </row>
    <row r="306" spans="17:22" x14ac:dyDescent="0.15">
      <c r="Q306" s="74" t="str">
        <f t="shared" si="12"/>
        <v/>
      </c>
      <c r="T306" s="16" t="str">
        <f t="shared" si="13"/>
        <v/>
      </c>
      <c r="V306" s="16" t="str">
        <f t="shared" si="14"/>
        <v/>
      </c>
    </row>
    <row r="307" spans="17:22" x14ac:dyDescent="0.15">
      <c r="Q307" s="74" t="str">
        <f t="shared" si="12"/>
        <v/>
      </c>
      <c r="T307" s="16" t="str">
        <f t="shared" si="13"/>
        <v/>
      </c>
      <c r="V307" s="16" t="str">
        <f t="shared" si="14"/>
        <v/>
      </c>
    </row>
    <row r="308" spans="17:22" x14ac:dyDescent="0.15">
      <c r="Q308" s="74" t="str">
        <f t="shared" si="12"/>
        <v/>
      </c>
      <c r="T308" s="16" t="str">
        <f t="shared" si="13"/>
        <v/>
      </c>
      <c r="V308" s="16" t="str">
        <f t="shared" si="14"/>
        <v/>
      </c>
    </row>
    <row r="309" spans="17:22" x14ac:dyDescent="0.15">
      <c r="Q309" s="74" t="str">
        <f t="shared" si="12"/>
        <v/>
      </c>
      <c r="T309" s="16" t="str">
        <f t="shared" si="13"/>
        <v/>
      </c>
      <c r="V309" s="16" t="str">
        <f t="shared" si="14"/>
        <v/>
      </c>
    </row>
    <row r="310" spans="17:22" x14ac:dyDescent="0.15">
      <c r="Q310" s="74" t="str">
        <f t="shared" si="12"/>
        <v/>
      </c>
      <c r="T310" s="16" t="str">
        <f t="shared" si="13"/>
        <v/>
      </c>
      <c r="V310" s="16" t="str">
        <f t="shared" si="14"/>
        <v/>
      </c>
    </row>
    <row r="311" spans="17:22" x14ac:dyDescent="0.15">
      <c r="Q311" s="74" t="str">
        <f t="shared" si="12"/>
        <v/>
      </c>
      <c r="T311" s="16" t="str">
        <f t="shared" si="13"/>
        <v/>
      </c>
      <c r="V311" s="16" t="str">
        <f t="shared" si="14"/>
        <v/>
      </c>
    </row>
    <row r="312" spans="17:22" x14ac:dyDescent="0.15">
      <c r="Q312" s="74" t="str">
        <f t="shared" si="12"/>
        <v/>
      </c>
      <c r="T312" s="16" t="str">
        <f t="shared" si="13"/>
        <v/>
      </c>
      <c r="V312" s="16" t="str">
        <f t="shared" si="14"/>
        <v/>
      </c>
    </row>
    <row r="313" spans="17:22" x14ac:dyDescent="0.15">
      <c r="Q313" s="74" t="str">
        <f t="shared" si="12"/>
        <v/>
      </c>
      <c r="T313" s="16" t="str">
        <f t="shared" si="13"/>
        <v/>
      </c>
      <c r="V313" s="16" t="str">
        <f t="shared" si="14"/>
        <v/>
      </c>
    </row>
    <row r="314" spans="17:22" x14ac:dyDescent="0.15">
      <c r="Q314" s="74" t="str">
        <f t="shared" si="12"/>
        <v/>
      </c>
      <c r="T314" s="16" t="str">
        <f t="shared" si="13"/>
        <v/>
      </c>
      <c r="V314" s="16" t="str">
        <f t="shared" si="14"/>
        <v/>
      </c>
    </row>
    <row r="315" spans="17:22" x14ac:dyDescent="0.15">
      <c r="Q315" s="74" t="str">
        <f t="shared" si="12"/>
        <v/>
      </c>
      <c r="T315" s="16" t="str">
        <f t="shared" si="13"/>
        <v/>
      </c>
      <c r="V315" s="16" t="str">
        <f t="shared" si="14"/>
        <v/>
      </c>
    </row>
    <row r="316" spans="17:22" x14ac:dyDescent="0.15">
      <c r="Q316" s="74" t="str">
        <f t="shared" si="12"/>
        <v/>
      </c>
      <c r="T316" s="16" t="str">
        <f t="shared" si="13"/>
        <v/>
      </c>
      <c r="V316" s="16" t="str">
        <f t="shared" si="14"/>
        <v/>
      </c>
    </row>
    <row r="317" spans="17:22" x14ac:dyDescent="0.15">
      <c r="Q317" s="74" t="str">
        <f t="shared" si="12"/>
        <v/>
      </c>
      <c r="T317" s="16" t="str">
        <f t="shared" si="13"/>
        <v/>
      </c>
      <c r="V317" s="16" t="str">
        <f t="shared" si="14"/>
        <v/>
      </c>
    </row>
    <row r="318" spans="17:22" x14ac:dyDescent="0.15">
      <c r="Q318" s="74" t="str">
        <f t="shared" si="12"/>
        <v/>
      </c>
      <c r="T318" s="16" t="str">
        <f t="shared" si="13"/>
        <v/>
      </c>
      <c r="V318" s="16" t="str">
        <f t="shared" si="14"/>
        <v/>
      </c>
    </row>
    <row r="319" spans="17:22" x14ac:dyDescent="0.15">
      <c r="Q319" s="74" t="str">
        <f t="shared" si="12"/>
        <v/>
      </c>
      <c r="T319" s="16" t="str">
        <f t="shared" si="13"/>
        <v/>
      </c>
      <c r="V319" s="16" t="str">
        <f t="shared" si="14"/>
        <v/>
      </c>
    </row>
    <row r="320" spans="17:22" x14ac:dyDescent="0.15">
      <c r="Q320" s="74" t="str">
        <f t="shared" si="12"/>
        <v/>
      </c>
      <c r="T320" s="16" t="str">
        <f t="shared" si="13"/>
        <v/>
      </c>
      <c r="V320" s="16" t="str">
        <f t="shared" si="14"/>
        <v/>
      </c>
    </row>
    <row r="321" spans="17:22" x14ac:dyDescent="0.15">
      <c r="Q321" s="74" t="str">
        <f t="shared" si="12"/>
        <v/>
      </c>
      <c r="T321" s="16" t="str">
        <f t="shared" si="13"/>
        <v/>
      </c>
      <c r="V321" s="16" t="str">
        <f t="shared" si="14"/>
        <v/>
      </c>
    </row>
    <row r="322" spans="17:22" x14ac:dyDescent="0.15">
      <c r="Q322" s="74" t="str">
        <f t="shared" ref="Q322:Q385" si="15">IF(OR(O322="",P322=""),"",AVERAGE(O322,P322))</f>
        <v/>
      </c>
      <c r="T322" s="16" t="str">
        <f t="shared" ref="T322:T385" si="16">IF(H322="","",IF(OR(H322="GREEN",H322="GK"),IF(S322&gt;=$AX$2,VLOOKUP(S322,$AX$2:$AY$10,2,1),""),IF(S322&gt;=$AZ$2,VLOOKUP(S322,$AZ$2:$BA$10,2,1),"")))</f>
        <v/>
      </c>
      <c r="V322" s="16" t="str">
        <f t="shared" ref="V322:V385" si="17">IF(OR(N322="",U322="",T322=""),"",U322/N322*T322)</f>
        <v/>
      </c>
    </row>
    <row r="323" spans="17:22" x14ac:dyDescent="0.15">
      <c r="Q323" s="74" t="str">
        <f t="shared" si="15"/>
        <v/>
      </c>
      <c r="T323" s="16" t="str">
        <f t="shared" si="16"/>
        <v/>
      </c>
      <c r="V323" s="16" t="str">
        <f t="shared" si="17"/>
        <v/>
      </c>
    </row>
    <row r="324" spans="17:22" x14ac:dyDescent="0.15">
      <c r="Q324" s="74" t="str">
        <f t="shared" si="15"/>
        <v/>
      </c>
      <c r="T324" s="16" t="str">
        <f t="shared" si="16"/>
        <v/>
      </c>
      <c r="V324" s="16" t="str">
        <f t="shared" si="17"/>
        <v/>
      </c>
    </row>
    <row r="325" spans="17:22" x14ac:dyDescent="0.15">
      <c r="Q325" s="74" t="str">
        <f t="shared" si="15"/>
        <v/>
      </c>
      <c r="T325" s="16" t="str">
        <f t="shared" si="16"/>
        <v/>
      </c>
      <c r="V325" s="16" t="str">
        <f t="shared" si="17"/>
        <v/>
      </c>
    </row>
    <row r="326" spans="17:22" x14ac:dyDescent="0.15">
      <c r="Q326" s="74" t="str">
        <f t="shared" si="15"/>
        <v/>
      </c>
      <c r="T326" s="16" t="str">
        <f t="shared" si="16"/>
        <v/>
      </c>
      <c r="V326" s="16" t="str">
        <f t="shared" si="17"/>
        <v/>
      </c>
    </row>
    <row r="327" spans="17:22" x14ac:dyDescent="0.15">
      <c r="Q327" s="74" t="str">
        <f t="shared" si="15"/>
        <v/>
      </c>
      <c r="T327" s="16" t="str">
        <f t="shared" si="16"/>
        <v/>
      </c>
      <c r="V327" s="16" t="str">
        <f t="shared" si="17"/>
        <v/>
      </c>
    </row>
    <row r="328" spans="17:22" x14ac:dyDescent="0.15">
      <c r="Q328" s="74" t="str">
        <f t="shared" si="15"/>
        <v/>
      </c>
      <c r="T328" s="16" t="str">
        <f t="shared" si="16"/>
        <v/>
      </c>
      <c r="V328" s="16" t="str">
        <f t="shared" si="17"/>
        <v/>
      </c>
    </row>
    <row r="329" spans="17:22" x14ac:dyDescent="0.15">
      <c r="Q329" s="74" t="str">
        <f t="shared" si="15"/>
        <v/>
      </c>
      <c r="T329" s="16" t="str">
        <f t="shared" si="16"/>
        <v/>
      </c>
      <c r="V329" s="16" t="str">
        <f t="shared" si="17"/>
        <v/>
      </c>
    </row>
    <row r="330" spans="17:22" x14ac:dyDescent="0.15">
      <c r="Q330" s="74" t="str">
        <f t="shared" si="15"/>
        <v/>
      </c>
      <c r="T330" s="16" t="str">
        <f t="shared" si="16"/>
        <v/>
      </c>
      <c r="V330" s="16" t="str">
        <f t="shared" si="17"/>
        <v/>
      </c>
    </row>
    <row r="331" spans="17:22" x14ac:dyDescent="0.15">
      <c r="Q331" s="74" t="str">
        <f t="shared" si="15"/>
        <v/>
      </c>
      <c r="T331" s="16" t="str">
        <f t="shared" si="16"/>
        <v/>
      </c>
      <c r="V331" s="16" t="str">
        <f t="shared" si="17"/>
        <v/>
      </c>
    </row>
    <row r="332" spans="17:22" x14ac:dyDescent="0.15">
      <c r="Q332" s="74" t="str">
        <f t="shared" si="15"/>
        <v/>
      </c>
      <c r="T332" s="16" t="str">
        <f t="shared" si="16"/>
        <v/>
      </c>
      <c r="V332" s="16" t="str">
        <f t="shared" si="17"/>
        <v/>
      </c>
    </row>
    <row r="333" spans="17:22" x14ac:dyDescent="0.15">
      <c r="Q333" s="74" t="str">
        <f t="shared" si="15"/>
        <v/>
      </c>
      <c r="T333" s="16" t="str">
        <f t="shared" si="16"/>
        <v/>
      </c>
      <c r="V333" s="16" t="str">
        <f t="shared" si="17"/>
        <v/>
      </c>
    </row>
    <row r="334" spans="17:22" x14ac:dyDescent="0.15">
      <c r="Q334" s="74" t="str">
        <f t="shared" si="15"/>
        <v/>
      </c>
      <c r="T334" s="16" t="str">
        <f t="shared" si="16"/>
        <v/>
      </c>
      <c r="V334" s="16" t="str">
        <f t="shared" si="17"/>
        <v/>
      </c>
    </row>
    <row r="335" spans="17:22" x14ac:dyDescent="0.15">
      <c r="Q335" s="74" t="str">
        <f t="shared" si="15"/>
        <v/>
      </c>
      <c r="T335" s="16" t="str">
        <f t="shared" si="16"/>
        <v/>
      </c>
      <c r="V335" s="16" t="str">
        <f t="shared" si="17"/>
        <v/>
      </c>
    </row>
    <row r="336" spans="17:22" x14ac:dyDescent="0.15">
      <c r="Q336" s="74" t="str">
        <f t="shared" si="15"/>
        <v/>
      </c>
      <c r="T336" s="16" t="str">
        <f t="shared" si="16"/>
        <v/>
      </c>
      <c r="V336" s="16" t="str">
        <f t="shared" si="17"/>
        <v/>
      </c>
    </row>
    <row r="337" spans="17:22" x14ac:dyDescent="0.15">
      <c r="Q337" s="74" t="str">
        <f t="shared" si="15"/>
        <v/>
      </c>
      <c r="T337" s="16" t="str">
        <f t="shared" si="16"/>
        <v/>
      </c>
      <c r="V337" s="16" t="str">
        <f t="shared" si="17"/>
        <v/>
      </c>
    </row>
    <row r="338" spans="17:22" x14ac:dyDescent="0.15">
      <c r="Q338" s="74" t="str">
        <f t="shared" si="15"/>
        <v/>
      </c>
      <c r="T338" s="16" t="str">
        <f t="shared" si="16"/>
        <v/>
      </c>
      <c r="V338" s="16" t="str">
        <f t="shared" si="17"/>
        <v/>
      </c>
    </row>
    <row r="339" spans="17:22" x14ac:dyDescent="0.15">
      <c r="Q339" s="74" t="str">
        <f t="shared" si="15"/>
        <v/>
      </c>
      <c r="T339" s="16" t="str">
        <f t="shared" si="16"/>
        <v/>
      </c>
      <c r="V339" s="16" t="str">
        <f t="shared" si="17"/>
        <v/>
      </c>
    </row>
    <row r="340" spans="17:22" x14ac:dyDescent="0.15">
      <c r="Q340" s="74" t="str">
        <f t="shared" si="15"/>
        <v/>
      </c>
      <c r="T340" s="16" t="str">
        <f t="shared" si="16"/>
        <v/>
      </c>
      <c r="V340" s="16" t="str">
        <f t="shared" si="17"/>
        <v/>
      </c>
    </row>
    <row r="341" spans="17:22" x14ac:dyDescent="0.15">
      <c r="Q341" s="74" t="str">
        <f t="shared" si="15"/>
        <v/>
      </c>
      <c r="T341" s="16" t="str">
        <f t="shared" si="16"/>
        <v/>
      </c>
      <c r="V341" s="16" t="str">
        <f t="shared" si="17"/>
        <v/>
      </c>
    </row>
    <row r="342" spans="17:22" x14ac:dyDescent="0.15">
      <c r="Q342" s="74" t="str">
        <f t="shared" si="15"/>
        <v/>
      </c>
      <c r="T342" s="16" t="str">
        <f t="shared" si="16"/>
        <v/>
      </c>
      <c r="V342" s="16" t="str">
        <f t="shared" si="17"/>
        <v/>
      </c>
    </row>
    <row r="343" spans="17:22" x14ac:dyDescent="0.15">
      <c r="Q343" s="74" t="str">
        <f t="shared" si="15"/>
        <v/>
      </c>
      <c r="T343" s="16" t="str">
        <f t="shared" si="16"/>
        <v/>
      </c>
      <c r="V343" s="16" t="str">
        <f t="shared" si="17"/>
        <v/>
      </c>
    </row>
    <row r="344" spans="17:22" x14ac:dyDescent="0.15">
      <c r="Q344" s="74" t="str">
        <f t="shared" si="15"/>
        <v/>
      </c>
      <c r="T344" s="16" t="str">
        <f t="shared" si="16"/>
        <v/>
      </c>
      <c r="V344" s="16" t="str">
        <f t="shared" si="17"/>
        <v/>
      </c>
    </row>
    <row r="345" spans="17:22" x14ac:dyDescent="0.15">
      <c r="Q345" s="74" t="str">
        <f t="shared" si="15"/>
        <v/>
      </c>
      <c r="T345" s="16" t="str">
        <f t="shared" si="16"/>
        <v/>
      </c>
      <c r="V345" s="16" t="str">
        <f t="shared" si="17"/>
        <v/>
      </c>
    </row>
    <row r="346" spans="17:22" x14ac:dyDescent="0.15">
      <c r="Q346" s="74" t="str">
        <f t="shared" si="15"/>
        <v/>
      </c>
      <c r="T346" s="16" t="str">
        <f t="shared" si="16"/>
        <v/>
      </c>
      <c r="V346" s="16" t="str">
        <f t="shared" si="17"/>
        <v/>
      </c>
    </row>
    <row r="347" spans="17:22" x14ac:dyDescent="0.15">
      <c r="Q347" s="74" t="str">
        <f t="shared" si="15"/>
        <v/>
      </c>
      <c r="T347" s="16" t="str">
        <f t="shared" si="16"/>
        <v/>
      </c>
      <c r="V347" s="16" t="str">
        <f t="shared" si="17"/>
        <v/>
      </c>
    </row>
    <row r="348" spans="17:22" x14ac:dyDescent="0.15">
      <c r="Q348" s="74" t="str">
        <f t="shared" si="15"/>
        <v/>
      </c>
      <c r="T348" s="16" t="str">
        <f t="shared" si="16"/>
        <v/>
      </c>
      <c r="V348" s="16" t="str">
        <f t="shared" si="17"/>
        <v/>
      </c>
    </row>
    <row r="349" spans="17:22" x14ac:dyDescent="0.15">
      <c r="Q349" s="74" t="str">
        <f t="shared" si="15"/>
        <v/>
      </c>
      <c r="T349" s="16" t="str">
        <f t="shared" si="16"/>
        <v/>
      </c>
      <c r="V349" s="16" t="str">
        <f t="shared" si="17"/>
        <v/>
      </c>
    </row>
    <row r="350" spans="17:22" x14ac:dyDescent="0.15">
      <c r="Q350" s="74" t="str">
        <f t="shared" si="15"/>
        <v/>
      </c>
      <c r="T350" s="16" t="str">
        <f t="shared" si="16"/>
        <v/>
      </c>
      <c r="V350" s="16" t="str">
        <f t="shared" si="17"/>
        <v/>
      </c>
    </row>
    <row r="351" spans="17:22" x14ac:dyDescent="0.15">
      <c r="Q351" s="74" t="str">
        <f t="shared" si="15"/>
        <v/>
      </c>
      <c r="T351" s="16" t="str">
        <f t="shared" si="16"/>
        <v/>
      </c>
      <c r="V351" s="16" t="str">
        <f t="shared" si="17"/>
        <v/>
      </c>
    </row>
    <row r="352" spans="17:22" x14ac:dyDescent="0.15">
      <c r="Q352" s="74" t="str">
        <f t="shared" si="15"/>
        <v/>
      </c>
      <c r="T352" s="16" t="str">
        <f t="shared" si="16"/>
        <v/>
      </c>
      <c r="V352" s="16" t="str">
        <f t="shared" si="17"/>
        <v/>
      </c>
    </row>
    <row r="353" spans="17:22" x14ac:dyDescent="0.15">
      <c r="Q353" s="74" t="str">
        <f t="shared" si="15"/>
        <v/>
      </c>
      <c r="T353" s="16" t="str">
        <f t="shared" si="16"/>
        <v/>
      </c>
      <c r="V353" s="16" t="str">
        <f t="shared" si="17"/>
        <v/>
      </c>
    </row>
    <row r="354" spans="17:22" x14ac:dyDescent="0.15">
      <c r="Q354" s="74" t="str">
        <f t="shared" si="15"/>
        <v/>
      </c>
      <c r="T354" s="16" t="str">
        <f t="shared" si="16"/>
        <v/>
      </c>
      <c r="V354" s="16" t="str">
        <f t="shared" si="17"/>
        <v/>
      </c>
    </row>
    <row r="355" spans="17:22" x14ac:dyDescent="0.15">
      <c r="Q355" s="74" t="str">
        <f t="shared" si="15"/>
        <v/>
      </c>
      <c r="T355" s="16" t="str">
        <f t="shared" si="16"/>
        <v/>
      </c>
      <c r="V355" s="16" t="str">
        <f t="shared" si="17"/>
        <v/>
      </c>
    </row>
    <row r="356" spans="17:22" x14ac:dyDescent="0.15">
      <c r="Q356" s="74" t="str">
        <f t="shared" si="15"/>
        <v/>
      </c>
      <c r="T356" s="16" t="str">
        <f t="shared" si="16"/>
        <v/>
      </c>
      <c r="V356" s="16" t="str">
        <f t="shared" si="17"/>
        <v/>
      </c>
    </row>
    <row r="357" spans="17:22" x14ac:dyDescent="0.15">
      <c r="Q357" s="74" t="str">
        <f t="shared" si="15"/>
        <v/>
      </c>
      <c r="T357" s="16" t="str">
        <f t="shared" si="16"/>
        <v/>
      </c>
      <c r="V357" s="16" t="str">
        <f t="shared" si="17"/>
        <v/>
      </c>
    </row>
    <row r="358" spans="17:22" x14ac:dyDescent="0.15">
      <c r="Q358" s="74" t="str">
        <f t="shared" si="15"/>
        <v/>
      </c>
      <c r="T358" s="16" t="str">
        <f t="shared" si="16"/>
        <v/>
      </c>
      <c r="V358" s="16" t="str">
        <f t="shared" si="17"/>
        <v/>
      </c>
    </row>
    <row r="359" spans="17:22" x14ac:dyDescent="0.15">
      <c r="Q359" s="74" t="str">
        <f t="shared" si="15"/>
        <v/>
      </c>
      <c r="T359" s="16" t="str">
        <f t="shared" si="16"/>
        <v/>
      </c>
      <c r="V359" s="16" t="str">
        <f t="shared" si="17"/>
        <v/>
      </c>
    </row>
    <row r="360" spans="17:22" x14ac:dyDescent="0.15">
      <c r="Q360" s="74" t="str">
        <f t="shared" si="15"/>
        <v/>
      </c>
      <c r="T360" s="16" t="str">
        <f t="shared" si="16"/>
        <v/>
      </c>
      <c r="V360" s="16" t="str">
        <f t="shared" si="17"/>
        <v/>
      </c>
    </row>
    <row r="361" spans="17:22" x14ac:dyDescent="0.15">
      <c r="Q361" s="74" t="str">
        <f t="shared" si="15"/>
        <v/>
      </c>
      <c r="T361" s="16" t="str">
        <f t="shared" si="16"/>
        <v/>
      </c>
      <c r="V361" s="16" t="str">
        <f t="shared" si="17"/>
        <v/>
      </c>
    </row>
    <row r="362" spans="17:22" x14ac:dyDescent="0.15">
      <c r="Q362" s="74" t="str">
        <f t="shared" si="15"/>
        <v/>
      </c>
      <c r="T362" s="16" t="str">
        <f t="shared" si="16"/>
        <v/>
      </c>
      <c r="V362" s="16" t="str">
        <f t="shared" si="17"/>
        <v/>
      </c>
    </row>
    <row r="363" spans="17:22" x14ac:dyDescent="0.15">
      <c r="Q363" s="74" t="str">
        <f t="shared" si="15"/>
        <v/>
      </c>
      <c r="T363" s="16" t="str">
        <f t="shared" si="16"/>
        <v/>
      </c>
      <c r="V363" s="16" t="str">
        <f t="shared" si="17"/>
        <v/>
      </c>
    </row>
    <row r="364" spans="17:22" x14ac:dyDescent="0.15">
      <c r="Q364" s="74" t="str">
        <f t="shared" si="15"/>
        <v/>
      </c>
      <c r="T364" s="16" t="str">
        <f t="shared" si="16"/>
        <v/>
      </c>
      <c r="V364" s="16" t="str">
        <f t="shared" si="17"/>
        <v/>
      </c>
    </row>
    <row r="365" spans="17:22" x14ac:dyDescent="0.15">
      <c r="Q365" s="74" t="str">
        <f t="shared" si="15"/>
        <v/>
      </c>
      <c r="T365" s="16" t="str">
        <f t="shared" si="16"/>
        <v/>
      </c>
      <c r="V365" s="16" t="str">
        <f t="shared" si="17"/>
        <v/>
      </c>
    </row>
    <row r="366" spans="17:22" x14ac:dyDescent="0.15">
      <c r="Q366" s="74" t="str">
        <f t="shared" si="15"/>
        <v/>
      </c>
      <c r="T366" s="16" t="str">
        <f t="shared" si="16"/>
        <v/>
      </c>
      <c r="V366" s="16" t="str">
        <f t="shared" si="17"/>
        <v/>
      </c>
    </row>
    <row r="367" spans="17:22" x14ac:dyDescent="0.15">
      <c r="Q367" s="74" t="str">
        <f t="shared" si="15"/>
        <v/>
      </c>
      <c r="T367" s="16" t="str">
        <f t="shared" si="16"/>
        <v/>
      </c>
      <c r="V367" s="16" t="str">
        <f t="shared" si="17"/>
        <v/>
      </c>
    </row>
    <row r="368" spans="17:22" x14ac:dyDescent="0.15">
      <c r="Q368" s="74" t="str">
        <f t="shared" si="15"/>
        <v/>
      </c>
      <c r="T368" s="16" t="str">
        <f t="shared" si="16"/>
        <v/>
      </c>
      <c r="V368" s="16" t="str">
        <f t="shared" si="17"/>
        <v/>
      </c>
    </row>
    <row r="369" spans="17:22" x14ac:dyDescent="0.15">
      <c r="Q369" s="74" t="str">
        <f t="shared" si="15"/>
        <v/>
      </c>
      <c r="T369" s="16" t="str">
        <f t="shared" si="16"/>
        <v/>
      </c>
      <c r="V369" s="16" t="str">
        <f t="shared" si="17"/>
        <v/>
      </c>
    </row>
    <row r="370" spans="17:22" x14ac:dyDescent="0.15">
      <c r="Q370" s="74" t="str">
        <f t="shared" si="15"/>
        <v/>
      </c>
      <c r="T370" s="16" t="str">
        <f t="shared" si="16"/>
        <v/>
      </c>
      <c r="V370" s="16" t="str">
        <f t="shared" si="17"/>
        <v/>
      </c>
    </row>
    <row r="371" spans="17:22" x14ac:dyDescent="0.15">
      <c r="Q371" s="74" t="str">
        <f t="shared" si="15"/>
        <v/>
      </c>
      <c r="T371" s="16" t="str">
        <f t="shared" si="16"/>
        <v/>
      </c>
      <c r="V371" s="16" t="str">
        <f t="shared" si="17"/>
        <v/>
      </c>
    </row>
    <row r="372" spans="17:22" x14ac:dyDescent="0.15">
      <c r="Q372" s="74" t="str">
        <f t="shared" si="15"/>
        <v/>
      </c>
      <c r="T372" s="16" t="str">
        <f t="shared" si="16"/>
        <v/>
      </c>
      <c r="V372" s="16" t="str">
        <f t="shared" si="17"/>
        <v/>
      </c>
    </row>
    <row r="373" spans="17:22" x14ac:dyDescent="0.15">
      <c r="Q373" s="74" t="str">
        <f t="shared" si="15"/>
        <v/>
      </c>
      <c r="T373" s="16" t="str">
        <f t="shared" si="16"/>
        <v/>
      </c>
      <c r="V373" s="16" t="str">
        <f t="shared" si="17"/>
        <v/>
      </c>
    </row>
    <row r="374" spans="17:22" x14ac:dyDescent="0.15">
      <c r="Q374" s="74" t="str">
        <f t="shared" si="15"/>
        <v/>
      </c>
      <c r="T374" s="16" t="str">
        <f t="shared" si="16"/>
        <v/>
      </c>
      <c r="V374" s="16" t="str">
        <f t="shared" si="17"/>
        <v/>
      </c>
    </row>
    <row r="375" spans="17:22" x14ac:dyDescent="0.15">
      <c r="Q375" s="74" t="str">
        <f t="shared" si="15"/>
        <v/>
      </c>
      <c r="T375" s="16" t="str">
        <f t="shared" si="16"/>
        <v/>
      </c>
      <c r="V375" s="16" t="str">
        <f t="shared" si="17"/>
        <v/>
      </c>
    </row>
    <row r="376" spans="17:22" x14ac:dyDescent="0.15">
      <c r="Q376" s="74" t="str">
        <f t="shared" si="15"/>
        <v/>
      </c>
      <c r="T376" s="16" t="str">
        <f t="shared" si="16"/>
        <v/>
      </c>
      <c r="V376" s="16" t="str">
        <f t="shared" si="17"/>
        <v/>
      </c>
    </row>
    <row r="377" spans="17:22" x14ac:dyDescent="0.15">
      <c r="Q377" s="74" t="str">
        <f t="shared" si="15"/>
        <v/>
      </c>
      <c r="T377" s="16" t="str">
        <f t="shared" si="16"/>
        <v/>
      </c>
      <c r="V377" s="16" t="str">
        <f t="shared" si="17"/>
        <v/>
      </c>
    </row>
    <row r="378" spans="17:22" x14ac:dyDescent="0.15">
      <c r="Q378" s="74" t="str">
        <f t="shared" si="15"/>
        <v/>
      </c>
      <c r="T378" s="16" t="str">
        <f t="shared" si="16"/>
        <v/>
      </c>
      <c r="V378" s="16" t="str">
        <f t="shared" si="17"/>
        <v/>
      </c>
    </row>
    <row r="379" spans="17:22" x14ac:dyDescent="0.15">
      <c r="Q379" s="74" t="str">
        <f t="shared" si="15"/>
        <v/>
      </c>
      <c r="T379" s="16" t="str">
        <f t="shared" si="16"/>
        <v/>
      </c>
      <c r="V379" s="16" t="str">
        <f t="shared" si="17"/>
        <v/>
      </c>
    </row>
    <row r="380" spans="17:22" x14ac:dyDescent="0.15">
      <c r="Q380" s="74" t="str">
        <f t="shared" si="15"/>
        <v/>
      </c>
      <c r="T380" s="16" t="str">
        <f t="shared" si="16"/>
        <v/>
      </c>
      <c r="V380" s="16" t="str">
        <f t="shared" si="17"/>
        <v/>
      </c>
    </row>
    <row r="381" spans="17:22" x14ac:dyDescent="0.15">
      <c r="Q381" s="74" t="str">
        <f t="shared" si="15"/>
        <v/>
      </c>
      <c r="T381" s="16" t="str">
        <f t="shared" si="16"/>
        <v/>
      </c>
      <c r="V381" s="16" t="str">
        <f t="shared" si="17"/>
        <v/>
      </c>
    </row>
    <row r="382" spans="17:22" x14ac:dyDescent="0.15">
      <c r="Q382" s="74" t="str">
        <f t="shared" si="15"/>
        <v/>
      </c>
      <c r="T382" s="16" t="str">
        <f t="shared" si="16"/>
        <v/>
      </c>
      <c r="V382" s="16" t="str">
        <f t="shared" si="17"/>
        <v/>
      </c>
    </row>
    <row r="383" spans="17:22" x14ac:dyDescent="0.15">
      <c r="Q383" s="74" t="str">
        <f t="shared" si="15"/>
        <v/>
      </c>
      <c r="T383" s="16" t="str">
        <f t="shared" si="16"/>
        <v/>
      </c>
      <c r="V383" s="16" t="str">
        <f t="shared" si="17"/>
        <v/>
      </c>
    </row>
    <row r="384" spans="17:22" x14ac:dyDescent="0.15">
      <c r="Q384" s="74" t="str">
        <f t="shared" si="15"/>
        <v/>
      </c>
      <c r="T384" s="16" t="str">
        <f t="shared" si="16"/>
        <v/>
      </c>
      <c r="V384" s="16" t="str">
        <f t="shared" si="17"/>
        <v/>
      </c>
    </row>
    <row r="385" spans="17:22" x14ac:dyDescent="0.15">
      <c r="Q385" s="74" t="str">
        <f t="shared" si="15"/>
        <v/>
      </c>
      <c r="T385" s="16" t="str">
        <f t="shared" si="16"/>
        <v/>
      </c>
      <c r="V385" s="16" t="str">
        <f t="shared" si="17"/>
        <v/>
      </c>
    </row>
    <row r="386" spans="17:22" x14ac:dyDescent="0.15">
      <c r="Q386" s="74" t="str">
        <f t="shared" ref="Q386:Q444" si="18">IF(OR(O386="",P386=""),"",AVERAGE(O386,P386))</f>
        <v/>
      </c>
      <c r="T386" s="16" t="str">
        <f t="shared" ref="T386:T444" si="19">IF(H386="","",IF(OR(H386="GREEN",H386="GK"),IF(S386&gt;=$AX$2,VLOOKUP(S386,$AX$2:$AY$10,2,1),""),IF(S386&gt;=$AZ$2,VLOOKUP(S386,$AZ$2:$BA$10,2,1),"")))</f>
        <v/>
      </c>
      <c r="V386" s="16" t="str">
        <f t="shared" ref="V386:V449" si="20">IF(OR(N386="",U386="",T386=""),"",U386/N386*T386)</f>
        <v/>
      </c>
    </row>
    <row r="387" spans="17:22" x14ac:dyDescent="0.15">
      <c r="Q387" s="74" t="str">
        <f t="shared" si="18"/>
        <v/>
      </c>
      <c r="T387" s="16" t="str">
        <f t="shared" si="19"/>
        <v/>
      </c>
      <c r="V387" s="16" t="str">
        <f t="shared" si="20"/>
        <v/>
      </c>
    </row>
    <row r="388" spans="17:22" x14ac:dyDescent="0.15">
      <c r="Q388" s="74" t="str">
        <f t="shared" si="18"/>
        <v/>
      </c>
      <c r="T388" s="16" t="str">
        <f t="shared" si="19"/>
        <v/>
      </c>
      <c r="V388" s="16" t="str">
        <f t="shared" si="20"/>
        <v/>
      </c>
    </row>
    <row r="389" spans="17:22" x14ac:dyDescent="0.15">
      <c r="Q389" s="74" t="str">
        <f t="shared" si="18"/>
        <v/>
      </c>
      <c r="T389" s="16" t="str">
        <f t="shared" si="19"/>
        <v/>
      </c>
      <c r="V389" s="16" t="str">
        <f t="shared" si="20"/>
        <v/>
      </c>
    </row>
    <row r="390" spans="17:22" x14ac:dyDescent="0.15">
      <c r="Q390" s="74" t="str">
        <f t="shared" si="18"/>
        <v/>
      </c>
      <c r="T390" s="16" t="str">
        <f t="shared" si="19"/>
        <v/>
      </c>
      <c r="V390" s="16" t="str">
        <f t="shared" si="20"/>
        <v/>
      </c>
    </row>
    <row r="391" spans="17:22" x14ac:dyDescent="0.15">
      <c r="Q391" s="74" t="str">
        <f t="shared" si="18"/>
        <v/>
      </c>
      <c r="T391" s="16" t="str">
        <f t="shared" si="19"/>
        <v/>
      </c>
      <c r="V391" s="16" t="str">
        <f t="shared" si="20"/>
        <v/>
      </c>
    </row>
    <row r="392" spans="17:22" x14ac:dyDescent="0.15">
      <c r="Q392" s="74" t="str">
        <f t="shared" si="18"/>
        <v/>
      </c>
      <c r="T392" s="16" t="str">
        <f t="shared" si="19"/>
        <v/>
      </c>
      <c r="V392" s="16" t="str">
        <f t="shared" si="20"/>
        <v/>
      </c>
    </row>
    <row r="393" spans="17:22" x14ac:dyDescent="0.15">
      <c r="Q393" s="74" t="str">
        <f t="shared" si="18"/>
        <v/>
      </c>
      <c r="T393" s="16" t="str">
        <f t="shared" si="19"/>
        <v/>
      </c>
      <c r="V393" s="16" t="str">
        <f t="shared" si="20"/>
        <v/>
      </c>
    </row>
    <row r="394" spans="17:22" x14ac:dyDescent="0.15">
      <c r="Q394" s="74" t="str">
        <f t="shared" si="18"/>
        <v/>
      </c>
      <c r="T394" s="16" t="str">
        <f t="shared" si="19"/>
        <v/>
      </c>
      <c r="V394" s="16" t="str">
        <f t="shared" si="20"/>
        <v/>
      </c>
    </row>
    <row r="395" spans="17:22" x14ac:dyDescent="0.15">
      <c r="Q395" s="74" t="str">
        <f t="shared" si="18"/>
        <v/>
      </c>
      <c r="T395" s="16" t="str">
        <f t="shared" si="19"/>
        <v/>
      </c>
      <c r="V395" s="16" t="str">
        <f t="shared" si="20"/>
        <v/>
      </c>
    </row>
    <row r="396" spans="17:22" x14ac:dyDescent="0.15">
      <c r="T396" s="16" t="str">
        <f t="shared" si="19"/>
        <v/>
      </c>
      <c r="V396" s="16" t="str">
        <f t="shared" si="20"/>
        <v/>
      </c>
    </row>
    <row r="397" spans="17:22" x14ac:dyDescent="0.15">
      <c r="T397" s="16" t="str">
        <f t="shared" si="19"/>
        <v/>
      </c>
      <c r="V397" s="16" t="str">
        <f t="shared" si="20"/>
        <v/>
      </c>
    </row>
    <row r="398" spans="17:22" x14ac:dyDescent="0.15">
      <c r="T398" s="16" t="str">
        <f t="shared" si="19"/>
        <v/>
      </c>
      <c r="V398" s="16" t="str">
        <f t="shared" si="20"/>
        <v/>
      </c>
    </row>
    <row r="399" spans="17:22" x14ac:dyDescent="0.15">
      <c r="T399" s="16" t="str">
        <f t="shared" si="19"/>
        <v/>
      </c>
      <c r="V399" s="16" t="str">
        <f t="shared" si="20"/>
        <v/>
      </c>
    </row>
    <row r="400" spans="17:22" x14ac:dyDescent="0.15">
      <c r="T400" s="16" t="str">
        <f t="shared" si="19"/>
        <v/>
      </c>
      <c r="V400" s="16" t="str">
        <f t="shared" si="20"/>
        <v/>
      </c>
    </row>
    <row r="401" spans="20:22" x14ac:dyDescent="0.15">
      <c r="T401" s="16" t="str">
        <f t="shared" si="19"/>
        <v/>
      </c>
      <c r="V401" s="16" t="str">
        <f t="shared" si="20"/>
        <v/>
      </c>
    </row>
    <row r="402" spans="20:22" x14ac:dyDescent="0.15">
      <c r="T402" s="16" t="str">
        <f t="shared" si="19"/>
        <v/>
      </c>
      <c r="V402" s="16" t="str">
        <f t="shared" si="20"/>
        <v/>
      </c>
    </row>
    <row r="403" spans="20:22" x14ac:dyDescent="0.15">
      <c r="T403" s="16" t="str">
        <f t="shared" si="19"/>
        <v/>
      </c>
      <c r="V403" s="16" t="str">
        <f t="shared" si="20"/>
        <v/>
      </c>
    </row>
    <row r="404" spans="20:22" x14ac:dyDescent="0.15">
      <c r="T404" s="16" t="str">
        <f t="shared" si="19"/>
        <v/>
      </c>
    </row>
    <row r="405" spans="20:22" x14ac:dyDescent="0.15">
      <c r="T405" s="16" t="str">
        <f t="shared" si="19"/>
        <v/>
      </c>
    </row>
    <row r="406" spans="20:22" x14ac:dyDescent="0.15">
      <c r="T406" s="16" t="str">
        <f t="shared" si="19"/>
        <v/>
      </c>
    </row>
    <row r="407" spans="20:22" x14ac:dyDescent="0.15">
      <c r="T407" s="16" t="str">
        <f t="shared" si="19"/>
        <v/>
      </c>
    </row>
    <row r="408" spans="20:22" x14ac:dyDescent="0.15">
      <c r="T408" s="16" t="str">
        <f t="shared" si="19"/>
        <v/>
      </c>
    </row>
    <row r="409" spans="20:22" x14ac:dyDescent="0.15">
      <c r="T409" s="16" t="str">
        <f t="shared" si="19"/>
        <v/>
      </c>
    </row>
    <row r="410" spans="20:22" x14ac:dyDescent="0.15">
      <c r="T410" s="16" t="str">
        <f t="shared" si="19"/>
        <v/>
      </c>
    </row>
    <row r="411" spans="20:22" x14ac:dyDescent="0.15">
      <c r="T411" s="16" t="str">
        <f t="shared" si="19"/>
        <v/>
      </c>
    </row>
    <row r="412" spans="20:22" x14ac:dyDescent="0.15">
      <c r="T412" s="16" t="str">
        <f t="shared" si="19"/>
        <v/>
      </c>
    </row>
    <row r="413" spans="20:22" x14ac:dyDescent="0.15">
      <c r="T413" s="16" t="str">
        <f t="shared" si="19"/>
        <v/>
      </c>
    </row>
    <row r="414" spans="20:22" x14ac:dyDescent="0.15">
      <c r="T414" s="16" t="str">
        <f t="shared" si="19"/>
        <v/>
      </c>
    </row>
    <row r="415" spans="20:22" x14ac:dyDescent="0.15">
      <c r="T415" s="16" t="str">
        <f t="shared" si="19"/>
        <v/>
      </c>
    </row>
    <row r="416" spans="20:22" x14ac:dyDescent="0.15">
      <c r="T416" s="16" t="str">
        <f t="shared" si="19"/>
        <v/>
      </c>
    </row>
    <row r="417" spans="20:20" x14ac:dyDescent="0.15">
      <c r="T417" s="16" t="str">
        <f t="shared" si="19"/>
        <v/>
      </c>
    </row>
    <row r="418" spans="20:20" x14ac:dyDescent="0.15">
      <c r="T418" s="16" t="str">
        <f t="shared" si="19"/>
        <v/>
      </c>
    </row>
    <row r="419" spans="20:20" x14ac:dyDescent="0.15">
      <c r="T419" s="16" t="str">
        <f t="shared" si="19"/>
        <v/>
      </c>
    </row>
    <row r="420" spans="20:20" x14ac:dyDescent="0.15">
      <c r="T420" s="16" t="str">
        <f t="shared" si="19"/>
        <v/>
      </c>
    </row>
    <row r="421" spans="20:20" x14ac:dyDescent="0.15">
      <c r="T421" s="16" t="str">
        <f t="shared" si="19"/>
        <v/>
      </c>
    </row>
    <row r="422" spans="20:20" x14ac:dyDescent="0.15">
      <c r="T422" s="16" t="str">
        <f t="shared" si="19"/>
        <v/>
      </c>
    </row>
    <row r="423" spans="20:20" x14ac:dyDescent="0.15">
      <c r="T423" s="16" t="str">
        <f t="shared" si="19"/>
        <v/>
      </c>
    </row>
  </sheetData>
  <autoFilter ref="A1:BA423" xr:uid="{00000000-0009-0000-0000-000001000000}"/>
  <phoneticPr fontId="3"/>
  <dataValidations count="16">
    <dataValidation type="list" allowBlank="1" showInputMessage="1" showErrorMessage="1" sqref="Y173:AA379" xr:uid="{F07EEEF5-5FB4-481B-9C73-6F588E053091}">
      <formula1>$AV$2:$AV$16</formula1>
    </dataValidation>
    <dataValidation type="decimal" allowBlank="1" showInputMessage="1" showErrorMessage="1" error="硬度を正しく入力して下さい。" sqref="O2:P379" xr:uid="{FB05B0F2-4052-4BD1-AE23-9AED10CB10B7}">
      <formula1>0</formula1>
      <formula2>7</formula2>
    </dataValidation>
    <dataValidation type="list" allowBlank="1" showInputMessage="1" showErrorMessage="1" sqref="X2:X379" xr:uid="{59C33AF2-4C37-43EA-8B6F-CCDEB057A115}">
      <formula1>$AT$2:$AT$3</formula1>
    </dataValidation>
    <dataValidation type="list" allowBlank="1" showInputMessage="1" showErrorMessage="1" sqref="K196:K379" xr:uid="{67771D97-E1AA-47C0-9AC2-946E7DC361D9}">
      <formula1>$AR$2:$AR$19</formula1>
    </dataValidation>
    <dataValidation type="list" allowBlank="1" showInputMessage="1" showErrorMessage="1" sqref="J41:J43" xr:uid="{150F32CA-43E4-475F-8B18-4A49BA9F5A7E}">
      <formula1>$AP$2:$AP$25</formula1>
    </dataValidation>
    <dataValidation allowBlank="1" showInputMessage="1" showErrorMessage="1" sqref="B2:B172" xr:uid="{342A1080-0EEF-4DEF-AFF5-F613FC1FA0EC}"/>
    <dataValidation type="list" allowBlank="1" showInputMessage="1" showErrorMessage="1" sqref="A2:A379" xr:uid="{EC2CF842-D631-40D2-A4E6-E5E6D78E198F}">
      <formula1>$AE$2:$AE$16</formula1>
    </dataValidation>
    <dataValidation type="list" allowBlank="1" showInputMessage="1" showErrorMessage="1" sqref="Z146:Z160" xr:uid="{1655AC76-C5DF-4D19-A6F9-D33ECBBF203B}">
      <formula1>$AV$2:$AV$21</formula1>
    </dataValidation>
    <dataValidation type="list" allowBlank="1" showInputMessage="1" showErrorMessage="1" sqref="F1:F1048576" xr:uid="{6AA07B32-EC60-4874-9B9C-475909791FC6}">
      <formula1>$AH$2:$AH$11</formula1>
    </dataValidation>
    <dataValidation type="list" allowBlank="1" showInputMessage="1" showErrorMessage="1" sqref="J2:J40 J44:J379" xr:uid="{30305A89-AB14-4795-95B9-3A50B517A0FB}">
      <formula1>$AP$2:$AP$19</formula1>
    </dataValidation>
    <dataValidation type="list" allowBlank="1" showInputMessage="1" showErrorMessage="1" sqref="E1:E1048576" xr:uid="{AA40E872-A9B7-4426-8207-44E313A63CA1}">
      <formula1>$AG$2:$AG$11</formula1>
    </dataValidation>
    <dataValidation type="list" allowBlank="1" showInputMessage="1" showErrorMessage="1" sqref="I2:I379" xr:uid="{11C305D0-2C0B-4D2C-9E95-428C5290E827}">
      <formula1>$AN$5:$AN$6</formula1>
    </dataValidation>
    <dataValidation type="list" allowBlank="1" showInputMessage="1" showErrorMessage="1" sqref="G2:G379" xr:uid="{676429F0-C904-45D9-81B2-5CC69BF4B9E3}">
      <formula1>$AJ$2:$AJ$4</formula1>
    </dataValidation>
    <dataValidation type="list" allowBlank="1" showInputMessage="1" showErrorMessage="1" sqref="Y2:AA145 Y146:Y172 AA146:AA172 Z161:Z172" xr:uid="{7BADC89D-11B3-44DC-8D14-D7FB50BD1F36}">
      <formula1>$AV$2:$AV$23</formula1>
    </dataValidation>
    <dataValidation type="list" allowBlank="1" showInputMessage="1" showErrorMessage="1" sqref="K2:K195" xr:uid="{4F1478E5-28D7-45DD-813C-A99D2F46C231}">
      <formula1>$AR$2:$AR$23</formula1>
    </dataValidation>
    <dataValidation type="list" allowBlank="1" showInputMessage="1" showErrorMessage="1" sqref="H2:H379" xr:uid="{A57FF230-0406-4611-AE8F-221919430B9F}">
      <formula1>$AL$2:$AL$8</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CB6D6-3CDB-416D-8EA4-A3D542120FF7}">
  <dimension ref="A1:BA82"/>
  <sheetViews>
    <sheetView topLeftCell="A25" zoomScale="85" zoomScaleNormal="85" workbookViewId="0">
      <selection activeCell="AB2" sqref="AB2:AB67"/>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232</v>
      </c>
      <c r="C2" s="53">
        <v>2019</v>
      </c>
      <c r="D2" s="81" t="s">
        <v>233</v>
      </c>
      <c r="E2" s="53" t="s">
        <v>234</v>
      </c>
      <c r="F2" s="53" t="s">
        <v>235</v>
      </c>
      <c r="G2" s="53" t="s">
        <v>42</v>
      </c>
      <c r="H2" s="53" t="s">
        <v>164</v>
      </c>
      <c r="I2" s="53" t="s">
        <v>165</v>
      </c>
      <c r="J2" s="53" t="s">
        <v>38</v>
      </c>
      <c r="K2" s="53" t="s">
        <v>161</v>
      </c>
      <c r="L2" s="53">
        <v>1</v>
      </c>
      <c r="N2" s="53">
        <v>5</v>
      </c>
      <c r="O2" s="53">
        <v>0.8</v>
      </c>
      <c r="P2" s="53">
        <v>0.8</v>
      </c>
      <c r="Q2" s="74">
        <f t="shared" ref="Q2:Q65" si="0">IF(OR(O2="",P2=""),"",AVERAGE(O2,P2))</f>
        <v>0.8</v>
      </c>
      <c r="R2" s="53">
        <v>15.8</v>
      </c>
      <c r="S2" s="53">
        <v>93</v>
      </c>
      <c r="T2" s="16">
        <f t="shared" ref="T2:T65" si="1">IF(H2="","",IF(OR(H2="GREEN",H2="GK"),IF(S2&gt;=$AX$2,VLOOKUP(S2,$AX$2:$AY$10,2,1),""),IF(S2&gt;=$AZ$2,VLOOKUP(S2,$AZ$2:$BA$10,2,1),"")))</f>
        <v>36</v>
      </c>
      <c r="U2" s="53">
        <v>539</v>
      </c>
      <c r="V2" s="16">
        <f t="shared" ref="V2:V65" si="2">IF(OR(N2="",U2="",T2=""),"",U2/N2*T2)</f>
        <v>3880.7999999999997</v>
      </c>
      <c r="W2" s="53">
        <v>6</v>
      </c>
      <c r="X2" s="53" t="s">
        <v>46</v>
      </c>
      <c r="Y2" s="53" t="s">
        <v>55</v>
      </c>
      <c r="Z2" s="53" t="s">
        <v>90</v>
      </c>
      <c r="AA2" s="53" t="s">
        <v>97</v>
      </c>
      <c r="AB2" s="53" t="s">
        <v>158</v>
      </c>
      <c r="AE2" s="64" t="s">
        <v>35</v>
      </c>
      <c r="AG2" s="23" t="s">
        <v>236</v>
      </c>
      <c r="AH2" s="82" t="s">
        <v>237</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232</v>
      </c>
      <c r="C3" s="53">
        <v>2019</v>
      </c>
      <c r="D3" s="81" t="s">
        <v>233</v>
      </c>
      <c r="E3" s="53" t="s">
        <v>234</v>
      </c>
      <c r="F3" s="53" t="s">
        <v>235</v>
      </c>
      <c r="G3" s="53" t="s">
        <v>42</v>
      </c>
      <c r="H3" s="53" t="s">
        <v>164</v>
      </c>
      <c r="I3" s="53" t="s">
        <v>165</v>
      </c>
      <c r="J3" s="53" t="s">
        <v>38</v>
      </c>
      <c r="K3" s="53" t="s">
        <v>161</v>
      </c>
      <c r="L3" s="53">
        <v>2</v>
      </c>
      <c r="N3" s="53">
        <v>5</v>
      </c>
      <c r="O3" s="53">
        <v>0.75</v>
      </c>
      <c r="P3" s="53">
        <v>0.75</v>
      </c>
      <c r="Q3" s="74">
        <f t="shared" si="0"/>
        <v>0.75</v>
      </c>
      <c r="R3" s="53">
        <v>13.8</v>
      </c>
      <c r="S3" s="53">
        <v>98</v>
      </c>
      <c r="T3" s="16">
        <f t="shared" si="1"/>
        <v>36</v>
      </c>
      <c r="U3" s="53">
        <v>539</v>
      </c>
      <c r="V3" s="16">
        <f t="shared" si="2"/>
        <v>3880.7999999999997</v>
      </c>
      <c r="W3" s="53">
        <v>6</v>
      </c>
      <c r="X3" s="53" t="s">
        <v>46</v>
      </c>
      <c r="Y3" s="53" t="s">
        <v>55</v>
      </c>
      <c r="Z3" s="53" t="s">
        <v>90</v>
      </c>
      <c r="AA3" s="53" t="s">
        <v>97</v>
      </c>
      <c r="AB3" s="53" t="s">
        <v>158</v>
      </c>
      <c r="AE3" s="22" t="s">
        <v>41</v>
      </c>
      <c r="AG3" s="23" t="s">
        <v>238</v>
      </c>
      <c r="AH3" s="82" t="s">
        <v>235</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232</v>
      </c>
      <c r="C4" s="53">
        <v>2019</v>
      </c>
      <c r="D4" s="81" t="s">
        <v>233</v>
      </c>
      <c r="E4" s="53" t="s">
        <v>234</v>
      </c>
      <c r="F4" s="53" t="s">
        <v>235</v>
      </c>
      <c r="G4" s="53" t="s">
        <v>42</v>
      </c>
      <c r="H4" s="53" t="s">
        <v>164</v>
      </c>
      <c r="I4" s="53" t="s">
        <v>165</v>
      </c>
      <c r="J4" s="53" t="s">
        <v>38</v>
      </c>
      <c r="K4" s="53" t="s">
        <v>161</v>
      </c>
      <c r="L4" s="53">
        <v>3</v>
      </c>
      <c r="N4" s="53">
        <v>5</v>
      </c>
      <c r="O4" s="53">
        <v>0.85</v>
      </c>
      <c r="P4" s="53">
        <v>0.8</v>
      </c>
      <c r="Q4" s="74">
        <f t="shared" si="0"/>
        <v>0.82499999999999996</v>
      </c>
      <c r="R4" s="53">
        <v>13.4</v>
      </c>
      <c r="S4" s="53">
        <v>94</v>
      </c>
      <c r="T4" s="16">
        <f t="shared" si="1"/>
        <v>36</v>
      </c>
      <c r="U4" s="53">
        <v>539</v>
      </c>
      <c r="V4" s="16">
        <f t="shared" si="2"/>
        <v>3880.7999999999997</v>
      </c>
      <c r="W4" s="53">
        <v>6</v>
      </c>
      <c r="X4" s="53" t="s">
        <v>46</v>
      </c>
      <c r="Y4" s="53" t="s">
        <v>55</v>
      </c>
      <c r="Z4" s="53" t="s">
        <v>90</v>
      </c>
      <c r="AA4" s="53" t="s">
        <v>97</v>
      </c>
      <c r="AB4" s="53" t="s">
        <v>158</v>
      </c>
      <c r="AE4" s="22" t="s">
        <v>34</v>
      </c>
      <c r="AG4" s="23" t="s">
        <v>239</v>
      </c>
      <c r="AH4" s="82" t="s">
        <v>240</v>
      </c>
      <c r="AJ4" s="27" t="s">
        <v>48</v>
      </c>
      <c r="AL4" s="27" t="s">
        <v>241</v>
      </c>
      <c r="AN4" s="28" t="s">
        <v>49</v>
      </c>
      <c r="AP4" s="23" t="s">
        <v>93</v>
      </c>
      <c r="AR4" s="23" t="s">
        <v>121</v>
      </c>
      <c r="AT4" s="28"/>
      <c r="AV4" s="23" t="s">
        <v>50</v>
      </c>
      <c r="AX4" s="24">
        <v>75</v>
      </c>
      <c r="AY4" s="25">
        <v>42</v>
      </c>
      <c r="AZ4" s="25">
        <v>76</v>
      </c>
      <c r="BA4" s="26">
        <v>39</v>
      </c>
    </row>
    <row r="5" spans="1:53" x14ac:dyDescent="0.15">
      <c r="A5" s="53" t="s">
        <v>56</v>
      </c>
      <c r="B5" s="53" t="s">
        <v>232</v>
      </c>
      <c r="C5" s="53">
        <v>2019</v>
      </c>
      <c r="D5" s="81" t="s">
        <v>233</v>
      </c>
      <c r="E5" s="53" t="s">
        <v>234</v>
      </c>
      <c r="F5" s="53" t="s">
        <v>235</v>
      </c>
      <c r="G5" s="53" t="s">
        <v>42</v>
      </c>
      <c r="H5" s="53" t="s">
        <v>160</v>
      </c>
      <c r="I5" s="53" t="s">
        <v>165</v>
      </c>
      <c r="J5" s="53" t="s">
        <v>38</v>
      </c>
      <c r="K5" s="53" t="s">
        <v>161</v>
      </c>
      <c r="L5" s="53">
        <v>1</v>
      </c>
      <c r="N5" s="53">
        <v>1</v>
      </c>
      <c r="O5" s="53">
        <v>0.75</v>
      </c>
      <c r="P5" s="53">
        <v>0.75</v>
      </c>
      <c r="Q5" s="74">
        <f t="shared" si="0"/>
        <v>0.75</v>
      </c>
      <c r="R5" s="53">
        <v>17.3</v>
      </c>
      <c r="S5" s="53">
        <v>142</v>
      </c>
      <c r="T5" s="16">
        <f t="shared" si="1"/>
        <v>22</v>
      </c>
      <c r="U5" s="53">
        <v>183</v>
      </c>
      <c r="V5" s="16">
        <f t="shared" si="2"/>
        <v>4026</v>
      </c>
      <c r="W5" s="53">
        <v>6</v>
      </c>
      <c r="X5" s="53" t="s">
        <v>46</v>
      </c>
      <c r="Y5" s="53" t="s">
        <v>55</v>
      </c>
      <c r="Z5" s="53" t="s">
        <v>90</v>
      </c>
      <c r="AA5" s="53" t="s">
        <v>97</v>
      </c>
      <c r="AB5" s="53" t="s">
        <v>158</v>
      </c>
      <c r="AE5" s="22" t="s">
        <v>51</v>
      </c>
      <c r="AG5" s="23" t="s">
        <v>242</v>
      </c>
      <c r="AH5" s="82" t="s">
        <v>243</v>
      </c>
      <c r="AJ5" s="28"/>
      <c r="AL5" s="72" t="s">
        <v>66</v>
      </c>
      <c r="AN5" s="72" t="s">
        <v>52</v>
      </c>
      <c r="AP5" s="23" t="s">
        <v>244</v>
      </c>
      <c r="AR5" s="23" t="s">
        <v>54</v>
      </c>
      <c r="AV5" s="23" t="s">
        <v>55</v>
      </c>
      <c r="AX5" s="24">
        <v>84</v>
      </c>
      <c r="AY5" s="25">
        <v>39</v>
      </c>
      <c r="AZ5" s="25">
        <v>84</v>
      </c>
      <c r="BA5" s="26">
        <v>36</v>
      </c>
    </row>
    <row r="6" spans="1:53" x14ac:dyDescent="0.15">
      <c r="A6" s="53" t="s">
        <v>56</v>
      </c>
      <c r="B6" s="53" t="s">
        <v>232</v>
      </c>
      <c r="C6" s="53">
        <v>2019</v>
      </c>
      <c r="D6" s="81" t="s">
        <v>233</v>
      </c>
      <c r="E6" s="53" t="s">
        <v>234</v>
      </c>
      <c r="F6" s="53" t="s">
        <v>235</v>
      </c>
      <c r="G6" s="53" t="s">
        <v>42</v>
      </c>
      <c r="H6" s="53" t="s">
        <v>160</v>
      </c>
      <c r="I6" s="53" t="s">
        <v>165</v>
      </c>
      <c r="J6" s="53" t="s">
        <v>38</v>
      </c>
      <c r="K6" s="53" t="s">
        <v>161</v>
      </c>
      <c r="L6" s="53">
        <v>2</v>
      </c>
      <c r="N6" s="53">
        <v>1</v>
      </c>
      <c r="O6" s="53">
        <v>0.65</v>
      </c>
      <c r="P6" s="53">
        <v>0.7</v>
      </c>
      <c r="Q6" s="74">
        <f t="shared" si="0"/>
        <v>0.67500000000000004</v>
      </c>
      <c r="R6" s="53">
        <v>18.399999999999999</v>
      </c>
      <c r="S6" s="53">
        <v>141</v>
      </c>
      <c r="T6" s="16">
        <f t="shared" si="1"/>
        <v>22</v>
      </c>
      <c r="U6" s="53">
        <v>183</v>
      </c>
      <c r="V6" s="16">
        <f t="shared" si="2"/>
        <v>4026</v>
      </c>
      <c r="W6" s="53">
        <v>6</v>
      </c>
      <c r="X6" s="53" t="s">
        <v>46</v>
      </c>
      <c r="Y6" s="53" t="s">
        <v>55</v>
      </c>
      <c r="Z6" s="53" t="s">
        <v>90</v>
      </c>
      <c r="AA6" s="53" t="s">
        <v>97</v>
      </c>
      <c r="AB6" s="53" t="s">
        <v>158</v>
      </c>
      <c r="AE6" s="22" t="s">
        <v>56</v>
      </c>
      <c r="AG6" s="23" t="s">
        <v>245</v>
      </c>
      <c r="AH6" s="82" t="s">
        <v>243</v>
      </c>
      <c r="AL6" s="72" t="s">
        <v>99</v>
      </c>
      <c r="AN6" s="72" t="s">
        <v>57</v>
      </c>
      <c r="AP6" s="23" t="s">
        <v>53</v>
      </c>
      <c r="AR6" s="23" t="s">
        <v>59</v>
      </c>
      <c r="AV6" s="23" t="s">
        <v>60</v>
      </c>
      <c r="AX6" s="24">
        <v>97</v>
      </c>
      <c r="AY6" s="25">
        <v>36</v>
      </c>
      <c r="AZ6" s="25">
        <v>99</v>
      </c>
      <c r="BA6" s="26">
        <v>33</v>
      </c>
    </row>
    <row r="7" spans="1:53" x14ac:dyDescent="0.15">
      <c r="A7" s="53" t="s">
        <v>56</v>
      </c>
      <c r="B7" s="53" t="s">
        <v>232</v>
      </c>
      <c r="C7" s="53">
        <v>2019</v>
      </c>
      <c r="D7" s="81" t="s">
        <v>233</v>
      </c>
      <c r="E7" s="53" t="s">
        <v>234</v>
      </c>
      <c r="F7" s="53" t="s">
        <v>235</v>
      </c>
      <c r="G7" s="53" t="s">
        <v>42</v>
      </c>
      <c r="H7" s="53" t="s">
        <v>160</v>
      </c>
      <c r="I7" s="53" t="s">
        <v>165</v>
      </c>
      <c r="J7" s="53" t="s">
        <v>38</v>
      </c>
      <c r="K7" s="53" t="s">
        <v>161</v>
      </c>
      <c r="L7" s="53">
        <v>3</v>
      </c>
      <c r="N7" s="53">
        <v>1</v>
      </c>
      <c r="O7" s="53">
        <v>0.8</v>
      </c>
      <c r="P7" s="53">
        <v>0.75</v>
      </c>
      <c r="Q7" s="74">
        <f t="shared" si="0"/>
        <v>0.77500000000000002</v>
      </c>
      <c r="R7" s="53">
        <v>16.600000000000001</v>
      </c>
      <c r="S7" s="53">
        <v>138</v>
      </c>
      <c r="T7" s="16">
        <f t="shared" si="1"/>
        <v>22</v>
      </c>
      <c r="U7" s="53">
        <v>183</v>
      </c>
      <c r="V7" s="16">
        <f t="shared" si="2"/>
        <v>4026</v>
      </c>
      <c r="W7" s="53">
        <v>6</v>
      </c>
      <c r="X7" s="53" t="s">
        <v>46</v>
      </c>
      <c r="Y7" s="53" t="s">
        <v>55</v>
      </c>
      <c r="Z7" s="53" t="s">
        <v>90</v>
      </c>
      <c r="AA7" s="53" t="s">
        <v>97</v>
      </c>
      <c r="AB7" s="53" t="s">
        <v>158</v>
      </c>
      <c r="AE7" s="22" t="s">
        <v>61</v>
      </c>
      <c r="AG7" s="23" t="s">
        <v>246</v>
      </c>
      <c r="AH7" s="82" t="s">
        <v>247</v>
      </c>
      <c r="AL7" s="83" t="s">
        <v>109</v>
      </c>
      <c r="AP7" s="23" t="s">
        <v>58</v>
      </c>
      <c r="AR7" s="23" t="s">
        <v>122</v>
      </c>
      <c r="AV7" s="23" t="s">
        <v>64</v>
      </c>
      <c r="AX7" s="24">
        <v>109</v>
      </c>
      <c r="AY7" s="25">
        <v>33</v>
      </c>
      <c r="AZ7" s="25">
        <v>113</v>
      </c>
      <c r="BA7" s="26">
        <v>30</v>
      </c>
    </row>
    <row r="8" spans="1:53" x14ac:dyDescent="0.15">
      <c r="A8" s="53" t="s">
        <v>56</v>
      </c>
      <c r="B8" s="53" t="s">
        <v>232</v>
      </c>
      <c r="C8" s="53">
        <v>2019</v>
      </c>
      <c r="D8" s="81" t="s">
        <v>233</v>
      </c>
      <c r="E8" s="53" t="s">
        <v>248</v>
      </c>
      <c r="F8" s="53" t="s">
        <v>235</v>
      </c>
      <c r="G8" s="53" t="s">
        <v>42</v>
      </c>
      <c r="H8" s="53" t="s">
        <v>164</v>
      </c>
      <c r="I8" s="53" t="s">
        <v>159</v>
      </c>
      <c r="J8" s="53" t="s">
        <v>38</v>
      </c>
      <c r="K8" s="53" t="s">
        <v>161</v>
      </c>
      <c r="L8" s="53">
        <v>1</v>
      </c>
      <c r="N8" s="53">
        <v>1</v>
      </c>
      <c r="O8" s="53">
        <v>0.75</v>
      </c>
      <c r="P8" s="53">
        <v>0.75</v>
      </c>
      <c r="Q8" s="74">
        <f t="shared" si="0"/>
        <v>0.75</v>
      </c>
      <c r="R8" s="53">
        <v>15.7</v>
      </c>
      <c r="S8" s="53">
        <v>139</v>
      </c>
      <c r="T8" s="16">
        <f t="shared" si="1"/>
        <v>22</v>
      </c>
      <c r="U8" s="53">
        <v>106</v>
      </c>
      <c r="V8" s="16">
        <f t="shared" si="2"/>
        <v>2332</v>
      </c>
      <c r="W8" s="53">
        <v>8</v>
      </c>
      <c r="X8" s="53" t="s">
        <v>46</v>
      </c>
      <c r="Y8" s="53" t="s">
        <v>55</v>
      </c>
      <c r="Z8" s="53" t="s">
        <v>47</v>
      </c>
      <c r="AA8" s="53" t="s">
        <v>90</v>
      </c>
      <c r="AB8" s="53" t="s">
        <v>158</v>
      </c>
      <c r="AE8" s="22" t="s">
        <v>59</v>
      </c>
      <c r="AG8" s="23" t="s">
        <v>249</v>
      </c>
      <c r="AH8" s="82" t="s">
        <v>247</v>
      </c>
      <c r="AL8" s="83" t="s">
        <v>134</v>
      </c>
      <c r="AP8" s="23" t="s">
        <v>62</v>
      </c>
      <c r="AR8" s="23" t="s">
        <v>81</v>
      </c>
      <c r="AV8" s="23" t="s">
        <v>97</v>
      </c>
      <c r="AX8" s="24">
        <v>119</v>
      </c>
      <c r="AY8" s="25">
        <v>30</v>
      </c>
      <c r="AZ8" s="25">
        <v>121</v>
      </c>
      <c r="BA8" s="26">
        <v>27</v>
      </c>
    </row>
    <row r="9" spans="1:53" x14ac:dyDescent="0.15">
      <c r="A9" s="53" t="s">
        <v>56</v>
      </c>
      <c r="B9" s="53" t="s">
        <v>232</v>
      </c>
      <c r="C9" s="53">
        <v>2019</v>
      </c>
      <c r="D9" s="81" t="s">
        <v>233</v>
      </c>
      <c r="E9" s="53" t="s">
        <v>248</v>
      </c>
      <c r="F9" s="53" t="s">
        <v>235</v>
      </c>
      <c r="G9" s="53" t="s">
        <v>42</v>
      </c>
      <c r="H9" s="53" t="s">
        <v>164</v>
      </c>
      <c r="I9" s="53" t="s">
        <v>159</v>
      </c>
      <c r="J9" s="53" t="s">
        <v>38</v>
      </c>
      <c r="K9" s="53" t="s">
        <v>161</v>
      </c>
      <c r="L9" s="53">
        <v>2</v>
      </c>
      <c r="N9" s="53">
        <v>1</v>
      </c>
      <c r="O9" s="53">
        <v>0.65</v>
      </c>
      <c r="P9" s="53">
        <v>0.7</v>
      </c>
      <c r="Q9" s="74">
        <f t="shared" si="0"/>
        <v>0.67500000000000004</v>
      </c>
      <c r="R9" s="53">
        <v>14.1</v>
      </c>
      <c r="S9" s="53">
        <v>135</v>
      </c>
      <c r="T9" s="16">
        <f t="shared" si="1"/>
        <v>25</v>
      </c>
      <c r="U9" s="53">
        <v>106</v>
      </c>
      <c r="V9" s="16">
        <f t="shared" si="2"/>
        <v>2650</v>
      </c>
      <c r="W9" s="53">
        <v>8</v>
      </c>
      <c r="X9" s="53" t="s">
        <v>46</v>
      </c>
      <c r="Y9" s="53" t="s">
        <v>55</v>
      </c>
      <c r="Z9" s="53" t="s">
        <v>47</v>
      </c>
      <c r="AA9" s="53" t="s">
        <v>90</v>
      </c>
      <c r="AB9" s="53" t="s">
        <v>158</v>
      </c>
      <c r="AE9" s="22" t="s">
        <v>98</v>
      </c>
      <c r="AG9" s="23" t="s">
        <v>234</v>
      </c>
      <c r="AH9" s="23" t="s">
        <v>235</v>
      </c>
      <c r="AL9" s="72"/>
      <c r="AP9" s="23" t="s">
        <v>95</v>
      </c>
      <c r="AR9" s="23" t="s">
        <v>89</v>
      </c>
      <c r="AV9" s="23" t="s">
        <v>102</v>
      </c>
      <c r="AX9" s="24">
        <v>128</v>
      </c>
      <c r="AY9" s="25">
        <v>27</v>
      </c>
      <c r="AZ9" s="25">
        <v>129</v>
      </c>
      <c r="BA9" s="26">
        <v>25</v>
      </c>
    </row>
    <row r="10" spans="1:53" x14ac:dyDescent="0.15">
      <c r="A10" s="53" t="s">
        <v>56</v>
      </c>
      <c r="B10" s="53" t="s">
        <v>232</v>
      </c>
      <c r="C10" s="53">
        <v>2019</v>
      </c>
      <c r="D10" s="81" t="s">
        <v>233</v>
      </c>
      <c r="E10" s="53" t="s">
        <v>248</v>
      </c>
      <c r="F10" s="53" t="s">
        <v>235</v>
      </c>
      <c r="G10" s="53" t="s">
        <v>42</v>
      </c>
      <c r="H10" s="53" t="s">
        <v>164</v>
      </c>
      <c r="I10" s="53" t="s">
        <v>159</v>
      </c>
      <c r="J10" s="53" t="s">
        <v>38</v>
      </c>
      <c r="K10" s="53" t="s">
        <v>161</v>
      </c>
      <c r="L10" s="53">
        <v>3</v>
      </c>
      <c r="N10" s="53">
        <v>1</v>
      </c>
      <c r="O10" s="53">
        <v>0.7</v>
      </c>
      <c r="P10" s="53">
        <v>0.55000000000000004</v>
      </c>
      <c r="Q10" s="74">
        <f t="shared" si="0"/>
        <v>0.625</v>
      </c>
      <c r="R10" s="53">
        <v>15.7</v>
      </c>
      <c r="S10" s="53">
        <v>148</v>
      </c>
      <c r="T10" s="16">
        <f t="shared" si="1"/>
        <v>22</v>
      </c>
      <c r="U10" s="53">
        <v>106</v>
      </c>
      <c r="V10" s="16">
        <f t="shared" si="2"/>
        <v>2332</v>
      </c>
      <c r="W10" s="53">
        <v>8</v>
      </c>
      <c r="X10" s="53" t="s">
        <v>46</v>
      </c>
      <c r="Y10" s="53" t="s">
        <v>55</v>
      </c>
      <c r="Z10" s="53" t="s">
        <v>47</v>
      </c>
      <c r="AA10" s="53" t="s">
        <v>90</v>
      </c>
      <c r="AB10" s="53" t="s">
        <v>158</v>
      </c>
      <c r="AE10" s="22" t="s">
        <v>103</v>
      </c>
      <c r="AG10" s="23" t="s">
        <v>246</v>
      </c>
      <c r="AH10" s="82" t="s">
        <v>243</v>
      </c>
      <c r="AL10" s="83"/>
      <c r="AP10" s="23" t="s">
        <v>100</v>
      </c>
      <c r="AR10" s="23" t="s">
        <v>123</v>
      </c>
      <c r="AV10" s="23" t="s">
        <v>106</v>
      </c>
      <c r="AX10" s="24">
        <v>138</v>
      </c>
      <c r="AY10" s="25">
        <v>25</v>
      </c>
      <c r="AZ10" s="25">
        <v>138</v>
      </c>
      <c r="BA10" s="26">
        <v>22</v>
      </c>
    </row>
    <row r="11" spans="1:53" x14ac:dyDescent="0.15">
      <c r="A11" s="53" t="s">
        <v>56</v>
      </c>
      <c r="B11" s="53" t="s">
        <v>232</v>
      </c>
      <c r="C11" s="53">
        <v>2019</v>
      </c>
      <c r="D11" s="81" t="s">
        <v>233</v>
      </c>
      <c r="E11" s="53" t="s">
        <v>248</v>
      </c>
      <c r="F11" s="53" t="s">
        <v>235</v>
      </c>
      <c r="G11" s="53" t="s">
        <v>42</v>
      </c>
      <c r="H11" s="53" t="s">
        <v>160</v>
      </c>
      <c r="I11" s="53" t="s">
        <v>159</v>
      </c>
      <c r="J11" s="53" t="s">
        <v>38</v>
      </c>
      <c r="K11" s="53" t="s">
        <v>161</v>
      </c>
      <c r="L11" s="53">
        <v>1</v>
      </c>
      <c r="N11" s="53">
        <v>1</v>
      </c>
      <c r="O11" s="53">
        <v>0.7</v>
      </c>
      <c r="P11" s="53">
        <v>0.65</v>
      </c>
      <c r="Q11" s="74">
        <f t="shared" si="0"/>
        <v>0.67500000000000004</v>
      </c>
      <c r="R11" s="53">
        <v>18.100000000000001</v>
      </c>
      <c r="S11" s="53">
        <v>137</v>
      </c>
      <c r="T11" s="16">
        <f t="shared" si="1"/>
        <v>25</v>
      </c>
      <c r="U11" s="53">
        <v>106</v>
      </c>
      <c r="V11" s="16">
        <f t="shared" si="2"/>
        <v>2650</v>
      </c>
      <c r="W11" s="53">
        <v>12</v>
      </c>
      <c r="X11" s="53" t="s">
        <v>46</v>
      </c>
      <c r="Y11" s="53" t="s">
        <v>55</v>
      </c>
      <c r="Z11" s="53" t="s">
        <v>47</v>
      </c>
      <c r="AA11" s="53" t="s">
        <v>90</v>
      </c>
      <c r="AB11" s="53" t="s">
        <v>158</v>
      </c>
      <c r="AE11" s="22" t="s">
        <v>65</v>
      </c>
      <c r="AG11" s="23" t="s">
        <v>245</v>
      </c>
      <c r="AH11" s="82" t="s">
        <v>243</v>
      </c>
      <c r="AJ11" s="83"/>
      <c r="AP11" s="23" t="s">
        <v>104</v>
      </c>
      <c r="AR11" s="23" t="s">
        <v>87</v>
      </c>
      <c r="AV11" s="23" t="s">
        <v>69</v>
      </c>
    </row>
    <row r="12" spans="1:53" x14ac:dyDescent="0.15">
      <c r="A12" s="53" t="s">
        <v>56</v>
      </c>
      <c r="B12" s="53" t="s">
        <v>232</v>
      </c>
      <c r="C12" s="53">
        <v>2019</v>
      </c>
      <c r="D12" s="81" t="s">
        <v>233</v>
      </c>
      <c r="E12" s="53" t="s">
        <v>248</v>
      </c>
      <c r="F12" s="53" t="s">
        <v>235</v>
      </c>
      <c r="G12" s="53" t="s">
        <v>42</v>
      </c>
      <c r="H12" s="53" t="s">
        <v>160</v>
      </c>
      <c r="I12" s="53" t="s">
        <v>159</v>
      </c>
      <c r="J12" s="53" t="s">
        <v>38</v>
      </c>
      <c r="K12" s="53" t="s">
        <v>161</v>
      </c>
      <c r="L12" s="53">
        <v>2</v>
      </c>
      <c r="N12" s="53">
        <v>1</v>
      </c>
      <c r="O12" s="53">
        <v>0.75</v>
      </c>
      <c r="P12" s="53">
        <v>0.75</v>
      </c>
      <c r="Q12" s="74">
        <f t="shared" si="0"/>
        <v>0.75</v>
      </c>
      <c r="R12" s="53">
        <v>16.600000000000001</v>
      </c>
      <c r="S12" s="53">
        <v>124</v>
      </c>
      <c r="T12" s="16">
        <f t="shared" si="1"/>
        <v>27</v>
      </c>
      <c r="U12" s="53">
        <v>106</v>
      </c>
      <c r="V12" s="16">
        <f t="shared" si="2"/>
        <v>2862</v>
      </c>
      <c r="W12" s="53">
        <v>12</v>
      </c>
      <c r="X12" s="53" t="s">
        <v>46</v>
      </c>
      <c r="Y12" s="53" t="s">
        <v>55</v>
      </c>
      <c r="Z12" s="53" t="s">
        <v>47</v>
      </c>
      <c r="AA12" s="53" t="s">
        <v>90</v>
      </c>
      <c r="AB12" s="53" t="s">
        <v>158</v>
      </c>
      <c r="AE12" s="22" t="s">
        <v>70</v>
      </c>
      <c r="AG12" s="23" t="s">
        <v>238</v>
      </c>
      <c r="AH12" s="82" t="s">
        <v>243</v>
      </c>
      <c r="AJ12" s="83"/>
      <c r="AP12" s="23" t="s">
        <v>67</v>
      </c>
      <c r="AR12" s="23" t="s">
        <v>124</v>
      </c>
      <c r="AV12" s="23" t="s">
        <v>72</v>
      </c>
    </row>
    <row r="13" spans="1:53" x14ac:dyDescent="0.15">
      <c r="A13" s="53" t="s">
        <v>56</v>
      </c>
      <c r="B13" s="53" t="s">
        <v>232</v>
      </c>
      <c r="C13" s="53">
        <v>2019</v>
      </c>
      <c r="D13" s="81" t="s">
        <v>233</v>
      </c>
      <c r="E13" s="53" t="s">
        <v>248</v>
      </c>
      <c r="F13" s="53" t="s">
        <v>235</v>
      </c>
      <c r="G13" s="53" t="s">
        <v>42</v>
      </c>
      <c r="H13" s="53" t="s">
        <v>160</v>
      </c>
      <c r="I13" s="53" t="s">
        <v>159</v>
      </c>
      <c r="J13" s="53" t="s">
        <v>38</v>
      </c>
      <c r="K13" s="53" t="s">
        <v>161</v>
      </c>
      <c r="L13" s="53">
        <v>3</v>
      </c>
      <c r="N13" s="53">
        <v>1</v>
      </c>
      <c r="O13" s="53">
        <v>0.7</v>
      </c>
      <c r="P13" s="53">
        <v>0.65</v>
      </c>
      <c r="Q13" s="74">
        <f t="shared" si="0"/>
        <v>0.67500000000000004</v>
      </c>
      <c r="R13" s="53">
        <v>17.2</v>
      </c>
      <c r="S13" s="53">
        <v>136</v>
      </c>
      <c r="T13" s="16">
        <f t="shared" si="1"/>
        <v>25</v>
      </c>
      <c r="U13" s="53">
        <v>106</v>
      </c>
      <c r="V13" s="16">
        <f t="shared" si="2"/>
        <v>2650</v>
      </c>
      <c r="W13" s="53">
        <v>12</v>
      </c>
      <c r="X13" s="53" t="s">
        <v>46</v>
      </c>
      <c r="Y13" s="53" t="s">
        <v>55</v>
      </c>
      <c r="Z13" s="53" t="s">
        <v>47</v>
      </c>
      <c r="AA13" s="53" t="s">
        <v>90</v>
      </c>
      <c r="AB13" s="53" t="s">
        <v>158</v>
      </c>
      <c r="AE13" s="22" t="s">
        <v>73</v>
      </c>
      <c r="AP13" s="23" t="s">
        <v>71</v>
      </c>
      <c r="AR13" s="23" t="s">
        <v>103</v>
      </c>
      <c r="AV13" s="23" t="s">
        <v>75</v>
      </c>
    </row>
    <row r="14" spans="1:53" x14ac:dyDescent="0.15">
      <c r="A14" s="53" t="s">
        <v>56</v>
      </c>
      <c r="B14" s="53" t="s">
        <v>232</v>
      </c>
      <c r="C14" s="53">
        <v>2019</v>
      </c>
      <c r="D14" s="81" t="s">
        <v>233</v>
      </c>
      <c r="E14" s="53" t="s">
        <v>162</v>
      </c>
      <c r="F14" s="53" t="s">
        <v>250</v>
      </c>
      <c r="G14" s="53" t="s">
        <v>42</v>
      </c>
      <c r="H14" s="53" t="s">
        <v>164</v>
      </c>
      <c r="I14" s="53" t="s">
        <v>159</v>
      </c>
      <c r="J14" s="53" t="s">
        <v>38</v>
      </c>
      <c r="K14" s="53" t="s">
        <v>161</v>
      </c>
      <c r="L14" s="53">
        <v>1</v>
      </c>
      <c r="N14" s="53">
        <v>1</v>
      </c>
      <c r="O14" s="53">
        <v>0.6</v>
      </c>
      <c r="P14" s="53">
        <v>0.6</v>
      </c>
      <c r="Q14" s="74">
        <f t="shared" si="0"/>
        <v>0.6</v>
      </c>
      <c r="R14" s="53">
        <v>15.7</v>
      </c>
      <c r="S14" s="53">
        <v>120</v>
      </c>
      <c r="T14" s="16">
        <f t="shared" si="1"/>
        <v>30</v>
      </c>
      <c r="U14" s="53">
        <v>106</v>
      </c>
      <c r="V14" s="16">
        <f t="shared" si="2"/>
        <v>3180</v>
      </c>
      <c r="W14" s="53">
        <v>5</v>
      </c>
      <c r="X14" s="53" t="s">
        <v>46</v>
      </c>
      <c r="Y14" s="53" t="s">
        <v>86</v>
      </c>
      <c r="Z14" s="53" t="s">
        <v>55</v>
      </c>
      <c r="AA14" s="53" t="s">
        <v>60</v>
      </c>
      <c r="AB14" s="53" t="s">
        <v>158</v>
      </c>
      <c r="AE14" s="22" t="s">
        <v>76</v>
      </c>
      <c r="AP14" s="23" t="s">
        <v>74</v>
      </c>
      <c r="AR14" s="23" t="s">
        <v>125</v>
      </c>
      <c r="AV14" s="23" t="s">
        <v>78</v>
      </c>
    </row>
    <row r="15" spans="1:53" x14ac:dyDescent="0.15">
      <c r="A15" s="53" t="s">
        <v>56</v>
      </c>
      <c r="B15" s="53" t="s">
        <v>232</v>
      </c>
      <c r="C15" s="53">
        <v>2019</v>
      </c>
      <c r="D15" s="81" t="s">
        <v>233</v>
      </c>
      <c r="E15" s="53" t="s">
        <v>162</v>
      </c>
      <c r="F15" s="53" t="s">
        <v>250</v>
      </c>
      <c r="G15" s="53" t="s">
        <v>42</v>
      </c>
      <c r="H15" s="53" t="s">
        <v>164</v>
      </c>
      <c r="I15" s="53" t="s">
        <v>159</v>
      </c>
      <c r="J15" s="53" t="s">
        <v>38</v>
      </c>
      <c r="K15" s="53" t="s">
        <v>161</v>
      </c>
      <c r="L15" s="53">
        <v>2</v>
      </c>
      <c r="N15" s="53">
        <v>1</v>
      </c>
      <c r="O15" s="53">
        <v>0.6</v>
      </c>
      <c r="P15" s="53">
        <v>0.6</v>
      </c>
      <c r="Q15" s="74">
        <f t="shared" si="0"/>
        <v>0.6</v>
      </c>
      <c r="R15" s="53">
        <v>14.1</v>
      </c>
      <c r="S15" s="53">
        <v>122</v>
      </c>
      <c r="T15" s="16">
        <f t="shared" si="1"/>
        <v>27</v>
      </c>
      <c r="U15" s="53">
        <v>106</v>
      </c>
      <c r="V15" s="16">
        <f t="shared" si="2"/>
        <v>2862</v>
      </c>
      <c r="W15" s="53">
        <v>5</v>
      </c>
      <c r="X15" s="53" t="s">
        <v>46</v>
      </c>
      <c r="Y15" s="53" t="s">
        <v>86</v>
      </c>
      <c r="Z15" s="53" t="s">
        <v>55</v>
      </c>
      <c r="AA15" s="53" t="s">
        <v>60</v>
      </c>
      <c r="AB15" s="53" t="s">
        <v>158</v>
      </c>
      <c r="AE15" s="22" t="s">
        <v>79</v>
      </c>
      <c r="AP15" s="23" t="s">
        <v>77</v>
      </c>
      <c r="AR15" s="23" t="s">
        <v>94</v>
      </c>
      <c r="AV15" s="23" t="s">
        <v>107</v>
      </c>
    </row>
    <row r="16" spans="1:53" x14ac:dyDescent="0.15">
      <c r="A16" s="53" t="s">
        <v>56</v>
      </c>
      <c r="B16" s="53" t="s">
        <v>232</v>
      </c>
      <c r="C16" s="53">
        <v>2019</v>
      </c>
      <c r="D16" s="81" t="s">
        <v>233</v>
      </c>
      <c r="E16" s="53" t="s">
        <v>162</v>
      </c>
      <c r="F16" s="53" t="s">
        <v>250</v>
      </c>
      <c r="G16" s="53" t="s">
        <v>42</v>
      </c>
      <c r="H16" s="53" t="s">
        <v>164</v>
      </c>
      <c r="I16" s="53" t="s">
        <v>159</v>
      </c>
      <c r="J16" s="53" t="s">
        <v>38</v>
      </c>
      <c r="K16" s="53" t="s">
        <v>161</v>
      </c>
      <c r="L16" s="53">
        <v>3</v>
      </c>
      <c r="N16" s="53">
        <v>1</v>
      </c>
      <c r="O16" s="53">
        <v>0.8</v>
      </c>
      <c r="P16" s="53">
        <v>0.8</v>
      </c>
      <c r="Q16" s="74">
        <f t="shared" si="0"/>
        <v>0.8</v>
      </c>
      <c r="R16" s="53">
        <v>11.2</v>
      </c>
      <c r="S16" s="53">
        <v>121</v>
      </c>
      <c r="T16" s="16">
        <f t="shared" si="1"/>
        <v>27</v>
      </c>
      <c r="U16" s="53">
        <v>106</v>
      </c>
      <c r="V16" s="16">
        <f t="shared" si="2"/>
        <v>2862</v>
      </c>
      <c r="W16" s="53">
        <v>5</v>
      </c>
      <c r="X16" s="53" t="s">
        <v>46</v>
      </c>
      <c r="Y16" s="53" t="s">
        <v>86</v>
      </c>
      <c r="Z16" s="53" t="s">
        <v>55</v>
      </c>
      <c r="AA16" s="53" t="s">
        <v>60</v>
      </c>
      <c r="AB16" s="53" t="s">
        <v>158</v>
      </c>
      <c r="AE16" s="22" t="s">
        <v>82</v>
      </c>
      <c r="AP16" s="23" t="s">
        <v>80</v>
      </c>
      <c r="AR16" s="23" t="s">
        <v>63</v>
      </c>
      <c r="AV16" s="23" t="s">
        <v>84</v>
      </c>
    </row>
    <row r="17" spans="1:48" x14ac:dyDescent="0.15">
      <c r="A17" s="53" t="s">
        <v>56</v>
      </c>
      <c r="B17" s="53" t="s">
        <v>232</v>
      </c>
      <c r="C17" s="53">
        <v>2019</v>
      </c>
      <c r="D17" s="81" t="s">
        <v>233</v>
      </c>
      <c r="E17" s="53" t="s">
        <v>162</v>
      </c>
      <c r="F17" s="53" t="s">
        <v>250</v>
      </c>
      <c r="G17" s="53" t="s">
        <v>42</v>
      </c>
      <c r="H17" s="53" t="s">
        <v>160</v>
      </c>
      <c r="I17" s="53" t="s">
        <v>159</v>
      </c>
      <c r="J17" s="53" t="s">
        <v>38</v>
      </c>
      <c r="K17" s="53" t="s">
        <v>161</v>
      </c>
      <c r="L17" s="53">
        <v>1</v>
      </c>
      <c r="N17" s="53">
        <v>1</v>
      </c>
      <c r="O17" s="53">
        <v>0.6</v>
      </c>
      <c r="P17" s="53">
        <v>0.6</v>
      </c>
      <c r="Q17" s="74">
        <f t="shared" si="0"/>
        <v>0.6</v>
      </c>
      <c r="R17" s="53">
        <v>16</v>
      </c>
      <c r="S17" s="53">
        <v>116</v>
      </c>
      <c r="T17" s="16">
        <f t="shared" si="1"/>
        <v>30</v>
      </c>
      <c r="U17" s="53">
        <v>138</v>
      </c>
      <c r="V17" s="16">
        <f t="shared" si="2"/>
        <v>4140</v>
      </c>
      <c r="W17" s="53">
        <v>5</v>
      </c>
      <c r="X17" s="53" t="s">
        <v>46</v>
      </c>
      <c r="Y17" s="53" t="s">
        <v>86</v>
      </c>
      <c r="Z17" s="53" t="s">
        <v>55</v>
      </c>
      <c r="AA17" s="53" t="s">
        <v>60</v>
      </c>
      <c r="AB17" s="53" t="s">
        <v>158</v>
      </c>
      <c r="AE17" s="22" t="s">
        <v>85</v>
      </c>
      <c r="AP17" s="27" t="s">
        <v>110</v>
      </c>
      <c r="AR17" s="23" t="s">
        <v>96</v>
      </c>
      <c r="AV17" s="23" t="s">
        <v>86</v>
      </c>
    </row>
    <row r="18" spans="1:48" x14ac:dyDescent="0.15">
      <c r="A18" s="53" t="s">
        <v>56</v>
      </c>
      <c r="B18" s="53" t="s">
        <v>232</v>
      </c>
      <c r="C18" s="53">
        <v>2019</v>
      </c>
      <c r="D18" s="81" t="s">
        <v>233</v>
      </c>
      <c r="E18" s="53" t="s">
        <v>162</v>
      </c>
      <c r="F18" s="53" t="s">
        <v>250</v>
      </c>
      <c r="G18" s="53" t="s">
        <v>42</v>
      </c>
      <c r="H18" s="53" t="s">
        <v>160</v>
      </c>
      <c r="I18" s="53" t="s">
        <v>159</v>
      </c>
      <c r="J18" s="53" t="s">
        <v>38</v>
      </c>
      <c r="K18" s="53" t="s">
        <v>161</v>
      </c>
      <c r="L18" s="53">
        <v>2</v>
      </c>
      <c r="N18" s="53">
        <v>1</v>
      </c>
      <c r="O18" s="53">
        <v>0.55000000000000004</v>
      </c>
      <c r="P18" s="53">
        <v>0.65</v>
      </c>
      <c r="Q18" s="74">
        <f t="shared" si="0"/>
        <v>0.60000000000000009</v>
      </c>
      <c r="R18" s="53">
        <v>16.7</v>
      </c>
      <c r="S18" s="53">
        <v>118</v>
      </c>
      <c r="T18" s="16">
        <f t="shared" si="1"/>
        <v>30</v>
      </c>
      <c r="U18" s="53">
        <v>138</v>
      </c>
      <c r="V18" s="16">
        <f t="shared" si="2"/>
        <v>4140</v>
      </c>
      <c r="W18" s="53">
        <v>5</v>
      </c>
      <c r="X18" s="53" t="s">
        <v>46</v>
      </c>
      <c r="Y18" s="53" t="s">
        <v>86</v>
      </c>
      <c r="Z18" s="53" t="s">
        <v>55</v>
      </c>
      <c r="AA18" s="53" t="s">
        <v>60</v>
      </c>
      <c r="AB18" s="53" t="s">
        <v>158</v>
      </c>
      <c r="AE18" s="22" t="s">
        <v>87</v>
      </c>
      <c r="AP18" s="27" t="s">
        <v>111</v>
      </c>
      <c r="AR18" s="23" t="s">
        <v>101</v>
      </c>
      <c r="AV18" s="23" t="s">
        <v>88</v>
      </c>
    </row>
    <row r="19" spans="1:48" x14ac:dyDescent="0.15">
      <c r="A19" s="53" t="s">
        <v>56</v>
      </c>
      <c r="B19" s="53" t="s">
        <v>232</v>
      </c>
      <c r="C19" s="53">
        <v>2019</v>
      </c>
      <c r="D19" s="81" t="s">
        <v>233</v>
      </c>
      <c r="E19" s="53" t="s">
        <v>162</v>
      </c>
      <c r="F19" s="53" t="s">
        <v>250</v>
      </c>
      <c r="G19" s="53" t="s">
        <v>42</v>
      </c>
      <c r="H19" s="53" t="s">
        <v>160</v>
      </c>
      <c r="I19" s="53" t="s">
        <v>159</v>
      </c>
      <c r="J19" s="53" t="s">
        <v>38</v>
      </c>
      <c r="K19" s="53" t="s">
        <v>161</v>
      </c>
      <c r="L19" s="53">
        <v>3</v>
      </c>
      <c r="N19" s="53">
        <v>1</v>
      </c>
      <c r="O19" s="53">
        <v>0.7</v>
      </c>
      <c r="P19" s="53">
        <v>0.7</v>
      </c>
      <c r="Q19" s="74">
        <f t="shared" si="0"/>
        <v>0.7</v>
      </c>
      <c r="R19" s="53">
        <v>13.7</v>
      </c>
      <c r="S19" s="53">
        <v>122</v>
      </c>
      <c r="T19" s="16">
        <f t="shared" si="1"/>
        <v>27</v>
      </c>
      <c r="U19" s="53">
        <v>138</v>
      </c>
      <c r="V19" s="16">
        <f t="shared" si="2"/>
        <v>3726</v>
      </c>
      <c r="W19" s="53">
        <v>5</v>
      </c>
      <c r="X19" s="53" t="s">
        <v>46</v>
      </c>
      <c r="Y19" s="53" t="s">
        <v>86</v>
      </c>
      <c r="Z19" s="53" t="s">
        <v>55</v>
      </c>
      <c r="AA19" s="53" t="s">
        <v>60</v>
      </c>
      <c r="AB19" s="53" t="s">
        <v>158</v>
      </c>
      <c r="AE19" s="35" t="s">
        <v>89</v>
      </c>
      <c r="AP19" s="27" t="s">
        <v>112</v>
      </c>
      <c r="AR19" s="23" t="s">
        <v>126</v>
      </c>
      <c r="AV19" s="23" t="s">
        <v>90</v>
      </c>
    </row>
    <row r="20" spans="1:48" x14ac:dyDescent="0.15">
      <c r="A20" s="53" t="s">
        <v>56</v>
      </c>
      <c r="B20" s="53" t="s">
        <v>232</v>
      </c>
      <c r="C20" s="53">
        <v>2019</v>
      </c>
      <c r="D20" s="81" t="s">
        <v>233</v>
      </c>
      <c r="E20" s="53" t="s">
        <v>162</v>
      </c>
      <c r="F20" s="53" t="s">
        <v>250</v>
      </c>
      <c r="G20" s="53" t="s">
        <v>42</v>
      </c>
      <c r="H20" s="53" t="s">
        <v>127</v>
      </c>
      <c r="I20" s="53" t="s">
        <v>159</v>
      </c>
      <c r="J20" s="53" t="s">
        <v>58</v>
      </c>
      <c r="K20" s="53" t="s">
        <v>59</v>
      </c>
      <c r="L20" s="53">
        <v>1</v>
      </c>
      <c r="N20" s="53">
        <v>5</v>
      </c>
      <c r="O20" s="53">
        <v>0.5</v>
      </c>
      <c r="P20" s="53">
        <v>0.5</v>
      </c>
      <c r="Q20" s="74">
        <f t="shared" si="0"/>
        <v>0.5</v>
      </c>
      <c r="R20" s="53">
        <v>12.7</v>
      </c>
      <c r="S20" s="53">
        <v>87</v>
      </c>
      <c r="T20" s="16">
        <f t="shared" si="1"/>
        <v>36</v>
      </c>
      <c r="U20" s="53">
        <v>430</v>
      </c>
      <c r="V20" s="16">
        <f t="shared" si="2"/>
        <v>3096</v>
      </c>
      <c r="W20" s="53">
        <v>5</v>
      </c>
      <c r="X20" s="53" t="s">
        <v>46</v>
      </c>
      <c r="Y20" s="53" t="s">
        <v>86</v>
      </c>
      <c r="Z20" s="53" t="s">
        <v>55</v>
      </c>
      <c r="AA20" s="53" t="s">
        <v>60</v>
      </c>
      <c r="AB20" s="53" t="s">
        <v>158</v>
      </c>
      <c r="AP20" s="27" t="s">
        <v>113</v>
      </c>
      <c r="AR20" s="23" t="s">
        <v>105</v>
      </c>
      <c r="AV20" s="27" t="s">
        <v>135</v>
      </c>
    </row>
    <row r="21" spans="1:48" x14ac:dyDescent="0.15">
      <c r="A21" s="53" t="s">
        <v>56</v>
      </c>
      <c r="B21" s="53" t="s">
        <v>232</v>
      </c>
      <c r="C21" s="53">
        <v>2019</v>
      </c>
      <c r="D21" s="81" t="s">
        <v>233</v>
      </c>
      <c r="E21" s="53" t="s">
        <v>162</v>
      </c>
      <c r="F21" s="53" t="s">
        <v>250</v>
      </c>
      <c r="G21" s="53" t="s">
        <v>42</v>
      </c>
      <c r="H21" s="53" t="s">
        <v>127</v>
      </c>
      <c r="I21" s="53" t="s">
        <v>159</v>
      </c>
      <c r="J21" s="53" t="s">
        <v>58</v>
      </c>
      <c r="K21" s="53" t="s">
        <v>59</v>
      </c>
      <c r="L21" s="53">
        <v>2</v>
      </c>
      <c r="N21" s="53">
        <v>5</v>
      </c>
      <c r="O21" s="53">
        <v>0.6</v>
      </c>
      <c r="P21" s="53">
        <v>0.6</v>
      </c>
      <c r="Q21" s="74">
        <f t="shared" si="0"/>
        <v>0.6</v>
      </c>
      <c r="R21" s="53">
        <v>12.1</v>
      </c>
      <c r="S21" s="53">
        <v>100</v>
      </c>
      <c r="T21" s="16">
        <f t="shared" si="1"/>
        <v>33</v>
      </c>
      <c r="U21" s="53">
        <v>430</v>
      </c>
      <c r="V21" s="16">
        <f t="shared" si="2"/>
        <v>2838</v>
      </c>
      <c r="W21" s="53">
        <v>5</v>
      </c>
      <c r="X21" s="53" t="s">
        <v>46</v>
      </c>
      <c r="Y21" s="53" t="s">
        <v>86</v>
      </c>
      <c r="Z21" s="53" t="s">
        <v>55</v>
      </c>
      <c r="AA21" s="53" t="s">
        <v>60</v>
      </c>
      <c r="AB21" s="53" t="s">
        <v>158</v>
      </c>
      <c r="AP21" s="27" t="s">
        <v>114</v>
      </c>
      <c r="AR21" s="23" t="s">
        <v>68</v>
      </c>
      <c r="AV21" s="28" t="s">
        <v>251</v>
      </c>
    </row>
    <row r="22" spans="1:48" x14ac:dyDescent="0.15">
      <c r="A22" s="53" t="s">
        <v>56</v>
      </c>
      <c r="B22" s="53" t="s">
        <v>232</v>
      </c>
      <c r="C22" s="53">
        <v>2019</v>
      </c>
      <c r="D22" s="81" t="s">
        <v>233</v>
      </c>
      <c r="E22" s="53" t="s">
        <v>162</v>
      </c>
      <c r="F22" s="53" t="s">
        <v>250</v>
      </c>
      <c r="G22" s="53" t="s">
        <v>42</v>
      </c>
      <c r="H22" s="53" t="s">
        <v>127</v>
      </c>
      <c r="I22" s="53" t="s">
        <v>159</v>
      </c>
      <c r="J22" s="53" t="s">
        <v>58</v>
      </c>
      <c r="K22" s="53" t="s">
        <v>59</v>
      </c>
      <c r="L22" s="53">
        <v>3</v>
      </c>
      <c r="N22" s="53">
        <v>5</v>
      </c>
      <c r="O22" s="53">
        <v>0.6</v>
      </c>
      <c r="P22" s="53">
        <v>0.55000000000000004</v>
      </c>
      <c r="Q22" s="74">
        <f t="shared" si="0"/>
        <v>0.57499999999999996</v>
      </c>
      <c r="R22" s="53">
        <v>11.2</v>
      </c>
      <c r="S22" s="53">
        <v>82</v>
      </c>
      <c r="T22" s="16">
        <f t="shared" si="1"/>
        <v>39</v>
      </c>
      <c r="U22" s="53">
        <v>430</v>
      </c>
      <c r="V22" s="16">
        <f t="shared" si="2"/>
        <v>3354</v>
      </c>
      <c r="W22" s="53">
        <v>5</v>
      </c>
      <c r="X22" s="53" t="s">
        <v>46</v>
      </c>
      <c r="Y22" s="53" t="s">
        <v>86</v>
      </c>
      <c r="Z22" s="53" t="s">
        <v>55</v>
      </c>
      <c r="AA22" s="53" t="s">
        <v>60</v>
      </c>
      <c r="AB22" s="53" t="s">
        <v>158</v>
      </c>
      <c r="AP22" s="27" t="s">
        <v>115</v>
      </c>
      <c r="AR22" s="23" t="s">
        <v>83</v>
      </c>
    </row>
    <row r="23" spans="1:48" x14ac:dyDescent="0.15">
      <c r="A23" s="53" t="s">
        <v>56</v>
      </c>
      <c r="B23" s="53" t="s">
        <v>232</v>
      </c>
      <c r="C23" s="53">
        <v>2019</v>
      </c>
      <c r="D23" s="81" t="s">
        <v>233</v>
      </c>
      <c r="E23" s="53" t="s">
        <v>252</v>
      </c>
      <c r="F23" s="53" t="s">
        <v>253</v>
      </c>
      <c r="G23" s="53" t="s">
        <v>42</v>
      </c>
      <c r="H23" s="53" t="s">
        <v>164</v>
      </c>
      <c r="I23" s="53" t="s">
        <v>159</v>
      </c>
      <c r="J23" s="53" t="s">
        <v>38</v>
      </c>
      <c r="K23" s="53" t="s">
        <v>161</v>
      </c>
      <c r="L23" s="53">
        <v>1</v>
      </c>
      <c r="N23" s="53">
        <v>1</v>
      </c>
      <c r="O23" s="53">
        <v>0.6</v>
      </c>
      <c r="P23" s="53">
        <v>0.55000000000000004</v>
      </c>
      <c r="Q23" s="74">
        <f t="shared" si="0"/>
        <v>0.57499999999999996</v>
      </c>
      <c r="R23" s="53">
        <v>13.9</v>
      </c>
      <c r="S23" s="53">
        <v>117</v>
      </c>
      <c r="T23" s="16">
        <f t="shared" si="1"/>
        <v>30</v>
      </c>
      <c r="U23" s="53">
        <v>138</v>
      </c>
      <c r="V23" s="16">
        <f t="shared" si="2"/>
        <v>4140</v>
      </c>
      <c r="W23" s="53">
        <v>4</v>
      </c>
      <c r="X23" s="53" t="s">
        <v>46</v>
      </c>
      <c r="Y23" s="53" t="s">
        <v>55</v>
      </c>
      <c r="Z23" s="53" t="s">
        <v>86</v>
      </c>
      <c r="AA23" s="53" t="s">
        <v>97</v>
      </c>
      <c r="AB23" s="53" t="s">
        <v>158</v>
      </c>
      <c r="AP23" s="27" t="s">
        <v>137</v>
      </c>
      <c r="AR23" s="23" t="s">
        <v>61</v>
      </c>
    </row>
    <row r="24" spans="1:48" x14ac:dyDescent="0.15">
      <c r="A24" s="53" t="s">
        <v>56</v>
      </c>
      <c r="B24" s="53" t="s">
        <v>232</v>
      </c>
      <c r="C24" s="53">
        <v>2019</v>
      </c>
      <c r="D24" s="81" t="s">
        <v>233</v>
      </c>
      <c r="E24" s="53" t="s">
        <v>252</v>
      </c>
      <c r="F24" s="53" t="s">
        <v>253</v>
      </c>
      <c r="G24" s="53" t="s">
        <v>42</v>
      </c>
      <c r="H24" s="53" t="s">
        <v>164</v>
      </c>
      <c r="I24" s="53" t="s">
        <v>159</v>
      </c>
      <c r="J24" s="53" t="s">
        <v>38</v>
      </c>
      <c r="K24" s="53" t="s">
        <v>161</v>
      </c>
      <c r="L24" s="53">
        <v>2</v>
      </c>
      <c r="N24" s="53">
        <v>1</v>
      </c>
      <c r="O24" s="53">
        <v>0.5</v>
      </c>
      <c r="P24" s="53">
        <v>0.5</v>
      </c>
      <c r="Q24" s="74">
        <f t="shared" si="0"/>
        <v>0.5</v>
      </c>
      <c r="R24" s="53">
        <v>13.4</v>
      </c>
      <c r="S24" s="53">
        <v>119</v>
      </c>
      <c r="T24" s="16">
        <f t="shared" si="1"/>
        <v>30</v>
      </c>
      <c r="U24" s="53">
        <v>138</v>
      </c>
      <c r="V24" s="16">
        <f t="shared" si="2"/>
        <v>4140</v>
      </c>
      <c r="W24" s="53">
        <v>4</v>
      </c>
      <c r="X24" s="53" t="s">
        <v>46</v>
      </c>
      <c r="Y24" s="53" t="s">
        <v>55</v>
      </c>
      <c r="Z24" s="53" t="s">
        <v>86</v>
      </c>
      <c r="AA24" s="53" t="s">
        <v>97</v>
      </c>
      <c r="AB24" s="53" t="s">
        <v>158</v>
      </c>
      <c r="AP24" s="27" t="s">
        <v>138</v>
      </c>
      <c r="AR24" s="23" t="s">
        <v>91</v>
      </c>
    </row>
    <row r="25" spans="1:48" x14ac:dyDescent="0.15">
      <c r="A25" s="53" t="s">
        <v>56</v>
      </c>
      <c r="B25" s="53" t="s">
        <v>232</v>
      </c>
      <c r="C25" s="53">
        <v>2019</v>
      </c>
      <c r="D25" s="81" t="s">
        <v>233</v>
      </c>
      <c r="E25" s="53" t="s">
        <v>252</v>
      </c>
      <c r="F25" s="53" t="s">
        <v>253</v>
      </c>
      <c r="G25" s="53" t="s">
        <v>42</v>
      </c>
      <c r="H25" s="53" t="s">
        <v>164</v>
      </c>
      <c r="I25" s="53" t="s">
        <v>159</v>
      </c>
      <c r="J25" s="53" t="s">
        <v>38</v>
      </c>
      <c r="K25" s="53" t="s">
        <v>161</v>
      </c>
      <c r="L25" s="53">
        <v>3</v>
      </c>
      <c r="N25" s="53">
        <v>1</v>
      </c>
      <c r="O25" s="53">
        <v>0.55000000000000004</v>
      </c>
      <c r="P25" s="53">
        <v>0.55000000000000004</v>
      </c>
      <c r="Q25" s="74">
        <f t="shared" si="0"/>
        <v>0.55000000000000004</v>
      </c>
      <c r="R25" s="53">
        <v>15.6</v>
      </c>
      <c r="S25" s="53">
        <v>115</v>
      </c>
      <c r="T25" s="16">
        <f t="shared" si="1"/>
        <v>30</v>
      </c>
      <c r="U25" s="53">
        <v>138</v>
      </c>
      <c r="V25" s="16">
        <f t="shared" si="2"/>
        <v>4140</v>
      </c>
      <c r="W25" s="53">
        <v>4</v>
      </c>
      <c r="X25" s="53" t="s">
        <v>46</v>
      </c>
      <c r="Y25" s="53" t="s">
        <v>55</v>
      </c>
      <c r="Z25" s="53" t="s">
        <v>86</v>
      </c>
      <c r="AA25" s="53" t="s">
        <v>97</v>
      </c>
      <c r="AB25" s="53" t="s">
        <v>158</v>
      </c>
      <c r="AP25" s="27" t="s">
        <v>116</v>
      </c>
      <c r="AR25" s="27" t="s">
        <v>92</v>
      </c>
    </row>
    <row r="26" spans="1:48" x14ac:dyDescent="0.15">
      <c r="A26" s="53" t="s">
        <v>56</v>
      </c>
      <c r="B26" s="53" t="s">
        <v>232</v>
      </c>
      <c r="C26" s="53">
        <v>2019</v>
      </c>
      <c r="D26" s="81" t="s">
        <v>233</v>
      </c>
      <c r="E26" s="53" t="s">
        <v>252</v>
      </c>
      <c r="F26" s="53" t="s">
        <v>253</v>
      </c>
      <c r="G26" s="53" t="s">
        <v>42</v>
      </c>
      <c r="H26" s="53" t="s">
        <v>160</v>
      </c>
      <c r="I26" s="53" t="s">
        <v>159</v>
      </c>
      <c r="J26" s="53" t="s">
        <v>38</v>
      </c>
      <c r="K26" s="53" t="s">
        <v>161</v>
      </c>
      <c r="L26" s="53">
        <v>1</v>
      </c>
      <c r="N26" s="53">
        <v>1</v>
      </c>
      <c r="O26" s="53">
        <v>0.6</v>
      </c>
      <c r="P26" s="53">
        <v>0.6</v>
      </c>
      <c r="Q26" s="74">
        <f t="shared" si="0"/>
        <v>0.6</v>
      </c>
      <c r="R26" s="53">
        <v>16.2</v>
      </c>
      <c r="S26" s="53">
        <v>133</v>
      </c>
      <c r="T26" s="16">
        <f t="shared" si="1"/>
        <v>25</v>
      </c>
      <c r="U26" s="53">
        <v>138</v>
      </c>
      <c r="V26" s="16">
        <f t="shared" si="2"/>
        <v>3450</v>
      </c>
      <c r="W26" s="53">
        <v>4</v>
      </c>
      <c r="X26" s="53" t="s">
        <v>46</v>
      </c>
      <c r="Y26" s="53" t="s">
        <v>55</v>
      </c>
      <c r="Z26" s="53" t="s">
        <v>86</v>
      </c>
      <c r="AA26" s="53" t="s">
        <v>97</v>
      </c>
      <c r="AB26" s="53" t="s">
        <v>158</v>
      </c>
      <c r="AP26" s="27" t="s">
        <v>117</v>
      </c>
      <c r="AR26" s="53" t="s">
        <v>153</v>
      </c>
    </row>
    <row r="27" spans="1:48" x14ac:dyDescent="0.15">
      <c r="A27" s="53" t="s">
        <v>56</v>
      </c>
      <c r="B27" s="53" t="s">
        <v>232</v>
      </c>
      <c r="C27" s="53">
        <v>2019</v>
      </c>
      <c r="D27" s="81" t="s">
        <v>233</v>
      </c>
      <c r="E27" s="53" t="s">
        <v>252</v>
      </c>
      <c r="F27" s="53" t="s">
        <v>253</v>
      </c>
      <c r="G27" s="53" t="s">
        <v>42</v>
      </c>
      <c r="H27" s="53" t="s">
        <v>160</v>
      </c>
      <c r="I27" s="53" t="s">
        <v>159</v>
      </c>
      <c r="J27" s="53" t="s">
        <v>38</v>
      </c>
      <c r="K27" s="53" t="s">
        <v>161</v>
      </c>
      <c r="L27" s="53">
        <v>2</v>
      </c>
      <c r="N27" s="53">
        <v>1</v>
      </c>
      <c r="O27" s="53">
        <v>0.65</v>
      </c>
      <c r="P27" s="53">
        <v>0.7</v>
      </c>
      <c r="Q27" s="74">
        <f t="shared" si="0"/>
        <v>0.67500000000000004</v>
      </c>
      <c r="R27" s="53">
        <v>16.2</v>
      </c>
      <c r="S27" s="53">
        <v>128</v>
      </c>
      <c r="T27" s="16">
        <f t="shared" si="1"/>
        <v>27</v>
      </c>
      <c r="U27" s="53">
        <v>138</v>
      </c>
      <c r="V27" s="16">
        <f t="shared" si="2"/>
        <v>3726</v>
      </c>
      <c r="W27" s="53">
        <v>4</v>
      </c>
      <c r="X27" s="53" t="s">
        <v>46</v>
      </c>
      <c r="Y27" s="53" t="s">
        <v>55</v>
      </c>
      <c r="Z27" s="53" t="s">
        <v>86</v>
      </c>
      <c r="AA27" s="53" t="s">
        <v>97</v>
      </c>
      <c r="AB27" s="53" t="s">
        <v>158</v>
      </c>
      <c r="AP27" s="27" t="s">
        <v>118</v>
      </c>
    </row>
    <row r="28" spans="1:48" x14ac:dyDescent="0.15">
      <c r="A28" s="53" t="s">
        <v>56</v>
      </c>
      <c r="B28" s="53" t="s">
        <v>232</v>
      </c>
      <c r="C28" s="53">
        <v>2019</v>
      </c>
      <c r="D28" s="81" t="s">
        <v>233</v>
      </c>
      <c r="E28" s="53" t="s">
        <v>252</v>
      </c>
      <c r="F28" s="53" t="s">
        <v>253</v>
      </c>
      <c r="G28" s="53" t="s">
        <v>42</v>
      </c>
      <c r="H28" s="53" t="s">
        <v>160</v>
      </c>
      <c r="I28" s="53" t="s">
        <v>159</v>
      </c>
      <c r="J28" s="53" t="s">
        <v>38</v>
      </c>
      <c r="K28" s="53" t="s">
        <v>161</v>
      </c>
      <c r="L28" s="53">
        <v>3</v>
      </c>
      <c r="N28" s="53">
        <v>1</v>
      </c>
      <c r="O28" s="53">
        <v>0.6</v>
      </c>
      <c r="P28" s="53">
        <v>0.6</v>
      </c>
      <c r="Q28" s="74">
        <f t="shared" si="0"/>
        <v>0.6</v>
      </c>
      <c r="R28" s="53">
        <v>16</v>
      </c>
      <c r="S28" s="53">
        <v>128</v>
      </c>
      <c r="T28" s="16">
        <f t="shared" si="1"/>
        <v>27</v>
      </c>
      <c r="U28" s="53">
        <v>138</v>
      </c>
      <c r="V28" s="16">
        <f t="shared" si="2"/>
        <v>3726</v>
      </c>
      <c r="W28" s="53">
        <v>4</v>
      </c>
      <c r="X28" s="53" t="s">
        <v>46</v>
      </c>
      <c r="Y28" s="53" t="s">
        <v>55</v>
      </c>
      <c r="Z28" s="53" t="s">
        <v>86</v>
      </c>
      <c r="AA28" s="53" t="s">
        <v>97</v>
      </c>
      <c r="AB28" s="53" t="s">
        <v>158</v>
      </c>
    </row>
    <row r="29" spans="1:48" x14ac:dyDescent="0.15">
      <c r="A29" s="53" t="s">
        <v>56</v>
      </c>
      <c r="B29" s="53" t="s">
        <v>232</v>
      </c>
      <c r="C29" s="53">
        <v>2019</v>
      </c>
      <c r="D29" s="81" t="s">
        <v>233</v>
      </c>
      <c r="E29" s="53" t="s">
        <v>254</v>
      </c>
      <c r="F29" s="53" t="s">
        <v>250</v>
      </c>
      <c r="G29" s="53" t="s">
        <v>42</v>
      </c>
      <c r="H29" s="53" t="s">
        <v>127</v>
      </c>
      <c r="I29" s="53" t="s">
        <v>165</v>
      </c>
      <c r="J29" s="53" t="s">
        <v>80</v>
      </c>
      <c r="K29" s="53" t="s">
        <v>63</v>
      </c>
      <c r="L29" s="53">
        <v>1</v>
      </c>
      <c r="N29" s="53">
        <v>1</v>
      </c>
      <c r="O29" s="53">
        <v>0.65</v>
      </c>
      <c r="P29" s="53">
        <v>0.6</v>
      </c>
      <c r="Q29" s="74">
        <f t="shared" si="0"/>
        <v>0.625</v>
      </c>
      <c r="R29" s="53">
        <v>13.9</v>
      </c>
      <c r="S29" s="53">
        <v>139</v>
      </c>
      <c r="T29" s="16">
        <f t="shared" si="1"/>
        <v>22</v>
      </c>
      <c r="U29" s="53">
        <v>83</v>
      </c>
      <c r="V29" s="16">
        <f t="shared" si="2"/>
        <v>1826</v>
      </c>
      <c r="W29" s="53">
        <v>2</v>
      </c>
      <c r="X29" s="53" t="s">
        <v>39</v>
      </c>
      <c r="Y29" s="53" t="s">
        <v>69</v>
      </c>
      <c r="Z29" s="53" t="s">
        <v>78</v>
      </c>
      <c r="AA29" s="53" t="s">
        <v>55</v>
      </c>
      <c r="AB29" s="53" t="s">
        <v>158</v>
      </c>
    </row>
    <row r="30" spans="1:48" x14ac:dyDescent="0.15">
      <c r="A30" s="53" t="s">
        <v>56</v>
      </c>
      <c r="B30" s="53" t="s">
        <v>232</v>
      </c>
      <c r="C30" s="53">
        <v>2019</v>
      </c>
      <c r="D30" s="81" t="s">
        <v>233</v>
      </c>
      <c r="E30" s="53" t="s">
        <v>254</v>
      </c>
      <c r="F30" s="53" t="s">
        <v>250</v>
      </c>
      <c r="G30" s="53" t="s">
        <v>42</v>
      </c>
      <c r="H30" s="53" t="s">
        <v>127</v>
      </c>
      <c r="I30" s="53" t="s">
        <v>165</v>
      </c>
      <c r="J30" s="53" t="s">
        <v>80</v>
      </c>
      <c r="K30" s="53" t="s">
        <v>63</v>
      </c>
      <c r="L30" s="53">
        <v>2</v>
      </c>
      <c r="N30" s="53">
        <v>1</v>
      </c>
      <c r="O30" s="53">
        <v>0.7</v>
      </c>
      <c r="P30" s="53">
        <v>0.7</v>
      </c>
      <c r="Q30" s="74">
        <f t="shared" si="0"/>
        <v>0.7</v>
      </c>
      <c r="R30" s="53">
        <v>14.6</v>
      </c>
      <c r="S30" s="53">
        <v>123</v>
      </c>
      <c r="T30" s="16">
        <f t="shared" si="1"/>
        <v>27</v>
      </c>
      <c r="U30" s="53">
        <v>83</v>
      </c>
      <c r="V30" s="16">
        <f t="shared" si="2"/>
        <v>2241</v>
      </c>
      <c r="W30" s="53">
        <v>2</v>
      </c>
      <c r="X30" s="53" t="s">
        <v>39</v>
      </c>
      <c r="Y30" s="53" t="s">
        <v>69</v>
      </c>
      <c r="Z30" s="53" t="s">
        <v>78</v>
      </c>
      <c r="AA30" s="53" t="s">
        <v>55</v>
      </c>
      <c r="AB30" s="53" t="s">
        <v>158</v>
      </c>
    </row>
    <row r="31" spans="1:48" x14ac:dyDescent="0.15">
      <c r="A31" s="53" t="s">
        <v>56</v>
      </c>
      <c r="B31" s="53" t="s">
        <v>232</v>
      </c>
      <c r="C31" s="53">
        <v>2019</v>
      </c>
      <c r="D31" s="81" t="s">
        <v>233</v>
      </c>
      <c r="E31" s="53" t="s">
        <v>254</v>
      </c>
      <c r="F31" s="53" t="s">
        <v>250</v>
      </c>
      <c r="G31" s="53" t="s">
        <v>42</v>
      </c>
      <c r="H31" s="53" t="s">
        <v>127</v>
      </c>
      <c r="I31" s="53" t="s">
        <v>165</v>
      </c>
      <c r="J31" s="53" t="s">
        <v>80</v>
      </c>
      <c r="K31" s="53" t="s">
        <v>63</v>
      </c>
      <c r="L31" s="53">
        <v>3</v>
      </c>
      <c r="N31" s="53">
        <v>1</v>
      </c>
      <c r="O31" s="53">
        <v>0.65</v>
      </c>
      <c r="P31" s="53">
        <v>0.7</v>
      </c>
      <c r="Q31" s="74">
        <f t="shared" si="0"/>
        <v>0.67500000000000004</v>
      </c>
      <c r="R31" s="53">
        <v>12.6</v>
      </c>
      <c r="S31" s="53">
        <v>122</v>
      </c>
      <c r="T31" s="16">
        <f t="shared" si="1"/>
        <v>27</v>
      </c>
      <c r="U31" s="53">
        <v>83</v>
      </c>
      <c r="V31" s="16">
        <f t="shared" si="2"/>
        <v>2241</v>
      </c>
      <c r="W31" s="53">
        <v>2</v>
      </c>
      <c r="X31" s="53" t="s">
        <v>39</v>
      </c>
      <c r="Y31" s="53" t="s">
        <v>69</v>
      </c>
      <c r="Z31" s="53" t="s">
        <v>78</v>
      </c>
      <c r="AA31" s="53" t="s">
        <v>55</v>
      </c>
      <c r="AB31" s="53" t="s">
        <v>158</v>
      </c>
    </row>
    <row r="32" spans="1:48" x14ac:dyDescent="0.15">
      <c r="A32" s="53" t="s">
        <v>56</v>
      </c>
      <c r="B32" s="53" t="s">
        <v>232</v>
      </c>
      <c r="C32" s="53">
        <v>2019</v>
      </c>
      <c r="D32" s="81" t="s">
        <v>233</v>
      </c>
      <c r="E32" s="53" t="s">
        <v>254</v>
      </c>
      <c r="F32" s="53" t="s">
        <v>250</v>
      </c>
      <c r="G32" s="53" t="s">
        <v>42</v>
      </c>
      <c r="H32" s="53" t="s">
        <v>164</v>
      </c>
      <c r="I32" s="53" t="s">
        <v>159</v>
      </c>
      <c r="J32" s="53" t="s">
        <v>38</v>
      </c>
      <c r="K32" s="53" t="s">
        <v>161</v>
      </c>
      <c r="L32" s="53">
        <v>1</v>
      </c>
      <c r="N32" s="53">
        <v>5</v>
      </c>
      <c r="O32" s="53">
        <v>0.85</v>
      </c>
      <c r="P32" s="53">
        <v>0.8</v>
      </c>
      <c r="Q32" s="16">
        <f t="shared" si="0"/>
        <v>0.82499999999999996</v>
      </c>
      <c r="R32" s="53">
        <v>11.1</v>
      </c>
      <c r="S32" s="53">
        <v>87</v>
      </c>
      <c r="T32" s="16">
        <f t="shared" si="1"/>
        <v>36</v>
      </c>
      <c r="U32" s="53">
        <v>388</v>
      </c>
      <c r="V32" s="16">
        <f t="shared" si="2"/>
        <v>2793.6</v>
      </c>
      <c r="W32" s="53">
        <v>2</v>
      </c>
      <c r="X32" s="53" t="s">
        <v>39</v>
      </c>
      <c r="Y32" s="53" t="s">
        <v>69</v>
      </c>
      <c r="Z32" s="53" t="s">
        <v>78</v>
      </c>
      <c r="AA32" s="53" t="s">
        <v>55</v>
      </c>
      <c r="AB32" s="53" t="s">
        <v>158</v>
      </c>
    </row>
    <row r="33" spans="1:28" x14ac:dyDescent="0.15">
      <c r="A33" s="53" t="s">
        <v>56</v>
      </c>
      <c r="B33" s="53" t="s">
        <v>232</v>
      </c>
      <c r="C33" s="53">
        <v>2019</v>
      </c>
      <c r="D33" s="81" t="s">
        <v>233</v>
      </c>
      <c r="E33" s="53" t="s">
        <v>254</v>
      </c>
      <c r="F33" s="53" t="s">
        <v>250</v>
      </c>
      <c r="G33" s="53" t="s">
        <v>42</v>
      </c>
      <c r="H33" s="53" t="s">
        <v>164</v>
      </c>
      <c r="I33" s="53" t="s">
        <v>159</v>
      </c>
      <c r="J33" s="53" t="s">
        <v>38</v>
      </c>
      <c r="K33" s="53" t="s">
        <v>161</v>
      </c>
      <c r="L33" s="53">
        <v>2</v>
      </c>
      <c r="N33" s="53">
        <v>5</v>
      </c>
      <c r="O33" s="53">
        <v>0.75</v>
      </c>
      <c r="P33" s="53">
        <v>0.75</v>
      </c>
      <c r="Q33" s="16">
        <f t="shared" si="0"/>
        <v>0.75</v>
      </c>
      <c r="R33" s="53">
        <v>11</v>
      </c>
      <c r="S33" s="53">
        <v>89</v>
      </c>
      <c r="T33" s="16">
        <f t="shared" si="1"/>
        <v>36</v>
      </c>
      <c r="U33" s="53">
        <v>388</v>
      </c>
      <c r="V33" s="16">
        <f t="shared" si="2"/>
        <v>2793.6</v>
      </c>
      <c r="W33" s="53">
        <v>2</v>
      </c>
      <c r="X33" s="53" t="s">
        <v>39</v>
      </c>
      <c r="Y33" s="53" t="s">
        <v>69</v>
      </c>
      <c r="Z33" s="53" t="s">
        <v>78</v>
      </c>
      <c r="AA33" s="53" t="s">
        <v>55</v>
      </c>
      <c r="AB33" s="53" t="s">
        <v>158</v>
      </c>
    </row>
    <row r="34" spans="1:28" x14ac:dyDescent="0.15">
      <c r="A34" s="53" t="s">
        <v>56</v>
      </c>
      <c r="B34" s="53" t="s">
        <v>232</v>
      </c>
      <c r="C34" s="53">
        <v>2019</v>
      </c>
      <c r="D34" s="81" t="s">
        <v>233</v>
      </c>
      <c r="E34" s="53" t="s">
        <v>254</v>
      </c>
      <c r="F34" s="53" t="s">
        <v>250</v>
      </c>
      <c r="G34" s="53" t="s">
        <v>42</v>
      </c>
      <c r="H34" s="53" t="s">
        <v>164</v>
      </c>
      <c r="I34" s="53" t="s">
        <v>159</v>
      </c>
      <c r="J34" s="53" t="s">
        <v>38</v>
      </c>
      <c r="K34" s="53" t="s">
        <v>161</v>
      </c>
      <c r="L34" s="53">
        <v>3</v>
      </c>
      <c r="N34" s="53">
        <v>5</v>
      </c>
      <c r="O34" s="53">
        <v>0.75</v>
      </c>
      <c r="P34" s="53">
        <v>0.75</v>
      </c>
      <c r="Q34" s="16">
        <f t="shared" si="0"/>
        <v>0.75</v>
      </c>
      <c r="R34" s="53">
        <v>11.3</v>
      </c>
      <c r="S34" s="53">
        <v>87</v>
      </c>
      <c r="T34" s="16">
        <f t="shared" si="1"/>
        <v>36</v>
      </c>
      <c r="U34" s="53">
        <v>388</v>
      </c>
      <c r="V34" s="16">
        <f t="shared" si="2"/>
        <v>2793.6</v>
      </c>
      <c r="W34" s="53">
        <v>2</v>
      </c>
      <c r="X34" s="53" t="s">
        <v>39</v>
      </c>
      <c r="Y34" s="53" t="s">
        <v>69</v>
      </c>
      <c r="Z34" s="53" t="s">
        <v>78</v>
      </c>
      <c r="AA34" s="53" t="s">
        <v>55</v>
      </c>
      <c r="AB34" s="53" t="s">
        <v>158</v>
      </c>
    </row>
    <row r="35" spans="1:28" x14ac:dyDescent="0.15">
      <c r="A35" s="53" t="s">
        <v>56</v>
      </c>
      <c r="B35" s="53" t="s">
        <v>232</v>
      </c>
      <c r="C35" s="53">
        <v>2019</v>
      </c>
      <c r="D35" s="81" t="s">
        <v>233</v>
      </c>
      <c r="E35" s="53" t="s">
        <v>254</v>
      </c>
      <c r="F35" s="53" t="s">
        <v>250</v>
      </c>
      <c r="G35" s="53" t="s">
        <v>42</v>
      </c>
      <c r="H35" s="53" t="s">
        <v>160</v>
      </c>
      <c r="I35" s="53" t="s">
        <v>159</v>
      </c>
      <c r="J35" s="53" t="s">
        <v>38</v>
      </c>
      <c r="K35" s="53" t="s">
        <v>161</v>
      </c>
      <c r="L35" s="53">
        <v>1</v>
      </c>
      <c r="N35" s="53">
        <v>4</v>
      </c>
      <c r="O35" s="53">
        <v>0.7</v>
      </c>
      <c r="P35" s="53">
        <v>0.7</v>
      </c>
      <c r="Q35" s="16">
        <f t="shared" si="0"/>
        <v>0.7</v>
      </c>
      <c r="R35" s="53">
        <v>16.7</v>
      </c>
      <c r="S35" s="53">
        <v>95</v>
      </c>
      <c r="T35" s="16">
        <f t="shared" si="1"/>
        <v>36</v>
      </c>
      <c r="U35" s="53">
        <v>418</v>
      </c>
      <c r="V35" s="16">
        <f t="shared" si="2"/>
        <v>3762</v>
      </c>
      <c r="W35" s="53">
        <v>4</v>
      </c>
      <c r="X35" s="53" t="s">
        <v>39</v>
      </c>
      <c r="Y35" s="53" t="s">
        <v>69</v>
      </c>
      <c r="Z35" s="53" t="s">
        <v>78</v>
      </c>
      <c r="AA35" s="53" t="s">
        <v>55</v>
      </c>
      <c r="AB35" s="53" t="s">
        <v>158</v>
      </c>
    </row>
    <row r="36" spans="1:28" x14ac:dyDescent="0.15">
      <c r="A36" s="53" t="s">
        <v>56</v>
      </c>
      <c r="B36" s="53" t="s">
        <v>232</v>
      </c>
      <c r="C36" s="53">
        <v>2019</v>
      </c>
      <c r="D36" s="81" t="s">
        <v>233</v>
      </c>
      <c r="E36" s="53" t="s">
        <v>254</v>
      </c>
      <c r="F36" s="53" t="s">
        <v>250</v>
      </c>
      <c r="G36" s="53" t="s">
        <v>42</v>
      </c>
      <c r="H36" s="53" t="s">
        <v>160</v>
      </c>
      <c r="I36" s="53" t="s">
        <v>159</v>
      </c>
      <c r="J36" s="53" t="s">
        <v>38</v>
      </c>
      <c r="K36" s="53" t="s">
        <v>161</v>
      </c>
      <c r="L36" s="53">
        <v>2</v>
      </c>
      <c r="N36" s="53">
        <v>4</v>
      </c>
      <c r="O36" s="53">
        <v>0.6</v>
      </c>
      <c r="P36" s="53">
        <v>0.6</v>
      </c>
      <c r="Q36" s="16">
        <f t="shared" si="0"/>
        <v>0.6</v>
      </c>
      <c r="R36" s="53">
        <v>16.3</v>
      </c>
      <c r="S36" s="53">
        <v>100</v>
      </c>
      <c r="T36" s="16">
        <f t="shared" si="1"/>
        <v>33</v>
      </c>
      <c r="U36" s="53">
        <v>418</v>
      </c>
      <c r="V36" s="16">
        <f t="shared" si="2"/>
        <v>3448.5</v>
      </c>
      <c r="W36" s="53">
        <v>4</v>
      </c>
      <c r="X36" s="53" t="s">
        <v>39</v>
      </c>
      <c r="Y36" s="53" t="s">
        <v>69</v>
      </c>
      <c r="Z36" s="53" t="s">
        <v>78</v>
      </c>
      <c r="AA36" s="53" t="s">
        <v>55</v>
      </c>
      <c r="AB36" s="53" t="s">
        <v>158</v>
      </c>
    </row>
    <row r="37" spans="1:28" x14ac:dyDescent="0.15">
      <c r="A37" s="53" t="s">
        <v>56</v>
      </c>
      <c r="B37" s="53" t="s">
        <v>232</v>
      </c>
      <c r="C37" s="53">
        <v>2019</v>
      </c>
      <c r="D37" s="81" t="s">
        <v>233</v>
      </c>
      <c r="E37" s="53" t="s">
        <v>254</v>
      </c>
      <c r="F37" s="53" t="s">
        <v>250</v>
      </c>
      <c r="G37" s="53" t="s">
        <v>42</v>
      </c>
      <c r="H37" s="53" t="s">
        <v>160</v>
      </c>
      <c r="I37" s="53" t="s">
        <v>159</v>
      </c>
      <c r="J37" s="53" t="s">
        <v>38</v>
      </c>
      <c r="K37" s="53" t="s">
        <v>161</v>
      </c>
      <c r="L37" s="53">
        <v>3</v>
      </c>
      <c r="N37" s="53">
        <v>4</v>
      </c>
      <c r="O37" s="53">
        <v>0.65</v>
      </c>
      <c r="P37" s="53">
        <v>0.65</v>
      </c>
      <c r="Q37" s="16">
        <f t="shared" si="0"/>
        <v>0.65</v>
      </c>
      <c r="R37" s="53">
        <v>16.5</v>
      </c>
      <c r="S37" s="53">
        <v>97</v>
      </c>
      <c r="T37" s="16">
        <f t="shared" si="1"/>
        <v>36</v>
      </c>
      <c r="U37" s="53">
        <v>418</v>
      </c>
      <c r="V37" s="16">
        <f t="shared" si="2"/>
        <v>3762</v>
      </c>
      <c r="W37" s="53">
        <v>4</v>
      </c>
      <c r="X37" s="53" t="s">
        <v>39</v>
      </c>
      <c r="Y37" s="53" t="s">
        <v>69</v>
      </c>
      <c r="Z37" s="53" t="s">
        <v>78</v>
      </c>
      <c r="AA37" s="53" t="s">
        <v>55</v>
      </c>
      <c r="AB37" s="53" t="s">
        <v>158</v>
      </c>
    </row>
    <row r="38" spans="1:28" x14ac:dyDescent="0.15">
      <c r="A38" s="53" t="s">
        <v>56</v>
      </c>
      <c r="B38" s="53" t="s">
        <v>232</v>
      </c>
      <c r="C38" s="53">
        <v>2019</v>
      </c>
      <c r="D38" s="81" t="s">
        <v>233</v>
      </c>
      <c r="E38" s="53" t="s">
        <v>162</v>
      </c>
      <c r="F38" s="53" t="s">
        <v>247</v>
      </c>
      <c r="G38" s="53" t="s">
        <v>42</v>
      </c>
      <c r="H38" s="53" t="s">
        <v>164</v>
      </c>
      <c r="I38" s="53" t="s">
        <v>159</v>
      </c>
      <c r="J38" s="53" t="s">
        <v>38</v>
      </c>
      <c r="K38" s="53" t="s">
        <v>161</v>
      </c>
      <c r="L38" s="53">
        <v>1</v>
      </c>
      <c r="N38" s="53">
        <v>1</v>
      </c>
      <c r="O38" s="53">
        <v>0.8</v>
      </c>
      <c r="P38" s="53">
        <v>0.7</v>
      </c>
      <c r="Q38" s="16">
        <f t="shared" si="0"/>
        <v>0.75</v>
      </c>
      <c r="R38" s="53">
        <v>15.7</v>
      </c>
      <c r="S38" s="53">
        <v>126</v>
      </c>
      <c r="T38" s="16">
        <f t="shared" si="1"/>
        <v>27</v>
      </c>
      <c r="U38" s="53">
        <v>106</v>
      </c>
      <c r="V38" s="16">
        <f t="shared" si="2"/>
        <v>2862</v>
      </c>
      <c r="W38" s="53">
        <v>2</v>
      </c>
      <c r="X38" s="53" t="s">
        <v>46</v>
      </c>
      <c r="Y38" s="53" t="s">
        <v>64</v>
      </c>
      <c r="Z38" s="53" t="s">
        <v>47</v>
      </c>
      <c r="AA38" s="53" t="s">
        <v>55</v>
      </c>
      <c r="AB38" s="53" t="s">
        <v>158</v>
      </c>
    </row>
    <row r="39" spans="1:28" x14ac:dyDescent="0.15">
      <c r="A39" s="53" t="s">
        <v>56</v>
      </c>
      <c r="B39" s="53" t="s">
        <v>232</v>
      </c>
      <c r="C39" s="53">
        <v>2019</v>
      </c>
      <c r="D39" s="81" t="s">
        <v>233</v>
      </c>
      <c r="E39" s="53" t="s">
        <v>162</v>
      </c>
      <c r="F39" s="53" t="s">
        <v>247</v>
      </c>
      <c r="G39" s="53" t="s">
        <v>42</v>
      </c>
      <c r="H39" s="53" t="s">
        <v>164</v>
      </c>
      <c r="I39" s="53" t="s">
        <v>159</v>
      </c>
      <c r="J39" s="53" t="s">
        <v>38</v>
      </c>
      <c r="K39" s="53" t="s">
        <v>161</v>
      </c>
      <c r="L39" s="53">
        <v>2</v>
      </c>
      <c r="N39" s="53">
        <v>1</v>
      </c>
      <c r="O39" s="53">
        <v>0.85</v>
      </c>
      <c r="P39" s="53">
        <v>0.95</v>
      </c>
      <c r="Q39" s="16">
        <f t="shared" si="0"/>
        <v>0.89999999999999991</v>
      </c>
      <c r="R39" s="53">
        <v>13.2</v>
      </c>
      <c r="S39" s="53">
        <v>123</v>
      </c>
      <c r="T39" s="16">
        <f t="shared" si="1"/>
        <v>27</v>
      </c>
      <c r="U39" s="53">
        <v>106</v>
      </c>
      <c r="V39" s="16">
        <f t="shared" si="2"/>
        <v>2862</v>
      </c>
      <c r="W39" s="53">
        <v>2</v>
      </c>
      <c r="X39" s="53" t="s">
        <v>46</v>
      </c>
      <c r="Y39" s="53" t="s">
        <v>64</v>
      </c>
      <c r="Z39" s="53" t="s">
        <v>47</v>
      </c>
      <c r="AA39" s="53" t="s">
        <v>55</v>
      </c>
      <c r="AB39" s="53" t="s">
        <v>158</v>
      </c>
    </row>
    <row r="40" spans="1:28" x14ac:dyDescent="0.15">
      <c r="A40" s="53" t="s">
        <v>56</v>
      </c>
      <c r="B40" s="53" t="s">
        <v>232</v>
      </c>
      <c r="C40" s="53">
        <v>2019</v>
      </c>
      <c r="D40" s="81" t="s">
        <v>233</v>
      </c>
      <c r="E40" s="53" t="s">
        <v>162</v>
      </c>
      <c r="F40" s="53" t="s">
        <v>247</v>
      </c>
      <c r="G40" s="53" t="s">
        <v>42</v>
      </c>
      <c r="H40" s="53" t="s">
        <v>164</v>
      </c>
      <c r="I40" s="53" t="s">
        <v>159</v>
      </c>
      <c r="J40" s="53" t="s">
        <v>38</v>
      </c>
      <c r="K40" s="53" t="s">
        <v>161</v>
      </c>
      <c r="L40" s="53">
        <v>3</v>
      </c>
      <c r="N40" s="53">
        <v>1</v>
      </c>
      <c r="O40" s="53">
        <v>0.75</v>
      </c>
      <c r="P40" s="53">
        <v>0.75</v>
      </c>
      <c r="Q40" s="16">
        <f t="shared" si="0"/>
        <v>0.75</v>
      </c>
      <c r="R40" s="53">
        <v>13.4</v>
      </c>
      <c r="S40" s="53">
        <v>117</v>
      </c>
      <c r="T40" s="16">
        <f t="shared" si="1"/>
        <v>30</v>
      </c>
      <c r="U40" s="53">
        <v>106</v>
      </c>
      <c r="V40" s="16">
        <f t="shared" si="2"/>
        <v>3180</v>
      </c>
      <c r="W40" s="53">
        <v>2</v>
      </c>
      <c r="X40" s="53" t="s">
        <v>46</v>
      </c>
      <c r="Y40" s="53" t="s">
        <v>64</v>
      </c>
      <c r="Z40" s="53" t="s">
        <v>47</v>
      </c>
      <c r="AA40" s="53" t="s">
        <v>55</v>
      </c>
      <c r="AB40" s="53" t="s">
        <v>158</v>
      </c>
    </row>
    <row r="41" spans="1:28" x14ac:dyDescent="0.15">
      <c r="A41" s="53" t="s">
        <v>56</v>
      </c>
      <c r="B41" s="53" t="s">
        <v>232</v>
      </c>
      <c r="C41" s="53">
        <v>2019</v>
      </c>
      <c r="D41" s="81" t="s">
        <v>233</v>
      </c>
      <c r="E41" s="53" t="s">
        <v>162</v>
      </c>
      <c r="F41" s="53" t="s">
        <v>247</v>
      </c>
      <c r="G41" s="53" t="s">
        <v>42</v>
      </c>
      <c r="H41" s="53" t="s">
        <v>160</v>
      </c>
      <c r="I41" s="53" t="s">
        <v>159</v>
      </c>
      <c r="J41" s="53" t="s">
        <v>38</v>
      </c>
      <c r="K41" s="53" t="s">
        <v>161</v>
      </c>
      <c r="L41" s="53">
        <v>1</v>
      </c>
      <c r="N41" s="53">
        <v>1</v>
      </c>
      <c r="O41" s="53">
        <v>0.65</v>
      </c>
      <c r="P41" s="53">
        <v>0.65</v>
      </c>
      <c r="Q41" s="16">
        <f t="shared" si="0"/>
        <v>0.65</v>
      </c>
      <c r="R41" s="53">
        <v>16.5</v>
      </c>
      <c r="S41" s="53">
        <v>113</v>
      </c>
      <c r="T41" s="16">
        <f t="shared" si="1"/>
        <v>30</v>
      </c>
      <c r="U41" s="53">
        <v>138</v>
      </c>
      <c r="V41" s="16">
        <f t="shared" si="2"/>
        <v>4140</v>
      </c>
      <c r="W41" s="53">
        <v>2</v>
      </c>
      <c r="X41" s="53" t="s">
        <v>46</v>
      </c>
      <c r="Y41" s="53" t="s">
        <v>64</v>
      </c>
      <c r="Z41" s="53" t="s">
        <v>47</v>
      </c>
      <c r="AA41" s="53" t="s">
        <v>55</v>
      </c>
      <c r="AB41" s="53" t="s">
        <v>158</v>
      </c>
    </row>
    <row r="42" spans="1:28" x14ac:dyDescent="0.15">
      <c r="A42" s="53" t="s">
        <v>56</v>
      </c>
      <c r="B42" s="53" t="s">
        <v>232</v>
      </c>
      <c r="C42" s="53">
        <v>2019</v>
      </c>
      <c r="D42" s="81" t="s">
        <v>233</v>
      </c>
      <c r="E42" s="53" t="s">
        <v>162</v>
      </c>
      <c r="F42" s="53" t="s">
        <v>247</v>
      </c>
      <c r="G42" s="53" t="s">
        <v>42</v>
      </c>
      <c r="H42" s="53" t="s">
        <v>160</v>
      </c>
      <c r="I42" s="53" t="s">
        <v>159</v>
      </c>
      <c r="J42" s="53" t="s">
        <v>38</v>
      </c>
      <c r="K42" s="53" t="s">
        <v>161</v>
      </c>
      <c r="L42" s="53">
        <v>2</v>
      </c>
      <c r="N42" s="53">
        <v>1</v>
      </c>
      <c r="O42" s="53">
        <v>0.7</v>
      </c>
      <c r="P42" s="53">
        <v>0.6</v>
      </c>
      <c r="Q42" s="16">
        <f t="shared" si="0"/>
        <v>0.64999999999999991</v>
      </c>
      <c r="R42" s="53">
        <v>15.9</v>
      </c>
      <c r="S42" s="53">
        <v>114</v>
      </c>
      <c r="T42" s="16">
        <f t="shared" si="1"/>
        <v>30</v>
      </c>
      <c r="U42" s="53">
        <v>138</v>
      </c>
      <c r="V42" s="16">
        <f t="shared" si="2"/>
        <v>4140</v>
      </c>
      <c r="W42" s="53">
        <v>2</v>
      </c>
      <c r="X42" s="53" t="s">
        <v>46</v>
      </c>
      <c r="Y42" s="53" t="s">
        <v>64</v>
      </c>
      <c r="Z42" s="53" t="s">
        <v>47</v>
      </c>
      <c r="AA42" s="53" t="s">
        <v>55</v>
      </c>
      <c r="AB42" s="53" t="s">
        <v>158</v>
      </c>
    </row>
    <row r="43" spans="1:28" x14ac:dyDescent="0.15">
      <c r="A43" s="53" t="s">
        <v>56</v>
      </c>
      <c r="B43" s="53" t="s">
        <v>232</v>
      </c>
      <c r="C43" s="53">
        <v>2019</v>
      </c>
      <c r="D43" s="81" t="s">
        <v>233</v>
      </c>
      <c r="E43" s="53" t="s">
        <v>162</v>
      </c>
      <c r="F43" s="53" t="s">
        <v>247</v>
      </c>
      <c r="G43" s="53" t="s">
        <v>42</v>
      </c>
      <c r="H43" s="53" t="s">
        <v>160</v>
      </c>
      <c r="I43" s="53" t="s">
        <v>159</v>
      </c>
      <c r="J43" s="53" t="s">
        <v>38</v>
      </c>
      <c r="K43" s="53" t="s">
        <v>161</v>
      </c>
      <c r="L43" s="53">
        <v>3</v>
      </c>
      <c r="N43" s="53">
        <v>1</v>
      </c>
      <c r="O43" s="53">
        <v>0.6</v>
      </c>
      <c r="P43" s="53">
        <v>0.55000000000000004</v>
      </c>
      <c r="Q43" s="16">
        <f t="shared" si="0"/>
        <v>0.57499999999999996</v>
      </c>
      <c r="R43" s="53">
        <v>14.8</v>
      </c>
      <c r="S43" s="53">
        <v>115</v>
      </c>
      <c r="T43" s="16">
        <f t="shared" si="1"/>
        <v>30</v>
      </c>
      <c r="U43" s="53">
        <v>138</v>
      </c>
      <c r="V43" s="16">
        <f t="shared" si="2"/>
        <v>4140</v>
      </c>
      <c r="W43" s="53">
        <v>2</v>
      </c>
      <c r="X43" s="53" t="s">
        <v>46</v>
      </c>
      <c r="Y43" s="53" t="s">
        <v>64</v>
      </c>
      <c r="Z43" s="53" t="s">
        <v>47</v>
      </c>
      <c r="AA43" s="53" t="s">
        <v>55</v>
      </c>
      <c r="AB43" s="53" t="s">
        <v>158</v>
      </c>
    </row>
    <row r="44" spans="1:28" x14ac:dyDescent="0.15">
      <c r="A44" s="53" t="s">
        <v>56</v>
      </c>
      <c r="B44" s="53" t="s">
        <v>232</v>
      </c>
      <c r="C44" s="53">
        <v>2019</v>
      </c>
      <c r="D44" s="81" t="s">
        <v>233</v>
      </c>
      <c r="E44" s="53" t="s">
        <v>255</v>
      </c>
      <c r="F44" s="53" t="s">
        <v>247</v>
      </c>
      <c r="G44" s="53" t="s">
        <v>42</v>
      </c>
      <c r="H44" s="53" t="s">
        <v>164</v>
      </c>
      <c r="I44" s="53" t="s">
        <v>159</v>
      </c>
      <c r="J44" s="53" t="s">
        <v>38</v>
      </c>
      <c r="K44" s="53" t="s">
        <v>161</v>
      </c>
      <c r="L44" s="53">
        <v>1</v>
      </c>
      <c r="N44" s="53">
        <v>1</v>
      </c>
      <c r="O44" s="53">
        <v>0.75</v>
      </c>
      <c r="P44" s="53">
        <v>0.9</v>
      </c>
      <c r="Q44" s="16">
        <f t="shared" si="0"/>
        <v>0.82499999999999996</v>
      </c>
      <c r="R44" s="53">
        <v>15.2</v>
      </c>
      <c r="S44" s="53">
        <v>132</v>
      </c>
      <c r="T44" s="16">
        <f t="shared" si="1"/>
        <v>25</v>
      </c>
      <c r="U44" s="53">
        <v>138</v>
      </c>
      <c r="V44" s="16">
        <f t="shared" si="2"/>
        <v>3450</v>
      </c>
      <c r="W44" s="53">
        <v>1</v>
      </c>
      <c r="X44" s="53" t="s">
        <v>39</v>
      </c>
      <c r="Y44" s="53" t="s">
        <v>40</v>
      </c>
      <c r="Z44" s="53" t="s">
        <v>69</v>
      </c>
      <c r="AA44" s="53" t="s">
        <v>47</v>
      </c>
      <c r="AB44" s="53" t="s">
        <v>158</v>
      </c>
    </row>
    <row r="45" spans="1:28" x14ac:dyDescent="0.15">
      <c r="A45" s="53" t="s">
        <v>56</v>
      </c>
      <c r="B45" s="53" t="s">
        <v>232</v>
      </c>
      <c r="C45" s="53">
        <v>2019</v>
      </c>
      <c r="D45" s="81" t="s">
        <v>233</v>
      </c>
      <c r="E45" s="53" t="s">
        <v>255</v>
      </c>
      <c r="F45" s="53" t="s">
        <v>247</v>
      </c>
      <c r="G45" s="53" t="s">
        <v>42</v>
      </c>
      <c r="H45" s="53" t="s">
        <v>164</v>
      </c>
      <c r="I45" s="53" t="s">
        <v>159</v>
      </c>
      <c r="J45" s="53" t="s">
        <v>38</v>
      </c>
      <c r="K45" s="53" t="s">
        <v>161</v>
      </c>
      <c r="L45" s="53">
        <v>2</v>
      </c>
      <c r="N45" s="53">
        <v>1</v>
      </c>
      <c r="O45" s="53">
        <v>0.8</v>
      </c>
      <c r="P45" s="53">
        <v>1</v>
      </c>
      <c r="Q45" s="16">
        <f t="shared" si="0"/>
        <v>0.9</v>
      </c>
      <c r="R45" s="53">
        <v>12.2</v>
      </c>
      <c r="S45" s="53">
        <v>128</v>
      </c>
      <c r="T45" s="16">
        <f t="shared" si="1"/>
        <v>27</v>
      </c>
      <c r="U45" s="53">
        <v>138</v>
      </c>
      <c r="V45" s="16">
        <f t="shared" si="2"/>
        <v>3726</v>
      </c>
      <c r="W45" s="53">
        <v>1</v>
      </c>
      <c r="X45" s="53" t="s">
        <v>39</v>
      </c>
      <c r="Y45" s="53" t="s">
        <v>40</v>
      </c>
      <c r="Z45" s="53" t="s">
        <v>69</v>
      </c>
      <c r="AA45" s="53" t="s">
        <v>47</v>
      </c>
      <c r="AB45" s="53" t="s">
        <v>158</v>
      </c>
    </row>
    <row r="46" spans="1:28" x14ac:dyDescent="0.15">
      <c r="A46" s="53" t="s">
        <v>56</v>
      </c>
      <c r="B46" s="53" t="s">
        <v>232</v>
      </c>
      <c r="C46" s="53">
        <v>2019</v>
      </c>
      <c r="D46" s="81" t="s">
        <v>233</v>
      </c>
      <c r="E46" s="53" t="s">
        <v>255</v>
      </c>
      <c r="F46" s="53" t="s">
        <v>247</v>
      </c>
      <c r="G46" s="53" t="s">
        <v>42</v>
      </c>
      <c r="H46" s="53" t="s">
        <v>164</v>
      </c>
      <c r="I46" s="53" t="s">
        <v>159</v>
      </c>
      <c r="J46" s="53" t="s">
        <v>38</v>
      </c>
      <c r="K46" s="53" t="s">
        <v>161</v>
      </c>
      <c r="L46" s="53">
        <v>3</v>
      </c>
      <c r="N46" s="53">
        <v>1</v>
      </c>
      <c r="O46" s="53">
        <v>0.95</v>
      </c>
      <c r="P46" s="53">
        <v>0.95</v>
      </c>
      <c r="Q46" s="16">
        <f t="shared" si="0"/>
        <v>0.95</v>
      </c>
      <c r="R46" s="53">
        <v>15.1</v>
      </c>
      <c r="S46" s="53">
        <v>131</v>
      </c>
      <c r="T46" s="16">
        <f t="shared" si="1"/>
        <v>25</v>
      </c>
      <c r="U46" s="53">
        <v>138</v>
      </c>
      <c r="V46" s="16">
        <f t="shared" si="2"/>
        <v>3450</v>
      </c>
      <c r="W46" s="53">
        <v>1</v>
      </c>
      <c r="X46" s="53" t="s">
        <v>39</v>
      </c>
      <c r="Y46" s="53" t="s">
        <v>40</v>
      </c>
      <c r="Z46" s="53" t="s">
        <v>69</v>
      </c>
      <c r="AA46" s="53" t="s">
        <v>47</v>
      </c>
      <c r="AB46" s="53" t="s">
        <v>158</v>
      </c>
    </row>
    <row r="47" spans="1:28" x14ac:dyDescent="0.15">
      <c r="A47" s="53" t="s">
        <v>56</v>
      </c>
      <c r="B47" s="53" t="s">
        <v>232</v>
      </c>
      <c r="C47" s="53">
        <v>2019</v>
      </c>
      <c r="D47" s="81" t="s">
        <v>233</v>
      </c>
      <c r="E47" s="53" t="s">
        <v>255</v>
      </c>
      <c r="F47" s="53" t="s">
        <v>247</v>
      </c>
      <c r="G47" s="53" t="s">
        <v>42</v>
      </c>
      <c r="H47" s="53" t="s">
        <v>160</v>
      </c>
      <c r="I47" s="53" t="s">
        <v>159</v>
      </c>
      <c r="J47" s="53" t="s">
        <v>38</v>
      </c>
      <c r="K47" s="53" t="s">
        <v>161</v>
      </c>
      <c r="L47" s="53">
        <v>1</v>
      </c>
      <c r="N47" s="53">
        <v>1</v>
      </c>
      <c r="O47" s="53">
        <v>0.55000000000000004</v>
      </c>
      <c r="P47" s="53">
        <v>0.55000000000000004</v>
      </c>
      <c r="Q47" s="16">
        <f t="shared" si="0"/>
        <v>0.55000000000000004</v>
      </c>
      <c r="R47" s="53">
        <v>17.3</v>
      </c>
      <c r="S47" s="53">
        <v>126</v>
      </c>
      <c r="T47" s="16">
        <f t="shared" si="1"/>
        <v>27</v>
      </c>
      <c r="U47" s="53">
        <v>150</v>
      </c>
      <c r="V47" s="16">
        <f t="shared" si="2"/>
        <v>4050</v>
      </c>
      <c r="W47" s="53">
        <v>1</v>
      </c>
      <c r="X47" s="53" t="s">
        <v>39</v>
      </c>
      <c r="Y47" s="53" t="s">
        <v>40</v>
      </c>
      <c r="Z47" s="53" t="s">
        <v>69</v>
      </c>
      <c r="AA47" s="53" t="s">
        <v>47</v>
      </c>
      <c r="AB47" s="53" t="s">
        <v>158</v>
      </c>
    </row>
    <row r="48" spans="1:28" x14ac:dyDescent="0.15">
      <c r="A48" s="53" t="s">
        <v>56</v>
      </c>
      <c r="B48" s="53" t="s">
        <v>232</v>
      </c>
      <c r="C48" s="53">
        <v>2019</v>
      </c>
      <c r="D48" s="81" t="s">
        <v>233</v>
      </c>
      <c r="E48" s="53" t="s">
        <v>255</v>
      </c>
      <c r="F48" s="53" t="s">
        <v>247</v>
      </c>
      <c r="G48" s="53" t="s">
        <v>42</v>
      </c>
      <c r="H48" s="53" t="s">
        <v>160</v>
      </c>
      <c r="I48" s="53" t="s">
        <v>159</v>
      </c>
      <c r="J48" s="53" t="s">
        <v>38</v>
      </c>
      <c r="K48" s="53" t="s">
        <v>161</v>
      </c>
      <c r="L48" s="53">
        <v>2</v>
      </c>
      <c r="N48" s="53">
        <v>1</v>
      </c>
      <c r="O48" s="53">
        <v>0.75</v>
      </c>
      <c r="P48" s="53">
        <v>0.8</v>
      </c>
      <c r="Q48" s="16">
        <f t="shared" si="0"/>
        <v>0.77500000000000002</v>
      </c>
      <c r="R48" s="53">
        <v>14.8</v>
      </c>
      <c r="S48" s="53">
        <v>128</v>
      </c>
      <c r="T48" s="16">
        <f t="shared" si="1"/>
        <v>27</v>
      </c>
      <c r="U48" s="53">
        <v>150</v>
      </c>
      <c r="V48" s="16">
        <f t="shared" si="2"/>
        <v>4050</v>
      </c>
      <c r="W48" s="53">
        <v>1</v>
      </c>
      <c r="X48" s="53" t="s">
        <v>39</v>
      </c>
      <c r="Y48" s="53" t="s">
        <v>40</v>
      </c>
      <c r="Z48" s="53" t="s">
        <v>69</v>
      </c>
      <c r="AA48" s="53" t="s">
        <v>47</v>
      </c>
      <c r="AB48" s="53" t="s">
        <v>158</v>
      </c>
    </row>
    <row r="49" spans="1:28" x14ac:dyDescent="0.15">
      <c r="A49" s="53" t="s">
        <v>56</v>
      </c>
      <c r="B49" s="53" t="s">
        <v>232</v>
      </c>
      <c r="C49" s="53">
        <v>2019</v>
      </c>
      <c r="D49" s="81" t="s">
        <v>233</v>
      </c>
      <c r="E49" s="53" t="s">
        <v>255</v>
      </c>
      <c r="F49" s="53" t="s">
        <v>247</v>
      </c>
      <c r="G49" s="53" t="s">
        <v>42</v>
      </c>
      <c r="H49" s="53" t="s">
        <v>160</v>
      </c>
      <c r="I49" s="53" t="s">
        <v>159</v>
      </c>
      <c r="J49" s="53" t="s">
        <v>38</v>
      </c>
      <c r="K49" s="53" t="s">
        <v>161</v>
      </c>
      <c r="L49" s="53">
        <v>3</v>
      </c>
      <c r="N49" s="53">
        <v>1</v>
      </c>
      <c r="O49" s="53">
        <v>0.7</v>
      </c>
      <c r="P49" s="53">
        <v>0.7</v>
      </c>
      <c r="Q49" s="16">
        <f t="shared" si="0"/>
        <v>0.7</v>
      </c>
      <c r="R49" s="53">
        <v>17.2</v>
      </c>
      <c r="S49" s="53">
        <v>133</v>
      </c>
      <c r="T49" s="16">
        <f t="shared" si="1"/>
        <v>25</v>
      </c>
      <c r="U49" s="53">
        <v>150</v>
      </c>
      <c r="V49" s="16">
        <f t="shared" si="2"/>
        <v>3750</v>
      </c>
      <c r="W49" s="53">
        <v>1</v>
      </c>
      <c r="X49" s="53" t="s">
        <v>39</v>
      </c>
      <c r="Y49" s="53" t="s">
        <v>40</v>
      </c>
      <c r="Z49" s="53" t="s">
        <v>69</v>
      </c>
      <c r="AA49" s="53" t="s">
        <v>47</v>
      </c>
      <c r="AB49" s="53" t="s">
        <v>158</v>
      </c>
    </row>
    <row r="50" spans="1:28" x14ac:dyDescent="0.15">
      <c r="A50" s="53" t="s">
        <v>56</v>
      </c>
      <c r="B50" s="53" t="s">
        <v>232</v>
      </c>
      <c r="C50" s="53">
        <v>2019</v>
      </c>
      <c r="D50" s="81" t="s">
        <v>233</v>
      </c>
      <c r="E50" s="53" t="s">
        <v>256</v>
      </c>
      <c r="F50" s="53" t="s">
        <v>237</v>
      </c>
      <c r="G50" s="53" t="s">
        <v>42</v>
      </c>
      <c r="H50" s="53" t="s">
        <v>164</v>
      </c>
      <c r="I50" s="53" t="s">
        <v>159</v>
      </c>
      <c r="J50" s="53" t="s">
        <v>38</v>
      </c>
      <c r="K50" s="53" t="s">
        <v>161</v>
      </c>
      <c r="L50" s="53">
        <v>1</v>
      </c>
      <c r="N50" s="53">
        <v>5</v>
      </c>
      <c r="O50" s="53">
        <v>0.5</v>
      </c>
      <c r="P50" s="53">
        <v>0.5</v>
      </c>
      <c r="Q50" s="16">
        <f t="shared" si="0"/>
        <v>0.5</v>
      </c>
      <c r="R50" s="53">
        <v>13</v>
      </c>
      <c r="S50" s="53">
        <v>84</v>
      </c>
      <c r="T50" s="16">
        <f t="shared" si="1"/>
        <v>36</v>
      </c>
      <c r="U50" s="53">
        <v>429</v>
      </c>
      <c r="V50" s="16">
        <f t="shared" si="2"/>
        <v>3088.7999999999997</v>
      </c>
      <c r="W50" s="53">
        <v>1</v>
      </c>
      <c r="X50" s="53" t="s">
        <v>39</v>
      </c>
      <c r="Y50" s="53" t="s">
        <v>78</v>
      </c>
      <c r="Z50" s="53" t="s">
        <v>55</v>
      </c>
      <c r="AA50" s="53" t="s">
        <v>47</v>
      </c>
      <c r="AB50" s="53" t="s">
        <v>158</v>
      </c>
    </row>
    <row r="51" spans="1:28" x14ac:dyDescent="0.15">
      <c r="A51" s="53" t="s">
        <v>56</v>
      </c>
      <c r="B51" s="53" t="s">
        <v>232</v>
      </c>
      <c r="C51" s="53">
        <v>2019</v>
      </c>
      <c r="D51" s="81" t="s">
        <v>233</v>
      </c>
      <c r="E51" s="53" t="s">
        <v>256</v>
      </c>
      <c r="F51" s="53" t="s">
        <v>237</v>
      </c>
      <c r="G51" s="53" t="s">
        <v>42</v>
      </c>
      <c r="H51" s="53" t="s">
        <v>164</v>
      </c>
      <c r="I51" s="53" t="s">
        <v>159</v>
      </c>
      <c r="J51" s="53" t="s">
        <v>38</v>
      </c>
      <c r="K51" s="53" t="s">
        <v>161</v>
      </c>
      <c r="L51" s="53">
        <v>2</v>
      </c>
      <c r="N51" s="53">
        <v>5</v>
      </c>
      <c r="O51" s="53">
        <v>0.5</v>
      </c>
      <c r="P51" s="53">
        <v>0.5</v>
      </c>
      <c r="Q51" s="16">
        <f t="shared" si="0"/>
        <v>0.5</v>
      </c>
      <c r="R51" s="53">
        <v>12.3</v>
      </c>
      <c r="S51" s="53">
        <v>88</v>
      </c>
      <c r="T51" s="16">
        <f t="shared" si="1"/>
        <v>36</v>
      </c>
      <c r="U51" s="53">
        <v>429</v>
      </c>
      <c r="V51" s="16">
        <f t="shared" si="2"/>
        <v>3088.7999999999997</v>
      </c>
      <c r="W51" s="53">
        <v>1</v>
      </c>
      <c r="X51" s="53" t="s">
        <v>39</v>
      </c>
      <c r="Y51" s="53" t="s">
        <v>78</v>
      </c>
      <c r="Z51" s="53" t="s">
        <v>55</v>
      </c>
      <c r="AA51" s="53" t="s">
        <v>47</v>
      </c>
      <c r="AB51" s="53" t="s">
        <v>158</v>
      </c>
    </row>
    <row r="52" spans="1:28" x14ac:dyDescent="0.15">
      <c r="A52" s="53" t="s">
        <v>56</v>
      </c>
      <c r="B52" s="53" t="s">
        <v>232</v>
      </c>
      <c r="C52" s="53">
        <v>2019</v>
      </c>
      <c r="D52" s="81" t="s">
        <v>233</v>
      </c>
      <c r="E52" s="53" t="s">
        <v>256</v>
      </c>
      <c r="F52" s="53" t="s">
        <v>237</v>
      </c>
      <c r="G52" s="53" t="s">
        <v>42</v>
      </c>
      <c r="H52" s="53" t="s">
        <v>164</v>
      </c>
      <c r="I52" s="53" t="s">
        <v>159</v>
      </c>
      <c r="J52" s="53" t="s">
        <v>38</v>
      </c>
      <c r="K52" s="53" t="s">
        <v>161</v>
      </c>
      <c r="L52" s="53">
        <v>3</v>
      </c>
      <c r="N52" s="53">
        <v>5</v>
      </c>
      <c r="O52" s="53">
        <v>0.55000000000000004</v>
      </c>
      <c r="P52" s="53">
        <v>0.6</v>
      </c>
      <c r="Q52" s="16">
        <f t="shared" si="0"/>
        <v>0.57499999999999996</v>
      </c>
      <c r="R52" s="53">
        <v>13.9</v>
      </c>
      <c r="S52" s="53">
        <v>82</v>
      </c>
      <c r="T52" s="16">
        <f t="shared" si="1"/>
        <v>39</v>
      </c>
      <c r="U52" s="53">
        <v>429</v>
      </c>
      <c r="V52" s="16">
        <f t="shared" si="2"/>
        <v>3346.2</v>
      </c>
      <c r="W52" s="53">
        <v>1</v>
      </c>
      <c r="X52" s="53" t="s">
        <v>39</v>
      </c>
      <c r="Y52" s="53" t="s">
        <v>78</v>
      </c>
      <c r="Z52" s="53" t="s">
        <v>55</v>
      </c>
      <c r="AA52" s="53" t="s">
        <v>47</v>
      </c>
      <c r="AB52" s="53" t="s">
        <v>158</v>
      </c>
    </row>
    <row r="53" spans="1:28" x14ac:dyDescent="0.15">
      <c r="A53" s="53" t="s">
        <v>56</v>
      </c>
      <c r="B53" s="53" t="s">
        <v>232</v>
      </c>
      <c r="C53" s="53">
        <v>2019</v>
      </c>
      <c r="D53" s="81" t="s">
        <v>233</v>
      </c>
      <c r="E53" s="53" t="s">
        <v>256</v>
      </c>
      <c r="F53" s="53" t="s">
        <v>237</v>
      </c>
      <c r="G53" s="53" t="s">
        <v>42</v>
      </c>
      <c r="H53" s="53" t="s">
        <v>160</v>
      </c>
      <c r="I53" s="53" t="s">
        <v>159</v>
      </c>
      <c r="J53" s="53" t="s">
        <v>38</v>
      </c>
      <c r="K53" s="53" t="s">
        <v>161</v>
      </c>
      <c r="L53" s="53">
        <v>1</v>
      </c>
      <c r="N53" s="53">
        <v>4</v>
      </c>
      <c r="O53" s="53">
        <v>0.75</v>
      </c>
      <c r="P53" s="53">
        <v>0.7</v>
      </c>
      <c r="Q53" s="16">
        <f t="shared" si="0"/>
        <v>0.72499999999999998</v>
      </c>
      <c r="R53" s="53">
        <v>16.8</v>
      </c>
      <c r="S53" s="53">
        <v>101</v>
      </c>
      <c r="T53" s="16">
        <f t="shared" si="1"/>
        <v>33</v>
      </c>
      <c r="U53" s="53">
        <v>429</v>
      </c>
      <c r="V53" s="16">
        <f t="shared" si="2"/>
        <v>3539.25</v>
      </c>
      <c r="W53" s="53">
        <v>2</v>
      </c>
      <c r="X53" s="53" t="s">
        <v>39</v>
      </c>
      <c r="Y53" s="53" t="s">
        <v>78</v>
      </c>
      <c r="Z53" s="53" t="s">
        <v>55</v>
      </c>
      <c r="AA53" s="53" t="s">
        <v>47</v>
      </c>
      <c r="AB53" s="53" t="s">
        <v>158</v>
      </c>
    </row>
    <row r="54" spans="1:28" x14ac:dyDescent="0.15">
      <c r="A54" s="53" t="s">
        <v>56</v>
      </c>
      <c r="B54" s="53" t="s">
        <v>232</v>
      </c>
      <c r="C54" s="53">
        <v>2019</v>
      </c>
      <c r="D54" s="81" t="s">
        <v>233</v>
      </c>
      <c r="E54" s="53" t="s">
        <v>256</v>
      </c>
      <c r="F54" s="53" t="s">
        <v>237</v>
      </c>
      <c r="G54" s="53" t="s">
        <v>42</v>
      </c>
      <c r="H54" s="53" t="s">
        <v>160</v>
      </c>
      <c r="I54" s="53" t="s">
        <v>159</v>
      </c>
      <c r="J54" s="53" t="s">
        <v>38</v>
      </c>
      <c r="K54" s="53" t="s">
        <v>161</v>
      </c>
      <c r="L54" s="53">
        <v>2</v>
      </c>
      <c r="N54" s="53">
        <v>4</v>
      </c>
      <c r="O54" s="53">
        <v>0.55000000000000004</v>
      </c>
      <c r="P54" s="53">
        <v>0.55000000000000004</v>
      </c>
      <c r="Q54" s="16">
        <f t="shared" si="0"/>
        <v>0.55000000000000004</v>
      </c>
      <c r="R54" s="53">
        <v>16.399999999999999</v>
      </c>
      <c r="S54" s="53">
        <v>92</v>
      </c>
      <c r="T54" s="16">
        <f t="shared" si="1"/>
        <v>36</v>
      </c>
      <c r="U54" s="53">
        <v>429</v>
      </c>
      <c r="V54" s="16">
        <f t="shared" si="2"/>
        <v>3861</v>
      </c>
      <c r="W54" s="53">
        <v>2</v>
      </c>
      <c r="X54" s="53" t="s">
        <v>39</v>
      </c>
      <c r="Y54" s="53" t="s">
        <v>78</v>
      </c>
      <c r="Z54" s="53" t="s">
        <v>55</v>
      </c>
      <c r="AA54" s="53" t="s">
        <v>47</v>
      </c>
      <c r="AB54" s="53" t="s">
        <v>158</v>
      </c>
    </row>
    <row r="55" spans="1:28" x14ac:dyDescent="0.15">
      <c r="A55" s="53" t="s">
        <v>56</v>
      </c>
      <c r="B55" s="53" t="s">
        <v>232</v>
      </c>
      <c r="C55" s="53">
        <v>2019</v>
      </c>
      <c r="D55" s="81" t="s">
        <v>233</v>
      </c>
      <c r="E55" s="53" t="s">
        <v>256</v>
      </c>
      <c r="F55" s="53" t="s">
        <v>237</v>
      </c>
      <c r="G55" s="53" t="s">
        <v>42</v>
      </c>
      <c r="H55" s="53" t="s">
        <v>160</v>
      </c>
      <c r="I55" s="53" t="s">
        <v>159</v>
      </c>
      <c r="J55" s="53" t="s">
        <v>38</v>
      </c>
      <c r="K55" s="53" t="s">
        <v>161</v>
      </c>
      <c r="L55" s="53">
        <v>3</v>
      </c>
      <c r="N55" s="53">
        <v>4</v>
      </c>
      <c r="O55" s="53">
        <v>0.55000000000000004</v>
      </c>
      <c r="P55" s="53">
        <v>0.55000000000000004</v>
      </c>
      <c r="Q55" s="16">
        <f t="shared" si="0"/>
        <v>0.55000000000000004</v>
      </c>
      <c r="R55" s="53">
        <v>17.3</v>
      </c>
      <c r="S55" s="53">
        <v>100</v>
      </c>
      <c r="T55" s="16">
        <f t="shared" si="1"/>
        <v>33</v>
      </c>
      <c r="U55" s="53">
        <v>429</v>
      </c>
      <c r="V55" s="16">
        <f t="shared" si="2"/>
        <v>3539.25</v>
      </c>
      <c r="W55" s="53">
        <v>2</v>
      </c>
      <c r="X55" s="53" t="s">
        <v>39</v>
      </c>
      <c r="Y55" s="53" t="s">
        <v>78</v>
      </c>
      <c r="Z55" s="53" t="s">
        <v>55</v>
      </c>
      <c r="AA55" s="53" t="s">
        <v>47</v>
      </c>
      <c r="AB55" s="53" t="s">
        <v>158</v>
      </c>
    </row>
    <row r="56" spans="1:28" x14ac:dyDescent="0.15">
      <c r="A56" s="53" t="s">
        <v>56</v>
      </c>
      <c r="B56" s="53" t="s">
        <v>232</v>
      </c>
      <c r="C56" s="53">
        <v>2019</v>
      </c>
      <c r="D56" s="81" t="s">
        <v>233</v>
      </c>
      <c r="E56" s="53" t="s">
        <v>248</v>
      </c>
      <c r="F56" s="53" t="s">
        <v>250</v>
      </c>
      <c r="G56" s="53" t="s">
        <v>42</v>
      </c>
      <c r="H56" s="53" t="s">
        <v>164</v>
      </c>
      <c r="I56" s="53" t="s">
        <v>159</v>
      </c>
      <c r="J56" s="53" t="s">
        <v>38</v>
      </c>
      <c r="K56" s="53" t="s">
        <v>161</v>
      </c>
      <c r="L56" s="53">
        <v>1</v>
      </c>
      <c r="N56" s="53">
        <v>1</v>
      </c>
      <c r="O56" s="53">
        <v>0.75</v>
      </c>
      <c r="P56" s="53">
        <v>0.7</v>
      </c>
      <c r="Q56" s="16">
        <f t="shared" si="0"/>
        <v>0.72499999999999998</v>
      </c>
      <c r="R56" s="53">
        <v>16.100000000000001</v>
      </c>
      <c r="S56" s="53">
        <v>149</v>
      </c>
      <c r="T56" s="16">
        <f t="shared" si="1"/>
        <v>22</v>
      </c>
      <c r="U56" s="53">
        <v>106</v>
      </c>
      <c r="V56" s="16">
        <f t="shared" si="2"/>
        <v>2332</v>
      </c>
      <c r="W56" s="53">
        <v>6</v>
      </c>
      <c r="X56" s="53" t="s">
        <v>46</v>
      </c>
      <c r="Y56" s="53" t="s">
        <v>55</v>
      </c>
      <c r="Z56" s="53" t="s">
        <v>78</v>
      </c>
      <c r="AA56" s="53" t="s">
        <v>47</v>
      </c>
      <c r="AB56" s="53" t="s">
        <v>158</v>
      </c>
    </row>
    <row r="57" spans="1:28" x14ac:dyDescent="0.15">
      <c r="A57" s="53" t="s">
        <v>56</v>
      </c>
      <c r="B57" s="53" t="s">
        <v>232</v>
      </c>
      <c r="C57" s="53">
        <v>2019</v>
      </c>
      <c r="D57" s="81" t="s">
        <v>233</v>
      </c>
      <c r="E57" s="53" t="s">
        <v>248</v>
      </c>
      <c r="F57" s="53" t="s">
        <v>250</v>
      </c>
      <c r="G57" s="53" t="s">
        <v>42</v>
      </c>
      <c r="H57" s="53" t="s">
        <v>164</v>
      </c>
      <c r="I57" s="53" t="s">
        <v>159</v>
      </c>
      <c r="J57" s="53" t="s">
        <v>38</v>
      </c>
      <c r="K57" s="53" t="s">
        <v>161</v>
      </c>
      <c r="L57" s="53">
        <v>2</v>
      </c>
      <c r="N57" s="53">
        <v>1</v>
      </c>
      <c r="O57" s="53">
        <v>0.8</v>
      </c>
      <c r="P57" s="53">
        <v>0.9</v>
      </c>
      <c r="Q57" s="16">
        <f t="shared" si="0"/>
        <v>0.85000000000000009</v>
      </c>
      <c r="R57" s="53">
        <v>14.2</v>
      </c>
      <c r="S57" s="53">
        <v>134</v>
      </c>
      <c r="T57" s="16">
        <f t="shared" si="1"/>
        <v>25</v>
      </c>
      <c r="U57" s="53">
        <v>106</v>
      </c>
      <c r="V57" s="16">
        <f t="shared" si="2"/>
        <v>2650</v>
      </c>
      <c r="W57" s="53">
        <v>6</v>
      </c>
      <c r="X57" s="53" t="s">
        <v>46</v>
      </c>
      <c r="Y57" s="53" t="s">
        <v>55</v>
      </c>
      <c r="Z57" s="53" t="s">
        <v>78</v>
      </c>
      <c r="AA57" s="53" t="s">
        <v>47</v>
      </c>
      <c r="AB57" s="53" t="s">
        <v>158</v>
      </c>
    </row>
    <row r="58" spans="1:28" x14ac:dyDescent="0.15">
      <c r="A58" s="53" t="s">
        <v>56</v>
      </c>
      <c r="B58" s="53" t="s">
        <v>232</v>
      </c>
      <c r="C58" s="53">
        <v>2019</v>
      </c>
      <c r="D58" s="81" t="s">
        <v>233</v>
      </c>
      <c r="E58" s="53" t="s">
        <v>248</v>
      </c>
      <c r="F58" s="53" t="s">
        <v>250</v>
      </c>
      <c r="G58" s="53" t="s">
        <v>42</v>
      </c>
      <c r="H58" s="53" t="s">
        <v>164</v>
      </c>
      <c r="I58" s="53" t="s">
        <v>159</v>
      </c>
      <c r="J58" s="53" t="s">
        <v>38</v>
      </c>
      <c r="K58" s="53" t="s">
        <v>161</v>
      </c>
      <c r="L58" s="53">
        <v>3</v>
      </c>
      <c r="N58" s="53">
        <v>1</v>
      </c>
      <c r="O58" s="53">
        <v>0.7</v>
      </c>
      <c r="P58" s="53">
        <v>0.7</v>
      </c>
      <c r="Q58" s="16">
        <f t="shared" si="0"/>
        <v>0.7</v>
      </c>
      <c r="R58" s="53">
        <v>14.7</v>
      </c>
      <c r="S58" s="53">
        <v>146</v>
      </c>
      <c r="T58" s="16">
        <f t="shared" si="1"/>
        <v>22</v>
      </c>
      <c r="U58" s="53">
        <v>106</v>
      </c>
      <c r="V58" s="16">
        <f t="shared" si="2"/>
        <v>2332</v>
      </c>
      <c r="W58" s="53">
        <v>6</v>
      </c>
      <c r="X58" s="53" t="s">
        <v>46</v>
      </c>
      <c r="Y58" s="53" t="s">
        <v>55</v>
      </c>
      <c r="Z58" s="53" t="s">
        <v>78</v>
      </c>
      <c r="AA58" s="53" t="s">
        <v>47</v>
      </c>
      <c r="AB58" s="53" t="s">
        <v>158</v>
      </c>
    </row>
    <row r="59" spans="1:28" x14ac:dyDescent="0.15">
      <c r="A59" s="53" t="s">
        <v>56</v>
      </c>
      <c r="B59" s="53" t="s">
        <v>232</v>
      </c>
      <c r="C59" s="53">
        <v>2019</v>
      </c>
      <c r="D59" s="81" t="s">
        <v>233</v>
      </c>
      <c r="E59" s="53" t="s">
        <v>248</v>
      </c>
      <c r="F59" s="53" t="s">
        <v>250</v>
      </c>
      <c r="G59" s="53" t="s">
        <v>42</v>
      </c>
      <c r="H59" s="53" t="s">
        <v>160</v>
      </c>
      <c r="I59" s="53" t="s">
        <v>159</v>
      </c>
      <c r="J59" s="53" t="s">
        <v>38</v>
      </c>
      <c r="K59" s="53" t="s">
        <v>161</v>
      </c>
      <c r="L59" s="53">
        <v>1</v>
      </c>
      <c r="N59" s="53">
        <v>1</v>
      </c>
      <c r="O59" s="53">
        <v>0.65</v>
      </c>
      <c r="P59" s="53">
        <v>0.55000000000000004</v>
      </c>
      <c r="Q59" s="16">
        <f t="shared" si="0"/>
        <v>0.60000000000000009</v>
      </c>
      <c r="R59" s="53">
        <v>15.8</v>
      </c>
      <c r="S59" s="53">
        <v>132</v>
      </c>
      <c r="T59" s="16">
        <f t="shared" si="1"/>
        <v>25</v>
      </c>
      <c r="U59" s="53">
        <v>106</v>
      </c>
      <c r="V59" s="16">
        <f t="shared" si="2"/>
        <v>2650</v>
      </c>
      <c r="W59" s="53">
        <v>6</v>
      </c>
      <c r="X59" s="53" t="s">
        <v>46</v>
      </c>
      <c r="Y59" s="53" t="s">
        <v>55</v>
      </c>
      <c r="Z59" s="53" t="s">
        <v>78</v>
      </c>
      <c r="AA59" s="53" t="s">
        <v>47</v>
      </c>
      <c r="AB59" s="53" t="s">
        <v>158</v>
      </c>
    </row>
    <row r="60" spans="1:28" x14ac:dyDescent="0.15">
      <c r="A60" s="53" t="s">
        <v>56</v>
      </c>
      <c r="B60" s="53" t="s">
        <v>232</v>
      </c>
      <c r="C60" s="53">
        <v>2019</v>
      </c>
      <c r="D60" s="81" t="s">
        <v>233</v>
      </c>
      <c r="E60" s="53" t="s">
        <v>248</v>
      </c>
      <c r="F60" s="53" t="s">
        <v>250</v>
      </c>
      <c r="G60" s="53" t="s">
        <v>42</v>
      </c>
      <c r="H60" s="53" t="s">
        <v>160</v>
      </c>
      <c r="I60" s="53" t="s">
        <v>159</v>
      </c>
      <c r="J60" s="53" t="s">
        <v>38</v>
      </c>
      <c r="K60" s="53" t="s">
        <v>161</v>
      </c>
      <c r="L60" s="53">
        <v>2</v>
      </c>
      <c r="N60" s="53">
        <v>1</v>
      </c>
      <c r="O60" s="53">
        <v>0.6</v>
      </c>
      <c r="P60" s="53">
        <v>0.6</v>
      </c>
      <c r="Q60" s="16">
        <f t="shared" si="0"/>
        <v>0.6</v>
      </c>
      <c r="R60" s="53">
        <v>16.3</v>
      </c>
      <c r="S60" s="53">
        <v>129</v>
      </c>
      <c r="T60" s="16">
        <f t="shared" si="1"/>
        <v>25</v>
      </c>
      <c r="U60" s="53">
        <v>106</v>
      </c>
      <c r="V60" s="16">
        <f t="shared" si="2"/>
        <v>2650</v>
      </c>
      <c r="W60" s="53">
        <v>6</v>
      </c>
      <c r="X60" s="53" t="s">
        <v>46</v>
      </c>
      <c r="Y60" s="53" t="s">
        <v>55</v>
      </c>
      <c r="Z60" s="53" t="s">
        <v>78</v>
      </c>
      <c r="AA60" s="53" t="s">
        <v>47</v>
      </c>
      <c r="AB60" s="53" t="s">
        <v>158</v>
      </c>
    </row>
    <row r="61" spans="1:28" x14ac:dyDescent="0.15">
      <c r="A61" s="53" t="s">
        <v>56</v>
      </c>
      <c r="B61" s="53" t="s">
        <v>232</v>
      </c>
      <c r="C61" s="53">
        <v>2019</v>
      </c>
      <c r="D61" s="81" t="s">
        <v>233</v>
      </c>
      <c r="E61" s="53" t="s">
        <v>248</v>
      </c>
      <c r="F61" s="53" t="s">
        <v>250</v>
      </c>
      <c r="G61" s="53" t="s">
        <v>42</v>
      </c>
      <c r="H61" s="53" t="s">
        <v>160</v>
      </c>
      <c r="I61" s="53" t="s">
        <v>159</v>
      </c>
      <c r="J61" s="53" t="s">
        <v>38</v>
      </c>
      <c r="K61" s="53" t="s">
        <v>161</v>
      </c>
      <c r="L61" s="53">
        <v>3</v>
      </c>
      <c r="N61" s="53">
        <v>1</v>
      </c>
      <c r="O61" s="53">
        <v>0.7</v>
      </c>
      <c r="P61" s="53">
        <v>0.6</v>
      </c>
      <c r="Q61" s="16">
        <f t="shared" si="0"/>
        <v>0.64999999999999991</v>
      </c>
      <c r="R61" s="53">
        <v>16.899999999999999</v>
      </c>
      <c r="S61" s="53">
        <v>133</v>
      </c>
      <c r="T61" s="16">
        <f t="shared" si="1"/>
        <v>25</v>
      </c>
      <c r="U61" s="53">
        <v>106</v>
      </c>
      <c r="V61" s="16">
        <f t="shared" si="2"/>
        <v>2650</v>
      </c>
      <c r="W61" s="53">
        <v>6</v>
      </c>
      <c r="X61" s="53" t="s">
        <v>46</v>
      </c>
      <c r="Y61" s="53" t="s">
        <v>55</v>
      </c>
      <c r="Z61" s="53" t="s">
        <v>78</v>
      </c>
      <c r="AA61" s="53" t="s">
        <v>47</v>
      </c>
      <c r="AB61" s="53" t="s">
        <v>158</v>
      </c>
    </row>
    <row r="62" spans="1:28" x14ac:dyDescent="0.15">
      <c r="A62" s="53" t="s">
        <v>56</v>
      </c>
      <c r="B62" s="53" t="s">
        <v>232</v>
      </c>
      <c r="C62" s="53">
        <v>2019</v>
      </c>
      <c r="D62" s="81" t="s">
        <v>233</v>
      </c>
      <c r="E62" s="53" t="s">
        <v>257</v>
      </c>
      <c r="F62" s="53" t="s">
        <v>250</v>
      </c>
      <c r="G62" s="53" t="s">
        <v>42</v>
      </c>
      <c r="H62" s="53" t="s">
        <v>160</v>
      </c>
      <c r="I62" s="53" t="s">
        <v>159</v>
      </c>
      <c r="J62" s="53" t="s">
        <v>38</v>
      </c>
      <c r="K62" s="53" t="s">
        <v>161</v>
      </c>
      <c r="L62" s="53">
        <v>1</v>
      </c>
      <c r="N62" s="53">
        <v>5</v>
      </c>
      <c r="O62" s="53">
        <v>0.7</v>
      </c>
      <c r="P62" s="53">
        <v>0.7</v>
      </c>
      <c r="Q62" s="16">
        <f t="shared" si="0"/>
        <v>0.7</v>
      </c>
      <c r="R62" s="53">
        <v>14.4</v>
      </c>
      <c r="S62" s="53">
        <v>93</v>
      </c>
      <c r="T62" s="16">
        <f t="shared" si="1"/>
        <v>36</v>
      </c>
      <c r="U62" s="53">
        <v>430</v>
      </c>
      <c r="V62" s="16">
        <f t="shared" si="2"/>
        <v>3096</v>
      </c>
      <c r="W62" s="53">
        <v>10</v>
      </c>
      <c r="X62" s="53" t="s">
        <v>46</v>
      </c>
      <c r="Y62" s="53" t="s">
        <v>55</v>
      </c>
      <c r="Z62" s="53" t="s">
        <v>78</v>
      </c>
      <c r="AA62" s="53" t="s">
        <v>97</v>
      </c>
      <c r="AB62" s="53" t="s">
        <v>158</v>
      </c>
    </row>
    <row r="63" spans="1:28" x14ac:dyDescent="0.15">
      <c r="A63" s="53" t="s">
        <v>56</v>
      </c>
      <c r="B63" s="53" t="s">
        <v>232</v>
      </c>
      <c r="C63" s="53">
        <v>2019</v>
      </c>
      <c r="D63" s="81" t="s">
        <v>233</v>
      </c>
      <c r="E63" s="53" t="s">
        <v>257</v>
      </c>
      <c r="F63" s="53" t="s">
        <v>250</v>
      </c>
      <c r="G63" s="53" t="s">
        <v>42</v>
      </c>
      <c r="H63" s="53" t="s">
        <v>160</v>
      </c>
      <c r="I63" s="53" t="s">
        <v>159</v>
      </c>
      <c r="J63" s="53" t="s">
        <v>38</v>
      </c>
      <c r="K63" s="53" t="s">
        <v>161</v>
      </c>
      <c r="L63" s="53">
        <v>2</v>
      </c>
      <c r="N63" s="53">
        <v>5</v>
      </c>
      <c r="O63" s="53">
        <v>0.75</v>
      </c>
      <c r="P63" s="53">
        <v>0.8</v>
      </c>
      <c r="Q63" s="16">
        <f t="shared" si="0"/>
        <v>0.77500000000000002</v>
      </c>
      <c r="R63" s="53">
        <v>11.6</v>
      </c>
      <c r="S63" s="53">
        <v>89</v>
      </c>
      <c r="T63" s="16">
        <f t="shared" si="1"/>
        <v>36</v>
      </c>
      <c r="U63" s="53">
        <v>430</v>
      </c>
      <c r="V63" s="16">
        <f t="shared" si="2"/>
        <v>3096</v>
      </c>
      <c r="W63" s="53">
        <v>10</v>
      </c>
      <c r="X63" s="53" t="s">
        <v>46</v>
      </c>
      <c r="Y63" s="53" t="s">
        <v>55</v>
      </c>
      <c r="Z63" s="53" t="s">
        <v>78</v>
      </c>
      <c r="AA63" s="53" t="s">
        <v>97</v>
      </c>
      <c r="AB63" s="53" t="s">
        <v>158</v>
      </c>
    </row>
    <row r="64" spans="1:28" x14ac:dyDescent="0.15">
      <c r="A64" s="53" t="s">
        <v>56</v>
      </c>
      <c r="B64" s="53" t="s">
        <v>232</v>
      </c>
      <c r="C64" s="53">
        <v>2019</v>
      </c>
      <c r="D64" s="81" t="s">
        <v>233</v>
      </c>
      <c r="E64" s="53" t="s">
        <v>257</v>
      </c>
      <c r="F64" s="53" t="s">
        <v>250</v>
      </c>
      <c r="G64" s="53" t="s">
        <v>42</v>
      </c>
      <c r="H64" s="53" t="s">
        <v>160</v>
      </c>
      <c r="I64" s="53" t="s">
        <v>159</v>
      </c>
      <c r="J64" s="53" t="s">
        <v>38</v>
      </c>
      <c r="K64" s="53" t="s">
        <v>161</v>
      </c>
      <c r="L64" s="53">
        <v>3</v>
      </c>
      <c r="N64" s="53">
        <v>5</v>
      </c>
      <c r="O64" s="53">
        <v>0.65</v>
      </c>
      <c r="P64" s="53">
        <v>0.65</v>
      </c>
      <c r="Q64" s="16">
        <f t="shared" si="0"/>
        <v>0.65</v>
      </c>
      <c r="R64" s="53">
        <v>14</v>
      </c>
      <c r="S64" s="53">
        <v>102</v>
      </c>
      <c r="T64" s="16">
        <f t="shared" si="1"/>
        <v>33</v>
      </c>
      <c r="U64" s="53">
        <v>430</v>
      </c>
      <c r="V64" s="16">
        <f t="shared" si="2"/>
        <v>2838</v>
      </c>
      <c r="W64" s="53">
        <v>10</v>
      </c>
      <c r="X64" s="53" t="s">
        <v>46</v>
      </c>
      <c r="Y64" s="53" t="s">
        <v>55</v>
      </c>
      <c r="Z64" s="53" t="s">
        <v>78</v>
      </c>
      <c r="AA64" s="53" t="s">
        <v>97</v>
      </c>
      <c r="AB64" s="53" t="s">
        <v>158</v>
      </c>
    </row>
    <row r="65" spans="1:28" x14ac:dyDescent="0.15">
      <c r="A65" s="53" t="s">
        <v>56</v>
      </c>
      <c r="B65" s="53" t="s">
        <v>232</v>
      </c>
      <c r="C65" s="53">
        <v>2019</v>
      </c>
      <c r="D65" s="81" t="s">
        <v>233</v>
      </c>
      <c r="E65" s="53" t="s">
        <v>257</v>
      </c>
      <c r="F65" s="53" t="s">
        <v>250</v>
      </c>
      <c r="G65" s="53" t="s">
        <v>42</v>
      </c>
      <c r="H65" s="53" t="s">
        <v>164</v>
      </c>
      <c r="I65" s="53" t="s">
        <v>159</v>
      </c>
      <c r="J65" s="53" t="s">
        <v>38</v>
      </c>
      <c r="K65" s="53" t="s">
        <v>161</v>
      </c>
      <c r="L65" s="53">
        <v>1</v>
      </c>
      <c r="N65" s="53">
        <v>10</v>
      </c>
      <c r="O65" s="53">
        <v>0.55000000000000004</v>
      </c>
      <c r="P65" s="53">
        <v>0.55000000000000004</v>
      </c>
      <c r="Q65" s="16">
        <f t="shared" si="0"/>
        <v>0.55000000000000004</v>
      </c>
      <c r="R65" s="53">
        <v>16.2</v>
      </c>
      <c r="S65" s="53">
        <v>92</v>
      </c>
      <c r="T65" s="16">
        <f t="shared" si="1"/>
        <v>36</v>
      </c>
      <c r="U65" s="53">
        <v>1058</v>
      </c>
      <c r="V65" s="16">
        <f t="shared" si="2"/>
        <v>3808.7999999999997</v>
      </c>
      <c r="W65" s="53">
        <v>12</v>
      </c>
      <c r="X65" s="53" t="s">
        <v>46</v>
      </c>
      <c r="Y65" s="53" t="s">
        <v>55</v>
      </c>
      <c r="Z65" s="53" t="s">
        <v>78</v>
      </c>
      <c r="AA65" s="53" t="s">
        <v>97</v>
      </c>
      <c r="AB65" s="53" t="s">
        <v>158</v>
      </c>
    </row>
    <row r="66" spans="1:28" x14ac:dyDescent="0.15">
      <c r="A66" s="53" t="s">
        <v>56</v>
      </c>
      <c r="B66" s="53" t="s">
        <v>232</v>
      </c>
      <c r="C66" s="53">
        <v>2019</v>
      </c>
      <c r="D66" s="81" t="s">
        <v>233</v>
      </c>
      <c r="E66" s="53" t="s">
        <v>257</v>
      </c>
      <c r="F66" s="53" t="s">
        <v>250</v>
      </c>
      <c r="G66" s="53" t="s">
        <v>42</v>
      </c>
      <c r="H66" s="53" t="s">
        <v>164</v>
      </c>
      <c r="I66" s="53" t="s">
        <v>159</v>
      </c>
      <c r="J66" s="53" t="s">
        <v>38</v>
      </c>
      <c r="K66" s="53" t="s">
        <v>161</v>
      </c>
      <c r="L66" s="53">
        <v>2</v>
      </c>
      <c r="N66" s="53">
        <v>10</v>
      </c>
      <c r="O66" s="53">
        <v>0.5</v>
      </c>
      <c r="P66" s="53">
        <v>0.5</v>
      </c>
      <c r="Q66" s="16">
        <f t="shared" ref="Q66:Q95" si="3">IF(OR(O66="",P66=""),"",AVERAGE(O66,P66))</f>
        <v>0.5</v>
      </c>
      <c r="R66" s="53">
        <v>14.5</v>
      </c>
      <c r="S66" s="53">
        <v>97</v>
      </c>
      <c r="T66" s="16">
        <f t="shared" ref="T66:T95" si="4">IF(H66="","",IF(OR(H66="GREEN",H66="GK"),IF(S66&gt;=$AX$2,VLOOKUP(S66,$AX$2:$AY$10,2,1),""),IF(S66&gt;=$AZ$2,VLOOKUP(S66,$AZ$2:$BA$10,2,1),"")))</f>
        <v>36</v>
      </c>
      <c r="U66" s="53">
        <v>1058</v>
      </c>
      <c r="V66" s="16">
        <f t="shared" ref="V66:V95" si="5">IF(OR(N66="",U66="",T66=""),"",U66/N66*T66)</f>
        <v>3808.7999999999997</v>
      </c>
      <c r="W66" s="53">
        <v>12</v>
      </c>
      <c r="X66" s="53" t="s">
        <v>46</v>
      </c>
      <c r="Y66" s="53" t="s">
        <v>55</v>
      </c>
      <c r="Z66" s="53" t="s">
        <v>78</v>
      </c>
      <c r="AA66" s="53" t="s">
        <v>97</v>
      </c>
      <c r="AB66" s="53" t="s">
        <v>158</v>
      </c>
    </row>
    <row r="67" spans="1:28" x14ac:dyDescent="0.15">
      <c r="A67" s="53" t="s">
        <v>56</v>
      </c>
      <c r="B67" s="53" t="s">
        <v>232</v>
      </c>
      <c r="C67" s="53">
        <v>2019</v>
      </c>
      <c r="D67" s="81" t="s">
        <v>233</v>
      </c>
      <c r="E67" s="53" t="s">
        <v>257</v>
      </c>
      <c r="F67" s="53" t="s">
        <v>250</v>
      </c>
      <c r="G67" s="53" t="s">
        <v>42</v>
      </c>
      <c r="H67" s="53" t="s">
        <v>164</v>
      </c>
      <c r="I67" s="53" t="s">
        <v>159</v>
      </c>
      <c r="J67" s="53" t="s">
        <v>38</v>
      </c>
      <c r="K67" s="53" t="s">
        <v>161</v>
      </c>
      <c r="L67" s="53">
        <v>3</v>
      </c>
      <c r="N67" s="53">
        <v>10</v>
      </c>
      <c r="O67" s="53">
        <v>0.5</v>
      </c>
      <c r="P67" s="53">
        <v>0.5</v>
      </c>
      <c r="Q67" s="16">
        <f t="shared" si="3"/>
        <v>0.5</v>
      </c>
      <c r="R67" s="53">
        <v>14.9</v>
      </c>
      <c r="S67" s="53">
        <v>96</v>
      </c>
      <c r="T67" s="16">
        <f t="shared" si="4"/>
        <v>36</v>
      </c>
      <c r="U67" s="53">
        <v>1058</v>
      </c>
      <c r="V67" s="16">
        <f t="shared" si="5"/>
        <v>3808.7999999999997</v>
      </c>
      <c r="W67" s="53">
        <v>12</v>
      </c>
      <c r="X67" s="53" t="s">
        <v>46</v>
      </c>
      <c r="Y67" s="53" t="s">
        <v>55</v>
      </c>
      <c r="Z67" s="53" t="s">
        <v>78</v>
      </c>
      <c r="AA67" s="53" t="s">
        <v>97</v>
      </c>
      <c r="AB67" s="53" t="s">
        <v>158</v>
      </c>
    </row>
    <row r="68" spans="1:28" x14ac:dyDescent="0.15">
      <c r="D68" s="81"/>
    </row>
    <row r="69" spans="1:28" x14ac:dyDescent="0.15">
      <c r="D69" s="81"/>
    </row>
    <row r="70" spans="1:28" x14ac:dyDescent="0.15">
      <c r="D70" s="81"/>
    </row>
    <row r="71" spans="1:28" x14ac:dyDescent="0.15">
      <c r="D71" s="81"/>
    </row>
    <row r="72" spans="1:28" x14ac:dyDescent="0.15">
      <c r="D72" s="81"/>
    </row>
    <row r="73" spans="1:28" x14ac:dyDescent="0.15">
      <c r="D73" s="81"/>
    </row>
    <row r="74" spans="1:28" x14ac:dyDescent="0.15">
      <c r="D74" s="81"/>
    </row>
    <row r="75" spans="1:28" x14ac:dyDescent="0.15">
      <c r="D75" s="81"/>
    </row>
    <row r="76" spans="1:28" x14ac:dyDescent="0.15">
      <c r="D76" s="81"/>
    </row>
    <row r="77" spans="1:28" x14ac:dyDescent="0.15">
      <c r="D77" s="81"/>
    </row>
    <row r="78" spans="1:28" x14ac:dyDescent="0.15">
      <c r="D78" s="81"/>
    </row>
    <row r="79" spans="1:28" x14ac:dyDescent="0.15">
      <c r="D79" s="81"/>
    </row>
    <row r="80" spans="1:28"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CF2F14B7-90BE-4D6B-8396-911EA99375B1}">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5A46F13E-618C-4823-8BBC-7E6987BD6A4B}">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6F5DE0EC-E7CD-49EF-8F35-E148985FAFD4}">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39DBD2E5-7370-4DC2-B3E2-2347649B9CB5}">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42837065-A6A2-4B3B-9864-74777B98A245}">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2329C6D8-7311-46F6-9568-95A736C9D6B3}"/>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9B3E194E-EA26-4976-9C3F-F1F6198F2D9F}">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379FF256-1360-434E-8076-5319A34F85A3}">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356497FC-EB70-4A77-9B0C-86083E8FAB43}">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2F3398EE-DE4E-4450-B337-140F587EB1A7}">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C051F48E-73FD-408E-8C1B-2BC75E9B348C}">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A524427B-4A05-4C9B-8A17-EFAF3B6C2535}">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09B8DC95-E61B-4952-BDB7-4801375973B2}">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C267D9E0-3292-47FA-9C5B-CCF26E8351E1}">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3DC50DD5-48E5-424E-95F2-6A3148C5DE7F}">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xr:uid="{D1900F72-41BC-4AF5-B7E7-A9A9F664157F}">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6976AEC8-0496-4191-ACA7-1345787C4DE0}">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0375929F-4C8D-471F-B482-838B3CA0B828}">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662C8-5E40-4E48-9864-0152C26537BF}">
  <dimension ref="A1:BA118"/>
  <sheetViews>
    <sheetView zoomScale="70" zoomScaleNormal="70" workbookViewId="0">
      <selection activeCell="AB2" sqref="AB2:AB100"/>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168</v>
      </c>
      <c r="C1" s="85" t="s">
        <v>169</v>
      </c>
      <c r="D1" s="86" t="s">
        <v>3</v>
      </c>
      <c r="E1" s="87" t="s">
        <v>4</v>
      </c>
      <c r="F1" s="87" t="s">
        <v>5</v>
      </c>
      <c r="G1" s="87" t="s">
        <v>6</v>
      </c>
      <c r="H1" s="87" t="s">
        <v>7</v>
      </c>
      <c r="I1" s="87" t="s">
        <v>8</v>
      </c>
      <c r="J1" s="87" t="s">
        <v>9</v>
      </c>
      <c r="K1" s="87" t="s">
        <v>10</v>
      </c>
      <c r="L1" s="86" t="s">
        <v>170</v>
      </c>
      <c r="M1" s="86" t="s">
        <v>171</v>
      </c>
      <c r="N1" s="86" t="s">
        <v>13</v>
      </c>
      <c r="O1" s="86" t="s">
        <v>172</v>
      </c>
      <c r="P1" s="86" t="s">
        <v>173</v>
      </c>
      <c r="Q1" s="88" t="s">
        <v>174</v>
      </c>
      <c r="R1" s="86" t="s">
        <v>175</v>
      </c>
      <c r="S1" s="86" t="s">
        <v>176</v>
      </c>
      <c r="T1" s="88" t="s">
        <v>19</v>
      </c>
      <c r="U1" s="89" t="s">
        <v>108</v>
      </c>
      <c r="V1" s="90" t="s">
        <v>20</v>
      </c>
      <c r="W1" s="86" t="s">
        <v>177</v>
      </c>
      <c r="X1" s="87" t="s">
        <v>22</v>
      </c>
      <c r="Y1" s="87" t="s">
        <v>23</v>
      </c>
      <c r="Z1" s="87" t="s">
        <v>24</v>
      </c>
      <c r="AA1" s="91" t="s">
        <v>25</v>
      </c>
      <c r="AB1" s="92" t="s">
        <v>178</v>
      </c>
      <c r="AE1" s="94" t="s">
        <v>0</v>
      </c>
      <c r="AF1" s="95"/>
      <c r="AG1" s="94" t="s">
        <v>4</v>
      </c>
      <c r="AH1" s="94" t="s">
        <v>5</v>
      </c>
      <c r="AI1" s="95"/>
      <c r="AJ1" s="94" t="s">
        <v>6</v>
      </c>
      <c r="AK1" s="95"/>
      <c r="AL1" s="96" t="s">
        <v>7</v>
      </c>
      <c r="AM1" s="95"/>
      <c r="AN1" s="96" t="s">
        <v>8</v>
      </c>
      <c r="AO1" s="95"/>
      <c r="AP1" s="96" t="s">
        <v>27</v>
      </c>
      <c r="AQ1" s="95"/>
      <c r="AR1" s="96" t="s">
        <v>10</v>
      </c>
      <c r="AS1" s="95"/>
      <c r="AT1" s="97" t="s">
        <v>179</v>
      </c>
      <c r="AU1" s="95"/>
      <c r="AV1" s="96" t="s">
        <v>29</v>
      </c>
      <c r="AX1" s="98" t="s">
        <v>180</v>
      </c>
      <c r="AY1" s="99" t="s">
        <v>181</v>
      </c>
      <c r="AZ1" s="99" t="s">
        <v>182</v>
      </c>
      <c r="BA1" s="100" t="s">
        <v>183</v>
      </c>
    </row>
    <row r="2" spans="1:53" x14ac:dyDescent="0.15">
      <c r="A2" s="93" t="s">
        <v>51</v>
      </c>
      <c r="B2" s="93" t="s">
        <v>157</v>
      </c>
      <c r="C2" s="93">
        <v>2019</v>
      </c>
      <c r="D2" s="101" t="s">
        <v>258</v>
      </c>
      <c r="E2" s="93" t="s">
        <v>259</v>
      </c>
      <c r="F2" s="93" t="s">
        <v>260</v>
      </c>
      <c r="G2" s="93" t="s">
        <v>42</v>
      </c>
      <c r="H2" s="93" t="s">
        <v>164</v>
      </c>
      <c r="I2" s="93" t="s">
        <v>159</v>
      </c>
      <c r="J2" s="93" t="s">
        <v>38</v>
      </c>
      <c r="L2" s="93">
        <v>1</v>
      </c>
      <c r="N2" s="93">
        <v>1</v>
      </c>
      <c r="O2" s="93">
        <v>0.7</v>
      </c>
      <c r="P2" s="93">
        <v>0.85</v>
      </c>
      <c r="Q2" s="102">
        <f t="shared" ref="Q2:Q92" si="0">IF(OR(O2="",P2=""),"",AVERAGE(O2,P2))</f>
        <v>0.77499999999999991</v>
      </c>
      <c r="R2" s="93">
        <v>15.4</v>
      </c>
      <c r="S2" s="93">
        <v>116</v>
      </c>
      <c r="T2" s="103">
        <f>IF(H2="","",IF(OR(H2="GREEN",H2="GK"),IF(S2&gt;=$AX$2,VLOOKUP(S2,$AX$2:$AY$15,2,1),""),IF(S2&gt;=$AZ$2,VLOOKUP(S2,$AZ$2:$BA$15,2,1),"")))</f>
        <v>30</v>
      </c>
      <c r="U2" s="93">
        <v>98</v>
      </c>
      <c r="V2" s="104">
        <f t="shared" ref="V2:V92" si="1">IF(OR(N2="",U2="",T2=""),"",U2/N2*T2)</f>
        <v>2940</v>
      </c>
      <c r="W2" s="93">
        <v>6</v>
      </c>
      <c r="X2" s="93" t="s">
        <v>46</v>
      </c>
      <c r="Y2" s="93" t="s">
        <v>261</v>
      </c>
      <c r="Z2" s="93" t="s">
        <v>262</v>
      </c>
      <c r="AA2" s="93" t="s">
        <v>55</v>
      </c>
      <c r="AB2" s="93" t="s">
        <v>158</v>
      </c>
      <c r="AE2" s="105" t="s">
        <v>35</v>
      </c>
      <c r="AG2" s="106" t="s">
        <v>210</v>
      </c>
      <c r="AH2" s="106" t="s">
        <v>263</v>
      </c>
      <c r="AJ2" s="106" t="s">
        <v>36</v>
      </c>
      <c r="AL2" s="106" t="s">
        <v>187</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264</v>
      </c>
      <c r="E3" s="93" t="s">
        <v>259</v>
      </c>
      <c r="F3" s="93" t="s">
        <v>260</v>
      </c>
      <c r="G3" s="93" t="s">
        <v>42</v>
      </c>
      <c r="H3" s="93" t="s">
        <v>164</v>
      </c>
      <c r="I3" s="93" t="s">
        <v>159</v>
      </c>
      <c r="J3" s="93" t="s">
        <v>38</v>
      </c>
      <c r="L3" s="93">
        <v>2</v>
      </c>
      <c r="N3" s="93">
        <v>1</v>
      </c>
      <c r="O3" s="93">
        <v>0.9</v>
      </c>
      <c r="P3" s="93">
        <v>1.1000000000000001</v>
      </c>
      <c r="Q3" s="102">
        <f t="shared" si="0"/>
        <v>1</v>
      </c>
      <c r="R3" s="93">
        <v>14.9</v>
      </c>
      <c r="S3" s="93">
        <v>117</v>
      </c>
      <c r="T3" s="103">
        <f>IF(H3="","",IF(OR(H3="GREEN",H3="GK"),IF(S3&gt;=$AX$2,VLOOKUP(S3,$AX$2:$AY$15,2,1),""),IF(S3&gt;=$AZ$2,VLOOKUP(S3,$AZ$2:$BA$15,2,1),"")))</f>
        <v>30</v>
      </c>
      <c r="U3" s="93">
        <v>98</v>
      </c>
      <c r="V3" s="104">
        <f t="shared" si="1"/>
        <v>2940</v>
      </c>
      <c r="W3" s="93">
        <v>6</v>
      </c>
      <c r="X3" s="93" t="s">
        <v>46</v>
      </c>
      <c r="Y3" s="93" t="s">
        <v>261</v>
      </c>
      <c r="Z3" s="93" t="s">
        <v>262</v>
      </c>
      <c r="AA3" s="93" t="s">
        <v>55</v>
      </c>
      <c r="AB3" s="93" t="s">
        <v>158</v>
      </c>
      <c r="AE3" s="110" t="s">
        <v>41</v>
      </c>
      <c r="AG3" s="106" t="s">
        <v>265</v>
      </c>
      <c r="AH3" s="106" t="s">
        <v>266</v>
      </c>
      <c r="AJ3" s="111" t="s">
        <v>42</v>
      </c>
      <c r="AL3" s="111" t="s">
        <v>189</v>
      </c>
      <c r="AN3" s="111" t="s">
        <v>43</v>
      </c>
      <c r="AP3" s="111" t="s">
        <v>44</v>
      </c>
      <c r="AR3" s="111" t="s">
        <v>45</v>
      </c>
      <c r="AT3" s="111" t="s">
        <v>46</v>
      </c>
      <c r="AV3" s="111" t="s">
        <v>47</v>
      </c>
      <c r="AX3" s="112">
        <v>72</v>
      </c>
      <c r="AY3" s="113">
        <v>46</v>
      </c>
      <c r="AZ3" s="113">
        <v>71</v>
      </c>
      <c r="BA3" s="114">
        <v>42</v>
      </c>
    </row>
    <row r="4" spans="1:53" ht="14.25" customHeight="1" x14ac:dyDescent="0.15">
      <c r="A4" s="93" t="s">
        <v>51</v>
      </c>
      <c r="B4" s="93" t="s">
        <v>157</v>
      </c>
      <c r="C4" s="93">
        <v>2019</v>
      </c>
      <c r="D4" s="101" t="s">
        <v>264</v>
      </c>
      <c r="E4" s="93" t="s">
        <v>259</v>
      </c>
      <c r="F4" s="93" t="s">
        <v>260</v>
      </c>
      <c r="G4" s="93" t="s">
        <v>42</v>
      </c>
      <c r="H4" s="93" t="s">
        <v>164</v>
      </c>
      <c r="I4" s="93" t="s">
        <v>159</v>
      </c>
      <c r="J4" s="93" t="s">
        <v>38</v>
      </c>
      <c r="L4" s="93">
        <v>3</v>
      </c>
      <c r="N4" s="93">
        <v>1</v>
      </c>
      <c r="O4" s="93">
        <v>0.6</v>
      </c>
      <c r="P4" s="93">
        <v>0.8</v>
      </c>
      <c r="Q4" s="102">
        <f t="shared" si="0"/>
        <v>0.7</v>
      </c>
      <c r="R4" s="93">
        <v>13.6</v>
      </c>
      <c r="S4" s="93">
        <v>121</v>
      </c>
      <c r="T4" s="103">
        <f>IF(H4="","",IF(OR(H4="GREEN",H4="GK"),IF(S4&gt;=$AX$2,VLOOKUP(S4,$AX$2:$AY$15,2,1),""),IF(S4&gt;=$AZ$2,VLOOKUP(S4,$AZ$2:$BA$15,2,1),"")))</f>
        <v>27</v>
      </c>
      <c r="U4" s="93">
        <v>98</v>
      </c>
      <c r="V4" s="104">
        <f t="shared" si="1"/>
        <v>2646</v>
      </c>
      <c r="W4" s="93">
        <v>6</v>
      </c>
      <c r="X4" s="93" t="s">
        <v>46</v>
      </c>
      <c r="Y4" s="93" t="s">
        <v>261</v>
      </c>
      <c r="Z4" s="93" t="s">
        <v>262</v>
      </c>
      <c r="AA4" s="93" t="s">
        <v>55</v>
      </c>
      <c r="AB4" s="93" t="s">
        <v>158</v>
      </c>
      <c r="AE4" s="110" t="s">
        <v>34</v>
      </c>
      <c r="AG4" s="106" t="s">
        <v>267</v>
      </c>
      <c r="AH4" s="106" t="s">
        <v>268</v>
      </c>
      <c r="AJ4" s="115" t="s">
        <v>48</v>
      </c>
      <c r="AL4" s="115" t="s">
        <v>191</v>
      </c>
      <c r="AN4" s="116" t="s">
        <v>192</v>
      </c>
      <c r="AP4" s="111" t="s">
        <v>193</v>
      </c>
      <c r="AR4" s="111" t="s">
        <v>194</v>
      </c>
      <c r="AT4" s="116"/>
      <c r="AV4" s="111" t="s">
        <v>50</v>
      </c>
      <c r="AX4" s="112">
        <v>75</v>
      </c>
      <c r="AY4" s="113">
        <v>42</v>
      </c>
      <c r="AZ4" s="113">
        <v>76</v>
      </c>
      <c r="BA4" s="114">
        <v>39</v>
      </c>
    </row>
    <row r="5" spans="1:53" ht="14.25" customHeight="1" x14ac:dyDescent="0.15">
      <c r="A5" s="93" t="s">
        <v>51</v>
      </c>
      <c r="B5" s="93" t="s">
        <v>157</v>
      </c>
      <c r="C5" s="93">
        <v>2019</v>
      </c>
      <c r="D5" s="101" t="s">
        <v>264</v>
      </c>
      <c r="E5" s="93" t="s">
        <v>259</v>
      </c>
      <c r="F5" s="93" t="s">
        <v>260</v>
      </c>
      <c r="G5" s="93" t="s">
        <v>42</v>
      </c>
      <c r="H5" s="93" t="s">
        <v>186</v>
      </c>
      <c r="I5" s="93" t="s">
        <v>159</v>
      </c>
      <c r="J5" s="93" t="s">
        <v>38</v>
      </c>
      <c r="L5" s="93">
        <v>1</v>
      </c>
      <c r="N5" s="93">
        <v>5</v>
      </c>
      <c r="O5" s="93">
        <v>0.6</v>
      </c>
      <c r="P5" s="93">
        <v>0.65</v>
      </c>
      <c r="Q5" s="102">
        <f t="shared" si="0"/>
        <v>0.625</v>
      </c>
      <c r="R5" s="93">
        <v>18.100000000000001</v>
      </c>
      <c r="S5" s="93">
        <v>82</v>
      </c>
      <c r="T5" s="103">
        <f t="shared" ref="T5:T68" si="2">IF(H5="","",IF(OR(H5="GREEN",H5="GK"),IF(S5&gt;=$AX$2,VLOOKUP(S5,$AX$2:$AY$15,2,1),""),IF(S5&gt;=$AZ$2,VLOOKUP(S5,$AZ$2:$BA$15,2,1),"")))</f>
        <v>39</v>
      </c>
      <c r="U5" s="93">
        <v>398</v>
      </c>
      <c r="V5" s="104">
        <f t="shared" si="1"/>
        <v>3104.3999999999996</v>
      </c>
      <c r="W5" s="93">
        <v>6</v>
      </c>
      <c r="X5" s="93" t="s">
        <v>46</v>
      </c>
      <c r="Y5" s="93" t="s">
        <v>261</v>
      </c>
      <c r="Z5" s="93" t="s">
        <v>262</v>
      </c>
      <c r="AA5" s="93" t="s">
        <v>55</v>
      </c>
      <c r="AB5" s="93" t="s">
        <v>158</v>
      </c>
      <c r="AE5" s="110"/>
      <c r="AG5" s="106"/>
      <c r="AH5" s="106"/>
      <c r="AJ5" s="115"/>
      <c r="AL5" s="117"/>
      <c r="AN5" s="117"/>
      <c r="AP5" s="111"/>
      <c r="AR5" s="111"/>
      <c r="AV5" s="111"/>
      <c r="AX5" s="112"/>
      <c r="AY5" s="113"/>
      <c r="AZ5" s="113"/>
      <c r="BA5" s="114"/>
    </row>
    <row r="6" spans="1:53" ht="14.25" customHeight="1" x14ac:dyDescent="0.15">
      <c r="A6" s="93" t="s">
        <v>51</v>
      </c>
      <c r="B6" s="93" t="s">
        <v>157</v>
      </c>
      <c r="C6" s="93">
        <v>2019</v>
      </c>
      <c r="D6" s="101" t="s">
        <v>264</v>
      </c>
      <c r="E6" s="93" t="s">
        <v>259</v>
      </c>
      <c r="F6" s="93" t="s">
        <v>260</v>
      </c>
      <c r="G6" s="93" t="s">
        <v>42</v>
      </c>
      <c r="H6" s="93" t="s">
        <v>186</v>
      </c>
      <c r="I6" s="93" t="s">
        <v>159</v>
      </c>
      <c r="J6" s="93" t="s">
        <v>38</v>
      </c>
      <c r="L6" s="93">
        <v>2</v>
      </c>
      <c r="N6" s="93">
        <v>5</v>
      </c>
      <c r="O6" s="93">
        <v>0.25</v>
      </c>
      <c r="P6" s="93">
        <v>0.25</v>
      </c>
      <c r="Q6" s="102">
        <f t="shared" si="0"/>
        <v>0.25</v>
      </c>
      <c r="R6" s="93">
        <v>17.3</v>
      </c>
      <c r="S6" s="93">
        <v>88</v>
      </c>
      <c r="T6" s="103">
        <f t="shared" si="2"/>
        <v>36</v>
      </c>
      <c r="U6" s="93">
        <v>398</v>
      </c>
      <c r="V6" s="104">
        <f t="shared" si="1"/>
        <v>2865.6</v>
      </c>
      <c r="W6" s="93">
        <v>6</v>
      </c>
      <c r="X6" s="93" t="s">
        <v>46</v>
      </c>
      <c r="Y6" s="93" t="s">
        <v>261</v>
      </c>
      <c r="Z6" s="93" t="s">
        <v>262</v>
      </c>
      <c r="AA6" s="93" t="s">
        <v>55</v>
      </c>
      <c r="AB6" s="93" t="s">
        <v>158</v>
      </c>
      <c r="AE6" s="110"/>
      <c r="AG6" s="106"/>
      <c r="AH6" s="106"/>
      <c r="AJ6" s="115"/>
      <c r="AL6" s="117"/>
      <c r="AN6" s="117"/>
      <c r="AP6" s="111"/>
      <c r="AR6" s="111"/>
      <c r="AV6" s="111"/>
      <c r="AX6" s="112"/>
      <c r="AY6" s="113"/>
      <c r="AZ6" s="113"/>
      <c r="BA6" s="114"/>
    </row>
    <row r="7" spans="1:53" ht="14.25" customHeight="1" x14ac:dyDescent="0.15">
      <c r="A7" s="93" t="s">
        <v>51</v>
      </c>
      <c r="B7" s="93" t="s">
        <v>157</v>
      </c>
      <c r="C7" s="93">
        <v>2019</v>
      </c>
      <c r="D7" s="101" t="s">
        <v>264</v>
      </c>
      <c r="E7" s="93" t="s">
        <v>259</v>
      </c>
      <c r="F7" s="93" t="s">
        <v>260</v>
      </c>
      <c r="G7" s="93" t="s">
        <v>42</v>
      </c>
      <c r="H7" s="93" t="s">
        <v>186</v>
      </c>
      <c r="I7" s="93" t="s">
        <v>159</v>
      </c>
      <c r="J7" s="93" t="s">
        <v>38</v>
      </c>
      <c r="L7" s="93">
        <v>3</v>
      </c>
      <c r="N7" s="93">
        <v>5</v>
      </c>
      <c r="O7" s="93">
        <v>0.25</v>
      </c>
      <c r="P7" s="93">
        <v>0.25</v>
      </c>
      <c r="Q7" s="102">
        <f t="shared" si="0"/>
        <v>0.25</v>
      </c>
      <c r="R7" s="93">
        <v>16.2</v>
      </c>
      <c r="S7" s="93">
        <v>90</v>
      </c>
      <c r="T7" s="103">
        <f t="shared" si="2"/>
        <v>36</v>
      </c>
      <c r="U7" s="93">
        <v>398</v>
      </c>
      <c r="V7" s="104">
        <f t="shared" si="1"/>
        <v>2865.6</v>
      </c>
      <c r="W7" s="93">
        <v>6</v>
      </c>
      <c r="X7" s="93" t="s">
        <v>46</v>
      </c>
      <c r="Y7" s="93" t="s">
        <v>261</v>
      </c>
      <c r="Z7" s="93" t="s">
        <v>262</v>
      </c>
      <c r="AA7" s="93" t="s">
        <v>55</v>
      </c>
      <c r="AB7" s="93" t="s">
        <v>158</v>
      </c>
      <c r="AE7" s="110"/>
      <c r="AG7" s="106"/>
      <c r="AH7" s="106"/>
      <c r="AJ7" s="115"/>
      <c r="AL7" s="117"/>
      <c r="AN7" s="117"/>
      <c r="AP7" s="111"/>
      <c r="AR7" s="111"/>
      <c r="AV7" s="111"/>
      <c r="AX7" s="112"/>
      <c r="AY7" s="113"/>
      <c r="AZ7" s="113"/>
      <c r="BA7" s="114"/>
    </row>
    <row r="8" spans="1:53" x14ac:dyDescent="0.15">
      <c r="A8" s="93" t="s">
        <v>51</v>
      </c>
      <c r="B8" s="93" t="s">
        <v>157</v>
      </c>
      <c r="C8" s="93">
        <v>2019</v>
      </c>
      <c r="D8" s="101" t="s">
        <v>264</v>
      </c>
      <c r="E8" s="93" t="s">
        <v>259</v>
      </c>
      <c r="F8" s="93" t="s">
        <v>260</v>
      </c>
      <c r="G8" s="93" t="s">
        <v>42</v>
      </c>
      <c r="H8" s="93" t="s">
        <v>160</v>
      </c>
      <c r="I8" s="93" t="s">
        <v>159</v>
      </c>
      <c r="J8" s="93" t="s">
        <v>38</v>
      </c>
      <c r="L8" s="93">
        <v>1</v>
      </c>
      <c r="N8" s="93">
        <v>1</v>
      </c>
      <c r="O8" s="93">
        <v>0.8</v>
      </c>
      <c r="P8" s="93">
        <v>0.55000000000000004</v>
      </c>
      <c r="Q8" s="102">
        <f t="shared" si="0"/>
        <v>0.67500000000000004</v>
      </c>
      <c r="R8" s="93">
        <v>17.100000000000001</v>
      </c>
      <c r="S8" s="93">
        <v>131</v>
      </c>
      <c r="T8" s="103">
        <f t="shared" si="2"/>
        <v>25</v>
      </c>
      <c r="U8" s="93">
        <v>98</v>
      </c>
      <c r="V8" s="104">
        <f t="shared" si="1"/>
        <v>2450</v>
      </c>
      <c r="W8" s="93">
        <v>6</v>
      </c>
      <c r="X8" s="93" t="s">
        <v>46</v>
      </c>
      <c r="Y8" s="93" t="s">
        <v>261</v>
      </c>
      <c r="Z8" s="93" t="s">
        <v>262</v>
      </c>
      <c r="AA8" s="93" t="s">
        <v>55</v>
      </c>
      <c r="AB8" s="93" t="s">
        <v>158</v>
      </c>
      <c r="AE8" s="110" t="s">
        <v>51</v>
      </c>
      <c r="AG8" s="106" t="s">
        <v>269</v>
      </c>
      <c r="AH8" s="106" t="s">
        <v>260</v>
      </c>
      <c r="AJ8" s="116"/>
      <c r="AL8" s="117" t="s">
        <v>164</v>
      </c>
      <c r="AN8" s="117" t="s">
        <v>159</v>
      </c>
      <c r="AP8" s="111" t="s">
        <v>196</v>
      </c>
      <c r="AR8" s="111" t="s">
        <v>54</v>
      </c>
      <c r="AV8" s="111" t="s">
        <v>55</v>
      </c>
      <c r="AX8" s="112">
        <v>84</v>
      </c>
      <c r="AY8" s="113">
        <v>39</v>
      </c>
      <c r="AZ8" s="113">
        <v>84</v>
      </c>
      <c r="BA8" s="114">
        <v>36</v>
      </c>
    </row>
    <row r="9" spans="1:53" x14ac:dyDescent="0.15">
      <c r="A9" s="93" t="s">
        <v>51</v>
      </c>
      <c r="B9" s="93" t="s">
        <v>157</v>
      </c>
      <c r="C9" s="93">
        <v>2019</v>
      </c>
      <c r="D9" s="101" t="s">
        <v>264</v>
      </c>
      <c r="E9" s="93" t="s">
        <v>259</v>
      </c>
      <c r="F9" s="93" t="s">
        <v>260</v>
      </c>
      <c r="G9" s="93" t="s">
        <v>42</v>
      </c>
      <c r="H9" s="93" t="s">
        <v>160</v>
      </c>
      <c r="I9" s="93" t="s">
        <v>159</v>
      </c>
      <c r="J9" s="93" t="s">
        <v>38</v>
      </c>
      <c r="L9" s="93">
        <v>2</v>
      </c>
      <c r="N9" s="93">
        <v>1</v>
      </c>
      <c r="O9" s="93">
        <v>0.8</v>
      </c>
      <c r="P9" s="93">
        <v>0.8</v>
      </c>
      <c r="Q9" s="102">
        <f t="shared" si="0"/>
        <v>0.8</v>
      </c>
      <c r="R9" s="93">
        <v>18.399999999999999</v>
      </c>
      <c r="S9" s="93">
        <v>132</v>
      </c>
      <c r="T9" s="103">
        <f t="shared" si="2"/>
        <v>25</v>
      </c>
      <c r="U9" s="93">
        <v>98</v>
      </c>
      <c r="V9" s="104">
        <f t="shared" si="1"/>
        <v>2450</v>
      </c>
      <c r="W9" s="93">
        <v>6</v>
      </c>
      <c r="X9" s="93" t="s">
        <v>46</v>
      </c>
      <c r="Y9" s="93" t="s">
        <v>261</v>
      </c>
      <c r="Z9" s="93" t="s">
        <v>262</v>
      </c>
      <c r="AA9" s="93" t="s">
        <v>55</v>
      </c>
      <c r="AB9" s="93" t="s">
        <v>158</v>
      </c>
      <c r="AE9" s="110" t="s">
        <v>56</v>
      </c>
      <c r="AG9" s="106" t="s">
        <v>270</v>
      </c>
      <c r="AH9" s="106" t="s">
        <v>271</v>
      </c>
      <c r="AL9" s="117" t="s">
        <v>198</v>
      </c>
      <c r="AN9" s="117" t="s">
        <v>165</v>
      </c>
      <c r="AP9" s="111" t="s">
        <v>53</v>
      </c>
      <c r="AR9" s="111" t="s">
        <v>59</v>
      </c>
      <c r="AV9" s="111" t="s">
        <v>60</v>
      </c>
      <c r="AX9" s="112">
        <v>97</v>
      </c>
      <c r="AY9" s="113">
        <v>36</v>
      </c>
      <c r="AZ9" s="113">
        <v>99</v>
      </c>
      <c r="BA9" s="114">
        <v>33</v>
      </c>
    </row>
    <row r="10" spans="1:53" x14ac:dyDescent="0.15">
      <c r="A10" s="93" t="s">
        <v>51</v>
      </c>
      <c r="B10" s="93" t="s">
        <v>157</v>
      </c>
      <c r="C10" s="93">
        <v>2019</v>
      </c>
      <c r="D10" s="101" t="s">
        <v>264</v>
      </c>
      <c r="E10" s="93" t="s">
        <v>259</v>
      </c>
      <c r="F10" s="93" t="s">
        <v>260</v>
      </c>
      <c r="G10" s="93" t="s">
        <v>42</v>
      </c>
      <c r="H10" s="93" t="s">
        <v>160</v>
      </c>
      <c r="I10" s="93" t="s">
        <v>159</v>
      </c>
      <c r="J10" s="93" t="s">
        <v>38</v>
      </c>
      <c r="L10" s="93">
        <v>3</v>
      </c>
      <c r="N10" s="93">
        <v>1</v>
      </c>
      <c r="O10" s="93">
        <v>0.75</v>
      </c>
      <c r="P10" s="93">
        <v>0.85</v>
      </c>
      <c r="Q10" s="102">
        <f t="shared" si="0"/>
        <v>0.8</v>
      </c>
      <c r="R10" s="93">
        <v>17.3</v>
      </c>
      <c r="S10" s="93">
        <v>135</v>
      </c>
      <c r="T10" s="103">
        <f t="shared" si="2"/>
        <v>25</v>
      </c>
      <c r="U10" s="93">
        <v>98</v>
      </c>
      <c r="V10" s="104">
        <f t="shared" si="1"/>
        <v>2450</v>
      </c>
      <c r="W10" s="93">
        <v>6</v>
      </c>
      <c r="X10" s="93" t="s">
        <v>46</v>
      </c>
      <c r="Y10" s="93" t="s">
        <v>261</v>
      </c>
      <c r="Z10" s="93" t="s">
        <v>262</v>
      </c>
      <c r="AA10" s="93" t="s">
        <v>55</v>
      </c>
      <c r="AB10" s="93" t="s">
        <v>158</v>
      </c>
      <c r="AE10" s="110" t="s">
        <v>61</v>
      </c>
      <c r="AG10" s="106" t="s">
        <v>272</v>
      </c>
      <c r="AH10" s="106" t="s">
        <v>263</v>
      </c>
      <c r="AL10" s="93" t="s">
        <v>186</v>
      </c>
      <c r="AP10" s="111" t="s">
        <v>58</v>
      </c>
      <c r="AR10" s="111" t="s">
        <v>200</v>
      </c>
      <c r="AV10" s="111" t="s">
        <v>64</v>
      </c>
      <c r="AX10" s="112">
        <v>109</v>
      </c>
      <c r="AY10" s="113">
        <v>33</v>
      </c>
      <c r="AZ10" s="113">
        <v>113</v>
      </c>
      <c r="BA10" s="114">
        <v>30</v>
      </c>
    </row>
    <row r="11" spans="1:53" x14ac:dyDescent="0.15">
      <c r="A11" s="93" t="s">
        <v>51</v>
      </c>
      <c r="B11" s="93" t="s">
        <v>157</v>
      </c>
      <c r="C11" s="93">
        <v>2019</v>
      </c>
      <c r="D11" s="101" t="s">
        <v>264</v>
      </c>
      <c r="E11" s="93" t="s">
        <v>265</v>
      </c>
      <c r="F11" s="93" t="s">
        <v>266</v>
      </c>
      <c r="G11" s="93" t="s">
        <v>36</v>
      </c>
      <c r="H11" s="93" t="s">
        <v>164</v>
      </c>
      <c r="I11" s="93" t="s">
        <v>159</v>
      </c>
      <c r="J11" s="93" t="s">
        <v>38</v>
      </c>
      <c r="L11" s="93">
        <v>1</v>
      </c>
      <c r="N11" s="93">
        <v>1</v>
      </c>
      <c r="O11" s="93">
        <v>0.5</v>
      </c>
      <c r="P11" s="93">
        <v>0.6</v>
      </c>
      <c r="Q11" s="102">
        <f t="shared" si="0"/>
        <v>0.55000000000000004</v>
      </c>
      <c r="R11" s="93">
        <v>14.9</v>
      </c>
      <c r="S11" s="93">
        <v>126</v>
      </c>
      <c r="T11" s="103">
        <f t="shared" si="2"/>
        <v>27</v>
      </c>
      <c r="U11" s="93">
        <v>138</v>
      </c>
      <c r="V11" s="104">
        <f t="shared" si="1"/>
        <v>3726</v>
      </c>
      <c r="W11" s="93">
        <v>8</v>
      </c>
      <c r="X11" s="93" t="s">
        <v>46</v>
      </c>
      <c r="Y11" s="93" t="s">
        <v>55</v>
      </c>
      <c r="Z11" s="93" t="s">
        <v>69</v>
      </c>
      <c r="AA11" s="93" t="s">
        <v>97</v>
      </c>
      <c r="AB11" s="93" t="s">
        <v>158</v>
      </c>
      <c r="AE11" s="110" t="s">
        <v>59</v>
      </c>
      <c r="AG11" s="106" t="s">
        <v>273</v>
      </c>
      <c r="AH11" s="106" t="s">
        <v>274</v>
      </c>
      <c r="AL11" s="93" t="s">
        <v>160</v>
      </c>
      <c r="AP11" s="111" t="s">
        <v>62</v>
      </c>
      <c r="AR11" s="111" t="s">
        <v>81</v>
      </c>
      <c r="AV11" s="111" t="s">
        <v>97</v>
      </c>
      <c r="AX11" s="112">
        <v>119</v>
      </c>
      <c r="AY11" s="113">
        <v>30</v>
      </c>
      <c r="AZ11" s="113">
        <v>121</v>
      </c>
      <c r="BA11" s="114">
        <v>27</v>
      </c>
    </row>
    <row r="12" spans="1:53" x14ac:dyDescent="0.15">
      <c r="A12" s="93" t="s">
        <v>51</v>
      </c>
      <c r="B12" s="93" t="s">
        <v>157</v>
      </c>
      <c r="C12" s="93">
        <v>2019</v>
      </c>
      <c r="D12" s="101" t="s">
        <v>264</v>
      </c>
      <c r="E12" s="93" t="s">
        <v>265</v>
      </c>
      <c r="F12" s="93" t="s">
        <v>266</v>
      </c>
      <c r="G12" s="93" t="s">
        <v>36</v>
      </c>
      <c r="H12" s="93" t="s">
        <v>164</v>
      </c>
      <c r="I12" s="93" t="s">
        <v>159</v>
      </c>
      <c r="J12" s="93" t="s">
        <v>38</v>
      </c>
      <c r="L12" s="93">
        <v>2</v>
      </c>
      <c r="N12" s="93">
        <v>1</v>
      </c>
      <c r="O12" s="93">
        <v>0.65</v>
      </c>
      <c r="P12" s="93">
        <v>0.75</v>
      </c>
      <c r="Q12" s="102">
        <f t="shared" si="0"/>
        <v>0.7</v>
      </c>
      <c r="R12" s="93">
        <v>15.1</v>
      </c>
      <c r="S12" s="93">
        <v>130</v>
      </c>
      <c r="T12" s="103">
        <f t="shared" si="2"/>
        <v>25</v>
      </c>
      <c r="U12" s="93">
        <v>138</v>
      </c>
      <c r="V12" s="104">
        <f t="shared" si="1"/>
        <v>3450</v>
      </c>
      <c r="W12" s="93">
        <v>8</v>
      </c>
      <c r="X12" s="93" t="s">
        <v>46</v>
      </c>
      <c r="Y12" s="93" t="s">
        <v>55</v>
      </c>
      <c r="Z12" s="93" t="s">
        <v>69</v>
      </c>
      <c r="AA12" s="93" t="s">
        <v>97</v>
      </c>
      <c r="AB12" s="93" t="s">
        <v>158</v>
      </c>
      <c r="AE12" s="110" t="s">
        <v>203</v>
      </c>
      <c r="AG12" s="106" t="s">
        <v>275</v>
      </c>
      <c r="AH12" s="106" t="s">
        <v>260</v>
      </c>
      <c r="AL12" s="117"/>
      <c r="AP12" s="111" t="s">
        <v>95</v>
      </c>
      <c r="AR12" s="111" t="s">
        <v>206</v>
      </c>
      <c r="AV12" s="111" t="s">
        <v>102</v>
      </c>
      <c r="AX12" s="112">
        <v>128</v>
      </c>
      <c r="AY12" s="113">
        <v>27</v>
      </c>
      <c r="AZ12" s="113">
        <v>129</v>
      </c>
      <c r="BA12" s="114">
        <v>25</v>
      </c>
    </row>
    <row r="13" spans="1:53" x14ac:dyDescent="0.15">
      <c r="A13" s="93" t="s">
        <v>51</v>
      </c>
      <c r="B13" s="93" t="s">
        <v>157</v>
      </c>
      <c r="C13" s="93">
        <v>2019</v>
      </c>
      <c r="D13" s="101" t="s">
        <v>264</v>
      </c>
      <c r="E13" s="93" t="s">
        <v>265</v>
      </c>
      <c r="F13" s="93" t="s">
        <v>266</v>
      </c>
      <c r="G13" s="93" t="s">
        <v>36</v>
      </c>
      <c r="H13" s="93" t="s">
        <v>164</v>
      </c>
      <c r="I13" s="93" t="s">
        <v>159</v>
      </c>
      <c r="J13" s="93" t="s">
        <v>38</v>
      </c>
      <c r="L13" s="93">
        <v>3</v>
      </c>
      <c r="N13" s="93">
        <v>1</v>
      </c>
      <c r="O13" s="93">
        <v>0.25</v>
      </c>
      <c r="P13" s="93">
        <v>0.25</v>
      </c>
      <c r="Q13" s="102">
        <f t="shared" si="0"/>
        <v>0.25</v>
      </c>
      <c r="R13" s="93">
        <v>14.2</v>
      </c>
      <c r="S13" s="93">
        <v>130</v>
      </c>
      <c r="T13" s="103">
        <f t="shared" si="2"/>
        <v>25</v>
      </c>
      <c r="U13" s="93">
        <v>138</v>
      </c>
      <c r="V13" s="104">
        <f t="shared" si="1"/>
        <v>3450</v>
      </c>
      <c r="W13" s="93">
        <v>8</v>
      </c>
      <c r="X13" s="93" t="s">
        <v>46</v>
      </c>
      <c r="Y13" s="93" t="s">
        <v>55</v>
      </c>
      <c r="Z13" s="93" t="s">
        <v>69</v>
      </c>
      <c r="AA13" s="93" t="s">
        <v>97</v>
      </c>
      <c r="AB13" s="93" t="s">
        <v>158</v>
      </c>
      <c r="AE13" s="110" t="s">
        <v>207</v>
      </c>
      <c r="AG13" s="106" t="s">
        <v>259</v>
      </c>
      <c r="AH13" s="111" t="s">
        <v>260</v>
      </c>
      <c r="AP13" s="111" t="s">
        <v>100</v>
      </c>
      <c r="AR13" s="111" t="s">
        <v>209</v>
      </c>
      <c r="AV13" s="111" t="s">
        <v>106</v>
      </c>
      <c r="AX13" s="112">
        <v>138</v>
      </c>
      <c r="AY13" s="113">
        <v>25</v>
      </c>
      <c r="AZ13" s="113">
        <v>138</v>
      </c>
      <c r="BA13" s="114">
        <v>22</v>
      </c>
    </row>
    <row r="14" spans="1:53" x14ac:dyDescent="0.15">
      <c r="A14" s="93" t="s">
        <v>51</v>
      </c>
      <c r="B14" s="93" t="s">
        <v>157</v>
      </c>
      <c r="C14" s="93">
        <v>2019</v>
      </c>
      <c r="D14" s="101" t="s">
        <v>264</v>
      </c>
      <c r="E14" s="93" t="s">
        <v>265</v>
      </c>
      <c r="F14" s="93" t="s">
        <v>266</v>
      </c>
      <c r="G14" s="93" t="s">
        <v>36</v>
      </c>
      <c r="H14" s="93" t="s">
        <v>186</v>
      </c>
      <c r="I14" s="93" t="s">
        <v>159</v>
      </c>
      <c r="J14" s="93" t="s">
        <v>38</v>
      </c>
      <c r="L14" s="93">
        <v>1</v>
      </c>
      <c r="N14" s="93">
        <v>5</v>
      </c>
      <c r="O14" s="93">
        <v>0.25</v>
      </c>
      <c r="P14" s="93">
        <v>0.25</v>
      </c>
      <c r="Q14" s="102">
        <f t="shared" si="0"/>
        <v>0.25</v>
      </c>
      <c r="R14" s="93">
        <v>17.899999999999999</v>
      </c>
      <c r="S14" s="93">
        <v>86</v>
      </c>
      <c r="T14" s="103">
        <f t="shared" si="2"/>
        <v>36</v>
      </c>
      <c r="U14" s="93">
        <v>398</v>
      </c>
      <c r="V14" s="104">
        <f t="shared" si="1"/>
        <v>2865.6</v>
      </c>
      <c r="W14" s="93">
        <v>8</v>
      </c>
      <c r="X14" s="93" t="s">
        <v>46</v>
      </c>
      <c r="Y14" s="93" t="s">
        <v>55</v>
      </c>
      <c r="Z14" s="93" t="s">
        <v>69</v>
      </c>
      <c r="AA14" s="93" t="s">
        <v>97</v>
      </c>
      <c r="AB14" s="93" t="s">
        <v>158</v>
      </c>
      <c r="AE14" s="110" t="s">
        <v>68</v>
      </c>
      <c r="AG14" s="106" t="s">
        <v>139</v>
      </c>
      <c r="AH14" s="111" t="s">
        <v>276</v>
      </c>
      <c r="AP14" s="111" t="s">
        <v>104</v>
      </c>
      <c r="AR14" s="111" t="s">
        <v>212</v>
      </c>
      <c r="AV14" s="111" t="s">
        <v>69</v>
      </c>
      <c r="AX14" s="112">
        <v>151</v>
      </c>
      <c r="AY14" s="113">
        <v>22</v>
      </c>
      <c r="AZ14" s="113">
        <v>152</v>
      </c>
      <c r="BA14" s="114">
        <v>18</v>
      </c>
    </row>
    <row r="15" spans="1:53" x14ac:dyDescent="0.15">
      <c r="A15" s="93" t="s">
        <v>51</v>
      </c>
      <c r="B15" s="93" t="s">
        <v>157</v>
      </c>
      <c r="C15" s="93">
        <v>2019</v>
      </c>
      <c r="D15" s="101" t="s">
        <v>264</v>
      </c>
      <c r="E15" s="93" t="s">
        <v>265</v>
      </c>
      <c r="F15" s="93" t="s">
        <v>266</v>
      </c>
      <c r="G15" s="93" t="s">
        <v>36</v>
      </c>
      <c r="H15" s="93" t="s">
        <v>186</v>
      </c>
      <c r="I15" s="93" t="s">
        <v>159</v>
      </c>
      <c r="J15" s="93" t="s">
        <v>38</v>
      </c>
      <c r="L15" s="93">
        <v>2</v>
      </c>
      <c r="N15" s="93">
        <v>5</v>
      </c>
      <c r="O15" s="93">
        <v>0.25</v>
      </c>
      <c r="P15" s="93">
        <v>0.25</v>
      </c>
      <c r="Q15" s="102">
        <f t="shared" si="0"/>
        <v>0.25</v>
      </c>
      <c r="R15" s="93">
        <v>17.2</v>
      </c>
      <c r="S15" s="93">
        <v>79</v>
      </c>
      <c r="T15" s="103">
        <f t="shared" si="2"/>
        <v>39</v>
      </c>
      <c r="U15" s="93">
        <v>398</v>
      </c>
      <c r="V15" s="104">
        <f t="shared" si="1"/>
        <v>3104.3999999999996</v>
      </c>
      <c r="W15" s="93">
        <v>8</v>
      </c>
      <c r="X15" s="93" t="s">
        <v>46</v>
      </c>
      <c r="Y15" s="93" t="s">
        <v>55</v>
      </c>
      <c r="Z15" s="93" t="s">
        <v>69</v>
      </c>
      <c r="AA15" s="93" t="s">
        <v>97</v>
      </c>
      <c r="AB15" s="93" t="s">
        <v>158</v>
      </c>
      <c r="AE15" s="110" t="s">
        <v>213</v>
      </c>
      <c r="AG15" s="111"/>
      <c r="AH15" s="111"/>
      <c r="AP15" s="111" t="s">
        <v>67</v>
      </c>
      <c r="AR15" s="111" t="s">
        <v>214</v>
      </c>
      <c r="AV15" s="111" t="s">
        <v>72</v>
      </c>
      <c r="AX15" s="118">
        <v>180</v>
      </c>
      <c r="AY15" s="119">
        <v>18</v>
      </c>
      <c r="AZ15" s="119">
        <v>181</v>
      </c>
      <c r="BA15" s="120">
        <v>16</v>
      </c>
    </row>
    <row r="16" spans="1:53" x14ac:dyDescent="0.15">
      <c r="A16" s="93" t="s">
        <v>51</v>
      </c>
      <c r="B16" s="93" t="s">
        <v>157</v>
      </c>
      <c r="C16" s="93">
        <v>2019</v>
      </c>
      <c r="D16" s="101" t="s">
        <v>264</v>
      </c>
      <c r="E16" s="93" t="s">
        <v>265</v>
      </c>
      <c r="F16" s="93" t="s">
        <v>266</v>
      </c>
      <c r="G16" s="93" t="s">
        <v>36</v>
      </c>
      <c r="H16" s="93" t="s">
        <v>186</v>
      </c>
      <c r="I16" s="93" t="s">
        <v>159</v>
      </c>
      <c r="J16" s="93" t="s">
        <v>38</v>
      </c>
      <c r="L16" s="93">
        <v>3</v>
      </c>
      <c r="N16" s="93">
        <v>5</v>
      </c>
      <c r="O16" s="93">
        <v>0.25</v>
      </c>
      <c r="P16" s="93">
        <v>0.25</v>
      </c>
      <c r="Q16" s="102">
        <f t="shared" si="0"/>
        <v>0.25</v>
      </c>
      <c r="R16" s="93">
        <v>15.6</v>
      </c>
      <c r="S16" s="93">
        <v>88</v>
      </c>
      <c r="T16" s="103">
        <f t="shared" si="2"/>
        <v>36</v>
      </c>
      <c r="U16" s="93">
        <v>398</v>
      </c>
      <c r="V16" s="104">
        <f t="shared" si="1"/>
        <v>2865.6</v>
      </c>
      <c r="W16" s="93">
        <v>8</v>
      </c>
      <c r="X16" s="93" t="s">
        <v>46</v>
      </c>
      <c r="Y16" s="93" t="s">
        <v>55</v>
      </c>
      <c r="Z16" s="93" t="s">
        <v>69</v>
      </c>
      <c r="AA16" s="93" t="s">
        <v>97</v>
      </c>
      <c r="AB16" s="93" t="s">
        <v>158</v>
      </c>
      <c r="AE16" s="110" t="s">
        <v>215</v>
      </c>
      <c r="AG16" s="111"/>
      <c r="AH16" s="111"/>
      <c r="AP16" s="111" t="s">
        <v>71</v>
      </c>
      <c r="AR16" s="111" t="s">
        <v>207</v>
      </c>
      <c r="AV16" s="111" t="s">
        <v>75</v>
      </c>
    </row>
    <row r="17" spans="1:48" x14ac:dyDescent="0.15">
      <c r="A17" s="93" t="s">
        <v>51</v>
      </c>
      <c r="B17" s="93" t="s">
        <v>157</v>
      </c>
      <c r="C17" s="93">
        <v>2019</v>
      </c>
      <c r="D17" s="101" t="s">
        <v>264</v>
      </c>
      <c r="E17" s="93" t="s">
        <v>265</v>
      </c>
      <c r="F17" s="93" t="s">
        <v>266</v>
      </c>
      <c r="G17" s="93" t="s">
        <v>36</v>
      </c>
      <c r="H17" s="93" t="s">
        <v>160</v>
      </c>
      <c r="I17" s="93" t="s">
        <v>159</v>
      </c>
      <c r="J17" s="93" t="s">
        <v>38</v>
      </c>
      <c r="L17" s="93">
        <v>1</v>
      </c>
      <c r="N17" s="93">
        <v>1</v>
      </c>
      <c r="O17" s="93">
        <v>0.55000000000000004</v>
      </c>
      <c r="P17" s="93">
        <v>0.6</v>
      </c>
      <c r="Q17" s="102">
        <f t="shared" si="0"/>
        <v>0.57499999999999996</v>
      </c>
      <c r="R17" s="93">
        <v>16.8</v>
      </c>
      <c r="S17" s="93">
        <v>123</v>
      </c>
      <c r="T17" s="103">
        <f t="shared" si="2"/>
        <v>27</v>
      </c>
      <c r="U17" s="93">
        <v>138</v>
      </c>
      <c r="V17" s="104">
        <f t="shared" si="1"/>
        <v>3726</v>
      </c>
      <c r="W17" s="93">
        <v>8</v>
      </c>
      <c r="X17" s="93" t="s">
        <v>46</v>
      </c>
      <c r="Y17" s="93" t="s">
        <v>55</v>
      </c>
      <c r="Z17" s="93" t="s">
        <v>69</v>
      </c>
      <c r="AA17" s="93" t="s">
        <v>97</v>
      </c>
      <c r="AB17" s="93" t="s">
        <v>158</v>
      </c>
      <c r="AE17" s="110" t="s">
        <v>96</v>
      </c>
      <c r="AG17" s="111"/>
      <c r="AH17" s="111"/>
      <c r="AP17" s="111" t="s">
        <v>74</v>
      </c>
      <c r="AR17" s="111" t="s">
        <v>216</v>
      </c>
      <c r="AV17" s="111" t="s">
        <v>78</v>
      </c>
    </row>
    <row r="18" spans="1:48" x14ac:dyDescent="0.15">
      <c r="A18" s="93" t="s">
        <v>51</v>
      </c>
      <c r="B18" s="93" t="s">
        <v>157</v>
      </c>
      <c r="C18" s="93">
        <v>2019</v>
      </c>
      <c r="D18" s="101" t="s">
        <v>264</v>
      </c>
      <c r="E18" s="93" t="s">
        <v>265</v>
      </c>
      <c r="F18" s="93" t="s">
        <v>266</v>
      </c>
      <c r="G18" s="93" t="s">
        <v>36</v>
      </c>
      <c r="H18" s="93" t="s">
        <v>160</v>
      </c>
      <c r="I18" s="93" t="s">
        <v>159</v>
      </c>
      <c r="J18" s="93" t="s">
        <v>38</v>
      </c>
      <c r="L18" s="93">
        <v>2</v>
      </c>
      <c r="N18" s="93">
        <v>1</v>
      </c>
      <c r="O18" s="93">
        <v>0.5</v>
      </c>
      <c r="P18" s="93">
        <v>0.5</v>
      </c>
      <c r="Q18" s="102">
        <f t="shared" si="0"/>
        <v>0.5</v>
      </c>
      <c r="R18" s="93">
        <v>18.399999999999999</v>
      </c>
      <c r="S18" s="93">
        <v>133</v>
      </c>
      <c r="T18" s="103">
        <f t="shared" si="2"/>
        <v>25</v>
      </c>
      <c r="U18" s="93">
        <v>138</v>
      </c>
      <c r="V18" s="104">
        <f t="shared" si="1"/>
        <v>3450</v>
      </c>
      <c r="W18" s="93">
        <v>8</v>
      </c>
      <c r="X18" s="93" t="s">
        <v>46</v>
      </c>
      <c r="Y18" s="93" t="s">
        <v>55</v>
      </c>
      <c r="Z18" s="93" t="s">
        <v>69</v>
      </c>
      <c r="AA18" s="93" t="s">
        <v>97</v>
      </c>
      <c r="AB18" s="93" t="s">
        <v>158</v>
      </c>
      <c r="AE18" s="110" t="s">
        <v>217</v>
      </c>
      <c r="AG18" s="111"/>
      <c r="AH18" s="111"/>
      <c r="AP18" s="111" t="s">
        <v>77</v>
      </c>
      <c r="AR18" s="111" t="s">
        <v>80</v>
      </c>
      <c r="AV18" s="111" t="s">
        <v>107</v>
      </c>
    </row>
    <row r="19" spans="1:48" x14ac:dyDescent="0.15">
      <c r="A19" s="93" t="s">
        <v>51</v>
      </c>
      <c r="B19" s="93" t="s">
        <v>157</v>
      </c>
      <c r="C19" s="93">
        <v>2019</v>
      </c>
      <c r="D19" s="101" t="s">
        <v>264</v>
      </c>
      <c r="E19" s="93" t="s">
        <v>265</v>
      </c>
      <c r="F19" s="93" t="s">
        <v>266</v>
      </c>
      <c r="G19" s="93" t="s">
        <v>36</v>
      </c>
      <c r="H19" s="93" t="s">
        <v>160</v>
      </c>
      <c r="I19" s="93" t="s">
        <v>159</v>
      </c>
      <c r="J19" s="93" t="s">
        <v>38</v>
      </c>
      <c r="L19" s="93">
        <v>3</v>
      </c>
      <c r="N19" s="93">
        <v>1</v>
      </c>
      <c r="O19" s="93">
        <v>0.5</v>
      </c>
      <c r="P19" s="93">
        <v>0.5</v>
      </c>
      <c r="Q19" s="102">
        <f t="shared" si="0"/>
        <v>0.5</v>
      </c>
      <c r="R19" s="93">
        <v>13.9</v>
      </c>
      <c r="S19" s="93">
        <v>123</v>
      </c>
      <c r="T19" s="103">
        <f t="shared" si="2"/>
        <v>27</v>
      </c>
      <c r="U19" s="93">
        <v>138</v>
      </c>
      <c r="V19" s="104">
        <f t="shared" si="1"/>
        <v>3726</v>
      </c>
      <c r="W19" s="93">
        <v>8</v>
      </c>
      <c r="X19" s="93" t="s">
        <v>46</v>
      </c>
      <c r="Y19" s="93" t="s">
        <v>55</v>
      </c>
      <c r="Z19" s="93" t="s">
        <v>69</v>
      </c>
      <c r="AA19" s="93" t="s">
        <v>97</v>
      </c>
      <c r="AB19" s="93" t="s">
        <v>158</v>
      </c>
      <c r="AE19" s="110" t="s">
        <v>218</v>
      </c>
      <c r="AG19" s="116"/>
      <c r="AH19" s="116"/>
      <c r="AP19" s="111" t="s">
        <v>80</v>
      </c>
      <c r="AR19" s="111" t="s">
        <v>63</v>
      </c>
      <c r="AV19" s="111" t="s">
        <v>84</v>
      </c>
    </row>
    <row r="20" spans="1:48" x14ac:dyDescent="0.15">
      <c r="A20" s="93" t="s">
        <v>51</v>
      </c>
      <c r="B20" s="93" t="s">
        <v>157</v>
      </c>
      <c r="C20" s="93">
        <v>2019</v>
      </c>
      <c r="D20" s="101" t="s">
        <v>264</v>
      </c>
      <c r="E20" s="93" t="s">
        <v>139</v>
      </c>
      <c r="F20" s="93" t="s">
        <v>276</v>
      </c>
      <c r="G20" s="93" t="s">
        <v>42</v>
      </c>
      <c r="H20" s="93" t="s">
        <v>164</v>
      </c>
      <c r="I20" s="93" t="s">
        <v>159</v>
      </c>
      <c r="J20" s="93" t="s">
        <v>38</v>
      </c>
      <c r="L20" s="93">
        <v>1</v>
      </c>
      <c r="N20" s="93">
        <v>1</v>
      </c>
      <c r="O20" s="93">
        <v>0.6</v>
      </c>
      <c r="P20" s="93">
        <v>0.75</v>
      </c>
      <c r="Q20" s="102">
        <f t="shared" si="0"/>
        <v>0.67500000000000004</v>
      </c>
      <c r="R20" s="93">
        <v>14</v>
      </c>
      <c r="S20" s="93">
        <v>92</v>
      </c>
      <c r="T20" s="103">
        <f t="shared" si="2"/>
        <v>36</v>
      </c>
      <c r="U20" s="93">
        <v>105</v>
      </c>
      <c r="V20" s="104">
        <f t="shared" si="1"/>
        <v>3780</v>
      </c>
      <c r="W20" s="93">
        <v>20</v>
      </c>
      <c r="X20" s="93" t="s">
        <v>46</v>
      </c>
      <c r="Y20" s="93" t="s">
        <v>55</v>
      </c>
      <c r="Z20" s="93" t="s">
        <v>69</v>
      </c>
      <c r="AA20" s="93" t="s">
        <v>97</v>
      </c>
      <c r="AB20" s="93" t="s">
        <v>158</v>
      </c>
      <c r="AE20" s="110" t="s">
        <v>219</v>
      </c>
      <c r="AP20" s="115" t="s">
        <v>220</v>
      </c>
      <c r="AR20" s="111" t="s">
        <v>96</v>
      </c>
      <c r="AV20" s="111" t="s">
        <v>86</v>
      </c>
    </row>
    <row r="21" spans="1:48" x14ac:dyDescent="0.15">
      <c r="A21" s="93" t="s">
        <v>51</v>
      </c>
      <c r="B21" s="93" t="s">
        <v>157</v>
      </c>
      <c r="C21" s="93">
        <v>2019</v>
      </c>
      <c r="D21" s="101" t="s">
        <v>264</v>
      </c>
      <c r="E21" s="93" t="s">
        <v>139</v>
      </c>
      <c r="F21" s="93" t="s">
        <v>276</v>
      </c>
      <c r="G21" s="93" t="s">
        <v>42</v>
      </c>
      <c r="H21" s="93" t="s">
        <v>164</v>
      </c>
      <c r="I21" s="93" t="s">
        <v>159</v>
      </c>
      <c r="J21" s="93" t="s">
        <v>38</v>
      </c>
      <c r="L21" s="93">
        <v>2</v>
      </c>
      <c r="N21" s="93">
        <v>1</v>
      </c>
      <c r="O21" s="93">
        <v>0.65</v>
      </c>
      <c r="P21" s="93">
        <v>0.6</v>
      </c>
      <c r="Q21" s="102">
        <f t="shared" si="0"/>
        <v>0.625</v>
      </c>
      <c r="R21" s="93">
        <v>15.9</v>
      </c>
      <c r="S21" s="93">
        <v>89</v>
      </c>
      <c r="T21" s="103">
        <f t="shared" si="2"/>
        <v>36</v>
      </c>
      <c r="U21" s="93">
        <v>105</v>
      </c>
      <c r="V21" s="104">
        <f t="shared" si="1"/>
        <v>3780</v>
      </c>
      <c r="W21" s="93">
        <v>20</v>
      </c>
      <c r="X21" s="93" t="s">
        <v>46</v>
      </c>
      <c r="Y21" s="93" t="s">
        <v>55</v>
      </c>
      <c r="Z21" s="93" t="s">
        <v>69</v>
      </c>
      <c r="AA21" s="93" t="s">
        <v>97</v>
      </c>
      <c r="AB21" s="93" t="s">
        <v>158</v>
      </c>
      <c r="AE21" s="110" t="s">
        <v>212</v>
      </c>
      <c r="AP21" s="115" t="s">
        <v>221</v>
      </c>
      <c r="AR21" s="111" t="s">
        <v>101</v>
      </c>
      <c r="AV21" s="111" t="s">
        <v>88</v>
      </c>
    </row>
    <row r="22" spans="1:48" x14ac:dyDescent="0.15">
      <c r="A22" s="93" t="s">
        <v>51</v>
      </c>
      <c r="B22" s="93" t="s">
        <v>157</v>
      </c>
      <c r="C22" s="93">
        <v>2019</v>
      </c>
      <c r="D22" s="101" t="s">
        <v>264</v>
      </c>
      <c r="E22" s="93" t="s">
        <v>139</v>
      </c>
      <c r="F22" s="93" t="s">
        <v>276</v>
      </c>
      <c r="G22" s="93" t="s">
        <v>42</v>
      </c>
      <c r="H22" s="93" t="s">
        <v>164</v>
      </c>
      <c r="I22" s="93" t="s">
        <v>159</v>
      </c>
      <c r="J22" s="93" t="s">
        <v>38</v>
      </c>
      <c r="L22" s="93">
        <v>3</v>
      </c>
      <c r="N22" s="93">
        <v>1</v>
      </c>
      <c r="O22" s="93">
        <v>0.6</v>
      </c>
      <c r="P22" s="93">
        <v>0.7</v>
      </c>
      <c r="Q22" s="102">
        <f t="shared" si="0"/>
        <v>0.64999999999999991</v>
      </c>
      <c r="R22" s="93">
        <v>15.4</v>
      </c>
      <c r="S22" s="93">
        <v>80</v>
      </c>
      <c r="T22" s="103">
        <f t="shared" si="2"/>
        <v>39</v>
      </c>
      <c r="U22" s="93">
        <v>105</v>
      </c>
      <c r="V22" s="104">
        <f t="shared" si="1"/>
        <v>4095</v>
      </c>
      <c r="W22" s="93">
        <v>20</v>
      </c>
      <c r="X22" s="93" t="s">
        <v>46</v>
      </c>
      <c r="Y22" s="93" t="s">
        <v>55</v>
      </c>
      <c r="Z22" s="93" t="s">
        <v>69</v>
      </c>
      <c r="AA22" s="93" t="s">
        <v>97</v>
      </c>
      <c r="AB22" s="93" t="s">
        <v>158</v>
      </c>
      <c r="AE22" s="121" t="s">
        <v>206</v>
      </c>
      <c r="AP22" s="115" t="s">
        <v>222</v>
      </c>
      <c r="AR22" s="111" t="s">
        <v>223</v>
      </c>
      <c r="AV22" s="111" t="s">
        <v>90</v>
      </c>
    </row>
    <row r="23" spans="1:48" x14ac:dyDescent="0.15">
      <c r="A23" s="93" t="s">
        <v>51</v>
      </c>
      <c r="B23" s="93" t="s">
        <v>157</v>
      </c>
      <c r="C23" s="93">
        <v>2019</v>
      </c>
      <c r="D23" s="101" t="s">
        <v>264</v>
      </c>
      <c r="E23" s="93" t="s">
        <v>139</v>
      </c>
      <c r="F23" s="93" t="s">
        <v>276</v>
      </c>
      <c r="G23" s="93" t="s">
        <v>42</v>
      </c>
      <c r="H23" s="93" t="s">
        <v>160</v>
      </c>
      <c r="I23" s="93" t="s">
        <v>159</v>
      </c>
      <c r="J23" s="93" t="s">
        <v>38</v>
      </c>
      <c r="L23" s="93">
        <v>1</v>
      </c>
      <c r="N23" s="93">
        <v>1</v>
      </c>
      <c r="O23" s="93">
        <v>0.6</v>
      </c>
      <c r="P23" s="93">
        <v>0.6</v>
      </c>
      <c r="Q23" s="102">
        <f t="shared" si="0"/>
        <v>0.6</v>
      </c>
      <c r="R23" s="93">
        <v>15.5</v>
      </c>
      <c r="S23" s="93">
        <v>104</v>
      </c>
      <c r="T23" s="103">
        <f t="shared" si="2"/>
        <v>33</v>
      </c>
      <c r="U23" s="93">
        <v>105</v>
      </c>
      <c r="V23" s="104">
        <f t="shared" si="1"/>
        <v>3465</v>
      </c>
      <c r="W23" s="93">
        <v>20</v>
      </c>
      <c r="X23" s="93" t="s">
        <v>46</v>
      </c>
      <c r="Y23" s="93" t="s">
        <v>55</v>
      </c>
      <c r="Z23" s="93" t="s">
        <v>69</v>
      </c>
      <c r="AA23" s="93" t="s">
        <v>97</v>
      </c>
      <c r="AB23" s="93" t="s">
        <v>158</v>
      </c>
      <c r="AE23" s="121"/>
      <c r="AP23" s="115" t="s">
        <v>224</v>
      </c>
      <c r="AR23" s="111" t="s">
        <v>105</v>
      </c>
      <c r="AV23" s="115" t="s">
        <v>225</v>
      </c>
    </row>
    <row r="24" spans="1:48" x14ac:dyDescent="0.15">
      <c r="A24" s="93" t="s">
        <v>51</v>
      </c>
      <c r="B24" s="93" t="s">
        <v>157</v>
      </c>
      <c r="C24" s="93">
        <v>2019</v>
      </c>
      <c r="D24" s="101" t="s">
        <v>264</v>
      </c>
      <c r="E24" s="93" t="s">
        <v>139</v>
      </c>
      <c r="F24" s="93" t="s">
        <v>276</v>
      </c>
      <c r="G24" s="93" t="s">
        <v>42</v>
      </c>
      <c r="H24" s="93" t="s">
        <v>160</v>
      </c>
      <c r="I24" s="93" t="s">
        <v>159</v>
      </c>
      <c r="J24" s="93" t="s">
        <v>38</v>
      </c>
      <c r="L24" s="93">
        <v>2</v>
      </c>
      <c r="N24" s="93">
        <v>1</v>
      </c>
      <c r="O24" s="93">
        <v>0.6</v>
      </c>
      <c r="P24" s="93">
        <v>0.55000000000000004</v>
      </c>
      <c r="Q24" s="102">
        <f t="shared" si="0"/>
        <v>0.57499999999999996</v>
      </c>
      <c r="R24" s="93">
        <v>16.7</v>
      </c>
      <c r="S24" s="93">
        <v>105</v>
      </c>
      <c r="T24" s="103">
        <f t="shared" si="2"/>
        <v>33</v>
      </c>
      <c r="U24" s="93">
        <v>105</v>
      </c>
      <c r="V24" s="104">
        <f t="shared" si="1"/>
        <v>3465</v>
      </c>
      <c r="W24" s="93">
        <v>20</v>
      </c>
      <c r="X24" s="93" t="s">
        <v>46</v>
      </c>
      <c r="Y24" s="93" t="s">
        <v>55</v>
      </c>
      <c r="Z24" s="93" t="s">
        <v>69</v>
      </c>
      <c r="AA24" s="93" t="s">
        <v>97</v>
      </c>
      <c r="AB24" s="93" t="s">
        <v>158</v>
      </c>
      <c r="AE24" s="116"/>
      <c r="AP24" s="115" t="s">
        <v>226</v>
      </c>
      <c r="AR24" s="111" t="s">
        <v>68</v>
      </c>
      <c r="AV24" s="115" t="s">
        <v>227</v>
      </c>
    </row>
    <row r="25" spans="1:48" x14ac:dyDescent="0.15">
      <c r="A25" s="93" t="s">
        <v>51</v>
      </c>
      <c r="B25" s="93" t="s">
        <v>157</v>
      </c>
      <c r="C25" s="93">
        <v>2019</v>
      </c>
      <c r="D25" s="101" t="s">
        <v>264</v>
      </c>
      <c r="E25" s="93" t="s">
        <v>139</v>
      </c>
      <c r="F25" s="93" t="s">
        <v>276</v>
      </c>
      <c r="G25" s="93" t="s">
        <v>42</v>
      </c>
      <c r="H25" s="93" t="s">
        <v>160</v>
      </c>
      <c r="I25" s="93" t="s">
        <v>159</v>
      </c>
      <c r="J25" s="93" t="s">
        <v>38</v>
      </c>
      <c r="L25" s="93">
        <v>3</v>
      </c>
      <c r="N25" s="93">
        <v>1</v>
      </c>
      <c r="O25" s="93">
        <v>0.5</v>
      </c>
      <c r="P25" s="93">
        <v>0.25</v>
      </c>
      <c r="Q25" s="102">
        <f t="shared" si="0"/>
        <v>0.375</v>
      </c>
      <c r="R25" s="93">
        <v>19.3</v>
      </c>
      <c r="S25" s="93">
        <v>98</v>
      </c>
      <c r="T25" s="103">
        <f t="shared" si="2"/>
        <v>36</v>
      </c>
      <c r="U25" s="93">
        <v>105</v>
      </c>
      <c r="V25" s="104">
        <f t="shared" si="1"/>
        <v>3780</v>
      </c>
      <c r="W25" s="93">
        <v>20</v>
      </c>
      <c r="X25" s="93" t="s">
        <v>46</v>
      </c>
      <c r="Y25" s="93" t="s">
        <v>55</v>
      </c>
      <c r="Z25" s="93" t="s">
        <v>69</v>
      </c>
      <c r="AA25" s="93" t="s">
        <v>97</v>
      </c>
      <c r="AB25" s="93" t="s">
        <v>158</v>
      </c>
      <c r="AP25" s="115" t="s">
        <v>228</v>
      </c>
      <c r="AR25" s="111" t="s">
        <v>83</v>
      </c>
      <c r="AV25" s="115"/>
    </row>
    <row r="26" spans="1:48" x14ac:dyDescent="0.15">
      <c r="A26" s="93" t="s">
        <v>51</v>
      </c>
      <c r="B26" s="93" t="s">
        <v>157</v>
      </c>
      <c r="C26" s="93">
        <v>2019</v>
      </c>
      <c r="D26" s="101" t="s">
        <v>264</v>
      </c>
      <c r="E26" s="93" t="s">
        <v>270</v>
      </c>
      <c r="F26" s="93" t="s">
        <v>271</v>
      </c>
      <c r="G26" s="93" t="s">
        <v>36</v>
      </c>
      <c r="H26" s="93" t="s">
        <v>164</v>
      </c>
      <c r="I26" s="93" t="s">
        <v>159</v>
      </c>
      <c r="J26" s="93" t="s">
        <v>38</v>
      </c>
      <c r="L26" s="93">
        <v>1</v>
      </c>
      <c r="N26" s="93">
        <v>1</v>
      </c>
      <c r="O26" s="93">
        <v>0.5</v>
      </c>
      <c r="P26" s="93">
        <v>0.5</v>
      </c>
      <c r="Q26" s="102">
        <f t="shared" si="0"/>
        <v>0.5</v>
      </c>
      <c r="R26" s="93">
        <v>14.4</v>
      </c>
      <c r="S26" s="93">
        <v>142</v>
      </c>
      <c r="T26" s="103">
        <f t="shared" si="2"/>
        <v>22</v>
      </c>
      <c r="U26" s="93">
        <v>98</v>
      </c>
      <c r="V26" s="104">
        <f t="shared" si="1"/>
        <v>2156</v>
      </c>
      <c r="W26" s="93">
        <v>8</v>
      </c>
      <c r="X26" s="93" t="s">
        <v>46</v>
      </c>
      <c r="Y26" s="93" t="s">
        <v>277</v>
      </c>
      <c r="Z26" s="93" t="s">
        <v>262</v>
      </c>
      <c r="AA26" s="93" t="s">
        <v>90</v>
      </c>
      <c r="AB26" s="93" t="s">
        <v>158</v>
      </c>
      <c r="AP26" s="115" t="s">
        <v>278</v>
      </c>
      <c r="AR26" s="111" t="s">
        <v>61</v>
      </c>
    </row>
    <row r="27" spans="1:48" x14ac:dyDescent="0.15">
      <c r="A27" s="93" t="s">
        <v>51</v>
      </c>
      <c r="B27" s="93" t="s">
        <v>157</v>
      </c>
      <c r="C27" s="93">
        <v>2019</v>
      </c>
      <c r="D27" s="101" t="s">
        <v>264</v>
      </c>
      <c r="E27" s="93" t="s">
        <v>270</v>
      </c>
      <c r="F27" s="93" t="s">
        <v>271</v>
      </c>
      <c r="G27" s="93" t="s">
        <v>36</v>
      </c>
      <c r="H27" s="93" t="s">
        <v>164</v>
      </c>
      <c r="I27" s="93" t="s">
        <v>159</v>
      </c>
      <c r="J27" s="93" t="s">
        <v>38</v>
      </c>
      <c r="L27" s="93">
        <v>2</v>
      </c>
      <c r="N27" s="93">
        <v>1</v>
      </c>
      <c r="O27" s="93">
        <v>0.5</v>
      </c>
      <c r="P27" s="93">
        <v>0.5</v>
      </c>
      <c r="Q27" s="102">
        <f t="shared" si="0"/>
        <v>0.5</v>
      </c>
      <c r="R27" s="93">
        <v>14.2</v>
      </c>
      <c r="S27" s="93">
        <v>149</v>
      </c>
      <c r="T27" s="103">
        <f t="shared" si="2"/>
        <v>22</v>
      </c>
      <c r="U27" s="93">
        <v>98</v>
      </c>
      <c r="V27" s="104">
        <f t="shared" si="1"/>
        <v>2156</v>
      </c>
      <c r="W27" s="93">
        <v>8</v>
      </c>
      <c r="X27" s="93" t="s">
        <v>46</v>
      </c>
      <c r="Y27" s="93" t="s">
        <v>277</v>
      </c>
      <c r="Z27" s="93" t="s">
        <v>262</v>
      </c>
      <c r="AA27" s="93" t="s">
        <v>90</v>
      </c>
      <c r="AB27" s="93" t="s">
        <v>158</v>
      </c>
      <c r="AP27" s="115" t="s">
        <v>279</v>
      </c>
      <c r="AR27" s="111" t="s">
        <v>91</v>
      </c>
    </row>
    <row r="28" spans="1:48" x14ac:dyDescent="0.15">
      <c r="A28" s="93" t="s">
        <v>51</v>
      </c>
      <c r="B28" s="93" t="s">
        <v>157</v>
      </c>
      <c r="C28" s="93">
        <v>2019</v>
      </c>
      <c r="D28" s="101" t="s">
        <v>264</v>
      </c>
      <c r="E28" s="93" t="s">
        <v>270</v>
      </c>
      <c r="F28" s="93" t="s">
        <v>271</v>
      </c>
      <c r="G28" s="93" t="s">
        <v>36</v>
      </c>
      <c r="H28" s="93" t="s">
        <v>164</v>
      </c>
      <c r="I28" s="93" t="s">
        <v>159</v>
      </c>
      <c r="J28" s="93" t="s">
        <v>38</v>
      </c>
      <c r="L28" s="93">
        <v>3</v>
      </c>
      <c r="N28" s="93">
        <v>1</v>
      </c>
      <c r="O28" s="93">
        <v>0.5</v>
      </c>
      <c r="P28" s="93">
        <v>0.5</v>
      </c>
      <c r="Q28" s="102">
        <f t="shared" si="0"/>
        <v>0.5</v>
      </c>
      <c r="R28" s="93">
        <v>17.899999999999999</v>
      </c>
      <c r="S28" s="93">
        <v>143</v>
      </c>
      <c r="T28" s="103">
        <f t="shared" si="2"/>
        <v>22</v>
      </c>
      <c r="U28" s="93">
        <v>98</v>
      </c>
      <c r="V28" s="104">
        <f t="shared" si="1"/>
        <v>2156</v>
      </c>
      <c r="W28" s="93">
        <v>8</v>
      </c>
      <c r="X28" s="93" t="s">
        <v>46</v>
      </c>
      <c r="Y28" s="93" t="s">
        <v>277</v>
      </c>
      <c r="Z28" s="93" t="s">
        <v>262</v>
      </c>
      <c r="AA28" s="93" t="s">
        <v>90</v>
      </c>
      <c r="AB28" s="93" t="s">
        <v>158</v>
      </c>
      <c r="AP28" s="115" t="s">
        <v>280</v>
      </c>
      <c r="AR28" s="115" t="s">
        <v>51</v>
      </c>
    </row>
    <row r="29" spans="1:48" x14ac:dyDescent="0.15">
      <c r="A29" s="93" t="s">
        <v>51</v>
      </c>
      <c r="B29" s="93" t="s">
        <v>157</v>
      </c>
      <c r="C29" s="93">
        <v>2019</v>
      </c>
      <c r="D29" s="101" t="s">
        <v>264</v>
      </c>
      <c r="E29" s="93" t="s">
        <v>270</v>
      </c>
      <c r="F29" s="93" t="s">
        <v>271</v>
      </c>
      <c r="G29" s="93" t="s">
        <v>36</v>
      </c>
      <c r="H29" s="93" t="s">
        <v>186</v>
      </c>
      <c r="I29" s="93" t="s">
        <v>159</v>
      </c>
      <c r="J29" s="93" t="s">
        <v>38</v>
      </c>
      <c r="L29" s="93">
        <v>1</v>
      </c>
      <c r="N29" s="93">
        <v>4</v>
      </c>
      <c r="O29" s="93">
        <v>0.5</v>
      </c>
      <c r="P29" s="93">
        <v>0.5</v>
      </c>
      <c r="Q29" s="102">
        <f t="shared" si="0"/>
        <v>0.5</v>
      </c>
      <c r="R29" s="93">
        <v>17.899999999999999</v>
      </c>
      <c r="S29" s="93">
        <v>71</v>
      </c>
      <c r="T29" s="103">
        <f t="shared" si="2"/>
        <v>42</v>
      </c>
      <c r="U29" s="93">
        <v>398</v>
      </c>
      <c r="V29" s="104">
        <f t="shared" si="1"/>
        <v>4179</v>
      </c>
      <c r="W29" s="93">
        <v>8</v>
      </c>
      <c r="X29" s="93" t="s">
        <v>46</v>
      </c>
      <c r="Y29" s="93" t="s">
        <v>277</v>
      </c>
      <c r="Z29" s="93" t="s">
        <v>262</v>
      </c>
      <c r="AA29" s="93" t="s">
        <v>90</v>
      </c>
      <c r="AB29" s="93" t="s">
        <v>158</v>
      </c>
      <c r="AP29" s="115" t="s">
        <v>229</v>
      </c>
      <c r="AR29" s="93" t="s">
        <v>230</v>
      </c>
    </row>
    <row r="30" spans="1:48" x14ac:dyDescent="0.15">
      <c r="A30" s="93" t="s">
        <v>51</v>
      </c>
      <c r="B30" s="93" t="s">
        <v>157</v>
      </c>
      <c r="C30" s="93">
        <v>2019</v>
      </c>
      <c r="D30" s="101" t="s">
        <v>264</v>
      </c>
      <c r="E30" s="93" t="s">
        <v>270</v>
      </c>
      <c r="F30" s="93" t="s">
        <v>271</v>
      </c>
      <c r="G30" s="93" t="s">
        <v>36</v>
      </c>
      <c r="H30" s="93" t="s">
        <v>186</v>
      </c>
      <c r="I30" s="93" t="s">
        <v>159</v>
      </c>
      <c r="J30" s="93" t="s">
        <v>38</v>
      </c>
      <c r="L30" s="93">
        <v>2</v>
      </c>
      <c r="N30" s="93">
        <v>4</v>
      </c>
      <c r="O30" s="93">
        <v>0.55000000000000004</v>
      </c>
      <c r="P30" s="93">
        <v>0.65</v>
      </c>
      <c r="Q30" s="102">
        <f t="shared" si="0"/>
        <v>0.60000000000000009</v>
      </c>
      <c r="R30" s="93">
        <v>14.3</v>
      </c>
      <c r="S30" s="93">
        <v>79</v>
      </c>
      <c r="T30" s="103">
        <f t="shared" si="2"/>
        <v>39</v>
      </c>
      <c r="U30" s="93">
        <v>398</v>
      </c>
      <c r="V30" s="104">
        <f t="shared" si="1"/>
        <v>3880.5</v>
      </c>
      <c r="W30" s="93">
        <v>8</v>
      </c>
      <c r="X30" s="93" t="s">
        <v>46</v>
      </c>
      <c r="Y30" s="93" t="s">
        <v>277</v>
      </c>
      <c r="Z30" s="93" t="s">
        <v>262</v>
      </c>
      <c r="AA30" s="93" t="s">
        <v>90</v>
      </c>
      <c r="AB30" s="93" t="s">
        <v>158</v>
      </c>
      <c r="AP30" s="115" t="s">
        <v>231</v>
      </c>
    </row>
    <row r="31" spans="1:48" x14ac:dyDescent="0.15">
      <c r="A31" s="93" t="s">
        <v>51</v>
      </c>
      <c r="B31" s="93" t="s">
        <v>157</v>
      </c>
      <c r="C31" s="93">
        <v>2019</v>
      </c>
      <c r="D31" s="101" t="s">
        <v>264</v>
      </c>
      <c r="E31" s="93" t="s">
        <v>270</v>
      </c>
      <c r="F31" s="93" t="s">
        <v>271</v>
      </c>
      <c r="G31" s="93" t="s">
        <v>36</v>
      </c>
      <c r="H31" s="93" t="s">
        <v>186</v>
      </c>
      <c r="I31" s="93" t="s">
        <v>159</v>
      </c>
      <c r="J31" s="93" t="s">
        <v>38</v>
      </c>
      <c r="L31" s="93">
        <v>3</v>
      </c>
      <c r="N31" s="93">
        <v>4</v>
      </c>
      <c r="O31" s="93">
        <v>0.5</v>
      </c>
      <c r="P31" s="93">
        <v>0.55000000000000004</v>
      </c>
      <c r="Q31" s="102">
        <f t="shared" si="0"/>
        <v>0.52500000000000002</v>
      </c>
      <c r="R31" s="93">
        <v>16.399999999999999</v>
      </c>
      <c r="S31" s="93">
        <v>73</v>
      </c>
      <c r="T31" s="103">
        <f t="shared" si="2"/>
        <v>42</v>
      </c>
      <c r="U31" s="93">
        <v>398</v>
      </c>
      <c r="V31" s="104">
        <f t="shared" si="1"/>
        <v>4179</v>
      </c>
      <c r="W31" s="93">
        <v>8</v>
      </c>
      <c r="X31" s="93" t="s">
        <v>46</v>
      </c>
      <c r="Y31" s="93" t="s">
        <v>277</v>
      </c>
      <c r="Z31" s="93" t="s">
        <v>262</v>
      </c>
      <c r="AA31" s="93" t="s">
        <v>90</v>
      </c>
      <c r="AB31" s="93" t="s">
        <v>158</v>
      </c>
    </row>
    <row r="32" spans="1:48" x14ac:dyDescent="0.15">
      <c r="A32" s="93" t="s">
        <v>51</v>
      </c>
      <c r="B32" s="93" t="s">
        <v>157</v>
      </c>
      <c r="C32" s="93">
        <v>2019</v>
      </c>
      <c r="D32" s="101" t="s">
        <v>264</v>
      </c>
      <c r="E32" s="93" t="s">
        <v>270</v>
      </c>
      <c r="F32" s="93" t="s">
        <v>271</v>
      </c>
      <c r="G32" s="93" t="s">
        <v>36</v>
      </c>
      <c r="H32" s="93" t="s">
        <v>160</v>
      </c>
      <c r="I32" s="93" t="s">
        <v>159</v>
      </c>
      <c r="J32" s="93" t="s">
        <v>38</v>
      </c>
      <c r="L32" s="93">
        <v>1</v>
      </c>
      <c r="N32" s="93">
        <v>1</v>
      </c>
      <c r="O32" s="93">
        <v>0.6</v>
      </c>
      <c r="P32" s="93">
        <v>0.7</v>
      </c>
      <c r="Q32" s="102">
        <f t="shared" si="0"/>
        <v>0.64999999999999991</v>
      </c>
      <c r="R32" s="93">
        <v>14.7</v>
      </c>
      <c r="S32" s="93">
        <v>133</v>
      </c>
      <c r="T32" s="103">
        <f t="shared" si="2"/>
        <v>25</v>
      </c>
      <c r="U32" s="93">
        <v>128</v>
      </c>
      <c r="V32" s="104">
        <f t="shared" si="1"/>
        <v>3200</v>
      </c>
      <c r="W32" s="93">
        <v>8</v>
      </c>
      <c r="X32" s="93" t="s">
        <v>46</v>
      </c>
      <c r="Y32" s="93" t="s">
        <v>277</v>
      </c>
      <c r="Z32" s="93" t="s">
        <v>262</v>
      </c>
      <c r="AA32" s="93" t="s">
        <v>90</v>
      </c>
      <c r="AB32" s="93" t="s">
        <v>158</v>
      </c>
    </row>
    <row r="33" spans="1:28" x14ac:dyDescent="0.15">
      <c r="A33" s="93" t="s">
        <v>51</v>
      </c>
      <c r="B33" s="93" t="s">
        <v>157</v>
      </c>
      <c r="C33" s="93">
        <v>2019</v>
      </c>
      <c r="D33" s="101" t="s">
        <v>264</v>
      </c>
      <c r="E33" s="93" t="s">
        <v>270</v>
      </c>
      <c r="F33" s="93" t="s">
        <v>271</v>
      </c>
      <c r="G33" s="93" t="s">
        <v>36</v>
      </c>
      <c r="H33" s="93" t="s">
        <v>160</v>
      </c>
      <c r="I33" s="93" t="s">
        <v>159</v>
      </c>
      <c r="J33" s="93" t="s">
        <v>38</v>
      </c>
      <c r="L33" s="93">
        <v>2</v>
      </c>
      <c r="N33" s="93">
        <v>1</v>
      </c>
      <c r="O33" s="93">
        <v>0.65</v>
      </c>
      <c r="P33" s="93">
        <v>0.8</v>
      </c>
      <c r="Q33" s="102">
        <f t="shared" si="0"/>
        <v>0.72500000000000009</v>
      </c>
      <c r="R33" s="93">
        <v>16.399999999999999</v>
      </c>
      <c r="S33" s="93">
        <v>129</v>
      </c>
      <c r="T33" s="103">
        <f t="shared" si="2"/>
        <v>25</v>
      </c>
      <c r="U33" s="93">
        <v>128</v>
      </c>
      <c r="V33" s="104">
        <f t="shared" si="1"/>
        <v>3200</v>
      </c>
      <c r="W33" s="93">
        <v>8</v>
      </c>
      <c r="X33" s="93" t="s">
        <v>46</v>
      </c>
      <c r="Y33" s="93" t="s">
        <v>277</v>
      </c>
      <c r="Z33" s="93" t="s">
        <v>262</v>
      </c>
      <c r="AA33" s="93" t="s">
        <v>90</v>
      </c>
      <c r="AB33" s="93" t="s">
        <v>158</v>
      </c>
    </row>
    <row r="34" spans="1:28" x14ac:dyDescent="0.15">
      <c r="A34" s="93" t="s">
        <v>51</v>
      </c>
      <c r="B34" s="93" t="s">
        <v>157</v>
      </c>
      <c r="C34" s="93">
        <v>2019</v>
      </c>
      <c r="D34" s="101" t="s">
        <v>264</v>
      </c>
      <c r="E34" s="93" t="s">
        <v>270</v>
      </c>
      <c r="F34" s="93" t="s">
        <v>271</v>
      </c>
      <c r="G34" s="93" t="s">
        <v>36</v>
      </c>
      <c r="H34" s="93" t="s">
        <v>160</v>
      </c>
      <c r="I34" s="93" t="s">
        <v>159</v>
      </c>
      <c r="J34" s="93" t="s">
        <v>38</v>
      </c>
      <c r="L34" s="93">
        <v>3</v>
      </c>
      <c r="N34" s="93">
        <v>1</v>
      </c>
      <c r="O34" s="93">
        <v>0.55000000000000004</v>
      </c>
      <c r="P34" s="93">
        <v>0.55000000000000004</v>
      </c>
      <c r="Q34" s="102">
        <f t="shared" si="0"/>
        <v>0.55000000000000004</v>
      </c>
      <c r="R34" s="93">
        <v>15.7</v>
      </c>
      <c r="S34" s="93">
        <v>128</v>
      </c>
      <c r="T34" s="103">
        <f t="shared" si="2"/>
        <v>27</v>
      </c>
      <c r="U34" s="93">
        <v>128</v>
      </c>
      <c r="V34" s="104">
        <f t="shared" si="1"/>
        <v>3456</v>
      </c>
      <c r="W34" s="93">
        <v>8</v>
      </c>
      <c r="X34" s="93" t="s">
        <v>46</v>
      </c>
      <c r="Y34" s="93" t="s">
        <v>277</v>
      </c>
      <c r="Z34" s="93" t="s">
        <v>262</v>
      </c>
      <c r="AA34" s="93" t="s">
        <v>90</v>
      </c>
      <c r="AB34" s="93" t="s">
        <v>158</v>
      </c>
    </row>
    <row r="35" spans="1:28" x14ac:dyDescent="0.15">
      <c r="A35" s="93" t="s">
        <v>51</v>
      </c>
      <c r="B35" s="93" t="s">
        <v>157</v>
      </c>
      <c r="C35" s="93">
        <v>2019</v>
      </c>
      <c r="D35" s="101" t="s">
        <v>264</v>
      </c>
      <c r="E35" s="93" t="s">
        <v>210</v>
      </c>
      <c r="F35" s="93" t="s">
        <v>263</v>
      </c>
      <c r="G35" s="93" t="s">
        <v>42</v>
      </c>
      <c r="H35" s="93" t="s">
        <v>164</v>
      </c>
      <c r="I35" s="93" t="s">
        <v>159</v>
      </c>
      <c r="J35" s="93" t="s">
        <v>38</v>
      </c>
      <c r="L35" s="93">
        <v>1</v>
      </c>
      <c r="N35" s="93">
        <v>1</v>
      </c>
      <c r="O35" s="93">
        <v>0.25</v>
      </c>
      <c r="P35" s="93">
        <v>0.25</v>
      </c>
      <c r="Q35" s="102">
        <f t="shared" si="0"/>
        <v>0.25</v>
      </c>
      <c r="R35" s="93">
        <v>13.3</v>
      </c>
      <c r="S35" s="93">
        <v>120</v>
      </c>
      <c r="T35" s="103">
        <f t="shared" si="2"/>
        <v>30</v>
      </c>
      <c r="U35" s="93">
        <v>97</v>
      </c>
      <c r="V35" s="104">
        <f t="shared" si="1"/>
        <v>2910</v>
      </c>
      <c r="W35" s="93">
        <v>8</v>
      </c>
      <c r="X35" s="93" t="s">
        <v>46</v>
      </c>
      <c r="Y35" s="93" t="s">
        <v>262</v>
      </c>
      <c r="Z35" s="93" t="s">
        <v>277</v>
      </c>
      <c r="AA35" s="93" t="s">
        <v>281</v>
      </c>
      <c r="AB35" s="93" t="s">
        <v>158</v>
      </c>
    </row>
    <row r="36" spans="1:28" x14ac:dyDescent="0.15">
      <c r="A36" s="93" t="s">
        <v>51</v>
      </c>
      <c r="B36" s="93" t="s">
        <v>157</v>
      </c>
      <c r="C36" s="93">
        <v>2019</v>
      </c>
      <c r="D36" s="101" t="s">
        <v>264</v>
      </c>
      <c r="E36" s="93" t="s">
        <v>210</v>
      </c>
      <c r="F36" s="93" t="s">
        <v>263</v>
      </c>
      <c r="G36" s="93" t="s">
        <v>42</v>
      </c>
      <c r="H36" s="93" t="s">
        <v>164</v>
      </c>
      <c r="I36" s="93" t="s">
        <v>159</v>
      </c>
      <c r="J36" s="93" t="s">
        <v>38</v>
      </c>
      <c r="L36" s="93">
        <v>2</v>
      </c>
      <c r="N36" s="93">
        <v>1</v>
      </c>
      <c r="O36" s="93">
        <v>0.25</v>
      </c>
      <c r="P36" s="93">
        <v>0.25</v>
      </c>
      <c r="Q36" s="102">
        <f t="shared" si="0"/>
        <v>0.25</v>
      </c>
      <c r="R36" s="93">
        <v>15.5</v>
      </c>
      <c r="S36" s="93">
        <v>115</v>
      </c>
      <c r="T36" s="103">
        <f t="shared" si="2"/>
        <v>30</v>
      </c>
      <c r="U36" s="93">
        <v>97</v>
      </c>
      <c r="V36" s="104">
        <f t="shared" si="1"/>
        <v>2910</v>
      </c>
      <c r="W36" s="93">
        <v>8</v>
      </c>
      <c r="X36" s="93" t="s">
        <v>46</v>
      </c>
      <c r="Y36" s="93" t="s">
        <v>262</v>
      </c>
      <c r="Z36" s="93" t="s">
        <v>277</v>
      </c>
      <c r="AA36" s="93" t="s">
        <v>281</v>
      </c>
      <c r="AB36" s="93" t="s">
        <v>158</v>
      </c>
    </row>
    <row r="37" spans="1:28" x14ac:dyDescent="0.15">
      <c r="A37" s="93" t="s">
        <v>51</v>
      </c>
      <c r="B37" s="93" t="s">
        <v>157</v>
      </c>
      <c r="C37" s="93">
        <v>2019</v>
      </c>
      <c r="D37" s="101" t="s">
        <v>264</v>
      </c>
      <c r="E37" s="93" t="s">
        <v>210</v>
      </c>
      <c r="F37" s="93" t="s">
        <v>263</v>
      </c>
      <c r="G37" s="93" t="s">
        <v>42</v>
      </c>
      <c r="H37" s="93" t="s">
        <v>164</v>
      </c>
      <c r="I37" s="93" t="s">
        <v>159</v>
      </c>
      <c r="J37" s="93" t="s">
        <v>38</v>
      </c>
      <c r="L37" s="93">
        <v>3</v>
      </c>
      <c r="N37" s="93">
        <v>1</v>
      </c>
      <c r="O37" s="93">
        <v>0.5</v>
      </c>
      <c r="P37" s="93">
        <v>0.25</v>
      </c>
      <c r="Q37" s="102">
        <f t="shared" si="0"/>
        <v>0.375</v>
      </c>
      <c r="R37" s="93">
        <v>15.8</v>
      </c>
      <c r="S37" s="93">
        <v>111</v>
      </c>
      <c r="T37" s="103">
        <f t="shared" si="2"/>
        <v>33</v>
      </c>
      <c r="U37" s="93">
        <v>97</v>
      </c>
      <c r="V37" s="104">
        <f t="shared" si="1"/>
        <v>3201</v>
      </c>
      <c r="W37" s="93">
        <v>8</v>
      </c>
      <c r="X37" s="93" t="s">
        <v>46</v>
      </c>
      <c r="Y37" s="93" t="s">
        <v>262</v>
      </c>
      <c r="Z37" s="93" t="s">
        <v>277</v>
      </c>
      <c r="AA37" s="93" t="s">
        <v>281</v>
      </c>
      <c r="AB37" s="93" t="s">
        <v>158</v>
      </c>
    </row>
    <row r="38" spans="1:28" x14ac:dyDescent="0.15">
      <c r="A38" s="93" t="s">
        <v>51</v>
      </c>
      <c r="B38" s="93" t="s">
        <v>157</v>
      </c>
      <c r="C38" s="93">
        <v>2019</v>
      </c>
      <c r="D38" s="101" t="s">
        <v>264</v>
      </c>
      <c r="E38" s="93" t="s">
        <v>210</v>
      </c>
      <c r="F38" s="93" t="s">
        <v>263</v>
      </c>
      <c r="G38" s="93" t="s">
        <v>42</v>
      </c>
      <c r="H38" s="93" t="s">
        <v>160</v>
      </c>
      <c r="I38" s="93" t="s">
        <v>159</v>
      </c>
      <c r="J38" s="93" t="s">
        <v>38</v>
      </c>
      <c r="L38" s="93">
        <v>1</v>
      </c>
      <c r="N38" s="93">
        <v>1</v>
      </c>
      <c r="O38" s="93">
        <v>0.85</v>
      </c>
      <c r="P38" s="93">
        <v>0.8</v>
      </c>
      <c r="Q38" s="102">
        <f t="shared" si="0"/>
        <v>0.82499999999999996</v>
      </c>
      <c r="R38" s="93">
        <v>16.3</v>
      </c>
      <c r="S38" s="93">
        <v>138</v>
      </c>
      <c r="T38" s="103">
        <f t="shared" si="2"/>
        <v>22</v>
      </c>
      <c r="U38" s="93">
        <v>97</v>
      </c>
      <c r="V38" s="104">
        <f t="shared" si="1"/>
        <v>2134</v>
      </c>
      <c r="W38" s="93">
        <v>8</v>
      </c>
      <c r="X38" s="93" t="s">
        <v>46</v>
      </c>
      <c r="Y38" s="93" t="s">
        <v>262</v>
      </c>
      <c r="Z38" s="93" t="s">
        <v>277</v>
      </c>
      <c r="AA38" s="93" t="s">
        <v>281</v>
      </c>
      <c r="AB38" s="93" t="s">
        <v>158</v>
      </c>
    </row>
    <row r="39" spans="1:28" x14ac:dyDescent="0.15">
      <c r="A39" s="93" t="s">
        <v>51</v>
      </c>
      <c r="B39" s="93" t="s">
        <v>157</v>
      </c>
      <c r="C39" s="93">
        <v>2019</v>
      </c>
      <c r="D39" s="101" t="s">
        <v>264</v>
      </c>
      <c r="E39" s="93" t="s">
        <v>210</v>
      </c>
      <c r="F39" s="93" t="s">
        <v>263</v>
      </c>
      <c r="G39" s="93" t="s">
        <v>42</v>
      </c>
      <c r="H39" s="93" t="s">
        <v>160</v>
      </c>
      <c r="I39" s="93" t="s">
        <v>159</v>
      </c>
      <c r="J39" s="93" t="s">
        <v>38</v>
      </c>
      <c r="L39" s="93">
        <v>2</v>
      </c>
      <c r="N39" s="93">
        <v>1</v>
      </c>
      <c r="O39" s="93">
        <v>1.55</v>
      </c>
      <c r="P39" s="93">
        <v>1.3</v>
      </c>
      <c r="Q39" s="102">
        <f t="shared" si="0"/>
        <v>1.425</v>
      </c>
      <c r="R39" s="93">
        <v>15.8</v>
      </c>
      <c r="S39" s="93">
        <v>136</v>
      </c>
      <c r="T39" s="103">
        <f t="shared" si="2"/>
        <v>25</v>
      </c>
      <c r="U39" s="93">
        <v>97</v>
      </c>
      <c r="V39" s="104">
        <f t="shared" si="1"/>
        <v>2425</v>
      </c>
      <c r="W39" s="93">
        <v>8</v>
      </c>
      <c r="X39" s="93" t="s">
        <v>46</v>
      </c>
      <c r="Y39" s="93" t="s">
        <v>262</v>
      </c>
      <c r="Z39" s="93" t="s">
        <v>277</v>
      </c>
      <c r="AA39" s="93" t="s">
        <v>281</v>
      </c>
      <c r="AB39" s="93" t="s">
        <v>158</v>
      </c>
    </row>
    <row r="40" spans="1:28" x14ac:dyDescent="0.15">
      <c r="A40" s="93" t="s">
        <v>51</v>
      </c>
      <c r="B40" s="93" t="s">
        <v>157</v>
      </c>
      <c r="C40" s="93">
        <v>2019</v>
      </c>
      <c r="D40" s="101" t="s">
        <v>264</v>
      </c>
      <c r="E40" s="93" t="s">
        <v>210</v>
      </c>
      <c r="F40" s="93" t="s">
        <v>263</v>
      </c>
      <c r="G40" s="93" t="s">
        <v>42</v>
      </c>
      <c r="H40" s="93" t="s">
        <v>160</v>
      </c>
      <c r="I40" s="93" t="s">
        <v>159</v>
      </c>
      <c r="J40" s="93" t="s">
        <v>38</v>
      </c>
      <c r="L40" s="93">
        <v>3</v>
      </c>
      <c r="N40" s="93">
        <v>1</v>
      </c>
      <c r="O40" s="93">
        <v>0.6</v>
      </c>
      <c r="P40" s="93">
        <v>0.55000000000000004</v>
      </c>
      <c r="Q40" s="102">
        <f t="shared" si="0"/>
        <v>0.57499999999999996</v>
      </c>
      <c r="R40" s="93">
        <v>17.3</v>
      </c>
      <c r="S40" s="93">
        <v>137</v>
      </c>
      <c r="T40" s="103">
        <f t="shared" si="2"/>
        <v>25</v>
      </c>
      <c r="U40" s="93">
        <v>97</v>
      </c>
      <c r="V40" s="104">
        <f t="shared" si="1"/>
        <v>2425</v>
      </c>
      <c r="W40" s="93">
        <v>8</v>
      </c>
      <c r="X40" s="93" t="s">
        <v>46</v>
      </c>
      <c r="Y40" s="93" t="s">
        <v>262</v>
      </c>
      <c r="Z40" s="93" t="s">
        <v>277</v>
      </c>
      <c r="AA40" s="93" t="s">
        <v>281</v>
      </c>
      <c r="AB40" s="93" t="s">
        <v>158</v>
      </c>
    </row>
    <row r="41" spans="1:28" x14ac:dyDescent="0.15">
      <c r="A41" s="93" t="s">
        <v>51</v>
      </c>
      <c r="B41" s="93" t="s">
        <v>157</v>
      </c>
      <c r="C41" s="93">
        <v>2019</v>
      </c>
      <c r="D41" s="101" t="s">
        <v>264</v>
      </c>
      <c r="E41" s="93" t="s">
        <v>272</v>
      </c>
      <c r="F41" s="93" t="s">
        <v>263</v>
      </c>
      <c r="G41" s="93" t="s">
        <v>42</v>
      </c>
      <c r="H41" s="93" t="s">
        <v>164</v>
      </c>
      <c r="I41" s="93" t="s">
        <v>159</v>
      </c>
      <c r="J41" s="93" t="s">
        <v>38</v>
      </c>
      <c r="L41" s="93">
        <v>1</v>
      </c>
      <c r="N41" s="93">
        <v>1</v>
      </c>
      <c r="O41" s="93">
        <v>0.6</v>
      </c>
      <c r="P41" s="93">
        <v>0.5</v>
      </c>
      <c r="Q41" s="102">
        <f t="shared" si="0"/>
        <v>0.55000000000000004</v>
      </c>
      <c r="R41" s="93">
        <v>13.7</v>
      </c>
      <c r="S41" s="93">
        <v>110</v>
      </c>
      <c r="T41" s="103">
        <f t="shared" si="2"/>
        <v>33</v>
      </c>
      <c r="U41" s="93">
        <v>128</v>
      </c>
      <c r="V41" s="104">
        <f t="shared" si="1"/>
        <v>4224</v>
      </c>
      <c r="W41" s="93">
        <v>25</v>
      </c>
      <c r="X41" s="93" t="s">
        <v>46</v>
      </c>
      <c r="Y41" s="93" t="s">
        <v>55</v>
      </c>
      <c r="Z41" s="93" t="s">
        <v>97</v>
      </c>
      <c r="AA41" s="93" t="s">
        <v>69</v>
      </c>
      <c r="AB41" s="93" t="s">
        <v>158</v>
      </c>
    </row>
    <row r="42" spans="1:28" x14ac:dyDescent="0.15">
      <c r="A42" s="93" t="s">
        <v>51</v>
      </c>
      <c r="B42" s="93" t="s">
        <v>157</v>
      </c>
      <c r="C42" s="93">
        <v>2019</v>
      </c>
      <c r="D42" s="101" t="s">
        <v>264</v>
      </c>
      <c r="E42" s="93" t="s">
        <v>272</v>
      </c>
      <c r="F42" s="93" t="s">
        <v>263</v>
      </c>
      <c r="G42" s="93" t="s">
        <v>42</v>
      </c>
      <c r="H42" s="93" t="s">
        <v>164</v>
      </c>
      <c r="I42" s="93" t="s">
        <v>159</v>
      </c>
      <c r="J42" s="93" t="s">
        <v>38</v>
      </c>
      <c r="L42" s="93">
        <v>2</v>
      </c>
      <c r="N42" s="93">
        <v>1</v>
      </c>
      <c r="O42" s="93">
        <v>0.75</v>
      </c>
      <c r="P42" s="93">
        <v>0.5</v>
      </c>
      <c r="Q42" s="102">
        <f t="shared" si="0"/>
        <v>0.625</v>
      </c>
      <c r="R42" s="93">
        <v>14.8</v>
      </c>
      <c r="S42" s="93">
        <v>114</v>
      </c>
      <c r="T42" s="103">
        <f t="shared" si="2"/>
        <v>30</v>
      </c>
      <c r="U42" s="93">
        <v>128</v>
      </c>
      <c r="V42" s="104">
        <f t="shared" si="1"/>
        <v>3840</v>
      </c>
      <c r="W42" s="93">
        <v>25</v>
      </c>
      <c r="X42" s="93" t="s">
        <v>46</v>
      </c>
      <c r="Y42" s="93" t="s">
        <v>55</v>
      </c>
      <c r="Z42" s="93" t="s">
        <v>97</v>
      </c>
      <c r="AA42" s="93" t="s">
        <v>69</v>
      </c>
      <c r="AB42" s="93" t="s">
        <v>158</v>
      </c>
    </row>
    <row r="43" spans="1:28" x14ac:dyDescent="0.15">
      <c r="A43" s="93" t="s">
        <v>51</v>
      </c>
      <c r="B43" s="93" t="s">
        <v>157</v>
      </c>
      <c r="C43" s="93">
        <v>2019</v>
      </c>
      <c r="D43" s="101" t="s">
        <v>264</v>
      </c>
      <c r="E43" s="93" t="s">
        <v>272</v>
      </c>
      <c r="F43" s="93" t="s">
        <v>263</v>
      </c>
      <c r="G43" s="93" t="s">
        <v>42</v>
      </c>
      <c r="H43" s="93" t="s">
        <v>164</v>
      </c>
      <c r="I43" s="93" t="s">
        <v>159</v>
      </c>
      <c r="J43" s="93" t="s">
        <v>38</v>
      </c>
      <c r="L43" s="93">
        <v>3</v>
      </c>
      <c r="N43" s="93">
        <v>1</v>
      </c>
      <c r="O43" s="93">
        <v>0.5</v>
      </c>
      <c r="P43" s="93">
        <v>0.5</v>
      </c>
      <c r="Q43" s="102">
        <f t="shared" si="0"/>
        <v>0.5</v>
      </c>
      <c r="R43" s="93">
        <v>13.8</v>
      </c>
      <c r="S43" s="93">
        <v>110</v>
      </c>
      <c r="T43" s="103">
        <f t="shared" si="2"/>
        <v>33</v>
      </c>
      <c r="U43" s="93">
        <v>128</v>
      </c>
      <c r="V43" s="104">
        <f t="shared" si="1"/>
        <v>4224</v>
      </c>
      <c r="W43" s="93">
        <v>25</v>
      </c>
      <c r="X43" s="93" t="s">
        <v>46</v>
      </c>
      <c r="Y43" s="93" t="s">
        <v>55</v>
      </c>
      <c r="Z43" s="93" t="s">
        <v>97</v>
      </c>
      <c r="AA43" s="93" t="s">
        <v>69</v>
      </c>
      <c r="AB43" s="93" t="s">
        <v>158</v>
      </c>
    </row>
    <row r="44" spans="1:28" x14ac:dyDescent="0.15">
      <c r="A44" s="93" t="s">
        <v>51</v>
      </c>
      <c r="B44" s="93" t="s">
        <v>157</v>
      </c>
      <c r="C44" s="93">
        <v>2019</v>
      </c>
      <c r="D44" s="101" t="s">
        <v>264</v>
      </c>
      <c r="E44" s="93" t="s">
        <v>272</v>
      </c>
      <c r="F44" s="93" t="s">
        <v>263</v>
      </c>
      <c r="G44" s="93" t="s">
        <v>42</v>
      </c>
      <c r="H44" s="93" t="s">
        <v>186</v>
      </c>
      <c r="I44" s="93" t="s">
        <v>159</v>
      </c>
      <c r="J44" s="93" t="s">
        <v>38</v>
      </c>
      <c r="L44" s="93">
        <v>1</v>
      </c>
      <c r="N44" s="93">
        <v>5</v>
      </c>
      <c r="O44" s="93">
        <v>0.55000000000000004</v>
      </c>
      <c r="P44" s="93">
        <v>0.6</v>
      </c>
      <c r="Q44" s="102">
        <f t="shared" si="0"/>
        <v>0.57499999999999996</v>
      </c>
      <c r="R44" s="93">
        <v>18.3</v>
      </c>
      <c r="S44" s="93">
        <v>74</v>
      </c>
      <c r="T44" s="103">
        <f t="shared" si="2"/>
        <v>42</v>
      </c>
      <c r="U44" s="93">
        <v>298</v>
      </c>
      <c r="V44" s="104">
        <f t="shared" si="1"/>
        <v>2503.2000000000003</v>
      </c>
      <c r="W44" s="93">
        <v>25</v>
      </c>
      <c r="X44" s="93" t="s">
        <v>46</v>
      </c>
      <c r="Y44" s="93" t="s">
        <v>55</v>
      </c>
      <c r="Z44" s="93" t="s">
        <v>97</v>
      </c>
      <c r="AA44" s="93" t="s">
        <v>69</v>
      </c>
      <c r="AB44" s="93" t="s">
        <v>158</v>
      </c>
    </row>
    <row r="45" spans="1:28" x14ac:dyDescent="0.15">
      <c r="A45" s="93" t="s">
        <v>51</v>
      </c>
      <c r="B45" s="93" t="s">
        <v>157</v>
      </c>
      <c r="C45" s="93">
        <v>2019</v>
      </c>
      <c r="D45" s="101" t="s">
        <v>264</v>
      </c>
      <c r="E45" s="93" t="s">
        <v>272</v>
      </c>
      <c r="F45" s="93" t="s">
        <v>263</v>
      </c>
      <c r="G45" s="93" t="s">
        <v>42</v>
      </c>
      <c r="H45" s="93" t="s">
        <v>186</v>
      </c>
      <c r="I45" s="93" t="s">
        <v>159</v>
      </c>
      <c r="J45" s="93" t="s">
        <v>38</v>
      </c>
      <c r="L45" s="93">
        <v>2</v>
      </c>
      <c r="N45" s="93">
        <v>5</v>
      </c>
      <c r="O45" s="93">
        <v>0.25</v>
      </c>
      <c r="P45" s="93">
        <v>0.5</v>
      </c>
      <c r="Q45" s="102">
        <f t="shared" si="0"/>
        <v>0.375</v>
      </c>
      <c r="R45" s="93">
        <v>18.7</v>
      </c>
      <c r="S45" s="93">
        <v>86</v>
      </c>
      <c r="T45" s="103">
        <f t="shared" si="2"/>
        <v>36</v>
      </c>
      <c r="U45" s="93">
        <v>298</v>
      </c>
      <c r="V45" s="104">
        <f t="shared" si="1"/>
        <v>2145.6</v>
      </c>
      <c r="W45" s="93">
        <v>25</v>
      </c>
      <c r="X45" s="93" t="s">
        <v>46</v>
      </c>
      <c r="Y45" s="93" t="s">
        <v>55</v>
      </c>
      <c r="Z45" s="93" t="s">
        <v>97</v>
      </c>
      <c r="AA45" s="93" t="s">
        <v>69</v>
      </c>
      <c r="AB45" s="93" t="s">
        <v>158</v>
      </c>
    </row>
    <row r="46" spans="1:28" x14ac:dyDescent="0.15">
      <c r="A46" s="93" t="s">
        <v>51</v>
      </c>
      <c r="B46" s="93" t="s">
        <v>157</v>
      </c>
      <c r="C46" s="93">
        <v>2019</v>
      </c>
      <c r="D46" s="101" t="s">
        <v>264</v>
      </c>
      <c r="E46" s="93" t="s">
        <v>272</v>
      </c>
      <c r="F46" s="93" t="s">
        <v>263</v>
      </c>
      <c r="G46" s="93" t="s">
        <v>42</v>
      </c>
      <c r="H46" s="93" t="s">
        <v>186</v>
      </c>
      <c r="I46" s="93" t="s">
        <v>159</v>
      </c>
      <c r="J46" s="93" t="s">
        <v>38</v>
      </c>
      <c r="L46" s="93">
        <v>3</v>
      </c>
      <c r="N46" s="93">
        <v>5</v>
      </c>
      <c r="O46" s="93">
        <v>0.55000000000000004</v>
      </c>
      <c r="P46" s="93">
        <v>0.5</v>
      </c>
      <c r="Q46" s="102">
        <f t="shared" si="0"/>
        <v>0.52500000000000002</v>
      </c>
      <c r="R46" s="93">
        <v>18.5</v>
      </c>
      <c r="S46" s="93">
        <v>88</v>
      </c>
      <c r="T46" s="103">
        <f t="shared" si="2"/>
        <v>36</v>
      </c>
      <c r="U46" s="93">
        <v>298</v>
      </c>
      <c r="V46" s="104">
        <f t="shared" si="1"/>
        <v>2145.6</v>
      </c>
      <c r="W46" s="93">
        <v>25</v>
      </c>
      <c r="X46" s="93" t="s">
        <v>46</v>
      </c>
      <c r="Y46" s="93" t="s">
        <v>55</v>
      </c>
      <c r="Z46" s="93" t="s">
        <v>97</v>
      </c>
      <c r="AA46" s="93" t="s">
        <v>69</v>
      </c>
      <c r="AB46" s="93" t="s">
        <v>158</v>
      </c>
    </row>
    <row r="47" spans="1:28" x14ac:dyDescent="0.15">
      <c r="A47" s="93" t="s">
        <v>51</v>
      </c>
      <c r="B47" s="93" t="s">
        <v>157</v>
      </c>
      <c r="C47" s="93">
        <v>2019</v>
      </c>
      <c r="D47" s="101" t="s">
        <v>264</v>
      </c>
      <c r="E47" s="93" t="s">
        <v>272</v>
      </c>
      <c r="F47" s="93" t="s">
        <v>263</v>
      </c>
      <c r="G47" s="93" t="s">
        <v>42</v>
      </c>
      <c r="H47" s="93" t="s">
        <v>160</v>
      </c>
      <c r="I47" s="93" t="s">
        <v>159</v>
      </c>
      <c r="J47" s="93" t="s">
        <v>38</v>
      </c>
      <c r="L47" s="93">
        <v>1</v>
      </c>
      <c r="N47" s="93">
        <v>1</v>
      </c>
      <c r="O47" s="93">
        <v>0.25</v>
      </c>
      <c r="P47" s="93">
        <v>0.25</v>
      </c>
      <c r="Q47" s="102">
        <f t="shared" si="0"/>
        <v>0.25</v>
      </c>
      <c r="R47" s="93">
        <v>15</v>
      </c>
      <c r="S47" s="93">
        <v>144</v>
      </c>
      <c r="T47" s="103">
        <f t="shared" si="2"/>
        <v>22</v>
      </c>
      <c r="U47" s="93">
        <v>138</v>
      </c>
      <c r="V47" s="104">
        <f t="shared" si="1"/>
        <v>3036</v>
      </c>
      <c r="W47" s="93">
        <v>25</v>
      </c>
      <c r="X47" s="93" t="s">
        <v>46</v>
      </c>
      <c r="Y47" s="93" t="s">
        <v>55</v>
      </c>
      <c r="Z47" s="93" t="s">
        <v>97</v>
      </c>
      <c r="AA47" s="93" t="s">
        <v>69</v>
      </c>
      <c r="AB47" s="93" t="s">
        <v>158</v>
      </c>
    </row>
    <row r="48" spans="1:28" x14ac:dyDescent="0.15">
      <c r="A48" s="93" t="s">
        <v>51</v>
      </c>
      <c r="B48" s="93" t="s">
        <v>157</v>
      </c>
      <c r="C48" s="93">
        <v>2019</v>
      </c>
      <c r="D48" s="101" t="s">
        <v>264</v>
      </c>
      <c r="E48" s="93" t="s">
        <v>272</v>
      </c>
      <c r="F48" s="93" t="s">
        <v>263</v>
      </c>
      <c r="G48" s="93" t="s">
        <v>42</v>
      </c>
      <c r="H48" s="93" t="s">
        <v>160</v>
      </c>
      <c r="I48" s="93" t="s">
        <v>159</v>
      </c>
      <c r="J48" s="93" t="s">
        <v>38</v>
      </c>
      <c r="L48" s="93">
        <v>2</v>
      </c>
      <c r="N48" s="93">
        <v>1</v>
      </c>
      <c r="O48" s="93">
        <v>0.25</v>
      </c>
      <c r="P48" s="93">
        <v>0.25</v>
      </c>
      <c r="Q48" s="102">
        <f t="shared" si="0"/>
        <v>0.25</v>
      </c>
      <c r="R48" s="93">
        <v>17.100000000000001</v>
      </c>
      <c r="S48" s="93">
        <v>153</v>
      </c>
      <c r="T48" s="103">
        <f t="shared" si="2"/>
        <v>18</v>
      </c>
      <c r="U48" s="93">
        <v>138</v>
      </c>
      <c r="V48" s="104">
        <f t="shared" si="1"/>
        <v>2484</v>
      </c>
      <c r="W48" s="93">
        <v>25</v>
      </c>
      <c r="X48" s="93" t="s">
        <v>46</v>
      </c>
      <c r="Y48" s="93" t="s">
        <v>55</v>
      </c>
      <c r="Z48" s="93" t="s">
        <v>97</v>
      </c>
      <c r="AA48" s="93" t="s">
        <v>69</v>
      </c>
      <c r="AB48" s="93" t="s">
        <v>158</v>
      </c>
    </row>
    <row r="49" spans="1:28" x14ac:dyDescent="0.15">
      <c r="A49" s="93" t="s">
        <v>51</v>
      </c>
      <c r="B49" s="93" t="s">
        <v>157</v>
      </c>
      <c r="C49" s="93">
        <v>2019</v>
      </c>
      <c r="D49" s="101" t="s">
        <v>264</v>
      </c>
      <c r="E49" s="93" t="s">
        <v>272</v>
      </c>
      <c r="F49" s="93" t="s">
        <v>263</v>
      </c>
      <c r="G49" s="93" t="s">
        <v>42</v>
      </c>
      <c r="H49" s="93" t="s">
        <v>160</v>
      </c>
      <c r="I49" s="93" t="s">
        <v>159</v>
      </c>
      <c r="J49" s="93" t="s">
        <v>38</v>
      </c>
      <c r="L49" s="93">
        <v>3</v>
      </c>
      <c r="N49" s="93">
        <v>1</v>
      </c>
      <c r="O49" s="93">
        <v>0.25</v>
      </c>
      <c r="P49" s="93">
        <v>0.25</v>
      </c>
      <c r="Q49" s="102">
        <f t="shared" si="0"/>
        <v>0.25</v>
      </c>
      <c r="R49" s="93">
        <v>17.8</v>
      </c>
      <c r="S49" s="93">
        <v>160</v>
      </c>
      <c r="T49" s="103">
        <f t="shared" si="2"/>
        <v>18</v>
      </c>
      <c r="U49" s="93">
        <v>138</v>
      </c>
      <c r="V49" s="104">
        <f t="shared" si="1"/>
        <v>2484</v>
      </c>
      <c r="W49" s="93">
        <v>25</v>
      </c>
      <c r="X49" s="93" t="s">
        <v>46</v>
      </c>
      <c r="Y49" s="93" t="s">
        <v>55</v>
      </c>
      <c r="Z49" s="93" t="s">
        <v>97</v>
      </c>
      <c r="AA49" s="93" t="s">
        <v>69</v>
      </c>
      <c r="AB49" s="93" t="s">
        <v>158</v>
      </c>
    </row>
    <row r="50" spans="1:28" x14ac:dyDescent="0.15">
      <c r="A50" s="93" t="s">
        <v>51</v>
      </c>
      <c r="B50" s="93" t="s">
        <v>157</v>
      </c>
      <c r="C50" s="93">
        <v>2019</v>
      </c>
      <c r="D50" s="101" t="s">
        <v>264</v>
      </c>
      <c r="E50" s="93" t="s">
        <v>272</v>
      </c>
      <c r="F50" s="93" t="s">
        <v>263</v>
      </c>
      <c r="G50" s="93" t="s">
        <v>42</v>
      </c>
      <c r="H50" s="93" t="s">
        <v>160</v>
      </c>
      <c r="I50" s="93" t="s">
        <v>159</v>
      </c>
      <c r="J50" s="93" t="s">
        <v>38</v>
      </c>
      <c r="L50" s="93">
        <v>1</v>
      </c>
      <c r="N50" s="93">
        <v>4</v>
      </c>
      <c r="O50" s="93">
        <v>0.5</v>
      </c>
      <c r="P50" s="93">
        <v>0.55000000000000004</v>
      </c>
      <c r="Q50" s="102">
        <f t="shared" si="0"/>
        <v>0.52500000000000002</v>
      </c>
      <c r="R50" s="93">
        <v>16.3</v>
      </c>
      <c r="S50" s="93">
        <v>102</v>
      </c>
      <c r="T50" s="103">
        <f t="shared" si="2"/>
        <v>33</v>
      </c>
      <c r="U50" s="93">
        <v>398</v>
      </c>
      <c r="V50" s="104">
        <f t="shared" si="1"/>
        <v>3283.5</v>
      </c>
      <c r="W50" s="93">
        <v>25</v>
      </c>
      <c r="X50" s="93" t="s">
        <v>46</v>
      </c>
      <c r="Y50" s="93" t="s">
        <v>55</v>
      </c>
      <c r="Z50" s="93" t="s">
        <v>97</v>
      </c>
      <c r="AA50" s="93" t="s">
        <v>69</v>
      </c>
      <c r="AB50" s="93" t="s">
        <v>158</v>
      </c>
    </row>
    <row r="51" spans="1:28" x14ac:dyDescent="0.15">
      <c r="A51" s="93" t="s">
        <v>51</v>
      </c>
      <c r="B51" s="93" t="s">
        <v>157</v>
      </c>
      <c r="C51" s="93">
        <v>2019</v>
      </c>
      <c r="D51" s="101" t="s">
        <v>264</v>
      </c>
      <c r="E51" s="93" t="s">
        <v>272</v>
      </c>
      <c r="F51" s="93" t="s">
        <v>263</v>
      </c>
      <c r="G51" s="93" t="s">
        <v>42</v>
      </c>
      <c r="H51" s="93" t="s">
        <v>160</v>
      </c>
      <c r="I51" s="93" t="s">
        <v>159</v>
      </c>
      <c r="J51" s="93" t="s">
        <v>38</v>
      </c>
      <c r="L51" s="93">
        <v>2</v>
      </c>
      <c r="N51" s="93">
        <v>4</v>
      </c>
      <c r="O51" s="93">
        <v>0.5</v>
      </c>
      <c r="P51" s="93">
        <v>0.5</v>
      </c>
      <c r="Q51" s="102">
        <f t="shared" si="0"/>
        <v>0.5</v>
      </c>
      <c r="R51" s="93">
        <v>14.8</v>
      </c>
      <c r="S51" s="93">
        <v>91</v>
      </c>
      <c r="T51" s="103">
        <f t="shared" si="2"/>
        <v>36</v>
      </c>
      <c r="U51" s="93">
        <v>398</v>
      </c>
      <c r="V51" s="104">
        <f t="shared" si="1"/>
        <v>3582</v>
      </c>
      <c r="W51" s="93">
        <v>25</v>
      </c>
      <c r="X51" s="93" t="s">
        <v>46</v>
      </c>
      <c r="Y51" s="93" t="s">
        <v>55</v>
      </c>
      <c r="Z51" s="93" t="s">
        <v>97</v>
      </c>
      <c r="AA51" s="93" t="s">
        <v>69</v>
      </c>
      <c r="AB51" s="93" t="s">
        <v>158</v>
      </c>
    </row>
    <row r="52" spans="1:28" x14ac:dyDescent="0.15">
      <c r="A52" s="93" t="s">
        <v>51</v>
      </c>
      <c r="B52" s="93" t="s">
        <v>157</v>
      </c>
      <c r="C52" s="93">
        <v>2019</v>
      </c>
      <c r="D52" s="101" t="s">
        <v>264</v>
      </c>
      <c r="E52" s="93" t="s">
        <v>272</v>
      </c>
      <c r="F52" s="93" t="s">
        <v>263</v>
      </c>
      <c r="G52" s="93" t="s">
        <v>42</v>
      </c>
      <c r="H52" s="93" t="s">
        <v>160</v>
      </c>
      <c r="I52" s="93" t="s">
        <v>159</v>
      </c>
      <c r="J52" s="93" t="s">
        <v>38</v>
      </c>
      <c r="L52" s="93">
        <v>3</v>
      </c>
      <c r="N52" s="93">
        <v>4</v>
      </c>
      <c r="O52" s="93">
        <v>0.25</v>
      </c>
      <c r="P52" s="93">
        <v>0.5</v>
      </c>
      <c r="Q52" s="102">
        <f t="shared" si="0"/>
        <v>0.375</v>
      </c>
      <c r="R52" s="93">
        <v>16.100000000000001</v>
      </c>
      <c r="S52" s="93">
        <v>96</v>
      </c>
      <c r="T52" s="103">
        <f t="shared" si="2"/>
        <v>36</v>
      </c>
      <c r="U52" s="93">
        <v>398</v>
      </c>
      <c r="V52" s="104">
        <f t="shared" si="1"/>
        <v>3582</v>
      </c>
      <c r="W52" s="93">
        <v>25</v>
      </c>
      <c r="X52" s="93" t="s">
        <v>46</v>
      </c>
      <c r="Y52" s="93" t="s">
        <v>55</v>
      </c>
      <c r="Z52" s="93" t="s">
        <v>97</v>
      </c>
      <c r="AA52" s="93" t="s">
        <v>69</v>
      </c>
      <c r="AB52" s="93" t="s">
        <v>158</v>
      </c>
    </row>
    <row r="53" spans="1:28" x14ac:dyDescent="0.15">
      <c r="A53" s="93" t="s">
        <v>51</v>
      </c>
      <c r="B53" s="93" t="s">
        <v>157</v>
      </c>
      <c r="C53" s="93">
        <v>2019</v>
      </c>
      <c r="D53" s="101" t="s">
        <v>264</v>
      </c>
      <c r="E53" s="93" t="s">
        <v>267</v>
      </c>
      <c r="F53" s="93" t="s">
        <v>268</v>
      </c>
      <c r="G53" s="93" t="s">
        <v>42</v>
      </c>
      <c r="H53" s="93" t="s">
        <v>164</v>
      </c>
      <c r="I53" s="93" t="s">
        <v>159</v>
      </c>
      <c r="J53" s="93" t="s">
        <v>38</v>
      </c>
      <c r="L53" s="93">
        <v>1</v>
      </c>
      <c r="N53" s="93">
        <v>1</v>
      </c>
      <c r="O53" s="93">
        <v>0.55000000000000004</v>
      </c>
      <c r="P53" s="93">
        <v>0.6</v>
      </c>
      <c r="Q53" s="102">
        <f t="shared" si="0"/>
        <v>0.57499999999999996</v>
      </c>
      <c r="R53" s="93">
        <v>13.7</v>
      </c>
      <c r="S53" s="93">
        <v>126</v>
      </c>
      <c r="T53" s="103">
        <f t="shared" si="2"/>
        <v>27</v>
      </c>
      <c r="U53" s="93">
        <v>138</v>
      </c>
      <c r="V53" s="104">
        <f t="shared" si="1"/>
        <v>3726</v>
      </c>
      <c r="W53" s="93">
        <v>10</v>
      </c>
      <c r="X53" s="93" t="s">
        <v>46</v>
      </c>
      <c r="Y53" s="93" t="s">
        <v>262</v>
      </c>
      <c r="Z53" s="93" t="s">
        <v>277</v>
      </c>
      <c r="AA53" s="93" t="s">
        <v>78</v>
      </c>
      <c r="AB53" s="93" t="s">
        <v>158</v>
      </c>
    </row>
    <row r="54" spans="1:28" x14ac:dyDescent="0.15">
      <c r="A54" s="93" t="s">
        <v>51</v>
      </c>
      <c r="B54" s="93" t="s">
        <v>157</v>
      </c>
      <c r="C54" s="93">
        <v>2019</v>
      </c>
      <c r="D54" s="101" t="s">
        <v>264</v>
      </c>
      <c r="E54" s="93" t="s">
        <v>267</v>
      </c>
      <c r="F54" s="93" t="s">
        <v>268</v>
      </c>
      <c r="G54" s="93" t="s">
        <v>42</v>
      </c>
      <c r="H54" s="93" t="s">
        <v>164</v>
      </c>
      <c r="I54" s="93" t="s">
        <v>159</v>
      </c>
      <c r="J54" s="93" t="s">
        <v>38</v>
      </c>
      <c r="L54" s="93">
        <v>2</v>
      </c>
      <c r="N54" s="93">
        <v>1</v>
      </c>
      <c r="O54" s="93">
        <v>0.6</v>
      </c>
      <c r="P54" s="93">
        <v>0.75</v>
      </c>
      <c r="Q54" s="102">
        <f t="shared" si="0"/>
        <v>0.67500000000000004</v>
      </c>
      <c r="R54" s="93">
        <v>14.2</v>
      </c>
      <c r="S54" s="93">
        <v>130</v>
      </c>
      <c r="T54" s="103">
        <f t="shared" si="2"/>
        <v>25</v>
      </c>
      <c r="U54" s="93">
        <v>138</v>
      </c>
      <c r="V54" s="104">
        <f t="shared" si="1"/>
        <v>3450</v>
      </c>
      <c r="W54" s="93">
        <v>10</v>
      </c>
      <c r="X54" s="93" t="s">
        <v>46</v>
      </c>
      <c r="Y54" s="93" t="s">
        <v>262</v>
      </c>
      <c r="Z54" s="93" t="s">
        <v>277</v>
      </c>
      <c r="AA54" s="93" t="s">
        <v>78</v>
      </c>
      <c r="AB54" s="93" t="s">
        <v>158</v>
      </c>
    </row>
    <row r="55" spans="1:28" x14ac:dyDescent="0.15">
      <c r="A55" s="93" t="s">
        <v>51</v>
      </c>
      <c r="B55" s="93" t="s">
        <v>157</v>
      </c>
      <c r="C55" s="93">
        <v>2019</v>
      </c>
      <c r="D55" s="101" t="s">
        <v>264</v>
      </c>
      <c r="E55" s="93" t="s">
        <v>267</v>
      </c>
      <c r="F55" s="93" t="s">
        <v>268</v>
      </c>
      <c r="G55" s="93" t="s">
        <v>42</v>
      </c>
      <c r="H55" s="93" t="s">
        <v>164</v>
      </c>
      <c r="I55" s="93" t="s">
        <v>159</v>
      </c>
      <c r="J55" s="93" t="s">
        <v>38</v>
      </c>
      <c r="L55" s="93">
        <v>3</v>
      </c>
      <c r="N55" s="93">
        <v>1</v>
      </c>
      <c r="O55" s="93">
        <v>0.7</v>
      </c>
      <c r="P55" s="93">
        <v>0.7</v>
      </c>
      <c r="Q55" s="102">
        <f t="shared" si="0"/>
        <v>0.7</v>
      </c>
      <c r="R55" s="93">
        <v>13.8</v>
      </c>
      <c r="S55" s="93">
        <v>129</v>
      </c>
      <c r="T55" s="103">
        <f t="shared" si="2"/>
        <v>25</v>
      </c>
      <c r="U55" s="93">
        <v>138</v>
      </c>
      <c r="V55" s="104">
        <f t="shared" si="1"/>
        <v>3450</v>
      </c>
      <c r="W55" s="93">
        <v>10</v>
      </c>
      <c r="X55" s="93" t="s">
        <v>46</v>
      </c>
      <c r="Y55" s="93" t="s">
        <v>262</v>
      </c>
      <c r="Z55" s="93" t="s">
        <v>277</v>
      </c>
      <c r="AA55" s="93" t="s">
        <v>78</v>
      </c>
      <c r="AB55" s="93" t="s">
        <v>158</v>
      </c>
    </row>
    <row r="56" spans="1:28" x14ac:dyDescent="0.15">
      <c r="A56" s="93" t="s">
        <v>51</v>
      </c>
      <c r="B56" s="93" t="s">
        <v>157</v>
      </c>
      <c r="C56" s="93">
        <v>2019</v>
      </c>
      <c r="D56" s="101" t="s">
        <v>264</v>
      </c>
      <c r="E56" s="93" t="s">
        <v>267</v>
      </c>
      <c r="F56" s="93" t="s">
        <v>268</v>
      </c>
      <c r="G56" s="93" t="s">
        <v>42</v>
      </c>
      <c r="H56" s="93" t="s">
        <v>160</v>
      </c>
      <c r="I56" s="93" t="s">
        <v>159</v>
      </c>
      <c r="J56" s="93" t="s">
        <v>38</v>
      </c>
      <c r="L56" s="93">
        <v>1</v>
      </c>
      <c r="N56" s="93">
        <v>1</v>
      </c>
      <c r="O56" s="93">
        <v>1.2</v>
      </c>
      <c r="P56" s="93">
        <v>1.85</v>
      </c>
      <c r="Q56" s="102">
        <f t="shared" si="0"/>
        <v>1.5249999999999999</v>
      </c>
      <c r="R56" s="93">
        <v>15.5</v>
      </c>
      <c r="S56" s="93">
        <v>132</v>
      </c>
      <c r="T56" s="103">
        <f t="shared" si="2"/>
        <v>25</v>
      </c>
      <c r="U56" s="93">
        <v>138</v>
      </c>
      <c r="V56" s="104">
        <f t="shared" si="1"/>
        <v>3450</v>
      </c>
      <c r="W56" s="93">
        <v>10</v>
      </c>
      <c r="X56" s="93" t="s">
        <v>46</v>
      </c>
      <c r="Y56" s="93" t="s">
        <v>262</v>
      </c>
      <c r="Z56" s="93" t="s">
        <v>277</v>
      </c>
      <c r="AA56" s="93" t="s">
        <v>78</v>
      </c>
      <c r="AB56" s="93" t="s">
        <v>158</v>
      </c>
    </row>
    <row r="57" spans="1:28" x14ac:dyDescent="0.15">
      <c r="A57" s="93" t="s">
        <v>51</v>
      </c>
      <c r="B57" s="93" t="s">
        <v>157</v>
      </c>
      <c r="C57" s="93">
        <v>2019</v>
      </c>
      <c r="D57" s="101" t="s">
        <v>264</v>
      </c>
      <c r="E57" s="93" t="s">
        <v>267</v>
      </c>
      <c r="F57" s="93" t="s">
        <v>268</v>
      </c>
      <c r="G57" s="93" t="s">
        <v>42</v>
      </c>
      <c r="H57" s="93" t="s">
        <v>160</v>
      </c>
      <c r="I57" s="93" t="s">
        <v>159</v>
      </c>
      <c r="J57" s="93" t="s">
        <v>38</v>
      </c>
      <c r="L57" s="93">
        <v>2</v>
      </c>
      <c r="N57" s="93">
        <v>1</v>
      </c>
      <c r="O57" s="93">
        <v>0.85</v>
      </c>
      <c r="P57" s="93">
        <v>0.95</v>
      </c>
      <c r="Q57" s="102">
        <f t="shared" si="0"/>
        <v>0.89999999999999991</v>
      </c>
      <c r="R57" s="93">
        <v>16.600000000000001</v>
      </c>
      <c r="S57" s="93">
        <v>130</v>
      </c>
      <c r="T57" s="103">
        <f t="shared" si="2"/>
        <v>25</v>
      </c>
      <c r="U57" s="93">
        <v>138</v>
      </c>
      <c r="V57" s="104">
        <f t="shared" si="1"/>
        <v>3450</v>
      </c>
      <c r="W57" s="93">
        <v>10</v>
      </c>
      <c r="X57" s="93" t="s">
        <v>46</v>
      </c>
      <c r="Y57" s="93" t="s">
        <v>262</v>
      </c>
      <c r="Z57" s="93" t="s">
        <v>277</v>
      </c>
      <c r="AA57" s="93" t="s">
        <v>78</v>
      </c>
      <c r="AB57" s="93" t="s">
        <v>158</v>
      </c>
    </row>
    <row r="58" spans="1:28" x14ac:dyDescent="0.15">
      <c r="A58" s="93" t="s">
        <v>51</v>
      </c>
      <c r="B58" s="93" t="s">
        <v>157</v>
      </c>
      <c r="C58" s="93">
        <v>2019</v>
      </c>
      <c r="D58" s="101" t="s">
        <v>264</v>
      </c>
      <c r="E58" s="93" t="s">
        <v>267</v>
      </c>
      <c r="F58" s="93" t="s">
        <v>268</v>
      </c>
      <c r="G58" s="93" t="s">
        <v>42</v>
      </c>
      <c r="H58" s="93" t="s">
        <v>160</v>
      </c>
      <c r="I58" s="93" t="s">
        <v>159</v>
      </c>
      <c r="J58" s="93" t="s">
        <v>38</v>
      </c>
      <c r="L58" s="93">
        <v>3</v>
      </c>
      <c r="N58" s="93">
        <v>1</v>
      </c>
      <c r="O58" s="93">
        <v>0.75</v>
      </c>
      <c r="P58" s="93">
        <v>0.75</v>
      </c>
      <c r="Q58" s="102">
        <f t="shared" si="0"/>
        <v>0.75</v>
      </c>
      <c r="R58" s="93">
        <v>17.100000000000001</v>
      </c>
      <c r="S58" s="93">
        <v>130</v>
      </c>
      <c r="T58" s="103">
        <f t="shared" si="2"/>
        <v>25</v>
      </c>
      <c r="U58" s="93">
        <v>138</v>
      </c>
      <c r="V58" s="104">
        <f t="shared" si="1"/>
        <v>3450</v>
      </c>
      <c r="W58" s="93">
        <v>10</v>
      </c>
      <c r="X58" s="93" t="s">
        <v>46</v>
      </c>
      <c r="Y58" s="93" t="s">
        <v>262</v>
      </c>
      <c r="Z58" s="93" t="s">
        <v>277</v>
      </c>
      <c r="AA58" s="93" t="s">
        <v>78</v>
      </c>
      <c r="AB58" s="93" t="s">
        <v>158</v>
      </c>
    </row>
    <row r="59" spans="1:28" x14ac:dyDescent="0.15">
      <c r="A59" s="93" t="s">
        <v>51</v>
      </c>
      <c r="B59" s="93" t="s">
        <v>157</v>
      </c>
      <c r="C59" s="93">
        <v>2019</v>
      </c>
      <c r="D59" s="101" t="s">
        <v>264</v>
      </c>
      <c r="E59" s="93" t="s">
        <v>269</v>
      </c>
      <c r="F59" s="93" t="s">
        <v>260</v>
      </c>
      <c r="G59" s="93" t="s">
        <v>36</v>
      </c>
      <c r="H59" s="93" t="s">
        <v>164</v>
      </c>
      <c r="I59" s="93" t="s">
        <v>159</v>
      </c>
      <c r="J59" s="93" t="s">
        <v>38</v>
      </c>
      <c r="L59" s="93">
        <v>1</v>
      </c>
      <c r="N59" s="93">
        <v>1</v>
      </c>
      <c r="O59" s="93">
        <v>0.25</v>
      </c>
      <c r="P59" s="93">
        <v>0.25</v>
      </c>
      <c r="Q59" s="102">
        <f t="shared" si="0"/>
        <v>0.25</v>
      </c>
      <c r="R59" s="93">
        <v>13.3</v>
      </c>
      <c r="S59" s="93">
        <v>105</v>
      </c>
      <c r="T59" s="103">
        <f t="shared" si="2"/>
        <v>33</v>
      </c>
      <c r="U59" s="93">
        <v>98</v>
      </c>
      <c r="V59" s="104">
        <f t="shared" si="1"/>
        <v>3234</v>
      </c>
      <c r="W59" s="93">
        <v>8</v>
      </c>
      <c r="X59" s="93" t="s">
        <v>46</v>
      </c>
      <c r="Y59" s="93" t="s">
        <v>69</v>
      </c>
      <c r="Z59" s="93" t="s">
        <v>97</v>
      </c>
      <c r="AA59" s="93" t="s">
        <v>55</v>
      </c>
      <c r="AB59" s="93" t="s">
        <v>158</v>
      </c>
    </row>
    <row r="60" spans="1:28" x14ac:dyDescent="0.15">
      <c r="A60" s="93" t="s">
        <v>51</v>
      </c>
      <c r="B60" s="93" t="s">
        <v>157</v>
      </c>
      <c r="C60" s="93">
        <v>2019</v>
      </c>
      <c r="D60" s="101" t="s">
        <v>264</v>
      </c>
      <c r="E60" s="93" t="s">
        <v>269</v>
      </c>
      <c r="F60" s="93" t="s">
        <v>260</v>
      </c>
      <c r="G60" s="93" t="s">
        <v>36</v>
      </c>
      <c r="H60" s="93" t="s">
        <v>164</v>
      </c>
      <c r="I60" s="93" t="s">
        <v>159</v>
      </c>
      <c r="J60" s="93" t="s">
        <v>38</v>
      </c>
      <c r="L60" s="93">
        <v>2</v>
      </c>
      <c r="N60" s="93">
        <v>1</v>
      </c>
      <c r="O60" s="93">
        <v>0.5</v>
      </c>
      <c r="P60" s="93">
        <v>0.6</v>
      </c>
      <c r="Q60" s="102">
        <f t="shared" si="0"/>
        <v>0.55000000000000004</v>
      </c>
      <c r="R60" s="93">
        <v>15.3</v>
      </c>
      <c r="S60" s="93">
        <v>107</v>
      </c>
      <c r="T60" s="103">
        <f t="shared" si="2"/>
        <v>33</v>
      </c>
      <c r="U60" s="93">
        <v>98</v>
      </c>
      <c r="V60" s="104">
        <f t="shared" si="1"/>
        <v>3234</v>
      </c>
      <c r="W60" s="93">
        <v>8</v>
      </c>
      <c r="X60" s="93" t="s">
        <v>46</v>
      </c>
      <c r="Y60" s="93" t="s">
        <v>69</v>
      </c>
      <c r="Z60" s="93" t="s">
        <v>97</v>
      </c>
      <c r="AA60" s="93" t="s">
        <v>55</v>
      </c>
      <c r="AB60" s="93" t="s">
        <v>158</v>
      </c>
    </row>
    <row r="61" spans="1:28" x14ac:dyDescent="0.15">
      <c r="A61" s="93" t="s">
        <v>51</v>
      </c>
      <c r="B61" s="93" t="s">
        <v>157</v>
      </c>
      <c r="C61" s="93">
        <v>2019</v>
      </c>
      <c r="D61" s="101" t="s">
        <v>264</v>
      </c>
      <c r="E61" s="93" t="s">
        <v>269</v>
      </c>
      <c r="F61" s="93" t="s">
        <v>260</v>
      </c>
      <c r="G61" s="93" t="s">
        <v>36</v>
      </c>
      <c r="H61" s="93" t="s">
        <v>164</v>
      </c>
      <c r="I61" s="93" t="s">
        <v>159</v>
      </c>
      <c r="J61" s="93" t="s">
        <v>38</v>
      </c>
      <c r="L61" s="93">
        <v>3</v>
      </c>
      <c r="N61" s="93">
        <v>1</v>
      </c>
      <c r="O61" s="93">
        <v>0.5</v>
      </c>
      <c r="P61" s="93">
        <v>0.6</v>
      </c>
      <c r="Q61" s="102">
        <f t="shared" si="0"/>
        <v>0.55000000000000004</v>
      </c>
      <c r="R61" s="93">
        <v>15.3</v>
      </c>
      <c r="S61" s="93">
        <v>107</v>
      </c>
      <c r="T61" s="103">
        <f t="shared" si="2"/>
        <v>33</v>
      </c>
      <c r="U61" s="93">
        <v>98</v>
      </c>
      <c r="V61" s="104">
        <f t="shared" si="1"/>
        <v>3234</v>
      </c>
      <c r="W61" s="93">
        <v>8</v>
      </c>
      <c r="X61" s="93" t="s">
        <v>46</v>
      </c>
      <c r="Y61" s="93" t="s">
        <v>69</v>
      </c>
      <c r="Z61" s="93" t="s">
        <v>97</v>
      </c>
      <c r="AA61" s="93" t="s">
        <v>55</v>
      </c>
      <c r="AB61" s="93" t="s">
        <v>158</v>
      </c>
    </row>
    <row r="62" spans="1:28" x14ac:dyDescent="0.15">
      <c r="A62" s="93" t="s">
        <v>51</v>
      </c>
      <c r="B62" s="93" t="s">
        <v>157</v>
      </c>
      <c r="C62" s="93">
        <v>2019</v>
      </c>
      <c r="D62" s="101" t="s">
        <v>264</v>
      </c>
      <c r="E62" s="93" t="s">
        <v>269</v>
      </c>
      <c r="F62" s="93" t="s">
        <v>260</v>
      </c>
      <c r="G62" s="93" t="s">
        <v>36</v>
      </c>
      <c r="H62" s="93" t="s">
        <v>164</v>
      </c>
      <c r="I62" s="93" t="s">
        <v>159</v>
      </c>
      <c r="J62" s="93" t="s">
        <v>38</v>
      </c>
      <c r="L62" s="93">
        <v>1</v>
      </c>
      <c r="N62" s="93">
        <v>5</v>
      </c>
      <c r="O62" s="93">
        <v>0.6</v>
      </c>
      <c r="P62" s="93">
        <v>0.65</v>
      </c>
      <c r="Q62" s="102">
        <f t="shared" si="0"/>
        <v>0.625</v>
      </c>
      <c r="R62" s="93">
        <v>18</v>
      </c>
      <c r="S62" s="93">
        <v>92</v>
      </c>
      <c r="T62" s="103">
        <f t="shared" si="2"/>
        <v>36</v>
      </c>
      <c r="U62" s="93">
        <v>398</v>
      </c>
      <c r="V62" s="104">
        <f t="shared" si="1"/>
        <v>2865.6</v>
      </c>
      <c r="W62" s="93">
        <v>8</v>
      </c>
      <c r="X62" s="93" t="s">
        <v>46</v>
      </c>
      <c r="Y62" s="93" t="s">
        <v>69</v>
      </c>
      <c r="Z62" s="93" t="s">
        <v>97</v>
      </c>
      <c r="AA62" s="93" t="s">
        <v>55</v>
      </c>
      <c r="AB62" s="93" t="s">
        <v>158</v>
      </c>
    </row>
    <row r="63" spans="1:28" x14ac:dyDescent="0.15">
      <c r="A63" s="93" t="s">
        <v>51</v>
      </c>
      <c r="B63" s="93" t="s">
        <v>157</v>
      </c>
      <c r="C63" s="93">
        <v>2019</v>
      </c>
      <c r="D63" s="101" t="s">
        <v>264</v>
      </c>
      <c r="E63" s="93" t="s">
        <v>269</v>
      </c>
      <c r="F63" s="93" t="s">
        <v>260</v>
      </c>
      <c r="G63" s="93" t="s">
        <v>36</v>
      </c>
      <c r="H63" s="93" t="s">
        <v>164</v>
      </c>
      <c r="I63" s="93" t="s">
        <v>159</v>
      </c>
      <c r="J63" s="93" t="s">
        <v>38</v>
      </c>
      <c r="L63" s="93">
        <v>2</v>
      </c>
      <c r="N63" s="93">
        <v>5</v>
      </c>
      <c r="O63" s="93">
        <v>0.9</v>
      </c>
      <c r="P63" s="93">
        <v>0.85</v>
      </c>
      <c r="Q63" s="102">
        <f t="shared" si="0"/>
        <v>0.875</v>
      </c>
      <c r="R63" s="93">
        <v>16.8</v>
      </c>
      <c r="S63" s="93">
        <v>90</v>
      </c>
      <c r="T63" s="103">
        <f t="shared" si="2"/>
        <v>36</v>
      </c>
      <c r="U63" s="93">
        <v>398</v>
      </c>
      <c r="V63" s="104">
        <f t="shared" si="1"/>
        <v>2865.6</v>
      </c>
      <c r="W63" s="93">
        <v>8</v>
      </c>
      <c r="X63" s="93" t="s">
        <v>46</v>
      </c>
      <c r="Y63" s="93" t="s">
        <v>69</v>
      </c>
      <c r="Z63" s="93" t="s">
        <v>97</v>
      </c>
      <c r="AA63" s="93" t="s">
        <v>55</v>
      </c>
      <c r="AB63" s="93" t="s">
        <v>158</v>
      </c>
    </row>
    <row r="64" spans="1:28" x14ac:dyDescent="0.15">
      <c r="A64" s="93" t="s">
        <v>51</v>
      </c>
      <c r="B64" s="93" t="s">
        <v>157</v>
      </c>
      <c r="C64" s="93">
        <v>2019</v>
      </c>
      <c r="D64" s="101" t="s">
        <v>264</v>
      </c>
      <c r="E64" s="93" t="s">
        <v>269</v>
      </c>
      <c r="F64" s="93" t="s">
        <v>260</v>
      </c>
      <c r="G64" s="93" t="s">
        <v>36</v>
      </c>
      <c r="H64" s="93" t="s">
        <v>164</v>
      </c>
      <c r="I64" s="93" t="s">
        <v>159</v>
      </c>
      <c r="J64" s="93" t="s">
        <v>38</v>
      </c>
      <c r="L64" s="93">
        <v>3</v>
      </c>
      <c r="N64" s="93">
        <v>5</v>
      </c>
      <c r="O64" s="93">
        <v>0.8</v>
      </c>
      <c r="P64" s="93">
        <v>0.85</v>
      </c>
      <c r="Q64" s="102">
        <f t="shared" si="0"/>
        <v>0.82499999999999996</v>
      </c>
      <c r="R64" s="93">
        <v>16.899999999999999</v>
      </c>
      <c r="S64" s="93">
        <v>90</v>
      </c>
      <c r="T64" s="103">
        <f t="shared" si="2"/>
        <v>36</v>
      </c>
      <c r="U64" s="93">
        <v>398</v>
      </c>
      <c r="V64" s="104">
        <f t="shared" si="1"/>
        <v>2865.6</v>
      </c>
      <c r="W64" s="93">
        <v>8</v>
      </c>
      <c r="X64" s="93" t="s">
        <v>46</v>
      </c>
      <c r="Y64" s="93" t="s">
        <v>69</v>
      </c>
      <c r="Z64" s="93" t="s">
        <v>97</v>
      </c>
      <c r="AA64" s="93" t="s">
        <v>55</v>
      </c>
      <c r="AB64" s="93" t="s">
        <v>158</v>
      </c>
    </row>
    <row r="65" spans="1:28" x14ac:dyDescent="0.15">
      <c r="A65" s="93" t="s">
        <v>51</v>
      </c>
      <c r="B65" s="93" t="s">
        <v>157</v>
      </c>
      <c r="C65" s="93">
        <v>2019</v>
      </c>
      <c r="D65" s="101" t="s">
        <v>264</v>
      </c>
      <c r="E65" s="93" t="s">
        <v>269</v>
      </c>
      <c r="F65" s="93" t="s">
        <v>260</v>
      </c>
      <c r="G65" s="93" t="s">
        <v>36</v>
      </c>
      <c r="H65" s="93" t="s">
        <v>160</v>
      </c>
      <c r="I65" s="93" t="s">
        <v>159</v>
      </c>
      <c r="J65" s="93" t="s">
        <v>38</v>
      </c>
      <c r="L65" s="93">
        <v>1</v>
      </c>
      <c r="N65" s="93">
        <v>1</v>
      </c>
      <c r="O65" s="93">
        <v>1.2</v>
      </c>
      <c r="P65" s="93">
        <v>0.9</v>
      </c>
      <c r="Q65" s="102">
        <f t="shared" si="0"/>
        <v>1.05</v>
      </c>
      <c r="R65" s="93">
        <v>19.2</v>
      </c>
      <c r="S65" s="93">
        <v>110</v>
      </c>
      <c r="T65" s="103">
        <f t="shared" si="2"/>
        <v>33</v>
      </c>
      <c r="U65" s="93">
        <v>98</v>
      </c>
      <c r="V65" s="104">
        <f t="shared" si="1"/>
        <v>3234</v>
      </c>
      <c r="W65" s="93">
        <v>8</v>
      </c>
      <c r="X65" s="93" t="s">
        <v>46</v>
      </c>
      <c r="Y65" s="93" t="s">
        <v>69</v>
      </c>
      <c r="Z65" s="93" t="s">
        <v>97</v>
      </c>
      <c r="AA65" s="93" t="s">
        <v>55</v>
      </c>
      <c r="AB65" s="93" t="s">
        <v>158</v>
      </c>
    </row>
    <row r="66" spans="1:28" x14ac:dyDescent="0.15">
      <c r="A66" s="93" t="s">
        <v>51</v>
      </c>
      <c r="B66" s="93" t="s">
        <v>157</v>
      </c>
      <c r="C66" s="93">
        <v>2019</v>
      </c>
      <c r="D66" s="101" t="s">
        <v>264</v>
      </c>
      <c r="E66" s="93" t="s">
        <v>269</v>
      </c>
      <c r="F66" s="93" t="s">
        <v>260</v>
      </c>
      <c r="G66" s="93" t="s">
        <v>36</v>
      </c>
      <c r="H66" s="93" t="s">
        <v>160</v>
      </c>
      <c r="I66" s="93" t="s">
        <v>159</v>
      </c>
      <c r="J66" s="93" t="s">
        <v>38</v>
      </c>
      <c r="L66" s="93">
        <v>2</v>
      </c>
      <c r="N66" s="93">
        <v>1</v>
      </c>
      <c r="O66" s="93">
        <v>0.9</v>
      </c>
      <c r="P66" s="93">
        <v>1.3</v>
      </c>
      <c r="Q66" s="102">
        <f t="shared" si="0"/>
        <v>1.1000000000000001</v>
      </c>
      <c r="R66" s="93">
        <v>17</v>
      </c>
      <c r="S66" s="93">
        <v>108</v>
      </c>
      <c r="T66" s="103">
        <f t="shared" si="2"/>
        <v>33</v>
      </c>
      <c r="U66" s="93">
        <v>98</v>
      </c>
      <c r="V66" s="104">
        <f t="shared" si="1"/>
        <v>3234</v>
      </c>
      <c r="W66" s="93">
        <v>8</v>
      </c>
      <c r="X66" s="93" t="s">
        <v>46</v>
      </c>
      <c r="Y66" s="93" t="s">
        <v>69</v>
      </c>
      <c r="Z66" s="93" t="s">
        <v>97</v>
      </c>
      <c r="AA66" s="93" t="s">
        <v>55</v>
      </c>
      <c r="AB66" s="93" t="s">
        <v>158</v>
      </c>
    </row>
    <row r="67" spans="1:28" x14ac:dyDescent="0.15">
      <c r="A67" s="93" t="s">
        <v>51</v>
      </c>
      <c r="B67" s="93" t="s">
        <v>157</v>
      </c>
      <c r="C67" s="93">
        <v>2019</v>
      </c>
      <c r="D67" s="101" t="s">
        <v>264</v>
      </c>
      <c r="E67" s="93" t="s">
        <v>269</v>
      </c>
      <c r="F67" s="93" t="s">
        <v>260</v>
      </c>
      <c r="G67" s="93" t="s">
        <v>36</v>
      </c>
      <c r="H67" s="93" t="s">
        <v>160</v>
      </c>
      <c r="I67" s="93" t="s">
        <v>159</v>
      </c>
      <c r="J67" s="93" t="s">
        <v>38</v>
      </c>
      <c r="L67" s="93">
        <v>3</v>
      </c>
      <c r="N67" s="93">
        <v>1</v>
      </c>
      <c r="O67" s="93">
        <v>0.75</v>
      </c>
      <c r="P67" s="93">
        <v>0.75</v>
      </c>
      <c r="Q67" s="102">
        <f t="shared" si="0"/>
        <v>0.75</v>
      </c>
      <c r="R67" s="93">
        <v>15.9</v>
      </c>
      <c r="S67" s="93">
        <v>107</v>
      </c>
      <c r="T67" s="103">
        <f t="shared" si="2"/>
        <v>33</v>
      </c>
      <c r="U67" s="93">
        <v>98</v>
      </c>
      <c r="V67" s="104">
        <f t="shared" si="1"/>
        <v>3234</v>
      </c>
      <c r="W67" s="93">
        <v>8</v>
      </c>
      <c r="X67" s="93" t="s">
        <v>46</v>
      </c>
      <c r="Y67" s="93" t="s">
        <v>69</v>
      </c>
      <c r="Z67" s="93" t="s">
        <v>97</v>
      </c>
      <c r="AA67" s="93" t="s">
        <v>55</v>
      </c>
      <c r="AB67" s="93" t="s">
        <v>158</v>
      </c>
    </row>
    <row r="68" spans="1:28" x14ac:dyDescent="0.15">
      <c r="A68" s="93" t="s">
        <v>51</v>
      </c>
      <c r="B68" s="93" t="s">
        <v>157</v>
      </c>
      <c r="C68" s="93">
        <v>2019</v>
      </c>
      <c r="D68" s="101" t="s">
        <v>264</v>
      </c>
      <c r="E68" s="93" t="s">
        <v>269</v>
      </c>
      <c r="F68" s="93" t="s">
        <v>260</v>
      </c>
      <c r="G68" s="93" t="s">
        <v>36</v>
      </c>
      <c r="H68" s="93" t="s">
        <v>160</v>
      </c>
      <c r="I68" s="93" t="s">
        <v>159</v>
      </c>
      <c r="J68" s="93" t="s">
        <v>38</v>
      </c>
      <c r="L68" s="93">
        <v>1</v>
      </c>
      <c r="N68" s="93">
        <v>5</v>
      </c>
      <c r="O68" s="93">
        <v>0.9</v>
      </c>
      <c r="P68" s="93">
        <v>1</v>
      </c>
      <c r="Q68" s="102">
        <f t="shared" si="0"/>
        <v>0.95</v>
      </c>
      <c r="R68" s="93">
        <v>15</v>
      </c>
      <c r="S68" s="93">
        <v>82</v>
      </c>
      <c r="T68" s="103">
        <f t="shared" si="2"/>
        <v>39</v>
      </c>
      <c r="U68" s="93">
        <v>498</v>
      </c>
      <c r="V68" s="104">
        <f t="shared" si="1"/>
        <v>3884.3999999999996</v>
      </c>
      <c r="W68" s="93">
        <v>8</v>
      </c>
      <c r="X68" s="93" t="s">
        <v>46</v>
      </c>
      <c r="Y68" s="93" t="s">
        <v>69</v>
      </c>
      <c r="Z68" s="93" t="s">
        <v>97</v>
      </c>
      <c r="AA68" s="93" t="s">
        <v>55</v>
      </c>
      <c r="AB68" s="93" t="s">
        <v>158</v>
      </c>
    </row>
    <row r="69" spans="1:28" x14ac:dyDescent="0.15">
      <c r="A69" s="93" t="s">
        <v>51</v>
      </c>
      <c r="B69" s="93" t="s">
        <v>157</v>
      </c>
      <c r="C69" s="93">
        <v>2019</v>
      </c>
      <c r="D69" s="101" t="s">
        <v>264</v>
      </c>
      <c r="E69" s="93" t="s">
        <v>269</v>
      </c>
      <c r="F69" s="93" t="s">
        <v>260</v>
      </c>
      <c r="G69" s="93" t="s">
        <v>36</v>
      </c>
      <c r="H69" s="93" t="s">
        <v>160</v>
      </c>
      <c r="I69" s="93" t="s">
        <v>159</v>
      </c>
      <c r="J69" s="93" t="s">
        <v>38</v>
      </c>
      <c r="L69" s="93">
        <v>2</v>
      </c>
      <c r="N69" s="93">
        <v>5</v>
      </c>
      <c r="O69" s="93">
        <v>0.95</v>
      </c>
      <c r="P69" s="93">
        <v>0.9</v>
      </c>
      <c r="Q69" s="102">
        <f t="shared" si="0"/>
        <v>0.92500000000000004</v>
      </c>
      <c r="R69" s="93">
        <v>16.100000000000001</v>
      </c>
      <c r="S69" s="93">
        <v>86</v>
      </c>
      <c r="T69" s="103">
        <f t="shared" ref="T69:T112" si="3">IF(H69="","",IF(OR(H69="GREEN",H69="GK"),IF(S69&gt;=$AX$2,VLOOKUP(S69,$AX$2:$AY$15,2,1),""),IF(S69&gt;=$AZ$2,VLOOKUP(S69,$AZ$2:$BA$15,2,1),"")))</f>
        <v>36</v>
      </c>
      <c r="U69" s="93">
        <v>498</v>
      </c>
      <c r="V69" s="104">
        <f t="shared" si="1"/>
        <v>3585.6</v>
      </c>
      <c r="W69" s="93">
        <v>8</v>
      </c>
      <c r="X69" s="93" t="s">
        <v>46</v>
      </c>
      <c r="Y69" s="93" t="s">
        <v>69</v>
      </c>
      <c r="Z69" s="93" t="s">
        <v>97</v>
      </c>
      <c r="AA69" s="93" t="s">
        <v>55</v>
      </c>
      <c r="AB69" s="93" t="s">
        <v>158</v>
      </c>
    </row>
    <row r="70" spans="1:28" x14ac:dyDescent="0.15">
      <c r="A70" s="93" t="s">
        <v>51</v>
      </c>
      <c r="B70" s="93" t="s">
        <v>157</v>
      </c>
      <c r="C70" s="93">
        <v>2019</v>
      </c>
      <c r="D70" s="101" t="s">
        <v>264</v>
      </c>
      <c r="E70" s="93" t="s">
        <v>269</v>
      </c>
      <c r="F70" s="93" t="s">
        <v>260</v>
      </c>
      <c r="G70" s="93" t="s">
        <v>36</v>
      </c>
      <c r="H70" s="93" t="s">
        <v>160</v>
      </c>
      <c r="I70" s="93" t="s">
        <v>159</v>
      </c>
      <c r="J70" s="93" t="s">
        <v>38</v>
      </c>
      <c r="L70" s="93">
        <v>3</v>
      </c>
      <c r="N70" s="93">
        <v>5</v>
      </c>
      <c r="O70" s="93">
        <v>0.85</v>
      </c>
      <c r="P70" s="93">
        <v>0.8</v>
      </c>
      <c r="Q70" s="102">
        <f t="shared" si="0"/>
        <v>0.82499999999999996</v>
      </c>
      <c r="R70" s="93">
        <v>16.7</v>
      </c>
      <c r="S70" s="93">
        <v>85</v>
      </c>
      <c r="T70" s="103">
        <f t="shared" si="3"/>
        <v>36</v>
      </c>
      <c r="U70" s="93">
        <v>498</v>
      </c>
      <c r="V70" s="104">
        <f t="shared" si="1"/>
        <v>3585.6</v>
      </c>
      <c r="W70" s="93">
        <v>8</v>
      </c>
      <c r="X70" s="93" t="s">
        <v>46</v>
      </c>
      <c r="Y70" s="93" t="s">
        <v>69</v>
      </c>
      <c r="Z70" s="93" t="s">
        <v>97</v>
      </c>
      <c r="AA70" s="93" t="s">
        <v>55</v>
      </c>
      <c r="AB70" s="93" t="s">
        <v>158</v>
      </c>
    </row>
    <row r="71" spans="1:28" x14ac:dyDescent="0.15">
      <c r="A71" s="93" t="s">
        <v>51</v>
      </c>
      <c r="B71" s="93" t="s">
        <v>157</v>
      </c>
      <c r="C71" s="93">
        <v>2019</v>
      </c>
      <c r="D71" s="101" t="s">
        <v>264</v>
      </c>
      <c r="E71" s="93" t="s">
        <v>273</v>
      </c>
      <c r="F71" s="93" t="s">
        <v>274</v>
      </c>
      <c r="G71" s="93" t="s">
        <v>36</v>
      </c>
      <c r="H71" s="93" t="s">
        <v>164</v>
      </c>
      <c r="I71" s="93" t="s">
        <v>159</v>
      </c>
      <c r="J71" s="93" t="s">
        <v>38</v>
      </c>
      <c r="L71" s="93">
        <v>1</v>
      </c>
      <c r="N71" s="93">
        <v>1</v>
      </c>
      <c r="O71" s="93">
        <v>0.5</v>
      </c>
      <c r="P71" s="93">
        <v>0.55000000000000004</v>
      </c>
      <c r="Q71" s="102">
        <f t="shared" si="0"/>
        <v>0.52500000000000002</v>
      </c>
      <c r="R71" s="93">
        <v>16.5</v>
      </c>
      <c r="S71" s="93">
        <v>139</v>
      </c>
      <c r="T71" s="103">
        <f t="shared" si="3"/>
        <v>22</v>
      </c>
      <c r="U71" s="93">
        <v>128</v>
      </c>
      <c r="V71" s="104">
        <f t="shared" si="1"/>
        <v>2816</v>
      </c>
      <c r="W71" s="93">
        <v>12</v>
      </c>
      <c r="X71" s="93" t="s">
        <v>46</v>
      </c>
      <c r="Y71" s="93" t="s">
        <v>97</v>
      </c>
      <c r="Z71" s="93" t="s">
        <v>55</v>
      </c>
      <c r="AA71" s="93" t="s">
        <v>69</v>
      </c>
      <c r="AB71" s="93" t="s">
        <v>158</v>
      </c>
    </row>
    <row r="72" spans="1:28" x14ac:dyDescent="0.15">
      <c r="A72" s="93" t="s">
        <v>51</v>
      </c>
      <c r="B72" s="93" t="s">
        <v>157</v>
      </c>
      <c r="C72" s="93">
        <v>2019</v>
      </c>
      <c r="D72" s="101" t="s">
        <v>264</v>
      </c>
      <c r="E72" s="93" t="s">
        <v>273</v>
      </c>
      <c r="F72" s="93" t="s">
        <v>274</v>
      </c>
      <c r="G72" s="93" t="s">
        <v>36</v>
      </c>
      <c r="H72" s="93" t="s">
        <v>164</v>
      </c>
      <c r="I72" s="93" t="s">
        <v>159</v>
      </c>
      <c r="J72" s="93" t="s">
        <v>38</v>
      </c>
      <c r="L72" s="93">
        <v>2</v>
      </c>
      <c r="N72" s="93">
        <v>1</v>
      </c>
      <c r="O72" s="93">
        <v>0.55000000000000004</v>
      </c>
      <c r="P72" s="93">
        <v>0.7</v>
      </c>
      <c r="Q72" s="102">
        <f t="shared" si="0"/>
        <v>0.625</v>
      </c>
      <c r="R72" s="93">
        <v>13.3</v>
      </c>
      <c r="S72" s="93">
        <v>143</v>
      </c>
      <c r="T72" s="103">
        <f t="shared" si="3"/>
        <v>22</v>
      </c>
      <c r="U72" s="93">
        <v>128</v>
      </c>
      <c r="V72" s="104">
        <f t="shared" si="1"/>
        <v>2816</v>
      </c>
      <c r="W72" s="93">
        <v>12</v>
      </c>
      <c r="X72" s="93" t="s">
        <v>46</v>
      </c>
      <c r="Y72" s="93" t="s">
        <v>97</v>
      </c>
      <c r="Z72" s="93" t="s">
        <v>55</v>
      </c>
      <c r="AA72" s="93" t="s">
        <v>69</v>
      </c>
      <c r="AB72" s="93" t="s">
        <v>158</v>
      </c>
    </row>
    <row r="73" spans="1:28" x14ac:dyDescent="0.15">
      <c r="A73" s="93" t="s">
        <v>51</v>
      </c>
      <c r="B73" s="93" t="s">
        <v>157</v>
      </c>
      <c r="C73" s="93">
        <v>2019</v>
      </c>
      <c r="D73" s="101" t="s">
        <v>264</v>
      </c>
      <c r="E73" s="93" t="s">
        <v>273</v>
      </c>
      <c r="F73" s="93" t="s">
        <v>274</v>
      </c>
      <c r="G73" s="93" t="s">
        <v>36</v>
      </c>
      <c r="H73" s="93" t="s">
        <v>164</v>
      </c>
      <c r="I73" s="93" t="s">
        <v>159</v>
      </c>
      <c r="J73" s="93" t="s">
        <v>38</v>
      </c>
      <c r="L73" s="93">
        <v>3</v>
      </c>
      <c r="N73" s="93">
        <v>1</v>
      </c>
      <c r="O73" s="93">
        <v>0.75</v>
      </c>
      <c r="P73" s="93">
        <v>0.7</v>
      </c>
      <c r="Q73" s="102">
        <f t="shared" si="0"/>
        <v>0.72499999999999998</v>
      </c>
      <c r="R73" s="93">
        <v>15.1</v>
      </c>
      <c r="S73" s="93">
        <v>139</v>
      </c>
      <c r="T73" s="103">
        <f t="shared" si="3"/>
        <v>22</v>
      </c>
      <c r="U73" s="93">
        <v>128</v>
      </c>
      <c r="V73" s="104">
        <f t="shared" si="1"/>
        <v>2816</v>
      </c>
      <c r="W73" s="93">
        <v>12</v>
      </c>
      <c r="X73" s="93" t="s">
        <v>46</v>
      </c>
      <c r="Y73" s="93" t="s">
        <v>97</v>
      </c>
      <c r="Z73" s="93" t="s">
        <v>55</v>
      </c>
      <c r="AA73" s="93" t="s">
        <v>69</v>
      </c>
      <c r="AB73" s="93" t="s">
        <v>158</v>
      </c>
    </row>
    <row r="74" spans="1:28" x14ac:dyDescent="0.15">
      <c r="A74" s="93" t="s">
        <v>51</v>
      </c>
      <c r="B74" s="93" t="s">
        <v>157</v>
      </c>
      <c r="C74" s="93">
        <v>2019</v>
      </c>
      <c r="D74" s="101" t="s">
        <v>264</v>
      </c>
      <c r="E74" s="93" t="s">
        <v>273</v>
      </c>
      <c r="F74" s="93" t="s">
        <v>274</v>
      </c>
      <c r="G74" s="93" t="s">
        <v>36</v>
      </c>
      <c r="H74" s="93" t="s">
        <v>164</v>
      </c>
      <c r="I74" s="93" t="s">
        <v>159</v>
      </c>
      <c r="J74" s="93" t="s">
        <v>38</v>
      </c>
      <c r="L74" s="93">
        <v>1</v>
      </c>
      <c r="N74" s="93">
        <v>4</v>
      </c>
      <c r="O74" s="93">
        <v>0.7</v>
      </c>
      <c r="P74" s="93">
        <v>0.75</v>
      </c>
      <c r="Q74" s="102">
        <f t="shared" si="0"/>
        <v>0.72499999999999998</v>
      </c>
      <c r="R74" s="93">
        <v>14.2</v>
      </c>
      <c r="S74" s="93">
        <v>96</v>
      </c>
      <c r="T74" s="103">
        <f t="shared" si="3"/>
        <v>36</v>
      </c>
      <c r="U74" s="93">
        <v>398</v>
      </c>
      <c r="V74" s="104">
        <f t="shared" si="1"/>
        <v>3582</v>
      </c>
      <c r="W74" s="93">
        <v>12</v>
      </c>
      <c r="X74" s="93" t="s">
        <v>46</v>
      </c>
      <c r="Y74" s="93" t="s">
        <v>97</v>
      </c>
      <c r="Z74" s="93" t="s">
        <v>55</v>
      </c>
      <c r="AA74" s="93" t="s">
        <v>69</v>
      </c>
      <c r="AB74" s="93" t="s">
        <v>158</v>
      </c>
    </row>
    <row r="75" spans="1:28" x14ac:dyDescent="0.15">
      <c r="A75" s="93" t="s">
        <v>51</v>
      </c>
      <c r="B75" s="93" t="s">
        <v>157</v>
      </c>
      <c r="C75" s="93">
        <v>2019</v>
      </c>
      <c r="D75" s="101" t="s">
        <v>264</v>
      </c>
      <c r="E75" s="93" t="s">
        <v>273</v>
      </c>
      <c r="F75" s="93" t="s">
        <v>274</v>
      </c>
      <c r="G75" s="93" t="s">
        <v>36</v>
      </c>
      <c r="H75" s="93" t="s">
        <v>164</v>
      </c>
      <c r="I75" s="93" t="s">
        <v>159</v>
      </c>
      <c r="J75" s="93" t="s">
        <v>38</v>
      </c>
      <c r="L75" s="93">
        <v>2</v>
      </c>
      <c r="N75" s="93">
        <v>4</v>
      </c>
      <c r="O75" s="93">
        <v>0.8</v>
      </c>
      <c r="P75" s="93">
        <v>0.85</v>
      </c>
      <c r="Q75" s="102">
        <f t="shared" si="0"/>
        <v>0.82499999999999996</v>
      </c>
      <c r="R75" s="93">
        <v>13</v>
      </c>
      <c r="S75" s="93">
        <v>93</v>
      </c>
      <c r="T75" s="103">
        <f t="shared" si="3"/>
        <v>36</v>
      </c>
      <c r="U75" s="93">
        <v>398</v>
      </c>
      <c r="V75" s="104">
        <f t="shared" si="1"/>
        <v>3582</v>
      </c>
      <c r="W75" s="93">
        <v>12</v>
      </c>
      <c r="X75" s="93" t="s">
        <v>46</v>
      </c>
      <c r="Y75" s="93" t="s">
        <v>97</v>
      </c>
      <c r="Z75" s="93" t="s">
        <v>55</v>
      </c>
      <c r="AA75" s="93" t="s">
        <v>69</v>
      </c>
      <c r="AB75" s="93" t="s">
        <v>158</v>
      </c>
    </row>
    <row r="76" spans="1:28" x14ac:dyDescent="0.15">
      <c r="A76" s="93" t="s">
        <v>51</v>
      </c>
      <c r="B76" s="93" t="s">
        <v>157</v>
      </c>
      <c r="C76" s="93">
        <v>2019</v>
      </c>
      <c r="D76" s="101" t="s">
        <v>264</v>
      </c>
      <c r="E76" s="93" t="s">
        <v>273</v>
      </c>
      <c r="F76" s="93" t="s">
        <v>274</v>
      </c>
      <c r="G76" s="93" t="s">
        <v>36</v>
      </c>
      <c r="H76" s="93" t="s">
        <v>164</v>
      </c>
      <c r="I76" s="93" t="s">
        <v>159</v>
      </c>
      <c r="J76" s="93" t="s">
        <v>38</v>
      </c>
      <c r="L76" s="93">
        <v>3</v>
      </c>
      <c r="N76" s="93">
        <v>4</v>
      </c>
      <c r="O76" s="93">
        <v>0.75</v>
      </c>
      <c r="P76" s="93">
        <v>0.7</v>
      </c>
      <c r="Q76" s="102">
        <f t="shared" si="0"/>
        <v>0.72499999999999998</v>
      </c>
      <c r="R76" s="93">
        <v>14.2</v>
      </c>
      <c r="S76" s="93">
        <v>98</v>
      </c>
      <c r="T76" s="103">
        <f t="shared" si="3"/>
        <v>36</v>
      </c>
      <c r="U76" s="93">
        <v>398</v>
      </c>
      <c r="V76" s="104">
        <f t="shared" si="1"/>
        <v>3582</v>
      </c>
      <c r="W76" s="93">
        <v>12</v>
      </c>
      <c r="X76" s="93" t="s">
        <v>46</v>
      </c>
      <c r="Y76" s="93" t="s">
        <v>97</v>
      </c>
      <c r="Z76" s="93" t="s">
        <v>55</v>
      </c>
      <c r="AA76" s="93" t="s">
        <v>69</v>
      </c>
      <c r="AB76" s="93" t="s">
        <v>158</v>
      </c>
    </row>
    <row r="77" spans="1:28" x14ac:dyDescent="0.15">
      <c r="A77" s="93" t="s">
        <v>51</v>
      </c>
      <c r="B77" s="93" t="s">
        <v>157</v>
      </c>
      <c r="C77" s="93">
        <v>2019</v>
      </c>
      <c r="D77" s="101" t="s">
        <v>264</v>
      </c>
      <c r="E77" s="93" t="s">
        <v>273</v>
      </c>
      <c r="F77" s="93" t="s">
        <v>274</v>
      </c>
      <c r="G77" s="93" t="s">
        <v>36</v>
      </c>
      <c r="H77" s="93" t="s">
        <v>164</v>
      </c>
      <c r="I77" s="93" t="s">
        <v>159</v>
      </c>
      <c r="J77" s="93" t="s">
        <v>38</v>
      </c>
      <c r="L77" s="93">
        <v>1</v>
      </c>
      <c r="N77" s="93">
        <v>8</v>
      </c>
      <c r="O77" s="93">
        <v>0.5</v>
      </c>
      <c r="P77" s="93">
        <v>0.5</v>
      </c>
      <c r="Q77" s="102">
        <f t="shared" si="0"/>
        <v>0.5</v>
      </c>
      <c r="R77" s="93">
        <v>15</v>
      </c>
      <c r="S77" s="93">
        <v>101</v>
      </c>
      <c r="T77" s="103">
        <f t="shared" si="3"/>
        <v>33</v>
      </c>
      <c r="U77" s="93">
        <v>598</v>
      </c>
      <c r="V77" s="104">
        <f t="shared" si="1"/>
        <v>2466.75</v>
      </c>
      <c r="W77" s="93">
        <v>12</v>
      </c>
      <c r="X77" s="93" t="s">
        <v>46</v>
      </c>
      <c r="Y77" s="93" t="s">
        <v>97</v>
      </c>
      <c r="Z77" s="93" t="s">
        <v>55</v>
      </c>
      <c r="AA77" s="93" t="s">
        <v>69</v>
      </c>
      <c r="AB77" s="93" t="s">
        <v>158</v>
      </c>
    </row>
    <row r="78" spans="1:28" x14ac:dyDescent="0.15">
      <c r="A78" s="93" t="s">
        <v>51</v>
      </c>
      <c r="B78" s="93" t="s">
        <v>157</v>
      </c>
      <c r="C78" s="93">
        <v>2019</v>
      </c>
      <c r="D78" s="101" t="s">
        <v>264</v>
      </c>
      <c r="E78" s="93" t="s">
        <v>273</v>
      </c>
      <c r="F78" s="93" t="s">
        <v>274</v>
      </c>
      <c r="G78" s="93" t="s">
        <v>36</v>
      </c>
      <c r="H78" s="93" t="s">
        <v>164</v>
      </c>
      <c r="I78" s="93" t="s">
        <v>159</v>
      </c>
      <c r="J78" s="93" t="s">
        <v>38</v>
      </c>
      <c r="L78" s="93">
        <v>2</v>
      </c>
      <c r="N78" s="93">
        <v>8</v>
      </c>
      <c r="O78" s="93">
        <v>0.65</v>
      </c>
      <c r="P78" s="93">
        <v>0.6</v>
      </c>
      <c r="Q78" s="102">
        <f t="shared" si="0"/>
        <v>0.625</v>
      </c>
      <c r="R78" s="93">
        <v>14.4</v>
      </c>
      <c r="S78" s="93">
        <v>100</v>
      </c>
      <c r="T78" s="103">
        <f t="shared" si="3"/>
        <v>33</v>
      </c>
      <c r="U78" s="93">
        <v>598</v>
      </c>
      <c r="V78" s="104">
        <f t="shared" si="1"/>
        <v>2466.75</v>
      </c>
      <c r="W78" s="93">
        <v>12</v>
      </c>
      <c r="X78" s="93" t="s">
        <v>46</v>
      </c>
      <c r="Y78" s="93" t="s">
        <v>97</v>
      </c>
      <c r="Z78" s="93" t="s">
        <v>55</v>
      </c>
      <c r="AA78" s="93" t="s">
        <v>69</v>
      </c>
      <c r="AB78" s="93" t="s">
        <v>158</v>
      </c>
    </row>
    <row r="79" spans="1:28" x14ac:dyDescent="0.15">
      <c r="A79" s="93" t="s">
        <v>51</v>
      </c>
      <c r="B79" s="93" t="s">
        <v>157</v>
      </c>
      <c r="C79" s="93">
        <v>2019</v>
      </c>
      <c r="D79" s="101" t="s">
        <v>264</v>
      </c>
      <c r="E79" s="93" t="s">
        <v>273</v>
      </c>
      <c r="F79" s="93" t="s">
        <v>274</v>
      </c>
      <c r="G79" s="93" t="s">
        <v>36</v>
      </c>
      <c r="H79" s="93" t="s">
        <v>164</v>
      </c>
      <c r="I79" s="93" t="s">
        <v>159</v>
      </c>
      <c r="J79" s="93" t="s">
        <v>38</v>
      </c>
      <c r="L79" s="93">
        <v>3</v>
      </c>
      <c r="N79" s="93">
        <v>8</v>
      </c>
      <c r="O79" s="93">
        <v>0.5</v>
      </c>
      <c r="P79" s="93">
        <v>0.5</v>
      </c>
      <c r="Q79" s="102">
        <f t="shared" si="0"/>
        <v>0.5</v>
      </c>
      <c r="R79" s="93">
        <v>13.7</v>
      </c>
      <c r="S79" s="93">
        <v>105</v>
      </c>
      <c r="T79" s="103">
        <f t="shared" si="3"/>
        <v>33</v>
      </c>
      <c r="U79" s="93">
        <v>598</v>
      </c>
      <c r="V79" s="104">
        <f t="shared" si="1"/>
        <v>2466.75</v>
      </c>
      <c r="W79" s="93">
        <v>12</v>
      </c>
      <c r="X79" s="93" t="s">
        <v>46</v>
      </c>
      <c r="Y79" s="93" t="s">
        <v>97</v>
      </c>
      <c r="Z79" s="93" t="s">
        <v>55</v>
      </c>
      <c r="AA79" s="93" t="s">
        <v>69</v>
      </c>
      <c r="AB79" s="93" t="s">
        <v>158</v>
      </c>
    </row>
    <row r="80" spans="1:28" x14ac:dyDescent="0.15">
      <c r="A80" s="93" t="s">
        <v>51</v>
      </c>
      <c r="B80" s="93" t="s">
        <v>157</v>
      </c>
      <c r="C80" s="93">
        <v>2019</v>
      </c>
      <c r="D80" s="101" t="s">
        <v>264</v>
      </c>
      <c r="E80" s="93" t="s">
        <v>273</v>
      </c>
      <c r="F80" s="93" t="s">
        <v>274</v>
      </c>
      <c r="G80" s="93" t="s">
        <v>36</v>
      </c>
      <c r="H80" s="93" t="s">
        <v>160</v>
      </c>
      <c r="I80" s="93" t="s">
        <v>159</v>
      </c>
      <c r="J80" s="93" t="s">
        <v>38</v>
      </c>
      <c r="L80" s="93">
        <v>1</v>
      </c>
      <c r="N80" s="93">
        <v>1</v>
      </c>
      <c r="O80" s="93">
        <v>0.75</v>
      </c>
      <c r="P80" s="93">
        <v>0.65</v>
      </c>
      <c r="Q80" s="102">
        <f t="shared" si="0"/>
        <v>0.7</v>
      </c>
      <c r="R80" s="93">
        <v>19.100000000000001</v>
      </c>
      <c r="S80" s="93">
        <v>132</v>
      </c>
      <c r="T80" s="103">
        <f t="shared" si="3"/>
        <v>25</v>
      </c>
      <c r="U80" s="93">
        <v>128</v>
      </c>
      <c r="V80" s="104">
        <f t="shared" si="1"/>
        <v>3200</v>
      </c>
      <c r="W80" s="93">
        <v>12</v>
      </c>
      <c r="X80" s="93" t="s">
        <v>46</v>
      </c>
      <c r="Y80" s="93" t="s">
        <v>97</v>
      </c>
      <c r="Z80" s="93" t="s">
        <v>55</v>
      </c>
      <c r="AA80" s="93" t="s">
        <v>69</v>
      </c>
      <c r="AB80" s="93" t="s">
        <v>158</v>
      </c>
    </row>
    <row r="81" spans="1:28" x14ac:dyDescent="0.15">
      <c r="A81" s="93" t="s">
        <v>51</v>
      </c>
      <c r="B81" s="93" t="s">
        <v>157</v>
      </c>
      <c r="C81" s="93">
        <v>2019</v>
      </c>
      <c r="D81" s="101" t="s">
        <v>264</v>
      </c>
      <c r="E81" s="93" t="s">
        <v>273</v>
      </c>
      <c r="F81" s="93" t="s">
        <v>274</v>
      </c>
      <c r="G81" s="93" t="s">
        <v>36</v>
      </c>
      <c r="H81" s="93" t="s">
        <v>160</v>
      </c>
      <c r="I81" s="93" t="s">
        <v>159</v>
      </c>
      <c r="J81" s="93" t="s">
        <v>38</v>
      </c>
      <c r="L81" s="93">
        <v>2</v>
      </c>
      <c r="N81" s="93">
        <v>1</v>
      </c>
      <c r="O81" s="93">
        <v>0.85</v>
      </c>
      <c r="P81" s="93">
        <v>1</v>
      </c>
      <c r="Q81" s="102">
        <f t="shared" si="0"/>
        <v>0.92500000000000004</v>
      </c>
      <c r="R81" s="93">
        <v>16.899999999999999</v>
      </c>
      <c r="S81" s="93">
        <v>128</v>
      </c>
      <c r="T81" s="103">
        <f t="shared" si="3"/>
        <v>27</v>
      </c>
      <c r="U81" s="93">
        <v>128</v>
      </c>
      <c r="V81" s="104">
        <f t="shared" si="1"/>
        <v>3456</v>
      </c>
      <c r="W81" s="93">
        <v>12</v>
      </c>
      <c r="X81" s="93" t="s">
        <v>46</v>
      </c>
      <c r="Y81" s="93" t="s">
        <v>97</v>
      </c>
      <c r="Z81" s="93" t="s">
        <v>55</v>
      </c>
      <c r="AA81" s="93" t="s">
        <v>69</v>
      </c>
      <c r="AB81" s="93" t="s">
        <v>158</v>
      </c>
    </row>
    <row r="82" spans="1:28" x14ac:dyDescent="0.15">
      <c r="A82" s="93" t="s">
        <v>51</v>
      </c>
      <c r="B82" s="93" t="s">
        <v>157</v>
      </c>
      <c r="C82" s="93">
        <v>2019</v>
      </c>
      <c r="D82" s="101" t="s">
        <v>264</v>
      </c>
      <c r="E82" s="93" t="s">
        <v>273</v>
      </c>
      <c r="F82" s="93" t="s">
        <v>274</v>
      </c>
      <c r="G82" s="93" t="s">
        <v>36</v>
      </c>
      <c r="H82" s="93" t="s">
        <v>160</v>
      </c>
      <c r="I82" s="93" t="s">
        <v>159</v>
      </c>
      <c r="J82" s="93" t="s">
        <v>38</v>
      </c>
      <c r="L82" s="93">
        <v>3</v>
      </c>
      <c r="N82" s="93">
        <v>1</v>
      </c>
      <c r="O82" s="93">
        <v>1.1499999999999999</v>
      </c>
      <c r="P82" s="93">
        <v>1.35</v>
      </c>
      <c r="Q82" s="102">
        <f t="shared" si="0"/>
        <v>1.25</v>
      </c>
      <c r="R82" s="93">
        <v>16.2</v>
      </c>
      <c r="S82" s="93">
        <v>135</v>
      </c>
      <c r="T82" s="103">
        <f t="shared" si="3"/>
        <v>25</v>
      </c>
      <c r="U82" s="93">
        <v>128</v>
      </c>
      <c r="V82" s="104">
        <f t="shared" si="1"/>
        <v>3200</v>
      </c>
      <c r="W82" s="93">
        <v>12</v>
      </c>
      <c r="X82" s="93" t="s">
        <v>46</v>
      </c>
      <c r="Y82" s="93" t="s">
        <v>97</v>
      </c>
      <c r="Z82" s="93" t="s">
        <v>55</v>
      </c>
      <c r="AA82" s="93" t="s">
        <v>69</v>
      </c>
      <c r="AB82" s="93" t="s">
        <v>158</v>
      </c>
    </row>
    <row r="83" spans="1:28" x14ac:dyDescent="0.15">
      <c r="A83" s="93" t="s">
        <v>51</v>
      </c>
      <c r="B83" s="93" t="s">
        <v>157</v>
      </c>
      <c r="C83" s="93">
        <v>2019</v>
      </c>
      <c r="D83" s="101" t="s">
        <v>264</v>
      </c>
      <c r="E83" s="93" t="s">
        <v>273</v>
      </c>
      <c r="F83" s="93" t="s">
        <v>274</v>
      </c>
      <c r="G83" s="93" t="s">
        <v>36</v>
      </c>
      <c r="H83" s="93" t="s">
        <v>160</v>
      </c>
      <c r="I83" s="93" t="s">
        <v>159</v>
      </c>
      <c r="J83" s="93" t="s">
        <v>38</v>
      </c>
      <c r="L83" s="93">
        <v>1</v>
      </c>
      <c r="N83" s="93">
        <v>4</v>
      </c>
      <c r="O83" s="93">
        <v>0.6</v>
      </c>
      <c r="P83" s="93">
        <v>0.75</v>
      </c>
      <c r="Q83" s="102">
        <f t="shared" si="0"/>
        <v>0.67500000000000004</v>
      </c>
      <c r="R83" s="93">
        <v>17.7</v>
      </c>
      <c r="S83" s="93">
        <v>95</v>
      </c>
      <c r="T83" s="103">
        <f t="shared" si="3"/>
        <v>36</v>
      </c>
      <c r="U83" s="93">
        <v>398</v>
      </c>
      <c r="V83" s="104">
        <f t="shared" si="1"/>
        <v>3582</v>
      </c>
      <c r="W83" s="93">
        <v>12</v>
      </c>
      <c r="X83" s="93" t="s">
        <v>46</v>
      </c>
      <c r="Y83" s="93" t="s">
        <v>97</v>
      </c>
      <c r="Z83" s="93" t="s">
        <v>55</v>
      </c>
      <c r="AA83" s="93" t="s">
        <v>69</v>
      </c>
      <c r="AB83" s="93" t="s">
        <v>158</v>
      </c>
    </row>
    <row r="84" spans="1:28" x14ac:dyDescent="0.15">
      <c r="A84" s="93" t="s">
        <v>51</v>
      </c>
      <c r="B84" s="93" t="s">
        <v>157</v>
      </c>
      <c r="C84" s="93">
        <v>2019</v>
      </c>
      <c r="D84" s="101" t="s">
        <v>264</v>
      </c>
      <c r="E84" s="93" t="s">
        <v>273</v>
      </c>
      <c r="F84" s="93" t="s">
        <v>274</v>
      </c>
      <c r="G84" s="93" t="s">
        <v>36</v>
      </c>
      <c r="H84" s="93" t="s">
        <v>160</v>
      </c>
      <c r="I84" s="93" t="s">
        <v>159</v>
      </c>
      <c r="J84" s="93" t="s">
        <v>38</v>
      </c>
      <c r="L84" s="93">
        <v>2</v>
      </c>
      <c r="N84" s="93">
        <v>4</v>
      </c>
      <c r="O84" s="93">
        <v>0.5</v>
      </c>
      <c r="P84" s="93">
        <v>0.6</v>
      </c>
      <c r="Q84" s="102">
        <f t="shared" si="0"/>
        <v>0.55000000000000004</v>
      </c>
      <c r="R84" s="93">
        <v>16.899999999999999</v>
      </c>
      <c r="S84" s="93">
        <v>99</v>
      </c>
      <c r="T84" s="103">
        <f t="shared" si="3"/>
        <v>33</v>
      </c>
      <c r="U84" s="93">
        <v>398</v>
      </c>
      <c r="V84" s="104">
        <f t="shared" si="1"/>
        <v>3283.5</v>
      </c>
      <c r="W84" s="93">
        <v>12</v>
      </c>
      <c r="X84" s="93" t="s">
        <v>46</v>
      </c>
      <c r="Y84" s="93" t="s">
        <v>97</v>
      </c>
      <c r="Z84" s="93" t="s">
        <v>55</v>
      </c>
      <c r="AA84" s="93" t="s">
        <v>69</v>
      </c>
      <c r="AB84" s="93" t="s">
        <v>158</v>
      </c>
    </row>
    <row r="85" spans="1:28" x14ac:dyDescent="0.15">
      <c r="A85" s="93" t="s">
        <v>51</v>
      </c>
      <c r="B85" s="93" t="s">
        <v>157</v>
      </c>
      <c r="C85" s="93">
        <v>2019</v>
      </c>
      <c r="D85" s="101" t="s">
        <v>264</v>
      </c>
      <c r="E85" s="93" t="s">
        <v>273</v>
      </c>
      <c r="F85" s="93" t="s">
        <v>274</v>
      </c>
      <c r="G85" s="93" t="s">
        <v>36</v>
      </c>
      <c r="H85" s="93" t="s">
        <v>160</v>
      </c>
      <c r="I85" s="93" t="s">
        <v>159</v>
      </c>
      <c r="J85" s="93" t="s">
        <v>38</v>
      </c>
      <c r="L85" s="93">
        <v>3</v>
      </c>
      <c r="N85" s="93">
        <v>4</v>
      </c>
      <c r="O85" s="93">
        <v>0.6</v>
      </c>
      <c r="P85" s="93">
        <v>0.5</v>
      </c>
      <c r="Q85" s="102">
        <f t="shared" si="0"/>
        <v>0.55000000000000004</v>
      </c>
      <c r="R85" s="93">
        <v>18</v>
      </c>
      <c r="S85" s="93">
        <v>93</v>
      </c>
      <c r="T85" s="103">
        <f t="shared" si="3"/>
        <v>36</v>
      </c>
      <c r="U85" s="93">
        <v>398</v>
      </c>
      <c r="V85" s="104">
        <f t="shared" si="1"/>
        <v>3582</v>
      </c>
      <c r="W85" s="93">
        <v>12</v>
      </c>
      <c r="X85" s="93" t="s">
        <v>46</v>
      </c>
      <c r="Y85" s="93" t="s">
        <v>97</v>
      </c>
      <c r="Z85" s="93" t="s">
        <v>55</v>
      </c>
      <c r="AA85" s="93" t="s">
        <v>69</v>
      </c>
      <c r="AB85" s="93" t="s">
        <v>158</v>
      </c>
    </row>
    <row r="86" spans="1:28" x14ac:dyDescent="0.15">
      <c r="A86" s="93" t="s">
        <v>51</v>
      </c>
      <c r="B86" s="93" t="s">
        <v>157</v>
      </c>
      <c r="C86" s="93">
        <v>2019</v>
      </c>
      <c r="D86" s="101" t="s">
        <v>264</v>
      </c>
      <c r="E86" s="93" t="s">
        <v>273</v>
      </c>
      <c r="F86" s="93" t="s">
        <v>274</v>
      </c>
      <c r="G86" s="93" t="s">
        <v>36</v>
      </c>
      <c r="H86" s="93" t="s">
        <v>160</v>
      </c>
      <c r="I86" s="93" t="s">
        <v>159</v>
      </c>
      <c r="J86" s="93" t="s">
        <v>38</v>
      </c>
      <c r="L86" s="93">
        <v>1</v>
      </c>
      <c r="N86" s="93">
        <v>8</v>
      </c>
      <c r="O86" s="93">
        <v>0.5</v>
      </c>
      <c r="P86" s="93">
        <v>0.5</v>
      </c>
      <c r="Q86" s="102">
        <f t="shared" si="0"/>
        <v>0.5</v>
      </c>
      <c r="R86" s="93">
        <v>13.8</v>
      </c>
      <c r="S86" s="93">
        <v>103</v>
      </c>
      <c r="T86" s="103">
        <f t="shared" si="3"/>
        <v>33</v>
      </c>
      <c r="U86" s="93">
        <v>698</v>
      </c>
      <c r="V86" s="104">
        <f t="shared" si="1"/>
        <v>2879.25</v>
      </c>
      <c r="W86" s="93">
        <v>12</v>
      </c>
      <c r="X86" s="93" t="s">
        <v>46</v>
      </c>
      <c r="Y86" s="93" t="s">
        <v>97</v>
      </c>
      <c r="Z86" s="93" t="s">
        <v>55</v>
      </c>
      <c r="AA86" s="93" t="s">
        <v>69</v>
      </c>
      <c r="AB86" s="93" t="s">
        <v>158</v>
      </c>
    </row>
    <row r="87" spans="1:28" x14ac:dyDescent="0.15">
      <c r="A87" s="93" t="s">
        <v>51</v>
      </c>
      <c r="B87" s="93" t="s">
        <v>157</v>
      </c>
      <c r="C87" s="93">
        <v>2019</v>
      </c>
      <c r="D87" s="101" t="s">
        <v>264</v>
      </c>
      <c r="E87" s="93" t="s">
        <v>273</v>
      </c>
      <c r="F87" s="93" t="s">
        <v>274</v>
      </c>
      <c r="G87" s="93" t="s">
        <v>36</v>
      </c>
      <c r="H87" s="93" t="s">
        <v>160</v>
      </c>
      <c r="I87" s="93" t="s">
        <v>159</v>
      </c>
      <c r="J87" s="93" t="s">
        <v>38</v>
      </c>
      <c r="L87" s="93">
        <v>2</v>
      </c>
      <c r="N87" s="93">
        <v>8</v>
      </c>
      <c r="O87" s="93">
        <v>0.5</v>
      </c>
      <c r="P87" s="93">
        <v>0.65</v>
      </c>
      <c r="Q87" s="102">
        <f t="shared" si="0"/>
        <v>0.57499999999999996</v>
      </c>
      <c r="R87" s="93">
        <v>16.100000000000001</v>
      </c>
      <c r="S87" s="93">
        <v>96</v>
      </c>
      <c r="T87" s="103">
        <f t="shared" si="3"/>
        <v>36</v>
      </c>
      <c r="U87" s="93">
        <v>698</v>
      </c>
      <c r="V87" s="104">
        <f t="shared" si="1"/>
        <v>3141</v>
      </c>
      <c r="W87" s="93">
        <v>12</v>
      </c>
      <c r="X87" s="93" t="s">
        <v>46</v>
      </c>
      <c r="Y87" s="93" t="s">
        <v>97</v>
      </c>
      <c r="Z87" s="93" t="s">
        <v>55</v>
      </c>
      <c r="AA87" s="93" t="s">
        <v>69</v>
      </c>
      <c r="AB87" s="93" t="s">
        <v>158</v>
      </c>
    </row>
    <row r="88" spans="1:28" x14ac:dyDescent="0.15">
      <c r="A88" s="93" t="s">
        <v>51</v>
      </c>
      <c r="B88" s="93" t="s">
        <v>157</v>
      </c>
      <c r="C88" s="93">
        <v>2019</v>
      </c>
      <c r="D88" s="101" t="s">
        <v>264</v>
      </c>
      <c r="E88" s="93" t="s">
        <v>273</v>
      </c>
      <c r="F88" s="93" t="s">
        <v>274</v>
      </c>
      <c r="G88" s="93" t="s">
        <v>36</v>
      </c>
      <c r="H88" s="93" t="s">
        <v>160</v>
      </c>
      <c r="I88" s="93" t="s">
        <v>159</v>
      </c>
      <c r="J88" s="93" t="s">
        <v>38</v>
      </c>
      <c r="L88" s="93">
        <v>3</v>
      </c>
      <c r="N88" s="93">
        <v>8</v>
      </c>
      <c r="O88" s="93">
        <v>0.55000000000000004</v>
      </c>
      <c r="P88" s="93">
        <v>0.5</v>
      </c>
      <c r="Q88" s="102">
        <f t="shared" si="0"/>
        <v>0.52500000000000002</v>
      </c>
      <c r="R88" s="93">
        <v>18</v>
      </c>
      <c r="S88" s="93">
        <v>104</v>
      </c>
      <c r="T88" s="103">
        <f t="shared" si="3"/>
        <v>33</v>
      </c>
      <c r="U88" s="93">
        <v>698</v>
      </c>
      <c r="V88" s="104">
        <f t="shared" si="1"/>
        <v>2879.25</v>
      </c>
      <c r="W88" s="93">
        <v>12</v>
      </c>
      <c r="X88" s="93" t="s">
        <v>46</v>
      </c>
      <c r="Y88" s="93" t="s">
        <v>97</v>
      </c>
      <c r="Z88" s="93" t="s">
        <v>55</v>
      </c>
      <c r="AA88" s="93" t="s">
        <v>69</v>
      </c>
      <c r="AB88" s="93" t="s">
        <v>158</v>
      </c>
    </row>
    <row r="89" spans="1:28" x14ac:dyDescent="0.15">
      <c r="A89" s="93" t="s">
        <v>51</v>
      </c>
      <c r="B89" s="93" t="s">
        <v>157</v>
      </c>
      <c r="C89" s="93">
        <v>2019</v>
      </c>
      <c r="D89" s="101" t="s">
        <v>264</v>
      </c>
      <c r="E89" s="93" t="s">
        <v>275</v>
      </c>
      <c r="F89" s="93" t="s">
        <v>260</v>
      </c>
      <c r="G89" s="93" t="s">
        <v>42</v>
      </c>
      <c r="H89" s="93" t="s">
        <v>164</v>
      </c>
      <c r="I89" s="93" t="s">
        <v>159</v>
      </c>
      <c r="J89" s="93" t="s">
        <v>38</v>
      </c>
      <c r="L89" s="93">
        <v>1</v>
      </c>
      <c r="N89" s="93">
        <v>1</v>
      </c>
      <c r="O89" s="93">
        <v>1.1499999999999999</v>
      </c>
      <c r="P89" s="93">
        <v>1.3</v>
      </c>
      <c r="Q89" s="102">
        <f t="shared" si="0"/>
        <v>1.2250000000000001</v>
      </c>
      <c r="R89" s="93">
        <v>15.4</v>
      </c>
      <c r="S89" s="93">
        <v>125</v>
      </c>
      <c r="T89" s="103">
        <f t="shared" si="3"/>
        <v>27</v>
      </c>
      <c r="U89" s="93">
        <v>98</v>
      </c>
      <c r="V89" s="104">
        <f t="shared" si="1"/>
        <v>2646</v>
      </c>
      <c r="W89" s="93">
        <v>10</v>
      </c>
      <c r="X89" s="93" t="s">
        <v>46</v>
      </c>
      <c r="Y89" s="93" t="s">
        <v>69</v>
      </c>
      <c r="Z89" s="93" t="s">
        <v>55</v>
      </c>
      <c r="AA89" s="93" t="s">
        <v>97</v>
      </c>
      <c r="AB89" s="93" t="s">
        <v>158</v>
      </c>
    </row>
    <row r="90" spans="1:28" x14ac:dyDescent="0.15">
      <c r="A90" s="93" t="s">
        <v>51</v>
      </c>
      <c r="B90" s="93" t="s">
        <v>157</v>
      </c>
      <c r="C90" s="93">
        <v>2019</v>
      </c>
      <c r="D90" s="101" t="s">
        <v>264</v>
      </c>
      <c r="E90" s="93" t="s">
        <v>275</v>
      </c>
      <c r="F90" s="93" t="s">
        <v>260</v>
      </c>
      <c r="G90" s="93" t="s">
        <v>42</v>
      </c>
      <c r="H90" s="93" t="s">
        <v>164</v>
      </c>
      <c r="I90" s="93" t="s">
        <v>159</v>
      </c>
      <c r="J90" s="93" t="s">
        <v>38</v>
      </c>
      <c r="L90" s="93">
        <v>2</v>
      </c>
      <c r="N90" s="93">
        <v>1</v>
      </c>
      <c r="O90" s="93">
        <v>1.25</v>
      </c>
      <c r="P90" s="93">
        <v>1.3</v>
      </c>
      <c r="Q90" s="102">
        <f t="shared" si="0"/>
        <v>1.2749999999999999</v>
      </c>
      <c r="R90" s="93">
        <v>15.1</v>
      </c>
      <c r="S90" s="93">
        <v>118</v>
      </c>
      <c r="T90" s="103">
        <f t="shared" si="3"/>
        <v>30</v>
      </c>
      <c r="U90" s="93">
        <v>98</v>
      </c>
      <c r="V90" s="104">
        <f t="shared" si="1"/>
        <v>2940</v>
      </c>
      <c r="W90" s="93">
        <v>10</v>
      </c>
      <c r="X90" s="93" t="s">
        <v>46</v>
      </c>
      <c r="Y90" s="93" t="s">
        <v>69</v>
      </c>
      <c r="Z90" s="93" t="s">
        <v>55</v>
      </c>
      <c r="AA90" s="93" t="s">
        <v>97</v>
      </c>
      <c r="AB90" s="93" t="s">
        <v>158</v>
      </c>
    </row>
    <row r="91" spans="1:28" x14ac:dyDescent="0.15">
      <c r="A91" s="93" t="s">
        <v>51</v>
      </c>
      <c r="B91" s="93" t="s">
        <v>157</v>
      </c>
      <c r="C91" s="93">
        <v>2019</v>
      </c>
      <c r="D91" s="101" t="s">
        <v>264</v>
      </c>
      <c r="E91" s="93" t="s">
        <v>275</v>
      </c>
      <c r="F91" s="93" t="s">
        <v>260</v>
      </c>
      <c r="G91" s="93" t="s">
        <v>42</v>
      </c>
      <c r="H91" s="93" t="s">
        <v>164</v>
      </c>
      <c r="I91" s="93" t="s">
        <v>159</v>
      </c>
      <c r="J91" s="93" t="s">
        <v>38</v>
      </c>
      <c r="L91" s="93">
        <v>3</v>
      </c>
      <c r="N91" s="93">
        <v>1</v>
      </c>
      <c r="O91" s="93">
        <v>1.35</v>
      </c>
      <c r="P91" s="93">
        <v>1.5</v>
      </c>
      <c r="Q91" s="102">
        <f t="shared" si="0"/>
        <v>1.425</v>
      </c>
      <c r="R91" s="93">
        <v>14.4</v>
      </c>
      <c r="S91" s="93">
        <v>119</v>
      </c>
      <c r="T91" s="103">
        <f t="shared" si="3"/>
        <v>30</v>
      </c>
      <c r="U91" s="93">
        <v>98</v>
      </c>
      <c r="V91" s="104">
        <f t="shared" si="1"/>
        <v>2940</v>
      </c>
      <c r="W91" s="93">
        <v>10</v>
      </c>
      <c r="X91" s="93" t="s">
        <v>46</v>
      </c>
      <c r="Y91" s="93" t="s">
        <v>69</v>
      </c>
      <c r="Z91" s="93" t="s">
        <v>55</v>
      </c>
      <c r="AA91" s="93" t="s">
        <v>97</v>
      </c>
      <c r="AB91" s="93" t="s">
        <v>158</v>
      </c>
    </row>
    <row r="92" spans="1:28" x14ac:dyDescent="0.15">
      <c r="A92" s="93" t="s">
        <v>51</v>
      </c>
      <c r="B92" s="93" t="s">
        <v>157</v>
      </c>
      <c r="C92" s="93">
        <v>2019</v>
      </c>
      <c r="D92" s="101" t="s">
        <v>264</v>
      </c>
      <c r="E92" s="93" t="s">
        <v>275</v>
      </c>
      <c r="F92" s="93" t="s">
        <v>260</v>
      </c>
      <c r="G92" s="93" t="s">
        <v>42</v>
      </c>
      <c r="H92" s="93" t="s">
        <v>164</v>
      </c>
      <c r="I92" s="93" t="s">
        <v>159</v>
      </c>
      <c r="J92" s="93" t="s">
        <v>38</v>
      </c>
      <c r="L92" s="93">
        <v>1</v>
      </c>
      <c r="N92" s="93">
        <v>8</v>
      </c>
      <c r="O92" s="93">
        <v>0.6</v>
      </c>
      <c r="P92" s="93">
        <v>0.65</v>
      </c>
      <c r="Q92" s="103">
        <f t="shared" si="0"/>
        <v>0.625</v>
      </c>
      <c r="R92" s="93">
        <v>14.8</v>
      </c>
      <c r="S92" s="93">
        <v>92</v>
      </c>
      <c r="T92" s="103">
        <f t="shared" si="3"/>
        <v>36</v>
      </c>
      <c r="U92" s="93">
        <v>698</v>
      </c>
      <c r="V92" s="103">
        <f t="shared" si="1"/>
        <v>3141</v>
      </c>
      <c r="W92" s="93">
        <v>10</v>
      </c>
      <c r="X92" s="93" t="s">
        <v>46</v>
      </c>
      <c r="Y92" s="93" t="s">
        <v>69</v>
      </c>
      <c r="Z92" s="93" t="s">
        <v>55</v>
      </c>
      <c r="AA92" s="93" t="s">
        <v>97</v>
      </c>
      <c r="AB92" s="93" t="s">
        <v>158</v>
      </c>
    </row>
    <row r="93" spans="1:28" x14ac:dyDescent="0.15">
      <c r="A93" s="93" t="s">
        <v>51</v>
      </c>
      <c r="B93" s="93" t="s">
        <v>157</v>
      </c>
      <c r="C93" s="93">
        <v>2019</v>
      </c>
      <c r="D93" s="101" t="s">
        <v>264</v>
      </c>
      <c r="E93" s="93" t="s">
        <v>275</v>
      </c>
      <c r="F93" s="93" t="s">
        <v>260</v>
      </c>
      <c r="G93" s="93" t="s">
        <v>42</v>
      </c>
      <c r="H93" s="93" t="s">
        <v>164</v>
      </c>
      <c r="I93" s="93" t="s">
        <v>159</v>
      </c>
      <c r="J93" s="93" t="s">
        <v>38</v>
      </c>
      <c r="L93" s="93">
        <v>2</v>
      </c>
      <c r="N93" s="93">
        <v>8</v>
      </c>
      <c r="O93" s="93">
        <v>0.7</v>
      </c>
      <c r="P93" s="93">
        <v>0.6</v>
      </c>
      <c r="Q93" s="103">
        <f t="shared" ref="Q93:Q112" si="4">IF(OR(O93="",P93=""),"",AVERAGE(O93,P93))</f>
        <v>0.64999999999999991</v>
      </c>
      <c r="R93" s="93">
        <v>15.8</v>
      </c>
      <c r="S93" s="93">
        <v>83</v>
      </c>
      <c r="T93" s="103">
        <f t="shared" si="3"/>
        <v>39</v>
      </c>
      <c r="U93" s="93">
        <v>698</v>
      </c>
      <c r="V93" s="103">
        <f t="shared" ref="V93:V112" si="5">IF(OR(N93="",U93="",T93=""),"",U93/N93*T93)</f>
        <v>3402.75</v>
      </c>
      <c r="W93" s="93">
        <v>10</v>
      </c>
      <c r="X93" s="93" t="s">
        <v>46</v>
      </c>
      <c r="Y93" s="93" t="s">
        <v>69</v>
      </c>
      <c r="Z93" s="93" t="s">
        <v>55</v>
      </c>
      <c r="AA93" s="93" t="s">
        <v>97</v>
      </c>
      <c r="AB93" s="93" t="s">
        <v>158</v>
      </c>
    </row>
    <row r="94" spans="1:28" x14ac:dyDescent="0.15">
      <c r="A94" s="93" t="s">
        <v>51</v>
      </c>
      <c r="B94" s="93" t="s">
        <v>157</v>
      </c>
      <c r="C94" s="93">
        <v>2019</v>
      </c>
      <c r="D94" s="101" t="s">
        <v>264</v>
      </c>
      <c r="E94" s="93" t="s">
        <v>275</v>
      </c>
      <c r="F94" s="93" t="s">
        <v>260</v>
      </c>
      <c r="G94" s="93" t="s">
        <v>42</v>
      </c>
      <c r="H94" s="93" t="s">
        <v>164</v>
      </c>
      <c r="I94" s="93" t="s">
        <v>159</v>
      </c>
      <c r="J94" s="93" t="s">
        <v>38</v>
      </c>
      <c r="L94" s="93">
        <v>3</v>
      </c>
      <c r="N94" s="93">
        <v>8</v>
      </c>
      <c r="O94" s="93">
        <v>0.85</v>
      </c>
      <c r="P94" s="93">
        <v>0.7</v>
      </c>
      <c r="Q94" s="103">
        <f t="shared" si="4"/>
        <v>0.77499999999999991</v>
      </c>
      <c r="R94" s="93">
        <v>13.6</v>
      </c>
      <c r="S94" s="93">
        <v>82</v>
      </c>
      <c r="T94" s="103">
        <f t="shared" si="3"/>
        <v>39</v>
      </c>
      <c r="U94" s="93">
        <v>698</v>
      </c>
      <c r="V94" s="103">
        <f t="shared" si="5"/>
        <v>3402.75</v>
      </c>
      <c r="W94" s="93">
        <v>10</v>
      </c>
      <c r="X94" s="93" t="s">
        <v>46</v>
      </c>
      <c r="Y94" s="93" t="s">
        <v>69</v>
      </c>
      <c r="Z94" s="93" t="s">
        <v>55</v>
      </c>
      <c r="AA94" s="93" t="s">
        <v>97</v>
      </c>
      <c r="AB94" s="93" t="s">
        <v>158</v>
      </c>
    </row>
    <row r="95" spans="1:28" x14ac:dyDescent="0.15">
      <c r="A95" s="93" t="s">
        <v>51</v>
      </c>
      <c r="B95" s="93" t="s">
        <v>157</v>
      </c>
      <c r="C95" s="93">
        <v>2019</v>
      </c>
      <c r="D95" s="101" t="s">
        <v>264</v>
      </c>
      <c r="E95" s="93" t="s">
        <v>275</v>
      </c>
      <c r="F95" s="93" t="s">
        <v>260</v>
      </c>
      <c r="G95" s="93" t="s">
        <v>42</v>
      </c>
      <c r="H95" s="93" t="s">
        <v>160</v>
      </c>
      <c r="I95" s="93" t="s">
        <v>159</v>
      </c>
      <c r="J95" s="93" t="s">
        <v>38</v>
      </c>
      <c r="L95" s="93">
        <v>1</v>
      </c>
      <c r="N95" s="93">
        <v>1</v>
      </c>
      <c r="O95" s="93">
        <v>1</v>
      </c>
      <c r="P95" s="93">
        <v>1</v>
      </c>
      <c r="Q95" s="103">
        <f t="shared" si="4"/>
        <v>1</v>
      </c>
      <c r="R95" s="93">
        <v>18.2</v>
      </c>
      <c r="S95" s="93">
        <v>134</v>
      </c>
      <c r="T95" s="103">
        <f t="shared" si="3"/>
        <v>25</v>
      </c>
      <c r="U95" s="93">
        <v>98</v>
      </c>
      <c r="V95" s="103">
        <f t="shared" si="5"/>
        <v>2450</v>
      </c>
      <c r="W95" s="93">
        <v>10</v>
      </c>
      <c r="X95" s="93" t="s">
        <v>46</v>
      </c>
      <c r="Y95" s="93" t="s">
        <v>69</v>
      </c>
      <c r="Z95" s="93" t="s">
        <v>55</v>
      </c>
      <c r="AA95" s="93" t="s">
        <v>97</v>
      </c>
      <c r="AB95" s="93" t="s">
        <v>158</v>
      </c>
    </row>
    <row r="96" spans="1:28" x14ac:dyDescent="0.15">
      <c r="A96" s="93" t="s">
        <v>51</v>
      </c>
      <c r="B96" s="93" t="s">
        <v>157</v>
      </c>
      <c r="C96" s="93">
        <v>2019</v>
      </c>
      <c r="D96" s="101" t="s">
        <v>264</v>
      </c>
      <c r="E96" s="93" t="s">
        <v>275</v>
      </c>
      <c r="F96" s="93" t="s">
        <v>260</v>
      </c>
      <c r="G96" s="93" t="s">
        <v>42</v>
      </c>
      <c r="H96" s="93" t="s">
        <v>160</v>
      </c>
      <c r="I96" s="93" t="s">
        <v>159</v>
      </c>
      <c r="J96" s="93" t="s">
        <v>38</v>
      </c>
      <c r="L96" s="93">
        <v>2</v>
      </c>
      <c r="N96" s="93">
        <v>1</v>
      </c>
      <c r="O96" s="93">
        <v>0.65</v>
      </c>
      <c r="P96" s="93">
        <v>0.6</v>
      </c>
      <c r="Q96" s="103">
        <f t="shared" si="4"/>
        <v>0.625</v>
      </c>
      <c r="R96" s="93">
        <v>16.7</v>
      </c>
      <c r="S96" s="93">
        <v>131</v>
      </c>
      <c r="T96" s="103">
        <f t="shared" si="3"/>
        <v>25</v>
      </c>
      <c r="U96" s="93">
        <v>98</v>
      </c>
      <c r="V96" s="103">
        <f t="shared" si="5"/>
        <v>2450</v>
      </c>
      <c r="W96" s="93">
        <v>10</v>
      </c>
      <c r="X96" s="93" t="s">
        <v>46</v>
      </c>
      <c r="Y96" s="93" t="s">
        <v>69</v>
      </c>
      <c r="Z96" s="93" t="s">
        <v>55</v>
      </c>
      <c r="AA96" s="93" t="s">
        <v>97</v>
      </c>
      <c r="AB96" s="93" t="s">
        <v>158</v>
      </c>
    </row>
    <row r="97" spans="1:28" x14ac:dyDescent="0.15">
      <c r="A97" s="93" t="s">
        <v>51</v>
      </c>
      <c r="B97" s="93" t="s">
        <v>157</v>
      </c>
      <c r="C97" s="93">
        <v>2019</v>
      </c>
      <c r="D97" s="101" t="s">
        <v>264</v>
      </c>
      <c r="E97" s="93" t="s">
        <v>275</v>
      </c>
      <c r="F97" s="93" t="s">
        <v>260</v>
      </c>
      <c r="G97" s="93" t="s">
        <v>42</v>
      </c>
      <c r="H97" s="93" t="s">
        <v>160</v>
      </c>
      <c r="I97" s="93" t="s">
        <v>159</v>
      </c>
      <c r="J97" s="93" t="s">
        <v>38</v>
      </c>
      <c r="L97" s="93">
        <v>3</v>
      </c>
      <c r="N97" s="93">
        <v>1</v>
      </c>
      <c r="O97" s="93">
        <v>0.8</v>
      </c>
      <c r="P97" s="93">
        <v>0.8</v>
      </c>
      <c r="Q97" s="103">
        <f t="shared" si="4"/>
        <v>0.8</v>
      </c>
      <c r="R97" s="93">
        <v>18.3</v>
      </c>
      <c r="S97" s="93">
        <v>134</v>
      </c>
      <c r="T97" s="103">
        <f t="shared" si="3"/>
        <v>25</v>
      </c>
      <c r="U97" s="93">
        <v>98</v>
      </c>
      <c r="V97" s="103">
        <f t="shared" si="5"/>
        <v>2450</v>
      </c>
      <c r="W97" s="93">
        <v>10</v>
      </c>
      <c r="X97" s="93" t="s">
        <v>46</v>
      </c>
      <c r="Y97" s="93" t="s">
        <v>69</v>
      </c>
      <c r="Z97" s="93" t="s">
        <v>55</v>
      </c>
      <c r="AA97" s="93" t="s">
        <v>97</v>
      </c>
      <c r="AB97" s="93" t="s">
        <v>158</v>
      </c>
    </row>
    <row r="98" spans="1:28" x14ac:dyDescent="0.15">
      <c r="A98" s="93" t="s">
        <v>51</v>
      </c>
      <c r="B98" s="93" t="s">
        <v>157</v>
      </c>
      <c r="C98" s="93">
        <v>2019</v>
      </c>
      <c r="D98" s="122" t="s">
        <v>264</v>
      </c>
      <c r="E98" s="93" t="s">
        <v>275</v>
      </c>
      <c r="F98" s="93" t="s">
        <v>260</v>
      </c>
      <c r="G98" s="93" t="s">
        <v>42</v>
      </c>
      <c r="H98" s="93" t="s">
        <v>160</v>
      </c>
      <c r="I98" s="93" t="s">
        <v>159</v>
      </c>
      <c r="J98" s="93" t="s">
        <v>38</v>
      </c>
      <c r="L98" s="93">
        <v>1</v>
      </c>
      <c r="N98" s="93">
        <v>8</v>
      </c>
      <c r="O98" s="93">
        <v>0.5</v>
      </c>
      <c r="P98" s="93">
        <v>0.5</v>
      </c>
      <c r="Q98" s="103">
        <f t="shared" si="4"/>
        <v>0.5</v>
      </c>
      <c r="R98" s="93">
        <v>20.9</v>
      </c>
      <c r="S98" s="93">
        <v>87</v>
      </c>
      <c r="T98" s="103">
        <f t="shared" si="3"/>
        <v>36</v>
      </c>
      <c r="U98" s="93">
        <v>698</v>
      </c>
      <c r="V98" s="103">
        <f t="shared" si="5"/>
        <v>3141</v>
      </c>
      <c r="W98" s="93">
        <v>10</v>
      </c>
      <c r="X98" s="93" t="s">
        <v>46</v>
      </c>
      <c r="Y98" s="93" t="s">
        <v>69</v>
      </c>
      <c r="Z98" s="93" t="s">
        <v>55</v>
      </c>
      <c r="AA98" s="93" t="s">
        <v>97</v>
      </c>
      <c r="AB98" s="93" t="s">
        <v>158</v>
      </c>
    </row>
    <row r="99" spans="1:28" x14ac:dyDescent="0.15">
      <c r="A99" s="93" t="s">
        <v>51</v>
      </c>
      <c r="B99" s="93" t="s">
        <v>157</v>
      </c>
      <c r="C99" s="93">
        <v>2019</v>
      </c>
      <c r="D99" s="122" t="s">
        <v>264</v>
      </c>
      <c r="E99" s="93" t="s">
        <v>275</v>
      </c>
      <c r="F99" s="93" t="s">
        <v>260</v>
      </c>
      <c r="G99" s="93" t="s">
        <v>42</v>
      </c>
      <c r="H99" s="93" t="s">
        <v>160</v>
      </c>
      <c r="I99" s="93" t="s">
        <v>159</v>
      </c>
      <c r="J99" s="93" t="s">
        <v>38</v>
      </c>
      <c r="L99" s="93">
        <v>2</v>
      </c>
      <c r="N99" s="93">
        <v>8</v>
      </c>
      <c r="O99" s="93">
        <v>0.5</v>
      </c>
      <c r="P99" s="93">
        <v>0.5</v>
      </c>
      <c r="Q99" s="103">
        <f t="shared" si="4"/>
        <v>0.5</v>
      </c>
      <c r="R99" s="93">
        <v>18</v>
      </c>
      <c r="S99" s="93">
        <v>90</v>
      </c>
      <c r="T99" s="103">
        <f t="shared" si="3"/>
        <v>36</v>
      </c>
      <c r="U99" s="93">
        <v>698</v>
      </c>
      <c r="V99" s="103">
        <f t="shared" si="5"/>
        <v>3141</v>
      </c>
      <c r="W99" s="93">
        <v>10</v>
      </c>
      <c r="X99" s="93" t="s">
        <v>46</v>
      </c>
      <c r="Y99" s="93" t="s">
        <v>69</v>
      </c>
      <c r="Z99" s="93" t="s">
        <v>55</v>
      </c>
      <c r="AA99" s="93" t="s">
        <v>97</v>
      </c>
      <c r="AB99" s="93" t="s">
        <v>158</v>
      </c>
    </row>
    <row r="100" spans="1:28" x14ac:dyDescent="0.15">
      <c r="A100" s="93" t="s">
        <v>51</v>
      </c>
      <c r="B100" s="93" t="s">
        <v>157</v>
      </c>
      <c r="C100" s="93">
        <v>2019</v>
      </c>
      <c r="D100" s="122" t="s">
        <v>264</v>
      </c>
      <c r="E100" s="93" t="s">
        <v>275</v>
      </c>
      <c r="F100" s="93" t="s">
        <v>260</v>
      </c>
      <c r="G100" s="93" t="s">
        <v>42</v>
      </c>
      <c r="H100" s="93" t="s">
        <v>160</v>
      </c>
      <c r="I100" s="93" t="s">
        <v>159</v>
      </c>
      <c r="J100" s="93" t="s">
        <v>38</v>
      </c>
      <c r="L100" s="93">
        <v>3</v>
      </c>
      <c r="N100" s="93">
        <v>8</v>
      </c>
      <c r="O100" s="93">
        <v>0.5</v>
      </c>
      <c r="P100" s="93">
        <v>0.5</v>
      </c>
      <c r="Q100" s="103">
        <f t="shared" si="4"/>
        <v>0.5</v>
      </c>
      <c r="R100" s="93">
        <v>17.3</v>
      </c>
      <c r="S100" s="93">
        <v>87</v>
      </c>
      <c r="T100" s="103">
        <f t="shared" si="3"/>
        <v>36</v>
      </c>
      <c r="U100" s="93">
        <v>698</v>
      </c>
      <c r="V100" s="103">
        <f t="shared" si="5"/>
        <v>3141</v>
      </c>
      <c r="W100" s="93">
        <v>10</v>
      </c>
      <c r="X100" s="93" t="s">
        <v>46</v>
      </c>
      <c r="Y100" s="93" t="s">
        <v>69</v>
      </c>
      <c r="Z100" s="93" t="s">
        <v>55</v>
      </c>
      <c r="AA100" s="93" t="s">
        <v>97</v>
      </c>
      <c r="AB100" s="93" t="s">
        <v>158</v>
      </c>
    </row>
    <row r="101" spans="1:28" x14ac:dyDescent="0.15">
      <c r="D101" s="122"/>
      <c r="Q101" s="103" t="str">
        <f t="shared" si="4"/>
        <v/>
      </c>
      <c r="T101" s="103" t="str">
        <f t="shared" si="3"/>
        <v/>
      </c>
      <c r="V101" s="103" t="str">
        <f t="shared" si="5"/>
        <v/>
      </c>
    </row>
    <row r="102" spans="1:28" x14ac:dyDescent="0.15">
      <c r="D102" s="122"/>
      <c r="Q102" s="103" t="str">
        <f t="shared" si="4"/>
        <v/>
      </c>
      <c r="T102" s="103" t="str">
        <f t="shared" si="3"/>
        <v/>
      </c>
      <c r="V102" s="103" t="str">
        <f t="shared" si="5"/>
        <v/>
      </c>
    </row>
    <row r="103" spans="1:28" x14ac:dyDescent="0.15">
      <c r="D103" s="122"/>
      <c r="Q103" s="103" t="str">
        <f t="shared" si="4"/>
        <v/>
      </c>
      <c r="T103" s="103" t="str">
        <f t="shared" si="3"/>
        <v/>
      </c>
      <c r="V103" s="103" t="str">
        <f t="shared" si="5"/>
        <v/>
      </c>
    </row>
    <row r="104" spans="1:28" x14ac:dyDescent="0.15">
      <c r="D104" s="122"/>
      <c r="Q104" s="103" t="str">
        <f t="shared" si="4"/>
        <v/>
      </c>
      <c r="T104" s="103" t="str">
        <f t="shared" si="3"/>
        <v/>
      </c>
      <c r="V104" s="103" t="str">
        <f t="shared" si="5"/>
        <v/>
      </c>
    </row>
    <row r="105" spans="1:28" x14ac:dyDescent="0.15">
      <c r="D105" s="122"/>
      <c r="Q105" s="103" t="str">
        <f t="shared" si="4"/>
        <v/>
      </c>
      <c r="T105" s="103" t="str">
        <f t="shared" si="3"/>
        <v/>
      </c>
      <c r="V105" s="103" t="str">
        <f t="shared" si="5"/>
        <v/>
      </c>
    </row>
    <row r="106" spans="1:28" x14ac:dyDescent="0.15">
      <c r="D106" s="122"/>
      <c r="Q106" s="103" t="str">
        <f t="shared" si="4"/>
        <v/>
      </c>
      <c r="T106" s="103" t="str">
        <f t="shared" si="3"/>
        <v/>
      </c>
      <c r="V106" s="103" t="str">
        <f t="shared" si="5"/>
        <v/>
      </c>
    </row>
    <row r="107" spans="1:28" x14ac:dyDescent="0.15">
      <c r="D107" s="122"/>
      <c r="Q107" s="103" t="str">
        <f t="shared" si="4"/>
        <v/>
      </c>
      <c r="T107" s="103" t="str">
        <f t="shared" si="3"/>
        <v/>
      </c>
      <c r="V107" s="103" t="str">
        <f t="shared" si="5"/>
        <v/>
      </c>
    </row>
    <row r="108" spans="1:28" x14ac:dyDescent="0.15">
      <c r="D108" s="122"/>
      <c r="Q108" s="103" t="str">
        <f t="shared" si="4"/>
        <v/>
      </c>
      <c r="T108" s="103" t="str">
        <f t="shared" si="3"/>
        <v/>
      </c>
      <c r="V108" s="103" t="str">
        <f t="shared" si="5"/>
        <v/>
      </c>
    </row>
    <row r="109" spans="1:28" x14ac:dyDescent="0.15">
      <c r="D109" s="122"/>
      <c r="Q109" s="103" t="str">
        <f t="shared" si="4"/>
        <v/>
      </c>
      <c r="T109" s="103" t="str">
        <f t="shared" si="3"/>
        <v/>
      </c>
      <c r="V109" s="103" t="str">
        <f t="shared" si="5"/>
        <v/>
      </c>
    </row>
    <row r="110" spans="1:28" x14ac:dyDescent="0.15">
      <c r="D110" s="122"/>
      <c r="Q110" s="103" t="str">
        <f t="shared" si="4"/>
        <v/>
      </c>
      <c r="T110" s="103" t="str">
        <f t="shared" si="3"/>
        <v/>
      </c>
      <c r="V110" s="103" t="str">
        <f t="shared" si="5"/>
        <v/>
      </c>
    </row>
    <row r="111" spans="1:28" x14ac:dyDescent="0.15">
      <c r="D111" s="122"/>
      <c r="Q111" s="103" t="str">
        <f t="shared" si="4"/>
        <v/>
      </c>
      <c r="T111" s="103" t="str">
        <f t="shared" si="3"/>
        <v/>
      </c>
      <c r="V111" s="103" t="str">
        <f t="shared" si="5"/>
        <v/>
      </c>
    </row>
    <row r="112" spans="1:28" x14ac:dyDescent="0.15">
      <c r="D112" s="122"/>
      <c r="Q112" s="103" t="str">
        <f t="shared" si="4"/>
        <v/>
      </c>
      <c r="T112" s="103" t="str">
        <f t="shared" si="3"/>
        <v/>
      </c>
      <c r="V112" s="103" t="str">
        <f t="shared" si="5"/>
        <v/>
      </c>
    </row>
    <row r="113" spans="4:4" x14ac:dyDescent="0.15">
      <c r="D113" s="122"/>
    </row>
    <row r="114" spans="4:4" x14ac:dyDescent="0.15">
      <c r="D114" s="122"/>
    </row>
    <row r="115" spans="4:4" x14ac:dyDescent="0.15">
      <c r="D115" s="122"/>
    </row>
    <row r="116" spans="4:4" x14ac:dyDescent="0.15">
      <c r="D116" s="122"/>
    </row>
    <row r="117" spans="4:4" x14ac:dyDescent="0.15">
      <c r="D117" s="122"/>
    </row>
    <row r="118" spans="4:4" x14ac:dyDescent="0.15">
      <c r="D118" s="122"/>
    </row>
  </sheetData>
  <autoFilter ref="A1:BA112" xr:uid="{00000000-0009-0000-0000-000000000000}"/>
  <phoneticPr fontId="3"/>
  <dataValidations count="15">
    <dataValidation type="decimal" allowBlank="1" showInputMessage="1" showErrorMessage="1" error="硬度を正しく入力して下さい。" sqref="O2:P527" xr:uid="{BB159A22-7C69-4859-A2E2-2E1F70CE14E8}">
      <formula1>0</formula1>
      <formula2>7</formula2>
    </dataValidation>
    <dataValidation type="list" allowBlank="1" showInputMessage="1" showErrorMessage="1" sqref="K2:K116" xr:uid="{8A2E5DAA-0800-4844-8548-7C0F8C4A5C01}">
      <formula1>$AR$2:$AR$29</formula1>
    </dataValidation>
    <dataValidation type="list" allowBlank="1" showInputMessage="1" showErrorMessage="1" sqref="Y2:AA527" xr:uid="{EC03B7D5-CA05-49FC-9298-969B89EF3145}">
      <formula1>$AV$2:$AV$24</formula1>
    </dataValidation>
    <dataValidation type="list" allowBlank="1" showInputMessage="1" showErrorMessage="1" sqref="H2:H527" xr:uid="{1E47CA9A-AB7A-4AF4-ACF8-83F173E1F5BB}">
      <formula1>$AL$2:$AL$11</formula1>
    </dataValidation>
    <dataValidation type="list" allowBlank="1" showInputMessage="1" showErrorMessage="1" sqref="Y983069:AA983146 WMK983069:WMM983146 VIW983069:VIY983146 UFI983069:UFK983146 TBU983069:TBW983146 RYG983069:RYI983146 QUS983069:QUU983146 PRE983069:PRG983146 ONQ983069:ONS983146 NKC983069:NKE983146 MGO983069:MGQ983146 LDA983069:LDC983146 JZM983069:JZO983146 IVY983069:IWA983146 HSK983069:HSM983146 GOW983069:GOY983146 FLI983069:FLK983146 EHU983069:EHW983146 DEG983069:DEI983146 CAS983069:CAU983146 AXE983069:AXG983146 TQ983069:TS983146 WCO983069:WCQ983146 UZA983069:UZC983146 TVM983069:TVO983146 SRY983069:SSA983146 ROK983069:ROM983146 QKW983069:QKY983146 PHI983069:PHK983146 ODU983069:ODW983146 NAG983069:NAI983146 LWS983069:LWU983146 KTE983069:KTG983146 JPQ983069:JPS983146 IMC983069:IME983146 HIO983069:HIQ983146 GFA983069:GFC983146 FBM983069:FBO983146 DXY983069:DYA983146 CUK983069:CUM983146 BQW983069:BQY983146 ANI983069:ANK983146 JU983069:JW983146 WMK917533:WMM917610 VIW917533:VIY917610 UFI917533:UFK917610 TBU917533:TBW917610 RYG917533:RYI917610 QUS917533:QUU917610 PRE917533:PRG917610 ONQ917533:ONS917610 NKC917533:NKE917610 MGO917533:MGQ917610 LDA917533:LDC917610 JZM917533:JZO917610 IVY917533:IWA917610 HSK917533:HSM917610 GOW917533:GOY917610 FLI917533:FLK917610 EHU917533:EHW917610 DEG917533:DEI917610 CAS917533:CAU917610 AXE917533:AXG917610 TQ917533:TS917610 WCO917533:WCQ917610 UZA917533:UZC917610 TVM917533:TVO917610 SRY917533:SSA917610 ROK917533:ROM917610 QKW917533:QKY917610 PHI917533:PHK917610 ODU917533:ODW917610 NAG917533:NAI917610 LWS917533:LWU917610 KTE917533:KTG917610 JPQ917533:JPS917610 IMC917533:IME917610 HIO917533:HIQ917610 GFA917533:GFC917610 FBM917533:FBO917610 DXY917533:DYA917610 CUK917533:CUM917610 BQW917533:BQY917610 ANI917533:ANK917610 JU917533:JW917610 WWG917533:WWI917610 VSS917533:VSU917610 UPE917533:UPG917610 TLQ917533:TLS917610 SIC917533:SIE917610 REO917533:REQ917610 QBA917533:QBC917610 OXM917533:OXO917610 NTY917533:NUA917610 MQK917533:MQM917610 LMW917533:LMY917610 KJI917533:KJK917610 JFU917533:JFW917610 ICG917533:ICI917610 GYS917533:GYU917610 FVE917533:FVG917610 ERQ917533:ERS917610 DOC917533:DOE917610 CKO917533:CKQ917610 BHA917533:BHC917610 ADM917533:ADO917610 Y917533:AA917610 WMK851997:WMM852074 VIW851997:VIY852074 UFI851997:UFK852074 TBU851997:TBW852074 RYG851997:RYI852074 QUS851997:QUU852074 PRE851997:PRG852074 ONQ851997:ONS852074 NKC851997:NKE852074 MGO851997:MGQ852074 LDA851997:LDC852074 JZM851997:JZO852074 IVY851997:IWA852074 HSK851997:HSM852074 GOW851997:GOY852074 FLI851997:FLK852074 EHU851997:EHW852074 DEG851997:DEI852074 CAS851997:CAU852074 AXE851997:AXG852074 TQ851997:TS852074 WCO851997:WCQ852074 UZA851997:UZC852074 TVM851997:TVO852074 SRY851997:SSA852074 ROK851997:ROM852074 QKW851997:QKY852074 PHI851997:PHK852074 ODU851997:ODW852074 NAG851997:NAI852074 LWS851997:LWU852074 KTE851997:KTG852074 JPQ851997:JPS852074 IMC851997:IME852074 HIO851997:HIQ852074 GFA851997:GFC852074 FBM851997:FBO852074 DXY851997:DYA852074 CUK851997:CUM852074 BQW851997:BQY852074 ANI851997:ANK852074 JU851997:JW852074 WWG851997:WWI852074 VSS851997:VSU852074 UPE851997:UPG852074 TLQ851997:TLS852074 SIC851997:SIE852074 REO851997:REQ852074 QBA851997:QBC852074 OXM851997:OXO852074 NTY851997:NUA852074 MQK851997:MQM852074 LMW851997:LMY852074 KJI851997:KJK852074 JFU851997:JFW852074 ICG851997:ICI852074 GYS851997:GYU852074 FVE851997:FVG852074 ERQ851997:ERS852074 DOC851997:DOE852074 CKO851997:CKQ852074 BHA851997:BHC852074 ADM851997:ADO852074 Y851997:AA852074 WMK786461:WMM786538 VIW786461:VIY786538 UFI786461:UFK786538 TBU786461:TBW786538 RYG786461:RYI786538 QUS786461:QUU786538 PRE786461:PRG786538 ONQ786461:ONS786538 NKC786461:NKE786538 MGO786461:MGQ786538 LDA786461:LDC786538 JZM786461:JZO786538 IVY786461:IWA786538 HSK786461:HSM786538 GOW786461:GOY786538 FLI786461:FLK786538 EHU786461:EHW786538 DEG786461:DEI786538 CAS786461:CAU786538 AXE786461:AXG786538 TQ786461:TS786538 WCO786461:WCQ786538 UZA786461:UZC786538 TVM786461:TVO786538 SRY786461:SSA786538 ROK786461:ROM786538 QKW786461:QKY786538 PHI786461:PHK786538 ODU786461:ODW786538 NAG786461:NAI786538 LWS786461:LWU786538 KTE786461:KTG786538 JPQ786461:JPS786538 IMC786461:IME786538 HIO786461:HIQ786538 GFA786461:GFC786538 FBM786461:FBO786538 DXY786461:DYA786538 CUK786461:CUM786538 BQW786461:BQY786538 ANI786461:ANK786538 JU786461:JW786538 WWG786461:WWI786538 VSS786461:VSU786538 UPE786461:UPG786538 TLQ786461:TLS786538 SIC786461:SIE786538 REO786461:REQ786538 QBA786461:QBC786538 OXM786461:OXO786538 NTY786461:NUA786538 MQK786461:MQM786538 LMW786461:LMY786538 KJI786461:KJK786538 JFU786461:JFW786538 ICG786461:ICI786538 GYS786461:GYU786538 FVE786461:FVG786538 ERQ786461:ERS786538 DOC786461:DOE786538 CKO786461:CKQ786538 BHA786461:BHC786538 ADM786461:ADO786538 Y786461:AA786538 WMK720925:WMM721002 VIW720925:VIY721002 UFI720925:UFK721002 TBU720925:TBW721002 RYG720925:RYI721002 QUS720925:QUU721002 PRE720925:PRG721002 ONQ720925:ONS721002 NKC720925:NKE721002 MGO720925:MGQ721002 LDA720925:LDC721002 JZM720925:JZO721002 IVY720925:IWA721002 HSK720925:HSM721002 GOW720925:GOY721002 FLI720925:FLK721002 EHU720925:EHW721002 DEG720925:DEI721002 CAS720925:CAU721002 AXE720925:AXG721002 TQ720925:TS721002 WCO720925:WCQ721002 UZA720925:UZC721002 TVM720925:TVO721002 SRY720925:SSA721002 ROK720925:ROM721002 QKW720925:QKY721002 PHI720925:PHK721002 ODU720925:ODW721002 NAG720925:NAI721002 LWS720925:LWU721002 KTE720925:KTG721002 JPQ720925:JPS721002 IMC720925:IME721002 HIO720925:HIQ721002 GFA720925:GFC721002 FBM720925:FBO721002 DXY720925:DYA721002 CUK720925:CUM721002 BQW720925:BQY721002 ANI720925:ANK721002 JU720925:JW721002 WWG720925:WWI721002 VSS720925:VSU721002 UPE720925:UPG721002 TLQ720925:TLS721002 SIC720925:SIE721002 REO720925:REQ721002 QBA720925:QBC721002 OXM720925:OXO721002 NTY720925:NUA721002 MQK720925:MQM721002 LMW720925:LMY721002 KJI720925:KJK721002 JFU720925:JFW721002 ICG720925:ICI721002 GYS720925:GYU721002 FVE720925:FVG721002 ERQ720925:ERS721002 DOC720925:DOE721002 CKO720925:CKQ721002 BHA720925:BHC721002 ADM720925:ADO721002 Y720925:AA721002 WMK655389:WMM655466 VIW655389:VIY655466 UFI655389:UFK655466 TBU655389:TBW655466 RYG655389:RYI655466 QUS655389:QUU655466 PRE655389:PRG655466 ONQ655389:ONS655466 NKC655389:NKE655466 MGO655389:MGQ655466 LDA655389:LDC655466 JZM655389:JZO655466 IVY655389:IWA655466 HSK655389:HSM655466 GOW655389:GOY655466 FLI655389:FLK655466 EHU655389:EHW655466 DEG655389:DEI655466 CAS655389:CAU655466 AXE655389:AXG655466 TQ655389:TS655466 WCO655389:WCQ655466 UZA655389:UZC655466 TVM655389:TVO655466 SRY655389:SSA655466 ROK655389:ROM655466 QKW655389:QKY655466 PHI655389:PHK655466 ODU655389:ODW655466 NAG655389:NAI655466 LWS655389:LWU655466 KTE655389:KTG655466 JPQ655389:JPS655466 IMC655389:IME655466 HIO655389:HIQ655466 GFA655389:GFC655466 FBM655389:FBO655466 DXY655389:DYA655466 CUK655389:CUM655466 BQW655389:BQY655466 ANI655389:ANK655466 JU655389:JW655466 WWG655389:WWI655466 VSS655389:VSU655466 UPE655389:UPG655466 TLQ655389:TLS655466 SIC655389:SIE655466 REO655389:REQ655466 QBA655389:QBC655466 OXM655389:OXO655466 NTY655389:NUA655466 MQK655389:MQM655466 LMW655389:LMY655466 KJI655389:KJK655466 JFU655389:JFW655466 ICG655389:ICI655466 GYS655389:GYU655466 FVE655389:FVG655466 ERQ655389:ERS655466 DOC655389:DOE655466 CKO655389:CKQ655466 BHA655389:BHC655466 ADM655389:ADO655466 Y655389:AA655466 WMK589853:WMM589930 VIW589853:VIY589930 UFI589853:UFK589930 TBU589853:TBW589930 RYG589853:RYI589930 QUS589853:QUU589930 PRE589853:PRG589930 ONQ589853:ONS589930 NKC589853:NKE589930 MGO589853:MGQ589930 LDA589853:LDC589930 JZM589853:JZO589930 IVY589853:IWA589930 HSK589853:HSM589930 GOW589853:GOY589930 FLI589853:FLK589930 EHU589853:EHW589930 DEG589853:DEI589930 CAS589853:CAU589930 AXE589853:AXG589930 TQ589853:TS589930 WCO589853:WCQ589930 UZA589853:UZC589930 TVM589853:TVO589930 SRY589853:SSA589930 ROK589853:ROM589930 QKW589853:QKY589930 PHI589853:PHK589930 ODU589853:ODW589930 NAG589853:NAI589930 LWS589853:LWU589930 KTE589853:KTG589930 JPQ589853:JPS589930 IMC589853:IME589930 HIO589853:HIQ589930 GFA589853:GFC589930 FBM589853:FBO589930 DXY589853:DYA589930 CUK589853:CUM589930 BQW589853:BQY589930 ANI589853:ANK589930 JU589853:JW589930 WWG589853:WWI589930 VSS589853:VSU589930 UPE589853:UPG589930 TLQ589853:TLS589930 SIC589853:SIE589930 REO589853:REQ589930 QBA589853:QBC589930 OXM589853:OXO589930 NTY589853:NUA589930 MQK589853:MQM589930 LMW589853:LMY589930 KJI589853:KJK589930 JFU589853:JFW589930 ICG589853:ICI589930 GYS589853:GYU589930 FVE589853:FVG589930 ERQ589853:ERS589930 DOC589853:DOE589930 CKO589853:CKQ589930 BHA589853:BHC589930 ADM589853:ADO589930 Y589853:AA589930 WMK524317:WMM524394 VIW524317:VIY524394 UFI524317:UFK524394 TBU524317:TBW524394 RYG524317:RYI524394 QUS524317:QUU524394 PRE524317:PRG524394 ONQ524317:ONS524394 NKC524317:NKE524394 MGO524317:MGQ524394 LDA524317:LDC524394 JZM524317:JZO524394 IVY524317:IWA524394 HSK524317:HSM524394 GOW524317:GOY524394 FLI524317:FLK524394 EHU524317:EHW524394 DEG524317:DEI524394 CAS524317:CAU524394 AXE524317:AXG524394 TQ524317:TS524394 WCO524317:WCQ524394 UZA524317:UZC524394 TVM524317:TVO524394 SRY524317:SSA524394 ROK524317:ROM524394 QKW524317:QKY524394 PHI524317:PHK524394 ODU524317:ODW524394 NAG524317:NAI524394 LWS524317:LWU524394 KTE524317:KTG524394 JPQ524317:JPS524394 IMC524317:IME524394 HIO524317:HIQ524394 GFA524317:GFC524394 FBM524317:FBO524394 DXY524317:DYA524394 CUK524317:CUM524394 BQW524317:BQY524394 ANI524317:ANK524394 JU524317:JW524394 WWG524317:WWI524394 VSS524317:VSU524394 UPE524317:UPG524394 TLQ524317:TLS524394 SIC524317:SIE524394 REO524317:REQ524394 QBA524317:QBC524394 OXM524317:OXO524394 NTY524317:NUA524394 MQK524317:MQM524394 LMW524317:LMY524394 KJI524317:KJK524394 JFU524317:JFW524394 ICG524317:ICI524394 GYS524317:GYU524394 FVE524317:FVG524394 ERQ524317:ERS524394 DOC524317:DOE524394 CKO524317:CKQ524394 BHA524317:BHC524394 ADM524317:ADO524394 Y524317:AA524394 WMK458781:WMM458858 VIW458781:VIY458858 UFI458781:UFK458858 TBU458781:TBW458858 RYG458781:RYI458858 QUS458781:QUU458858 PRE458781:PRG458858 ONQ458781:ONS458858 NKC458781:NKE458858 MGO458781:MGQ458858 LDA458781:LDC458858 JZM458781:JZO458858 IVY458781:IWA458858 HSK458781:HSM458858 GOW458781:GOY458858 FLI458781:FLK458858 EHU458781:EHW458858 DEG458781:DEI458858 CAS458781:CAU458858 AXE458781:AXG458858 TQ458781:TS458858 WCO458781:WCQ458858 UZA458781:UZC458858 TVM458781:TVO458858 SRY458781:SSA458858 ROK458781:ROM458858 QKW458781:QKY458858 PHI458781:PHK458858 ODU458781:ODW458858 NAG458781:NAI458858 LWS458781:LWU458858 KTE458781:KTG458858 JPQ458781:JPS458858 IMC458781:IME458858 HIO458781:HIQ458858 GFA458781:GFC458858 FBM458781:FBO458858 DXY458781:DYA458858 CUK458781:CUM458858 BQW458781:BQY458858 ANI458781:ANK458858 JU458781:JW458858 WWG458781:WWI458858 VSS458781:VSU458858 UPE458781:UPG458858 TLQ458781:TLS458858 SIC458781:SIE458858 REO458781:REQ458858 QBA458781:QBC458858 OXM458781:OXO458858 NTY458781:NUA458858 MQK458781:MQM458858 LMW458781:LMY458858 KJI458781:KJK458858 JFU458781:JFW458858 ICG458781:ICI458858 GYS458781:GYU458858 FVE458781:FVG458858 ERQ458781:ERS458858 DOC458781:DOE458858 CKO458781:CKQ458858 BHA458781:BHC458858 ADM458781:ADO458858 Y458781:AA458858 WMK393245:WMM393322 VIW393245:VIY393322 UFI393245:UFK393322 TBU393245:TBW393322 RYG393245:RYI393322 QUS393245:QUU393322 PRE393245:PRG393322 ONQ393245:ONS393322 NKC393245:NKE393322 MGO393245:MGQ393322 LDA393245:LDC393322 JZM393245:JZO393322 IVY393245:IWA393322 HSK393245:HSM393322 GOW393245:GOY393322 FLI393245:FLK393322 EHU393245:EHW393322 DEG393245:DEI393322 CAS393245:CAU393322 AXE393245:AXG393322 TQ393245:TS393322 WCO393245:WCQ393322 UZA393245:UZC393322 TVM393245:TVO393322 SRY393245:SSA393322 ROK393245:ROM393322 QKW393245:QKY393322 PHI393245:PHK393322 ODU393245:ODW393322 NAG393245:NAI393322 LWS393245:LWU393322 KTE393245:KTG393322 JPQ393245:JPS393322 IMC393245:IME393322 HIO393245:HIQ393322 GFA393245:GFC393322 FBM393245:FBO393322 DXY393245:DYA393322 CUK393245:CUM393322 BQW393245:BQY393322 ANI393245:ANK393322 JU393245:JW393322 WWG393245:WWI393322 VSS393245:VSU393322 UPE393245:UPG393322 TLQ393245:TLS393322 SIC393245:SIE393322 REO393245:REQ393322 QBA393245:QBC393322 OXM393245:OXO393322 NTY393245:NUA393322 MQK393245:MQM393322 LMW393245:LMY393322 KJI393245:KJK393322 JFU393245:JFW393322 ICG393245:ICI393322 GYS393245:GYU393322 FVE393245:FVG393322 ERQ393245:ERS393322 DOC393245:DOE393322 CKO393245:CKQ393322 BHA393245:BHC393322 ADM393245:ADO393322 Y393245:AA393322 WMK327709:WMM327786 VIW327709:VIY327786 UFI327709:UFK327786 TBU327709:TBW327786 RYG327709:RYI327786 QUS327709:QUU327786 PRE327709:PRG327786 ONQ327709:ONS327786 NKC327709:NKE327786 MGO327709:MGQ327786 LDA327709:LDC327786 JZM327709:JZO327786 IVY327709:IWA327786 HSK327709:HSM327786 GOW327709:GOY327786 FLI327709:FLK327786 EHU327709:EHW327786 DEG327709:DEI327786 CAS327709:CAU327786 AXE327709:AXG327786 TQ327709:TS327786 WCO327709:WCQ327786 UZA327709:UZC327786 TVM327709:TVO327786 SRY327709:SSA327786 ROK327709:ROM327786 QKW327709:QKY327786 PHI327709:PHK327786 ODU327709:ODW327786 NAG327709:NAI327786 LWS327709:LWU327786 KTE327709:KTG327786 JPQ327709:JPS327786 IMC327709:IME327786 HIO327709:HIQ327786 GFA327709:GFC327786 FBM327709:FBO327786 DXY327709:DYA327786 CUK327709:CUM327786 BQW327709:BQY327786 ANI327709:ANK327786 JU327709:JW327786 WWG327709:WWI327786 VSS327709:VSU327786 UPE327709:UPG327786 TLQ327709:TLS327786 SIC327709:SIE327786 REO327709:REQ327786 QBA327709:QBC327786 OXM327709:OXO327786 NTY327709:NUA327786 MQK327709:MQM327786 LMW327709:LMY327786 KJI327709:KJK327786 JFU327709:JFW327786 ICG327709:ICI327786 GYS327709:GYU327786 FVE327709:FVG327786 ERQ327709:ERS327786 DOC327709:DOE327786 CKO327709:CKQ327786 BHA327709:BHC327786 ADM327709:ADO327786 Y327709:AA327786 WMK262173:WMM262250 VIW262173:VIY262250 UFI262173:UFK262250 TBU262173:TBW262250 RYG262173:RYI262250 QUS262173:QUU262250 PRE262173:PRG262250 ONQ262173:ONS262250 NKC262173:NKE262250 MGO262173:MGQ262250 LDA262173:LDC262250 JZM262173:JZO262250 IVY262173:IWA262250 HSK262173:HSM262250 GOW262173:GOY262250 FLI262173:FLK262250 EHU262173:EHW262250 DEG262173:DEI262250 CAS262173:CAU262250 AXE262173:AXG262250 TQ262173:TS262250 WCO262173:WCQ262250 UZA262173:UZC262250 TVM262173:TVO262250 SRY262173:SSA262250 ROK262173:ROM262250 QKW262173:QKY262250 PHI262173:PHK262250 ODU262173:ODW262250 NAG262173:NAI262250 LWS262173:LWU262250 KTE262173:KTG262250 JPQ262173:JPS262250 IMC262173:IME262250 HIO262173:HIQ262250 GFA262173:GFC262250 FBM262173:FBO262250 DXY262173:DYA262250 CUK262173:CUM262250 BQW262173:BQY262250 ANI262173:ANK262250 JU262173:JW262250 WWG262173:WWI262250 VSS262173:VSU262250 UPE262173:UPG262250 TLQ262173:TLS262250 SIC262173:SIE262250 REO262173:REQ262250 QBA262173:QBC262250 OXM262173:OXO262250 NTY262173:NUA262250 MQK262173:MQM262250 LMW262173:LMY262250 KJI262173:KJK262250 JFU262173:JFW262250 ICG262173:ICI262250 GYS262173:GYU262250 FVE262173:FVG262250 ERQ262173:ERS262250 DOC262173:DOE262250 CKO262173:CKQ262250 BHA262173:BHC262250 ADM262173:ADO262250 Y262173:AA262250 WMK196637:WMM196714 VIW196637:VIY196714 UFI196637:UFK196714 TBU196637:TBW196714 RYG196637:RYI196714 QUS196637:QUU196714 PRE196637:PRG196714 ONQ196637:ONS196714 NKC196637:NKE196714 MGO196637:MGQ196714 LDA196637:LDC196714 JZM196637:JZO196714 IVY196637:IWA196714 HSK196637:HSM196714 GOW196637:GOY196714 FLI196637:FLK196714 EHU196637:EHW196714 DEG196637:DEI196714 CAS196637:CAU196714 AXE196637:AXG196714 TQ196637:TS196714 WCO196637:WCQ196714 UZA196637:UZC196714 TVM196637:TVO196714 SRY196637:SSA196714 ROK196637:ROM196714 QKW196637:QKY196714 PHI196637:PHK196714 ODU196637:ODW196714 NAG196637:NAI196714 LWS196637:LWU196714 KTE196637:KTG196714 JPQ196637:JPS196714 IMC196637:IME196714 HIO196637:HIQ196714 GFA196637:GFC196714 FBM196637:FBO196714 DXY196637:DYA196714 CUK196637:CUM196714 BQW196637:BQY196714 ANI196637:ANK196714 JU196637:JW196714 WWG196637:WWI196714 VSS196637:VSU196714 UPE196637:UPG196714 TLQ196637:TLS196714 SIC196637:SIE196714 REO196637:REQ196714 QBA196637:QBC196714 OXM196637:OXO196714 NTY196637:NUA196714 MQK196637:MQM196714 LMW196637:LMY196714 KJI196637:KJK196714 JFU196637:JFW196714 ICG196637:ICI196714 GYS196637:GYU196714 FVE196637:FVG196714 ERQ196637:ERS196714 DOC196637:DOE196714 CKO196637:CKQ196714 BHA196637:BHC196714 ADM196637:ADO196714 Y196637:AA196714 WMK131101:WMM131178 VIW131101:VIY131178 UFI131101:UFK131178 TBU131101:TBW131178 RYG131101:RYI131178 QUS131101:QUU131178 PRE131101:PRG131178 ONQ131101:ONS131178 NKC131101:NKE131178 MGO131101:MGQ131178 LDA131101:LDC131178 JZM131101:JZO131178 IVY131101:IWA131178 HSK131101:HSM131178 GOW131101:GOY131178 FLI131101:FLK131178 EHU131101:EHW131178 DEG131101:DEI131178 CAS131101:CAU131178 AXE131101:AXG131178 TQ131101:TS131178 WCO131101:WCQ131178 UZA131101:UZC131178 TVM131101:TVO131178 SRY131101:SSA131178 ROK131101:ROM131178 QKW131101:QKY131178 PHI131101:PHK131178 ODU131101:ODW131178 NAG131101:NAI131178 LWS131101:LWU131178 KTE131101:KTG131178 JPQ131101:JPS131178 IMC131101:IME131178 HIO131101:HIQ131178 GFA131101:GFC131178 FBM131101:FBO131178 DXY131101:DYA131178 CUK131101:CUM131178 BQW131101:BQY131178 ANI131101:ANK131178 JU131101:JW131178 WWG131101:WWI131178 VSS131101:VSU131178 UPE131101:UPG131178 TLQ131101:TLS131178 SIC131101:SIE131178 REO131101:REQ131178 QBA131101:QBC131178 OXM131101:OXO131178 NTY131101:NUA131178 MQK131101:MQM131178 LMW131101:LMY131178 KJI131101:KJK131178 JFU131101:JFW131178 ICG131101:ICI131178 GYS131101:GYU131178 FVE131101:FVG131178 ERQ131101:ERS131178 DOC131101:DOE131178 CKO131101:CKQ131178 BHA131101:BHC131178 ADM131101:ADO131178 Y131101:AA131178 WMK65565:WMM65642 VIW65565:VIY65642 UFI65565:UFK65642 TBU65565:TBW65642 RYG65565:RYI65642 QUS65565:QUU65642 PRE65565:PRG65642 ONQ65565:ONS65642 NKC65565:NKE65642 MGO65565:MGQ65642 LDA65565:LDC65642 JZM65565:JZO65642 IVY65565:IWA65642 HSK65565:HSM65642 GOW65565:GOY65642 FLI65565:FLK65642 EHU65565:EHW65642 DEG65565:DEI65642 CAS65565:CAU65642 AXE65565:AXG65642 TQ65565:TS65642 WCO65565:WCQ65642 UZA65565:UZC65642 TVM65565:TVO65642 SRY65565:SSA65642 ROK65565:ROM65642 QKW65565:QKY65642 PHI65565:PHK65642 ODU65565:ODW65642 NAG65565:NAI65642 LWS65565:LWU65642 KTE65565:KTG65642 JPQ65565:JPS65642 IMC65565:IME65642 HIO65565:HIQ65642 GFA65565:GFC65642 FBM65565:FBO65642 DXY65565:DYA65642 CUK65565:CUM65642 BQW65565:BQY65642 ANI65565:ANK65642 JU65565:JW65642 WWG65565:WWI65642 VSS65565:VSU65642 UPE65565:UPG65642 TLQ65565:TLS65642 SIC65565:SIE65642 REO65565:REQ65642 QBA65565:QBC65642 OXM65565:OXO65642 NTY65565:NUA65642 MQK65565:MQM65642 LMW65565:LMY65642 KJI65565:KJK65642 JFU65565:JFW65642 ICG65565:ICI65642 GYS65565:GYU65642 FVE65565:FVG65642 ERQ65565:ERS65642 DOC65565:DOE65642 CKO65565:CKQ65642 BHA65565:BHC65642 ADM65565:ADO65642 Y65565:AA65642 WWG983069:WWI983146 VSS983069:VSU983146 UPE983069:UPG983146 TLQ983069:TLS983146 SIC983069:SIE983146 REO983069:REQ983146 QBA983069:QBC983146 OXM983069:OXO983146 NTY983069:NUA983146 MQK983069:MQM983146 LMW983069:LMY983146 KJI983069:KJK983146 JFU983069:JFW983146 ICG983069:ICI983146 GYS983069:GYU983146 FVE983069:FVG983146 ERQ983069:ERS983146 DOC983069:DOE983146 CKO983069:CKQ983146 BHA983069:BHC983146 ADM983069:ADO983146 JU2:JW106 ANI2:ANK106 BQW2:BQY106 CUK2:CUM106 DXY2:DYA106 FBM2:FBO106 GFA2:GFC106 HIO2:HIQ106 IMC2:IME106 JPQ2:JPS106 KTE2:KTG106 LWS2:LWU106 NAG2:NAI106 ODU2:ODW106 PHI2:PHK106 QKW2:QKY106 ROK2:ROM106 SRY2:SSA106 TVM2:TVO106 UZA2:UZC106 WCO2:WCQ106 TQ2:TS106 AXE2:AXG106 CAS2:CAU106 DEG2:DEI106 EHU2:EHW106 FLI2:FLK106 GOW2:GOY106 HSK2:HSM106 IVY2:IWA106 JZM2:JZO106 LDA2:LDC106 MGO2:MGQ106 NKC2:NKE106 ONQ2:ONS106 PRE2:PRG106 QUS2:QUU106 RYG2:RYI106 TBU2:TBW106 UFI2:UFK106 VIW2:VIY106 WMK2:WMM106 ADM2:ADO106 BHA2:BHC106 CKO2:CKQ106 DOC2:DOE106 ERQ2:ERS106 FVE2:FVG106 GYS2:GYU106 ICG2:ICI106 JFU2:JFW106 KJI2:KJK106 LMW2:LMY106 MQK2:MQM106 NTY2:NUA106 OXM2:OXO106 QBA2:QBC106 REO2:REQ106 SIC2:SIE106 TLQ2:TLS106 UPE2:UPG106 VSS2:VSU106 WWG2:WWI106" xr:uid="{0F4C989D-48F3-4D30-9FAE-F1ED1DE6C541}">
      <formula1>$AV$2:$AV$23</formula1>
    </dataValidation>
    <dataValidation type="list" allowBlank="1" showInputMessage="1" showErrorMessage="1" sqref="X65565:X65642 X131101:X131178 X196637:X196714 X262173:X262250 X327709:X327786 X393245:X393322 X458781:X458858 X524317:X524394 X589853:X589930 X655389:X655466 X720925:X721002 X786461:X786538 X851997:X852074 X917533:X917610 X983069:X983146 JT65565:JT65642 JT131101:JT131178 JT196637:JT196714 JT262173:JT262250 JT327709:JT327786 JT393245:JT393322 JT458781:JT458858 JT524317:JT524394 JT589853:JT589930 JT655389:JT655466 JT720925:JT721002 JT786461:JT786538 JT851997:JT852074 JT917533:JT917610 JT983069:JT983146 TP65565:TP65642 TP131101:TP131178 TP196637:TP196714 TP262173:TP262250 TP327709:TP327786 TP393245:TP393322 TP458781:TP458858 TP524317:TP524394 TP589853:TP589930 TP655389:TP655466 TP720925:TP721002 TP786461:TP786538 TP851997:TP852074 TP917533:TP917610 TP983069:TP983146 ADL65565:ADL65642 ADL131101:ADL131178 ADL196637:ADL196714 ADL262173:ADL262250 ADL327709:ADL327786 ADL393245:ADL393322 ADL458781:ADL458858 ADL524317:ADL524394 ADL589853:ADL589930 ADL655389:ADL655466 ADL720925:ADL721002 ADL786461:ADL786538 ADL851997:ADL852074 ADL917533:ADL917610 ADL983069:ADL983146 ANH65565:ANH65642 ANH131101:ANH131178 ANH196637:ANH196714 ANH262173:ANH262250 ANH327709:ANH327786 ANH393245:ANH393322 ANH458781:ANH458858 ANH524317:ANH524394 ANH589853:ANH589930 ANH655389:ANH655466 ANH720925:ANH721002 ANH786461:ANH786538 ANH851997:ANH852074 ANH917533:ANH917610 ANH983069:ANH983146 AXD65565:AXD65642 AXD131101:AXD131178 AXD196637:AXD196714 AXD262173:AXD262250 AXD327709:AXD327786 AXD393245:AXD393322 AXD458781:AXD458858 AXD524317:AXD524394 AXD589853:AXD589930 AXD655389:AXD655466 AXD720925:AXD721002 AXD786461:AXD786538 AXD851997:AXD852074 AXD917533:AXD917610 AXD983069:AXD983146 BGZ65565:BGZ65642 BGZ131101:BGZ131178 BGZ196637:BGZ196714 BGZ262173:BGZ262250 BGZ327709:BGZ327786 BGZ393245:BGZ393322 BGZ458781:BGZ458858 BGZ524317:BGZ524394 BGZ589853:BGZ589930 BGZ655389:BGZ655466 BGZ720925:BGZ721002 BGZ786461:BGZ786538 BGZ851997:BGZ852074 BGZ917533:BGZ917610 BGZ983069:BGZ983146 BQV65565:BQV65642 BQV131101:BQV131178 BQV196637:BQV196714 BQV262173:BQV262250 BQV327709:BQV327786 BQV393245:BQV393322 BQV458781:BQV458858 BQV524317:BQV524394 BQV589853:BQV589930 BQV655389:BQV655466 BQV720925:BQV721002 BQV786461:BQV786538 BQV851997:BQV852074 BQV917533:BQV917610 BQV983069:BQV983146 CAR65565:CAR65642 CAR131101:CAR131178 CAR196637:CAR196714 CAR262173:CAR262250 CAR327709:CAR327786 CAR393245:CAR393322 CAR458781:CAR458858 CAR524317:CAR524394 CAR589853:CAR589930 CAR655389:CAR655466 CAR720925:CAR721002 CAR786461:CAR786538 CAR851997:CAR852074 CAR917533:CAR917610 CAR983069:CAR983146 CKN65565:CKN65642 CKN131101:CKN131178 CKN196637:CKN196714 CKN262173:CKN262250 CKN327709:CKN327786 CKN393245:CKN393322 CKN458781:CKN458858 CKN524317:CKN524394 CKN589853:CKN589930 CKN655389:CKN655466 CKN720925:CKN721002 CKN786461:CKN786538 CKN851997:CKN852074 CKN917533:CKN917610 CKN983069:CKN983146 CUJ65565:CUJ65642 CUJ131101:CUJ131178 CUJ196637:CUJ196714 CUJ262173:CUJ262250 CUJ327709:CUJ327786 CUJ393245:CUJ393322 CUJ458781:CUJ458858 CUJ524317:CUJ524394 CUJ589853:CUJ589930 CUJ655389:CUJ655466 CUJ720925:CUJ721002 CUJ786461:CUJ786538 CUJ851997:CUJ852074 CUJ917533:CUJ917610 CUJ983069:CUJ983146 DEF65565:DEF65642 DEF131101:DEF131178 DEF196637:DEF196714 DEF262173:DEF262250 DEF327709:DEF327786 DEF393245:DEF393322 DEF458781:DEF458858 DEF524317:DEF524394 DEF589853:DEF589930 DEF655389:DEF655466 DEF720925:DEF721002 DEF786461:DEF786538 DEF851997:DEF852074 DEF917533:DEF917610 DEF983069:DEF983146 DOB65565:DOB65642 DOB131101:DOB131178 DOB196637:DOB196714 DOB262173:DOB262250 DOB327709:DOB327786 DOB393245:DOB393322 DOB458781:DOB458858 DOB524317:DOB524394 DOB589853:DOB589930 DOB655389:DOB655466 DOB720925:DOB721002 DOB786461:DOB786538 DOB851997:DOB852074 DOB917533:DOB917610 DOB983069:DOB983146 DXX65565:DXX65642 DXX131101:DXX131178 DXX196637:DXX196714 DXX262173:DXX262250 DXX327709:DXX327786 DXX393245:DXX393322 DXX458781:DXX458858 DXX524317:DXX524394 DXX589853:DXX589930 DXX655389:DXX655466 DXX720925:DXX721002 DXX786461:DXX786538 DXX851997:DXX852074 DXX917533:DXX917610 DXX983069:DXX983146 EHT65565:EHT65642 EHT131101:EHT131178 EHT196637:EHT196714 EHT262173:EHT262250 EHT327709:EHT327786 EHT393245:EHT393322 EHT458781:EHT458858 EHT524317:EHT524394 EHT589853:EHT589930 EHT655389:EHT655466 EHT720925:EHT721002 EHT786461:EHT786538 EHT851997:EHT852074 EHT917533:EHT917610 EHT983069:EHT983146 ERP65565:ERP65642 ERP131101:ERP131178 ERP196637:ERP196714 ERP262173:ERP262250 ERP327709:ERP327786 ERP393245:ERP393322 ERP458781:ERP458858 ERP524317:ERP524394 ERP589853:ERP589930 ERP655389:ERP655466 ERP720925:ERP721002 ERP786461:ERP786538 ERP851997:ERP852074 ERP917533:ERP917610 ERP983069:ERP983146 FBL65565:FBL65642 FBL131101:FBL131178 FBL196637:FBL196714 FBL262173:FBL262250 FBL327709:FBL327786 FBL393245:FBL393322 FBL458781:FBL458858 FBL524317:FBL524394 FBL589853:FBL589930 FBL655389:FBL655466 FBL720925:FBL721002 FBL786461:FBL786538 FBL851997:FBL852074 FBL917533:FBL917610 FBL983069:FBL983146 FLH65565:FLH65642 FLH131101:FLH131178 FLH196637:FLH196714 FLH262173:FLH262250 FLH327709:FLH327786 FLH393245:FLH393322 FLH458781:FLH458858 FLH524317:FLH524394 FLH589853:FLH589930 FLH655389:FLH655466 FLH720925:FLH721002 FLH786461:FLH786538 FLH851997:FLH852074 FLH917533:FLH917610 FLH983069:FLH983146 FVD65565:FVD65642 FVD131101:FVD131178 FVD196637:FVD196714 FVD262173:FVD262250 FVD327709:FVD327786 FVD393245:FVD393322 FVD458781:FVD458858 FVD524317:FVD524394 FVD589853:FVD589930 FVD655389:FVD655466 FVD720925:FVD721002 FVD786461:FVD786538 FVD851997:FVD852074 FVD917533:FVD917610 FVD983069:FVD983146 GEZ65565:GEZ65642 GEZ131101:GEZ131178 GEZ196637:GEZ196714 GEZ262173:GEZ262250 GEZ327709:GEZ327786 GEZ393245:GEZ393322 GEZ458781:GEZ458858 GEZ524317:GEZ524394 GEZ589853:GEZ589930 GEZ655389:GEZ655466 GEZ720925:GEZ721002 GEZ786461:GEZ786538 GEZ851997:GEZ852074 GEZ917533:GEZ917610 GEZ983069:GEZ983146 GOV65565:GOV65642 GOV131101:GOV131178 GOV196637:GOV196714 GOV262173:GOV262250 GOV327709:GOV327786 GOV393245:GOV393322 GOV458781:GOV458858 GOV524317:GOV524394 GOV589853:GOV589930 GOV655389:GOV655466 GOV720925:GOV721002 GOV786461:GOV786538 GOV851997:GOV852074 GOV917533:GOV917610 GOV983069:GOV983146 GYR65565:GYR65642 GYR131101:GYR131178 GYR196637:GYR196714 GYR262173:GYR262250 GYR327709:GYR327786 GYR393245:GYR393322 GYR458781:GYR458858 GYR524317:GYR524394 GYR589853:GYR589930 GYR655389:GYR655466 GYR720925:GYR721002 GYR786461:GYR786538 GYR851997:GYR852074 GYR917533:GYR917610 GYR983069:GYR983146 HIN65565:HIN65642 HIN131101:HIN131178 HIN196637:HIN196714 HIN262173:HIN262250 HIN327709:HIN327786 HIN393245:HIN393322 HIN458781:HIN458858 HIN524317:HIN524394 HIN589853:HIN589930 HIN655389:HIN655466 HIN720925:HIN721002 HIN786461:HIN786538 HIN851997:HIN852074 HIN917533:HIN917610 HIN983069:HIN983146 HSJ65565:HSJ65642 HSJ131101:HSJ131178 HSJ196637:HSJ196714 HSJ262173:HSJ262250 HSJ327709:HSJ327786 HSJ393245:HSJ393322 HSJ458781:HSJ458858 HSJ524317:HSJ524394 HSJ589853:HSJ589930 HSJ655389:HSJ655466 HSJ720925:HSJ721002 HSJ786461:HSJ786538 HSJ851997:HSJ852074 HSJ917533:HSJ917610 HSJ983069:HSJ983146 ICF65565:ICF65642 ICF131101:ICF131178 ICF196637:ICF196714 ICF262173:ICF262250 ICF327709:ICF327786 ICF393245:ICF393322 ICF458781:ICF458858 ICF524317:ICF524394 ICF589853:ICF589930 ICF655389:ICF655466 ICF720925:ICF721002 ICF786461:ICF786538 ICF851997:ICF852074 ICF917533:ICF917610 ICF983069:ICF983146 IMB65565:IMB65642 IMB131101:IMB131178 IMB196637:IMB196714 IMB262173:IMB262250 IMB327709:IMB327786 IMB393245:IMB393322 IMB458781:IMB458858 IMB524317:IMB524394 IMB589853:IMB589930 IMB655389:IMB655466 IMB720925:IMB721002 IMB786461:IMB786538 IMB851997:IMB852074 IMB917533:IMB917610 IMB983069:IMB983146 IVX65565:IVX65642 IVX131101:IVX131178 IVX196637:IVX196714 IVX262173:IVX262250 IVX327709:IVX327786 IVX393245:IVX393322 IVX458781:IVX458858 IVX524317:IVX524394 IVX589853:IVX589930 IVX655389:IVX655466 IVX720925:IVX721002 IVX786461:IVX786538 IVX851997:IVX852074 IVX917533:IVX917610 IVX983069:IVX983146 JFT65565:JFT65642 JFT131101:JFT131178 JFT196637:JFT196714 JFT262173:JFT262250 JFT327709:JFT327786 JFT393245:JFT393322 JFT458781:JFT458858 JFT524317:JFT524394 JFT589853:JFT589930 JFT655389:JFT655466 JFT720925:JFT721002 JFT786461:JFT786538 JFT851997:JFT852074 JFT917533:JFT917610 JFT983069:JFT983146 JPP65565:JPP65642 JPP131101:JPP131178 JPP196637:JPP196714 JPP262173:JPP262250 JPP327709:JPP327786 JPP393245:JPP393322 JPP458781:JPP458858 JPP524317:JPP524394 JPP589853:JPP589930 JPP655389:JPP655466 JPP720925:JPP721002 JPP786461:JPP786538 JPP851997:JPP852074 JPP917533:JPP917610 JPP983069:JPP983146 JZL65565:JZL65642 JZL131101:JZL131178 JZL196637:JZL196714 JZL262173:JZL262250 JZL327709:JZL327786 JZL393245:JZL393322 JZL458781:JZL458858 JZL524317:JZL524394 JZL589853:JZL589930 JZL655389:JZL655466 JZL720925:JZL721002 JZL786461:JZL786538 JZL851997:JZL852074 JZL917533:JZL917610 JZL983069:JZL983146 KJH65565:KJH65642 KJH131101:KJH131178 KJH196637:KJH196714 KJH262173:KJH262250 KJH327709:KJH327786 KJH393245:KJH393322 KJH458781:KJH458858 KJH524317:KJH524394 KJH589853:KJH589930 KJH655389:KJH655466 KJH720925:KJH721002 KJH786461:KJH786538 KJH851997:KJH852074 KJH917533:KJH917610 KJH983069:KJH983146 KTD65565:KTD65642 KTD131101:KTD131178 KTD196637:KTD196714 KTD262173:KTD262250 KTD327709:KTD327786 KTD393245:KTD393322 KTD458781:KTD458858 KTD524317:KTD524394 KTD589853:KTD589930 KTD655389:KTD655466 KTD720925:KTD721002 KTD786461:KTD786538 KTD851997:KTD852074 KTD917533:KTD917610 KTD983069:KTD983146 LCZ65565:LCZ65642 LCZ131101:LCZ131178 LCZ196637:LCZ196714 LCZ262173:LCZ262250 LCZ327709:LCZ327786 LCZ393245:LCZ393322 LCZ458781:LCZ458858 LCZ524317:LCZ524394 LCZ589853:LCZ589930 LCZ655389:LCZ655466 LCZ720925:LCZ721002 LCZ786461:LCZ786538 LCZ851997:LCZ852074 LCZ917533:LCZ917610 LCZ983069:LCZ983146 LMV65565:LMV65642 LMV131101:LMV131178 LMV196637:LMV196714 LMV262173:LMV262250 LMV327709:LMV327786 LMV393245:LMV393322 LMV458781:LMV458858 LMV524317:LMV524394 LMV589853:LMV589930 LMV655389:LMV655466 LMV720925:LMV721002 LMV786461:LMV786538 LMV851997:LMV852074 LMV917533:LMV917610 LMV983069:LMV983146 LWR65565:LWR65642 LWR131101:LWR131178 LWR196637:LWR196714 LWR262173:LWR262250 LWR327709:LWR327786 LWR393245:LWR393322 LWR458781:LWR458858 LWR524317:LWR524394 LWR589853:LWR589930 LWR655389:LWR655466 LWR720925:LWR721002 LWR786461:LWR786538 LWR851997:LWR852074 LWR917533:LWR917610 LWR983069:LWR983146 MGN65565:MGN65642 MGN131101:MGN131178 MGN196637:MGN196714 MGN262173:MGN262250 MGN327709:MGN327786 MGN393245:MGN393322 MGN458781:MGN458858 MGN524317:MGN524394 MGN589853:MGN589930 MGN655389:MGN655466 MGN720925:MGN721002 MGN786461:MGN786538 MGN851997:MGN852074 MGN917533:MGN917610 MGN983069:MGN983146 MQJ65565:MQJ65642 MQJ131101:MQJ131178 MQJ196637:MQJ196714 MQJ262173:MQJ262250 MQJ327709:MQJ327786 MQJ393245:MQJ393322 MQJ458781:MQJ458858 MQJ524317:MQJ524394 MQJ589853:MQJ589930 MQJ655389:MQJ655466 MQJ720925:MQJ721002 MQJ786461:MQJ786538 MQJ851997:MQJ852074 MQJ917533:MQJ917610 MQJ983069:MQJ983146 NAF65565:NAF65642 NAF131101:NAF131178 NAF196637:NAF196714 NAF262173:NAF262250 NAF327709:NAF327786 NAF393245:NAF393322 NAF458781:NAF458858 NAF524317:NAF524394 NAF589853:NAF589930 NAF655389:NAF655466 NAF720925:NAF721002 NAF786461:NAF786538 NAF851997:NAF852074 NAF917533:NAF917610 NAF983069:NAF983146 NKB65565:NKB65642 NKB131101:NKB131178 NKB196637:NKB196714 NKB262173:NKB262250 NKB327709:NKB327786 NKB393245:NKB393322 NKB458781:NKB458858 NKB524317:NKB524394 NKB589853:NKB589930 NKB655389:NKB655466 NKB720925:NKB721002 NKB786461:NKB786538 NKB851997:NKB852074 NKB917533:NKB917610 NKB983069:NKB983146 NTX65565:NTX65642 NTX131101:NTX131178 NTX196637:NTX196714 NTX262173:NTX262250 NTX327709:NTX327786 NTX393245:NTX393322 NTX458781:NTX458858 NTX524317:NTX524394 NTX589853:NTX589930 NTX655389:NTX655466 NTX720925:NTX721002 NTX786461:NTX786538 NTX851997:NTX852074 NTX917533:NTX917610 NTX983069:NTX983146 ODT65565:ODT65642 ODT131101:ODT131178 ODT196637:ODT196714 ODT262173:ODT262250 ODT327709:ODT327786 ODT393245:ODT393322 ODT458781:ODT458858 ODT524317:ODT524394 ODT589853:ODT589930 ODT655389:ODT655466 ODT720925:ODT721002 ODT786461:ODT786538 ODT851997:ODT852074 ODT917533:ODT917610 ODT983069:ODT983146 ONP65565:ONP65642 ONP131101:ONP131178 ONP196637:ONP196714 ONP262173:ONP262250 ONP327709:ONP327786 ONP393245:ONP393322 ONP458781:ONP458858 ONP524317:ONP524394 ONP589853:ONP589930 ONP655389:ONP655466 ONP720925:ONP721002 ONP786461:ONP786538 ONP851997:ONP852074 ONP917533:ONP917610 ONP983069:ONP983146 OXL65565:OXL65642 OXL131101:OXL131178 OXL196637:OXL196714 OXL262173:OXL262250 OXL327709:OXL327786 OXL393245:OXL393322 OXL458781:OXL458858 OXL524317:OXL524394 OXL589853:OXL589930 OXL655389:OXL655466 OXL720925:OXL721002 OXL786461:OXL786538 OXL851997:OXL852074 OXL917533:OXL917610 OXL983069:OXL983146 PHH65565:PHH65642 PHH131101:PHH131178 PHH196637:PHH196714 PHH262173:PHH262250 PHH327709:PHH327786 PHH393245:PHH393322 PHH458781:PHH458858 PHH524317:PHH524394 PHH589853:PHH589930 PHH655389:PHH655466 PHH720925:PHH721002 PHH786461:PHH786538 PHH851997:PHH852074 PHH917533:PHH917610 PHH983069:PHH983146 PRD65565:PRD65642 PRD131101:PRD131178 PRD196637:PRD196714 PRD262173:PRD262250 PRD327709:PRD327786 PRD393245:PRD393322 PRD458781:PRD458858 PRD524317:PRD524394 PRD589853:PRD589930 PRD655389:PRD655466 PRD720925:PRD721002 PRD786461:PRD786538 PRD851997:PRD852074 PRD917533:PRD917610 PRD983069:PRD983146 QAZ65565:QAZ65642 QAZ131101:QAZ131178 QAZ196637:QAZ196714 QAZ262173:QAZ262250 QAZ327709:QAZ327786 QAZ393245:QAZ393322 QAZ458781:QAZ458858 QAZ524317:QAZ524394 QAZ589853:QAZ589930 QAZ655389:QAZ655466 QAZ720925:QAZ721002 QAZ786461:QAZ786538 QAZ851997:QAZ852074 QAZ917533:QAZ917610 QAZ983069:QAZ983146 QKV65565:QKV65642 QKV131101:QKV131178 QKV196637:QKV196714 QKV262173:QKV262250 QKV327709:QKV327786 QKV393245:QKV393322 QKV458781:QKV458858 QKV524317:QKV524394 QKV589853:QKV589930 QKV655389:QKV655466 QKV720925:QKV721002 QKV786461:QKV786538 QKV851997:QKV852074 QKV917533:QKV917610 QKV983069:QKV983146 QUR65565:QUR65642 QUR131101:QUR131178 QUR196637:QUR196714 QUR262173:QUR262250 QUR327709:QUR327786 QUR393245:QUR393322 QUR458781:QUR458858 QUR524317:QUR524394 QUR589853:QUR589930 QUR655389:QUR655466 QUR720925:QUR721002 QUR786461:QUR786538 QUR851997:QUR852074 QUR917533:QUR917610 QUR983069:QUR983146 REN65565:REN65642 REN131101:REN131178 REN196637:REN196714 REN262173:REN262250 REN327709:REN327786 REN393245:REN393322 REN458781:REN458858 REN524317:REN524394 REN589853:REN589930 REN655389:REN655466 REN720925:REN721002 REN786461:REN786538 REN851997:REN852074 REN917533:REN917610 REN983069:REN983146 ROJ65565:ROJ65642 ROJ131101:ROJ131178 ROJ196637:ROJ196714 ROJ262173:ROJ262250 ROJ327709:ROJ327786 ROJ393245:ROJ393322 ROJ458781:ROJ458858 ROJ524317:ROJ524394 ROJ589853:ROJ589930 ROJ655389:ROJ655466 ROJ720925:ROJ721002 ROJ786461:ROJ786538 ROJ851997:ROJ852074 ROJ917533:ROJ917610 ROJ983069:ROJ983146 RYF65565:RYF65642 RYF131101:RYF131178 RYF196637:RYF196714 RYF262173:RYF262250 RYF327709:RYF327786 RYF393245:RYF393322 RYF458781:RYF458858 RYF524317:RYF524394 RYF589853:RYF589930 RYF655389:RYF655466 RYF720925:RYF721002 RYF786461:RYF786538 RYF851997:RYF852074 RYF917533:RYF917610 RYF983069:RYF983146 SIB65565:SIB65642 SIB131101:SIB131178 SIB196637:SIB196714 SIB262173:SIB262250 SIB327709:SIB327786 SIB393245:SIB393322 SIB458781:SIB458858 SIB524317:SIB524394 SIB589853:SIB589930 SIB655389:SIB655466 SIB720925:SIB721002 SIB786461:SIB786538 SIB851997:SIB852074 SIB917533:SIB917610 SIB983069:SIB983146 SRX65565:SRX65642 SRX131101:SRX131178 SRX196637:SRX196714 SRX262173:SRX262250 SRX327709:SRX327786 SRX393245:SRX393322 SRX458781:SRX458858 SRX524317:SRX524394 SRX589853:SRX589930 SRX655389:SRX655466 SRX720925:SRX721002 SRX786461:SRX786538 SRX851997:SRX852074 SRX917533:SRX917610 SRX983069:SRX983146 TBT65565:TBT65642 TBT131101:TBT131178 TBT196637:TBT196714 TBT262173:TBT262250 TBT327709:TBT327786 TBT393245:TBT393322 TBT458781:TBT458858 TBT524317:TBT524394 TBT589853:TBT589930 TBT655389:TBT655466 TBT720925:TBT721002 TBT786461:TBT786538 TBT851997:TBT852074 TBT917533:TBT917610 TBT983069:TBT983146 TLP65565:TLP65642 TLP131101:TLP131178 TLP196637:TLP196714 TLP262173:TLP262250 TLP327709:TLP327786 TLP393245:TLP393322 TLP458781:TLP458858 TLP524317:TLP524394 TLP589853:TLP589930 TLP655389:TLP655466 TLP720925:TLP721002 TLP786461:TLP786538 TLP851997:TLP852074 TLP917533:TLP917610 TLP983069:TLP983146 TVL65565:TVL65642 TVL131101:TVL131178 TVL196637:TVL196714 TVL262173:TVL262250 TVL327709:TVL327786 TVL393245:TVL393322 TVL458781:TVL458858 TVL524317:TVL524394 TVL589853:TVL589930 TVL655389:TVL655466 TVL720925:TVL721002 TVL786461:TVL786538 TVL851997:TVL852074 TVL917533:TVL917610 TVL983069:TVL983146 UFH65565:UFH65642 UFH131101:UFH131178 UFH196637:UFH196714 UFH262173:UFH262250 UFH327709:UFH327786 UFH393245:UFH393322 UFH458781:UFH458858 UFH524317:UFH524394 UFH589853:UFH589930 UFH655389:UFH655466 UFH720925:UFH721002 UFH786461:UFH786538 UFH851997:UFH852074 UFH917533:UFH917610 UFH983069:UFH983146 UPD65565:UPD65642 UPD131101:UPD131178 UPD196637:UPD196714 UPD262173:UPD262250 UPD327709:UPD327786 UPD393245:UPD393322 UPD458781:UPD458858 UPD524317:UPD524394 UPD589853:UPD589930 UPD655389:UPD655466 UPD720925:UPD721002 UPD786461:UPD786538 UPD851997:UPD852074 UPD917533:UPD917610 UPD983069:UPD983146 UYZ65565:UYZ65642 UYZ131101:UYZ131178 UYZ196637:UYZ196714 UYZ262173:UYZ262250 UYZ327709:UYZ327786 UYZ393245:UYZ393322 UYZ458781:UYZ458858 UYZ524317:UYZ524394 UYZ589853:UYZ589930 UYZ655389:UYZ655466 UYZ720925:UYZ721002 UYZ786461:UYZ786538 UYZ851997:UYZ852074 UYZ917533:UYZ917610 UYZ983069:UYZ983146 VIV65565:VIV65642 VIV131101:VIV131178 VIV196637:VIV196714 VIV262173:VIV262250 VIV327709:VIV327786 VIV393245:VIV393322 VIV458781:VIV458858 VIV524317:VIV524394 VIV589853:VIV589930 VIV655389:VIV655466 VIV720925:VIV721002 VIV786461:VIV786538 VIV851997:VIV852074 VIV917533:VIV917610 VIV983069:VIV983146 VSR65565:VSR65642 VSR131101:VSR131178 VSR196637:VSR196714 VSR262173:VSR262250 VSR327709:VSR327786 VSR393245:VSR393322 VSR458781:VSR458858 VSR524317:VSR524394 VSR589853:VSR589930 VSR655389:VSR655466 VSR720925:VSR721002 VSR786461:VSR786538 VSR851997:VSR852074 VSR917533:VSR917610 VSR983069:VSR983146 WCN65565:WCN65642 WCN131101:WCN131178 WCN196637:WCN196714 WCN262173:WCN262250 WCN327709:WCN327786 WCN393245:WCN393322 WCN458781:WCN458858 WCN524317:WCN524394 WCN589853:WCN589930 WCN655389:WCN655466 WCN720925:WCN721002 WCN786461:WCN786538 WCN851997:WCN852074 WCN917533:WCN917610 WCN983069:WCN983146 WMJ65565:WMJ65642 WMJ131101:WMJ131178 WMJ196637:WMJ196714 WMJ262173:WMJ262250 WMJ327709:WMJ327786 WMJ393245:WMJ393322 WMJ458781:WMJ458858 WMJ524317:WMJ524394 WMJ589853:WMJ589930 WMJ655389:WMJ655466 WMJ720925:WMJ721002 WMJ786461:WMJ786538 WMJ851997:WMJ852074 WMJ917533:WMJ917610 WMJ983069:WMJ983146 WWF65565:WWF65642 WWF131101:WWF131178 WWF196637:WWF196714 WWF262173:WWF262250 WWF327709:WWF327786 WWF393245:WWF393322 WWF458781:WWF458858 WWF524317:WWF524394 WWF589853:WWF589930 WWF655389:WWF655466 WWF720925:WWF721002 WWF786461:WWF786538 WWF851997:WWF852074 WWF917533:WWF917610 WWF983069:WWF983146 WWF2:WWF106 JT2:JT106 TP2:TP106 ADL2:ADL106 ANH2:ANH106 AXD2:AXD106 BGZ2:BGZ106 BQV2:BQV106 CAR2:CAR106 CKN2:CKN106 CUJ2:CUJ106 DEF2:DEF106 DOB2:DOB106 DXX2:DXX106 EHT2:EHT106 ERP2:ERP106 FBL2:FBL106 FLH2:FLH106 FVD2:FVD106 GEZ2:GEZ106 GOV2:GOV106 GYR2:GYR106 HIN2:HIN106 HSJ2:HSJ106 ICF2:ICF106 IMB2:IMB106 IVX2:IVX106 JFT2:JFT106 JPP2:JPP106 JZL2:JZL106 KJH2:KJH106 KTD2:KTD106 LCZ2:LCZ106 LMV2:LMV106 LWR2:LWR106 MGN2:MGN106 MQJ2:MQJ106 NAF2:NAF106 NKB2:NKB106 NTX2:NTX106 ODT2:ODT106 ONP2:ONP106 OXL2:OXL106 PHH2:PHH106 PRD2:PRD106 QAZ2:QAZ106 QKV2:QKV106 QUR2:QUR106 REN2:REN106 ROJ2:ROJ106 RYF2:RYF106 SIB2:SIB106 SRX2:SRX106 TBT2:TBT106 TLP2:TLP106 TVL2:TVL106 UFH2:UFH106 UPD2:UPD106 UYZ2:UYZ106 VIV2:VIV106 VSR2:VSR106 WCN2:WCN106 WMJ2:WMJ106 X2:X527" xr:uid="{054B7820-4835-4624-8125-22D7144CC02B}">
      <formula1>$AT$2:$AT$3</formula1>
    </dataValidation>
    <dataValidation type="list" allowBlank="1" showInputMessage="1" showErrorMessage="1" sqref="K117:K527 WVS983069:WVS983146 WVS917533:WVS917610 WVS851997:WVS852074 WVS786461:WVS786538 WVS720925:WVS721002 WVS655389:WVS655466 WVS589853:WVS589930 WVS524317:WVS524394 WVS458781:WVS458858 WVS393245:WVS393322 WVS327709:WVS327786 WVS262173:WVS262250 WVS196637:WVS196714 WVS131101:WVS131178 WVS65565:WVS65642 WLW983069:WLW983146 WLW917533:WLW917610 WLW851997:WLW852074 WLW786461:WLW786538 WLW720925:WLW721002 WLW655389:WLW655466 WLW589853:WLW589930 WLW524317:WLW524394 WLW458781:WLW458858 WLW393245:WLW393322 WLW327709:WLW327786 WLW262173:WLW262250 WLW196637:WLW196714 WLW131101:WLW131178 WLW65565:WLW65642 WCA983069:WCA983146 WCA917533:WCA917610 WCA851997:WCA852074 WCA786461:WCA786538 WCA720925:WCA721002 WCA655389:WCA655466 WCA589853:WCA589930 WCA524317:WCA524394 WCA458781:WCA458858 WCA393245:WCA393322 WCA327709:WCA327786 WCA262173:WCA262250 WCA196637:WCA196714 WCA131101:WCA131178 WCA65565:WCA65642 VSE983069:VSE983146 VSE917533:VSE917610 VSE851997:VSE852074 VSE786461:VSE786538 VSE720925:VSE721002 VSE655389:VSE655466 VSE589853:VSE589930 VSE524317:VSE524394 VSE458781:VSE458858 VSE393245:VSE393322 VSE327709:VSE327786 VSE262173:VSE262250 VSE196637:VSE196714 VSE131101:VSE131178 VSE65565:VSE65642 VII983069:VII983146 VII917533:VII917610 VII851997:VII852074 VII786461:VII786538 VII720925:VII721002 VII655389:VII655466 VII589853:VII589930 VII524317:VII524394 VII458781:VII458858 VII393245:VII393322 VII327709:VII327786 VII262173:VII262250 VII196637:VII196714 VII131101:VII131178 VII65565:VII65642 UYM983069:UYM983146 UYM917533:UYM917610 UYM851997:UYM852074 UYM786461:UYM786538 UYM720925:UYM721002 UYM655389:UYM655466 UYM589853:UYM589930 UYM524317:UYM524394 UYM458781:UYM458858 UYM393245:UYM393322 UYM327709:UYM327786 UYM262173:UYM262250 UYM196637:UYM196714 UYM131101:UYM131178 UYM65565:UYM65642 UOQ983069:UOQ983146 UOQ917533:UOQ917610 UOQ851997:UOQ852074 UOQ786461:UOQ786538 UOQ720925:UOQ721002 UOQ655389:UOQ655466 UOQ589853:UOQ589930 UOQ524317:UOQ524394 UOQ458781:UOQ458858 UOQ393245:UOQ393322 UOQ327709:UOQ327786 UOQ262173:UOQ262250 UOQ196637:UOQ196714 UOQ131101:UOQ131178 UOQ65565:UOQ65642 UEU983069:UEU983146 UEU917533:UEU917610 UEU851997:UEU852074 UEU786461:UEU786538 UEU720925:UEU721002 UEU655389:UEU655466 UEU589853:UEU589930 UEU524317:UEU524394 UEU458781:UEU458858 UEU393245:UEU393322 UEU327709:UEU327786 UEU262173:UEU262250 UEU196637:UEU196714 UEU131101:UEU131178 UEU65565:UEU65642 TUY983069:TUY983146 TUY917533:TUY917610 TUY851997:TUY852074 TUY786461:TUY786538 TUY720925:TUY721002 TUY655389:TUY655466 TUY589853:TUY589930 TUY524317:TUY524394 TUY458781:TUY458858 TUY393245:TUY393322 TUY327709:TUY327786 TUY262173:TUY262250 TUY196637:TUY196714 TUY131101:TUY131178 TUY65565:TUY65642 TLC983069:TLC983146 TLC917533:TLC917610 TLC851997:TLC852074 TLC786461:TLC786538 TLC720925:TLC721002 TLC655389:TLC655466 TLC589853:TLC589930 TLC524317:TLC524394 TLC458781:TLC458858 TLC393245:TLC393322 TLC327709:TLC327786 TLC262173:TLC262250 TLC196637:TLC196714 TLC131101:TLC131178 TLC65565:TLC65642 TBG983069:TBG983146 TBG917533:TBG917610 TBG851997:TBG852074 TBG786461:TBG786538 TBG720925:TBG721002 TBG655389:TBG655466 TBG589853:TBG589930 TBG524317:TBG524394 TBG458781:TBG458858 TBG393245:TBG393322 TBG327709:TBG327786 TBG262173:TBG262250 TBG196637:TBG196714 TBG131101:TBG131178 TBG65565:TBG65642 SRK983069:SRK983146 SRK917533:SRK917610 SRK851997:SRK852074 SRK786461:SRK786538 SRK720925:SRK721002 SRK655389:SRK655466 SRK589853:SRK589930 SRK524317:SRK524394 SRK458781:SRK458858 SRK393245:SRK393322 SRK327709:SRK327786 SRK262173:SRK262250 SRK196637:SRK196714 SRK131101:SRK131178 SRK65565:SRK65642 SHO983069:SHO983146 SHO917533:SHO917610 SHO851997:SHO852074 SHO786461:SHO786538 SHO720925:SHO721002 SHO655389:SHO655466 SHO589853:SHO589930 SHO524317:SHO524394 SHO458781:SHO458858 SHO393245:SHO393322 SHO327709:SHO327786 SHO262173:SHO262250 SHO196637:SHO196714 SHO131101:SHO131178 SHO65565:SHO65642 RXS983069:RXS983146 RXS917533:RXS917610 RXS851997:RXS852074 RXS786461:RXS786538 RXS720925:RXS721002 RXS655389:RXS655466 RXS589853:RXS589930 RXS524317:RXS524394 RXS458781:RXS458858 RXS393245:RXS393322 RXS327709:RXS327786 RXS262173:RXS262250 RXS196637:RXS196714 RXS131101:RXS131178 RXS65565:RXS65642 RNW983069:RNW983146 RNW917533:RNW917610 RNW851997:RNW852074 RNW786461:RNW786538 RNW720925:RNW721002 RNW655389:RNW655466 RNW589853:RNW589930 RNW524317:RNW524394 RNW458781:RNW458858 RNW393245:RNW393322 RNW327709:RNW327786 RNW262173:RNW262250 RNW196637:RNW196714 RNW131101:RNW131178 RNW65565:RNW65642 REA983069:REA983146 REA917533:REA917610 REA851997:REA852074 REA786461:REA786538 REA720925:REA721002 REA655389:REA655466 REA589853:REA589930 REA524317:REA524394 REA458781:REA458858 REA393245:REA393322 REA327709:REA327786 REA262173:REA262250 REA196637:REA196714 REA131101:REA131178 REA65565:REA65642 QUE983069:QUE983146 QUE917533:QUE917610 QUE851997:QUE852074 QUE786461:QUE786538 QUE720925:QUE721002 QUE655389:QUE655466 QUE589853:QUE589930 QUE524317:QUE524394 QUE458781:QUE458858 QUE393245:QUE393322 QUE327709:QUE327786 QUE262173:QUE262250 QUE196637:QUE196714 QUE131101:QUE131178 QUE65565:QUE65642 QKI983069:QKI983146 QKI917533:QKI917610 QKI851997:QKI852074 QKI786461:QKI786538 QKI720925:QKI721002 QKI655389:QKI655466 QKI589853:QKI589930 QKI524317:QKI524394 QKI458781:QKI458858 QKI393245:QKI393322 QKI327709:QKI327786 QKI262173:QKI262250 QKI196637:QKI196714 QKI131101:QKI131178 QKI65565:QKI65642 QAM983069:QAM983146 QAM917533:QAM917610 QAM851997:QAM852074 QAM786461:QAM786538 QAM720925:QAM721002 QAM655389:QAM655466 QAM589853:QAM589930 QAM524317:QAM524394 QAM458781:QAM458858 QAM393245:QAM393322 QAM327709:QAM327786 QAM262173:QAM262250 QAM196637:QAM196714 QAM131101:QAM131178 QAM65565:QAM65642 PQQ983069:PQQ983146 PQQ917533:PQQ917610 PQQ851997:PQQ852074 PQQ786461:PQQ786538 PQQ720925:PQQ721002 PQQ655389:PQQ655466 PQQ589853:PQQ589930 PQQ524317:PQQ524394 PQQ458781:PQQ458858 PQQ393245:PQQ393322 PQQ327709:PQQ327786 PQQ262173:PQQ262250 PQQ196637:PQQ196714 PQQ131101:PQQ131178 PQQ65565:PQQ65642 PGU983069:PGU983146 PGU917533:PGU917610 PGU851997:PGU852074 PGU786461:PGU786538 PGU720925:PGU721002 PGU655389:PGU655466 PGU589853:PGU589930 PGU524317:PGU524394 PGU458781:PGU458858 PGU393245:PGU393322 PGU327709:PGU327786 PGU262173:PGU262250 PGU196637:PGU196714 PGU131101:PGU131178 PGU65565:PGU65642 OWY983069:OWY983146 OWY917533:OWY917610 OWY851997:OWY852074 OWY786461:OWY786538 OWY720925:OWY721002 OWY655389:OWY655466 OWY589853:OWY589930 OWY524317:OWY524394 OWY458781:OWY458858 OWY393245:OWY393322 OWY327709:OWY327786 OWY262173:OWY262250 OWY196637:OWY196714 OWY131101:OWY131178 OWY65565:OWY65642 ONC983069:ONC983146 ONC917533:ONC917610 ONC851997:ONC852074 ONC786461:ONC786538 ONC720925:ONC721002 ONC655389:ONC655466 ONC589853:ONC589930 ONC524317:ONC524394 ONC458781:ONC458858 ONC393245:ONC393322 ONC327709:ONC327786 ONC262173:ONC262250 ONC196637:ONC196714 ONC131101:ONC131178 ONC65565:ONC65642 ODG983069:ODG983146 ODG917533:ODG917610 ODG851997:ODG852074 ODG786461:ODG786538 ODG720925:ODG721002 ODG655389:ODG655466 ODG589853:ODG589930 ODG524317:ODG524394 ODG458781:ODG458858 ODG393245:ODG393322 ODG327709:ODG327786 ODG262173:ODG262250 ODG196637:ODG196714 ODG131101:ODG131178 ODG65565:ODG65642 NTK983069:NTK983146 NTK917533:NTK917610 NTK851997:NTK852074 NTK786461:NTK786538 NTK720925:NTK721002 NTK655389:NTK655466 NTK589853:NTK589930 NTK524317:NTK524394 NTK458781:NTK458858 NTK393245:NTK393322 NTK327709:NTK327786 NTK262173:NTK262250 NTK196637:NTK196714 NTK131101:NTK131178 NTK65565:NTK65642 NJO983069:NJO983146 NJO917533:NJO917610 NJO851997:NJO852074 NJO786461:NJO786538 NJO720925:NJO721002 NJO655389:NJO655466 NJO589853:NJO589930 NJO524317:NJO524394 NJO458781:NJO458858 NJO393245:NJO393322 NJO327709:NJO327786 NJO262173:NJO262250 NJO196637:NJO196714 NJO131101:NJO131178 NJO65565:NJO65642 MZS983069:MZS983146 MZS917533:MZS917610 MZS851997:MZS852074 MZS786461:MZS786538 MZS720925:MZS721002 MZS655389:MZS655466 MZS589853:MZS589930 MZS524317:MZS524394 MZS458781:MZS458858 MZS393245:MZS393322 MZS327709:MZS327786 MZS262173:MZS262250 MZS196637:MZS196714 MZS131101:MZS131178 MZS65565:MZS65642 MPW983069:MPW983146 MPW917533:MPW917610 MPW851997:MPW852074 MPW786461:MPW786538 MPW720925:MPW721002 MPW655389:MPW655466 MPW589853:MPW589930 MPW524317:MPW524394 MPW458781:MPW458858 MPW393245:MPW393322 MPW327709:MPW327786 MPW262173:MPW262250 MPW196637:MPW196714 MPW131101:MPW131178 MPW65565:MPW65642 MGA983069:MGA983146 MGA917533:MGA917610 MGA851997:MGA852074 MGA786461:MGA786538 MGA720925:MGA721002 MGA655389:MGA655466 MGA589853:MGA589930 MGA524317:MGA524394 MGA458781:MGA458858 MGA393245:MGA393322 MGA327709:MGA327786 MGA262173:MGA262250 MGA196637:MGA196714 MGA131101:MGA131178 MGA65565:MGA65642 LWE983069:LWE983146 LWE917533:LWE917610 LWE851997:LWE852074 LWE786461:LWE786538 LWE720925:LWE721002 LWE655389:LWE655466 LWE589853:LWE589930 LWE524317:LWE524394 LWE458781:LWE458858 LWE393245:LWE393322 LWE327709:LWE327786 LWE262173:LWE262250 LWE196637:LWE196714 LWE131101:LWE131178 LWE65565:LWE65642 LMI983069:LMI983146 LMI917533:LMI917610 LMI851997:LMI852074 LMI786461:LMI786538 LMI720925:LMI721002 LMI655389:LMI655466 LMI589853:LMI589930 LMI524317:LMI524394 LMI458781:LMI458858 LMI393245:LMI393322 LMI327709:LMI327786 LMI262173:LMI262250 LMI196637:LMI196714 LMI131101:LMI131178 LMI65565:LMI65642 LCM983069:LCM983146 LCM917533:LCM917610 LCM851997:LCM852074 LCM786461:LCM786538 LCM720925:LCM721002 LCM655389:LCM655466 LCM589853:LCM589930 LCM524317:LCM524394 LCM458781:LCM458858 LCM393245:LCM393322 LCM327709:LCM327786 LCM262173:LCM262250 LCM196637:LCM196714 LCM131101:LCM131178 LCM65565:LCM65642 KSQ983069:KSQ983146 KSQ917533:KSQ917610 KSQ851997:KSQ852074 KSQ786461:KSQ786538 KSQ720925:KSQ721002 KSQ655389:KSQ655466 KSQ589853:KSQ589930 KSQ524317:KSQ524394 KSQ458781:KSQ458858 KSQ393245:KSQ393322 KSQ327709:KSQ327786 KSQ262173:KSQ262250 KSQ196637:KSQ196714 KSQ131101:KSQ131178 KSQ65565:KSQ65642 KIU983069:KIU983146 KIU917533:KIU917610 KIU851997:KIU852074 KIU786461:KIU786538 KIU720925:KIU721002 KIU655389:KIU655466 KIU589853:KIU589930 KIU524317:KIU524394 KIU458781:KIU458858 KIU393245:KIU393322 KIU327709:KIU327786 KIU262173:KIU262250 KIU196637:KIU196714 KIU131101:KIU131178 KIU65565:KIU65642 JYY983069:JYY983146 JYY917533:JYY917610 JYY851997:JYY852074 JYY786461:JYY786538 JYY720925:JYY721002 JYY655389:JYY655466 JYY589853:JYY589930 JYY524317:JYY524394 JYY458781:JYY458858 JYY393245:JYY393322 JYY327709:JYY327786 JYY262173:JYY262250 JYY196637:JYY196714 JYY131101:JYY131178 JYY65565:JYY65642 JPC983069:JPC983146 JPC917533:JPC917610 JPC851997:JPC852074 JPC786461:JPC786538 JPC720925:JPC721002 JPC655389:JPC655466 JPC589853:JPC589930 JPC524317:JPC524394 JPC458781:JPC458858 JPC393245:JPC393322 JPC327709:JPC327786 JPC262173:JPC262250 JPC196637:JPC196714 JPC131101:JPC131178 JPC65565:JPC65642 JFG983069:JFG983146 JFG917533:JFG917610 JFG851997:JFG852074 JFG786461:JFG786538 JFG720925:JFG721002 JFG655389:JFG655466 JFG589853:JFG589930 JFG524317:JFG524394 JFG458781:JFG458858 JFG393245:JFG393322 JFG327709:JFG327786 JFG262173:JFG262250 JFG196637:JFG196714 JFG131101:JFG131178 JFG65565:JFG65642 IVK983069:IVK983146 IVK917533:IVK917610 IVK851997:IVK852074 IVK786461:IVK786538 IVK720925:IVK721002 IVK655389:IVK655466 IVK589853:IVK589930 IVK524317:IVK524394 IVK458781:IVK458858 IVK393245:IVK393322 IVK327709:IVK327786 IVK262173:IVK262250 IVK196637:IVK196714 IVK131101:IVK131178 IVK65565:IVK65642 ILO983069:ILO983146 ILO917533:ILO917610 ILO851997:ILO852074 ILO786461:ILO786538 ILO720925:ILO721002 ILO655389:ILO655466 ILO589853:ILO589930 ILO524317:ILO524394 ILO458781:ILO458858 ILO393245:ILO393322 ILO327709:ILO327786 ILO262173:ILO262250 ILO196637:ILO196714 ILO131101:ILO131178 ILO65565:ILO65642 IBS983069:IBS983146 IBS917533:IBS917610 IBS851997:IBS852074 IBS786461:IBS786538 IBS720925:IBS721002 IBS655389:IBS655466 IBS589853:IBS589930 IBS524317:IBS524394 IBS458781:IBS458858 IBS393245:IBS393322 IBS327709:IBS327786 IBS262173:IBS262250 IBS196637:IBS196714 IBS131101:IBS131178 IBS65565:IBS65642 HRW983069:HRW983146 HRW917533:HRW917610 HRW851997:HRW852074 HRW786461:HRW786538 HRW720925:HRW721002 HRW655389:HRW655466 HRW589853:HRW589930 HRW524317:HRW524394 HRW458781:HRW458858 HRW393245:HRW393322 HRW327709:HRW327786 HRW262173:HRW262250 HRW196637:HRW196714 HRW131101:HRW131178 HRW65565:HRW65642 HIA983069:HIA983146 HIA917533:HIA917610 HIA851997:HIA852074 HIA786461:HIA786538 HIA720925:HIA721002 HIA655389:HIA655466 HIA589853:HIA589930 HIA524317:HIA524394 HIA458781:HIA458858 HIA393245:HIA393322 HIA327709:HIA327786 HIA262173:HIA262250 HIA196637:HIA196714 HIA131101:HIA131178 HIA65565:HIA65642 GYE983069:GYE983146 GYE917533:GYE917610 GYE851997:GYE852074 GYE786461:GYE786538 GYE720925:GYE721002 GYE655389:GYE655466 GYE589853:GYE589930 GYE524317:GYE524394 GYE458781:GYE458858 GYE393245:GYE393322 GYE327709:GYE327786 GYE262173:GYE262250 GYE196637:GYE196714 GYE131101:GYE131178 GYE65565:GYE65642 GOI983069:GOI983146 GOI917533:GOI917610 GOI851997:GOI852074 GOI786461:GOI786538 GOI720925:GOI721002 GOI655389:GOI655466 GOI589853:GOI589930 GOI524317:GOI524394 GOI458781:GOI458858 GOI393245:GOI393322 GOI327709:GOI327786 GOI262173:GOI262250 GOI196637:GOI196714 GOI131101:GOI131178 GOI65565:GOI65642 GEM983069:GEM983146 GEM917533:GEM917610 GEM851997:GEM852074 GEM786461:GEM786538 GEM720925:GEM721002 GEM655389:GEM655466 GEM589853:GEM589930 GEM524317:GEM524394 GEM458781:GEM458858 GEM393245:GEM393322 GEM327709:GEM327786 GEM262173:GEM262250 GEM196637:GEM196714 GEM131101:GEM131178 GEM65565:GEM65642 FUQ983069:FUQ983146 FUQ917533:FUQ917610 FUQ851997:FUQ852074 FUQ786461:FUQ786538 FUQ720925:FUQ721002 FUQ655389:FUQ655466 FUQ589853:FUQ589930 FUQ524317:FUQ524394 FUQ458781:FUQ458858 FUQ393245:FUQ393322 FUQ327709:FUQ327786 FUQ262173:FUQ262250 FUQ196637:FUQ196714 FUQ131101:FUQ131178 FUQ65565:FUQ65642 FKU983069:FKU983146 FKU917533:FKU917610 FKU851997:FKU852074 FKU786461:FKU786538 FKU720925:FKU721002 FKU655389:FKU655466 FKU589853:FKU589930 FKU524317:FKU524394 FKU458781:FKU458858 FKU393245:FKU393322 FKU327709:FKU327786 FKU262173:FKU262250 FKU196637:FKU196714 FKU131101:FKU131178 FKU65565:FKU65642 FAY983069:FAY983146 FAY917533:FAY917610 FAY851997:FAY852074 FAY786461:FAY786538 FAY720925:FAY721002 FAY655389:FAY655466 FAY589853:FAY589930 FAY524317:FAY524394 FAY458781:FAY458858 FAY393245:FAY393322 FAY327709:FAY327786 FAY262173:FAY262250 FAY196637:FAY196714 FAY131101:FAY131178 FAY65565:FAY65642 ERC983069:ERC983146 ERC917533:ERC917610 ERC851997:ERC852074 ERC786461:ERC786538 ERC720925:ERC721002 ERC655389:ERC655466 ERC589853:ERC589930 ERC524317:ERC524394 ERC458781:ERC458858 ERC393245:ERC393322 ERC327709:ERC327786 ERC262173:ERC262250 ERC196637:ERC196714 ERC131101:ERC131178 ERC65565:ERC65642 EHG983069:EHG983146 EHG917533:EHG917610 EHG851997:EHG852074 EHG786461:EHG786538 EHG720925:EHG721002 EHG655389:EHG655466 EHG589853:EHG589930 EHG524317:EHG524394 EHG458781:EHG458858 EHG393245:EHG393322 EHG327709:EHG327786 EHG262173:EHG262250 EHG196637:EHG196714 EHG131101:EHG131178 EHG65565:EHG65642 DXK983069:DXK983146 DXK917533:DXK917610 DXK851997:DXK852074 DXK786461:DXK786538 DXK720925:DXK721002 DXK655389:DXK655466 DXK589853:DXK589930 DXK524317:DXK524394 DXK458781:DXK458858 DXK393245:DXK393322 DXK327709:DXK327786 DXK262173:DXK262250 DXK196637:DXK196714 DXK131101:DXK131178 DXK65565:DXK65642 DNO983069:DNO983146 DNO917533:DNO917610 DNO851997:DNO852074 DNO786461:DNO786538 DNO720925:DNO721002 DNO655389:DNO655466 DNO589853:DNO589930 DNO524317:DNO524394 DNO458781:DNO458858 DNO393245:DNO393322 DNO327709:DNO327786 DNO262173:DNO262250 DNO196637:DNO196714 DNO131101:DNO131178 DNO65565:DNO65642 DDS983069:DDS983146 DDS917533:DDS917610 DDS851997:DDS852074 DDS786461:DDS786538 DDS720925:DDS721002 DDS655389:DDS655466 DDS589853:DDS589930 DDS524317:DDS524394 DDS458781:DDS458858 DDS393245:DDS393322 DDS327709:DDS327786 DDS262173:DDS262250 DDS196637:DDS196714 DDS131101:DDS131178 DDS65565:DDS65642 CTW983069:CTW983146 CTW917533:CTW917610 CTW851997:CTW852074 CTW786461:CTW786538 CTW720925:CTW721002 CTW655389:CTW655466 CTW589853:CTW589930 CTW524317:CTW524394 CTW458781:CTW458858 CTW393245:CTW393322 CTW327709:CTW327786 CTW262173:CTW262250 CTW196637:CTW196714 CTW131101:CTW131178 CTW65565:CTW65642 CKA983069:CKA983146 CKA917533:CKA917610 CKA851997:CKA852074 CKA786461:CKA786538 CKA720925:CKA721002 CKA655389:CKA655466 CKA589853:CKA589930 CKA524317:CKA524394 CKA458781:CKA458858 CKA393245:CKA393322 CKA327709:CKA327786 CKA262173:CKA262250 CKA196637:CKA196714 CKA131101:CKA131178 CKA65565:CKA65642 CAE983069:CAE983146 CAE917533:CAE917610 CAE851997:CAE852074 CAE786461:CAE786538 CAE720925:CAE721002 CAE655389:CAE655466 CAE589853:CAE589930 CAE524317:CAE524394 CAE458781:CAE458858 CAE393245:CAE393322 CAE327709:CAE327786 CAE262173:CAE262250 CAE196637:CAE196714 CAE131101:CAE131178 CAE65565:CAE65642 BQI983069:BQI983146 BQI917533:BQI917610 BQI851997:BQI852074 BQI786461:BQI786538 BQI720925:BQI721002 BQI655389:BQI655466 BQI589853:BQI589930 BQI524317:BQI524394 BQI458781:BQI458858 BQI393245:BQI393322 BQI327709:BQI327786 BQI262173:BQI262250 BQI196637:BQI196714 BQI131101:BQI131178 BQI65565:BQI65642 BGM983069:BGM983146 BGM917533:BGM917610 BGM851997:BGM852074 BGM786461:BGM786538 BGM720925:BGM721002 BGM655389:BGM655466 BGM589853:BGM589930 BGM524317:BGM524394 BGM458781:BGM458858 BGM393245:BGM393322 BGM327709:BGM327786 BGM262173:BGM262250 BGM196637:BGM196714 BGM131101:BGM131178 BGM65565:BGM65642 AWQ983069:AWQ983146 AWQ917533:AWQ917610 AWQ851997:AWQ852074 AWQ786461:AWQ786538 AWQ720925:AWQ721002 AWQ655389:AWQ655466 AWQ589853:AWQ589930 AWQ524317:AWQ524394 AWQ458781:AWQ458858 AWQ393245:AWQ393322 AWQ327709:AWQ327786 AWQ262173:AWQ262250 AWQ196637:AWQ196714 AWQ131101:AWQ131178 AWQ65565:AWQ65642 AMU983069:AMU983146 AMU917533:AMU917610 AMU851997:AMU852074 AMU786461:AMU786538 AMU720925:AMU721002 AMU655389:AMU655466 AMU589853:AMU589930 AMU524317:AMU524394 AMU458781:AMU458858 AMU393245:AMU393322 AMU327709:AMU327786 AMU262173:AMU262250 AMU196637:AMU196714 AMU131101:AMU131178 AMU65565:AMU65642 ACY983069:ACY983146 ACY917533:ACY917610 ACY851997:ACY852074 ACY786461:ACY786538 ACY720925:ACY721002 ACY655389:ACY655466 ACY589853:ACY589930 ACY524317:ACY524394 ACY458781:ACY458858 ACY393245:ACY393322 ACY327709:ACY327786 ACY262173:ACY262250 ACY196637:ACY196714 ACY131101:ACY131178 ACY65565:ACY65642 TC983069:TC983146 TC917533:TC917610 TC851997:TC852074 TC786461:TC786538 TC720925:TC721002 TC655389:TC655466 TC589853:TC589930 TC524317:TC524394 TC458781:TC458858 TC393245:TC393322 TC327709:TC327786 TC262173:TC262250 TC196637:TC196714 TC131101:TC131178 TC65565:TC65642 JG983069:JG983146 JG917533:JG917610 JG851997:JG852074 JG786461:JG786538 JG720925:JG721002 JG655389:JG655466 JG589853:JG589930 JG524317:JG524394 JG458781:JG458858 JG393245:JG393322 JG327709:JG327786 JG262173:JG262250 JG196637:JG196714 JG131101:JG131178 JG65565:JG65642 K983069:K983146 K917533:K917610 K851997:K852074 K786461:K786538 K720925:K721002 K655389:K655466 K589853:K589930 K524317:K524394 K458781:K458858 K393245:K393322 K327709:K327786 K262173:K262250 K196637:K196714 K131101:K131178 K65565:K65642 JG2:JG106 TC2:TC106 ACY2:ACY106 AMU2:AMU106 AWQ2:AWQ106 BGM2:BGM106 BQI2:BQI106 CAE2:CAE106 CKA2:CKA106 CTW2:CTW106 DDS2:DDS106 DNO2:DNO106 DXK2:DXK106 EHG2:EHG106 ERC2:ERC106 FAY2:FAY106 FKU2:FKU106 FUQ2:FUQ106 GEM2:GEM106 GOI2:GOI106 GYE2:GYE106 HIA2:HIA106 HRW2:HRW106 IBS2:IBS106 ILO2:ILO106 IVK2:IVK106 JFG2:JFG106 JPC2:JPC106 JYY2:JYY106 KIU2:KIU106 KSQ2:KSQ106 LCM2:LCM106 LMI2:LMI106 LWE2:LWE106 MGA2:MGA106 MPW2:MPW106 MZS2:MZS106 NJO2:NJO106 NTK2:NTK106 ODG2:ODG106 ONC2:ONC106 OWY2:OWY106 PGU2:PGU106 PQQ2:PQQ106 QAM2:QAM106 QKI2:QKI106 QUE2:QUE106 REA2:REA106 RNW2:RNW106 RXS2:RXS106 SHO2:SHO106 SRK2:SRK106 TBG2:TBG106 TLC2:TLC106 TUY2:TUY106 UEU2:UEU106 UOQ2:UOQ106 UYM2:UYM106 VII2:VII106 VSE2:VSE106 WCA2:WCA106 WLW2:WLW106 WVS2:WVS106" xr:uid="{75B62CD5-7A83-47F1-98ED-7E7A1A813010}">
      <formula1>$AR$2:$AR$28</formula1>
    </dataValidation>
    <dataValidation type="list" allowBlank="1" showInputMessage="1" showErrorMessage="1" sqref="I65565:I65642 I131101:I131178 WVQ983069:WVQ983146 WVQ917533:WVQ917610 WVQ851997:WVQ852074 WVQ786461:WVQ786538 WVQ720925:WVQ721002 WVQ655389:WVQ655466 WVQ589853:WVQ589930 WVQ524317:WVQ524394 WVQ458781:WVQ458858 WVQ393245:WVQ393322 WVQ327709:WVQ327786 WVQ262173:WVQ262250 WVQ196637:WVQ196714 WVQ131101:WVQ131178 WVQ65565:WVQ65642 WLU983069:WLU983146 WLU917533:WLU917610 WLU851997:WLU852074 WLU786461:WLU786538 WLU720925:WLU721002 WLU655389:WLU655466 WLU589853:WLU589930 WLU524317:WLU524394 WLU458781:WLU458858 WLU393245:WLU393322 WLU327709:WLU327786 WLU262173:WLU262250 WLU196637:WLU196714 WLU131101:WLU131178 WLU65565:WLU65642 WBY983069:WBY983146 WBY917533:WBY917610 WBY851997:WBY852074 WBY786461:WBY786538 WBY720925:WBY721002 WBY655389:WBY655466 WBY589853:WBY589930 WBY524317:WBY524394 WBY458781:WBY458858 WBY393245:WBY393322 WBY327709:WBY327786 WBY262173:WBY262250 WBY196637:WBY196714 WBY131101:WBY131178 WBY65565:WBY65642 VSC983069:VSC983146 VSC917533:VSC917610 VSC851997:VSC852074 VSC786461:VSC786538 VSC720925:VSC721002 VSC655389:VSC655466 VSC589853:VSC589930 VSC524317:VSC524394 VSC458781:VSC458858 VSC393245:VSC393322 VSC327709:VSC327786 VSC262173:VSC262250 VSC196637:VSC196714 VSC131101:VSC131178 VSC65565:VSC65642 VIG983069:VIG983146 VIG917533:VIG917610 VIG851997:VIG852074 VIG786461:VIG786538 VIG720925:VIG721002 VIG655389:VIG655466 VIG589853:VIG589930 VIG524317:VIG524394 VIG458781:VIG458858 VIG393245:VIG393322 VIG327709:VIG327786 VIG262173:VIG262250 VIG196637:VIG196714 VIG131101:VIG131178 VIG65565:VIG65642 UYK983069:UYK983146 UYK917533:UYK917610 UYK851997:UYK852074 UYK786461:UYK786538 UYK720925:UYK721002 UYK655389:UYK655466 UYK589853:UYK589930 UYK524317:UYK524394 UYK458781:UYK458858 UYK393245:UYK393322 UYK327709:UYK327786 UYK262173:UYK262250 UYK196637:UYK196714 UYK131101:UYK131178 UYK65565:UYK65642 UOO983069:UOO983146 UOO917533:UOO917610 UOO851997:UOO852074 UOO786461:UOO786538 UOO720925:UOO721002 UOO655389:UOO655466 UOO589853:UOO589930 UOO524317:UOO524394 UOO458781:UOO458858 UOO393245:UOO393322 UOO327709:UOO327786 UOO262173:UOO262250 UOO196637:UOO196714 UOO131101:UOO131178 UOO65565:UOO65642 UES983069:UES983146 UES917533:UES917610 UES851997:UES852074 UES786461:UES786538 UES720925:UES721002 UES655389:UES655466 UES589853:UES589930 UES524317:UES524394 UES458781:UES458858 UES393245:UES393322 UES327709:UES327786 UES262173:UES262250 UES196637:UES196714 UES131101:UES131178 UES65565:UES65642 TUW983069:TUW983146 TUW917533:TUW917610 TUW851997:TUW852074 TUW786461:TUW786538 TUW720925:TUW721002 TUW655389:TUW655466 TUW589853:TUW589930 TUW524317:TUW524394 TUW458781:TUW458858 TUW393245:TUW393322 TUW327709:TUW327786 TUW262173:TUW262250 TUW196637:TUW196714 TUW131101:TUW131178 TUW65565:TUW65642 TLA983069:TLA983146 TLA917533:TLA917610 TLA851997:TLA852074 TLA786461:TLA786538 TLA720925:TLA721002 TLA655389:TLA655466 TLA589853:TLA589930 TLA524317:TLA524394 TLA458781:TLA458858 TLA393245:TLA393322 TLA327709:TLA327786 TLA262173:TLA262250 TLA196637:TLA196714 TLA131101:TLA131178 TLA65565:TLA65642 TBE983069:TBE983146 TBE917533:TBE917610 TBE851997:TBE852074 TBE786461:TBE786538 TBE720925:TBE721002 TBE655389:TBE655466 TBE589853:TBE589930 TBE524317:TBE524394 TBE458781:TBE458858 TBE393245:TBE393322 TBE327709:TBE327786 TBE262173:TBE262250 TBE196637:TBE196714 TBE131101:TBE131178 TBE65565:TBE65642 SRI983069:SRI983146 SRI917533:SRI917610 SRI851997:SRI852074 SRI786461:SRI786538 SRI720925:SRI721002 SRI655389:SRI655466 SRI589853:SRI589930 SRI524317:SRI524394 SRI458781:SRI458858 SRI393245:SRI393322 SRI327709:SRI327786 SRI262173:SRI262250 SRI196637:SRI196714 SRI131101:SRI131178 SRI65565:SRI65642 SHM983069:SHM983146 SHM917533:SHM917610 SHM851997:SHM852074 SHM786461:SHM786538 SHM720925:SHM721002 SHM655389:SHM655466 SHM589853:SHM589930 SHM524317:SHM524394 SHM458781:SHM458858 SHM393245:SHM393322 SHM327709:SHM327786 SHM262173:SHM262250 SHM196637:SHM196714 SHM131101:SHM131178 SHM65565:SHM65642 RXQ983069:RXQ983146 RXQ917533:RXQ917610 RXQ851997:RXQ852074 RXQ786461:RXQ786538 RXQ720925:RXQ721002 RXQ655389:RXQ655466 RXQ589853:RXQ589930 RXQ524317:RXQ524394 RXQ458781:RXQ458858 RXQ393245:RXQ393322 RXQ327709:RXQ327786 RXQ262173:RXQ262250 RXQ196637:RXQ196714 RXQ131101:RXQ131178 RXQ65565:RXQ65642 RNU983069:RNU983146 RNU917533:RNU917610 RNU851997:RNU852074 RNU786461:RNU786538 RNU720925:RNU721002 RNU655389:RNU655466 RNU589853:RNU589930 RNU524317:RNU524394 RNU458781:RNU458858 RNU393245:RNU393322 RNU327709:RNU327786 RNU262173:RNU262250 RNU196637:RNU196714 RNU131101:RNU131178 RNU65565:RNU65642 RDY983069:RDY983146 RDY917533:RDY917610 RDY851997:RDY852074 RDY786461:RDY786538 RDY720925:RDY721002 RDY655389:RDY655466 RDY589853:RDY589930 RDY524317:RDY524394 RDY458781:RDY458858 RDY393245:RDY393322 RDY327709:RDY327786 RDY262173:RDY262250 RDY196637:RDY196714 RDY131101:RDY131178 RDY65565:RDY65642 QUC983069:QUC983146 QUC917533:QUC917610 QUC851997:QUC852074 QUC786461:QUC786538 QUC720925:QUC721002 QUC655389:QUC655466 QUC589853:QUC589930 QUC524317:QUC524394 QUC458781:QUC458858 QUC393245:QUC393322 QUC327709:QUC327786 QUC262173:QUC262250 QUC196637:QUC196714 QUC131101:QUC131178 QUC65565:QUC65642 QKG983069:QKG983146 QKG917533:QKG917610 QKG851997:QKG852074 QKG786461:QKG786538 QKG720925:QKG721002 QKG655389:QKG655466 QKG589853:QKG589930 QKG524317:QKG524394 QKG458781:QKG458858 QKG393245:QKG393322 QKG327709:QKG327786 QKG262173:QKG262250 QKG196637:QKG196714 QKG131101:QKG131178 QKG65565:QKG65642 QAK983069:QAK983146 QAK917533:QAK917610 QAK851997:QAK852074 QAK786461:QAK786538 QAK720925:QAK721002 QAK655389:QAK655466 QAK589853:QAK589930 QAK524317:QAK524394 QAK458781:QAK458858 QAK393245:QAK393322 QAK327709:QAK327786 QAK262173:QAK262250 QAK196637:QAK196714 QAK131101:QAK131178 QAK65565:QAK65642 PQO983069:PQO983146 PQO917533:PQO917610 PQO851997:PQO852074 PQO786461:PQO786538 PQO720925:PQO721002 PQO655389:PQO655466 PQO589853:PQO589930 PQO524317:PQO524394 PQO458781:PQO458858 PQO393245:PQO393322 PQO327709:PQO327786 PQO262173:PQO262250 PQO196637:PQO196714 PQO131101:PQO131178 PQO65565:PQO65642 PGS983069:PGS983146 PGS917533:PGS917610 PGS851997:PGS852074 PGS786461:PGS786538 PGS720925:PGS721002 PGS655389:PGS655466 PGS589853:PGS589930 PGS524317:PGS524394 PGS458781:PGS458858 PGS393245:PGS393322 PGS327709:PGS327786 PGS262173:PGS262250 PGS196637:PGS196714 PGS131101:PGS131178 PGS65565:PGS65642 OWW983069:OWW983146 OWW917533:OWW917610 OWW851997:OWW852074 OWW786461:OWW786538 OWW720925:OWW721002 OWW655389:OWW655466 OWW589853:OWW589930 OWW524317:OWW524394 OWW458781:OWW458858 OWW393245:OWW393322 OWW327709:OWW327786 OWW262173:OWW262250 OWW196637:OWW196714 OWW131101:OWW131178 OWW65565:OWW65642 ONA983069:ONA983146 ONA917533:ONA917610 ONA851997:ONA852074 ONA786461:ONA786538 ONA720925:ONA721002 ONA655389:ONA655466 ONA589853:ONA589930 ONA524317:ONA524394 ONA458781:ONA458858 ONA393245:ONA393322 ONA327709:ONA327786 ONA262173:ONA262250 ONA196637:ONA196714 ONA131101:ONA131178 ONA65565:ONA65642 ODE983069:ODE983146 ODE917533:ODE917610 ODE851997:ODE852074 ODE786461:ODE786538 ODE720925:ODE721002 ODE655389:ODE655466 ODE589853:ODE589930 ODE524317:ODE524394 ODE458781:ODE458858 ODE393245:ODE393322 ODE327709:ODE327786 ODE262173:ODE262250 ODE196637:ODE196714 ODE131101:ODE131178 ODE65565:ODE65642 NTI983069:NTI983146 NTI917533:NTI917610 NTI851997:NTI852074 NTI786461:NTI786538 NTI720925:NTI721002 NTI655389:NTI655466 NTI589853:NTI589930 NTI524317:NTI524394 NTI458781:NTI458858 NTI393245:NTI393322 NTI327709:NTI327786 NTI262173:NTI262250 NTI196637:NTI196714 NTI131101:NTI131178 NTI65565:NTI65642 NJM983069:NJM983146 NJM917533:NJM917610 NJM851997:NJM852074 NJM786461:NJM786538 NJM720925:NJM721002 NJM655389:NJM655466 NJM589853:NJM589930 NJM524317:NJM524394 NJM458781:NJM458858 NJM393245:NJM393322 NJM327709:NJM327786 NJM262173:NJM262250 NJM196637:NJM196714 NJM131101:NJM131178 NJM65565:NJM65642 MZQ983069:MZQ983146 MZQ917533:MZQ917610 MZQ851997:MZQ852074 MZQ786461:MZQ786538 MZQ720925:MZQ721002 MZQ655389:MZQ655466 MZQ589853:MZQ589930 MZQ524317:MZQ524394 MZQ458781:MZQ458858 MZQ393245:MZQ393322 MZQ327709:MZQ327786 MZQ262173:MZQ262250 MZQ196637:MZQ196714 MZQ131101:MZQ131178 MZQ65565:MZQ65642 MPU983069:MPU983146 MPU917533:MPU917610 MPU851997:MPU852074 MPU786461:MPU786538 MPU720925:MPU721002 MPU655389:MPU655466 MPU589853:MPU589930 MPU524317:MPU524394 MPU458781:MPU458858 MPU393245:MPU393322 MPU327709:MPU327786 MPU262173:MPU262250 MPU196637:MPU196714 MPU131101:MPU131178 MPU65565:MPU65642 MFY983069:MFY983146 MFY917533:MFY917610 MFY851997:MFY852074 MFY786461:MFY786538 MFY720925:MFY721002 MFY655389:MFY655466 MFY589853:MFY589930 MFY524317:MFY524394 MFY458781:MFY458858 MFY393245:MFY393322 MFY327709:MFY327786 MFY262173:MFY262250 MFY196637:MFY196714 MFY131101:MFY131178 MFY65565:MFY65642 LWC983069:LWC983146 LWC917533:LWC917610 LWC851997:LWC852074 LWC786461:LWC786538 LWC720925:LWC721002 LWC655389:LWC655466 LWC589853:LWC589930 LWC524317:LWC524394 LWC458781:LWC458858 LWC393245:LWC393322 LWC327709:LWC327786 LWC262173:LWC262250 LWC196637:LWC196714 LWC131101:LWC131178 LWC65565:LWC65642 LMG983069:LMG983146 LMG917533:LMG917610 LMG851997:LMG852074 LMG786461:LMG786538 LMG720925:LMG721002 LMG655389:LMG655466 LMG589853:LMG589930 LMG524317:LMG524394 LMG458781:LMG458858 LMG393245:LMG393322 LMG327709:LMG327786 LMG262173:LMG262250 LMG196637:LMG196714 LMG131101:LMG131178 LMG65565:LMG65642 LCK983069:LCK983146 LCK917533:LCK917610 LCK851997:LCK852074 LCK786461:LCK786538 LCK720925:LCK721002 LCK655389:LCK655466 LCK589853:LCK589930 LCK524317:LCK524394 LCK458781:LCK458858 LCK393245:LCK393322 LCK327709:LCK327786 LCK262173:LCK262250 LCK196637:LCK196714 LCK131101:LCK131178 LCK65565:LCK65642 KSO983069:KSO983146 KSO917533:KSO917610 KSO851997:KSO852074 KSO786461:KSO786538 KSO720925:KSO721002 KSO655389:KSO655466 KSO589853:KSO589930 KSO524317:KSO524394 KSO458781:KSO458858 KSO393245:KSO393322 KSO327709:KSO327786 KSO262173:KSO262250 KSO196637:KSO196714 KSO131101:KSO131178 KSO65565:KSO65642 KIS983069:KIS983146 KIS917533:KIS917610 KIS851997:KIS852074 KIS786461:KIS786538 KIS720925:KIS721002 KIS655389:KIS655466 KIS589853:KIS589930 KIS524317:KIS524394 KIS458781:KIS458858 KIS393245:KIS393322 KIS327709:KIS327786 KIS262173:KIS262250 KIS196637:KIS196714 KIS131101:KIS131178 KIS65565:KIS65642 JYW983069:JYW983146 JYW917533:JYW917610 JYW851997:JYW852074 JYW786461:JYW786538 JYW720925:JYW721002 JYW655389:JYW655466 JYW589853:JYW589930 JYW524317:JYW524394 JYW458781:JYW458858 JYW393245:JYW393322 JYW327709:JYW327786 JYW262173:JYW262250 JYW196637:JYW196714 JYW131101:JYW131178 JYW65565:JYW65642 JPA983069:JPA983146 JPA917533:JPA917610 JPA851997:JPA852074 JPA786461:JPA786538 JPA720925:JPA721002 JPA655389:JPA655466 JPA589853:JPA589930 JPA524317:JPA524394 JPA458781:JPA458858 JPA393245:JPA393322 JPA327709:JPA327786 JPA262173:JPA262250 JPA196637:JPA196714 JPA131101:JPA131178 JPA65565:JPA65642 JFE983069:JFE983146 JFE917533:JFE917610 JFE851997:JFE852074 JFE786461:JFE786538 JFE720925:JFE721002 JFE655389:JFE655466 JFE589853:JFE589930 JFE524317:JFE524394 JFE458781:JFE458858 JFE393245:JFE393322 JFE327709:JFE327786 JFE262173:JFE262250 JFE196637:JFE196714 JFE131101:JFE131178 JFE65565:JFE65642 IVI983069:IVI983146 IVI917533:IVI917610 IVI851997:IVI852074 IVI786461:IVI786538 IVI720925:IVI721002 IVI655389:IVI655466 IVI589853:IVI589930 IVI524317:IVI524394 IVI458781:IVI458858 IVI393245:IVI393322 IVI327709:IVI327786 IVI262173:IVI262250 IVI196637:IVI196714 IVI131101:IVI131178 IVI65565:IVI65642 ILM983069:ILM983146 ILM917533:ILM917610 ILM851997:ILM852074 ILM786461:ILM786538 ILM720925:ILM721002 ILM655389:ILM655466 ILM589853:ILM589930 ILM524317:ILM524394 ILM458781:ILM458858 ILM393245:ILM393322 ILM327709:ILM327786 ILM262173:ILM262250 ILM196637:ILM196714 ILM131101:ILM131178 ILM65565:ILM65642 IBQ983069:IBQ983146 IBQ917533:IBQ917610 IBQ851997:IBQ852074 IBQ786461:IBQ786538 IBQ720925:IBQ721002 IBQ655389:IBQ655466 IBQ589853:IBQ589930 IBQ524317:IBQ524394 IBQ458781:IBQ458858 IBQ393245:IBQ393322 IBQ327709:IBQ327786 IBQ262173:IBQ262250 IBQ196637:IBQ196714 IBQ131101:IBQ131178 IBQ65565:IBQ65642 HRU983069:HRU983146 HRU917533:HRU917610 HRU851997:HRU852074 HRU786461:HRU786538 HRU720925:HRU721002 HRU655389:HRU655466 HRU589853:HRU589930 HRU524317:HRU524394 HRU458781:HRU458858 HRU393245:HRU393322 HRU327709:HRU327786 HRU262173:HRU262250 HRU196637:HRU196714 HRU131101:HRU131178 HRU65565:HRU65642 HHY983069:HHY983146 HHY917533:HHY917610 HHY851997:HHY852074 HHY786461:HHY786538 HHY720925:HHY721002 HHY655389:HHY655466 HHY589853:HHY589930 HHY524317:HHY524394 HHY458781:HHY458858 HHY393245:HHY393322 HHY327709:HHY327786 HHY262173:HHY262250 HHY196637:HHY196714 HHY131101:HHY131178 HHY65565:HHY65642 GYC983069:GYC983146 GYC917533:GYC917610 GYC851997:GYC852074 GYC786461:GYC786538 GYC720925:GYC721002 GYC655389:GYC655466 GYC589853:GYC589930 GYC524317:GYC524394 GYC458781:GYC458858 GYC393245:GYC393322 GYC327709:GYC327786 GYC262173:GYC262250 GYC196637:GYC196714 GYC131101:GYC131178 GYC65565:GYC65642 GOG983069:GOG983146 GOG917533:GOG917610 GOG851997:GOG852074 GOG786461:GOG786538 GOG720925:GOG721002 GOG655389:GOG655466 GOG589853:GOG589930 GOG524317:GOG524394 GOG458781:GOG458858 GOG393245:GOG393322 GOG327709:GOG327786 GOG262173:GOG262250 GOG196637:GOG196714 GOG131101:GOG131178 GOG65565:GOG65642 GEK983069:GEK983146 GEK917533:GEK917610 GEK851997:GEK852074 GEK786461:GEK786538 GEK720925:GEK721002 GEK655389:GEK655466 GEK589853:GEK589930 GEK524317:GEK524394 GEK458781:GEK458858 GEK393245:GEK393322 GEK327709:GEK327786 GEK262173:GEK262250 GEK196637:GEK196714 GEK131101:GEK131178 GEK65565:GEK65642 FUO983069:FUO983146 FUO917533:FUO917610 FUO851997:FUO852074 FUO786461:FUO786538 FUO720925:FUO721002 FUO655389:FUO655466 FUO589853:FUO589930 FUO524317:FUO524394 FUO458781:FUO458858 FUO393245:FUO393322 FUO327709:FUO327786 FUO262173:FUO262250 FUO196637:FUO196714 FUO131101:FUO131178 FUO65565:FUO65642 FKS983069:FKS983146 FKS917533:FKS917610 FKS851997:FKS852074 FKS786461:FKS786538 FKS720925:FKS721002 FKS655389:FKS655466 FKS589853:FKS589930 FKS524317:FKS524394 FKS458781:FKS458858 FKS393245:FKS393322 FKS327709:FKS327786 FKS262173:FKS262250 FKS196637:FKS196714 FKS131101:FKS131178 FKS65565:FKS65642 FAW983069:FAW983146 FAW917533:FAW917610 FAW851997:FAW852074 FAW786461:FAW786538 FAW720925:FAW721002 FAW655389:FAW655466 FAW589853:FAW589930 FAW524317:FAW524394 FAW458781:FAW458858 FAW393245:FAW393322 FAW327709:FAW327786 FAW262173:FAW262250 FAW196637:FAW196714 FAW131101:FAW131178 FAW65565:FAW65642 ERA983069:ERA983146 ERA917533:ERA917610 ERA851997:ERA852074 ERA786461:ERA786538 ERA720925:ERA721002 ERA655389:ERA655466 ERA589853:ERA589930 ERA524317:ERA524394 ERA458781:ERA458858 ERA393245:ERA393322 ERA327709:ERA327786 ERA262173:ERA262250 ERA196637:ERA196714 ERA131101:ERA131178 ERA65565:ERA65642 EHE983069:EHE983146 EHE917533:EHE917610 EHE851997:EHE852074 EHE786461:EHE786538 EHE720925:EHE721002 EHE655389:EHE655466 EHE589853:EHE589930 EHE524317:EHE524394 EHE458781:EHE458858 EHE393245:EHE393322 EHE327709:EHE327786 EHE262173:EHE262250 EHE196637:EHE196714 EHE131101:EHE131178 EHE65565:EHE65642 DXI983069:DXI983146 DXI917533:DXI917610 DXI851997:DXI852074 DXI786461:DXI786538 DXI720925:DXI721002 DXI655389:DXI655466 DXI589853:DXI589930 DXI524317:DXI524394 DXI458781:DXI458858 DXI393245:DXI393322 DXI327709:DXI327786 DXI262173:DXI262250 DXI196637:DXI196714 DXI131101:DXI131178 DXI65565:DXI65642 DNM983069:DNM983146 DNM917533:DNM917610 DNM851997:DNM852074 DNM786461:DNM786538 DNM720925:DNM721002 DNM655389:DNM655466 DNM589853:DNM589930 DNM524317:DNM524394 DNM458781:DNM458858 DNM393245:DNM393322 DNM327709:DNM327786 DNM262173:DNM262250 DNM196637:DNM196714 DNM131101:DNM131178 DNM65565:DNM65642 DDQ983069:DDQ983146 DDQ917533:DDQ917610 DDQ851997:DDQ852074 DDQ786461:DDQ786538 DDQ720925:DDQ721002 DDQ655389:DDQ655466 DDQ589853:DDQ589930 DDQ524317:DDQ524394 DDQ458781:DDQ458858 DDQ393245:DDQ393322 DDQ327709:DDQ327786 DDQ262173:DDQ262250 DDQ196637:DDQ196714 DDQ131101:DDQ131178 DDQ65565:DDQ65642 CTU983069:CTU983146 CTU917533:CTU917610 CTU851997:CTU852074 CTU786461:CTU786538 CTU720925:CTU721002 CTU655389:CTU655466 CTU589853:CTU589930 CTU524317:CTU524394 CTU458781:CTU458858 CTU393245:CTU393322 CTU327709:CTU327786 CTU262173:CTU262250 CTU196637:CTU196714 CTU131101:CTU131178 CTU65565:CTU65642 CJY983069:CJY983146 CJY917533:CJY917610 CJY851997:CJY852074 CJY786461:CJY786538 CJY720925:CJY721002 CJY655389:CJY655466 CJY589853:CJY589930 CJY524317:CJY524394 CJY458781:CJY458858 CJY393245:CJY393322 CJY327709:CJY327786 CJY262173:CJY262250 CJY196637:CJY196714 CJY131101:CJY131178 CJY65565:CJY65642 CAC983069:CAC983146 CAC917533:CAC917610 CAC851997:CAC852074 CAC786461:CAC786538 CAC720925:CAC721002 CAC655389:CAC655466 CAC589853:CAC589930 CAC524317:CAC524394 CAC458781:CAC458858 CAC393245:CAC393322 CAC327709:CAC327786 CAC262173:CAC262250 CAC196637:CAC196714 CAC131101:CAC131178 CAC65565:CAC65642 BQG983069:BQG983146 BQG917533:BQG917610 BQG851997:BQG852074 BQG786461:BQG786538 BQG720925:BQG721002 BQG655389:BQG655466 BQG589853:BQG589930 BQG524317:BQG524394 BQG458781:BQG458858 BQG393245:BQG393322 BQG327709:BQG327786 BQG262173:BQG262250 BQG196637:BQG196714 BQG131101:BQG131178 BQG65565:BQG65642 BGK983069:BGK983146 BGK917533:BGK917610 BGK851997:BGK852074 BGK786461:BGK786538 BGK720925:BGK721002 BGK655389:BGK655466 BGK589853:BGK589930 BGK524317:BGK524394 BGK458781:BGK458858 BGK393245:BGK393322 BGK327709:BGK327786 BGK262173:BGK262250 BGK196637:BGK196714 BGK131101:BGK131178 BGK65565:BGK65642 AWO983069:AWO983146 AWO917533:AWO917610 AWO851997:AWO852074 AWO786461:AWO786538 AWO720925:AWO721002 AWO655389:AWO655466 AWO589853:AWO589930 AWO524317:AWO524394 AWO458781:AWO458858 AWO393245:AWO393322 AWO327709:AWO327786 AWO262173:AWO262250 AWO196637:AWO196714 AWO131101:AWO131178 AWO65565:AWO65642 AMS983069:AMS983146 AMS917533:AMS917610 AMS851997:AMS852074 AMS786461:AMS786538 AMS720925:AMS721002 AMS655389:AMS655466 AMS589853:AMS589930 AMS524317:AMS524394 AMS458781:AMS458858 AMS393245:AMS393322 AMS327709:AMS327786 AMS262173:AMS262250 AMS196637:AMS196714 AMS131101:AMS131178 AMS65565:AMS65642 ACW983069:ACW983146 ACW917533:ACW917610 ACW851997:ACW852074 ACW786461:ACW786538 ACW720925:ACW721002 ACW655389:ACW655466 ACW589853:ACW589930 ACW524317:ACW524394 ACW458781:ACW458858 ACW393245:ACW393322 ACW327709:ACW327786 ACW262173:ACW262250 ACW196637:ACW196714 ACW131101:ACW131178 ACW65565:ACW65642 TA983069:TA983146 TA917533:TA917610 TA851997:TA852074 TA786461:TA786538 TA720925:TA721002 TA655389:TA655466 TA589853:TA589930 TA524317:TA524394 TA458781:TA458858 TA393245:TA393322 TA327709:TA327786 TA262173:TA262250 TA196637:TA196714 TA131101:TA131178 TA65565:TA65642 JE983069:JE983146 JE917533:JE917610 JE851997:JE852074 JE786461:JE786538 JE720925:JE721002 JE655389:JE655466 JE589853:JE589930 JE524317:JE524394 JE458781:JE458858 JE393245:JE393322 JE327709:JE327786 JE262173:JE262250 JE196637:JE196714 JE131101:JE131178 JE65565:JE65642 I983069:I983146 I917533:I917610 I851997:I852074 I786461:I786538 I720925:I721002 I655389:I655466 I589853:I589930 I524317:I524394 I458781:I458858 I393245:I393322 I327709:I327786 I262173:I262250 I196637:I196714 JE2:JE106 WVQ2:WVQ106 WLU2:WLU106 WBY2:WBY106 VSC2:VSC106 VIG2:VIG106 UYK2:UYK106 UOO2:UOO106 UES2:UES106 TUW2:TUW106 TLA2:TLA106 TBE2:TBE106 SRI2:SRI106 SHM2:SHM106 RXQ2:RXQ106 RNU2:RNU106 RDY2:RDY106 QUC2:QUC106 QKG2:QKG106 QAK2:QAK106 PQO2:PQO106 PGS2:PGS106 OWW2:OWW106 ONA2:ONA106 ODE2:ODE106 NTI2:NTI106 NJM2:NJM106 MZQ2:MZQ106 MPU2:MPU106 MFY2:MFY106 LWC2:LWC106 LMG2:LMG106 LCK2:LCK106 KSO2:KSO106 KIS2:KIS106 JYW2:JYW106 JPA2:JPA106 JFE2:JFE106 IVI2:IVI106 ILM2:ILM106 IBQ2:IBQ106 HRU2:HRU106 HHY2:HHY106 GYC2:GYC106 GOG2:GOG106 GEK2:GEK106 FUO2:FUO106 FKS2:FKS106 FAW2:FAW106 ERA2:ERA106 EHE2:EHE106 DXI2:DXI106 DNM2:DNM106 DDQ2:DDQ106 CTU2:CTU106 CJY2:CJY106 CAC2:CAC106 BQG2:BQG106 BGK2:BGK106 AWO2:AWO106 AMS2:AMS106 ACW2:ACW106 TA2:TA106 I2:I527" xr:uid="{B117FD15-56FC-44F9-8852-B107204AA097}">
      <formula1>$AN$8:$AN$9</formula1>
    </dataValidation>
    <dataValidation type="list" allowBlank="1" showInputMessage="1" showErrorMessage="1" sqref="WVR983069:WVR983146 WVR917533:WVR917610 WVR851997:WVR852074 WVR786461:WVR786538 WVR720925:WVR721002 WVR655389:WVR655466 WVR589853:WVR589930 WVR524317:WVR524394 WVR458781:WVR458858 WVR393245:WVR393322 WVR327709:WVR327786 WVR262173:WVR262250 WVR196637:WVR196714 WVR131101:WVR131178 WVR65565:WVR65642 WLV983069:WLV983146 WLV917533:WLV917610 WLV851997:WLV852074 WLV786461:WLV786538 WLV720925:WLV721002 WLV655389:WLV655466 WLV589853:WLV589930 WLV524317:WLV524394 WLV458781:WLV458858 WLV393245:WLV393322 WLV327709:WLV327786 WLV262173:WLV262250 WLV196637:WLV196714 WLV131101:WLV131178 WLV65565:WLV65642 WBZ983069:WBZ983146 WBZ917533:WBZ917610 WBZ851997:WBZ852074 WBZ786461:WBZ786538 WBZ720925:WBZ721002 WBZ655389:WBZ655466 WBZ589853:WBZ589930 WBZ524317:WBZ524394 WBZ458781:WBZ458858 WBZ393245:WBZ393322 WBZ327709:WBZ327786 WBZ262173:WBZ262250 WBZ196637:WBZ196714 WBZ131101:WBZ131178 WBZ65565:WBZ65642 VSD983069:VSD983146 VSD917533:VSD917610 VSD851997:VSD852074 VSD786461:VSD786538 VSD720925:VSD721002 VSD655389:VSD655466 VSD589853:VSD589930 VSD524317:VSD524394 VSD458781:VSD458858 VSD393245:VSD393322 VSD327709:VSD327786 VSD262173:VSD262250 VSD196637:VSD196714 VSD131101:VSD131178 VSD65565:VSD65642 VIH983069:VIH983146 VIH917533:VIH917610 VIH851997:VIH852074 VIH786461:VIH786538 VIH720925:VIH721002 VIH655389:VIH655466 VIH589853:VIH589930 VIH524317:VIH524394 VIH458781:VIH458858 VIH393245:VIH393322 VIH327709:VIH327786 VIH262173:VIH262250 VIH196637:VIH196714 VIH131101:VIH131178 VIH65565:VIH65642 UYL983069:UYL983146 UYL917533:UYL917610 UYL851997:UYL852074 UYL786461:UYL786538 UYL720925:UYL721002 UYL655389:UYL655466 UYL589853:UYL589930 UYL524317:UYL524394 UYL458781:UYL458858 UYL393245:UYL393322 UYL327709:UYL327786 UYL262173:UYL262250 UYL196637:UYL196714 UYL131101:UYL131178 UYL65565:UYL65642 UOP983069:UOP983146 UOP917533:UOP917610 UOP851997:UOP852074 UOP786461:UOP786538 UOP720925:UOP721002 UOP655389:UOP655466 UOP589853:UOP589930 UOP524317:UOP524394 UOP458781:UOP458858 UOP393245:UOP393322 UOP327709:UOP327786 UOP262173:UOP262250 UOP196637:UOP196714 UOP131101:UOP131178 UOP65565:UOP65642 UET983069:UET983146 UET917533:UET917610 UET851997:UET852074 UET786461:UET786538 UET720925:UET721002 UET655389:UET655466 UET589853:UET589930 UET524317:UET524394 UET458781:UET458858 UET393245:UET393322 UET327709:UET327786 UET262173:UET262250 UET196637:UET196714 UET131101:UET131178 UET65565:UET65642 TUX983069:TUX983146 TUX917533:TUX917610 TUX851997:TUX852074 TUX786461:TUX786538 TUX720925:TUX721002 TUX655389:TUX655466 TUX589853:TUX589930 TUX524317:TUX524394 TUX458781:TUX458858 TUX393245:TUX393322 TUX327709:TUX327786 TUX262173:TUX262250 TUX196637:TUX196714 TUX131101:TUX131178 TUX65565:TUX65642 TLB983069:TLB983146 TLB917533:TLB917610 TLB851997:TLB852074 TLB786461:TLB786538 TLB720925:TLB721002 TLB655389:TLB655466 TLB589853:TLB589930 TLB524317:TLB524394 TLB458781:TLB458858 TLB393245:TLB393322 TLB327709:TLB327786 TLB262173:TLB262250 TLB196637:TLB196714 TLB131101:TLB131178 TLB65565:TLB65642 TBF983069:TBF983146 TBF917533:TBF917610 TBF851997:TBF852074 TBF786461:TBF786538 TBF720925:TBF721002 TBF655389:TBF655466 TBF589853:TBF589930 TBF524317:TBF524394 TBF458781:TBF458858 TBF393245:TBF393322 TBF327709:TBF327786 TBF262173:TBF262250 TBF196637:TBF196714 TBF131101:TBF131178 TBF65565:TBF65642 SRJ983069:SRJ983146 SRJ917533:SRJ917610 SRJ851997:SRJ852074 SRJ786461:SRJ786538 SRJ720925:SRJ721002 SRJ655389:SRJ655466 SRJ589853:SRJ589930 SRJ524317:SRJ524394 SRJ458781:SRJ458858 SRJ393245:SRJ393322 SRJ327709:SRJ327786 SRJ262173:SRJ262250 SRJ196637:SRJ196714 SRJ131101:SRJ131178 SRJ65565:SRJ65642 SHN983069:SHN983146 SHN917533:SHN917610 SHN851997:SHN852074 SHN786461:SHN786538 SHN720925:SHN721002 SHN655389:SHN655466 SHN589853:SHN589930 SHN524317:SHN524394 SHN458781:SHN458858 SHN393245:SHN393322 SHN327709:SHN327786 SHN262173:SHN262250 SHN196637:SHN196714 SHN131101:SHN131178 SHN65565:SHN65642 RXR983069:RXR983146 RXR917533:RXR917610 RXR851997:RXR852074 RXR786461:RXR786538 RXR720925:RXR721002 RXR655389:RXR655466 RXR589853:RXR589930 RXR524317:RXR524394 RXR458781:RXR458858 RXR393245:RXR393322 RXR327709:RXR327786 RXR262173:RXR262250 RXR196637:RXR196714 RXR131101:RXR131178 RXR65565:RXR65642 RNV983069:RNV983146 RNV917533:RNV917610 RNV851997:RNV852074 RNV786461:RNV786538 RNV720925:RNV721002 RNV655389:RNV655466 RNV589853:RNV589930 RNV524317:RNV524394 RNV458781:RNV458858 RNV393245:RNV393322 RNV327709:RNV327786 RNV262173:RNV262250 RNV196637:RNV196714 RNV131101:RNV131178 RNV65565:RNV65642 RDZ983069:RDZ983146 RDZ917533:RDZ917610 RDZ851997:RDZ852074 RDZ786461:RDZ786538 RDZ720925:RDZ721002 RDZ655389:RDZ655466 RDZ589853:RDZ589930 RDZ524317:RDZ524394 RDZ458781:RDZ458858 RDZ393245:RDZ393322 RDZ327709:RDZ327786 RDZ262173:RDZ262250 RDZ196637:RDZ196714 RDZ131101:RDZ131178 RDZ65565:RDZ65642 QUD983069:QUD983146 QUD917533:QUD917610 QUD851997:QUD852074 QUD786461:QUD786538 QUD720925:QUD721002 QUD655389:QUD655466 QUD589853:QUD589930 QUD524317:QUD524394 QUD458781:QUD458858 QUD393245:QUD393322 QUD327709:QUD327786 QUD262173:QUD262250 QUD196637:QUD196714 QUD131101:QUD131178 QUD65565:QUD65642 QKH983069:QKH983146 QKH917533:QKH917610 QKH851997:QKH852074 QKH786461:QKH786538 QKH720925:QKH721002 QKH655389:QKH655466 QKH589853:QKH589930 QKH524317:QKH524394 QKH458781:QKH458858 QKH393245:QKH393322 QKH327709:QKH327786 QKH262173:QKH262250 QKH196637:QKH196714 QKH131101:QKH131178 QKH65565:QKH65642 QAL983069:QAL983146 QAL917533:QAL917610 QAL851997:QAL852074 QAL786461:QAL786538 QAL720925:QAL721002 QAL655389:QAL655466 QAL589853:QAL589930 QAL524317:QAL524394 QAL458781:QAL458858 QAL393245:QAL393322 QAL327709:QAL327786 QAL262173:QAL262250 QAL196637:QAL196714 QAL131101:QAL131178 QAL65565:QAL65642 PQP983069:PQP983146 PQP917533:PQP917610 PQP851997:PQP852074 PQP786461:PQP786538 PQP720925:PQP721002 PQP655389:PQP655466 PQP589853:PQP589930 PQP524317:PQP524394 PQP458781:PQP458858 PQP393245:PQP393322 PQP327709:PQP327786 PQP262173:PQP262250 PQP196637:PQP196714 PQP131101:PQP131178 PQP65565:PQP65642 PGT983069:PGT983146 PGT917533:PGT917610 PGT851997:PGT852074 PGT786461:PGT786538 PGT720925:PGT721002 PGT655389:PGT655466 PGT589853:PGT589930 PGT524317:PGT524394 PGT458781:PGT458858 PGT393245:PGT393322 PGT327709:PGT327786 PGT262173:PGT262250 PGT196637:PGT196714 PGT131101:PGT131178 PGT65565:PGT65642 OWX983069:OWX983146 OWX917533:OWX917610 OWX851997:OWX852074 OWX786461:OWX786538 OWX720925:OWX721002 OWX655389:OWX655466 OWX589853:OWX589930 OWX524317:OWX524394 OWX458781:OWX458858 OWX393245:OWX393322 OWX327709:OWX327786 OWX262173:OWX262250 OWX196637:OWX196714 OWX131101:OWX131178 OWX65565:OWX65642 ONB983069:ONB983146 ONB917533:ONB917610 ONB851997:ONB852074 ONB786461:ONB786538 ONB720925:ONB721002 ONB655389:ONB655466 ONB589853:ONB589930 ONB524317:ONB524394 ONB458781:ONB458858 ONB393245:ONB393322 ONB327709:ONB327786 ONB262173:ONB262250 ONB196637:ONB196714 ONB131101:ONB131178 ONB65565:ONB65642 ODF983069:ODF983146 ODF917533:ODF917610 ODF851997:ODF852074 ODF786461:ODF786538 ODF720925:ODF721002 ODF655389:ODF655466 ODF589853:ODF589930 ODF524317:ODF524394 ODF458781:ODF458858 ODF393245:ODF393322 ODF327709:ODF327786 ODF262173:ODF262250 ODF196637:ODF196714 ODF131101:ODF131178 ODF65565:ODF65642 NTJ983069:NTJ983146 NTJ917533:NTJ917610 NTJ851997:NTJ852074 NTJ786461:NTJ786538 NTJ720925:NTJ721002 NTJ655389:NTJ655466 NTJ589853:NTJ589930 NTJ524317:NTJ524394 NTJ458781:NTJ458858 NTJ393245:NTJ393322 NTJ327709:NTJ327786 NTJ262173:NTJ262250 NTJ196637:NTJ196714 NTJ131101:NTJ131178 NTJ65565:NTJ65642 NJN983069:NJN983146 NJN917533:NJN917610 NJN851997:NJN852074 NJN786461:NJN786538 NJN720925:NJN721002 NJN655389:NJN655466 NJN589853:NJN589930 NJN524317:NJN524394 NJN458781:NJN458858 NJN393245:NJN393322 NJN327709:NJN327786 NJN262173:NJN262250 NJN196637:NJN196714 NJN131101:NJN131178 NJN65565:NJN65642 MZR983069:MZR983146 MZR917533:MZR917610 MZR851997:MZR852074 MZR786461:MZR786538 MZR720925:MZR721002 MZR655389:MZR655466 MZR589853:MZR589930 MZR524317:MZR524394 MZR458781:MZR458858 MZR393245:MZR393322 MZR327709:MZR327786 MZR262173:MZR262250 MZR196637:MZR196714 MZR131101:MZR131178 MZR65565:MZR65642 MPV983069:MPV983146 MPV917533:MPV917610 MPV851997:MPV852074 MPV786461:MPV786538 MPV720925:MPV721002 MPV655389:MPV655466 MPV589853:MPV589930 MPV524317:MPV524394 MPV458781:MPV458858 MPV393245:MPV393322 MPV327709:MPV327786 MPV262173:MPV262250 MPV196637:MPV196714 MPV131101:MPV131178 MPV65565:MPV65642 MFZ983069:MFZ983146 MFZ917533:MFZ917610 MFZ851997:MFZ852074 MFZ786461:MFZ786538 MFZ720925:MFZ721002 MFZ655389:MFZ655466 MFZ589853:MFZ589930 MFZ524317:MFZ524394 MFZ458781:MFZ458858 MFZ393245:MFZ393322 MFZ327709:MFZ327786 MFZ262173:MFZ262250 MFZ196637:MFZ196714 MFZ131101:MFZ131178 MFZ65565:MFZ65642 LWD983069:LWD983146 LWD917533:LWD917610 LWD851997:LWD852074 LWD786461:LWD786538 LWD720925:LWD721002 LWD655389:LWD655466 LWD589853:LWD589930 LWD524317:LWD524394 LWD458781:LWD458858 LWD393245:LWD393322 LWD327709:LWD327786 LWD262173:LWD262250 LWD196637:LWD196714 LWD131101:LWD131178 LWD65565:LWD65642 LMH983069:LMH983146 LMH917533:LMH917610 LMH851997:LMH852074 LMH786461:LMH786538 LMH720925:LMH721002 LMH655389:LMH655466 LMH589853:LMH589930 LMH524317:LMH524394 LMH458781:LMH458858 LMH393245:LMH393322 LMH327709:LMH327786 LMH262173:LMH262250 LMH196637:LMH196714 LMH131101:LMH131178 LMH65565:LMH65642 LCL983069:LCL983146 LCL917533:LCL917610 LCL851997:LCL852074 LCL786461:LCL786538 LCL720925:LCL721002 LCL655389:LCL655466 LCL589853:LCL589930 LCL524317:LCL524394 LCL458781:LCL458858 LCL393245:LCL393322 LCL327709:LCL327786 LCL262173:LCL262250 LCL196637:LCL196714 LCL131101:LCL131178 LCL65565:LCL65642 KSP983069:KSP983146 KSP917533:KSP917610 KSP851997:KSP852074 KSP786461:KSP786538 KSP720925:KSP721002 KSP655389:KSP655466 KSP589853:KSP589930 KSP524317:KSP524394 KSP458781:KSP458858 KSP393245:KSP393322 KSP327709:KSP327786 KSP262173:KSP262250 KSP196637:KSP196714 KSP131101:KSP131178 KSP65565:KSP65642 KIT983069:KIT983146 KIT917533:KIT917610 KIT851997:KIT852074 KIT786461:KIT786538 KIT720925:KIT721002 KIT655389:KIT655466 KIT589853:KIT589930 KIT524317:KIT524394 KIT458781:KIT458858 KIT393245:KIT393322 KIT327709:KIT327786 KIT262173:KIT262250 KIT196637:KIT196714 KIT131101:KIT131178 KIT65565:KIT65642 JYX983069:JYX983146 JYX917533:JYX917610 JYX851997:JYX852074 JYX786461:JYX786538 JYX720925:JYX721002 JYX655389:JYX655466 JYX589853:JYX589930 JYX524317:JYX524394 JYX458781:JYX458858 JYX393245:JYX393322 JYX327709:JYX327786 JYX262173:JYX262250 JYX196637:JYX196714 JYX131101:JYX131178 JYX65565:JYX65642 JPB983069:JPB983146 JPB917533:JPB917610 JPB851997:JPB852074 JPB786461:JPB786538 JPB720925:JPB721002 JPB655389:JPB655466 JPB589853:JPB589930 JPB524317:JPB524394 JPB458781:JPB458858 JPB393245:JPB393322 JPB327709:JPB327786 JPB262173:JPB262250 JPB196637:JPB196714 JPB131101:JPB131178 JPB65565:JPB65642 JFF983069:JFF983146 JFF917533:JFF917610 JFF851997:JFF852074 JFF786461:JFF786538 JFF720925:JFF721002 JFF655389:JFF655466 JFF589853:JFF589930 JFF524317:JFF524394 JFF458781:JFF458858 JFF393245:JFF393322 JFF327709:JFF327786 JFF262173:JFF262250 JFF196637:JFF196714 JFF131101:JFF131178 JFF65565:JFF65642 IVJ983069:IVJ983146 IVJ917533:IVJ917610 IVJ851997:IVJ852074 IVJ786461:IVJ786538 IVJ720925:IVJ721002 IVJ655389:IVJ655466 IVJ589853:IVJ589930 IVJ524317:IVJ524394 IVJ458781:IVJ458858 IVJ393245:IVJ393322 IVJ327709:IVJ327786 IVJ262173:IVJ262250 IVJ196637:IVJ196714 IVJ131101:IVJ131178 IVJ65565:IVJ65642 ILN983069:ILN983146 ILN917533:ILN917610 ILN851997:ILN852074 ILN786461:ILN786538 ILN720925:ILN721002 ILN655389:ILN655466 ILN589853:ILN589930 ILN524317:ILN524394 ILN458781:ILN458858 ILN393245:ILN393322 ILN327709:ILN327786 ILN262173:ILN262250 ILN196637:ILN196714 ILN131101:ILN131178 ILN65565:ILN65642 IBR983069:IBR983146 IBR917533:IBR917610 IBR851997:IBR852074 IBR786461:IBR786538 IBR720925:IBR721002 IBR655389:IBR655466 IBR589853:IBR589930 IBR524317:IBR524394 IBR458781:IBR458858 IBR393245:IBR393322 IBR327709:IBR327786 IBR262173:IBR262250 IBR196637:IBR196714 IBR131101:IBR131178 IBR65565:IBR65642 HRV983069:HRV983146 HRV917533:HRV917610 HRV851997:HRV852074 HRV786461:HRV786538 HRV720925:HRV721002 HRV655389:HRV655466 HRV589853:HRV589930 HRV524317:HRV524394 HRV458781:HRV458858 HRV393245:HRV393322 HRV327709:HRV327786 HRV262173:HRV262250 HRV196637:HRV196714 HRV131101:HRV131178 HRV65565:HRV65642 HHZ983069:HHZ983146 HHZ917533:HHZ917610 HHZ851997:HHZ852074 HHZ786461:HHZ786538 HHZ720925:HHZ721002 HHZ655389:HHZ655466 HHZ589853:HHZ589930 HHZ524317:HHZ524394 HHZ458781:HHZ458858 HHZ393245:HHZ393322 HHZ327709:HHZ327786 HHZ262173:HHZ262250 HHZ196637:HHZ196714 HHZ131101:HHZ131178 HHZ65565:HHZ65642 GYD983069:GYD983146 GYD917533:GYD917610 GYD851997:GYD852074 GYD786461:GYD786538 GYD720925:GYD721002 GYD655389:GYD655466 GYD589853:GYD589930 GYD524317:GYD524394 GYD458781:GYD458858 GYD393245:GYD393322 GYD327709:GYD327786 GYD262173:GYD262250 GYD196637:GYD196714 GYD131101:GYD131178 GYD65565:GYD65642 GOH983069:GOH983146 GOH917533:GOH917610 GOH851997:GOH852074 GOH786461:GOH786538 GOH720925:GOH721002 GOH655389:GOH655466 GOH589853:GOH589930 GOH524317:GOH524394 GOH458781:GOH458858 GOH393245:GOH393322 GOH327709:GOH327786 GOH262173:GOH262250 GOH196637:GOH196714 GOH131101:GOH131178 GOH65565:GOH65642 GEL983069:GEL983146 GEL917533:GEL917610 GEL851997:GEL852074 GEL786461:GEL786538 GEL720925:GEL721002 GEL655389:GEL655466 GEL589853:GEL589930 GEL524317:GEL524394 GEL458781:GEL458858 GEL393245:GEL393322 GEL327709:GEL327786 GEL262173:GEL262250 GEL196637:GEL196714 GEL131101:GEL131178 GEL65565:GEL65642 FUP983069:FUP983146 FUP917533:FUP917610 FUP851997:FUP852074 FUP786461:FUP786538 FUP720925:FUP721002 FUP655389:FUP655466 FUP589853:FUP589930 FUP524317:FUP524394 FUP458781:FUP458858 FUP393245:FUP393322 FUP327709:FUP327786 FUP262173:FUP262250 FUP196637:FUP196714 FUP131101:FUP131178 FUP65565:FUP65642 FKT983069:FKT983146 FKT917533:FKT917610 FKT851997:FKT852074 FKT786461:FKT786538 FKT720925:FKT721002 FKT655389:FKT655466 FKT589853:FKT589930 FKT524317:FKT524394 FKT458781:FKT458858 FKT393245:FKT393322 FKT327709:FKT327786 FKT262173:FKT262250 FKT196637:FKT196714 FKT131101:FKT131178 FKT65565:FKT65642 FAX983069:FAX983146 FAX917533:FAX917610 FAX851997:FAX852074 FAX786461:FAX786538 FAX720925:FAX721002 FAX655389:FAX655466 FAX589853:FAX589930 FAX524317:FAX524394 FAX458781:FAX458858 FAX393245:FAX393322 FAX327709:FAX327786 FAX262173:FAX262250 FAX196637:FAX196714 FAX131101:FAX131178 FAX65565:FAX65642 ERB983069:ERB983146 ERB917533:ERB917610 ERB851997:ERB852074 ERB786461:ERB786538 ERB720925:ERB721002 ERB655389:ERB655466 ERB589853:ERB589930 ERB524317:ERB524394 ERB458781:ERB458858 ERB393245:ERB393322 ERB327709:ERB327786 ERB262173:ERB262250 ERB196637:ERB196714 ERB131101:ERB131178 ERB65565:ERB65642 EHF983069:EHF983146 EHF917533:EHF917610 EHF851997:EHF852074 EHF786461:EHF786538 EHF720925:EHF721002 EHF655389:EHF655466 EHF589853:EHF589930 EHF524317:EHF524394 EHF458781:EHF458858 EHF393245:EHF393322 EHF327709:EHF327786 EHF262173:EHF262250 EHF196637:EHF196714 EHF131101:EHF131178 EHF65565:EHF65642 DXJ983069:DXJ983146 DXJ917533:DXJ917610 DXJ851997:DXJ852074 DXJ786461:DXJ786538 DXJ720925:DXJ721002 DXJ655389:DXJ655466 DXJ589853:DXJ589930 DXJ524317:DXJ524394 DXJ458781:DXJ458858 DXJ393245:DXJ393322 DXJ327709:DXJ327786 DXJ262173:DXJ262250 DXJ196637:DXJ196714 DXJ131101:DXJ131178 DXJ65565:DXJ65642 DNN983069:DNN983146 DNN917533:DNN917610 DNN851997:DNN852074 DNN786461:DNN786538 DNN720925:DNN721002 DNN655389:DNN655466 DNN589853:DNN589930 DNN524317:DNN524394 DNN458781:DNN458858 DNN393245:DNN393322 DNN327709:DNN327786 DNN262173:DNN262250 DNN196637:DNN196714 DNN131101:DNN131178 DNN65565:DNN65642 DDR983069:DDR983146 DDR917533:DDR917610 DDR851997:DDR852074 DDR786461:DDR786538 DDR720925:DDR721002 DDR655389:DDR655466 DDR589853:DDR589930 DDR524317:DDR524394 DDR458781:DDR458858 DDR393245:DDR393322 DDR327709:DDR327786 DDR262173:DDR262250 DDR196637:DDR196714 DDR131101:DDR131178 DDR65565:DDR65642 CTV983069:CTV983146 CTV917533:CTV917610 CTV851997:CTV852074 CTV786461:CTV786538 CTV720925:CTV721002 CTV655389:CTV655466 CTV589853:CTV589930 CTV524317:CTV524394 CTV458781:CTV458858 CTV393245:CTV393322 CTV327709:CTV327786 CTV262173:CTV262250 CTV196637:CTV196714 CTV131101:CTV131178 CTV65565:CTV65642 CJZ983069:CJZ983146 CJZ917533:CJZ917610 CJZ851997:CJZ852074 CJZ786461:CJZ786538 CJZ720925:CJZ721002 CJZ655389:CJZ655466 CJZ589853:CJZ589930 CJZ524317:CJZ524394 CJZ458781:CJZ458858 CJZ393245:CJZ393322 CJZ327709:CJZ327786 CJZ262173:CJZ262250 CJZ196637:CJZ196714 CJZ131101:CJZ131178 CJZ65565:CJZ65642 CAD983069:CAD983146 CAD917533:CAD917610 CAD851997:CAD852074 CAD786461:CAD786538 CAD720925:CAD721002 CAD655389:CAD655466 CAD589853:CAD589930 CAD524317:CAD524394 CAD458781:CAD458858 CAD393245:CAD393322 CAD327709:CAD327786 CAD262173:CAD262250 CAD196637:CAD196714 CAD131101:CAD131178 CAD65565:CAD65642 BQH983069:BQH983146 BQH917533:BQH917610 BQH851997:BQH852074 BQH786461:BQH786538 BQH720925:BQH721002 BQH655389:BQH655466 BQH589853:BQH589930 BQH524317:BQH524394 BQH458781:BQH458858 BQH393245:BQH393322 BQH327709:BQH327786 BQH262173:BQH262250 BQH196637:BQH196714 BQH131101:BQH131178 BQH65565:BQH65642 BGL983069:BGL983146 BGL917533:BGL917610 BGL851997:BGL852074 BGL786461:BGL786538 BGL720925:BGL721002 BGL655389:BGL655466 BGL589853:BGL589930 BGL524317:BGL524394 BGL458781:BGL458858 BGL393245:BGL393322 BGL327709:BGL327786 BGL262173:BGL262250 BGL196637:BGL196714 BGL131101:BGL131178 BGL65565:BGL65642 AWP983069:AWP983146 AWP917533:AWP917610 AWP851997:AWP852074 AWP786461:AWP786538 AWP720925:AWP721002 AWP655389:AWP655466 AWP589853:AWP589930 AWP524317:AWP524394 AWP458781:AWP458858 AWP393245:AWP393322 AWP327709:AWP327786 AWP262173:AWP262250 AWP196637:AWP196714 AWP131101:AWP131178 AWP65565:AWP65642 AMT983069:AMT983146 AMT917533:AMT917610 AMT851997:AMT852074 AMT786461:AMT786538 AMT720925:AMT721002 AMT655389:AMT655466 AMT589853:AMT589930 AMT524317:AMT524394 AMT458781:AMT458858 AMT393245:AMT393322 AMT327709:AMT327786 AMT262173:AMT262250 AMT196637:AMT196714 AMT131101:AMT131178 AMT65565:AMT65642 ACX983069:ACX983146 ACX917533:ACX917610 ACX851997:ACX852074 ACX786461:ACX786538 ACX720925:ACX721002 ACX655389:ACX655466 ACX589853:ACX589930 ACX524317:ACX524394 ACX458781:ACX458858 ACX393245:ACX393322 ACX327709:ACX327786 ACX262173:ACX262250 ACX196637:ACX196714 ACX131101:ACX131178 ACX65565:ACX65642 TB983069:TB983146 TB917533:TB917610 TB851997:TB852074 TB786461:TB786538 TB720925:TB721002 TB655389:TB655466 TB589853:TB589930 TB524317:TB524394 TB458781:TB458858 TB393245:TB393322 TB327709:TB327786 TB262173:TB262250 TB196637:TB196714 TB131101:TB131178 TB65565:TB65642 JF983069:JF983146 JF917533:JF917610 JF851997:JF852074 JF786461:JF786538 JF720925:JF721002 JF655389:JF655466 JF589853:JF589930 JF524317:JF524394 JF458781:JF458858 JF393245:JF393322 JF327709:JF327786 JF262173:JF262250 JF196637:JF196714 JF131101:JF131178 JF65565:JF65642 J983069:J983146 J917533:J917610 J851997:J852074 J786461:J786538 J720925:J721002 J655389:J655466 J589853:J589930 J524317:J524394 J458781:J458858 J393245:J393322 J327709:J327786 J262173:J262250 J196637:J196714 J131101:J131178 J65565:J65642 WVR2:WVR106 JF2:JF106 TB2:TB106 ACX2:ACX106 AMT2:AMT106 AWP2:AWP106 BGL2:BGL106 BQH2:BQH106 CAD2:CAD106 CJZ2:CJZ106 CTV2:CTV106 DDR2:DDR106 DNN2:DNN106 DXJ2:DXJ106 EHF2:EHF106 ERB2:ERB106 FAX2:FAX106 FKT2:FKT106 FUP2:FUP106 GEL2:GEL106 GOH2:GOH106 GYD2:GYD106 HHZ2:HHZ106 HRV2:HRV106 IBR2:IBR106 ILN2:ILN106 IVJ2:IVJ106 JFF2:JFF106 JPB2:JPB106 JYX2:JYX106 KIT2:KIT106 KSP2:KSP106 LCL2:LCL106 LMH2:LMH106 LWD2:LWD106 MFZ2:MFZ106 MPV2:MPV106 MZR2:MZR106 NJN2:NJN106 NTJ2:NTJ106 ODF2:ODF106 ONB2:ONB106 OWX2:OWX106 PGT2:PGT106 PQP2:PQP106 QAL2:QAL106 QKH2:QKH106 QUD2:QUD106 RDZ2:RDZ106 RNV2:RNV106 RXR2:RXR106 SHN2:SHN106 SRJ2:SRJ106 TBF2:TBF106 TLB2:TLB106 TUX2:TUX106 UET2:UET106 UOP2:UOP106 UYL2:UYL106 VIH2:VIH106 VSD2:VSD106 WBZ2:WBZ106 WLV2:WLV106 J2:J527" xr:uid="{38B3EA7A-31DA-4AAB-A920-94A5F9A63EE4}">
      <formula1>$AP$2:$AP$30</formula1>
    </dataValidation>
    <dataValidation type="list" allowBlank="1" showInputMessage="1" showErrorMessage="1" sqref="WVN983069:WVN983146 WVN917533:WVN917610 WVN851997:WVN852074 WVN786461:WVN786538 WVN720925:WVN721002 WVN655389:WVN655466 WVN589853:WVN589930 WVN524317:WVN524394 WVN458781:WVN458858 WVN393245:WVN393322 WVN327709:WVN327786 WVN262173:WVN262250 WVN196637:WVN196714 WVN131101:WVN131178 WVN65565:WVN65642 WLR983069:WLR983146 WLR917533:WLR917610 WLR851997:WLR852074 WLR786461:WLR786538 WLR720925:WLR721002 WLR655389:WLR655466 WLR589853:WLR589930 WLR524317:WLR524394 WLR458781:WLR458858 WLR393245:WLR393322 WLR327709:WLR327786 WLR262173:WLR262250 WLR196637:WLR196714 WLR131101:WLR131178 WLR65565:WLR65642 WBV983069:WBV983146 WBV917533:WBV917610 WBV851997:WBV852074 WBV786461:WBV786538 WBV720925:WBV721002 WBV655389:WBV655466 WBV589853:WBV589930 WBV524317:WBV524394 WBV458781:WBV458858 WBV393245:WBV393322 WBV327709:WBV327786 WBV262173:WBV262250 WBV196637:WBV196714 WBV131101:WBV131178 WBV65565:WBV65642 VRZ983069:VRZ983146 VRZ917533:VRZ917610 VRZ851997:VRZ852074 VRZ786461:VRZ786538 VRZ720925:VRZ721002 VRZ655389:VRZ655466 VRZ589853:VRZ589930 VRZ524317:VRZ524394 VRZ458781:VRZ458858 VRZ393245:VRZ393322 VRZ327709:VRZ327786 VRZ262173:VRZ262250 VRZ196637:VRZ196714 VRZ131101:VRZ131178 VRZ65565:VRZ65642 VID983069:VID983146 VID917533:VID917610 VID851997:VID852074 VID786461:VID786538 VID720925:VID721002 VID655389:VID655466 VID589853:VID589930 VID524317:VID524394 VID458781:VID458858 VID393245:VID393322 VID327709:VID327786 VID262173:VID262250 VID196637:VID196714 VID131101:VID131178 VID65565:VID65642 UYH983069:UYH983146 UYH917533:UYH917610 UYH851997:UYH852074 UYH786461:UYH786538 UYH720925:UYH721002 UYH655389:UYH655466 UYH589853:UYH589930 UYH524317:UYH524394 UYH458781:UYH458858 UYH393245:UYH393322 UYH327709:UYH327786 UYH262173:UYH262250 UYH196637:UYH196714 UYH131101:UYH131178 UYH65565:UYH65642 UOL983069:UOL983146 UOL917533:UOL917610 UOL851997:UOL852074 UOL786461:UOL786538 UOL720925:UOL721002 UOL655389:UOL655466 UOL589853:UOL589930 UOL524317:UOL524394 UOL458781:UOL458858 UOL393245:UOL393322 UOL327709:UOL327786 UOL262173:UOL262250 UOL196637:UOL196714 UOL131101:UOL131178 UOL65565:UOL65642 UEP983069:UEP983146 UEP917533:UEP917610 UEP851997:UEP852074 UEP786461:UEP786538 UEP720925:UEP721002 UEP655389:UEP655466 UEP589853:UEP589930 UEP524317:UEP524394 UEP458781:UEP458858 UEP393245:UEP393322 UEP327709:UEP327786 UEP262173:UEP262250 UEP196637:UEP196714 UEP131101:UEP131178 UEP65565:UEP65642 TUT983069:TUT983146 TUT917533:TUT917610 TUT851997:TUT852074 TUT786461:TUT786538 TUT720925:TUT721002 TUT655389:TUT655466 TUT589853:TUT589930 TUT524317:TUT524394 TUT458781:TUT458858 TUT393245:TUT393322 TUT327709:TUT327786 TUT262173:TUT262250 TUT196637:TUT196714 TUT131101:TUT131178 TUT65565:TUT65642 TKX983069:TKX983146 TKX917533:TKX917610 TKX851997:TKX852074 TKX786461:TKX786538 TKX720925:TKX721002 TKX655389:TKX655466 TKX589853:TKX589930 TKX524317:TKX524394 TKX458781:TKX458858 TKX393245:TKX393322 TKX327709:TKX327786 TKX262173:TKX262250 TKX196637:TKX196714 TKX131101:TKX131178 TKX65565:TKX65642 TBB983069:TBB983146 TBB917533:TBB917610 TBB851997:TBB852074 TBB786461:TBB786538 TBB720925:TBB721002 TBB655389:TBB655466 TBB589853:TBB589930 TBB524317:TBB524394 TBB458781:TBB458858 TBB393245:TBB393322 TBB327709:TBB327786 TBB262173:TBB262250 TBB196637:TBB196714 TBB131101:TBB131178 TBB65565:TBB65642 SRF983069:SRF983146 SRF917533:SRF917610 SRF851997:SRF852074 SRF786461:SRF786538 SRF720925:SRF721002 SRF655389:SRF655466 SRF589853:SRF589930 SRF524317:SRF524394 SRF458781:SRF458858 SRF393245:SRF393322 SRF327709:SRF327786 SRF262173:SRF262250 SRF196637:SRF196714 SRF131101:SRF131178 SRF65565:SRF65642 SHJ983069:SHJ983146 SHJ917533:SHJ917610 SHJ851997:SHJ852074 SHJ786461:SHJ786538 SHJ720925:SHJ721002 SHJ655389:SHJ655466 SHJ589853:SHJ589930 SHJ524317:SHJ524394 SHJ458781:SHJ458858 SHJ393245:SHJ393322 SHJ327709:SHJ327786 SHJ262173:SHJ262250 SHJ196637:SHJ196714 SHJ131101:SHJ131178 SHJ65565:SHJ65642 RXN983069:RXN983146 RXN917533:RXN917610 RXN851997:RXN852074 RXN786461:RXN786538 RXN720925:RXN721002 RXN655389:RXN655466 RXN589853:RXN589930 RXN524317:RXN524394 RXN458781:RXN458858 RXN393245:RXN393322 RXN327709:RXN327786 RXN262173:RXN262250 RXN196637:RXN196714 RXN131101:RXN131178 RXN65565:RXN65642 RNR983069:RNR983146 RNR917533:RNR917610 RNR851997:RNR852074 RNR786461:RNR786538 RNR720925:RNR721002 RNR655389:RNR655466 RNR589853:RNR589930 RNR524317:RNR524394 RNR458781:RNR458858 RNR393245:RNR393322 RNR327709:RNR327786 RNR262173:RNR262250 RNR196637:RNR196714 RNR131101:RNR131178 RNR65565:RNR65642 RDV983069:RDV983146 RDV917533:RDV917610 RDV851997:RDV852074 RDV786461:RDV786538 RDV720925:RDV721002 RDV655389:RDV655466 RDV589853:RDV589930 RDV524317:RDV524394 RDV458781:RDV458858 RDV393245:RDV393322 RDV327709:RDV327786 RDV262173:RDV262250 RDV196637:RDV196714 RDV131101:RDV131178 RDV65565:RDV65642 QTZ983069:QTZ983146 QTZ917533:QTZ917610 QTZ851997:QTZ852074 QTZ786461:QTZ786538 QTZ720925:QTZ721002 QTZ655389:QTZ655466 QTZ589853:QTZ589930 QTZ524317:QTZ524394 QTZ458781:QTZ458858 QTZ393245:QTZ393322 QTZ327709:QTZ327786 QTZ262173:QTZ262250 QTZ196637:QTZ196714 QTZ131101:QTZ131178 QTZ65565:QTZ65642 QKD983069:QKD983146 QKD917533:QKD917610 QKD851997:QKD852074 QKD786461:QKD786538 QKD720925:QKD721002 QKD655389:QKD655466 QKD589853:QKD589930 QKD524317:QKD524394 QKD458781:QKD458858 QKD393245:QKD393322 QKD327709:QKD327786 QKD262173:QKD262250 QKD196637:QKD196714 QKD131101:QKD131178 QKD65565:QKD65642 QAH983069:QAH983146 QAH917533:QAH917610 QAH851997:QAH852074 QAH786461:QAH786538 QAH720925:QAH721002 QAH655389:QAH655466 QAH589853:QAH589930 QAH524317:QAH524394 QAH458781:QAH458858 QAH393245:QAH393322 QAH327709:QAH327786 QAH262173:QAH262250 QAH196637:QAH196714 QAH131101:QAH131178 QAH65565:QAH65642 PQL983069:PQL983146 PQL917533:PQL917610 PQL851997:PQL852074 PQL786461:PQL786538 PQL720925:PQL721002 PQL655389:PQL655466 PQL589853:PQL589930 PQL524317:PQL524394 PQL458781:PQL458858 PQL393245:PQL393322 PQL327709:PQL327786 PQL262173:PQL262250 PQL196637:PQL196714 PQL131101:PQL131178 PQL65565:PQL65642 PGP983069:PGP983146 PGP917533:PGP917610 PGP851997:PGP852074 PGP786461:PGP786538 PGP720925:PGP721002 PGP655389:PGP655466 PGP589853:PGP589930 PGP524317:PGP524394 PGP458781:PGP458858 PGP393245:PGP393322 PGP327709:PGP327786 PGP262173:PGP262250 PGP196637:PGP196714 PGP131101:PGP131178 PGP65565:PGP65642 OWT983069:OWT983146 OWT917533:OWT917610 OWT851997:OWT852074 OWT786461:OWT786538 OWT720925:OWT721002 OWT655389:OWT655466 OWT589853:OWT589930 OWT524317:OWT524394 OWT458781:OWT458858 OWT393245:OWT393322 OWT327709:OWT327786 OWT262173:OWT262250 OWT196637:OWT196714 OWT131101:OWT131178 OWT65565:OWT65642 OMX983069:OMX983146 OMX917533:OMX917610 OMX851997:OMX852074 OMX786461:OMX786538 OMX720925:OMX721002 OMX655389:OMX655466 OMX589853:OMX589930 OMX524317:OMX524394 OMX458781:OMX458858 OMX393245:OMX393322 OMX327709:OMX327786 OMX262173:OMX262250 OMX196637:OMX196714 OMX131101:OMX131178 OMX65565:OMX65642 ODB983069:ODB983146 ODB917533:ODB917610 ODB851997:ODB852074 ODB786461:ODB786538 ODB720925:ODB721002 ODB655389:ODB655466 ODB589853:ODB589930 ODB524317:ODB524394 ODB458781:ODB458858 ODB393245:ODB393322 ODB327709:ODB327786 ODB262173:ODB262250 ODB196637:ODB196714 ODB131101:ODB131178 ODB65565:ODB65642 NTF983069:NTF983146 NTF917533:NTF917610 NTF851997:NTF852074 NTF786461:NTF786538 NTF720925:NTF721002 NTF655389:NTF655466 NTF589853:NTF589930 NTF524317:NTF524394 NTF458781:NTF458858 NTF393245:NTF393322 NTF327709:NTF327786 NTF262173:NTF262250 NTF196637:NTF196714 NTF131101:NTF131178 NTF65565:NTF65642 NJJ983069:NJJ983146 NJJ917533:NJJ917610 NJJ851997:NJJ852074 NJJ786461:NJJ786538 NJJ720925:NJJ721002 NJJ655389:NJJ655466 NJJ589853:NJJ589930 NJJ524317:NJJ524394 NJJ458781:NJJ458858 NJJ393245:NJJ393322 NJJ327709:NJJ327786 NJJ262173:NJJ262250 NJJ196637:NJJ196714 NJJ131101:NJJ131178 NJJ65565:NJJ65642 MZN983069:MZN983146 MZN917533:MZN917610 MZN851997:MZN852074 MZN786461:MZN786538 MZN720925:MZN721002 MZN655389:MZN655466 MZN589853:MZN589930 MZN524317:MZN524394 MZN458781:MZN458858 MZN393245:MZN393322 MZN327709:MZN327786 MZN262173:MZN262250 MZN196637:MZN196714 MZN131101:MZN131178 MZN65565:MZN65642 MPR983069:MPR983146 MPR917533:MPR917610 MPR851997:MPR852074 MPR786461:MPR786538 MPR720925:MPR721002 MPR655389:MPR655466 MPR589853:MPR589930 MPR524317:MPR524394 MPR458781:MPR458858 MPR393245:MPR393322 MPR327709:MPR327786 MPR262173:MPR262250 MPR196637:MPR196714 MPR131101:MPR131178 MPR65565:MPR65642 MFV983069:MFV983146 MFV917533:MFV917610 MFV851997:MFV852074 MFV786461:MFV786538 MFV720925:MFV721002 MFV655389:MFV655466 MFV589853:MFV589930 MFV524317:MFV524394 MFV458781:MFV458858 MFV393245:MFV393322 MFV327709:MFV327786 MFV262173:MFV262250 MFV196637:MFV196714 MFV131101:MFV131178 MFV65565:MFV65642 LVZ983069:LVZ983146 LVZ917533:LVZ917610 LVZ851997:LVZ852074 LVZ786461:LVZ786538 LVZ720925:LVZ721002 LVZ655389:LVZ655466 LVZ589853:LVZ589930 LVZ524317:LVZ524394 LVZ458781:LVZ458858 LVZ393245:LVZ393322 LVZ327709:LVZ327786 LVZ262173:LVZ262250 LVZ196637:LVZ196714 LVZ131101:LVZ131178 LVZ65565:LVZ65642 LMD983069:LMD983146 LMD917533:LMD917610 LMD851997:LMD852074 LMD786461:LMD786538 LMD720925:LMD721002 LMD655389:LMD655466 LMD589853:LMD589930 LMD524317:LMD524394 LMD458781:LMD458858 LMD393245:LMD393322 LMD327709:LMD327786 LMD262173:LMD262250 LMD196637:LMD196714 LMD131101:LMD131178 LMD65565:LMD65642 LCH983069:LCH983146 LCH917533:LCH917610 LCH851997:LCH852074 LCH786461:LCH786538 LCH720925:LCH721002 LCH655389:LCH655466 LCH589853:LCH589930 LCH524317:LCH524394 LCH458781:LCH458858 LCH393245:LCH393322 LCH327709:LCH327786 LCH262173:LCH262250 LCH196637:LCH196714 LCH131101:LCH131178 LCH65565:LCH65642 KSL983069:KSL983146 KSL917533:KSL917610 KSL851997:KSL852074 KSL786461:KSL786538 KSL720925:KSL721002 KSL655389:KSL655466 KSL589853:KSL589930 KSL524317:KSL524394 KSL458781:KSL458858 KSL393245:KSL393322 KSL327709:KSL327786 KSL262173:KSL262250 KSL196637:KSL196714 KSL131101:KSL131178 KSL65565:KSL65642 KIP983069:KIP983146 KIP917533:KIP917610 KIP851997:KIP852074 KIP786461:KIP786538 KIP720925:KIP721002 KIP655389:KIP655466 KIP589853:KIP589930 KIP524317:KIP524394 KIP458781:KIP458858 KIP393245:KIP393322 KIP327709:KIP327786 KIP262173:KIP262250 KIP196637:KIP196714 KIP131101:KIP131178 KIP65565:KIP65642 JYT983069:JYT983146 JYT917533:JYT917610 JYT851997:JYT852074 JYT786461:JYT786538 JYT720925:JYT721002 JYT655389:JYT655466 JYT589853:JYT589930 JYT524317:JYT524394 JYT458781:JYT458858 JYT393245:JYT393322 JYT327709:JYT327786 JYT262173:JYT262250 JYT196637:JYT196714 JYT131101:JYT131178 JYT65565:JYT65642 JOX983069:JOX983146 JOX917533:JOX917610 JOX851997:JOX852074 JOX786461:JOX786538 JOX720925:JOX721002 JOX655389:JOX655466 JOX589853:JOX589930 JOX524317:JOX524394 JOX458781:JOX458858 JOX393245:JOX393322 JOX327709:JOX327786 JOX262173:JOX262250 JOX196637:JOX196714 JOX131101:JOX131178 JOX65565:JOX65642 JFB983069:JFB983146 JFB917533:JFB917610 JFB851997:JFB852074 JFB786461:JFB786538 JFB720925:JFB721002 JFB655389:JFB655466 JFB589853:JFB589930 JFB524317:JFB524394 JFB458781:JFB458858 JFB393245:JFB393322 JFB327709:JFB327786 JFB262173:JFB262250 JFB196637:JFB196714 JFB131101:JFB131178 JFB65565:JFB65642 IVF983069:IVF983146 IVF917533:IVF917610 IVF851997:IVF852074 IVF786461:IVF786538 IVF720925:IVF721002 IVF655389:IVF655466 IVF589853:IVF589930 IVF524317:IVF524394 IVF458781:IVF458858 IVF393245:IVF393322 IVF327709:IVF327786 IVF262173:IVF262250 IVF196637:IVF196714 IVF131101:IVF131178 IVF65565:IVF65642 ILJ983069:ILJ983146 ILJ917533:ILJ917610 ILJ851997:ILJ852074 ILJ786461:ILJ786538 ILJ720925:ILJ721002 ILJ655389:ILJ655466 ILJ589853:ILJ589930 ILJ524317:ILJ524394 ILJ458781:ILJ458858 ILJ393245:ILJ393322 ILJ327709:ILJ327786 ILJ262173:ILJ262250 ILJ196637:ILJ196714 ILJ131101:ILJ131178 ILJ65565:ILJ65642 IBN983069:IBN983146 IBN917533:IBN917610 IBN851997:IBN852074 IBN786461:IBN786538 IBN720925:IBN721002 IBN655389:IBN655466 IBN589853:IBN589930 IBN524317:IBN524394 IBN458781:IBN458858 IBN393245:IBN393322 IBN327709:IBN327786 IBN262173:IBN262250 IBN196637:IBN196714 IBN131101:IBN131178 IBN65565:IBN65642 HRR983069:HRR983146 HRR917533:HRR917610 HRR851997:HRR852074 HRR786461:HRR786538 HRR720925:HRR721002 HRR655389:HRR655466 HRR589853:HRR589930 HRR524317:HRR524394 HRR458781:HRR458858 HRR393245:HRR393322 HRR327709:HRR327786 HRR262173:HRR262250 HRR196637:HRR196714 HRR131101:HRR131178 HRR65565:HRR65642 HHV983069:HHV983146 HHV917533:HHV917610 HHV851997:HHV852074 HHV786461:HHV786538 HHV720925:HHV721002 HHV655389:HHV655466 HHV589853:HHV589930 HHV524317:HHV524394 HHV458781:HHV458858 HHV393245:HHV393322 HHV327709:HHV327786 HHV262173:HHV262250 HHV196637:HHV196714 HHV131101:HHV131178 HHV65565:HHV65642 GXZ983069:GXZ983146 GXZ917533:GXZ917610 GXZ851997:GXZ852074 GXZ786461:GXZ786538 GXZ720925:GXZ721002 GXZ655389:GXZ655466 GXZ589853:GXZ589930 GXZ524317:GXZ524394 GXZ458781:GXZ458858 GXZ393245:GXZ393322 GXZ327709:GXZ327786 GXZ262173:GXZ262250 GXZ196637:GXZ196714 GXZ131101:GXZ131178 GXZ65565:GXZ65642 GOD983069:GOD983146 GOD917533:GOD917610 GOD851997:GOD852074 GOD786461:GOD786538 GOD720925:GOD721002 GOD655389:GOD655466 GOD589853:GOD589930 GOD524317:GOD524394 GOD458781:GOD458858 GOD393245:GOD393322 GOD327709:GOD327786 GOD262173:GOD262250 GOD196637:GOD196714 GOD131101:GOD131178 GOD65565:GOD65642 GEH983069:GEH983146 GEH917533:GEH917610 GEH851997:GEH852074 GEH786461:GEH786538 GEH720925:GEH721002 GEH655389:GEH655466 GEH589853:GEH589930 GEH524317:GEH524394 GEH458781:GEH458858 GEH393245:GEH393322 GEH327709:GEH327786 GEH262173:GEH262250 GEH196637:GEH196714 GEH131101:GEH131178 GEH65565:GEH65642 FUL983069:FUL983146 FUL917533:FUL917610 FUL851997:FUL852074 FUL786461:FUL786538 FUL720925:FUL721002 FUL655389:FUL655466 FUL589853:FUL589930 FUL524317:FUL524394 FUL458781:FUL458858 FUL393245:FUL393322 FUL327709:FUL327786 FUL262173:FUL262250 FUL196637:FUL196714 FUL131101:FUL131178 FUL65565:FUL65642 FKP983069:FKP983146 FKP917533:FKP917610 FKP851997:FKP852074 FKP786461:FKP786538 FKP720925:FKP721002 FKP655389:FKP655466 FKP589853:FKP589930 FKP524317:FKP524394 FKP458781:FKP458858 FKP393245:FKP393322 FKP327709:FKP327786 FKP262173:FKP262250 FKP196637:FKP196714 FKP131101:FKP131178 FKP65565:FKP65642 FAT983069:FAT983146 FAT917533:FAT917610 FAT851997:FAT852074 FAT786461:FAT786538 FAT720925:FAT721002 FAT655389:FAT655466 FAT589853:FAT589930 FAT524317:FAT524394 FAT458781:FAT458858 FAT393245:FAT393322 FAT327709:FAT327786 FAT262173:FAT262250 FAT196637:FAT196714 FAT131101:FAT131178 FAT65565:FAT65642 EQX983069:EQX983146 EQX917533:EQX917610 EQX851997:EQX852074 EQX786461:EQX786538 EQX720925:EQX721002 EQX655389:EQX655466 EQX589853:EQX589930 EQX524317:EQX524394 EQX458781:EQX458858 EQX393245:EQX393322 EQX327709:EQX327786 EQX262173:EQX262250 EQX196637:EQX196714 EQX131101:EQX131178 EQX65565:EQX65642 EHB983069:EHB983146 EHB917533:EHB917610 EHB851997:EHB852074 EHB786461:EHB786538 EHB720925:EHB721002 EHB655389:EHB655466 EHB589853:EHB589930 EHB524317:EHB524394 EHB458781:EHB458858 EHB393245:EHB393322 EHB327709:EHB327786 EHB262173:EHB262250 EHB196637:EHB196714 EHB131101:EHB131178 EHB65565:EHB65642 DXF983069:DXF983146 DXF917533:DXF917610 DXF851997:DXF852074 DXF786461:DXF786538 DXF720925:DXF721002 DXF655389:DXF655466 DXF589853:DXF589930 DXF524317:DXF524394 DXF458781:DXF458858 DXF393245:DXF393322 DXF327709:DXF327786 DXF262173:DXF262250 DXF196637:DXF196714 DXF131101:DXF131178 DXF65565:DXF65642 DNJ983069:DNJ983146 DNJ917533:DNJ917610 DNJ851997:DNJ852074 DNJ786461:DNJ786538 DNJ720925:DNJ721002 DNJ655389:DNJ655466 DNJ589853:DNJ589930 DNJ524317:DNJ524394 DNJ458781:DNJ458858 DNJ393245:DNJ393322 DNJ327709:DNJ327786 DNJ262173:DNJ262250 DNJ196637:DNJ196714 DNJ131101:DNJ131178 DNJ65565:DNJ65642 DDN983069:DDN983146 DDN917533:DDN917610 DDN851997:DDN852074 DDN786461:DDN786538 DDN720925:DDN721002 DDN655389:DDN655466 DDN589853:DDN589930 DDN524317:DDN524394 DDN458781:DDN458858 DDN393245:DDN393322 DDN327709:DDN327786 DDN262173:DDN262250 DDN196637:DDN196714 DDN131101:DDN131178 DDN65565:DDN65642 CTR983069:CTR983146 CTR917533:CTR917610 CTR851997:CTR852074 CTR786461:CTR786538 CTR720925:CTR721002 CTR655389:CTR655466 CTR589853:CTR589930 CTR524317:CTR524394 CTR458781:CTR458858 CTR393245:CTR393322 CTR327709:CTR327786 CTR262173:CTR262250 CTR196637:CTR196714 CTR131101:CTR131178 CTR65565:CTR65642 CJV983069:CJV983146 CJV917533:CJV917610 CJV851997:CJV852074 CJV786461:CJV786538 CJV720925:CJV721002 CJV655389:CJV655466 CJV589853:CJV589930 CJV524317:CJV524394 CJV458781:CJV458858 CJV393245:CJV393322 CJV327709:CJV327786 CJV262173:CJV262250 CJV196637:CJV196714 CJV131101:CJV131178 CJV65565:CJV65642 BZZ983069:BZZ983146 BZZ917533:BZZ917610 BZZ851997:BZZ852074 BZZ786461:BZZ786538 BZZ720925:BZZ721002 BZZ655389:BZZ655466 BZZ589853:BZZ589930 BZZ524317:BZZ524394 BZZ458781:BZZ458858 BZZ393245:BZZ393322 BZZ327709:BZZ327786 BZZ262173:BZZ262250 BZZ196637:BZZ196714 BZZ131101:BZZ131178 BZZ65565:BZZ65642 BQD983069:BQD983146 BQD917533:BQD917610 BQD851997:BQD852074 BQD786461:BQD786538 BQD720925:BQD721002 BQD655389:BQD655466 BQD589853:BQD589930 BQD524317:BQD524394 BQD458781:BQD458858 BQD393245:BQD393322 BQD327709:BQD327786 BQD262173:BQD262250 BQD196637:BQD196714 BQD131101:BQD131178 BQD65565:BQD65642 BGH983069:BGH983146 BGH917533:BGH917610 BGH851997:BGH852074 BGH786461:BGH786538 BGH720925:BGH721002 BGH655389:BGH655466 BGH589853:BGH589930 BGH524317:BGH524394 BGH458781:BGH458858 BGH393245:BGH393322 BGH327709:BGH327786 BGH262173:BGH262250 BGH196637:BGH196714 BGH131101:BGH131178 BGH65565:BGH65642 AWL983069:AWL983146 AWL917533:AWL917610 AWL851997:AWL852074 AWL786461:AWL786538 AWL720925:AWL721002 AWL655389:AWL655466 AWL589853:AWL589930 AWL524317:AWL524394 AWL458781:AWL458858 AWL393245:AWL393322 AWL327709:AWL327786 AWL262173:AWL262250 AWL196637:AWL196714 AWL131101:AWL131178 AWL65565:AWL65642 AMP983069:AMP983146 AMP917533:AMP917610 AMP851997:AMP852074 AMP786461:AMP786538 AMP720925:AMP721002 AMP655389:AMP655466 AMP589853:AMP589930 AMP524317:AMP524394 AMP458781:AMP458858 AMP393245:AMP393322 AMP327709:AMP327786 AMP262173:AMP262250 AMP196637:AMP196714 AMP131101:AMP131178 AMP65565:AMP65642 ACT983069:ACT983146 ACT917533:ACT917610 ACT851997:ACT852074 ACT786461:ACT786538 ACT720925:ACT721002 ACT655389:ACT655466 ACT589853:ACT589930 ACT524317:ACT524394 ACT458781:ACT458858 ACT393245:ACT393322 ACT327709:ACT327786 ACT262173:ACT262250 ACT196637:ACT196714 ACT131101:ACT131178 ACT65565:ACT65642 SX983069:SX983146 SX917533:SX917610 SX851997:SX852074 SX786461:SX786538 SX720925:SX721002 SX655389:SX655466 SX589853:SX589930 SX524317:SX524394 SX458781:SX458858 SX393245:SX393322 SX327709:SX327786 SX262173:SX262250 SX196637:SX196714 SX131101:SX131178 SX65565:SX65642 JB983069:JB983146 JB917533:JB917610 JB851997:JB852074 JB786461:JB786538 JB720925:JB721002 JB655389:JB655466 JB589853:JB589930 JB524317:JB524394 JB458781:JB458858 JB393245:JB393322 JB327709:JB327786 JB262173:JB262250 JB196637:JB196714 JB131101:JB131178 JB65565:JB65642 F983069:F983146 F917533:F917610 F851997:F852074 F786461:F786538 F720925:F721002 F655389:F655466 F589853:F589930 F524317:F524394 F458781:F458858 F393245:F393322 F327709:F327786 F262173:F262250 F196637:F196714 F131101:F131178 F65565:F65642 WVN2:WVN106 JB2:JB106 SX2:SX106 ACT2:ACT106 AMP2:AMP106 AWL2:AWL106 BGH2:BGH106 BQD2:BQD106 BZZ2:BZZ106 CJV2:CJV106 CTR2:CTR106 DDN2:DDN106 DNJ2:DNJ106 DXF2:DXF106 EHB2:EHB106 EQX2:EQX106 FAT2:FAT106 FKP2:FKP106 FUL2:FUL106 GEH2:GEH106 GOD2:GOD106 GXZ2:GXZ106 HHV2:HHV106 HRR2:HRR106 IBN2:IBN106 ILJ2:ILJ106 IVF2:IVF106 JFB2:JFB106 JOX2:JOX106 JYT2:JYT106 KIP2:KIP106 KSL2:KSL106 LCH2:LCH106 LMD2:LMD106 LVZ2:LVZ106 MFV2:MFV106 MPR2:MPR106 MZN2:MZN106 NJJ2:NJJ106 NTF2:NTF106 ODB2:ODB106 OMX2:OMX106 OWT2:OWT106 PGP2:PGP106 PQL2:PQL106 QAH2:QAH106 QKD2:QKD106 QTZ2:QTZ106 RDV2:RDV106 RNR2:RNR106 RXN2:RXN106 SHJ2:SHJ106 SRF2:SRF106 TBB2:TBB106 TKX2:TKX106 TUT2:TUT106 UEP2:UEP106 UOL2:UOL106 UYH2:UYH106 VID2:VID106 VRZ2:VRZ106 WBV2:WBV106 WLR2:WLR106 F2:F758" xr:uid="{0CCACB97-01C0-49A0-9F8B-6397A9AA6F60}">
      <formula1>$AH$2:$AH$14</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65 IX65565 ST65565 ACP65565 AML65565 AWH65565 BGD65565 BPZ65565 BZV65565 CJR65565 CTN65565 DDJ65565 DNF65565 DXB65565 EGX65565 EQT65565 FAP65565 FKL65565 FUH65565 GED65565 GNZ65565 GXV65565 HHR65565 HRN65565 IBJ65565 ILF65565 IVB65565 JEX65565 JOT65565 JYP65565 KIL65565 KSH65565 LCD65565 LLZ65565 LVV65565 MFR65565 MPN65565 MZJ65565 NJF65565 NTB65565 OCX65565 OMT65565 OWP65565 PGL65565 PQH65565 QAD65565 QJZ65565 QTV65565 RDR65565 RNN65565 RXJ65565 SHF65565 SRB65565 TAX65565 TKT65565 TUP65565 UEL65565 UOH65565 UYD65565 VHZ65565 VRV65565 WBR65565 WLN65565 WVJ65565 B131101 IX131101 ST131101 ACP131101 AML131101 AWH131101 BGD131101 BPZ131101 BZV131101 CJR131101 CTN131101 DDJ131101 DNF131101 DXB131101 EGX131101 EQT131101 FAP131101 FKL131101 FUH131101 GED131101 GNZ131101 GXV131101 HHR131101 HRN131101 IBJ131101 ILF131101 IVB131101 JEX131101 JOT131101 JYP131101 KIL131101 KSH131101 LCD131101 LLZ131101 LVV131101 MFR131101 MPN131101 MZJ131101 NJF131101 NTB131101 OCX131101 OMT131101 OWP131101 PGL131101 PQH131101 QAD131101 QJZ131101 QTV131101 RDR131101 RNN131101 RXJ131101 SHF131101 SRB131101 TAX131101 TKT131101 TUP131101 UEL131101 UOH131101 UYD131101 VHZ131101 VRV131101 WBR131101 WLN131101 WVJ131101 B196637 IX196637 ST196637 ACP196637 AML196637 AWH196637 BGD196637 BPZ196637 BZV196637 CJR196637 CTN196637 DDJ196637 DNF196637 DXB196637 EGX196637 EQT196637 FAP196637 FKL196637 FUH196637 GED196637 GNZ196637 GXV196637 HHR196637 HRN196637 IBJ196637 ILF196637 IVB196637 JEX196637 JOT196637 JYP196637 KIL196637 KSH196637 LCD196637 LLZ196637 LVV196637 MFR196637 MPN196637 MZJ196637 NJF196637 NTB196637 OCX196637 OMT196637 OWP196637 PGL196637 PQH196637 QAD196637 QJZ196637 QTV196637 RDR196637 RNN196637 RXJ196637 SHF196637 SRB196637 TAX196637 TKT196637 TUP196637 UEL196637 UOH196637 UYD196637 VHZ196637 VRV196637 WBR196637 WLN196637 WVJ196637 B262173 IX262173 ST262173 ACP262173 AML262173 AWH262173 BGD262173 BPZ262173 BZV262173 CJR262173 CTN262173 DDJ262173 DNF262173 DXB262173 EGX262173 EQT262173 FAP262173 FKL262173 FUH262173 GED262173 GNZ262173 GXV262173 HHR262173 HRN262173 IBJ262173 ILF262173 IVB262173 JEX262173 JOT262173 JYP262173 KIL262173 KSH262173 LCD262173 LLZ262173 LVV262173 MFR262173 MPN262173 MZJ262173 NJF262173 NTB262173 OCX262173 OMT262173 OWP262173 PGL262173 PQH262173 QAD262173 QJZ262173 QTV262173 RDR262173 RNN262173 RXJ262173 SHF262173 SRB262173 TAX262173 TKT262173 TUP262173 UEL262173 UOH262173 UYD262173 VHZ262173 VRV262173 WBR262173 WLN262173 WVJ262173 B327709 IX327709 ST327709 ACP327709 AML327709 AWH327709 BGD327709 BPZ327709 BZV327709 CJR327709 CTN327709 DDJ327709 DNF327709 DXB327709 EGX327709 EQT327709 FAP327709 FKL327709 FUH327709 GED327709 GNZ327709 GXV327709 HHR327709 HRN327709 IBJ327709 ILF327709 IVB327709 JEX327709 JOT327709 JYP327709 KIL327709 KSH327709 LCD327709 LLZ327709 LVV327709 MFR327709 MPN327709 MZJ327709 NJF327709 NTB327709 OCX327709 OMT327709 OWP327709 PGL327709 PQH327709 QAD327709 QJZ327709 QTV327709 RDR327709 RNN327709 RXJ327709 SHF327709 SRB327709 TAX327709 TKT327709 TUP327709 UEL327709 UOH327709 UYD327709 VHZ327709 VRV327709 WBR327709 WLN327709 WVJ327709 B393245 IX393245 ST393245 ACP393245 AML393245 AWH393245 BGD393245 BPZ393245 BZV393245 CJR393245 CTN393245 DDJ393245 DNF393245 DXB393245 EGX393245 EQT393245 FAP393245 FKL393245 FUH393245 GED393245 GNZ393245 GXV393245 HHR393245 HRN393245 IBJ393245 ILF393245 IVB393245 JEX393245 JOT393245 JYP393245 KIL393245 KSH393245 LCD393245 LLZ393245 LVV393245 MFR393245 MPN393245 MZJ393245 NJF393245 NTB393245 OCX393245 OMT393245 OWP393245 PGL393245 PQH393245 QAD393245 QJZ393245 QTV393245 RDR393245 RNN393245 RXJ393245 SHF393245 SRB393245 TAX393245 TKT393245 TUP393245 UEL393245 UOH393245 UYD393245 VHZ393245 VRV393245 WBR393245 WLN393245 WVJ393245 B458781 IX458781 ST458781 ACP458781 AML458781 AWH458781 BGD458781 BPZ458781 BZV458781 CJR458781 CTN458781 DDJ458781 DNF458781 DXB458781 EGX458781 EQT458781 FAP458781 FKL458781 FUH458781 GED458781 GNZ458781 GXV458781 HHR458781 HRN458781 IBJ458781 ILF458781 IVB458781 JEX458781 JOT458781 JYP458781 KIL458781 KSH458781 LCD458781 LLZ458781 LVV458781 MFR458781 MPN458781 MZJ458781 NJF458781 NTB458781 OCX458781 OMT458781 OWP458781 PGL458781 PQH458781 QAD458781 QJZ458781 QTV458781 RDR458781 RNN458781 RXJ458781 SHF458781 SRB458781 TAX458781 TKT458781 TUP458781 UEL458781 UOH458781 UYD458781 VHZ458781 VRV458781 WBR458781 WLN458781 WVJ458781 B524317 IX524317 ST524317 ACP524317 AML524317 AWH524317 BGD524317 BPZ524317 BZV524317 CJR524317 CTN524317 DDJ524317 DNF524317 DXB524317 EGX524317 EQT524317 FAP524317 FKL524317 FUH524317 GED524317 GNZ524317 GXV524317 HHR524317 HRN524317 IBJ524317 ILF524317 IVB524317 JEX524317 JOT524317 JYP524317 KIL524317 KSH524317 LCD524317 LLZ524317 LVV524317 MFR524317 MPN524317 MZJ524317 NJF524317 NTB524317 OCX524317 OMT524317 OWP524317 PGL524317 PQH524317 QAD524317 QJZ524317 QTV524317 RDR524317 RNN524317 RXJ524317 SHF524317 SRB524317 TAX524317 TKT524317 TUP524317 UEL524317 UOH524317 UYD524317 VHZ524317 VRV524317 WBR524317 WLN524317 WVJ524317 B589853 IX589853 ST589853 ACP589853 AML589853 AWH589853 BGD589853 BPZ589853 BZV589853 CJR589853 CTN589853 DDJ589853 DNF589853 DXB589853 EGX589853 EQT589853 FAP589853 FKL589853 FUH589853 GED589853 GNZ589853 GXV589853 HHR589853 HRN589853 IBJ589853 ILF589853 IVB589853 JEX589853 JOT589853 JYP589853 KIL589853 KSH589853 LCD589853 LLZ589853 LVV589853 MFR589853 MPN589853 MZJ589853 NJF589853 NTB589853 OCX589853 OMT589853 OWP589853 PGL589853 PQH589853 QAD589853 QJZ589853 QTV589853 RDR589853 RNN589853 RXJ589853 SHF589853 SRB589853 TAX589853 TKT589853 TUP589853 UEL589853 UOH589853 UYD589853 VHZ589853 VRV589853 WBR589853 WLN589853 WVJ589853 B655389 IX655389 ST655389 ACP655389 AML655389 AWH655389 BGD655389 BPZ655389 BZV655389 CJR655389 CTN655389 DDJ655389 DNF655389 DXB655389 EGX655389 EQT655389 FAP655389 FKL655389 FUH655389 GED655389 GNZ655389 GXV655389 HHR655389 HRN655389 IBJ655389 ILF655389 IVB655389 JEX655389 JOT655389 JYP655389 KIL655389 KSH655389 LCD655389 LLZ655389 LVV655389 MFR655389 MPN655389 MZJ655389 NJF655389 NTB655389 OCX655389 OMT655389 OWP655389 PGL655389 PQH655389 QAD655389 QJZ655389 QTV655389 RDR655389 RNN655389 RXJ655389 SHF655389 SRB655389 TAX655389 TKT655389 TUP655389 UEL655389 UOH655389 UYD655389 VHZ655389 VRV655389 WBR655389 WLN655389 WVJ655389 B720925 IX720925 ST720925 ACP720925 AML720925 AWH720925 BGD720925 BPZ720925 BZV720925 CJR720925 CTN720925 DDJ720925 DNF720925 DXB720925 EGX720925 EQT720925 FAP720925 FKL720925 FUH720925 GED720925 GNZ720925 GXV720925 HHR720925 HRN720925 IBJ720925 ILF720925 IVB720925 JEX720925 JOT720925 JYP720925 KIL720925 KSH720925 LCD720925 LLZ720925 LVV720925 MFR720925 MPN720925 MZJ720925 NJF720925 NTB720925 OCX720925 OMT720925 OWP720925 PGL720925 PQH720925 QAD720925 QJZ720925 QTV720925 RDR720925 RNN720925 RXJ720925 SHF720925 SRB720925 TAX720925 TKT720925 TUP720925 UEL720925 UOH720925 UYD720925 VHZ720925 VRV720925 WBR720925 WLN720925 WVJ720925 B786461 IX786461 ST786461 ACP786461 AML786461 AWH786461 BGD786461 BPZ786461 BZV786461 CJR786461 CTN786461 DDJ786461 DNF786461 DXB786461 EGX786461 EQT786461 FAP786461 FKL786461 FUH786461 GED786461 GNZ786461 GXV786461 HHR786461 HRN786461 IBJ786461 ILF786461 IVB786461 JEX786461 JOT786461 JYP786461 KIL786461 KSH786461 LCD786461 LLZ786461 LVV786461 MFR786461 MPN786461 MZJ786461 NJF786461 NTB786461 OCX786461 OMT786461 OWP786461 PGL786461 PQH786461 QAD786461 QJZ786461 QTV786461 RDR786461 RNN786461 RXJ786461 SHF786461 SRB786461 TAX786461 TKT786461 TUP786461 UEL786461 UOH786461 UYD786461 VHZ786461 VRV786461 WBR786461 WLN786461 WVJ786461 B851997 IX851997 ST851997 ACP851997 AML851997 AWH851997 BGD851997 BPZ851997 BZV851997 CJR851997 CTN851997 DDJ851997 DNF851997 DXB851997 EGX851997 EQT851997 FAP851997 FKL851997 FUH851997 GED851997 GNZ851997 GXV851997 HHR851997 HRN851997 IBJ851997 ILF851997 IVB851997 JEX851997 JOT851997 JYP851997 KIL851997 KSH851997 LCD851997 LLZ851997 LVV851997 MFR851997 MPN851997 MZJ851997 NJF851997 NTB851997 OCX851997 OMT851997 OWP851997 PGL851997 PQH851997 QAD851997 QJZ851997 QTV851997 RDR851997 RNN851997 RXJ851997 SHF851997 SRB851997 TAX851997 TKT851997 TUP851997 UEL851997 UOH851997 UYD851997 VHZ851997 VRV851997 WBR851997 WLN851997 WVJ851997 B917533 IX917533 ST917533 ACP917533 AML917533 AWH917533 BGD917533 BPZ917533 BZV917533 CJR917533 CTN917533 DDJ917533 DNF917533 DXB917533 EGX917533 EQT917533 FAP917533 FKL917533 FUH917533 GED917533 GNZ917533 GXV917533 HHR917533 HRN917533 IBJ917533 ILF917533 IVB917533 JEX917533 JOT917533 JYP917533 KIL917533 KSH917533 LCD917533 LLZ917533 LVV917533 MFR917533 MPN917533 MZJ917533 NJF917533 NTB917533 OCX917533 OMT917533 OWP917533 PGL917533 PQH917533 QAD917533 QJZ917533 QTV917533 RDR917533 RNN917533 RXJ917533 SHF917533 SRB917533 TAX917533 TKT917533 TUP917533 UEL917533 UOH917533 UYD917533 VHZ917533 VRV917533 WBR917533 WLN917533 WVJ917533 B983069 IX983069 ST983069 ACP983069 AML983069 AWH983069 BGD983069 BPZ983069 BZV983069 CJR983069 CTN983069 DDJ983069 DNF983069 DXB983069 EGX983069 EQT983069 FAP983069 FKL983069 FUH983069 GED983069 GNZ983069 GXV983069 HHR983069 HRN983069 IBJ983069 ILF983069 IVB983069 JEX983069 JOT983069 JYP983069 KIL983069 KSH983069 LCD983069 LLZ983069 LVV983069 MFR983069 MPN983069 MZJ983069 NJF983069 NTB983069 OCX983069 OMT983069 OWP983069 PGL983069 PQH983069 QAD983069 QJZ983069 QTV983069 RDR983069 RNN983069 RXJ983069 SHF983069 SRB983069 TAX983069 TKT983069 TUP983069 UEL983069 UOH983069 UYD983069 VHZ983069 VRV983069 WBR983069 WLN983069 WVJ983069" xr:uid="{FCDFDC8B-D6F9-4CC2-B0B6-FA85B1B5A9E8}"/>
    <dataValidation type="list" allowBlank="1" showInputMessage="1" showErrorMessage="1" sqref="WVM983069:WVM983146 WVM917533:WVM917610 WVM851997:WVM852074 WVM786461:WVM786538 WVM720925:WVM721002 WVM655389:WVM655466 WVM589853:WVM589930 WVM524317:WVM524394 WVM458781:WVM458858 WVM393245:WVM393322 WVM327709:WVM327786 WVM262173:WVM262250 WVM196637:WVM196714 WVM131101:WVM131178 WVM65565:WVM65642 WLQ983069:WLQ983146 WLQ917533:WLQ917610 WLQ851997:WLQ852074 WLQ786461:WLQ786538 WLQ720925:WLQ721002 WLQ655389:WLQ655466 WLQ589853:WLQ589930 WLQ524317:WLQ524394 WLQ458781:WLQ458858 WLQ393245:WLQ393322 WLQ327709:WLQ327786 WLQ262173:WLQ262250 WLQ196637:WLQ196714 WLQ131101:WLQ131178 WLQ65565:WLQ65642 WBU983069:WBU983146 WBU917533:WBU917610 WBU851997:WBU852074 WBU786461:WBU786538 WBU720925:WBU721002 WBU655389:WBU655466 WBU589853:WBU589930 WBU524317:WBU524394 WBU458781:WBU458858 WBU393245:WBU393322 WBU327709:WBU327786 WBU262173:WBU262250 WBU196637:WBU196714 WBU131101:WBU131178 WBU65565:WBU65642 VRY983069:VRY983146 VRY917533:VRY917610 VRY851997:VRY852074 VRY786461:VRY786538 VRY720925:VRY721002 VRY655389:VRY655466 VRY589853:VRY589930 VRY524317:VRY524394 VRY458781:VRY458858 VRY393245:VRY393322 VRY327709:VRY327786 VRY262173:VRY262250 VRY196637:VRY196714 VRY131101:VRY131178 VRY65565:VRY65642 VIC983069:VIC983146 VIC917533:VIC917610 VIC851997:VIC852074 VIC786461:VIC786538 VIC720925:VIC721002 VIC655389:VIC655466 VIC589853:VIC589930 VIC524317:VIC524394 VIC458781:VIC458858 VIC393245:VIC393322 VIC327709:VIC327786 VIC262173:VIC262250 VIC196637:VIC196714 VIC131101:VIC131178 VIC65565:VIC65642 UYG983069:UYG983146 UYG917533:UYG917610 UYG851997:UYG852074 UYG786461:UYG786538 UYG720925:UYG721002 UYG655389:UYG655466 UYG589853:UYG589930 UYG524317:UYG524394 UYG458781:UYG458858 UYG393245:UYG393322 UYG327709:UYG327786 UYG262173:UYG262250 UYG196637:UYG196714 UYG131101:UYG131178 UYG65565:UYG65642 UOK983069:UOK983146 UOK917533:UOK917610 UOK851997:UOK852074 UOK786461:UOK786538 UOK720925:UOK721002 UOK655389:UOK655466 UOK589853:UOK589930 UOK524317:UOK524394 UOK458781:UOK458858 UOK393245:UOK393322 UOK327709:UOK327786 UOK262173:UOK262250 UOK196637:UOK196714 UOK131101:UOK131178 UOK65565:UOK65642 UEO983069:UEO983146 UEO917533:UEO917610 UEO851997:UEO852074 UEO786461:UEO786538 UEO720925:UEO721002 UEO655389:UEO655466 UEO589853:UEO589930 UEO524317:UEO524394 UEO458781:UEO458858 UEO393245:UEO393322 UEO327709:UEO327786 UEO262173:UEO262250 UEO196637:UEO196714 UEO131101:UEO131178 UEO65565:UEO65642 TUS983069:TUS983146 TUS917533:TUS917610 TUS851997:TUS852074 TUS786461:TUS786538 TUS720925:TUS721002 TUS655389:TUS655466 TUS589853:TUS589930 TUS524317:TUS524394 TUS458781:TUS458858 TUS393245:TUS393322 TUS327709:TUS327786 TUS262173:TUS262250 TUS196637:TUS196714 TUS131101:TUS131178 TUS65565:TUS65642 TKW983069:TKW983146 TKW917533:TKW917610 TKW851997:TKW852074 TKW786461:TKW786538 TKW720925:TKW721002 TKW655389:TKW655466 TKW589853:TKW589930 TKW524317:TKW524394 TKW458781:TKW458858 TKW393245:TKW393322 TKW327709:TKW327786 TKW262173:TKW262250 TKW196637:TKW196714 TKW131101:TKW131178 TKW65565:TKW65642 TBA983069:TBA983146 TBA917533:TBA917610 TBA851997:TBA852074 TBA786461:TBA786538 TBA720925:TBA721002 TBA655389:TBA655466 TBA589853:TBA589930 TBA524317:TBA524394 TBA458781:TBA458858 TBA393245:TBA393322 TBA327709:TBA327786 TBA262173:TBA262250 TBA196637:TBA196714 TBA131101:TBA131178 TBA65565:TBA65642 SRE983069:SRE983146 SRE917533:SRE917610 SRE851997:SRE852074 SRE786461:SRE786538 SRE720925:SRE721002 SRE655389:SRE655466 SRE589853:SRE589930 SRE524317:SRE524394 SRE458781:SRE458858 SRE393245:SRE393322 SRE327709:SRE327786 SRE262173:SRE262250 SRE196637:SRE196714 SRE131101:SRE131178 SRE65565:SRE65642 SHI983069:SHI983146 SHI917533:SHI917610 SHI851997:SHI852074 SHI786461:SHI786538 SHI720925:SHI721002 SHI655389:SHI655466 SHI589853:SHI589930 SHI524317:SHI524394 SHI458781:SHI458858 SHI393245:SHI393322 SHI327709:SHI327786 SHI262173:SHI262250 SHI196637:SHI196714 SHI131101:SHI131178 SHI65565:SHI65642 RXM983069:RXM983146 RXM917533:RXM917610 RXM851997:RXM852074 RXM786461:RXM786538 RXM720925:RXM721002 RXM655389:RXM655466 RXM589853:RXM589930 RXM524317:RXM524394 RXM458781:RXM458858 RXM393245:RXM393322 RXM327709:RXM327786 RXM262173:RXM262250 RXM196637:RXM196714 RXM131101:RXM131178 RXM65565:RXM65642 RNQ983069:RNQ983146 RNQ917533:RNQ917610 RNQ851997:RNQ852074 RNQ786461:RNQ786538 RNQ720925:RNQ721002 RNQ655389:RNQ655466 RNQ589853:RNQ589930 RNQ524317:RNQ524394 RNQ458781:RNQ458858 RNQ393245:RNQ393322 RNQ327709:RNQ327786 RNQ262173:RNQ262250 RNQ196637:RNQ196714 RNQ131101:RNQ131178 RNQ65565:RNQ65642 RDU983069:RDU983146 RDU917533:RDU917610 RDU851997:RDU852074 RDU786461:RDU786538 RDU720925:RDU721002 RDU655389:RDU655466 RDU589853:RDU589930 RDU524317:RDU524394 RDU458781:RDU458858 RDU393245:RDU393322 RDU327709:RDU327786 RDU262173:RDU262250 RDU196637:RDU196714 RDU131101:RDU131178 RDU65565:RDU65642 QTY983069:QTY983146 QTY917533:QTY917610 QTY851997:QTY852074 QTY786461:QTY786538 QTY720925:QTY721002 QTY655389:QTY655466 QTY589853:QTY589930 QTY524317:QTY524394 QTY458781:QTY458858 QTY393245:QTY393322 QTY327709:QTY327786 QTY262173:QTY262250 QTY196637:QTY196714 QTY131101:QTY131178 QTY65565:QTY65642 QKC983069:QKC983146 QKC917533:QKC917610 QKC851997:QKC852074 QKC786461:QKC786538 QKC720925:QKC721002 QKC655389:QKC655466 QKC589853:QKC589930 QKC524317:QKC524394 QKC458781:QKC458858 QKC393245:QKC393322 QKC327709:QKC327786 QKC262173:QKC262250 QKC196637:QKC196714 QKC131101:QKC131178 QKC65565:QKC65642 QAG983069:QAG983146 QAG917533:QAG917610 QAG851997:QAG852074 QAG786461:QAG786538 QAG720925:QAG721002 QAG655389:QAG655466 QAG589853:QAG589930 QAG524317:QAG524394 QAG458781:QAG458858 QAG393245:QAG393322 QAG327709:QAG327786 QAG262173:QAG262250 QAG196637:QAG196714 QAG131101:QAG131178 QAG65565:QAG65642 PQK983069:PQK983146 PQK917533:PQK917610 PQK851997:PQK852074 PQK786461:PQK786538 PQK720925:PQK721002 PQK655389:PQK655466 PQK589853:PQK589930 PQK524317:PQK524394 PQK458781:PQK458858 PQK393245:PQK393322 PQK327709:PQK327786 PQK262173:PQK262250 PQK196637:PQK196714 PQK131101:PQK131178 PQK65565:PQK65642 PGO983069:PGO983146 PGO917533:PGO917610 PGO851997:PGO852074 PGO786461:PGO786538 PGO720925:PGO721002 PGO655389:PGO655466 PGO589853:PGO589930 PGO524317:PGO524394 PGO458781:PGO458858 PGO393245:PGO393322 PGO327709:PGO327786 PGO262173:PGO262250 PGO196637:PGO196714 PGO131101:PGO131178 PGO65565:PGO65642 OWS983069:OWS983146 OWS917533:OWS917610 OWS851997:OWS852074 OWS786461:OWS786538 OWS720925:OWS721002 OWS655389:OWS655466 OWS589853:OWS589930 OWS524317:OWS524394 OWS458781:OWS458858 OWS393245:OWS393322 OWS327709:OWS327786 OWS262173:OWS262250 OWS196637:OWS196714 OWS131101:OWS131178 OWS65565:OWS65642 OMW983069:OMW983146 OMW917533:OMW917610 OMW851997:OMW852074 OMW786461:OMW786538 OMW720925:OMW721002 OMW655389:OMW655466 OMW589853:OMW589930 OMW524317:OMW524394 OMW458781:OMW458858 OMW393245:OMW393322 OMW327709:OMW327786 OMW262173:OMW262250 OMW196637:OMW196714 OMW131101:OMW131178 OMW65565:OMW65642 ODA983069:ODA983146 ODA917533:ODA917610 ODA851997:ODA852074 ODA786461:ODA786538 ODA720925:ODA721002 ODA655389:ODA655466 ODA589853:ODA589930 ODA524317:ODA524394 ODA458781:ODA458858 ODA393245:ODA393322 ODA327709:ODA327786 ODA262173:ODA262250 ODA196637:ODA196714 ODA131101:ODA131178 ODA65565:ODA65642 NTE983069:NTE983146 NTE917533:NTE917610 NTE851997:NTE852074 NTE786461:NTE786538 NTE720925:NTE721002 NTE655389:NTE655466 NTE589853:NTE589930 NTE524317:NTE524394 NTE458781:NTE458858 NTE393245:NTE393322 NTE327709:NTE327786 NTE262173:NTE262250 NTE196637:NTE196714 NTE131101:NTE131178 NTE65565:NTE65642 NJI983069:NJI983146 NJI917533:NJI917610 NJI851997:NJI852074 NJI786461:NJI786538 NJI720925:NJI721002 NJI655389:NJI655466 NJI589853:NJI589930 NJI524317:NJI524394 NJI458781:NJI458858 NJI393245:NJI393322 NJI327709:NJI327786 NJI262173:NJI262250 NJI196637:NJI196714 NJI131101:NJI131178 NJI65565:NJI65642 MZM983069:MZM983146 MZM917533:MZM917610 MZM851997:MZM852074 MZM786461:MZM786538 MZM720925:MZM721002 MZM655389:MZM655466 MZM589853:MZM589930 MZM524317:MZM524394 MZM458781:MZM458858 MZM393245:MZM393322 MZM327709:MZM327786 MZM262173:MZM262250 MZM196637:MZM196714 MZM131101:MZM131178 MZM65565:MZM65642 MPQ983069:MPQ983146 MPQ917533:MPQ917610 MPQ851997:MPQ852074 MPQ786461:MPQ786538 MPQ720925:MPQ721002 MPQ655389:MPQ655466 MPQ589853:MPQ589930 MPQ524317:MPQ524394 MPQ458781:MPQ458858 MPQ393245:MPQ393322 MPQ327709:MPQ327786 MPQ262173:MPQ262250 MPQ196637:MPQ196714 MPQ131101:MPQ131178 MPQ65565:MPQ65642 MFU983069:MFU983146 MFU917533:MFU917610 MFU851997:MFU852074 MFU786461:MFU786538 MFU720925:MFU721002 MFU655389:MFU655466 MFU589853:MFU589930 MFU524317:MFU524394 MFU458781:MFU458858 MFU393245:MFU393322 MFU327709:MFU327786 MFU262173:MFU262250 MFU196637:MFU196714 MFU131101:MFU131178 MFU65565:MFU65642 LVY983069:LVY983146 LVY917533:LVY917610 LVY851997:LVY852074 LVY786461:LVY786538 LVY720925:LVY721002 LVY655389:LVY655466 LVY589853:LVY589930 LVY524317:LVY524394 LVY458781:LVY458858 LVY393245:LVY393322 LVY327709:LVY327786 LVY262173:LVY262250 LVY196637:LVY196714 LVY131101:LVY131178 LVY65565:LVY65642 LMC983069:LMC983146 LMC917533:LMC917610 LMC851997:LMC852074 LMC786461:LMC786538 LMC720925:LMC721002 LMC655389:LMC655466 LMC589853:LMC589930 LMC524317:LMC524394 LMC458781:LMC458858 LMC393245:LMC393322 LMC327709:LMC327786 LMC262173:LMC262250 LMC196637:LMC196714 LMC131101:LMC131178 LMC65565:LMC65642 LCG983069:LCG983146 LCG917533:LCG917610 LCG851997:LCG852074 LCG786461:LCG786538 LCG720925:LCG721002 LCG655389:LCG655466 LCG589853:LCG589930 LCG524317:LCG524394 LCG458781:LCG458858 LCG393245:LCG393322 LCG327709:LCG327786 LCG262173:LCG262250 LCG196637:LCG196714 LCG131101:LCG131178 LCG65565:LCG65642 KSK983069:KSK983146 KSK917533:KSK917610 KSK851997:KSK852074 KSK786461:KSK786538 KSK720925:KSK721002 KSK655389:KSK655466 KSK589853:KSK589930 KSK524317:KSK524394 KSK458781:KSK458858 KSK393245:KSK393322 KSK327709:KSK327786 KSK262173:KSK262250 KSK196637:KSK196714 KSK131101:KSK131178 KSK65565:KSK65642 KIO983069:KIO983146 KIO917533:KIO917610 KIO851997:KIO852074 KIO786461:KIO786538 KIO720925:KIO721002 KIO655389:KIO655466 KIO589853:KIO589930 KIO524317:KIO524394 KIO458781:KIO458858 KIO393245:KIO393322 KIO327709:KIO327786 KIO262173:KIO262250 KIO196637:KIO196714 KIO131101:KIO131178 KIO65565:KIO65642 JYS983069:JYS983146 JYS917533:JYS917610 JYS851997:JYS852074 JYS786461:JYS786538 JYS720925:JYS721002 JYS655389:JYS655466 JYS589853:JYS589930 JYS524317:JYS524394 JYS458781:JYS458858 JYS393245:JYS393322 JYS327709:JYS327786 JYS262173:JYS262250 JYS196637:JYS196714 JYS131101:JYS131178 JYS65565:JYS65642 JOW983069:JOW983146 JOW917533:JOW917610 JOW851997:JOW852074 JOW786461:JOW786538 JOW720925:JOW721002 JOW655389:JOW655466 JOW589853:JOW589930 JOW524317:JOW524394 JOW458781:JOW458858 JOW393245:JOW393322 JOW327709:JOW327786 JOW262173:JOW262250 JOW196637:JOW196714 JOW131101:JOW131178 JOW65565:JOW65642 JFA983069:JFA983146 JFA917533:JFA917610 JFA851997:JFA852074 JFA786461:JFA786538 JFA720925:JFA721002 JFA655389:JFA655466 JFA589853:JFA589930 JFA524317:JFA524394 JFA458781:JFA458858 JFA393245:JFA393322 JFA327709:JFA327786 JFA262173:JFA262250 JFA196637:JFA196714 JFA131101:JFA131178 JFA65565:JFA65642 IVE983069:IVE983146 IVE917533:IVE917610 IVE851997:IVE852074 IVE786461:IVE786538 IVE720925:IVE721002 IVE655389:IVE655466 IVE589853:IVE589930 IVE524317:IVE524394 IVE458781:IVE458858 IVE393245:IVE393322 IVE327709:IVE327786 IVE262173:IVE262250 IVE196637:IVE196714 IVE131101:IVE131178 IVE65565:IVE65642 ILI983069:ILI983146 ILI917533:ILI917610 ILI851997:ILI852074 ILI786461:ILI786538 ILI720925:ILI721002 ILI655389:ILI655466 ILI589853:ILI589930 ILI524317:ILI524394 ILI458781:ILI458858 ILI393245:ILI393322 ILI327709:ILI327786 ILI262173:ILI262250 ILI196637:ILI196714 ILI131101:ILI131178 ILI65565:ILI65642 IBM983069:IBM983146 IBM917533:IBM917610 IBM851997:IBM852074 IBM786461:IBM786538 IBM720925:IBM721002 IBM655389:IBM655466 IBM589853:IBM589930 IBM524317:IBM524394 IBM458781:IBM458858 IBM393245:IBM393322 IBM327709:IBM327786 IBM262173:IBM262250 IBM196637:IBM196714 IBM131101:IBM131178 IBM65565:IBM65642 HRQ983069:HRQ983146 HRQ917533:HRQ917610 HRQ851997:HRQ852074 HRQ786461:HRQ786538 HRQ720925:HRQ721002 HRQ655389:HRQ655466 HRQ589853:HRQ589930 HRQ524317:HRQ524394 HRQ458781:HRQ458858 HRQ393245:HRQ393322 HRQ327709:HRQ327786 HRQ262173:HRQ262250 HRQ196637:HRQ196714 HRQ131101:HRQ131178 HRQ65565:HRQ65642 HHU983069:HHU983146 HHU917533:HHU917610 HHU851997:HHU852074 HHU786461:HHU786538 HHU720925:HHU721002 HHU655389:HHU655466 HHU589853:HHU589930 HHU524317:HHU524394 HHU458781:HHU458858 HHU393245:HHU393322 HHU327709:HHU327786 HHU262173:HHU262250 HHU196637:HHU196714 HHU131101:HHU131178 HHU65565:HHU65642 GXY983069:GXY983146 GXY917533:GXY917610 GXY851997:GXY852074 GXY786461:GXY786538 GXY720925:GXY721002 GXY655389:GXY655466 GXY589853:GXY589930 GXY524317:GXY524394 GXY458781:GXY458858 GXY393245:GXY393322 GXY327709:GXY327786 GXY262173:GXY262250 GXY196637:GXY196714 GXY131101:GXY131178 GXY65565:GXY65642 GOC983069:GOC983146 GOC917533:GOC917610 GOC851997:GOC852074 GOC786461:GOC786538 GOC720925:GOC721002 GOC655389:GOC655466 GOC589853:GOC589930 GOC524317:GOC524394 GOC458781:GOC458858 GOC393245:GOC393322 GOC327709:GOC327786 GOC262173:GOC262250 GOC196637:GOC196714 GOC131101:GOC131178 GOC65565:GOC65642 GEG983069:GEG983146 GEG917533:GEG917610 GEG851997:GEG852074 GEG786461:GEG786538 GEG720925:GEG721002 GEG655389:GEG655466 GEG589853:GEG589930 GEG524317:GEG524394 GEG458781:GEG458858 GEG393245:GEG393322 GEG327709:GEG327786 GEG262173:GEG262250 GEG196637:GEG196714 GEG131101:GEG131178 GEG65565:GEG65642 FUK983069:FUK983146 FUK917533:FUK917610 FUK851997:FUK852074 FUK786461:FUK786538 FUK720925:FUK721002 FUK655389:FUK655466 FUK589853:FUK589930 FUK524317:FUK524394 FUK458781:FUK458858 FUK393245:FUK393322 FUK327709:FUK327786 FUK262173:FUK262250 FUK196637:FUK196714 FUK131101:FUK131178 FUK65565:FUK65642 FKO983069:FKO983146 FKO917533:FKO917610 FKO851997:FKO852074 FKO786461:FKO786538 FKO720925:FKO721002 FKO655389:FKO655466 FKO589853:FKO589930 FKO524317:FKO524394 FKO458781:FKO458858 FKO393245:FKO393322 FKO327709:FKO327786 FKO262173:FKO262250 FKO196637:FKO196714 FKO131101:FKO131178 FKO65565:FKO65642 FAS983069:FAS983146 FAS917533:FAS917610 FAS851997:FAS852074 FAS786461:FAS786538 FAS720925:FAS721002 FAS655389:FAS655466 FAS589853:FAS589930 FAS524317:FAS524394 FAS458781:FAS458858 FAS393245:FAS393322 FAS327709:FAS327786 FAS262173:FAS262250 FAS196637:FAS196714 FAS131101:FAS131178 FAS65565:FAS65642 EQW983069:EQW983146 EQW917533:EQW917610 EQW851997:EQW852074 EQW786461:EQW786538 EQW720925:EQW721002 EQW655389:EQW655466 EQW589853:EQW589930 EQW524317:EQW524394 EQW458781:EQW458858 EQW393245:EQW393322 EQW327709:EQW327786 EQW262173:EQW262250 EQW196637:EQW196714 EQW131101:EQW131178 EQW65565:EQW65642 EHA983069:EHA983146 EHA917533:EHA917610 EHA851997:EHA852074 EHA786461:EHA786538 EHA720925:EHA721002 EHA655389:EHA655466 EHA589853:EHA589930 EHA524317:EHA524394 EHA458781:EHA458858 EHA393245:EHA393322 EHA327709:EHA327786 EHA262173:EHA262250 EHA196637:EHA196714 EHA131101:EHA131178 EHA65565:EHA65642 DXE983069:DXE983146 DXE917533:DXE917610 DXE851997:DXE852074 DXE786461:DXE786538 DXE720925:DXE721002 DXE655389:DXE655466 DXE589853:DXE589930 DXE524317:DXE524394 DXE458781:DXE458858 DXE393245:DXE393322 DXE327709:DXE327786 DXE262173:DXE262250 DXE196637:DXE196714 DXE131101:DXE131178 DXE65565:DXE65642 DNI983069:DNI983146 DNI917533:DNI917610 DNI851997:DNI852074 DNI786461:DNI786538 DNI720925:DNI721002 DNI655389:DNI655466 DNI589853:DNI589930 DNI524317:DNI524394 DNI458781:DNI458858 DNI393245:DNI393322 DNI327709:DNI327786 DNI262173:DNI262250 DNI196637:DNI196714 DNI131101:DNI131178 DNI65565:DNI65642 DDM983069:DDM983146 DDM917533:DDM917610 DDM851997:DDM852074 DDM786461:DDM786538 DDM720925:DDM721002 DDM655389:DDM655466 DDM589853:DDM589930 DDM524317:DDM524394 DDM458781:DDM458858 DDM393245:DDM393322 DDM327709:DDM327786 DDM262173:DDM262250 DDM196637:DDM196714 DDM131101:DDM131178 DDM65565:DDM65642 CTQ983069:CTQ983146 CTQ917533:CTQ917610 CTQ851997:CTQ852074 CTQ786461:CTQ786538 CTQ720925:CTQ721002 CTQ655389:CTQ655466 CTQ589853:CTQ589930 CTQ524317:CTQ524394 CTQ458781:CTQ458858 CTQ393245:CTQ393322 CTQ327709:CTQ327786 CTQ262173:CTQ262250 CTQ196637:CTQ196714 CTQ131101:CTQ131178 CTQ65565:CTQ65642 CJU983069:CJU983146 CJU917533:CJU917610 CJU851997:CJU852074 CJU786461:CJU786538 CJU720925:CJU721002 CJU655389:CJU655466 CJU589853:CJU589930 CJU524317:CJU524394 CJU458781:CJU458858 CJU393245:CJU393322 CJU327709:CJU327786 CJU262173:CJU262250 CJU196637:CJU196714 CJU131101:CJU131178 CJU65565:CJU65642 BZY983069:BZY983146 BZY917533:BZY917610 BZY851997:BZY852074 BZY786461:BZY786538 BZY720925:BZY721002 BZY655389:BZY655466 BZY589853:BZY589930 BZY524317:BZY524394 BZY458781:BZY458858 BZY393245:BZY393322 BZY327709:BZY327786 BZY262173:BZY262250 BZY196637:BZY196714 BZY131101:BZY131178 BZY65565:BZY65642 BQC983069:BQC983146 BQC917533:BQC917610 BQC851997:BQC852074 BQC786461:BQC786538 BQC720925:BQC721002 BQC655389:BQC655466 BQC589853:BQC589930 BQC524317:BQC524394 BQC458781:BQC458858 BQC393245:BQC393322 BQC327709:BQC327786 BQC262173:BQC262250 BQC196637:BQC196714 BQC131101:BQC131178 BQC65565:BQC65642 BGG983069:BGG983146 BGG917533:BGG917610 BGG851997:BGG852074 BGG786461:BGG786538 BGG720925:BGG721002 BGG655389:BGG655466 BGG589853:BGG589930 BGG524317:BGG524394 BGG458781:BGG458858 BGG393245:BGG393322 BGG327709:BGG327786 BGG262173:BGG262250 BGG196637:BGG196714 BGG131101:BGG131178 BGG65565:BGG65642 AWK983069:AWK983146 AWK917533:AWK917610 AWK851997:AWK852074 AWK786461:AWK786538 AWK720925:AWK721002 AWK655389:AWK655466 AWK589853:AWK589930 AWK524317:AWK524394 AWK458781:AWK458858 AWK393245:AWK393322 AWK327709:AWK327786 AWK262173:AWK262250 AWK196637:AWK196714 AWK131101:AWK131178 AWK65565:AWK65642 AMO983069:AMO983146 AMO917533:AMO917610 AMO851997:AMO852074 AMO786461:AMO786538 AMO720925:AMO721002 AMO655389:AMO655466 AMO589853:AMO589930 AMO524317:AMO524394 AMO458781:AMO458858 AMO393245:AMO393322 AMO327709:AMO327786 AMO262173:AMO262250 AMO196637:AMO196714 AMO131101:AMO131178 AMO65565:AMO65642 ACS983069:ACS983146 ACS917533:ACS917610 ACS851997:ACS852074 ACS786461:ACS786538 ACS720925:ACS721002 ACS655389:ACS655466 ACS589853:ACS589930 ACS524317:ACS524394 ACS458781:ACS458858 ACS393245:ACS393322 ACS327709:ACS327786 ACS262173:ACS262250 ACS196637:ACS196714 ACS131101:ACS131178 ACS65565:ACS65642 SW983069:SW983146 SW917533:SW917610 SW851997:SW852074 SW786461:SW786538 SW720925:SW721002 SW655389:SW655466 SW589853:SW589930 SW524317:SW524394 SW458781:SW458858 SW393245:SW393322 SW327709:SW327786 SW262173:SW262250 SW196637:SW196714 SW131101:SW131178 SW65565:SW65642 JA983069:JA983146 JA917533:JA917610 JA851997:JA852074 JA786461:JA786538 JA720925:JA721002 JA655389:JA655466 JA589853:JA589930 JA524317:JA524394 JA458781:JA458858 JA393245:JA393322 JA327709:JA327786 JA262173:JA262250 JA196637:JA196714 JA131101:JA131178 JA65565:JA65642 E983069:E983146 E917533:E917610 E851997:E852074 E786461:E786538 E720925:E721002 E655389:E655466 E589853:E589930 E524317:E524394 E458781:E458858 E393245:E393322 E327709:E327786 E262173:E262250 E196637:E196714 E131101:E131178 E65565:E65642 WVM2:WVM106 JA2:JA106 SW2:SW106 ACS2:ACS106 AMO2:AMO106 AWK2:AWK106 BGG2:BGG106 BQC2:BQC106 BZY2:BZY106 CJU2:CJU106 CTQ2:CTQ106 DDM2:DDM106 DNI2:DNI106 DXE2:DXE106 EHA2:EHA106 EQW2:EQW106 FAS2:FAS106 FKO2:FKO106 FUK2:FUK106 GEG2:GEG106 GOC2:GOC106 GXY2:GXY106 HHU2:HHU106 HRQ2:HRQ106 IBM2:IBM106 ILI2:ILI106 IVE2:IVE106 JFA2:JFA106 JOW2:JOW106 JYS2:JYS106 KIO2:KIO106 KSK2:KSK106 LCG2:LCG106 LMC2:LMC106 LVY2:LVY106 MFU2:MFU106 MPQ2:MPQ106 MZM2:MZM106 NJI2:NJI106 NTE2:NTE106 ODA2:ODA106 OMW2:OMW106 OWS2:OWS106 PGO2:PGO106 PQK2:PQK106 QAG2:QAG106 QKC2:QKC106 QTY2:QTY106 RDU2:RDU106 RNQ2:RNQ106 RXM2:RXM106 SHI2:SHI106 SRE2:SRE106 TBA2:TBA106 TKW2:TKW106 TUS2:TUS106 UEO2:UEO106 UOK2:UOK106 UYG2:UYG106 VIC2:VIC106 VRY2:VRY106 WBU2:WBU106 WLQ2:WLQ106 E2:E759" xr:uid="{608838E8-EE27-4650-907B-5F8502C3C41B}">
      <formula1>$AG$2:$AG$14</formula1>
    </dataValidation>
    <dataValidation type="list" allowBlank="1" showInputMessage="1" showErrorMessage="1" sqref="H65565:H65642 WVP983069:WVP983146 WVP917533:WVP917610 WVP851997:WVP852074 WVP786461:WVP786538 WVP720925:WVP721002 WVP655389:WVP655466 WVP589853:WVP589930 WVP524317:WVP524394 WVP458781:WVP458858 WVP393245:WVP393322 WVP327709:WVP327786 WVP262173:WVP262250 WVP196637:WVP196714 WVP131101:WVP131178 WVP65565:WVP65642 WLT983069:WLT983146 WLT917533:WLT917610 WLT851997:WLT852074 WLT786461:WLT786538 WLT720925:WLT721002 WLT655389:WLT655466 WLT589853:WLT589930 WLT524317:WLT524394 WLT458781:WLT458858 WLT393245:WLT393322 WLT327709:WLT327786 WLT262173:WLT262250 WLT196637:WLT196714 WLT131101:WLT131178 WLT65565:WLT65642 WBX983069:WBX983146 WBX917533:WBX917610 WBX851997:WBX852074 WBX786461:WBX786538 WBX720925:WBX721002 WBX655389:WBX655466 WBX589853:WBX589930 WBX524317:WBX524394 WBX458781:WBX458858 WBX393245:WBX393322 WBX327709:WBX327786 WBX262173:WBX262250 WBX196637:WBX196714 WBX131101:WBX131178 WBX65565:WBX65642 VSB983069:VSB983146 VSB917533:VSB917610 VSB851997:VSB852074 VSB786461:VSB786538 VSB720925:VSB721002 VSB655389:VSB655466 VSB589853:VSB589930 VSB524317:VSB524394 VSB458781:VSB458858 VSB393245:VSB393322 VSB327709:VSB327786 VSB262173:VSB262250 VSB196637:VSB196714 VSB131101:VSB131178 VSB65565:VSB65642 VIF983069:VIF983146 VIF917533:VIF917610 VIF851997:VIF852074 VIF786461:VIF786538 VIF720925:VIF721002 VIF655389:VIF655466 VIF589853:VIF589930 VIF524317:VIF524394 VIF458781:VIF458858 VIF393245:VIF393322 VIF327709:VIF327786 VIF262173:VIF262250 VIF196637:VIF196714 VIF131101:VIF131178 VIF65565:VIF65642 UYJ983069:UYJ983146 UYJ917533:UYJ917610 UYJ851997:UYJ852074 UYJ786461:UYJ786538 UYJ720925:UYJ721002 UYJ655389:UYJ655466 UYJ589853:UYJ589930 UYJ524317:UYJ524394 UYJ458781:UYJ458858 UYJ393245:UYJ393322 UYJ327709:UYJ327786 UYJ262173:UYJ262250 UYJ196637:UYJ196714 UYJ131101:UYJ131178 UYJ65565:UYJ65642 UON983069:UON983146 UON917533:UON917610 UON851997:UON852074 UON786461:UON786538 UON720925:UON721002 UON655389:UON655466 UON589853:UON589930 UON524317:UON524394 UON458781:UON458858 UON393245:UON393322 UON327709:UON327786 UON262173:UON262250 UON196637:UON196714 UON131101:UON131178 UON65565:UON65642 UER983069:UER983146 UER917533:UER917610 UER851997:UER852074 UER786461:UER786538 UER720925:UER721002 UER655389:UER655466 UER589853:UER589930 UER524317:UER524394 UER458781:UER458858 UER393245:UER393322 UER327709:UER327786 UER262173:UER262250 UER196637:UER196714 UER131101:UER131178 UER65565:UER65642 TUV983069:TUV983146 TUV917533:TUV917610 TUV851997:TUV852074 TUV786461:TUV786538 TUV720925:TUV721002 TUV655389:TUV655466 TUV589853:TUV589930 TUV524317:TUV524394 TUV458781:TUV458858 TUV393245:TUV393322 TUV327709:TUV327786 TUV262173:TUV262250 TUV196637:TUV196714 TUV131101:TUV131178 TUV65565:TUV65642 TKZ983069:TKZ983146 TKZ917533:TKZ917610 TKZ851997:TKZ852074 TKZ786461:TKZ786538 TKZ720925:TKZ721002 TKZ655389:TKZ655466 TKZ589853:TKZ589930 TKZ524317:TKZ524394 TKZ458781:TKZ458858 TKZ393245:TKZ393322 TKZ327709:TKZ327786 TKZ262173:TKZ262250 TKZ196637:TKZ196714 TKZ131101:TKZ131178 TKZ65565:TKZ65642 TBD983069:TBD983146 TBD917533:TBD917610 TBD851997:TBD852074 TBD786461:TBD786538 TBD720925:TBD721002 TBD655389:TBD655466 TBD589853:TBD589930 TBD524317:TBD524394 TBD458781:TBD458858 TBD393245:TBD393322 TBD327709:TBD327786 TBD262173:TBD262250 TBD196637:TBD196714 TBD131101:TBD131178 TBD65565:TBD65642 SRH983069:SRH983146 SRH917533:SRH917610 SRH851997:SRH852074 SRH786461:SRH786538 SRH720925:SRH721002 SRH655389:SRH655466 SRH589853:SRH589930 SRH524317:SRH524394 SRH458781:SRH458858 SRH393245:SRH393322 SRH327709:SRH327786 SRH262173:SRH262250 SRH196637:SRH196714 SRH131101:SRH131178 SRH65565:SRH65642 SHL983069:SHL983146 SHL917533:SHL917610 SHL851997:SHL852074 SHL786461:SHL786538 SHL720925:SHL721002 SHL655389:SHL655466 SHL589853:SHL589930 SHL524317:SHL524394 SHL458781:SHL458858 SHL393245:SHL393322 SHL327709:SHL327786 SHL262173:SHL262250 SHL196637:SHL196714 SHL131101:SHL131178 SHL65565:SHL65642 RXP983069:RXP983146 RXP917533:RXP917610 RXP851997:RXP852074 RXP786461:RXP786538 RXP720925:RXP721002 RXP655389:RXP655466 RXP589853:RXP589930 RXP524317:RXP524394 RXP458781:RXP458858 RXP393245:RXP393322 RXP327709:RXP327786 RXP262173:RXP262250 RXP196637:RXP196714 RXP131101:RXP131178 RXP65565:RXP65642 RNT983069:RNT983146 RNT917533:RNT917610 RNT851997:RNT852074 RNT786461:RNT786538 RNT720925:RNT721002 RNT655389:RNT655466 RNT589853:RNT589930 RNT524317:RNT524394 RNT458781:RNT458858 RNT393245:RNT393322 RNT327709:RNT327786 RNT262173:RNT262250 RNT196637:RNT196714 RNT131101:RNT131178 RNT65565:RNT65642 RDX983069:RDX983146 RDX917533:RDX917610 RDX851997:RDX852074 RDX786461:RDX786538 RDX720925:RDX721002 RDX655389:RDX655466 RDX589853:RDX589930 RDX524317:RDX524394 RDX458781:RDX458858 RDX393245:RDX393322 RDX327709:RDX327786 RDX262173:RDX262250 RDX196637:RDX196714 RDX131101:RDX131178 RDX65565:RDX65642 QUB983069:QUB983146 QUB917533:QUB917610 QUB851997:QUB852074 QUB786461:QUB786538 QUB720925:QUB721002 QUB655389:QUB655466 QUB589853:QUB589930 QUB524317:QUB524394 QUB458781:QUB458858 QUB393245:QUB393322 QUB327709:QUB327786 QUB262173:QUB262250 QUB196637:QUB196714 QUB131101:QUB131178 QUB65565:QUB65642 QKF983069:QKF983146 QKF917533:QKF917610 QKF851997:QKF852074 QKF786461:QKF786538 QKF720925:QKF721002 QKF655389:QKF655466 QKF589853:QKF589930 QKF524317:QKF524394 QKF458781:QKF458858 QKF393245:QKF393322 QKF327709:QKF327786 QKF262173:QKF262250 QKF196637:QKF196714 QKF131101:QKF131178 QKF65565:QKF65642 QAJ983069:QAJ983146 QAJ917533:QAJ917610 QAJ851997:QAJ852074 QAJ786461:QAJ786538 QAJ720925:QAJ721002 QAJ655389:QAJ655466 QAJ589853:QAJ589930 QAJ524317:QAJ524394 QAJ458781:QAJ458858 QAJ393245:QAJ393322 QAJ327709:QAJ327786 QAJ262173:QAJ262250 QAJ196637:QAJ196714 QAJ131101:QAJ131178 QAJ65565:QAJ65642 PQN983069:PQN983146 PQN917533:PQN917610 PQN851997:PQN852074 PQN786461:PQN786538 PQN720925:PQN721002 PQN655389:PQN655466 PQN589853:PQN589930 PQN524317:PQN524394 PQN458781:PQN458858 PQN393245:PQN393322 PQN327709:PQN327786 PQN262173:PQN262250 PQN196637:PQN196714 PQN131101:PQN131178 PQN65565:PQN65642 PGR983069:PGR983146 PGR917533:PGR917610 PGR851997:PGR852074 PGR786461:PGR786538 PGR720925:PGR721002 PGR655389:PGR655466 PGR589853:PGR589930 PGR524317:PGR524394 PGR458781:PGR458858 PGR393245:PGR393322 PGR327709:PGR327786 PGR262173:PGR262250 PGR196637:PGR196714 PGR131101:PGR131178 PGR65565:PGR65642 OWV983069:OWV983146 OWV917533:OWV917610 OWV851997:OWV852074 OWV786461:OWV786538 OWV720925:OWV721002 OWV655389:OWV655466 OWV589853:OWV589930 OWV524317:OWV524394 OWV458781:OWV458858 OWV393245:OWV393322 OWV327709:OWV327786 OWV262173:OWV262250 OWV196637:OWV196714 OWV131101:OWV131178 OWV65565:OWV65642 OMZ983069:OMZ983146 OMZ917533:OMZ917610 OMZ851997:OMZ852074 OMZ786461:OMZ786538 OMZ720925:OMZ721002 OMZ655389:OMZ655466 OMZ589853:OMZ589930 OMZ524317:OMZ524394 OMZ458781:OMZ458858 OMZ393245:OMZ393322 OMZ327709:OMZ327786 OMZ262173:OMZ262250 OMZ196637:OMZ196714 OMZ131101:OMZ131178 OMZ65565:OMZ65642 ODD983069:ODD983146 ODD917533:ODD917610 ODD851997:ODD852074 ODD786461:ODD786538 ODD720925:ODD721002 ODD655389:ODD655466 ODD589853:ODD589930 ODD524317:ODD524394 ODD458781:ODD458858 ODD393245:ODD393322 ODD327709:ODD327786 ODD262173:ODD262250 ODD196637:ODD196714 ODD131101:ODD131178 ODD65565:ODD65642 NTH983069:NTH983146 NTH917533:NTH917610 NTH851997:NTH852074 NTH786461:NTH786538 NTH720925:NTH721002 NTH655389:NTH655466 NTH589853:NTH589930 NTH524317:NTH524394 NTH458781:NTH458858 NTH393245:NTH393322 NTH327709:NTH327786 NTH262173:NTH262250 NTH196637:NTH196714 NTH131101:NTH131178 NTH65565:NTH65642 NJL983069:NJL983146 NJL917533:NJL917610 NJL851997:NJL852074 NJL786461:NJL786538 NJL720925:NJL721002 NJL655389:NJL655466 NJL589853:NJL589930 NJL524317:NJL524394 NJL458781:NJL458858 NJL393245:NJL393322 NJL327709:NJL327786 NJL262173:NJL262250 NJL196637:NJL196714 NJL131101:NJL131178 NJL65565:NJL65642 MZP983069:MZP983146 MZP917533:MZP917610 MZP851997:MZP852074 MZP786461:MZP786538 MZP720925:MZP721002 MZP655389:MZP655466 MZP589853:MZP589930 MZP524317:MZP524394 MZP458781:MZP458858 MZP393245:MZP393322 MZP327709:MZP327786 MZP262173:MZP262250 MZP196637:MZP196714 MZP131101:MZP131178 MZP65565:MZP65642 MPT983069:MPT983146 MPT917533:MPT917610 MPT851997:MPT852074 MPT786461:MPT786538 MPT720925:MPT721002 MPT655389:MPT655466 MPT589853:MPT589930 MPT524317:MPT524394 MPT458781:MPT458858 MPT393245:MPT393322 MPT327709:MPT327786 MPT262173:MPT262250 MPT196637:MPT196714 MPT131101:MPT131178 MPT65565:MPT65642 MFX983069:MFX983146 MFX917533:MFX917610 MFX851997:MFX852074 MFX786461:MFX786538 MFX720925:MFX721002 MFX655389:MFX655466 MFX589853:MFX589930 MFX524317:MFX524394 MFX458781:MFX458858 MFX393245:MFX393322 MFX327709:MFX327786 MFX262173:MFX262250 MFX196637:MFX196714 MFX131101:MFX131178 MFX65565:MFX65642 LWB983069:LWB983146 LWB917533:LWB917610 LWB851997:LWB852074 LWB786461:LWB786538 LWB720925:LWB721002 LWB655389:LWB655466 LWB589853:LWB589930 LWB524317:LWB524394 LWB458781:LWB458858 LWB393245:LWB393322 LWB327709:LWB327786 LWB262173:LWB262250 LWB196637:LWB196714 LWB131101:LWB131178 LWB65565:LWB65642 LMF983069:LMF983146 LMF917533:LMF917610 LMF851997:LMF852074 LMF786461:LMF786538 LMF720925:LMF721002 LMF655389:LMF655466 LMF589853:LMF589930 LMF524317:LMF524394 LMF458781:LMF458858 LMF393245:LMF393322 LMF327709:LMF327786 LMF262173:LMF262250 LMF196637:LMF196714 LMF131101:LMF131178 LMF65565:LMF65642 LCJ983069:LCJ983146 LCJ917533:LCJ917610 LCJ851997:LCJ852074 LCJ786461:LCJ786538 LCJ720925:LCJ721002 LCJ655389:LCJ655466 LCJ589853:LCJ589930 LCJ524317:LCJ524394 LCJ458781:LCJ458858 LCJ393245:LCJ393322 LCJ327709:LCJ327786 LCJ262173:LCJ262250 LCJ196637:LCJ196714 LCJ131101:LCJ131178 LCJ65565:LCJ65642 KSN983069:KSN983146 KSN917533:KSN917610 KSN851997:KSN852074 KSN786461:KSN786538 KSN720925:KSN721002 KSN655389:KSN655466 KSN589853:KSN589930 KSN524317:KSN524394 KSN458781:KSN458858 KSN393245:KSN393322 KSN327709:KSN327786 KSN262173:KSN262250 KSN196637:KSN196714 KSN131101:KSN131178 KSN65565:KSN65642 KIR983069:KIR983146 KIR917533:KIR917610 KIR851997:KIR852074 KIR786461:KIR786538 KIR720925:KIR721002 KIR655389:KIR655466 KIR589853:KIR589930 KIR524317:KIR524394 KIR458781:KIR458858 KIR393245:KIR393322 KIR327709:KIR327786 KIR262173:KIR262250 KIR196637:KIR196714 KIR131101:KIR131178 KIR65565:KIR65642 JYV983069:JYV983146 JYV917533:JYV917610 JYV851997:JYV852074 JYV786461:JYV786538 JYV720925:JYV721002 JYV655389:JYV655466 JYV589853:JYV589930 JYV524317:JYV524394 JYV458781:JYV458858 JYV393245:JYV393322 JYV327709:JYV327786 JYV262173:JYV262250 JYV196637:JYV196714 JYV131101:JYV131178 JYV65565:JYV65642 JOZ983069:JOZ983146 JOZ917533:JOZ917610 JOZ851997:JOZ852074 JOZ786461:JOZ786538 JOZ720925:JOZ721002 JOZ655389:JOZ655466 JOZ589853:JOZ589930 JOZ524317:JOZ524394 JOZ458781:JOZ458858 JOZ393245:JOZ393322 JOZ327709:JOZ327786 JOZ262173:JOZ262250 JOZ196637:JOZ196714 JOZ131101:JOZ131178 JOZ65565:JOZ65642 JFD983069:JFD983146 JFD917533:JFD917610 JFD851997:JFD852074 JFD786461:JFD786538 JFD720925:JFD721002 JFD655389:JFD655466 JFD589853:JFD589930 JFD524317:JFD524394 JFD458781:JFD458858 JFD393245:JFD393322 JFD327709:JFD327786 JFD262173:JFD262250 JFD196637:JFD196714 JFD131101:JFD131178 JFD65565:JFD65642 IVH983069:IVH983146 IVH917533:IVH917610 IVH851997:IVH852074 IVH786461:IVH786538 IVH720925:IVH721002 IVH655389:IVH655466 IVH589853:IVH589930 IVH524317:IVH524394 IVH458781:IVH458858 IVH393245:IVH393322 IVH327709:IVH327786 IVH262173:IVH262250 IVH196637:IVH196714 IVH131101:IVH131178 IVH65565:IVH65642 ILL983069:ILL983146 ILL917533:ILL917610 ILL851997:ILL852074 ILL786461:ILL786538 ILL720925:ILL721002 ILL655389:ILL655466 ILL589853:ILL589930 ILL524317:ILL524394 ILL458781:ILL458858 ILL393245:ILL393322 ILL327709:ILL327786 ILL262173:ILL262250 ILL196637:ILL196714 ILL131101:ILL131178 ILL65565:ILL65642 IBP983069:IBP983146 IBP917533:IBP917610 IBP851997:IBP852074 IBP786461:IBP786538 IBP720925:IBP721002 IBP655389:IBP655466 IBP589853:IBP589930 IBP524317:IBP524394 IBP458781:IBP458858 IBP393245:IBP393322 IBP327709:IBP327786 IBP262173:IBP262250 IBP196637:IBP196714 IBP131101:IBP131178 IBP65565:IBP65642 HRT983069:HRT983146 HRT917533:HRT917610 HRT851997:HRT852074 HRT786461:HRT786538 HRT720925:HRT721002 HRT655389:HRT655466 HRT589853:HRT589930 HRT524317:HRT524394 HRT458781:HRT458858 HRT393245:HRT393322 HRT327709:HRT327786 HRT262173:HRT262250 HRT196637:HRT196714 HRT131101:HRT131178 HRT65565:HRT65642 HHX983069:HHX983146 HHX917533:HHX917610 HHX851997:HHX852074 HHX786461:HHX786538 HHX720925:HHX721002 HHX655389:HHX655466 HHX589853:HHX589930 HHX524317:HHX524394 HHX458781:HHX458858 HHX393245:HHX393322 HHX327709:HHX327786 HHX262173:HHX262250 HHX196637:HHX196714 HHX131101:HHX131178 HHX65565:HHX65642 GYB983069:GYB983146 GYB917533:GYB917610 GYB851997:GYB852074 GYB786461:GYB786538 GYB720925:GYB721002 GYB655389:GYB655466 GYB589853:GYB589930 GYB524317:GYB524394 GYB458781:GYB458858 GYB393245:GYB393322 GYB327709:GYB327786 GYB262173:GYB262250 GYB196637:GYB196714 GYB131101:GYB131178 GYB65565:GYB65642 GOF983069:GOF983146 GOF917533:GOF917610 GOF851997:GOF852074 GOF786461:GOF786538 GOF720925:GOF721002 GOF655389:GOF655466 GOF589853:GOF589930 GOF524317:GOF524394 GOF458781:GOF458858 GOF393245:GOF393322 GOF327709:GOF327786 GOF262173:GOF262250 GOF196637:GOF196714 GOF131101:GOF131178 GOF65565:GOF65642 GEJ983069:GEJ983146 GEJ917533:GEJ917610 GEJ851997:GEJ852074 GEJ786461:GEJ786538 GEJ720925:GEJ721002 GEJ655389:GEJ655466 GEJ589853:GEJ589930 GEJ524317:GEJ524394 GEJ458781:GEJ458858 GEJ393245:GEJ393322 GEJ327709:GEJ327786 GEJ262173:GEJ262250 GEJ196637:GEJ196714 GEJ131101:GEJ131178 GEJ65565:GEJ65642 FUN983069:FUN983146 FUN917533:FUN917610 FUN851997:FUN852074 FUN786461:FUN786538 FUN720925:FUN721002 FUN655389:FUN655466 FUN589853:FUN589930 FUN524317:FUN524394 FUN458781:FUN458858 FUN393245:FUN393322 FUN327709:FUN327786 FUN262173:FUN262250 FUN196637:FUN196714 FUN131101:FUN131178 FUN65565:FUN65642 FKR983069:FKR983146 FKR917533:FKR917610 FKR851997:FKR852074 FKR786461:FKR786538 FKR720925:FKR721002 FKR655389:FKR655466 FKR589853:FKR589930 FKR524317:FKR524394 FKR458781:FKR458858 FKR393245:FKR393322 FKR327709:FKR327786 FKR262173:FKR262250 FKR196637:FKR196714 FKR131101:FKR131178 FKR65565:FKR65642 FAV983069:FAV983146 FAV917533:FAV917610 FAV851997:FAV852074 FAV786461:FAV786538 FAV720925:FAV721002 FAV655389:FAV655466 FAV589853:FAV589930 FAV524317:FAV524394 FAV458781:FAV458858 FAV393245:FAV393322 FAV327709:FAV327786 FAV262173:FAV262250 FAV196637:FAV196714 FAV131101:FAV131178 FAV65565:FAV65642 EQZ983069:EQZ983146 EQZ917533:EQZ917610 EQZ851997:EQZ852074 EQZ786461:EQZ786538 EQZ720925:EQZ721002 EQZ655389:EQZ655466 EQZ589853:EQZ589930 EQZ524317:EQZ524394 EQZ458781:EQZ458858 EQZ393245:EQZ393322 EQZ327709:EQZ327786 EQZ262173:EQZ262250 EQZ196637:EQZ196714 EQZ131101:EQZ131178 EQZ65565:EQZ65642 EHD983069:EHD983146 EHD917533:EHD917610 EHD851997:EHD852074 EHD786461:EHD786538 EHD720925:EHD721002 EHD655389:EHD655466 EHD589853:EHD589930 EHD524317:EHD524394 EHD458781:EHD458858 EHD393245:EHD393322 EHD327709:EHD327786 EHD262173:EHD262250 EHD196637:EHD196714 EHD131101:EHD131178 EHD65565:EHD65642 DXH983069:DXH983146 DXH917533:DXH917610 DXH851997:DXH852074 DXH786461:DXH786538 DXH720925:DXH721002 DXH655389:DXH655466 DXH589853:DXH589930 DXH524317:DXH524394 DXH458781:DXH458858 DXH393245:DXH393322 DXH327709:DXH327786 DXH262173:DXH262250 DXH196637:DXH196714 DXH131101:DXH131178 DXH65565:DXH65642 DNL983069:DNL983146 DNL917533:DNL917610 DNL851997:DNL852074 DNL786461:DNL786538 DNL720925:DNL721002 DNL655389:DNL655466 DNL589853:DNL589930 DNL524317:DNL524394 DNL458781:DNL458858 DNL393245:DNL393322 DNL327709:DNL327786 DNL262173:DNL262250 DNL196637:DNL196714 DNL131101:DNL131178 DNL65565:DNL65642 DDP983069:DDP983146 DDP917533:DDP917610 DDP851997:DDP852074 DDP786461:DDP786538 DDP720925:DDP721002 DDP655389:DDP655466 DDP589853:DDP589930 DDP524317:DDP524394 DDP458781:DDP458858 DDP393245:DDP393322 DDP327709:DDP327786 DDP262173:DDP262250 DDP196637:DDP196714 DDP131101:DDP131178 DDP65565:DDP65642 CTT983069:CTT983146 CTT917533:CTT917610 CTT851997:CTT852074 CTT786461:CTT786538 CTT720925:CTT721002 CTT655389:CTT655466 CTT589853:CTT589930 CTT524317:CTT524394 CTT458781:CTT458858 CTT393245:CTT393322 CTT327709:CTT327786 CTT262173:CTT262250 CTT196637:CTT196714 CTT131101:CTT131178 CTT65565:CTT65642 CJX983069:CJX983146 CJX917533:CJX917610 CJX851997:CJX852074 CJX786461:CJX786538 CJX720925:CJX721002 CJX655389:CJX655466 CJX589853:CJX589930 CJX524317:CJX524394 CJX458781:CJX458858 CJX393245:CJX393322 CJX327709:CJX327786 CJX262173:CJX262250 CJX196637:CJX196714 CJX131101:CJX131178 CJX65565:CJX65642 CAB983069:CAB983146 CAB917533:CAB917610 CAB851997:CAB852074 CAB786461:CAB786538 CAB720925:CAB721002 CAB655389:CAB655466 CAB589853:CAB589930 CAB524317:CAB524394 CAB458781:CAB458858 CAB393245:CAB393322 CAB327709:CAB327786 CAB262173:CAB262250 CAB196637:CAB196714 CAB131101:CAB131178 CAB65565:CAB65642 BQF983069:BQF983146 BQF917533:BQF917610 BQF851997:BQF852074 BQF786461:BQF786538 BQF720925:BQF721002 BQF655389:BQF655466 BQF589853:BQF589930 BQF524317:BQF524394 BQF458781:BQF458858 BQF393245:BQF393322 BQF327709:BQF327786 BQF262173:BQF262250 BQF196637:BQF196714 BQF131101:BQF131178 BQF65565:BQF65642 BGJ983069:BGJ983146 BGJ917533:BGJ917610 BGJ851997:BGJ852074 BGJ786461:BGJ786538 BGJ720925:BGJ721002 BGJ655389:BGJ655466 BGJ589853:BGJ589930 BGJ524317:BGJ524394 BGJ458781:BGJ458858 BGJ393245:BGJ393322 BGJ327709:BGJ327786 BGJ262173:BGJ262250 BGJ196637:BGJ196714 BGJ131101:BGJ131178 BGJ65565:BGJ65642 AWN983069:AWN983146 AWN917533:AWN917610 AWN851997:AWN852074 AWN786461:AWN786538 AWN720925:AWN721002 AWN655389:AWN655466 AWN589853:AWN589930 AWN524317:AWN524394 AWN458781:AWN458858 AWN393245:AWN393322 AWN327709:AWN327786 AWN262173:AWN262250 AWN196637:AWN196714 AWN131101:AWN131178 AWN65565:AWN65642 AMR983069:AMR983146 AMR917533:AMR917610 AMR851997:AMR852074 AMR786461:AMR786538 AMR720925:AMR721002 AMR655389:AMR655466 AMR589853:AMR589930 AMR524317:AMR524394 AMR458781:AMR458858 AMR393245:AMR393322 AMR327709:AMR327786 AMR262173:AMR262250 AMR196637:AMR196714 AMR131101:AMR131178 AMR65565:AMR65642 ACV983069:ACV983146 ACV917533:ACV917610 ACV851997:ACV852074 ACV786461:ACV786538 ACV720925:ACV721002 ACV655389:ACV655466 ACV589853:ACV589930 ACV524317:ACV524394 ACV458781:ACV458858 ACV393245:ACV393322 ACV327709:ACV327786 ACV262173:ACV262250 ACV196637:ACV196714 ACV131101:ACV131178 ACV65565:ACV65642 SZ983069:SZ983146 SZ917533:SZ917610 SZ851997:SZ852074 SZ786461:SZ786538 SZ720925:SZ721002 SZ655389:SZ655466 SZ589853:SZ589930 SZ524317:SZ524394 SZ458781:SZ458858 SZ393245:SZ393322 SZ327709:SZ327786 SZ262173:SZ262250 SZ196637:SZ196714 SZ131101:SZ131178 SZ65565:SZ65642 JD983069:JD983146 JD917533:JD917610 JD851997:JD852074 JD786461:JD786538 JD720925:JD721002 JD655389:JD655466 JD589853:JD589930 JD524317:JD524394 JD458781:JD458858 JD393245:JD393322 JD327709:JD327786 JD262173:JD262250 JD196637:JD196714 JD131101:JD131178 JD65565:JD65642 H983069:H983146 H917533:H917610 H851997:H852074 H786461:H786538 H720925:H721002 H655389:H655466 H589853:H589930 H524317:H524394 H458781:H458858 H393245:H393322 H327709:H327786 H262173:H262250 H196637:H196714 H131101:H131178 JD2:JD106 SZ2:SZ106 ACV2:ACV106 AMR2:AMR106 AWN2:AWN106 BGJ2:BGJ106 BQF2:BQF106 CAB2:CAB106 CJX2:CJX106 CTT2:CTT106 DDP2:DDP106 DNL2:DNL106 DXH2:DXH106 EHD2:EHD106 EQZ2:EQZ106 FAV2:FAV106 FKR2:FKR106 FUN2:FUN106 GEJ2:GEJ106 GOF2:GOF106 GYB2:GYB106 HHX2:HHX106 HRT2:HRT106 IBP2:IBP106 ILL2:ILL106 IVH2:IVH106 JFD2:JFD106 JOZ2:JOZ106 JYV2:JYV106 KIR2:KIR106 KSN2:KSN106 LCJ2:LCJ106 LMF2:LMF106 LWB2:LWB106 MFX2:MFX106 MPT2:MPT106 MZP2:MZP106 NJL2:NJL106 NTH2:NTH106 ODD2:ODD106 OMZ2:OMZ106 OWV2:OWV106 PGR2:PGR106 PQN2:PQN106 QAJ2:QAJ106 QKF2:QKF106 QUB2:QUB106 RDX2:RDX106 RNT2:RNT106 RXP2:RXP106 SHL2:SHL106 SRH2:SRH106 TBD2:TBD106 TKZ2:TKZ106 TUV2:TUV106 UER2:UER106 UON2:UON106 UYJ2:UYJ106 VIF2:VIF106 VSB2:VSB106 WBX2:WBX106 WLT2:WLT106 WVP2:WVP106" xr:uid="{C2E93A03-06B5-4AE4-B3CE-EDB7AF58974C}">
      <formula1>$AL$4:$AL$15</formula1>
    </dataValidation>
    <dataValidation type="list" allowBlank="1" showInputMessage="1" showErrorMessage="1" sqref="WVI983069:WVI983146 WVI917533:WVI917610 WVI851997:WVI852074 WVI786461:WVI786538 WVI720925:WVI721002 WVI655389:WVI655466 WVI589853:WVI589930 WVI524317:WVI524394 WVI458781:WVI458858 WVI393245:WVI393322 WVI327709:WVI327786 WVI262173:WVI262250 WVI196637:WVI196714 WVI131101:WVI131178 WVI65565:WVI65642 WLM983069:WLM983146 WLM917533:WLM917610 WLM851997:WLM852074 WLM786461:WLM786538 WLM720925:WLM721002 WLM655389:WLM655466 WLM589853:WLM589930 WLM524317:WLM524394 WLM458781:WLM458858 WLM393245:WLM393322 WLM327709:WLM327786 WLM262173:WLM262250 WLM196637:WLM196714 WLM131101:WLM131178 WLM65565:WLM65642 WBQ983069:WBQ983146 WBQ917533:WBQ917610 WBQ851997:WBQ852074 WBQ786461:WBQ786538 WBQ720925:WBQ721002 WBQ655389:WBQ655466 WBQ589853:WBQ589930 WBQ524317:WBQ524394 WBQ458781:WBQ458858 WBQ393245:WBQ393322 WBQ327709:WBQ327786 WBQ262173:WBQ262250 WBQ196637:WBQ196714 WBQ131101:WBQ131178 WBQ65565:WBQ65642 VRU983069:VRU983146 VRU917533:VRU917610 VRU851997:VRU852074 VRU786461:VRU786538 VRU720925:VRU721002 VRU655389:VRU655466 VRU589853:VRU589930 VRU524317:VRU524394 VRU458781:VRU458858 VRU393245:VRU393322 VRU327709:VRU327786 VRU262173:VRU262250 VRU196637:VRU196714 VRU131101:VRU131178 VRU65565:VRU65642 VHY983069:VHY983146 VHY917533:VHY917610 VHY851997:VHY852074 VHY786461:VHY786538 VHY720925:VHY721002 VHY655389:VHY655466 VHY589853:VHY589930 VHY524317:VHY524394 VHY458781:VHY458858 VHY393245:VHY393322 VHY327709:VHY327786 VHY262173:VHY262250 VHY196637:VHY196714 VHY131101:VHY131178 VHY65565:VHY65642 UYC983069:UYC983146 UYC917533:UYC917610 UYC851997:UYC852074 UYC786461:UYC786538 UYC720925:UYC721002 UYC655389:UYC655466 UYC589853:UYC589930 UYC524317:UYC524394 UYC458781:UYC458858 UYC393245:UYC393322 UYC327709:UYC327786 UYC262173:UYC262250 UYC196637:UYC196714 UYC131101:UYC131178 UYC65565:UYC65642 UOG983069:UOG983146 UOG917533:UOG917610 UOG851997:UOG852074 UOG786461:UOG786538 UOG720925:UOG721002 UOG655389:UOG655466 UOG589853:UOG589930 UOG524317:UOG524394 UOG458781:UOG458858 UOG393245:UOG393322 UOG327709:UOG327786 UOG262173:UOG262250 UOG196637:UOG196714 UOG131101:UOG131178 UOG65565:UOG65642 UEK983069:UEK983146 UEK917533:UEK917610 UEK851997:UEK852074 UEK786461:UEK786538 UEK720925:UEK721002 UEK655389:UEK655466 UEK589853:UEK589930 UEK524317:UEK524394 UEK458781:UEK458858 UEK393245:UEK393322 UEK327709:UEK327786 UEK262173:UEK262250 UEK196637:UEK196714 UEK131101:UEK131178 UEK65565:UEK65642 TUO983069:TUO983146 TUO917533:TUO917610 TUO851997:TUO852074 TUO786461:TUO786538 TUO720925:TUO721002 TUO655389:TUO655466 TUO589853:TUO589930 TUO524317:TUO524394 TUO458781:TUO458858 TUO393245:TUO393322 TUO327709:TUO327786 TUO262173:TUO262250 TUO196637:TUO196714 TUO131101:TUO131178 TUO65565:TUO65642 TKS983069:TKS983146 TKS917533:TKS917610 TKS851997:TKS852074 TKS786461:TKS786538 TKS720925:TKS721002 TKS655389:TKS655466 TKS589853:TKS589930 TKS524317:TKS524394 TKS458781:TKS458858 TKS393245:TKS393322 TKS327709:TKS327786 TKS262173:TKS262250 TKS196637:TKS196714 TKS131101:TKS131178 TKS65565:TKS65642 TAW983069:TAW983146 TAW917533:TAW917610 TAW851997:TAW852074 TAW786461:TAW786538 TAW720925:TAW721002 TAW655389:TAW655466 TAW589853:TAW589930 TAW524317:TAW524394 TAW458781:TAW458858 TAW393245:TAW393322 TAW327709:TAW327786 TAW262173:TAW262250 TAW196637:TAW196714 TAW131101:TAW131178 TAW65565:TAW65642 SRA983069:SRA983146 SRA917533:SRA917610 SRA851997:SRA852074 SRA786461:SRA786538 SRA720925:SRA721002 SRA655389:SRA655466 SRA589853:SRA589930 SRA524317:SRA524394 SRA458781:SRA458858 SRA393245:SRA393322 SRA327709:SRA327786 SRA262173:SRA262250 SRA196637:SRA196714 SRA131101:SRA131178 SRA65565:SRA65642 SHE983069:SHE983146 SHE917533:SHE917610 SHE851997:SHE852074 SHE786461:SHE786538 SHE720925:SHE721002 SHE655389:SHE655466 SHE589853:SHE589930 SHE524317:SHE524394 SHE458781:SHE458858 SHE393245:SHE393322 SHE327709:SHE327786 SHE262173:SHE262250 SHE196637:SHE196714 SHE131101:SHE131178 SHE65565:SHE65642 RXI983069:RXI983146 RXI917533:RXI917610 RXI851997:RXI852074 RXI786461:RXI786538 RXI720925:RXI721002 RXI655389:RXI655466 RXI589853:RXI589930 RXI524317:RXI524394 RXI458781:RXI458858 RXI393245:RXI393322 RXI327709:RXI327786 RXI262173:RXI262250 RXI196637:RXI196714 RXI131101:RXI131178 RXI65565:RXI65642 RNM983069:RNM983146 RNM917533:RNM917610 RNM851997:RNM852074 RNM786461:RNM786538 RNM720925:RNM721002 RNM655389:RNM655466 RNM589853:RNM589930 RNM524317:RNM524394 RNM458781:RNM458858 RNM393245:RNM393322 RNM327709:RNM327786 RNM262173:RNM262250 RNM196637:RNM196714 RNM131101:RNM131178 RNM65565:RNM65642 RDQ983069:RDQ983146 RDQ917533:RDQ917610 RDQ851997:RDQ852074 RDQ786461:RDQ786538 RDQ720925:RDQ721002 RDQ655389:RDQ655466 RDQ589853:RDQ589930 RDQ524317:RDQ524394 RDQ458781:RDQ458858 RDQ393245:RDQ393322 RDQ327709:RDQ327786 RDQ262173:RDQ262250 RDQ196637:RDQ196714 RDQ131101:RDQ131178 RDQ65565:RDQ65642 QTU983069:QTU983146 QTU917533:QTU917610 QTU851997:QTU852074 QTU786461:QTU786538 QTU720925:QTU721002 QTU655389:QTU655466 QTU589853:QTU589930 QTU524317:QTU524394 QTU458781:QTU458858 QTU393245:QTU393322 QTU327709:QTU327786 QTU262173:QTU262250 QTU196637:QTU196714 QTU131101:QTU131178 QTU65565:QTU65642 QJY983069:QJY983146 QJY917533:QJY917610 QJY851997:QJY852074 QJY786461:QJY786538 QJY720925:QJY721002 QJY655389:QJY655466 QJY589853:QJY589930 QJY524317:QJY524394 QJY458781:QJY458858 QJY393245:QJY393322 QJY327709:QJY327786 QJY262173:QJY262250 QJY196637:QJY196714 QJY131101:QJY131178 QJY65565:QJY65642 QAC983069:QAC983146 QAC917533:QAC917610 QAC851997:QAC852074 QAC786461:QAC786538 QAC720925:QAC721002 QAC655389:QAC655466 QAC589853:QAC589930 QAC524317:QAC524394 QAC458781:QAC458858 QAC393245:QAC393322 QAC327709:QAC327786 QAC262173:QAC262250 QAC196637:QAC196714 QAC131101:QAC131178 QAC65565:QAC65642 PQG983069:PQG983146 PQG917533:PQG917610 PQG851997:PQG852074 PQG786461:PQG786538 PQG720925:PQG721002 PQG655389:PQG655466 PQG589853:PQG589930 PQG524317:PQG524394 PQG458781:PQG458858 PQG393245:PQG393322 PQG327709:PQG327786 PQG262173:PQG262250 PQG196637:PQG196714 PQG131101:PQG131178 PQG65565:PQG65642 PGK983069:PGK983146 PGK917533:PGK917610 PGK851997:PGK852074 PGK786461:PGK786538 PGK720925:PGK721002 PGK655389:PGK655466 PGK589853:PGK589930 PGK524317:PGK524394 PGK458781:PGK458858 PGK393245:PGK393322 PGK327709:PGK327786 PGK262173:PGK262250 PGK196637:PGK196714 PGK131101:PGK131178 PGK65565:PGK65642 OWO983069:OWO983146 OWO917533:OWO917610 OWO851997:OWO852074 OWO786461:OWO786538 OWO720925:OWO721002 OWO655389:OWO655466 OWO589853:OWO589930 OWO524317:OWO524394 OWO458781:OWO458858 OWO393245:OWO393322 OWO327709:OWO327786 OWO262173:OWO262250 OWO196637:OWO196714 OWO131101:OWO131178 OWO65565:OWO65642 OMS983069:OMS983146 OMS917533:OMS917610 OMS851997:OMS852074 OMS786461:OMS786538 OMS720925:OMS721002 OMS655389:OMS655466 OMS589853:OMS589930 OMS524317:OMS524394 OMS458781:OMS458858 OMS393245:OMS393322 OMS327709:OMS327786 OMS262173:OMS262250 OMS196637:OMS196714 OMS131101:OMS131178 OMS65565:OMS65642 OCW983069:OCW983146 OCW917533:OCW917610 OCW851997:OCW852074 OCW786461:OCW786538 OCW720925:OCW721002 OCW655389:OCW655466 OCW589853:OCW589930 OCW524317:OCW524394 OCW458781:OCW458858 OCW393245:OCW393322 OCW327709:OCW327786 OCW262173:OCW262250 OCW196637:OCW196714 OCW131101:OCW131178 OCW65565:OCW65642 NTA983069:NTA983146 NTA917533:NTA917610 NTA851997:NTA852074 NTA786461:NTA786538 NTA720925:NTA721002 NTA655389:NTA655466 NTA589853:NTA589930 NTA524317:NTA524394 NTA458781:NTA458858 NTA393245:NTA393322 NTA327709:NTA327786 NTA262173:NTA262250 NTA196637:NTA196714 NTA131101:NTA131178 NTA65565:NTA65642 NJE983069:NJE983146 NJE917533:NJE917610 NJE851997:NJE852074 NJE786461:NJE786538 NJE720925:NJE721002 NJE655389:NJE655466 NJE589853:NJE589930 NJE524317:NJE524394 NJE458781:NJE458858 NJE393245:NJE393322 NJE327709:NJE327786 NJE262173:NJE262250 NJE196637:NJE196714 NJE131101:NJE131178 NJE65565:NJE65642 MZI983069:MZI983146 MZI917533:MZI917610 MZI851997:MZI852074 MZI786461:MZI786538 MZI720925:MZI721002 MZI655389:MZI655466 MZI589853:MZI589930 MZI524317:MZI524394 MZI458781:MZI458858 MZI393245:MZI393322 MZI327709:MZI327786 MZI262173:MZI262250 MZI196637:MZI196714 MZI131101:MZI131178 MZI65565:MZI65642 MPM983069:MPM983146 MPM917533:MPM917610 MPM851997:MPM852074 MPM786461:MPM786538 MPM720925:MPM721002 MPM655389:MPM655466 MPM589853:MPM589930 MPM524317:MPM524394 MPM458781:MPM458858 MPM393245:MPM393322 MPM327709:MPM327786 MPM262173:MPM262250 MPM196637:MPM196714 MPM131101:MPM131178 MPM65565:MPM65642 MFQ983069:MFQ983146 MFQ917533:MFQ917610 MFQ851997:MFQ852074 MFQ786461:MFQ786538 MFQ720925:MFQ721002 MFQ655389:MFQ655466 MFQ589853:MFQ589930 MFQ524317:MFQ524394 MFQ458781:MFQ458858 MFQ393245:MFQ393322 MFQ327709:MFQ327786 MFQ262173:MFQ262250 MFQ196637:MFQ196714 MFQ131101:MFQ131178 MFQ65565:MFQ65642 LVU983069:LVU983146 LVU917533:LVU917610 LVU851997:LVU852074 LVU786461:LVU786538 LVU720925:LVU721002 LVU655389:LVU655466 LVU589853:LVU589930 LVU524317:LVU524394 LVU458781:LVU458858 LVU393245:LVU393322 LVU327709:LVU327786 LVU262173:LVU262250 LVU196637:LVU196714 LVU131101:LVU131178 LVU65565:LVU65642 LLY983069:LLY983146 LLY917533:LLY917610 LLY851997:LLY852074 LLY786461:LLY786538 LLY720925:LLY721002 LLY655389:LLY655466 LLY589853:LLY589930 LLY524317:LLY524394 LLY458781:LLY458858 LLY393245:LLY393322 LLY327709:LLY327786 LLY262173:LLY262250 LLY196637:LLY196714 LLY131101:LLY131178 LLY65565:LLY65642 LCC983069:LCC983146 LCC917533:LCC917610 LCC851997:LCC852074 LCC786461:LCC786538 LCC720925:LCC721002 LCC655389:LCC655466 LCC589853:LCC589930 LCC524317:LCC524394 LCC458781:LCC458858 LCC393245:LCC393322 LCC327709:LCC327786 LCC262173:LCC262250 LCC196637:LCC196714 LCC131101:LCC131178 LCC65565:LCC65642 KSG983069:KSG983146 KSG917533:KSG917610 KSG851997:KSG852074 KSG786461:KSG786538 KSG720925:KSG721002 KSG655389:KSG655466 KSG589853:KSG589930 KSG524317:KSG524394 KSG458781:KSG458858 KSG393245:KSG393322 KSG327709:KSG327786 KSG262173:KSG262250 KSG196637:KSG196714 KSG131101:KSG131178 KSG65565:KSG65642 KIK983069:KIK983146 KIK917533:KIK917610 KIK851997:KIK852074 KIK786461:KIK786538 KIK720925:KIK721002 KIK655389:KIK655466 KIK589853:KIK589930 KIK524317:KIK524394 KIK458781:KIK458858 KIK393245:KIK393322 KIK327709:KIK327786 KIK262173:KIK262250 KIK196637:KIK196714 KIK131101:KIK131178 KIK65565:KIK65642 JYO983069:JYO983146 JYO917533:JYO917610 JYO851997:JYO852074 JYO786461:JYO786538 JYO720925:JYO721002 JYO655389:JYO655466 JYO589853:JYO589930 JYO524317:JYO524394 JYO458781:JYO458858 JYO393245:JYO393322 JYO327709:JYO327786 JYO262173:JYO262250 JYO196637:JYO196714 JYO131101:JYO131178 JYO65565:JYO65642 JOS983069:JOS983146 JOS917533:JOS917610 JOS851997:JOS852074 JOS786461:JOS786538 JOS720925:JOS721002 JOS655389:JOS655466 JOS589853:JOS589930 JOS524317:JOS524394 JOS458781:JOS458858 JOS393245:JOS393322 JOS327709:JOS327786 JOS262173:JOS262250 JOS196637:JOS196714 JOS131101:JOS131178 JOS65565:JOS65642 JEW983069:JEW983146 JEW917533:JEW917610 JEW851997:JEW852074 JEW786461:JEW786538 JEW720925:JEW721002 JEW655389:JEW655466 JEW589853:JEW589930 JEW524317:JEW524394 JEW458781:JEW458858 JEW393245:JEW393322 JEW327709:JEW327786 JEW262173:JEW262250 JEW196637:JEW196714 JEW131101:JEW131178 JEW65565:JEW65642 IVA983069:IVA983146 IVA917533:IVA917610 IVA851997:IVA852074 IVA786461:IVA786538 IVA720925:IVA721002 IVA655389:IVA655466 IVA589853:IVA589930 IVA524317:IVA524394 IVA458781:IVA458858 IVA393245:IVA393322 IVA327709:IVA327786 IVA262173:IVA262250 IVA196637:IVA196714 IVA131101:IVA131178 IVA65565:IVA65642 ILE983069:ILE983146 ILE917533:ILE917610 ILE851997:ILE852074 ILE786461:ILE786538 ILE720925:ILE721002 ILE655389:ILE655466 ILE589853:ILE589930 ILE524317:ILE524394 ILE458781:ILE458858 ILE393245:ILE393322 ILE327709:ILE327786 ILE262173:ILE262250 ILE196637:ILE196714 ILE131101:ILE131178 ILE65565:ILE65642 IBI983069:IBI983146 IBI917533:IBI917610 IBI851997:IBI852074 IBI786461:IBI786538 IBI720925:IBI721002 IBI655389:IBI655466 IBI589853:IBI589930 IBI524317:IBI524394 IBI458781:IBI458858 IBI393245:IBI393322 IBI327709:IBI327786 IBI262173:IBI262250 IBI196637:IBI196714 IBI131101:IBI131178 IBI65565:IBI65642 HRM983069:HRM983146 HRM917533:HRM917610 HRM851997:HRM852074 HRM786461:HRM786538 HRM720925:HRM721002 HRM655389:HRM655466 HRM589853:HRM589930 HRM524317:HRM524394 HRM458781:HRM458858 HRM393245:HRM393322 HRM327709:HRM327786 HRM262173:HRM262250 HRM196637:HRM196714 HRM131101:HRM131178 HRM65565:HRM65642 HHQ983069:HHQ983146 HHQ917533:HHQ917610 HHQ851997:HHQ852074 HHQ786461:HHQ786538 HHQ720925:HHQ721002 HHQ655389:HHQ655466 HHQ589853:HHQ589930 HHQ524317:HHQ524394 HHQ458781:HHQ458858 HHQ393245:HHQ393322 HHQ327709:HHQ327786 HHQ262173:HHQ262250 HHQ196637:HHQ196714 HHQ131101:HHQ131178 HHQ65565:HHQ65642 GXU983069:GXU983146 GXU917533:GXU917610 GXU851997:GXU852074 GXU786461:GXU786538 GXU720925:GXU721002 GXU655389:GXU655466 GXU589853:GXU589930 GXU524317:GXU524394 GXU458781:GXU458858 GXU393245:GXU393322 GXU327709:GXU327786 GXU262173:GXU262250 GXU196637:GXU196714 GXU131101:GXU131178 GXU65565:GXU65642 GNY983069:GNY983146 GNY917533:GNY917610 GNY851997:GNY852074 GNY786461:GNY786538 GNY720925:GNY721002 GNY655389:GNY655466 GNY589853:GNY589930 GNY524317:GNY524394 GNY458781:GNY458858 GNY393245:GNY393322 GNY327709:GNY327786 GNY262173:GNY262250 GNY196637:GNY196714 GNY131101:GNY131178 GNY65565:GNY65642 GEC983069:GEC983146 GEC917533:GEC917610 GEC851997:GEC852074 GEC786461:GEC786538 GEC720925:GEC721002 GEC655389:GEC655466 GEC589853:GEC589930 GEC524317:GEC524394 GEC458781:GEC458858 GEC393245:GEC393322 GEC327709:GEC327786 GEC262173:GEC262250 GEC196637:GEC196714 GEC131101:GEC131178 GEC65565:GEC65642 FUG983069:FUG983146 FUG917533:FUG917610 FUG851997:FUG852074 FUG786461:FUG786538 FUG720925:FUG721002 FUG655389:FUG655466 FUG589853:FUG589930 FUG524317:FUG524394 FUG458781:FUG458858 FUG393245:FUG393322 FUG327709:FUG327786 FUG262173:FUG262250 FUG196637:FUG196714 FUG131101:FUG131178 FUG65565:FUG65642 FKK983069:FKK983146 FKK917533:FKK917610 FKK851997:FKK852074 FKK786461:FKK786538 FKK720925:FKK721002 FKK655389:FKK655466 FKK589853:FKK589930 FKK524317:FKK524394 FKK458781:FKK458858 FKK393245:FKK393322 FKK327709:FKK327786 FKK262173:FKK262250 FKK196637:FKK196714 FKK131101:FKK131178 FKK65565:FKK65642 FAO983069:FAO983146 FAO917533:FAO917610 FAO851997:FAO852074 FAO786461:FAO786538 FAO720925:FAO721002 FAO655389:FAO655466 FAO589853:FAO589930 FAO524317:FAO524394 FAO458781:FAO458858 FAO393245:FAO393322 FAO327709:FAO327786 FAO262173:FAO262250 FAO196637:FAO196714 FAO131101:FAO131178 FAO65565:FAO65642 EQS983069:EQS983146 EQS917533:EQS917610 EQS851997:EQS852074 EQS786461:EQS786538 EQS720925:EQS721002 EQS655389:EQS655466 EQS589853:EQS589930 EQS524317:EQS524394 EQS458781:EQS458858 EQS393245:EQS393322 EQS327709:EQS327786 EQS262173:EQS262250 EQS196637:EQS196714 EQS131101:EQS131178 EQS65565:EQS65642 EGW983069:EGW983146 EGW917533:EGW917610 EGW851997:EGW852074 EGW786461:EGW786538 EGW720925:EGW721002 EGW655389:EGW655466 EGW589853:EGW589930 EGW524317:EGW524394 EGW458781:EGW458858 EGW393245:EGW393322 EGW327709:EGW327786 EGW262173:EGW262250 EGW196637:EGW196714 EGW131101:EGW131178 EGW65565:EGW65642 DXA983069:DXA983146 DXA917533:DXA917610 DXA851997:DXA852074 DXA786461:DXA786538 DXA720925:DXA721002 DXA655389:DXA655466 DXA589853:DXA589930 DXA524317:DXA524394 DXA458781:DXA458858 DXA393245:DXA393322 DXA327709:DXA327786 DXA262173:DXA262250 DXA196637:DXA196714 DXA131101:DXA131178 DXA65565:DXA65642 DNE983069:DNE983146 DNE917533:DNE917610 DNE851997:DNE852074 DNE786461:DNE786538 DNE720925:DNE721002 DNE655389:DNE655466 DNE589853:DNE589930 DNE524317:DNE524394 DNE458781:DNE458858 DNE393245:DNE393322 DNE327709:DNE327786 DNE262173:DNE262250 DNE196637:DNE196714 DNE131101:DNE131178 DNE65565:DNE65642 DDI983069:DDI983146 DDI917533:DDI917610 DDI851997:DDI852074 DDI786461:DDI786538 DDI720925:DDI721002 DDI655389:DDI655466 DDI589853:DDI589930 DDI524317:DDI524394 DDI458781:DDI458858 DDI393245:DDI393322 DDI327709:DDI327786 DDI262173:DDI262250 DDI196637:DDI196714 DDI131101:DDI131178 DDI65565:DDI65642 CTM983069:CTM983146 CTM917533:CTM917610 CTM851997:CTM852074 CTM786461:CTM786538 CTM720925:CTM721002 CTM655389:CTM655466 CTM589853:CTM589930 CTM524317:CTM524394 CTM458781:CTM458858 CTM393245:CTM393322 CTM327709:CTM327786 CTM262173:CTM262250 CTM196637:CTM196714 CTM131101:CTM131178 CTM65565:CTM65642 CJQ983069:CJQ983146 CJQ917533:CJQ917610 CJQ851997:CJQ852074 CJQ786461:CJQ786538 CJQ720925:CJQ721002 CJQ655389:CJQ655466 CJQ589853:CJQ589930 CJQ524317:CJQ524394 CJQ458781:CJQ458858 CJQ393245:CJQ393322 CJQ327709:CJQ327786 CJQ262173:CJQ262250 CJQ196637:CJQ196714 CJQ131101:CJQ131178 CJQ65565:CJQ65642 BZU983069:BZU983146 BZU917533:BZU917610 BZU851997:BZU852074 BZU786461:BZU786538 BZU720925:BZU721002 BZU655389:BZU655466 BZU589853:BZU589930 BZU524317:BZU524394 BZU458781:BZU458858 BZU393245:BZU393322 BZU327709:BZU327786 BZU262173:BZU262250 BZU196637:BZU196714 BZU131101:BZU131178 BZU65565:BZU65642 BPY983069:BPY983146 BPY917533:BPY917610 BPY851997:BPY852074 BPY786461:BPY786538 BPY720925:BPY721002 BPY655389:BPY655466 BPY589853:BPY589930 BPY524317:BPY524394 BPY458781:BPY458858 BPY393245:BPY393322 BPY327709:BPY327786 BPY262173:BPY262250 BPY196637:BPY196714 BPY131101:BPY131178 BPY65565:BPY65642 BGC983069:BGC983146 BGC917533:BGC917610 BGC851997:BGC852074 BGC786461:BGC786538 BGC720925:BGC721002 BGC655389:BGC655466 BGC589853:BGC589930 BGC524317:BGC524394 BGC458781:BGC458858 BGC393245:BGC393322 BGC327709:BGC327786 BGC262173:BGC262250 BGC196637:BGC196714 BGC131101:BGC131178 BGC65565:BGC65642 AWG983069:AWG983146 AWG917533:AWG917610 AWG851997:AWG852074 AWG786461:AWG786538 AWG720925:AWG721002 AWG655389:AWG655466 AWG589853:AWG589930 AWG524317:AWG524394 AWG458781:AWG458858 AWG393245:AWG393322 AWG327709:AWG327786 AWG262173:AWG262250 AWG196637:AWG196714 AWG131101:AWG131178 AWG65565:AWG65642 AMK983069:AMK983146 AMK917533:AMK917610 AMK851997:AMK852074 AMK786461:AMK786538 AMK720925:AMK721002 AMK655389:AMK655466 AMK589853:AMK589930 AMK524317:AMK524394 AMK458781:AMK458858 AMK393245:AMK393322 AMK327709:AMK327786 AMK262173:AMK262250 AMK196637:AMK196714 AMK131101:AMK131178 AMK65565:AMK65642 ACO983069:ACO983146 ACO917533:ACO917610 ACO851997:ACO852074 ACO786461:ACO786538 ACO720925:ACO721002 ACO655389:ACO655466 ACO589853:ACO589930 ACO524317:ACO524394 ACO458781:ACO458858 ACO393245:ACO393322 ACO327709:ACO327786 ACO262173:ACO262250 ACO196637:ACO196714 ACO131101:ACO131178 ACO65565:ACO65642 SS983069:SS983146 SS917533:SS917610 SS851997:SS852074 SS786461:SS786538 SS720925:SS721002 SS655389:SS655466 SS589853:SS589930 SS524317:SS524394 SS458781:SS458858 SS393245:SS393322 SS327709:SS327786 SS262173:SS262250 SS196637:SS196714 SS131101:SS131178 SS65565:SS65642 IW983069:IW983146 IW917533:IW917610 IW851997:IW852074 IW786461:IW786538 IW720925:IW721002 IW655389:IW655466 IW589853:IW589930 IW524317:IW524394 IW458781:IW458858 IW393245:IW393322 IW327709:IW327786 IW262173:IW262250 IW196637:IW196714 IW131101:IW131178 IW65565:IW65642 A983069:A983146 A917533:A917610 A851997:A852074 A786461:A786538 A720925:A721002 A655389:A655466 A589853:A589930 A524317:A524394 A458781:A458858 A393245:A393322 A327709:A327786 A262173:A262250 A196637:A196714 A131101:A131178 A65565:A65642 WVI2:WVI106 IW2:IW106 SS2:SS106 ACO2:ACO106 AMK2:AMK106 AWG2:AWG106 BGC2:BGC106 BPY2:BPY106 BZU2:BZU106 CJQ2:CJQ106 CTM2:CTM106 DDI2:DDI106 DNE2:DNE106 DXA2:DXA106 EGW2:EGW106 EQS2:EQS106 FAO2:FAO106 FKK2:FKK106 FUG2:FUG106 GEC2:GEC106 GNY2:GNY106 GXU2:GXU106 HHQ2:HHQ106 HRM2:HRM106 IBI2:IBI106 ILE2:ILE106 IVA2:IVA106 JEW2:JEW106 JOS2:JOS106 JYO2:JYO106 KIK2:KIK106 KSG2:KSG106 LCC2:LCC106 LLY2:LLY106 LVU2:LVU106 MFQ2:MFQ106 MPM2:MPM106 MZI2:MZI106 NJE2:NJE106 NTA2:NTA106 OCW2:OCW106 OMS2:OMS106 OWO2:OWO106 PGK2:PGK106 PQG2:PQG106 QAC2:QAC106 QJY2:QJY106 QTU2:QTU106 RDQ2:RDQ106 RNM2:RNM106 RXI2:RXI106 SHE2:SHE106 SRA2:SRA106 TAW2:TAW106 TKS2:TKS106 TUO2:TUO106 UEK2:UEK106 UOG2:UOG106 UYC2:UYC106 VHY2:VHY106 VRU2:VRU106 WBQ2:WBQ106 WLM2:WLM106 A2:A527" xr:uid="{00026F0A-E01B-4E65-BD7E-A9EF9BCB66B4}">
      <formula1>$AE$2:$AE$22</formula1>
    </dataValidation>
    <dataValidation type="list" allowBlank="1" showInputMessage="1" showErrorMessage="1" sqref="G65565:G65642 G131101:G131178 G196637:G196714 G262173:G262250 G327709:G327786 G393245:G393322 G458781:G458858 G524317:G524394 G589853:G589930 G655389:G655466 G720925:G721002 G786461:G786538 G851997:G852074 G917533:G917610 G983069:G983146 JC65565:JC65642 JC131101:JC131178 JC196637:JC196714 JC262173:JC262250 JC327709:JC327786 JC393245:JC393322 JC458781:JC458858 JC524317:JC524394 JC589853:JC589930 JC655389:JC655466 JC720925:JC721002 JC786461:JC786538 JC851997:JC852074 JC917533:JC917610 JC983069:JC983146 SY65565:SY65642 SY131101:SY131178 SY196637:SY196714 SY262173:SY262250 SY327709:SY327786 SY393245:SY393322 SY458781:SY458858 SY524317:SY524394 SY589853:SY589930 SY655389:SY655466 SY720925:SY721002 SY786461:SY786538 SY851997:SY852074 SY917533:SY917610 SY983069:SY983146 ACU65565:ACU65642 ACU131101:ACU131178 ACU196637:ACU196714 ACU262173:ACU262250 ACU327709:ACU327786 ACU393245:ACU393322 ACU458781:ACU458858 ACU524317:ACU524394 ACU589853:ACU589930 ACU655389:ACU655466 ACU720925:ACU721002 ACU786461:ACU786538 ACU851997:ACU852074 ACU917533:ACU917610 ACU983069:ACU983146 AMQ65565:AMQ65642 AMQ131101:AMQ131178 AMQ196637:AMQ196714 AMQ262173:AMQ262250 AMQ327709:AMQ327786 AMQ393245:AMQ393322 AMQ458781:AMQ458858 AMQ524317:AMQ524394 AMQ589853:AMQ589930 AMQ655389:AMQ655466 AMQ720925:AMQ721002 AMQ786461:AMQ786538 AMQ851997:AMQ852074 AMQ917533:AMQ917610 AMQ983069:AMQ983146 AWM65565:AWM65642 AWM131101:AWM131178 AWM196637:AWM196714 AWM262173:AWM262250 AWM327709:AWM327786 AWM393245:AWM393322 AWM458781:AWM458858 AWM524317:AWM524394 AWM589853:AWM589930 AWM655389:AWM655466 AWM720925:AWM721002 AWM786461:AWM786538 AWM851997:AWM852074 AWM917533:AWM917610 AWM983069:AWM983146 BGI65565:BGI65642 BGI131101:BGI131178 BGI196637:BGI196714 BGI262173:BGI262250 BGI327709:BGI327786 BGI393245:BGI393322 BGI458781:BGI458858 BGI524317:BGI524394 BGI589853:BGI589930 BGI655389:BGI655466 BGI720925:BGI721002 BGI786461:BGI786538 BGI851997:BGI852074 BGI917533:BGI917610 BGI983069:BGI983146 BQE65565:BQE65642 BQE131101:BQE131178 BQE196637:BQE196714 BQE262173:BQE262250 BQE327709:BQE327786 BQE393245:BQE393322 BQE458781:BQE458858 BQE524317:BQE524394 BQE589853:BQE589930 BQE655389:BQE655466 BQE720925:BQE721002 BQE786461:BQE786538 BQE851997:BQE852074 BQE917533:BQE917610 BQE983069:BQE983146 CAA65565:CAA65642 CAA131101:CAA131178 CAA196637:CAA196714 CAA262173:CAA262250 CAA327709:CAA327786 CAA393245:CAA393322 CAA458781:CAA458858 CAA524317:CAA524394 CAA589853:CAA589930 CAA655389:CAA655466 CAA720925:CAA721002 CAA786461:CAA786538 CAA851997:CAA852074 CAA917533:CAA917610 CAA983069:CAA983146 CJW65565:CJW65642 CJW131101:CJW131178 CJW196637:CJW196714 CJW262173:CJW262250 CJW327709:CJW327786 CJW393245:CJW393322 CJW458781:CJW458858 CJW524317:CJW524394 CJW589853:CJW589930 CJW655389:CJW655466 CJW720925:CJW721002 CJW786461:CJW786538 CJW851997:CJW852074 CJW917533:CJW917610 CJW983069:CJW983146 CTS65565:CTS65642 CTS131101:CTS131178 CTS196637:CTS196714 CTS262173:CTS262250 CTS327709:CTS327786 CTS393245:CTS393322 CTS458781:CTS458858 CTS524317:CTS524394 CTS589853:CTS589930 CTS655389:CTS655466 CTS720925:CTS721002 CTS786461:CTS786538 CTS851997:CTS852074 CTS917533:CTS917610 CTS983069:CTS983146 DDO65565:DDO65642 DDO131101:DDO131178 DDO196637:DDO196714 DDO262173:DDO262250 DDO327709:DDO327786 DDO393245:DDO393322 DDO458781:DDO458858 DDO524317:DDO524394 DDO589853:DDO589930 DDO655389:DDO655466 DDO720925:DDO721002 DDO786461:DDO786538 DDO851997:DDO852074 DDO917533:DDO917610 DDO983069:DDO983146 DNK65565:DNK65642 DNK131101:DNK131178 DNK196637:DNK196714 DNK262173:DNK262250 DNK327709:DNK327786 DNK393245:DNK393322 DNK458781:DNK458858 DNK524317:DNK524394 DNK589853:DNK589930 DNK655389:DNK655466 DNK720925:DNK721002 DNK786461:DNK786538 DNK851997:DNK852074 DNK917533:DNK917610 DNK983069:DNK983146 DXG65565:DXG65642 DXG131101:DXG131178 DXG196637:DXG196714 DXG262173:DXG262250 DXG327709:DXG327786 DXG393245:DXG393322 DXG458781:DXG458858 DXG524317:DXG524394 DXG589853:DXG589930 DXG655389:DXG655466 DXG720925:DXG721002 DXG786461:DXG786538 DXG851997:DXG852074 DXG917533:DXG917610 DXG983069:DXG983146 EHC65565:EHC65642 EHC131101:EHC131178 EHC196637:EHC196714 EHC262173:EHC262250 EHC327709:EHC327786 EHC393245:EHC393322 EHC458781:EHC458858 EHC524317:EHC524394 EHC589853:EHC589930 EHC655389:EHC655466 EHC720925:EHC721002 EHC786461:EHC786538 EHC851997:EHC852074 EHC917533:EHC917610 EHC983069:EHC983146 EQY65565:EQY65642 EQY131101:EQY131178 EQY196637:EQY196714 EQY262173:EQY262250 EQY327709:EQY327786 EQY393245:EQY393322 EQY458781:EQY458858 EQY524317:EQY524394 EQY589853:EQY589930 EQY655389:EQY655466 EQY720925:EQY721002 EQY786461:EQY786538 EQY851997:EQY852074 EQY917533:EQY917610 EQY983069:EQY983146 FAU65565:FAU65642 FAU131101:FAU131178 FAU196637:FAU196714 FAU262173:FAU262250 FAU327709:FAU327786 FAU393245:FAU393322 FAU458781:FAU458858 FAU524317:FAU524394 FAU589853:FAU589930 FAU655389:FAU655466 FAU720925:FAU721002 FAU786461:FAU786538 FAU851997:FAU852074 FAU917533:FAU917610 FAU983069:FAU983146 FKQ65565:FKQ65642 FKQ131101:FKQ131178 FKQ196637:FKQ196714 FKQ262173:FKQ262250 FKQ327709:FKQ327786 FKQ393245:FKQ393322 FKQ458781:FKQ458858 FKQ524317:FKQ524394 FKQ589853:FKQ589930 FKQ655389:FKQ655466 FKQ720925:FKQ721002 FKQ786461:FKQ786538 FKQ851997:FKQ852074 FKQ917533:FKQ917610 FKQ983069:FKQ983146 FUM65565:FUM65642 FUM131101:FUM131178 FUM196637:FUM196714 FUM262173:FUM262250 FUM327709:FUM327786 FUM393245:FUM393322 FUM458781:FUM458858 FUM524317:FUM524394 FUM589853:FUM589930 FUM655389:FUM655466 FUM720925:FUM721002 FUM786461:FUM786538 FUM851997:FUM852074 FUM917533:FUM917610 FUM983069:FUM983146 GEI65565:GEI65642 GEI131101:GEI131178 GEI196637:GEI196714 GEI262173:GEI262250 GEI327709:GEI327786 GEI393245:GEI393322 GEI458781:GEI458858 GEI524317:GEI524394 GEI589853:GEI589930 GEI655389:GEI655466 GEI720925:GEI721002 GEI786461:GEI786538 GEI851997:GEI852074 GEI917533:GEI917610 GEI983069:GEI983146 GOE65565:GOE65642 GOE131101:GOE131178 GOE196637:GOE196714 GOE262173:GOE262250 GOE327709:GOE327786 GOE393245:GOE393322 GOE458781:GOE458858 GOE524317:GOE524394 GOE589853:GOE589930 GOE655389:GOE655466 GOE720925:GOE721002 GOE786461:GOE786538 GOE851997:GOE852074 GOE917533:GOE917610 GOE983069:GOE983146 GYA65565:GYA65642 GYA131101:GYA131178 GYA196637:GYA196714 GYA262173:GYA262250 GYA327709:GYA327786 GYA393245:GYA393322 GYA458781:GYA458858 GYA524317:GYA524394 GYA589853:GYA589930 GYA655389:GYA655466 GYA720925:GYA721002 GYA786461:GYA786538 GYA851997:GYA852074 GYA917533:GYA917610 GYA983069:GYA983146 HHW65565:HHW65642 HHW131101:HHW131178 HHW196637:HHW196714 HHW262173:HHW262250 HHW327709:HHW327786 HHW393245:HHW393322 HHW458781:HHW458858 HHW524317:HHW524394 HHW589853:HHW589930 HHW655389:HHW655466 HHW720925:HHW721002 HHW786461:HHW786538 HHW851997:HHW852074 HHW917533:HHW917610 HHW983069:HHW983146 HRS65565:HRS65642 HRS131101:HRS131178 HRS196637:HRS196714 HRS262173:HRS262250 HRS327709:HRS327786 HRS393245:HRS393322 HRS458781:HRS458858 HRS524317:HRS524394 HRS589853:HRS589930 HRS655389:HRS655466 HRS720925:HRS721002 HRS786461:HRS786538 HRS851997:HRS852074 HRS917533:HRS917610 HRS983069:HRS983146 IBO65565:IBO65642 IBO131101:IBO131178 IBO196637:IBO196714 IBO262173:IBO262250 IBO327709:IBO327786 IBO393245:IBO393322 IBO458781:IBO458858 IBO524317:IBO524394 IBO589853:IBO589930 IBO655389:IBO655466 IBO720925:IBO721002 IBO786461:IBO786538 IBO851997:IBO852074 IBO917533:IBO917610 IBO983069:IBO983146 ILK65565:ILK65642 ILK131101:ILK131178 ILK196637:ILK196714 ILK262173:ILK262250 ILK327709:ILK327786 ILK393245:ILK393322 ILK458781:ILK458858 ILK524317:ILK524394 ILK589853:ILK589930 ILK655389:ILK655466 ILK720925:ILK721002 ILK786461:ILK786538 ILK851997:ILK852074 ILK917533:ILK917610 ILK983069:ILK983146 IVG65565:IVG65642 IVG131101:IVG131178 IVG196637:IVG196714 IVG262173:IVG262250 IVG327709:IVG327786 IVG393245:IVG393322 IVG458781:IVG458858 IVG524317:IVG524394 IVG589853:IVG589930 IVG655389:IVG655466 IVG720925:IVG721002 IVG786461:IVG786538 IVG851997:IVG852074 IVG917533:IVG917610 IVG983069:IVG983146 JFC65565:JFC65642 JFC131101:JFC131178 JFC196637:JFC196714 JFC262173:JFC262250 JFC327709:JFC327786 JFC393245:JFC393322 JFC458781:JFC458858 JFC524317:JFC524394 JFC589853:JFC589930 JFC655389:JFC655466 JFC720925:JFC721002 JFC786461:JFC786538 JFC851997:JFC852074 JFC917533:JFC917610 JFC983069:JFC983146 JOY65565:JOY65642 JOY131101:JOY131178 JOY196637:JOY196714 JOY262173:JOY262250 JOY327709:JOY327786 JOY393245:JOY393322 JOY458781:JOY458858 JOY524317:JOY524394 JOY589853:JOY589930 JOY655389:JOY655466 JOY720925:JOY721002 JOY786461:JOY786538 JOY851997:JOY852074 JOY917533:JOY917610 JOY983069:JOY983146 JYU65565:JYU65642 JYU131101:JYU131178 JYU196637:JYU196714 JYU262173:JYU262250 JYU327709:JYU327786 JYU393245:JYU393322 JYU458781:JYU458858 JYU524317:JYU524394 JYU589853:JYU589930 JYU655389:JYU655466 JYU720925:JYU721002 JYU786461:JYU786538 JYU851997:JYU852074 JYU917533:JYU917610 JYU983069:JYU983146 KIQ65565:KIQ65642 KIQ131101:KIQ131178 KIQ196637:KIQ196714 KIQ262173:KIQ262250 KIQ327709:KIQ327786 KIQ393245:KIQ393322 KIQ458781:KIQ458858 KIQ524317:KIQ524394 KIQ589853:KIQ589930 KIQ655389:KIQ655466 KIQ720925:KIQ721002 KIQ786461:KIQ786538 KIQ851997:KIQ852074 KIQ917533:KIQ917610 KIQ983069:KIQ983146 KSM65565:KSM65642 KSM131101:KSM131178 KSM196637:KSM196714 KSM262173:KSM262250 KSM327709:KSM327786 KSM393245:KSM393322 KSM458781:KSM458858 KSM524317:KSM524394 KSM589853:KSM589930 KSM655389:KSM655466 KSM720925:KSM721002 KSM786461:KSM786538 KSM851997:KSM852074 KSM917533:KSM917610 KSM983069:KSM983146 LCI65565:LCI65642 LCI131101:LCI131178 LCI196637:LCI196714 LCI262173:LCI262250 LCI327709:LCI327786 LCI393245:LCI393322 LCI458781:LCI458858 LCI524317:LCI524394 LCI589853:LCI589930 LCI655389:LCI655466 LCI720925:LCI721002 LCI786461:LCI786538 LCI851997:LCI852074 LCI917533:LCI917610 LCI983069:LCI983146 LME65565:LME65642 LME131101:LME131178 LME196637:LME196714 LME262173:LME262250 LME327709:LME327786 LME393245:LME393322 LME458781:LME458858 LME524317:LME524394 LME589853:LME589930 LME655389:LME655466 LME720925:LME721002 LME786461:LME786538 LME851997:LME852074 LME917533:LME917610 LME983069:LME983146 LWA65565:LWA65642 LWA131101:LWA131178 LWA196637:LWA196714 LWA262173:LWA262250 LWA327709:LWA327786 LWA393245:LWA393322 LWA458781:LWA458858 LWA524317:LWA524394 LWA589853:LWA589930 LWA655389:LWA655466 LWA720925:LWA721002 LWA786461:LWA786538 LWA851997:LWA852074 LWA917533:LWA917610 LWA983069:LWA983146 MFW65565:MFW65642 MFW131101:MFW131178 MFW196637:MFW196714 MFW262173:MFW262250 MFW327709:MFW327786 MFW393245:MFW393322 MFW458781:MFW458858 MFW524317:MFW524394 MFW589853:MFW589930 MFW655389:MFW655466 MFW720925:MFW721002 MFW786461:MFW786538 MFW851997:MFW852074 MFW917533:MFW917610 MFW983069:MFW983146 MPS65565:MPS65642 MPS131101:MPS131178 MPS196637:MPS196714 MPS262173:MPS262250 MPS327709:MPS327786 MPS393245:MPS393322 MPS458781:MPS458858 MPS524317:MPS524394 MPS589853:MPS589930 MPS655389:MPS655466 MPS720925:MPS721002 MPS786461:MPS786538 MPS851997:MPS852074 MPS917533:MPS917610 MPS983069:MPS983146 MZO65565:MZO65642 MZO131101:MZO131178 MZO196637:MZO196714 MZO262173:MZO262250 MZO327709:MZO327786 MZO393245:MZO393322 MZO458781:MZO458858 MZO524317:MZO524394 MZO589853:MZO589930 MZO655389:MZO655466 MZO720925:MZO721002 MZO786461:MZO786538 MZO851997:MZO852074 MZO917533:MZO917610 MZO983069:MZO983146 NJK65565:NJK65642 NJK131101:NJK131178 NJK196637:NJK196714 NJK262173:NJK262250 NJK327709:NJK327786 NJK393245:NJK393322 NJK458781:NJK458858 NJK524317:NJK524394 NJK589853:NJK589930 NJK655389:NJK655466 NJK720925:NJK721002 NJK786461:NJK786538 NJK851997:NJK852074 NJK917533:NJK917610 NJK983069:NJK983146 NTG65565:NTG65642 NTG131101:NTG131178 NTG196637:NTG196714 NTG262173:NTG262250 NTG327709:NTG327786 NTG393245:NTG393322 NTG458781:NTG458858 NTG524317:NTG524394 NTG589853:NTG589930 NTG655389:NTG655466 NTG720925:NTG721002 NTG786461:NTG786538 NTG851997:NTG852074 NTG917533:NTG917610 NTG983069:NTG983146 ODC65565:ODC65642 ODC131101:ODC131178 ODC196637:ODC196714 ODC262173:ODC262250 ODC327709:ODC327786 ODC393245:ODC393322 ODC458781:ODC458858 ODC524317:ODC524394 ODC589853:ODC589930 ODC655389:ODC655466 ODC720925:ODC721002 ODC786461:ODC786538 ODC851997:ODC852074 ODC917533:ODC917610 ODC983069:ODC983146 OMY65565:OMY65642 OMY131101:OMY131178 OMY196637:OMY196714 OMY262173:OMY262250 OMY327709:OMY327786 OMY393245:OMY393322 OMY458781:OMY458858 OMY524317:OMY524394 OMY589853:OMY589930 OMY655389:OMY655466 OMY720925:OMY721002 OMY786461:OMY786538 OMY851997:OMY852074 OMY917533:OMY917610 OMY983069:OMY983146 OWU65565:OWU65642 OWU131101:OWU131178 OWU196637:OWU196714 OWU262173:OWU262250 OWU327709:OWU327786 OWU393245:OWU393322 OWU458781:OWU458858 OWU524317:OWU524394 OWU589853:OWU589930 OWU655389:OWU655466 OWU720925:OWU721002 OWU786461:OWU786538 OWU851997:OWU852074 OWU917533:OWU917610 OWU983069:OWU983146 PGQ65565:PGQ65642 PGQ131101:PGQ131178 PGQ196637:PGQ196714 PGQ262173:PGQ262250 PGQ327709:PGQ327786 PGQ393245:PGQ393322 PGQ458781:PGQ458858 PGQ524317:PGQ524394 PGQ589853:PGQ589930 PGQ655389:PGQ655466 PGQ720925:PGQ721002 PGQ786461:PGQ786538 PGQ851997:PGQ852074 PGQ917533:PGQ917610 PGQ983069:PGQ983146 PQM65565:PQM65642 PQM131101:PQM131178 PQM196637:PQM196714 PQM262173:PQM262250 PQM327709:PQM327786 PQM393245:PQM393322 PQM458781:PQM458858 PQM524317:PQM524394 PQM589853:PQM589930 PQM655389:PQM655466 PQM720925:PQM721002 PQM786461:PQM786538 PQM851997:PQM852074 PQM917533:PQM917610 PQM983069:PQM983146 QAI65565:QAI65642 QAI131101:QAI131178 QAI196637:QAI196714 QAI262173:QAI262250 QAI327709:QAI327786 QAI393245:QAI393322 QAI458781:QAI458858 QAI524317:QAI524394 QAI589853:QAI589930 QAI655389:QAI655466 QAI720925:QAI721002 QAI786461:QAI786538 QAI851997:QAI852074 QAI917533:QAI917610 QAI983069:QAI983146 QKE65565:QKE65642 QKE131101:QKE131178 QKE196637:QKE196714 QKE262173:QKE262250 QKE327709:QKE327786 QKE393245:QKE393322 QKE458781:QKE458858 QKE524317:QKE524394 QKE589853:QKE589930 QKE655389:QKE655466 QKE720925:QKE721002 QKE786461:QKE786538 QKE851997:QKE852074 QKE917533:QKE917610 QKE983069:QKE983146 QUA65565:QUA65642 QUA131101:QUA131178 QUA196637:QUA196714 QUA262173:QUA262250 QUA327709:QUA327786 QUA393245:QUA393322 QUA458781:QUA458858 QUA524317:QUA524394 QUA589853:QUA589930 QUA655389:QUA655466 QUA720925:QUA721002 QUA786461:QUA786538 QUA851997:QUA852074 QUA917533:QUA917610 QUA983069:QUA983146 RDW65565:RDW65642 RDW131101:RDW131178 RDW196637:RDW196714 RDW262173:RDW262250 RDW327709:RDW327786 RDW393245:RDW393322 RDW458781:RDW458858 RDW524317:RDW524394 RDW589853:RDW589930 RDW655389:RDW655466 RDW720925:RDW721002 RDW786461:RDW786538 RDW851997:RDW852074 RDW917533:RDW917610 RDW983069:RDW983146 RNS65565:RNS65642 RNS131101:RNS131178 RNS196637:RNS196714 RNS262173:RNS262250 RNS327709:RNS327786 RNS393245:RNS393322 RNS458781:RNS458858 RNS524317:RNS524394 RNS589853:RNS589930 RNS655389:RNS655466 RNS720925:RNS721002 RNS786461:RNS786538 RNS851997:RNS852074 RNS917533:RNS917610 RNS983069:RNS983146 RXO65565:RXO65642 RXO131101:RXO131178 RXO196637:RXO196714 RXO262173:RXO262250 RXO327709:RXO327786 RXO393245:RXO393322 RXO458781:RXO458858 RXO524317:RXO524394 RXO589853:RXO589930 RXO655389:RXO655466 RXO720925:RXO721002 RXO786461:RXO786538 RXO851997:RXO852074 RXO917533:RXO917610 RXO983069:RXO983146 SHK65565:SHK65642 SHK131101:SHK131178 SHK196637:SHK196714 SHK262173:SHK262250 SHK327709:SHK327786 SHK393245:SHK393322 SHK458781:SHK458858 SHK524317:SHK524394 SHK589853:SHK589930 SHK655389:SHK655466 SHK720925:SHK721002 SHK786461:SHK786538 SHK851997:SHK852074 SHK917533:SHK917610 SHK983069:SHK983146 SRG65565:SRG65642 SRG131101:SRG131178 SRG196637:SRG196714 SRG262173:SRG262250 SRG327709:SRG327786 SRG393245:SRG393322 SRG458781:SRG458858 SRG524317:SRG524394 SRG589853:SRG589930 SRG655389:SRG655466 SRG720925:SRG721002 SRG786461:SRG786538 SRG851997:SRG852074 SRG917533:SRG917610 SRG983069:SRG983146 TBC65565:TBC65642 TBC131101:TBC131178 TBC196637:TBC196714 TBC262173:TBC262250 TBC327709:TBC327786 TBC393245:TBC393322 TBC458781:TBC458858 TBC524317:TBC524394 TBC589853:TBC589930 TBC655389:TBC655466 TBC720925:TBC721002 TBC786461:TBC786538 TBC851997:TBC852074 TBC917533:TBC917610 TBC983069:TBC983146 TKY65565:TKY65642 TKY131101:TKY131178 TKY196637:TKY196714 TKY262173:TKY262250 TKY327709:TKY327786 TKY393245:TKY393322 TKY458781:TKY458858 TKY524317:TKY524394 TKY589853:TKY589930 TKY655389:TKY655466 TKY720925:TKY721002 TKY786461:TKY786538 TKY851997:TKY852074 TKY917533:TKY917610 TKY983069:TKY983146 TUU65565:TUU65642 TUU131101:TUU131178 TUU196637:TUU196714 TUU262173:TUU262250 TUU327709:TUU327786 TUU393245:TUU393322 TUU458781:TUU458858 TUU524317:TUU524394 TUU589853:TUU589930 TUU655389:TUU655466 TUU720925:TUU721002 TUU786461:TUU786538 TUU851997:TUU852074 TUU917533:TUU917610 TUU983069:TUU983146 UEQ65565:UEQ65642 UEQ131101:UEQ131178 UEQ196637:UEQ196714 UEQ262173:UEQ262250 UEQ327709:UEQ327786 UEQ393245:UEQ393322 UEQ458781:UEQ458858 UEQ524317:UEQ524394 UEQ589853:UEQ589930 UEQ655389:UEQ655466 UEQ720925:UEQ721002 UEQ786461:UEQ786538 UEQ851997:UEQ852074 UEQ917533:UEQ917610 UEQ983069:UEQ983146 UOM65565:UOM65642 UOM131101:UOM131178 UOM196637:UOM196714 UOM262173:UOM262250 UOM327709:UOM327786 UOM393245:UOM393322 UOM458781:UOM458858 UOM524317:UOM524394 UOM589853:UOM589930 UOM655389:UOM655466 UOM720925:UOM721002 UOM786461:UOM786538 UOM851997:UOM852074 UOM917533:UOM917610 UOM983069:UOM983146 UYI65565:UYI65642 UYI131101:UYI131178 UYI196637:UYI196714 UYI262173:UYI262250 UYI327709:UYI327786 UYI393245:UYI393322 UYI458781:UYI458858 UYI524317:UYI524394 UYI589853:UYI589930 UYI655389:UYI655466 UYI720925:UYI721002 UYI786461:UYI786538 UYI851997:UYI852074 UYI917533:UYI917610 UYI983069:UYI983146 VIE65565:VIE65642 VIE131101:VIE131178 VIE196637:VIE196714 VIE262173:VIE262250 VIE327709:VIE327786 VIE393245:VIE393322 VIE458781:VIE458858 VIE524317:VIE524394 VIE589853:VIE589930 VIE655389:VIE655466 VIE720925:VIE721002 VIE786461:VIE786538 VIE851997:VIE852074 VIE917533:VIE917610 VIE983069:VIE983146 VSA65565:VSA65642 VSA131101:VSA131178 VSA196637:VSA196714 VSA262173:VSA262250 VSA327709:VSA327786 VSA393245:VSA393322 VSA458781:VSA458858 VSA524317:VSA524394 VSA589853:VSA589930 VSA655389:VSA655466 VSA720925:VSA721002 VSA786461:VSA786538 VSA851997:VSA852074 VSA917533:VSA917610 VSA983069:VSA983146 WBW65565:WBW65642 WBW131101:WBW131178 WBW196637:WBW196714 WBW262173:WBW262250 WBW327709:WBW327786 WBW393245:WBW393322 WBW458781:WBW458858 WBW524317:WBW524394 WBW589853:WBW589930 WBW655389:WBW655466 WBW720925:WBW721002 WBW786461:WBW786538 WBW851997:WBW852074 WBW917533:WBW917610 WBW983069:WBW983146 WLS65565:WLS65642 WLS131101:WLS131178 WLS196637:WLS196714 WLS262173:WLS262250 WLS327709:WLS327786 WLS393245:WLS393322 WLS458781:WLS458858 WLS524317:WLS524394 WLS589853:WLS589930 WLS655389:WLS655466 WLS720925:WLS721002 WLS786461:WLS786538 WLS851997:WLS852074 WLS917533:WLS917610 WLS983069:WLS983146 WVO65565:WVO65642 WVO131101:WVO131178 WVO196637:WVO196714 WVO262173:WVO262250 WVO327709:WVO327786 WVO393245:WVO393322 WVO458781:WVO458858 WVO524317:WVO524394 WVO589853:WVO589930 WVO655389:WVO655466 WVO720925:WVO721002 WVO786461:WVO786538 WVO851997:WVO852074 WVO917533:WVO917610 WVO983069:WVO983146 JC2:JC106 SY2:SY106 ACU2:ACU106 AMQ2:AMQ106 AWM2:AWM106 BGI2:BGI106 BQE2:BQE106 CAA2:CAA106 CJW2:CJW106 CTS2:CTS106 DDO2:DDO106 DNK2:DNK106 DXG2:DXG106 EHC2:EHC106 EQY2:EQY106 FAU2:FAU106 FKQ2:FKQ106 FUM2:FUM106 GEI2:GEI106 GOE2:GOE106 GYA2:GYA106 HHW2:HHW106 HRS2:HRS106 IBO2:IBO106 ILK2:ILK106 IVG2:IVG106 JFC2:JFC106 JOY2:JOY106 JYU2:JYU106 KIQ2:KIQ106 KSM2:KSM106 LCI2:LCI106 LME2:LME106 LWA2:LWA106 MFW2:MFW106 MPS2:MPS106 MZO2:MZO106 NJK2:NJK106 NTG2:NTG106 ODC2:ODC106 OMY2:OMY106 OWU2:OWU106 PGQ2:PGQ106 PQM2:PQM106 QAI2:QAI106 QKE2:QKE106 QUA2:QUA106 RDW2:RDW106 RNS2:RNS106 RXO2:RXO106 SHK2:SHK106 SRG2:SRG106 TBC2:TBC106 TKY2:TKY106 TUU2:TUU106 UEQ2:UEQ106 UOM2:UOM106 UYI2:UYI106 VIE2:VIE106 VSA2:VSA106 WBW2:WBW106 WLS2:WLS106 WVO2:WVO106 G2:G527" xr:uid="{7F66EB24-AB63-41E9-A899-37E814E01DDB}">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31362-D9E3-49F0-9C21-5995BF1858DB}">
  <sheetPr>
    <pageSetUpPr fitToPage="1"/>
  </sheetPr>
  <dimension ref="A1:BA120"/>
  <sheetViews>
    <sheetView topLeftCell="A28" zoomScale="80" zoomScaleNormal="80" workbookViewId="0">
      <selection activeCell="AC13" sqref="AC13"/>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23" t="s">
        <v>282</v>
      </c>
      <c r="B1" s="55" t="s">
        <v>1</v>
      </c>
      <c r="C1" s="55" t="s">
        <v>2</v>
      </c>
      <c r="D1" s="56" t="s">
        <v>3</v>
      </c>
      <c r="E1" s="56" t="s">
        <v>283</v>
      </c>
      <c r="F1" s="56" t="s">
        <v>5</v>
      </c>
      <c r="G1" s="56" t="s">
        <v>6</v>
      </c>
      <c r="H1" s="56" t="s">
        <v>284</v>
      </c>
      <c r="I1" s="56" t="s">
        <v>8</v>
      </c>
      <c r="J1" s="56" t="s">
        <v>9</v>
      </c>
      <c r="K1" s="56" t="s">
        <v>10</v>
      </c>
      <c r="L1" s="56" t="s">
        <v>11</v>
      </c>
      <c r="M1" s="56" t="s">
        <v>12</v>
      </c>
      <c r="N1" s="56" t="s">
        <v>13</v>
      </c>
      <c r="O1" s="56" t="s">
        <v>14</v>
      </c>
      <c r="P1" s="56" t="s">
        <v>15</v>
      </c>
      <c r="Q1" s="3" t="s">
        <v>16</v>
      </c>
      <c r="R1" s="56" t="s">
        <v>17</v>
      </c>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232</v>
      </c>
      <c r="C2" s="127">
        <v>2019</v>
      </c>
      <c r="D2" s="128" t="s">
        <v>285</v>
      </c>
      <c r="E2" s="127" t="s">
        <v>286</v>
      </c>
      <c r="F2" s="127" t="s">
        <v>287</v>
      </c>
      <c r="G2" s="127" t="s">
        <v>42</v>
      </c>
      <c r="H2" s="53" t="s">
        <v>164</v>
      </c>
      <c r="I2" s="53" t="s">
        <v>159</v>
      </c>
      <c r="J2" s="127" t="s">
        <v>38</v>
      </c>
      <c r="K2" s="53" t="s">
        <v>161</v>
      </c>
      <c r="L2" s="53">
        <v>1</v>
      </c>
      <c r="M2" s="53"/>
      <c r="N2" s="53">
        <v>4</v>
      </c>
      <c r="O2" s="53">
        <v>0.95</v>
      </c>
      <c r="P2" s="53">
        <v>0.5</v>
      </c>
      <c r="Q2" s="74">
        <f t="shared" ref="Q2:Q65" si="0">IF(OR(O2="",P2=""),"",AVERAGE(O2,P2))</f>
        <v>0.72499999999999998</v>
      </c>
      <c r="R2" s="53">
        <v>11.4</v>
      </c>
      <c r="S2" s="53">
        <v>95</v>
      </c>
      <c r="T2" s="16">
        <f t="shared" ref="T2:T65" si="1">IF(H2="","",IF(OR(H2="GREEN",H2="GK"),IF(S2&gt;=$AX$2,VLOOKUP(S2,$AX$2:$AY$15,2,1),""),IF(S2&gt;=$AZ$2,VLOOKUP(S2,$AZ$2:$BA$15,2,1),"")))</f>
        <v>36</v>
      </c>
      <c r="U2" s="53">
        <v>350</v>
      </c>
      <c r="V2" s="129">
        <f t="shared" ref="V2:V65" si="2">IF(OR(N2="",U2="",T2=""),"",U2/N2*T2)</f>
        <v>3150</v>
      </c>
      <c r="W2" s="53">
        <v>4</v>
      </c>
      <c r="X2" s="127" t="s">
        <v>39</v>
      </c>
      <c r="Y2" s="53" t="s">
        <v>97</v>
      </c>
      <c r="Z2" s="53" t="s">
        <v>40</v>
      </c>
      <c r="AA2" s="53" t="s">
        <v>55</v>
      </c>
      <c r="AB2" s="127" t="s">
        <v>288</v>
      </c>
      <c r="AC2" s="34"/>
      <c r="AE2" s="64" t="s">
        <v>35</v>
      </c>
      <c r="AG2" s="49" t="s">
        <v>286</v>
      </c>
      <c r="AH2" s="49" t="s">
        <v>287</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232</v>
      </c>
      <c r="C3" s="127">
        <v>2019</v>
      </c>
      <c r="D3" s="128" t="s">
        <v>285</v>
      </c>
      <c r="E3" s="127" t="s">
        <v>286</v>
      </c>
      <c r="F3" s="127" t="s">
        <v>287</v>
      </c>
      <c r="G3" s="127" t="s">
        <v>42</v>
      </c>
      <c r="H3" s="53" t="s">
        <v>164</v>
      </c>
      <c r="I3" s="53" t="s">
        <v>159</v>
      </c>
      <c r="J3" s="127" t="s">
        <v>38</v>
      </c>
      <c r="K3" s="53" t="s">
        <v>161</v>
      </c>
      <c r="L3" s="53">
        <v>2</v>
      </c>
      <c r="N3" s="53">
        <v>4</v>
      </c>
      <c r="O3" s="53">
        <v>0.85</v>
      </c>
      <c r="P3" s="53">
        <v>0.9</v>
      </c>
      <c r="Q3" s="74">
        <f t="shared" si="0"/>
        <v>0.875</v>
      </c>
      <c r="R3" s="53">
        <v>13.2</v>
      </c>
      <c r="S3" s="53">
        <v>88</v>
      </c>
      <c r="T3" s="16">
        <f t="shared" si="1"/>
        <v>36</v>
      </c>
      <c r="U3" s="53">
        <v>350</v>
      </c>
      <c r="V3" s="129">
        <f t="shared" si="2"/>
        <v>3150</v>
      </c>
      <c r="W3" s="53">
        <v>4</v>
      </c>
      <c r="X3" s="127" t="s">
        <v>39</v>
      </c>
      <c r="Y3" s="53" t="s">
        <v>97</v>
      </c>
      <c r="Z3" s="53" t="s">
        <v>40</v>
      </c>
      <c r="AA3" s="53" t="s">
        <v>55</v>
      </c>
      <c r="AB3" s="127" t="s">
        <v>288</v>
      </c>
      <c r="AC3" s="34"/>
      <c r="AE3" s="22" t="s">
        <v>41</v>
      </c>
      <c r="AG3" s="49" t="s">
        <v>289</v>
      </c>
      <c r="AH3" s="49" t="s">
        <v>290</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232</v>
      </c>
      <c r="C4" s="127">
        <v>2019</v>
      </c>
      <c r="D4" s="128" t="s">
        <v>285</v>
      </c>
      <c r="E4" s="127" t="s">
        <v>286</v>
      </c>
      <c r="F4" s="127" t="s">
        <v>287</v>
      </c>
      <c r="G4" s="127" t="s">
        <v>42</v>
      </c>
      <c r="H4" s="53" t="s">
        <v>164</v>
      </c>
      <c r="I4" s="53" t="s">
        <v>159</v>
      </c>
      <c r="J4" s="127" t="s">
        <v>38</v>
      </c>
      <c r="K4" s="53" t="s">
        <v>161</v>
      </c>
      <c r="L4" s="53">
        <v>3</v>
      </c>
      <c r="N4" s="53">
        <v>4</v>
      </c>
      <c r="O4" s="53">
        <v>0.8</v>
      </c>
      <c r="P4" s="53">
        <v>0.85</v>
      </c>
      <c r="Q4" s="74">
        <f t="shared" si="0"/>
        <v>0.82499999999999996</v>
      </c>
      <c r="R4" s="53">
        <v>14.5</v>
      </c>
      <c r="S4" s="53">
        <v>93</v>
      </c>
      <c r="T4" s="16">
        <f t="shared" si="1"/>
        <v>36</v>
      </c>
      <c r="U4" s="53">
        <v>350</v>
      </c>
      <c r="V4" s="129">
        <f t="shared" si="2"/>
        <v>3150</v>
      </c>
      <c r="W4" s="53">
        <v>4</v>
      </c>
      <c r="X4" s="127" t="s">
        <v>39</v>
      </c>
      <c r="Y4" s="53" t="s">
        <v>97</v>
      </c>
      <c r="Z4" s="53" t="s">
        <v>40</v>
      </c>
      <c r="AA4" s="53" t="s">
        <v>55</v>
      </c>
      <c r="AB4" s="127" t="s">
        <v>288</v>
      </c>
      <c r="AC4" s="34"/>
      <c r="AE4" s="22" t="s">
        <v>34</v>
      </c>
      <c r="AG4" s="49" t="s">
        <v>291</v>
      </c>
      <c r="AH4" s="49" t="s">
        <v>292</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232</v>
      </c>
      <c r="C5" s="127">
        <v>2019</v>
      </c>
      <c r="D5" s="128" t="s">
        <v>285</v>
      </c>
      <c r="E5" s="127" t="s">
        <v>286</v>
      </c>
      <c r="F5" s="127" t="s">
        <v>287</v>
      </c>
      <c r="G5" s="127" t="s">
        <v>42</v>
      </c>
      <c r="H5" s="53" t="s">
        <v>160</v>
      </c>
      <c r="I5" s="53" t="s">
        <v>159</v>
      </c>
      <c r="J5" s="127" t="s">
        <v>38</v>
      </c>
      <c r="K5" s="53" t="s">
        <v>161</v>
      </c>
      <c r="L5" s="53">
        <v>1</v>
      </c>
      <c r="N5" s="53">
        <v>1</v>
      </c>
      <c r="O5" s="53">
        <v>0.65</v>
      </c>
      <c r="P5" s="53">
        <v>0.7</v>
      </c>
      <c r="Q5" s="74">
        <f t="shared" si="0"/>
        <v>0.67500000000000004</v>
      </c>
      <c r="R5" s="53">
        <v>18.5</v>
      </c>
      <c r="S5" s="53">
        <v>128</v>
      </c>
      <c r="T5" s="16">
        <f t="shared" si="1"/>
        <v>27</v>
      </c>
      <c r="U5" s="53">
        <v>138</v>
      </c>
      <c r="V5" s="129">
        <f t="shared" si="2"/>
        <v>3726</v>
      </c>
      <c r="W5" s="53">
        <v>4</v>
      </c>
      <c r="X5" s="127" t="s">
        <v>39</v>
      </c>
      <c r="Y5" s="53" t="s">
        <v>97</v>
      </c>
      <c r="Z5" s="53" t="s">
        <v>40</v>
      </c>
      <c r="AA5" s="53" t="s">
        <v>55</v>
      </c>
      <c r="AB5" s="127" t="s">
        <v>288</v>
      </c>
      <c r="AC5" s="34"/>
      <c r="AE5" s="22" t="s">
        <v>51</v>
      </c>
      <c r="AG5" s="49" t="s">
        <v>293</v>
      </c>
      <c r="AH5" s="49" t="s">
        <v>294</v>
      </c>
      <c r="AJ5" s="27"/>
      <c r="AL5" s="72" t="s">
        <v>66</v>
      </c>
      <c r="AN5" s="72" t="s">
        <v>52</v>
      </c>
      <c r="AP5" s="23" t="s">
        <v>119</v>
      </c>
      <c r="AR5" s="23" t="s">
        <v>54</v>
      </c>
      <c r="AV5" s="23" t="s">
        <v>55</v>
      </c>
      <c r="AX5" s="24">
        <v>84</v>
      </c>
      <c r="AY5" s="25">
        <v>39</v>
      </c>
      <c r="AZ5" s="25">
        <v>84</v>
      </c>
      <c r="BA5" s="26">
        <v>36</v>
      </c>
    </row>
    <row r="6" spans="1:53" x14ac:dyDescent="0.15">
      <c r="A6" s="127" t="s">
        <v>61</v>
      </c>
      <c r="B6" s="127" t="s">
        <v>232</v>
      </c>
      <c r="C6" s="127">
        <v>2019</v>
      </c>
      <c r="D6" s="128" t="s">
        <v>285</v>
      </c>
      <c r="E6" s="127" t="s">
        <v>286</v>
      </c>
      <c r="F6" s="127" t="s">
        <v>287</v>
      </c>
      <c r="G6" s="127" t="s">
        <v>42</v>
      </c>
      <c r="H6" s="53" t="s">
        <v>160</v>
      </c>
      <c r="I6" s="53" t="s">
        <v>159</v>
      </c>
      <c r="J6" s="127" t="s">
        <v>38</v>
      </c>
      <c r="K6" s="53" t="s">
        <v>161</v>
      </c>
      <c r="L6" s="53">
        <v>2</v>
      </c>
      <c r="N6" s="53">
        <v>1</v>
      </c>
      <c r="O6" s="53">
        <v>0.75</v>
      </c>
      <c r="P6" s="53">
        <v>0.95</v>
      </c>
      <c r="Q6" s="74">
        <f t="shared" si="0"/>
        <v>0.85</v>
      </c>
      <c r="R6" s="53">
        <v>17.100000000000001</v>
      </c>
      <c r="S6" s="53">
        <v>130</v>
      </c>
      <c r="T6" s="16">
        <f t="shared" si="1"/>
        <v>25</v>
      </c>
      <c r="U6" s="53">
        <v>138</v>
      </c>
      <c r="V6" s="129">
        <f t="shared" si="2"/>
        <v>3450</v>
      </c>
      <c r="W6" s="53">
        <v>4</v>
      </c>
      <c r="X6" s="127" t="s">
        <v>39</v>
      </c>
      <c r="Y6" s="53" t="s">
        <v>97</v>
      </c>
      <c r="Z6" s="53" t="s">
        <v>40</v>
      </c>
      <c r="AA6" s="53" t="s">
        <v>55</v>
      </c>
      <c r="AB6" s="127" t="s">
        <v>288</v>
      </c>
      <c r="AC6" s="34"/>
      <c r="AE6" s="22" t="s">
        <v>56</v>
      </c>
      <c r="AG6" s="49" t="s">
        <v>295</v>
      </c>
      <c r="AH6" s="49" t="s">
        <v>296</v>
      </c>
      <c r="AJ6" s="27"/>
      <c r="AL6" s="72" t="s">
        <v>99</v>
      </c>
      <c r="AN6" s="72" t="s">
        <v>57</v>
      </c>
      <c r="AP6" s="23" t="s">
        <v>53</v>
      </c>
      <c r="AR6" s="23" t="s">
        <v>59</v>
      </c>
      <c r="AV6" s="23" t="s">
        <v>60</v>
      </c>
      <c r="AX6" s="24">
        <v>97</v>
      </c>
      <c r="AY6" s="25">
        <v>36</v>
      </c>
      <c r="AZ6" s="25">
        <v>99</v>
      </c>
      <c r="BA6" s="26">
        <v>33</v>
      </c>
    </row>
    <row r="7" spans="1:53" x14ac:dyDescent="0.15">
      <c r="A7" s="127" t="s">
        <v>61</v>
      </c>
      <c r="B7" s="127" t="s">
        <v>232</v>
      </c>
      <c r="C7" s="127">
        <v>2019</v>
      </c>
      <c r="D7" s="128" t="s">
        <v>285</v>
      </c>
      <c r="E7" s="127" t="s">
        <v>286</v>
      </c>
      <c r="F7" s="127" t="s">
        <v>287</v>
      </c>
      <c r="G7" s="127" t="s">
        <v>42</v>
      </c>
      <c r="H7" s="53" t="s">
        <v>160</v>
      </c>
      <c r="I7" s="53" t="s">
        <v>159</v>
      </c>
      <c r="J7" s="127" t="s">
        <v>38</v>
      </c>
      <c r="K7" s="53" t="s">
        <v>161</v>
      </c>
      <c r="L7" s="53">
        <v>3</v>
      </c>
      <c r="N7" s="53">
        <v>1</v>
      </c>
      <c r="O7" s="53">
        <v>0.85</v>
      </c>
      <c r="P7" s="53">
        <v>0.8</v>
      </c>
      <c r="Q7" s="74">
        <f t="shared" si="0"/>
        <v>0.82499999999999996</v>
      </c>
      <c r="R7" s="53">
        <v>17.399999999999999</v>
      </c>
      <c r="S7" s="53">
        <v>120</v>
      </c>
      <c r="T7" s="16">
        <f t="shared" si="1"/>
        <v>30</v>
      </c>
      <c r="U7" s="53">
        <v>138</v>
      </c>
      <c r="V7" s="129">
        <f t="shared" si="2"/>
        <v>4140</v>
      </c>
      <c r="W7" s="53">
        <v>4</v>
      </c>
      <c r="X7" s="127" t="s">
        <v>39</v>
      </c>
      <c r="Y7" s="53" t="s">
        <v>97</v>
      </c>
      <c r="Z7" s="53" t="s">
        <v>40</v>
      </c>
      <c r="AA7" s="53" t="s">
        <v>55</v>
      </c>
      <c r="AB7" s="127" t="s">
        <v>288</v>
      </c>
      <c r="AC7" s="34"/>
      <c r="AE7" s="22" t="s">
        <v>61</v>
      </c>
      <c r="AG7" s="49" t="s">
        <v>297</v>
      </c>
      <c r="AH7" s="49" t="s">
        <v>298</v>
      </c>
      <c r="AJ7" s="27"/>
      <c r="AL7" s="34" t="s">
        <v>109</v>
      </c>
      <c r="AN7" s="72"/>
      <c r="AP7" s="23" t="s">
        <v>58</v>
      </c>
      <c r="AR7" s="23" t="s">
        <v>122</v>
      </c>
      <c r="AV7" s="23" t="s">
        <v>64</v>
      </c>
      <c r="AX7" s="24">
        <v>109</v>
      </c>
      <c r="AY7" s="25">
        <v>33</v>
      </c>
      <c r="AZ7" s="25">
        <v>113</v>
      </c>
      <c r="BA7" s="26">
        <v>30</v>
      </c>
    </row>
    <row r="8" spans="1:53" x14ac:dyDescent="0.15">
      <c r="A8" s="127" t="s">
        <v>61</v>
      </c>
      <c r="B8" s="127" t="s">
        <v>232</v>
      </c>
      <c r="C8" s="127">
        <v>2019</v>
      </c>
      <c r="D8" s="128" t="s">
        <v>285</v>
      </c>
      <c r="E8" s="127" t="s">
        <v>289</v>
      </c>
      <c r="F8" s="127" t="s">
        <v>290</v>
      </c>
      <c r="G8" s="127" t="s">
        <v>42</v>
      </c>
      <c r="H8" s="53" t="s">
        <v>164</v>
      </c>
      <c r="I8" s="53" t="s">
        <v>159</v>
      </c>
      <c r="J8" s="127" t="s">
        <v>38</v>
      </c>
      <c r="K8" s="53" t="s">
        <v>161</v>
      </c>
      <c r="L8" s="53">
        <v>1</v>
      </c>
      <c r="N8" s="53">
        <v>4</v>
      </c>
      <c r="O8" s="53">
        <v>0.5</v>
      </c>
      <c r="P8" s="53">
        <v>0.5</v>
      </c>
      <c r="Q8" s="74">
        <f t="shared" si="0"/>
        <v>0.5</v>
      </c>
      <c r="R8" s="53">
        <v>17.100000000000001</v>
      </c>
      <c r="S8" s="53">
        <v>101</v>
      </c>
      <c r="T8" s="16">
        <f t="shared" si="1"/>
        <v>33</v>
      </c>
      <c r="U8" s="53">
        <v>398</v>
      </c>
      <c r="V8" s="129">
        <f t="shared" si="2"/>
        <v>3283.5</v>
      </c>
      <c r="W8" s="53">
        <v>8</v>
      </c>
      <c r="X8" s="127" t="s">
        <v>46</v>
      </c>
      <c r="Y8" s="53" t="s">
        <v>47</v>
      </c>
      <c r="Z8" s="53" t="s">
        <v>97</v>
      </c>
      <c r="AA8" s="53" t="s">
        <v>69</v>
      </c>
      <c r="AB8" s="127" t="s">
        <v>288</v>
      </c>
      <c r="AC8" s="34"/>
      <c r="AE8" s="22" t="s">
        <v>59</v>
      </c>
      <c r="AG8" s="49" t="s">
        <v>299</v>
      </c>
      <c r="AH8" s="49" t="s">
        <v>300</v>
      </c>
      <c r="AJ8" s="28"/>
      <c r="AL8" s="34" t="s">
        <v>134</v>
      </c>
      <c r="AN8" s="72"/>
      <c r="AP8" s="23" t="s">
        <v>62</v>
      </c>
      <c r="AR8" s="23" t="s">
        <v>81</v>
      </c>
      <c r="AV8" s="23" t="s">
        <v>97</v>
      </c>
      <c r="AX8" s="24">
        <v>119</v>
      </c>
      <c r="AY8" s="25">
        <v>30</v>
      </c>
      <c r="AZ8" s="25">
        <v>121</v>
      </c>
      <c r="BA8" s="26">
        <v>27</v>
      </c>
    </row>
    <row r="9" spans="1:53" x14ac:dyDescent="0.15">
      <c r="A9" s="127" t="s">
        <v>61</v>
      </c>
      <c r="B9" s="127" t="s">
        <v>232</v>
      </c>
      <c r="C9" s="127">
        <v>2019</v>
      </c>
      <c r="D9" s="128" t="s">
        <v>285</v>
      </c>
      <c r="E9" s="127" t="s">
        <v>289</v>
      </c>
      <c r="F9" s="127" t="s">
        <v>290</v>
      </c>
      <c r="G9" s="127" t="s">
        <v>42</v>
      </c>
      <c r="H9" s="53" t="s">
        <v>164</v>
      </c>
      <c r="I9" s="53" t="s">
        <v>159</v>
      </c>
      <c r="J9" s="127" t="s">
        <v>38</v>
      </c>
      <c r="K9" s="53" t="s">
        <v>161</v>
      </c>
      <c r="L9" s="53">
        <v>2</v>
      </c>
      <c r="N9" s="53">
        <v>4</v>
      </c>
      <c r="O9" s="53">
        <v>0.5</v>
      </c>
      <c r="P9" s="53">
        <v>0.65</v>
      </c>
      <c r="Q9" s="74">
        <f t="shared" si="0"/>
        <v>0.57499999999999996</v>
      </c>
      <c r="R9" s="34">
        <v>17.5</v>
      </c>
      <c r="S9" s="53">
        <v>99</v>
      </c>
      <c r="T9" s="16">
        <f t="shared" si="1"/>
        <v>33</v>
      </c>
      <c r="U9" s="53">
        <v>398</v>
      </c>
      <c r="V9" s="129">
        <f t="shared" si="2"/>
        <v>3283.5</v>
      </c>
      <c r="W9" s="53">
        <v>8</v>
      </c>
      <c r="X9" s="127" t="s">
        <v>46</v>
      </c>
      <c r="Y9" s="53" t="s">
        <v>47</v>
      </c>
      <c r="Z9" s="53" t="s">
        <v>97</v>
      </c>
      <c r="AA9" s="53" t="s">
        <v>69</v>
      </c>
      <c r="AB9" s="127" t="s">
        <v>288</v>
      </c>
      <c r="AC9" s="34"/>
      <c r="AE9" s="22" t="s">
        <v>98</v>
      </c>
      <c r="AG9" s="49" t="s">
        <v>133</v>
      </c>
      <c r="AH9" s="49" t="s">
        <v>301</v>
      </c>
      <c r="AL9" s="72"/>
      <c r="AN9" s="72"/>
      <c r="AP9" s="23" t="s">
        <v>95</v>
      </c>
      <c r="AR9" s="23" t="s">
        <v>89</v>
      </c>
      <c r="AV9" s="23" t="s">
        <v>102</v>
      </c>
      <c r="AX9" s="24">
        <v>128</v>
      </c>
      <c r="AY9" s="25">
        <v>27</v>
      </c>
      <c r="AZ9" s="25">
        <v>129</v>
      </c>
      <c r="BA9" s="26">
        <v>25</v>
      </c>
    </row>
    <row r="10" spans="1:53" x14ac:dyDescent="0.15">
      <c r="A10" s="127" t="s">
        <v>61</v>
      </c>
      <c r="B10" s="127" t="s">
        <v>232</v>
      </c>
      <c r="C10" s="127">
        <v>2019</v>
      </c>
      <c r="D10" s="128" t="s">
        <v>285</v>
      </c>
      <c r="E10" s="127" t="s">
        <v>289</v>
      </c>
      <c r="F10" s="127" t="s">
        <v>290</v>
      </c>
      <c r="G10" s="127" t="s">
        <v>42</v>
      </c>
      <c r="H10" s="53" t="s">
        <v>164</v>
      </c>
      <c r="I10" s="53" t="s">
        <v>159</v>
      </c>
      <c r="J10" s="127" t="s">
        <v>38</v>
      </c>
      <c r="K10" s="53" t="s">
        <v>161</v>
      </c>
      <c r="L10" s="53">
        <v>3</v>
      </c>
      <c r="N10" s="53">
        <v>4</v>
      </c>
      <c r="O10" s="53">
        <v>0.65</v>
      </c>
      <c r="P10" s="53">
        <v>0.5</v>
      </c>
      <c r="Q10" s="74">
        <f t="shared" si="0"/>
        <v>0.57499999999999996</v>
      </c>
      <c r="R10" s="53">
        <v>16.5</v>
      </c>
      <c r="S10" s="53">
        <v>110</v>
      </c>
      <c r="T10" s="16">
        <f t="shared" si="1"/>
        <v>33</v>
      </c>
      <c r="U10" s="53">
        <v>398</v>
      </c>
      <c r="V10" s="129">
        <f t="shared" si="2"/>
        <v>3283.5</v>
      </c>
      <c r="W10" s="53">
        <v>8</v>
      </c>
      <c r="X10" s="127" t="s">
        <v>46</v>
      </c>
      <c r="Y10" s="53" t="s">
        <v>47</v>
      </c>
      <c r="Z10" s="53" t="s">
        <v>97</v>
      </c>
      <c r="AA10" s="53" t="s">
        <v>69</v>
      </c>
      <c r="AB10" s="127" t="s">
        <v>288</v>
      </c>
      <c r="AC10" s="34"/>
      <c r="AE10" s="22" t="s">
        <v>103</v>
      </c>
      <c r="AG10" s="49" t="s">
        <v>302</v>
      </c>
      <c r="AH10" s="49" t="s">
        <v>303</v>
      </c>
      <c r="AL10" s="27"/>
      <c r="AP10" s="23" t="s">
        <v>100</v>
      </c>
      <c r="AR10" s="23" t="s">
        <v>123</v>
      </c>
      <c r="AV10" s="23" t="s">
        <v>106</v>
      </c>
      <c r="AX10" s="24">
        <v>138</v>
      </c>
      <c r="AY10" s="25">
        <v>25</v>
      </c>
      <c r="AZ10" s="25">
        <v>138</v>
      </c>
      <c r="BA10" s="26">
        <v>22</v>
      </c>
    </row>
    <row r="11" spans="1:53" x14ac:dyDescent="0.15">
      <c r="A11" s="127" t="s">
        <v>61</v>
      </c>
      <c r="B11" s="127" t="s">
        <v>232</v>
      </c>
      <c r="C11" s="127">
        <v>2019</v>
      </c>
      <c r="D11" s="128" t="s">
        <v>285</v>
      </c>
      <c r="E11" s="127" t="s">
        <v>289</v>
      </c>
      <c r="F11" s="127" t="s">
        <v>290</v>
      </c>
      <c r="G11" s="127" t="s">
        <v>42</v>
      </c>
      <c r="H11" s="53" t="s">
        <v>160</v>
      </c>
      <c r="I11" s="53" t="s">
        <v>159</v>
      </c>
      <c r="J11" s="127" t="s">
        <v>38</v>
      </c>
      <c r="K11" s="53" t="s">
        <v>161</v>
      </c>
      <c r="L11" s="53">
        <v>1</v>
      </c>
      <c r="N11" s="53">
        <v>3</v>
      </c>
      <c r="O11" s="53">
        <v>0.5</v>
      </c>
      <c r="P11" s="53">
        <v>0.5</v>
      </c>
      <c r="Q11" s="74">
        <f t="shared" si="0"/>
        <v>0.5</v>
      </c>
      <c r="R11" s="53">
        <v>18.7</v>
      </c>
      <c r="S11" s="53">
        <v>110</v>
      </c>
      <c r="T11" s="16">
        <f t="shared" si="1"/>
        <v>33</v>
      </c>
      <c r="U11" s="53">
        <v>458</v>
      </c>
      <c r="V11" s="129">
        <f t="shared" si="2"/>
        <v>5038</v>
      </c>
      <c r="W11" s="53">
        <v>8</v>
      </c>
      <c r="X11" s="127" t="s">
        <v>46</v>
      </c>
      <c r="Y11" s="53" t="s">
        <v>47</v>
      </c>
      <c r="Z11" s="53" t="s">
        <v>97</v>
      </c>
      <c r="AA11" s="53" t="s">
        <v>69</v>
      </c>
      <c r="AB11" s="127" t="s">
        <v>288</v>
      </c>
      <c r="AC11" s="34"/>
      <c r="AE11" s="22" t="s">
        <v>65</v>
      </c>
      <c r="AG11" s="49" t="s">
        <v>304</v>
      </c>
      <c r="AH11" s="49" t="s">
        <v>303</v>
      </c>
      <c r="AL11" s="134"/>
      <c r="AP11" s="23" t="s">
        <v>104</v>
      </c>
      <c r="AR11" s="23" t="s">
        <v>87</v>
      </c>
      <c r="AV11" s="135" t="s">
        <v>305</v>
      </c>
      <c r="AX11" s="24">
        <v>151</v>
      </c>
      <c r="AY11" s="25">
        <v>22</v>
      </c>
      <c r="AZ11" s="25">
        <v>152</v>
      </c>
      <c r="BA11" s="26">
        <v>18</v>
      </c>
    </row>
    <row r="12" spans="1:53" x14ac:dyDescent="0.15">
      <c r="A12" s="127" t="s">
        <v>61</v>
      </c>
      <c r="B12" s="127" t="s">
        <v>232</v>
      </c>
      <c r="C12" s="127">
        <v>2019</v>
      </c>
      <c r="D12" s="128" t="s">
        <v>285</v>
      </c>
      <c r="E12" s="127" t="s">
        <v>289</v>
      </c>
      <c r="F12" s="127" t="s">
        <v>290</v>
      </c>
      <c r="G12" s="127" t="s">
        <v>42</v>
      </c>
      <c r="H12" s="53" t="s">
        <v>160</v>
      </c>
      <c r="I12" s="53" t="s">
        <v>159</v>
      </c>
      <c r="J12" s="127" t="s">
        <v>38</v>
      </c>
      <c r="K12" s="53" t="s">
        <v>161</v>
      </c>
      <c r="L12" s="53">
        <v>2</v>
      </c>
      <c r="N12" s="53">
        <v>3</v>
      </c>
      <c r="O12" s="53">
        <v>0.5</v>
      </c>
      <c r="P12" s="53">
        <v>0.5</v>
      </c>
      <c r="Q12" s="74">
        <f t="shared" si="0"/>
        <v>0.5</v>
      </c>
      <c r="R12" s="34">
        <v>19.399999999999999</v>
      </c>
      <c r="S12" s="53">
        <v>113</v>
      </c>
      <c r="T12" s="16">
        <f t="shared" si="1"/>
        <v>30</v>
      </c>
      <c r="U12" s="53">
        <v>458</v>
      </c>
      <c r="V12" s="129">
        <f t="shared" si="2"/>
        <v>4580</v>
      </c>
      <c r="W12" s="53">
        <v>8</v>
      </c>
      <c r="X12" s="127" t="s">
        <v>46</v>
      </c>
      <c r="Y12" s="53" t="s">
        <v>47</v>
      </c>
      <c r="Z12" s="53" t="s">
        <v>97</v>
      </c>
      <c r="AA12" s="53" t="s">
        <v>69</v>
      </c>
      <c r="AB12" s="127" t="s">
        <v>288</v>
      </c>
      <c r="AC12" s="34"/>
      <c r="AE12" s="22" t="s">
        <v>70</v>
      </c>
      <c r="AG12" s="23"/>
      <c r="AH12" s="22"/>
      <c r="AL12" s="134"/>
      <c r="AP12" s="23" t="s">
        <v>67</v>
      </c>
      <c r="AR12" s="23" t="s">
        <v>124</v>
      </c>
      <c r="AV12" s="135" t="s">
        <v>306</v>
      </c>
      <c r="AX12" s="24">
        <v>180</v>
      </c>
      <c r="AY12" s="25">
        <v>18</v>
      </c>
      <c r="AZ12" s="25">
        <v>181</v>
      </c>
      <c r="BA12" s="26">
        <v>16</v>
      </c>
    </row>
    <row r="13" spans="1:53" x14ac:dyDescent="0.15">
      <c r="A13" s="127" t="s">
        <v>61</v>
      </c>
      <c r="B13" s="127" t="s">
        <v>232</v>
      </c>
      <c r="C13" s="127">
        <v>2019</v>
      </c>
      <c r="D13" s="128" t="s">
        <v>285</v>
      </c>
      <c r="E13" s="127" t="s">
        <v>289</v>
      </c>
      <c r="F13" s="127" t="s">
        <v>290</v>
      </c>
      <c r="G13" s="127" t="s">
        <v>42</v>
      </c>
      <c r="H13" s="53" t="s">
        <v>160</v>
      </c>
      <c r="I13" s="53" t="s">
        <v>159</v>
      </c>
      <c r="J13" s="127" t="s">
        <v>38</v>
      </c>
      <c r="K13" s="53" t="s">
        <v>161</v>
      </c>
      <c r="L13" s="53">
        <v>3</v>
      </c>
      <c r="N13" s="53">
        <v>3</v>
      </c>
      <c r="O13" s="53">
        <v>0.5</v>
      </c>
      <c r="P13" s="53">
        <v>0.5</v>
      </c>
      <c r="Q13" s="74">
        <f t="shared" si="0"/>
        <v>0.5</v>
      </c>
      <c r="R13" s="53">
        <v>18.899999999999999</v>
      </c>
      <c r="S13" s="53">
        <v>104</v>
      </c>
      <c r="T13" s="16">
        <f t="shared" si="1"/>
        <v>33</v>
      </c>
      <c r="U13" s="53">
        <v>458</v>
      </c>
      <c r="V13" s="129">
        <f t="shared" si="2"/>
        <v>5038</v>
      </c>
      <c r="W13" s="53">
        <v>8</v>
      </c>
      <c r="X13" s="127" t="s">
        <v>46</v>
      </c>
      <c r="Y13" s="53" t="s">
        <v>47</v>
      </c>
      <c r="Z13" s="53" t="s">
        <v>97</v>
      </c>
      <c r="AA13" s="53" t="s">
        <v>69</v>
      </c>
      <c r="AB13" s="127" t="s">
        <v>288</v>
      </c>
      <c r="AC13" s="34"/>
      <c r="AE13" s="22" t="s">
        <v>73</v>
      </c>
      <c r="AG13" s="23"/>
      <c r="AH13" s="22"/>
      <c r="AL13" s="136"/>
      <c r="AP13" s="23" t="s">
        <v>71</v>
      </c>
      <c r="AR13" s="23" t="s">
        <v>103</v>
      </c>
      <c r="AV13" s="135" t="s">
        <v>307</v>
      </c>
      <c r="AX13" s="24"/>
      <c r="AY13" s="25"/>
      <c r="AZ13" s="25"/>
      <c r="BA13" s="26"/>
    </row>
    <row r="14" spans="1:53" x14ac:dyDescent="0.15">
      <c r="A14" s="127" t="s">
        <v>61</v>
      </c>
      <c r="B14" s="127" t="s">
        <v>232</v>
      </c>
      <c r="C14" s="127">
        <v>2019</v>
      </c>
      <c r="D14" s="128" t="s">
        <v>285</v>
      </c>
      <c r="E14" s="127" t="s">
        <v>291</v>
      </c>
      <c r="F14" s="127" t="s">
        <v>292</v>
      </c>
      <c r="G14" s="127" t="s">
        <v>42</v>
      </c>
      <c r="H14" s="53" t="s">
        <v>164</v>
      </c>
      <c r="I14" s="53" t="s">
        <v>159</v>
      </c>
      <c r="J14" s="127" t="s">
        <v>38</v>
      </c>
      <c r="K14" s="53" t="s">
        <v>161</v>
      </c>
      <c r="L14" s="53">
        <v>1</v>
      </c>
      <c r="N14" s="53">
        <v>4</v>
      </c>
      <c r="O14" s="53">
        <v>1.1000000000000001</v>
      </c>
      <c r="P14" s="53">
        <v>1.3</v>
      </c>
      <c r="Q14" s="74">
        <f t="shared" si="0"/>
        <v>1.2000000000000002</v>
      </c>
      <c r="R14" s="53">
        <v>17.600000000000001</v>
      </c>
      <c r="S14" s="53">
        <v>88</v>
      </c>
      <c r="T14" s="16">
        <f t="shared" si="1"/>
        <v>36</v>
      </c>
      <c r="U14" s="53">
        <v>298</v>
      </c>
      <c r="V14" s="129">
        <f t="shared" si="2"/>
        <v>2682</v>
      </c>
      <c r="W14" s="53">
        <v>8</v>
      </c>
      <c r="X14" s="127" t="s">
        <v>46</v>
      </c>
      <c r="Y14" s="53" t="s">
        <v>69</v>
      </c>
      <c r="Z14" s="53" t="s">
        <v>40</v>
      </c>
      <c r="AA14" s="53" t="s">
        <v>47</v>
      </c>
      <c r="AB14" s="127" t="s">
        <v>288</v>
      </c>
      <c r="AC14" s="34"/>
      <c r="AE14" s="22" t="s">
        <v>76</v>
      </c>
      <c r="AG14" s="23"/>
      <c r="AH14" s="22"/>
      <c r="AL14" s="34"/>
      <c r="AP14" s="23" t="s">
        <v>74</v>
      </c>
      <c r="AR14" s="23" t="s">
        <v>125</v>
      </c>
      <c r="AV14" s="135" t="s">
        <v>308</v>
      </c>
      <c r="AX14" s="24"/>
      <c r="AY14" s="25"/>
      <c r="AZ14" s="25"/>
      <c r="BA14" s="26"/>
    </row>
    <row r="15" spans="1:53" x14ac:dyDescent="0.15">
      <c r="A15" s="127" t="s">
        <v>61</v>
      </c>
      <c r="B15" s="127" t="s">
        <v>232</v>
      </c>
      <c r="C15" s="127">
        <v>2019</v>
      </c>
      <c r="D15" s="128" t="s">
        <v>285</v>
      </c>
      <c r="E15" s="127" t="s">
        <v>291</v>
      </c>
      <c r="F15" s="127" t="s">
        <v>292</v>
      </c>
      <c r="G15" s="127" t="s">
        <v>42</v>
      </c>
      <c r="H15" s="53" t="s">
        <v>164</v>
      </c>
      <c r="I15" s="53" t="s">
        <v>159</v>
      </c>
      <c r="J15" s="127" t="s">
        <v>38</v>
      </c>
      <c r="K15" s="53" t="s">
        <v>161</v>
      </c>
      <c r="L15" s="53">
        <v>2</v>
      </c>
      <c r="N15" s="53">
        <v>4</v>
      </c>
      <c r="O15" s="53">
        <v>1.2</v>
      </c>
      <c r="P15" s="53">
        <v>1.2</v>
      </c>
      <c r="Q15" s="74">
        <f t="shared" si="0"/>
        <v>1.2</v>
      </c>
      <c r="R15" s="34">
        <v>14.4</v>
      </c>
      <c r="S15" s="53">
        <v>87</v>
      </c>
      <c r="T15" s="16">
        <f t="shared" si="1"/>
        <v>36</v>
      </c>
      <c r="U15" s="53">
        <v>298</v>
      </c>
      <c r="V15" s="129">
        <f t="shared" si="2"/>
        <v>2682</v>
      </c>
      <c r="W15" s="53">
        <v>8</v>
      </c>
      <c r="X15" s="127" t="s">
        <v>46</v>
      </c>
      <c r="Y15" s="53" t="s">
        <v>69</v>
      </c>
      <c r="Z15" s="53" t="s">
        <v>40</v>
      </c>
      <c r="AA15" s="53" t="s">
        <v>47</v>
      </c>
      <c r="AB15" s="127" t="s">
        <v>288</v>
      </c>
      <c r="AC15" s="34"/>
      <c r="AE15" s="22" t="s">
        <v>79</v>
      </c>
      <c r="AG15" s="23"/>
      <c r="AH15" s="23"/>
      <c r="AL15" s="34"/>
      <c r="AP15" s="23" t="s">
        <v>77</v>
      </c>
      <c r="AR15" s="23" t="s">
        <v>94</v>
      </c>
      <c r="AV15" s="135" t="s">
        <v>309</v>
      </c>
      <c r="AX15" s="31"/>
      <c r="AY15" s="32"/>
      <c r="AZ15" s="32"/>
      <c r="BA15" s="33"/>
    </row>
    <row r="16" spans="1:53" x14ac:dyDescent="0.15">
      <c r="A16" s="127" t="s">
        <v>61</v>
      </c>
      <c r="B16" s="127" t="s">
        <v>232</v>
      </c>
      <c r="C16" s="127">
        <v>2019</v>
      </c>
      <c r="D16" s="128" t="s">
        <v>285</v>
      </c>
      <c r="E16" s="127" t="s">
        <v>291</v>
      </c>
      <c r="F16" s="127" t="s">
        <v>292</v>
      </c>
      <c r="G16" s="127" t="s">
        <v>42</v>
      </c>
      <c r="H16" s="53" t="s">
        <v>164</v>
      </c>
      <c r="I16" s="53" t="s">
        <v>159</v>
      </c>
      <c r="J16" s="127" t="s">
        <v>38</v>
      </c>
      <c r="K16" s="53" t="s">
        <v>161</v>
      </c>
      <c r="L16" s="53">
        <v>3</v>
      </c>
      <c r="N16" s="53">
        <v>4</v>
      </c>
      <c r="O16" s="53">
        <v>1</v>
      </c>
      <c r="P16" s="53">
        <v>1.1000000000000001</v>
      </c>
      <c r="Q16" s="74">
        <f t="shared" si="0"/>
        <v>1.05</v>
      </c>
      <c r="R16" s="53">
        <v>17.2</v>
      </c>
      <c r="S16" s="53">
        <v>88</v>
      </c>
      <c r="T16" s="16">
        <f t="shared" si="1"/>
        <v>36</v>
      </c>
      <c r="U16" s="53">
        <v>298</v>
      </c>
      <c r="V16" s="129">
        <f t="shared" si="2"/>
        <v>2682</v>
      </c>
      <c r="W16" s="53">
        <v>8</v>
      </c>
      <c r="X16" s="127" t="s">
        <v>46</v>
      </c>
      <c r="Y16" s="53" t="s">
        <v>69</v>
      </c>
      <c r="Z16" s="53" t="s">
        <v>40</v>
      </c>
      <c r="AA16" s="53" t="s">
        <v>47</v>
      </c>
      <c r="AB16" s="127" t="s">
        <v>288</v>
      </c>
      <c r="AC16" s="34"/>
      <c r="AE16" s="22" t="s">
        <v>82</v>
      </c>
      <c r="AG16" s="23"/>
      <c r="AH16" s="23"/>
      <c r="AP16" s="23" t="s">
        <v>80</v>
      </c>
      <c r="AR16" s="23" t="s">
        <v>63</v>
      </c>
      <c r="AV16" s="135" t="s">
        <v>310</v>
      </c>
    </row>
    <row r="17" spans="1:48" x14ac:dyDescent="0.15">
      <c r="A17" s="127" t="s">
        <v>61</v>
      </c>
      <c r="B17" s="127" t="s">
        <v>232</v>
      </c>
      <c r="C17" s="127">
        <v>2019</v>
      </c>
      <c r="D17" s="128" t="s">
        <v>285</v>
      </c>
      <c r="E17" s="127" t="s">
        <v>291</v>
      </c>
      <c r="F17" s="127" t="s">
        <v>292</v>
      </c>
      <c r="G17" s="127" t="s">
        <v>42</v>
      </c>
      <c r="H17" s="53" t="s">
        <v>160</v>
      </c>
      <c r="I17" s="53" t="s">
        <v>159</v>
      </c>
      <c r="J17" s="127" t="s">
        <v>38</v>
      </c>
      <c r="K17" s="53" t="s">
        <v>161</v>
      </c>
      <c r="L17" s="53">
        <v>1</v>
      </c>
      <c r="N17" s="53">
        <v>1</v>
      </c>
      <c r="O17" s="53">
        <v>0.75</v>
      </c>
      <c r="P17" s="53">
        <v>0.85</v>
      </c>
      <c r="Q17" s="74">
        <f t="shared" si="0"/>
        <v>0.8</v>
      </c>
      <c r="R17" s="53">
        <v>17.3</v>
      </c>
      <c r="S17" s="53">
        <v>144</v>
      </c>
      <c r="T17" s="16">
        <f t="shared" si="1"/>
        <v>22</v>
      </c>
      <c r="U17" s="53">
        <v>158</v>
      </c>
      <c r="V17" s="129">
        <f t="shared" si="2"/>
        <v>3476</v>
      </c>
      <c r="W17" s="53">
        <v>8</v>
      </c>
      <c r="X17" s="127" t="s">
        <v>46</v>
      </c>
      <c r="Y17" s="53" t="s">
        <v>69</v>
      </c>
      <c r="Z17" s="53" t="s">
        <v>40</v>
      </c>
      <c r="AA17" s="53" t="s">
        <v>47</v>
      </c>
      <c r="AB17" s="127" t="s">
        <v>288</v>
      </c>
      <c r="AC17" s="34"/>
      <c r="AE17" s="22" t="s">
        <v>85</v>
      </c>
      <c r="AP17" s="27" t="s">
        <v>110</v>
      </c>
      <c r="AR17" s="23" t="s">
        <v>96</v>
      </c>
      <c r="AV17" s="135" t="s">
        <v>251</v>
      </c>
    </row>
    <row r="18" spans="1:48" x14ac:dyDescent="0.15">
      <c r="A18" s="127" t="s">
        <v>61</v>
      </c>
      <c r="B18" s="127" t="s">
        <v>232</v>
      </c>
      <c r="C18" s="127">
        <v>2019</v>
      </c>
      <c r="D18" s="128" t="s">
        <v>285</v>
      </c>
      <c r="E18" s="127" t="s">
        <v>291</v>
      </c>
      <c r="F18" s="127" t="s">
        <v>292</v>
      </c>
      <c r="G18" s="127" t="s">
        <v>42</v>
      </c>
      <c r="H18" s="53" t="s">
        <v>160</v>
      </c>
      <c r="I18" s="53" t="s">
        <v>159</v>
      </c>
      <c r="J18" s="127" t="s">
        <v>38</v>
      </c>
      <c r="K18" s="53" t="s">
        <v>161</v>
      </c>
      <c r="L18" s="53">
        <v>2</v>
      </c>
      <c r="N18" s="53">
        <v>1</v>
      </c>
      <c r="O18" s="53">
        <v>0.85</v>
      </c>
      <c r="P18" s="53">
        <v>1</v>
      </c>
      <c r="Q18" s="74">
        <f t="shared" si="0"/>
        <v>0.92500000000000004</v>
      </c>
      <c r="R18" s="34">
        <v>17.8</v>
      </c>
      <c r="S18" s="53">
        <v>176</v>
      </c>
      <c r="T18" s="16">
        <f t="shared" si="1"/>
        <v>18</v>
      </c>
      <c r="U18" s="53">
        <v>158</v>
      </c>
      <c r="V18" s="129">
        <f t="shared" si="2"/>
        <v>2844</v>
      </c>
      <c r="W18" s="53">
        <v>8</v>
      </c>
      <c r="X18" s="127" t="s">
        <v>46</v>
      </c>
      <c r="Y18" s="53" t="s">
        <v>69</v>
      </c>
      <c r="Z18" s="53" t="s">
        <v>40</v>
      </c>
      <c r="AA18" s="53" t="s">
        <v>47</v>
      </c>
      <c r="AB18" s="127" t="s">
        <v>288</v>
      </c>
      <c r="AC18" s="34"/>
      <c r="AE18" s="22" t="s">
        <v>87</v>
      </c>
      <c r="AP18" s="27" t="s">
        <v>111</v>
      </c>
      <c r="AR18" s="23" t="s">
        <v>101</v>
      </c>
      <c r="AV18" s="135" t="s">
        <v>135</v>
      </c>
    </row>
    <row r="19" spans="1:48" x14ac:dyDescent="0.15">
      <c r="A19" s="127" t="s">
        <v>61</v>
      </c>
      <c r="B19" s="127" t="s">
        <v>232</v>
      </c>
      <c r="C19" s="127">
        <v>2019</v>
      </c>
      <c r="D19" s="128" t="s">
        <v>285</v>
      </c>
      <c r="E19" s="127" t="s">
        <v>291</v>
      </c>
      <c r="F19" s="127" t="s">
        <v>292</v>
      </c>
      <c r="G19" s="127" t="s">
        <v>42</v>
      </c>
      <c r="H19" s="53" t="s">
        <v>160</v>
      </c>
      <c r="I19" s="53" t="s">
        <v>159</v>
      </c>
      <c r="J19" s="127" t="s">
        <v>38</v>
      </c>
      <c r="K19" s="53" t="s">
        <v>161</v>
      </c>
      <c r="L19" s="53">
        <v>3</v>
      </c>
      <c r="N19" s="53">
        <v>1</v>
      </c>
      <c r="O19" s="34">
        <v>0.95</v>
      </c>
      <c r="P19" s="53">
        <v>0.85</v>
      </c>
      <c r="Q19" s="74">
        <f t="shared" si="0"/>
        <v>0.89999999999999991</v>
      </c>
      <c r="R19" s="53">
        <v>18.100000000000001</v>
      </c>
      <c r="S19" s="53">
        <v>175</v>
      </c>
      <c r="T19" s="16">
        <f t="shared" si="1"/>
        <v>18</v>
      </c>
      <c r="U19" s="53">
        <v>158</v>
      </c>
      <c r="V19" s="129">
        <f t="shared" si="2"/>
        <v>2844</v>
      </c>
      <c r="W19" s="53">
        <v>8</v>
      </c>
      <c r="X19" s="127" t="s">
        <v>46</v>
      </c>
      <c r="Y19" s="53" t="s">
        <v>69</v>
      </c>
      <c r="Z19" s="53" t="s">
        <v>40</v>
      </c>
      <c r="AA19" s="53" t="s">
        <v>47</v>
      </c>
      <c r="AB19" s="127" t="s">
        <v>288</v>
      </c>
      <c r="AC19" s="34"/>
      <c r="AE19" s="35" t="s">
        <v>89</v>
      </c>
      <c r="AP19" s="27" t="s">
        <v>112</v>
      </c>
      <c r="AR19" s="23" t="s">
        <v>126</v>
      </c>
      <c r="AV19" s="135" t="s">
        <v>311</v>
      </c>
    </row>
    <row r="20" spans="1:48" x14ac:dyDescent="0.15">
      <c r="A20" s="127" t="s">
        <v>61</v>
      </c>
      <c r="B20" s="127" t="s">
        <v>232</v>
      </c>
      <c r="C20" s="127">
        <v>2019</v>
      </c>
      <c r="D20" s="128" t="s">
        <v>285</v>
      </c>
      <c r="E20" s="127" t="s">
        <v>293</v>
      </c>
      <c r="F20" s="127" t="s">
        <v>294</v>
      </c>
      <c r="G20" s="127" t="s">
        <v>42</v>
      </c>
      <c r="H20" s="53" t="s">
        <v>164</v>
      </c>
      <c r="I20" s="53" t="s">
        <v>159</v>
      </c>
      <c r="J20" s="127" t="s">
        <v>38</v>
      </c>
      <c r="K20" s="53" t="s">
        <v>161</v>
      </c>
      <c r="L20" s="53">
        <v>1</v>
      </c>
      <c r="N20" s="53">
        <v>1</v>
      </c>
      <c r="O20" s="53">
        <v>0.95</v>
      </c>
      <c r="P20" s="53">
        <v>0.8</v>
      </c>
      <c r="Q20" s="74">
        <f t="shared" si="0"/>
        <v>0.875</v>
      </c>
      <c r="R20" s="53">
        <v>16.899999999999999</v>
      </c>
      <c r="S20" s="53">
        <v>130</v>
      </c>
      <c r="T20" s="16">
        <f t="shared" si="1"/>
        <v>25</v>
      </c>
      <c r="U20" s="53">
        <v>128</v>
      </c>
      <c r="V20" s="129">
        <f t="shared" si="2"/>
        <v>3200</v>
      </c>
      <c r="W20" s="53">
        <v>16</v>
      </c>
      <c r="X20" s="127" t="s">
        <v>46</v>
      </c>
      <c r="Y20" s="53" t="s">
        <v>55</v>
      </c>
      <c r="Z20" s="53" t="s">
        <v>97</v>
      </c>
      <c r="AA20" s="53" t="s">
        <v>47</v>
      </c>
      <c r="AB20" s="127" t="s">
        <v>288</v>
      </c>
      <c r="AC20" s="34"/>
      <c r="AE20" s="22"/>
      <c r="AP20" s="27" t="s">
        <v>113</v>
      </c>
      <c r="AR20" s="23" t="s">
        <v>105</v>
      </c>
      <c r="AV20" s="135" t="s">
        <v>312</v>
      </c>
    </row>
    <row r="21" spans="1:48" x14ac:dyDescent="0.15">
      <c r="A21" s="127" t="s">
        <v>61</v>
      </c>
      <c r="B21" s="127" t="s">
        <v>232</v>
      </c>
      <c r="C21" s="127">
        <v>2019</v>
      </c>
      <c r="D21" s="128" t="s">
        <v>285</v>
      </c>
      <c r="E21" s="127" t="s">
        <v>293</v>
      </c>
      <c r="F21" s="127" t="s">
        <v>294</v>
      </c>
      <c r="G21" s="127" t="s">
        <v>42</v>
      </c>
      <c r="H21" s="53" t="s">
        <v>164</v>
      </c>
      <c r="I21" s="53" t="s">
        <v>159</v>
      </c>
      <c r="J21" s="127" t="s">
        <v>38</v>
      </c>
      <c r="K21" s="53" t="s">
        <v>161</v>
      </c>
      <c r="L21" s="53">
        <v>2</v>
      </c>
      <c r="N21" s="53">
        <v>1</v>
      </c>
      <c r="O21" s="53">
        <v>1</v>
      </c>
      <c r="P21" s="53">
        <v>0.9</v>
      </c>
      <c r="Q21" s="74">
        <f t="shared" si="0"/>
        <v>0.95</v>
      </c>
      <c r="R21" s="53">
        <v>17.2</v>
      </c>
      <c r="S21" s="53">
        <v>127</v>
      </c>
      <c r="T21" s="16">
        <f t="shared" si="1"/>
        <v>27</v>
      </c>
      <c r="U21" s="53">
        <v>128</v>
      </c>
      <c r="V21" s="129">
        <f t="shared" si="2"/>
        <v>3456</v>
      </c>
      <c r="W21" s="53">
        <v>16</v>
      </c>
      <c r="X21" s="127" t="s">
        <v>46</v>
      </c>
      <c r="Y21" s="53" t="s">
        <v>55</v>
      </c>
      <c r="Z21" s="53" t="s">
        <v>97</v>
      </c>
      <c r="AA21" s="53" t="s">
        <v>47</v>
      </c>
      <c r="AB21" s="127" t="s">
        <v>288</v>
      </c>
      <c r="AC21" s="34"/>
      <c r="AE21" s="22"/>
      <c r="AP21" s="27" t="s">
        <v>114</v>
      </c>
      <c r="AR21" s="23" t="s">
        <v>68</v>
      </c>
      <c r="AV21" s="135" t="s">
        <v>313</v>
      </c>
    </row>
    <row r="22" spans="1:48" x14ac:dyDescent="0.15">
      <c r="A22" s="127" t="s">
        <v>61</v>
      </c>
      <c r="B22" s="127" t="s">
        <v>232</v>
      </c>
      <c r="C22" s="127">
        <v>2019</v>
      </c>
      <c r="D22" s="128" t="s">
        <v>285</v>
      </c>
      <c r="E22" s="127" t="s">
        <v>293</v>
      </c>
      <c r="F22" s="127" t="s">
        <v>294</v>
      </c>
      <c r="G22" s="127" t="s">
        <v>42</v>
      </c>
      <c r="H22" s="53" t="s">
        <v>164</v>
      </c>
      <c r="I22" s="53" t="s">
        <v>159</v>
      </c>
      <c r="J22" s="127" t="s">
        <v>38</v>
      </c>
      <c r="K22" s="53" t="s">
        <v>161</v>
      </c>
      <c r="L22" s="53">
        <v>3</v>
      </c>
      <c r="N22" s="53">
        <v>1</v>
      </c>
      <c r="O22" s="53">
        <v>1.2</v>
      </c>
      <c r="P22" s="53">
        <v>1.1499999999999999</v>
      </c>
      <c r="Q22" s="74">
        <f t="shared" si="0"/>
        <v>1.1749999999999998</v>
      </c>
      <c r="R22" s="53">
        <v>17.3</v>
      </c>
      <c r="S22" s="53">
        <v>130</v>
      </c>
      <c r="T22" s="16">
        <f t="shared" si="1"/>
        <v>25</v>
      </c>
      <c r="U22" s="53">
        <v>128</v>
      </c>
      <c r="V22" s="129">
        <f t="shared" si="2"/>
        <v>3200</v>
      </c>
      <c r="W22" s="53">
        <v>16</v>
      </c>
      <c r="X22" s="127" t="s">
        <v>46</v>
      </c>
      <c r="Y22" s="53" t="s">
        <v>55</v>
      </c>
      <c r="Z22" s="53" t="s">
        <v>97</v>
      </c>
      <c r="AA22" s="53" t="s">
        <v>47</v>
      </c>
      <c r="AB22" s="127" t="s">
        <v>288</v>
      </c>
      <c r="AC22" s="34"/>
      <c r="AE22" s="35"/>
      <c r="AP22" s="27" t="s">
        <v>115</v>
      </c>
      <c r="AR22" s="23" t="s">
        <v>83</v>
      </c>
      <c r="AV22" s="23"/>
    </row>
    <row r="23" spans="1:48" x14ac:dyDescent="0.15">
      <c r="A23" s="127" t="s">
        <v>61</v>
      </c>
      <c r="B23" s="127" t="s">
        <v>232</v>
      </c>
      <c r="C23" s="127">
        <v>2019</v>
      </c>
      <c r="D23" s="128" t="s">
        <v>285</v>
      </c>
      <c r="E23" s="127" t="s">
        <v>293</v>
      </c>
      <c r="F23" s="127" t="s">
        <v>294</v>
      </c>
      <c r="G23" s="127" t="s">
        <v>42</v>
      </c>
      <c r="H23" s="53" t="s">
        <v>160</v>
      </c>
      <c r="I23" s="53" t="s">
        <v>159</v>
      </c>
      <c r="J23" s="127" t="s">
        <v>38</v>
      </c>
      <c r="K23" s="53" t="s">
        <v>161</v>
      </c>
      <c r="L23" s="53">
        <v>1</v>
      </c>
      <c r="N23" s="53">
        <v>4</v>
      </c>
      <c r="O23" s="53">
        <v>0.75</v>
      </c>
      <c r="P23" s="53">
        <v>0.5</v>
      </c>
      <c r="Q23" s="74">
        <f t="shared" si="0"/>
        <v>0.625</v>
      </c>
      <c r="R23" s="53">
        <v>17.600000000000001</v>
      </c>
      <c r="S23" s="53">
        <v>92</v>
      </c>
      <c r="T23" s="16">
        <f t="shared" si="1"/>
        <v>36</v>
      </c>
      <c r="U23" s="53">
        <v>398</v>
      </c>
      <c r="V23" s="129">
        <f t="shared" si="2"/>
        <v>3582</v>
      </c>
      <c r="W23" s="53">
        <v>16</v>
      </c>
      <c r="X23" s="127" t="s">
        <v>46</v>
      </c>
      <c r="Y23" s="53" t="s">
        <v>55</v>
      </c>
      <c r="Z23" s="53" t="s">
        <v>97</v>
      </c>
      <c r="AA23" s="53" t="s">
        <v>47</v>
      </c>
      <c r="AB23" s="127" t="s">
        <v>288</v>
      </c>
      <c r="AC23" s="34"/>
      <c r="AE23" s="22"/>
      <c r="AP23" s="27" t="s">
        <v>137</v>
      </c>
      <c r="AR23" s="23" t="s">
        <v>61</v>
      </c>
    </row>
    <row r="24" spans="1:48" x14ac:dyDescent="0.15">
      <c r="A24" s="127" t="s">
        <v>61</v>
      </c>
      <c r="B24" s="127" t="s">
        <v>232</v>
      </c>
      <c r="C24" s="127">
        <v>2019</v>
      </c>
      <c r="D24" s="128" t="s">
        <v>285</v>
      </c>
      <c r="E24" s="127" t="s">
        <v>293</v>
      </c>
      <c r="F24" s="127" t="s">
        <v>294</v>
      </c>
      <c r="G24" s="127" t="s">
        <v>42</v>
      </c>
      <c r="H24" s="53" t="s">
        <v>160</v>
      </c>
      <c r="I24" s="53" t="s">
        <v>159</v>
      </c>
      <c r="J24" s="127" t="s">
        <v>38</v>
      </c>
      <c r="K24" s="53" t="s">
        <v>161</v>
      </c>
      <c r="L24" s="53">
        <v>2</v>
      </c>
      <c r="N24" s="53">
        <v>4</v>
      </c>
      <c r="O24" s="53">
        <v>0.5</v>
      </c>
      <c r="P24" s="53">
        <v>0.5</v>
      </c>
      <c r="Q24" s="74">
        <f t="shared" si="0"/>
        <v>0.5</v>
      </c>
      <c r="R24" s="53">
        <v>17.899999999999999</v>
      </c>
      <c r="S24" s="53">
        <v>99</v>
      </c>
      <c r="T24" s="16">
        <f t="shared" si="1"/>
        <v>33</v>
      </c>
      <c r="U24" s="53">
        <v>398</v>
      </c>
      <c r="V24" s="129">
        <f t="shared" si="2"/>
        <v>3283.5</v>
      </c>
      <c r="W24" s="53">
        <v>16</v>
      </c>
      <c r="X24" s="127" t="s">
        <v>46</v>
      </c>
      <c r="Y24" s="53" t="s">
        <v>55</v>
      </c>
      <c r="Z24" s="53" t="s">
        <v>97</v>
      </c>
      <c r="AA24" s="53" t="s">
        <v>47</v>
      </c>
      <c r="AB24" s="127" t="s">
        <v>288</v>
      </c>
      <c r="AC24" s="34"/>
      <c r="AE24" s="22"/>
      <c r="AP24" s="27" t="s">
        <v>138</v>
      </c>
      <c r="AR24" s="23" t="s">
        <v>91</v>
      </c>
    </row>
    <row r="25" spans="1:48" x14ac:dyDescent="0.15">
      <c r="A25" s="127" t="s">
        <v>61</v>
      </c>
      <c r="B25" s="127" t="s">
        <v>232</v>
      </c>
      <c r="C25" s="127">
        <v>2019</v>
      </c>
      <c r="D25" s="128" t="s">
        <v>285</v>
      </c>
      <c r="E25" s="127" t="s">
        <v>293</v>
      </c>
      <c r="F25" s="127" t="s">
        <v>294</v>
      </c>
      <c r="G25" s="127" t="s">
        <v>42</v>
      </c>
      <c r="H25" s="53" t="s">
        <v>160</v>
      </c>
      <c r="I25" s="53" t="s">
        <v>159</v>
      </c>
      <c r="J25" s="127" t="s">
        <v>38</v>
      </c>
      <c r="K25" s="53" t="s">
        <v>161</v>
      </c>
      <c r="L25" s="53">
        <v>3</v>
      </c>
      <c r="N25" s="53">
        <v>4</v>
      </c>
      <c r="O25" s="34">
        <v>0.5</v>
      </c>
      <c r="P25" s="53">
        <v>0.5</v>
      </c>
      <c r="Q25" s="74">
        <f t="shared" si="0"/>
        <v>0.5</v>
      </c>
      <c r="R25" s="53">
        <v>17.2</v>
      </c>
      <c r="S25" s="53">
        <v>101</v>
      </c>
      <c r="T25" s="16">
        <f t="shared" si="1"/>
        <v>33</v>
      </c>
      <c r="U25" s="53">
        <v>398</v>
      </c>
      <c r="V25" s="129">
        <f t="shared" si="2"/>
        <v>3283.5</v>
      </c>
      <c r="W25" s="53">
        <v>16</v>
      </c>
      <c r="X25" s="127" t="s">
        <v>46</v>
      </c>
      <c r="Y25" s="53" t="s">
        <v>55</v>
      </c>
      <c r="Z25" s="53" t="s">
        <v>97</v>
      </c>
      <c r="AA25" s="53" t="s">
        <v>47</v>
      </c>
      <c r="AB25" s="127" t="s">
        <v>288</v>
      </c>
      <c r="AC25" s="34"/>
      <c r="AE25" s="35"/>
      <c r="AP25" s="27" t="s">
        <v>116</v>
      </c>
      <c r="AR25" s="27" t="s">
        <v>92</v>
      </c>
    </row>
    <row r="26" spans="1:48" x14ac:dyDescent="0.15">
      <c r="A26" s="127" t="s">
        <v>61</v>
      </c>
      <c r="B26" s="127" t="s">
        <v>232</v>
      </c>
      <c r="C26" s="127">
        <v>2019</v>
      </c>
      <c r="D26" s="128" t="s">
        <v>285</v>
      </c>
      <c r="E26" s="127" t="s">
        <v>295</v>
      </c>
      <c r="F26" s="127" t="s">
        <v>296</v>
      </c>
      <c r="G26" s="127" t="s">
        <v>42</v>
      </c>
      <c r="H26" s="53" t="s">
        <v>164</v>
      </c>
      <c r="I26" s="53" t="s">
        <v>159</v>
      </c>
      <c r="J26" s="127" t="s">
        <v>38</v>
      </c>
      <c r="K26" s="53" t="s">
        <v>161</v>
      </c>
      <c r="L26" s="53">
        <v>1</v>
      </c>
      <c r="N26" s="53">
        <v>1</v>
      </c>
      <c r="O26" s="34">
        <v>0.85</v>
      </c>
      <c r="P26" s="53">
        <v>0.8</v>
      </c>
      <c r="Q26" s="74">
        <f t="shared" si="0"/>
        <v>0.82499999999999996</v>
      </c>
      <c r="R26" s="53">
        <v>17.5</v>
      </c>
      <c r="S26" s="53">
        <v>125</v>
      </c>
      <c r="T26" s="16">
        <f t="shared" si="1"/>
        <v>27</v>
      </c>
      <c r="U26" s="53">
        <v>138</v>
      </c>
      <c r="V26" s="129">
        <f t="shared" si="2"/>
        <v>3726</v>
      </c>
      <c r="W26" s="53">
        <v>8</v>
      </c>
      <c r="X26" s="127" t="s">
        <v>46</v>
      </c>
      <c r="Y26" s="53" t="s">
        <v>47</v>
      </c>
      <c r="Z26" s="53" t="s">
        <v>55</v>
      </c>
      <c r="AA26" s="53" t="s">
        <v>97</v>
      </c>
      <c r="AB26" s="127" t="s">
        <v>288</v>
      </c>
      <c r="AC26" s="34"/>
      <c r="AD26" s="34"/>
      <c r="AE26" s="35"/>
      <c r="AP26" s="27" t="s">
        <v>117</v>
      </c>
      <c r="AR26" s="23" t="s">
        <v>153</v>
      </c>
    </row>
    <row r="27" spans="1:48" x14ac:dyDescent="0.15">
      <c r="A27" s="127" t="s">
        <v>61</v>
      </c>
      <c r="B27" s="127" t="s">
        <v>232</v>
      </c>
      <c r="C27" s="127">
        <v>2019</v>
      </c>
      <c r="D27" s="128" t="s">
        <v>285</v>
      </c>
      <c r="E27" s="127" t="s">
        <v>295</v>
      </c>
      <c r="F27" s="127" t="s">
        <v>296</v>
      </c>
      <c r="G27" s="127" t="s">
        <v>42</v>
      </c>
      <c r="H27" s="53" t="s">
        <v>164</v>
      </c>
      <c r="I27" s="53" t="s">
        <v>159</v>
      </c>
      <c r="J27" s="127" t="s">
        <v>38</v>
      </c>
      <c r="K27" s="53" t="s">
        <v>161</v>
      </c>
      <c r="L27" s="53">
        <v>2</v>
      </c>
      <c r="N27" s="53">
        <v>1</v>
      </c>
      <c r="O27" s="34">
        <v>0.5</v>
      </c>
      <c r="P27" s="53">
        <v>0.5</v>
      </c>
      <c r="Q27" s="74">
        <f t="shared" si="0"/>
        <v>0.5</v>
      </c>
      <c r="R27" s="53">
        <v>17.3</v>
      </c>
      <c r="S27" s="53">
        <v>122</v>
      </c>
      <c r="T27" s="16">
        <f t="shared" si="1"/>
        <v>27</v>
      </c>
      <c r="U27" s="53">
        <v>138</v>
      </c>
      <c r="V27" s="129">
        <f t="shared" si="2"/>
        <v>3726</v>
      </c>
      <c r="W27" s="53">
        <v>8</v>
      </c>
      <c r="X27" s="127" t="s">
        <v>46</v>
      </c>
      <c r="Y27" s="53" t="s">
        <v>47</v>
      </c>
      <c r="Z27" s="53" t="s">
        <v>55</v>
      </c>
      <c r="AA27" s="53" t="s">
        <v>97</v>
      </c>
      <c r="AB27" s="127" t="s">
        <v>288</v>
      </c>
      <c r="AC27" s="34"/>
      <c r="AD27" s="34"/>
      <c r="AE27" s="28"/>
      <c r="AP27" s="27" t="s">
        <v>118</v>
      </c>
      <c r="AR27" s="23"/>
    </row>
    <row r="28" spans="1:48" x14ac:dyDescent="0.15">
      <c r="A28" s="127" t="s">
        <v>61</v>
      </c>
      <c r="B28" s="127" t="s">
        <v>232</v>
      </c>
      <c r="C28" s="127">
        <v>2019</v>
      </c>
      <c r="D28" s="128" t="s">
        <v>285</v>
      </c>
      <c r="E28" s="127" t="s">
        <v>295</v>
      </c>
      <c r="F28" s="127" t="s">
        <v>296</v>
      </c>
      <c r="G28" s="127" t="s">
        <v>42</v>
      </c>
      <c r="H28" s="53" t="s">
        <v>164</v>
      </c>
      <c r="I28" s="53" t="s">
        <v>159</v>
      </c>
      <c r="J28" s="127" t="s">
        <v>38</v>
      </c>
      <c r="K28" s="53" t="s">
        <v>161</v>
      </c>
      <c r="L28" s="53">
        <v>3</v>
      </c>
      <c r="N28" s="53">
        <v>1</v>
      </c>
      <c r="O28" s="34">
        <v>0.7</v>
      </c>
      <c r="P28" s="53">
        <v>0.85</v>
      </c>
      <c r="Q28" s="74">
        <f t="shared" si="0"/>
        <v>0.77499999999999991</v>
      </c>
      <c r="R28" s="53">
        <v>13.1</v>
      </c>
      <c r="S28" s="53">
        <v>115</v>
      </c>
      <c r="T28" s="16">
        <f t="shared" si="1"/>
        <v>30</v>
      </c>
      <c r="U28" s="53">
        <v>138</v>
      </c>
      <c r="V28" s="129">
        <f t="shared" si="2"/>
        <v>4140</v>
      </c>
      <c r="W28" s="53">
        <v>8</v>
      </c>
      <c r="X28" s="127" t="s">
        <v>46</v>
      </c>
      <c r="Y28" s="53" t="s">
        <v>47</v>
      </c>
      <c r="Z28" s="53" t="s">
        <v>55</v>
      </c>
      <c r="AA28" s="53" t="s">
        <v>97</v>
      </c>
      <c r="AB28" s="127" t="s">
        <v>288</v>
      </c>
      <c r="AC28" s="34"/>
      <c r="AD28" s="34"/>
      <c r="AP28" s="27"/>
      <c r="AR28" s="23"/>
    </row>
    <row r="29" spans="1:48" x14ac:dyDescent="0.15">
      <c r="A29" s="127" t="s">
        <v>61</v>
      </c>
      <c r="B29" s="127" t="s">
        <v>232</v>
      </c>
      <c r="C29" s="127">
        <v>2019</v>
      </c>
      <c r="D29" s="128" t="s">
        <v>285</v>
      </c>
      <c r="E29" s="127" t="s">
        <v>295</v>
      </c>
      <c r="F29" s="127" t="s">
        <v>296</v>
      </c>
      <c r="G29" s="127" t="s">
        <v>42</v>
      </c>
      <c r="H29" s="53" t="s">
        <v>160</v>
      </c>
      <c r="I29" s="53" t="s">
        <v>159</v>
      </c>
      <c r="J29" s="127" t="s">
        <v>38</v>
      </c>
      <c r="K29" s="53" t="s">
        <v>161</v>
      </c>
      <c r="L29" s="53">
        <v>1</v>
      </c>
      <c r="N29" s="53">
        <v>1</v>
      </c>
      <c r="O29" s="34">
        <v>0.5</v>
      </c>
      <c r="P29" s="53">
        <v>0.5</v>
      </c>
      <c r="Q29" s="74">
        <f t="shared" si="0"/>
        <v>0.5</v>
      </c>
      <c r="R29" s="53">
        <v>17.399999999999999</v>
      </c>
      <c r="S29" s="53">
        <v>141</v>
      </c>
      <c r="T29" s="16">
        <f t="shared" si="1"/>
        <v>22</v>
      </c>
      <c r="U29" s="53">
        <v>138</v>
      </c>
      <c r="V29" s="129">
        <f t="shared" si="2"/>
        <v>3036</v>
      </c>
      <c r="W29" s="53">
        <v>8</v>
      </c>
      <c r="X29" s="127" t="s">
        <v>46</v>
      </c>
      <c r="Y29" s="53" t="s">
        <v>47</v>
      </c>
      <c r="Z29" s="53" t="s">
        <v>55</v>
      </c>
      <c r="AA29" s="53" t="s">
        <v>97</v>
      </c>
      <c r="AB29" s="127" t="s">
        <v>288</v>
      </c>
      <c r="AC29" s="34"/>
    </row>
    <row r="30" spans="1:48" x14ac:dyDescent="0.15">
      <c r="A30" s="127" t="s">
        <v>61</v>
      </c>
      <c r="B30" s="127" t="s">
        <v>232</v>
      </c>
      <c r="C30" s="127">
        <v>2019</v>
      </c>
      <c r="D30" s="128" t="s">
        <v>285</v>
      </c>
      <c r="E30" s="127" t="s">
        <v>295</v>
      </c>
      <c r="F30" s="127" t="s">
        <v>296</v>
      </c>
      <c r="G30" s="127" t="s">
        <v>42</v>
      </c>
      <c r="H30" s="53" t="s">
        <v>160</v>
      </c>
      <c r="I30" s="53" t="s">
        <v>159</v>
      </c>
      <c r="J30" s="127" t="s">
        <v>38</v>
      </c>
      <c r="K30" s="53" t="s">
        <v>161</v>
      </c>
      <c r="L30" s="53">
        <v>2</v>
      </c>
      <c r="N30" s="53">
        <v>1</v>
      </c>
      <c r="O30" s="34">
        <v>0.5</v>
      </c>
      <c r="P30" s="53">
        <v>0.5</v>
      </c>
      <c r="Q30" s="74">
        <f t="shared" si="0"/>
        <v>0.5</v>
      </c>
      <c r="R30" s="53">
        <v>18.399999999999999</v>
      </c>
      <c r="S30" s="53">
        <v>114</v>
      </c>
      <c r="T30" s="16">
        <f t="shared" si="1"/>
        <v>30</v>
      </c>
      <c r="U30" s="53">
        <v>138</v>
      </c>
      <c r="V30" s="129">
        <f t="shared" si="2"/>
        <v>4140</v>
      </c>
      <c r="W30" s="53">
        <v>8</v>
      </c>
      <c r="X30" s="127" t="s">
        <v>46</v>
      </c>
      <c r="Y30" s="53" t="s">
        <v>47</v>
      </c>
      <c r="Z30" s="53" t="s">
        <v>55</v>
      </c>
      <c r="AA30" s="53" t="s">
        <v>97</v>
      </c>
      <c r="AB30" s="127" t="s">
        <v>288</v>
      </c>
      <c r="AC30" s="34"/>
    </row>
    <row r="31" spans="1:48" x14ac:dyDescent="0.15">
      <c r="A31" s="127" t="s">
        <v>61</v>
      </c>
      <c r="B31" s="127" t="s">
        <v>232</v>
      </c>
      <c r="C31" s="127">
        <v>2019</v>
      </c>
      <c r="D31" s="128" t="s">
        <v>285</v>
      </c>
      <c r="E31" s="127" t="s">
        <v>295</v>
      </c>
      <c r="F31" s="127" t="s">
        <v>296</v>
      </c>
      <c r="G31" s="127" t="s">
        <v>42</v>
      </c>
      <c r="H31" s="53" t="s">
        <v>160</v>
      </c>
      <c r="I31" s="53" t="s">
        <v>159</v>
      </c>
      <c r="J31" s="127" t="s">
        <v>38</v>
      </c>
      <c r="K31" s="53" t="s">
        <v>161</v>
      </c>
      <c r="L31" s="53">
        <v>3</v>
      </c>
      <c r="N31" s="53">
        <v>1</v>
      </c>
      <c r="O31" s="34">
        <v>0.8</v>
      </c>
      <c r="P31" s="53">
        <v>0.7</v>
      </c>
      <c r="Q31" s="74">
        <f t="shared" si="0"/>
        <v>0.75</v>
      </c>
      <c r="R31" s="53">
        <v>17.100000000000001</v>
      </c>
      <c r="S31" s="53">
        <v>145</v>
      </c>
      <c r="T31" s="16">
        <f t="shared" si="1"/>
        <v>22</v>
      </c>
      <c r="U31" s="53">
        <v>138</v>
      </c>
      <c r="V31" s="129">
        <f t="shared" si="2"/>
        <v>3036</v>
      </c>
      <c r="W31" s="53">
        <v>8</v>
      </c>
      <c r="X31" s="127" t="s">
        <v>46</v>
      </c>
      <c r="Y31" s="53" t="s">
        <v>47</v>
      </c>
      <c r="Z31" s="53" t="s">
        <v>55</v>
      </c>
      <c r="AA31" s="53" t="s">
        <v>97</v>
      </c>
      <c r="AB31" s="127" t="s">
        <v>288</v>
      </c>
      <c r="AC31" s="34"/>
    </row>
    <row r="32" spans="1:48" x14ac:dyDescent="0.15">
      <c r="A32" s="127" t="s">
        <v>61</v>
      </c>
      <c r="B32" s="127" t="s">
        <v>232</v>
      </c>
      <c r="C32" s="127">
        <v>2019</v>
      </c>
      <c r="D32" s="128" t="s">
        <v>285</v>
      </c>
      <c r="E32" s="127" t="s">
        <v>295</v>
      </c>
      <c r="F32" s="127" t="s">
        <v>296</v>
      </c>
      <c r="G32" s="127" t="s">
        <v>42</v>
      </c>
      <c r="H32" s="53" t="s">
        <v>160</v>
      </c>
      <c r="I32" s="53" t="s">
        <v>165</v>
      </c>
      <c r="J32" s="127" t="s">
        <v>38</v>
      </c>
      <c r="K32" s="53" t="s">
        <v>161</v>
      </c>
      <c r="L32" s="53">
        <v>1</v>
      </c>
      <c r="N32" s="53">
        <v>1</v>
      </c>
      <c r="O32" s="34">
        <v>0.5</v>
      </c>
      <c r="P32" s="53">
        <v>0.6</v>
      </c>
      <c r="Q32" s="74">
        <f t="shared" si="0"/>
        <v>0.55000000000000004</v>
      </c>
      <c r="R32" s="53">
        <v>17.3</v>
      </c>
      <c r="S32" s="53">
        <v>117</v>
      </c>
      <c r="T32" s="16">
        <f t="shared" si="1"/>
        <v>30</v>
      </c>
      <c r="U32" s="53">
        <v>138</v>
      </c>
      <c r="V32" s="129">
        <f t="shared" si="2"/>
        <v>4140</v>
      </c>
      <c r="W32" s="53">
        <v>8</v>
      </c>
      <c r="X32" s="127" t="s">
        <v>46</v>
      </c>
      <c r="Y32" s="53" t="s">
        <v>47</v>
      </c>
      <c r="Z32" s="53" t="s">
        <v>55</v>
      </c>
      <c r="AA32" s="53" t="s">
        <v>97</v>
      </c>
      <c r="AB32" s="127" t="s">
        <v>288</v>
      </c>
      <c r="AC32" s="34"/>
    </row>
    <row r="33" spans="1:29" x14ac:dyDescent="0.15">
      <c r="A33" s="127" t="s">
        <v>61</v>
      </c>
      <c r="B33" s="127" t="s">
        <v>232</v>
      </c>
      <c r="C33" s="127">
        <v>2019</v>
      </c>
      <c r="D33" s="128" t="s">
        <v>285</v>
      </c>
      <c r="E33" s="127" t="s">
        <v>295</v>
      </c>
      <c r="F33" s="127" t="s">
        <v>296</v>
      </c>
      <c r="G33" s="127" t="s">
        <v>42</v>
      </c>
      <c r="H33" s="53" t="s">
        <v>160</v>
      </c>
      <c r="I33" s="53" t="s">
        <v>165</v>
      </c>
      <c r="J33" s="127" t="s">
        <v>38</v>
      </c>
      <c r="K33" s="53" t="s">
        <v>161</v>
      </c>
      <c r="L33" s="53">
        <v>2</v>
      </c>
      <c r="N33" s="53">
        <v>1</v>
      </c>
      <c r="O33" s="34">
        <v>0.5</v>
      </c>
      <c r="P33" s="53">
        <v>0.65</v>
      </c>
      <c r="Q33" s="74">
        <f t="shared" si="0"/>
        <v>0.57499999999999996</v>
      </c>
      <c r="R33" s="53">
        <v>18</v>
      </c>
      <c r="S33" s="53">
        <v>115</v>
      </c>
      <c r="T33" s="16">
        <f t="shared" si="1"/>
        <v>30</v>
      </c>
      <c r="U33" s="53">
        <v>138</v>
      </c>
      <c r="V33" s="129">
        <f t="shared" si="2"/>
        <v>4140</v>
      </c>
      <c r="W33" s="53">
        <v>8</v>
      </c>
      <c r="X33" s="127" t="s">
        <v>46</v>
      </c>
      <c r="Y33" s="53" t="s">
        <v>47</v>
      </c>
      <c r="Z33" s="53" t="s">
        <v>55</v>
      </c>
      <c r="AA33" s="53" t="s">
        <v>97</v>
      </c>
      <c r="AB33" s="127" t="s">
        <v>288</v>
      </c>
      <c r="AC33" s="34"/>
    </row>
    <row r="34" spans="1:29" x14ac:dyDescent="0.15">
      <c r="A34" s="127" t="s">
        <v>61</v>
      </c>
      <c r="B34" s="127" t="s">
        <v>232</v>
      </c>
      <c r="C34" s="127">
        <v>2019</v>
      </c>
      <c r="D34" s="128" t="s">
        <v>285</v>
      </c>
      <c r="E34" s="127" t="s">
        <v>295</v>
      </c>
      <c r="F34" s="127" t="s">
        <v>296</v>
      </c>
      <c r="G34" s="127" t="s">
        <v>42</v>
      </c>
      <c r="H34" s="53" t="s">
        <v>160</v>
      </c>
      <c r="I34" s="53" t="s">
        <v>165</v>
      </c>
      <c r="J34" s="127" t="s">
        <v>38</v>
      </c>
      <c r="K34" s="53" t="s">
        <v>161</v>
      </c>
      <c r="L34" s="53">
        <v>3</v>
      </c>
      <c r="N34" s="53">
        <v>1</v>
      </c>
      <c r="O34" s="34">
        <v>0.7</v>
      </c>
      <c r="P34" s="53">
        <v>0.85</v>
      </c>
      <c r="Q34" s="74">
        <f t="shared" si="0"/>
        <v>0.77499999999999991</v>
      </c>
      <c r="R34" s="53">
        <v>17.600000000000001</v>
      </c>
      <c r="S34" s="53">
        <v>147</v>
      </c>
      <c r="T34" s="16">
        <f t="shared" si="1"/>
        <v>22</v>
      </c>
      <c r="U34" s="53">
        <v>138</v>
      </c>
      <c r="V34" s="129">
        <f t="shared" si="2"/>
        <v>3036</v>
      </c>
      <c r="W34" s="53">
        <v>8</v>
      </c>
      <c r="X34" s="127" t="s">
        <v>46</v>
      </c>
      <c r="Y34" s="53" t="s">
        <v>47</v>
      </c>
      <c r="Z34" s="53" t="s">
        <v>55</v>
      </c>
      <c r="AA34" s="53" t="s">
        <v>97</v>
      </c>
      <c r="AB34" s="127" t="s">
        <v>288</v>
      </c>
      <c r="AC34" s="34"/>
    </row>
    <row r="35" spans="1:29" x14ac:dyDescent="0.15">
      <c r="A35" s="127" t="s">
        <v>61</v>
      </c>
      <c r="B35" s="127" t="s">
        <v>232</v>
      </c>
      <c r="C35" s="127">
        <v>2019</v>
      </c>
      <c r="D35" s="128" t="s">
        <v>285</v>
      </c>
      <c r="E35" s="127" t="s">
        <v>297</v>
      </c>
      <c r="F35" s="127" t="s">
        <v>298</v>
      </c>
      <c r="G35" s="127" t="s">
        <v>42</v>
      </c>
      <c r="H35" s="53" t="s">
        <v>160</v>
      </c>
      <c r="I35" s="53" t="s">
        <v>159</v>
      </c>
      <c r="J35" s="127" t="s">
        <v>38</v>
      </c>
      <c r="K35" s="53" t="s">
        <v>161</v>
      </c>
      <c r="L35" s="53">
        <v>1</v>
      </c>
      <c r="N35" s="53">
        <v>1</v>
      </c>
      <c r="O35" s="34">
        <v>0.5</v>
      </c>
      <c r="P35" s="53">
        <v>0.5</v>
      </c>
      <c r="Q35" s="74">
        <f t="shared" si="0"/>
        <v>0.5</v>
      </c>
      <c r="R35" s="53">
        <v>14.3</v>
      </c>
      <c r="S35" s="53">
        <v>115</v>
      </c>
      <c r="T35" s="16">
        <f t="shared" si="1"/>
        <v>30</v>
      </c>
      <c r="U35" s="53">
        <v>98</v>
      </c>
      <c r="V35" s="129">
        <f t="shared" si="2"/>
        <v>2940</v>
      </c>
      <c r="W35" s="53">
        <v>8</v>
      </c>
      <c r="X35" s="127" t="s">
        <v>46</v>
      </c>
      <c r="Y35" s="53" t="s">
        <v>47</v>
      </c>
      <c r="Z35" s="53" t="s">
        <v>97</v>
      </c>
      <c r="AA35" s="53" t="s">
        <v>55</v>
      </c>
      <c r="AB35" s="127" t="s">
        <v>288</v>
      </c>
      <c r="AC35" s="34"/>
    </row>
    <row r="36" spans="1:29" x14ac:dyDescent="0.15">
      <c r="A36" s="127" t="s">
        <v>61</v>
      </c>
      <c r="B36" s="127" t="s">
        <v>232</v>
      </c>
      <c r="C36" s="127">
        <v>2019</v>
      </c>
      <c r="D36" s="128" t="s">
        <v>285</v>
      </c>
      <c r="E36" s="127" t="s">
        <v>297</v>
      </c>
      <c r="F36" s="127" t="s">
        <v>298</v>
      </c>
      <c r="G36" s="127" t="s">
        <v>42</v>
      </c>
      <c r="H36" s="53" t="s">
        <v>160</v>
      </c>
      <c r="I36" s="53" t="s">
        <v>159</v>
      </c>
      <c r="J36" s="127" t="s">
        <v>38</v>
      </c>
      <c r="K36" s="53" t="s">
        <v>161</v>
      </c>
      <c r="L36" s="53">
        <v>2</v>
      </c>
      <c r="N36" s="53">
        <v>1</v>
      </c>
      <c r="O36" s="34">
        <v>0.5</v>
      </c>
      <c r="P36" s="53">
        <v>0.5</v>
      </c>
      <c r="Q36" s="74">
        <f t="shared" si="0"/>
        <v>0.5</v>
      </c>
      <c r="R36" s="53">
        <v>15.6</v>
      </c>
      <c r="S36" s="53">
        <v>107</v>
      </c>
      <c r="T36" s="16">
        <f t="shared" si="1"/>
        <v>33</v>
      </c>
      <c r="U36" s="53">
        <v>98</v>
      </c>
      <c r="V36" s="129">
        <f t="shared" si="2"/>
        <v>3234</v>
      </c>
      <c r="W36" s="53">
        <v>8</v>
      </c>
      <c r="X36" s="127" t="s">
        <v>46</v>
      </c>
      <c r="Y36" s="53" t="s">
        <v>47</v>
      </c>
      <c r="Z36" s="53" t="s">
        <v>97</v>
      </c>
      <c r="AA36" s="53" t="s">
        <v>55</v>
      </c>
      <c r="AB36" s="127" t="s">
        <v>288</v>
      </c>
      <c r="AC36" s="34"/>
    </row>
    <row r="37" spans="1:29" x14ac:dyDescent="0.15">
      <c r="A37" s="127" t="s">
        <v>61</v>
      </c>
      <c r="B37" s="127" t="s">
        <v>232</v>
      </c>
      <c r="C37" s="127">
        <v>2019</v>
      </c>
      <c r="D37" s="128" t="s">
        <v>285</v>
      </c>
      <c r="E37" s="127" t="s">
        <v>297</v>
      </c>
      <c r="F37" s="127" t="s">
        <v>298</v>
      </c>
      <c r="G37" s="127" t="s">
        <v>42</v>
      </c>
      <c r="H37" s="53" t="s">
        <v>160</v>
      </c>
      <c r="I37" s="53" t="s">
        <v>159</v>
      </c>
      <c r="J37" s="127" t="s">
        <v>38</v>
      </c>
      <c r="K37" s="53" t="s">
        <v>161</v>
      </c>
      <c r="L37" s="53">
        <v>3</v>
      </c>
      <c r="N37" s="53">
        <v>1</v>
      </c>
      <c r="O37" s="34">
        <v>0.5</v>
      </c>
      <c r="P37" s="53">
        <v>0.5</v>
      </c>
      <c r="Q37" s="74">
        <f t="shared" si="0"/>
        <v>0.5</v>
      </c>
      <c r="R37" s="53">
        <v>14.5</v>
      </c>
      <c r="S37" s="53">
        <v>111</v>
      </c>
      <c r="T37" s="16">
        <f t="shared" si="1"/>
        <v>33</v>
      </c>
      <c r="U37" s="53">
        <v>98</v>
      </c>
      <c r="V37" s="129">
        <f t="shared" si="2"/>
        <v>3234</v>
      </c>
      <c r="W37" s="53">
        <v>8</v>
      </c>
      <c r="X37" s="127" t="s">
        <v>46</v>
      </c>
      <c r="Y37" s="53" t="s">
        <v>47</v>
      </c>
      <c r="Z37" s="53" t="s">
        <v>97</v>
      </c>
      <c r="AA37" s="53" t="s">
        <v>55</v>
      </c>
      <c r="AB37" s="127" t="s">
        <v>288</v>
      </c>
      <c r="AC37" s="34"/>
    </row>
    <row r="38" spans="1:29" x14ac:dyDescent="0.15">
      <c r="A38" s="127" t="s">
        <v>61</v>
      </c>
      <c r="B38" s="127" t="s">
        <v>232</v>
      </c>
      <c r="C38" s="127">
        <v>2019</v>
      </c>
      <c r="D38" s="128" t="s">
        <v>285</v>
      </c>
      <c r="E38" s="127" t="s">
        <v>297</v>
      </c>
      <c r="F38" s="127" t="s">
        <v>298</v>
      </c>
      <c r="G38" s="127" t="s">
        <v>42</v>
      </c>
      <c r="H38" s="53" t="s">
        <v>160</v>
      </c>
      <c r="I38" s="53" t="s">
        <v>159</v>
      </c>
      <c r="J38" s="127" t="s">
        <v>38</v>
      </c>
      <c r="K38" s="53" t="s">
        <v>161</v>
      </c>
      <c r="L38" s="53">
        <v>1</v>
      </c>
      <c r="N38" s="53">
        <v>1</v>
      </c>
      <c r="O38" s="34">
        <v>0.5</v>
      </c>
      <c r="P38" s="53">
        <v>0.5</v>
      </c>
      <c r="Q38" s="74">
        <f t="shared" si="0"/>
        <v>0.5</v>
      </c>
      <c r="R38" s="53">
        <v>17.5</v>
      </c>
      <c r="S38" s="53">
        <v>144</v>
      </c>
      <c r="T38" s="16">
        <f t="shared" si="1"/>
        <v>22</v>
      </c>
      <c r="U38" s="53">
        <v>128</v>
      </c>
      <c r="V38" s="129">
        <f t="shared" si="2"/>
        <v>2816</v>
      </c>
      <c r="W38" s="53">
        <v>8</v>
      </c>
      <c r="X38" s="127" t="s">
        <v>46</v>
      </c>
      <c r="Y38" s="53" t="s">
        <v>47</v>
      </c>
      <c r="Z38" s="53" t="s">
        <v>97</v>
      </c>
      <c r="AA38" s="53" t="s">
        <v>55</v>
      </c>
      <c r="AB38" s="127" t="s">
        <v>288</v>
      </c>
      <c r="AC38" s="34"/>
    </row>
    <row r="39" spans="1:29" x14ac:dyDescent="0.15">
      <c r="A39" s="127" t="s">
        <v>61</v>
      </c>
      <c r="B39" s="127" t="s">
        <v>232</v>
      </c>
      <c r="C39" s="127">
        <v>2019</v>
      </c>
      <c r="D39" s="128" t="s">
        <v>285</v>
      </c>
      <c r="E39" s="127" t="s">
        <v>297</v>
      </c>
      <c r="F39" s="127" t="s">
        <v>298</v>
      </c>
      <c r="G39" s="127" t="s">
        <v>42</v>
      </c>
      <c r="H39" s="53" t="s">
        <v>160</v>
      </c>
      <c r="I39" s="53" t="s">
        <v>159</v>
      </c>
      <c r="J39" s="127" t="s">
        <v>38</v>
      </c>
      <c r="K39" s="53" t="s">
        <v>161</v>
      </c>
      <c r="L39" s="53">
        <v>2</v>
      </c>
      <c r="N39" s="53">
        <v>1</v>
      </c>
      <c r="O39" s="34">
        <v>0.5</v>
      </c>
      <c r="P39" s="53">
        <v>0.5</v>
      </c>
      <c r="Q39" s="74">
        <f t="shared" si="0"/>
        <v>0.5</v>
      </c>
      <c r="R39" s="53">
        <v>18.8</v>
      </c>
      <c r="S39" s="53">
        <v>136</v>
      </c>
      <c r="T39" s="16">
        <f t="shared" si="1"/>
        <v>25</v>
      </c>
      <c r="U39" s="53">
        <v>128</v>
      </c>
      <c r="V39" s="129">
        <f t="shared" si="2"/>
        <v>3200</v>
      </c>
      <c r="W39" s="53">
        <v>8</v>
      </c>
      <c r="X39" s="127" t="s">
        <v>46</v>
      </c>
      <c r="Y39" s="53" t="s">
        <v>47</v>
      </c>
      <c r="Z39" s="53" t="s">
        <v>97</v>
      </c>
      <c r="AA39" s="53" t="s">
        <v>55</v>
      </c>
      <c r="AB39" s="127" t="s">
        <v>288</v>
      </c>
      <c r="AC39" s="34"/>
    </row>
    <row r="40" spans="1:29" x14ac:dyDescent="0.15">
      <c r="A40" s="127" t="s">
        <v>61</v>
      </c>
      <c r="B40" s="127" t="s">
        <v>232</v>
      </c>
      <c r="C40" s="127">
        <v>2019</v>
      </c>
      <c r="D40" s="128" t="s">
        <v>285</v>
      </c>
      <c r="E40" s="127" t="s">
        <v>297</v>
      </c>
      <c r="F40" s="127" t="s">
        <v>298</v>
      </c>
      <c r="G40" s="127" t="s">
        <v>42</v>
      </c>
      <c r="H40" s="53" t="s">
        <v>160</v>
      </c>
      <c r="I40" s="53" t="s">
        <v>159</v>
      </c>
      <c r="J40" s="127" t="s">
        <v>38</v>
      </c>
      <c r="K40" s="53" t="s">
        <v>161</v>
      </c>
      <c r="L40" s="53">
        <v>3</v>
      </c>
      <c r="N40" s="53">
        <v>1</v>
      </c>
      <c r="O40" s="53">
        <v>0.5</v>
      </c>
      <c r="P40" s="53">
        <v>0.5</v>
      </c>
      <c r="Q40" s="74">
        <f t="shared" si="0"/>
        <v>0.5</v>
      </c>
      <c r="R40" s="53">
        <v>17.899999999999999</v>
      </c>
      <c r="S40" s="53">
        <v>133</v>
      </c>
      <c r="T40" s="16">
        <f t="shared" si="1"/>
        <v>25</v>
      </c>
      <c r="U40" s="53">
        <v>128</v>
      </c>
      <c r="V40" s="129">
        <f t="shared" si="2"/>
        <v>3200</v>
      </c>
      <c r="W40" s="53">
        <v>8</v>
      </c>
      <c r="X40" s="127" t="s">
        <v>46</v>
      </c>
      <c r="Y40" s="53" t="s">
        <v>47</v>
      </c>
      <c r="Z40" s="53" t="s">
        <v>97</v>
      </c>
      <c r="AA40" s="53" t="s">
        <v>55</v>
      </c>
      <c r="AB40" s="127" t="s">
        <v>288</v>
      </c>
      <c r="AC40" s="34"/>
    </row>
    <row r="41" spans="1:29" x14ac:dyDescent="0.15">
      <c r="A41" s="127" t="s">
        <v>61</v>
      </c>
      <c r="B41" s="127" t="s">
        <v>232</v>
      </c>
      <c r="C41" s="127">
        <v>2019</v>
      </c>
      <c r="D41" s="128" t="s">
        <v>285</v>
      </c>
      <c r="E41" s="127" t="s">
        <v>299</v>
      </c>
      <c r="F41" s="127" t="s">
        <v>300</v>
      </c>
      <c r="G41" s="127" t="s">
        <v>42</v>
      </c>
      <c r="H41" s="53" t="s">
        <v>186</v>
      </c>
      <c r="I41" s="53" t="s">
        <v>159</v>
      </c>
      <c r="J41" s="127" t="s">
        <v>38</v>
      </c>
      <c r="K41" s="53" t="s">
        <v>161</v>
      </c>
      <c r="L41" s="53">
        <v>1</v>
      </c>
      <c r="N41" s="53">
        <v>4</v>
      </c>
      <c r="O41" s="34">
        <v>0.5</v>
      </c>
      <c r="P41" s="53">
        <v>0.5</v>
      </c>
      <c r="Q41" s="74">
        <f t="shared" si="0"/>
        <v>0.5</v>
      </c>
      <c r="R41" s="53">
        <v>17.3</v>
      </c>
      <c r="S41" s="53">
        <v>76</v>
      </c>
      <c r="T41" s="16">
        <f t="shared" si="1"/>
        <v>39</v>
      </c>
      <c r="U41" s="53">
        <v>321</v>
      </c>
      <c r="V41" s="129">
        <f t="shared" si="2"/>
        <v>3129.75</v>
      </c>
      <c r="W41" s="53">
        <v>12</v>
      </c>
      <c r="X41" s="127" t="s">
        <v>46</v>
      </c>
      <c r="Y41" s="53" t="s">
        <v>314</v>
      </c>
      <c r="Z41" s="53" t="s">
        <v>69</v>
      </c>
      <c r="AA41" s="53" t="s">
        <v>97</v>
      </c>
      <c r="AB41" s="127" t="s">
        <v>288</v>
      </c>
    </row>
    <row r="42" spans="1:29" x14ac:dyDescent="0.15">
      <c r="A42" s="127" t="s">
        <v>61</v>
      </c>
      <c r="B42" s="127" t="s">
        <v>232</v>
      </c>
      <c r="C42" s="127">
        <v>2020</v>
      </c>
      <c r="D42" s="128" t="s">
        <v>285</v>
      </c>
      <c r="E42" s="127" t="s">
        <v>299</v>
      </c>
      <c r="F42" s="127" t="s">
        <v>300</v>
      </c>
      <c r="G42" s="127" t="s">
        <v>42</v>
      </c>
      <c r="H42" s="53" t="s">
        <v>186</v>
      </c>
      <c r="I42" s="53" t="s">
        <v>159</v>
      </c>
      <c r="J42" s="127" t="s">
        <v>38</v>
      </c>
      <c r="K42" s="53" t="s">
        <v>161</v>
      </c>
      <c r="L42" s="53">
        <v>2</v>
      </c>
      <c r="N42" s="53">
        <v>4</v>
      </c>
      <c r="O42" s="34">
        <v>0.5</v>
      </c>
      <c r="P42" s="53">
        <v>0.5</v>
      </c>
      <c r="Q42" s="74">
        <f t="shared" si="0"/>
        <v>0.5</v>
      </c>
      <c r="R42" s="53">
        <v>17.3</v>
      </c>
      <c r="S42" s="53">
        <v>80</v>
      </c>
      <c r="T42" s="16">
        <f t="shared" si="1"/>
        <v>39</v>
      </c>
      <c r="U42" s="53">
        <v>321</v>
      </c>
      <c r="V42" s="129">
        <f t="shared" si="2"/>
        <v>3129.75</v>
      </c>
      <c r="W42" s="53">
        <v>12</v>
      </c>
      <c r="X42" s="127" t="s">
        <v>46</v>
      </c>
      <c r="Y42" s="53" t="s">
        <v>314</v>
      </c>
      <c r="Z42" s="53" t="s">
        <v>69</v>
      </c>
      <c r="AA42" s="53" t="s">
        <v>97</v>
      </c>
      <c r="AB42" s="127" t="s">
        <v>288</v>
      </c>
    </row>
    <row r="43" spans="1:29" x14ac:dyDescent="0.15">
      <c r="A43" s="127" t="s">
        <v>61</v>
      </c>
      <c r="B43" s="127" t="s">
        <v>232</v>
      </c>
      <c r="C43" s="127">
        <v>2021</v>
      </c>
      <c r="D43" s="128" t="s">
        <v>285</v>
      </c>
      <c r="E43" s="127" t="s">
        <v>299</v>
      </c>
      <c r="F43" s="127" t="s">
        <v>300</v>
      </c>
      <c r="G43" s="127" t="s">
        <v>42</v>
      </c>
      <c r="H43" s="53" t="s">
        <v>186</v>
      </c>
      <c r="I43" s="53" t="s">
        <v>159</v>
      </c>
      <c r="J43" s="127" t="s">
        <v>38</v>
      </c>
      <c r="K43" s="53" t="s">
        <v>161</v>
      </c>
      <c r="L43" s="53">
        <v>3</v>
      </c>
      <c r="N43" s="53">
        <v>4</v>
      </c>
      <c r="O43" s="34">
        <v>0.5</v>
      </c>
      <c r="P43" s="53">
        <v>0.5</v>
      </c>
      <c r="Q43" s="74">
        <f t="shared" si="0"/>
        <v>0.5</v>
      </c>
      <c r="R43" s="53">
        <v>18.2</v>
      </c>
      <c r="S43" s="53">
        <v>82</v>
      </c>
      <c r="T43" s="16">
        <f t="shared" si="1"/>
        <v>39</v>
      </c>
      <c r="U43" s="53">
        <v>321</v>
      </c>
      <c r="V43" s="129">
        <f t="shared" si="2"/>
        <v>3129.75</v>
      </c>
      <c r="W43" s="53">
        <v>12</v>
      </c>
      <c r="X43" s="127" t="s">
        <v>46</v>
      </c>
      <c r="Y43" s="53" t="s">
        <v>314</v>
      </c>
      <c r="Z43" s="53" t="s">
        <v>69</v>
      </c>
      <c r="AA43" s="53" t="s">
        <v>97</v>
      </c>
      <c r="AB43" s="127" t="s">
        <v>288</v>
      </c>
    </row>
    <row r="44" spans="1:29" x14ac:dyDescent="0.15">
      <c r="A44" s="127" t="s">
        <v>61</v>
      </c>
      <c r="B44" s="127" t="s">
        <v>232</v>
      </c>
      <c r="C44" s="127">
        <v>2022</v>
      </c>
      <c r="D44" s="128" t="s">
        <v>285</v>
      </c>
      <c r="E44" s="127" t="s">
        <v>299</v>
      </c>
      <c r="F44" s="127" t="s">
        <v>300</v>
      </c>
      <c r="G44" s="127" t="s">
        <v>42</v>
      </c>
      <c r="H44" s="53" t="s">
        <v>160</v>
      </c>
      <c r="I44" s="53" t="s">
        <v>159</v>
      </c>
      <c r="J44" s="127" t="s">
        <v>38</v>
      </c>
      <c r="K44" s="53" t="s">
        <v>161</v>
      </c>
      <c r="L44" s="53">
        <v>1</v>
      </c>
      <c r="N44" s="53">
        <v>1</v>
      </c>
      <c r="O44" s="34">
        <v>1</v>
      </c>
      <c r="P44" s="53">
        <v>1.1000000000000001</v>
      </c>
      <c r="Q44" s="74">
        <f t="shared" si="0"/>
        <v>1.05</v>
      </c>
      <c r="R44" s="53">
        <v>17.2</v>
      </c>
      <c r="S44" s="53">
        <v>144</v>
      </c>
      <c r="T44" s="16">
        <f t="shared" si="1"/>
        <v>22</v>
      </c>
      <c r="U44" s="53">
        <v>138</v>
      </c>
      <c r="V44" s="129">
        <f t="shared" si="2"/>
        <v>3036</v>
      </c>
      <c r="W44" s="53">
        <v>12</v>
      </c>
      <c r="X44" s="127" t="s">
        <v>46</v>
      </c>
      <c r="Y44" s="53" t="s">
        <v>314</v>
      </c>
      <c r="Z44" s="53" t="s">
        <v>69</v>
      </c>
      <c r="AA44" s="53" t="s">
        <v>97</v>
      </c>
      <c r="AB44" s="127" t="s">
        <v>288</v>
      </c>
      <c r="AC44" s="34"/>
    </row>
    <row r="45" spans="1:29" x14ac:dyDescent="0.15">
      <c r="A45" s="127" t="s">
        <v>61</v>
      </c>
      <c r="B45" s="127" t="s">
        <v>232</v>
      </c>
      <c r="C45" s="127">
        <v>2023</v>
      </c>
      <c r="D45" s="128" t="s">
        <v>285</v>
      </c>
      <c r="E45" s="127" t="s">
        <v>299</v>
      </c>
      <c r="F45" s="127" t="s">
        <v>300</v>
      </c>
      <c r="G45" s="127" t="s">
        <v>42</v>
      </c>
      <c r="H45" s="53" t="s">
        <v>160</v>
      </c>
      <c r="I45" s="53" t="s">
        <v>159</v>
      </c>
      <c r="J45" s="127" t="s">
        <v>38</v>
      </c>
      <c r="K45" s="53" t="s">
        <v>161</v>
      </c>
      <c r="L45" s="53">
        <v>2</v>
      </c>
      <c r="N45" s="53">
        <v>1</v>
      </c>
      <c r="O45" s="34">
        <v>1.1499999999999999</v>
      </c>
      <c r="P45" s="53">
        <v>0.75</v>
      </c>
      <c r="Q45" s="74">
        <f t="shared" si="0"/>
        <v>0.95</v>
      </c>
      <c r="R45" s="53">
        <v>17.399999999999999</v>
      </c>
      <c r="S45" s="53">
        <v>134</v>
      </c>
      <c r="T45" s="16">
        <f t="shared" si="1"/>
        <v>25</v>
      </c>
      <c r="U45" s="53">
        <v>138</v>
      </c>
      <c r="V45" s="129">
        <f t="shared" si="2"/>
        <v>3450</v>
      </c>
      <c r="W45" s="53">
        <v>12</v>
      </c>
      <c r="X45" s="127" t="s">
        <v>46</v>
      </c>
      <c r="Y45" s="53" t="s">
        <v>314</v>
      </c>
      <c r="Z45" s="53" t="s">
        <v>69</v>
      </c>
      <c r="AA45" s="53" t="s">
        <v>97</v>
      </c>
      <c r="AB45" s="127" t="s">
        <v>288</v>
      </c>
      <c r="AC45" s="34"/>
    </row>
    <row r="46" spans="1:29" x14ac:dyDescent="0.15">
      <c r="A46" s="127" t="s">
        <v>61</v>
      </c>
      <c r="B46" s="127" t="s">
        <v>232</v>
      </c>
      <c r="C46" s="127">
        <v>2024</v>
      </c>
      <c r="D46" s="128" t="s">
        <v>285</v>
      </c>
      <c r="E46" s="127" t="s">
        <v>299</v>
      </c>
      <c r="F46" s="127" t="s">
        <v>300</v>
      </c>
      <c r="G46" s="127" t="s">
        <v>42</v>
      </c>
      <c r="H46" s="53" t="s">
        <v>160</v>
      </c>
      <c r="I46" s="53" t="s">
        <v>159</v>
      </c>
      <c r="J46" s="127" t="s">
        <v>38</v>
      </c>
      <c r="K46" s="53" t="s">
        <v>161</v>
      </c>
      <c r="L46" s="53">
        <v>3</v>
      </c>
      <c r="N46" s="53">
        <v>1</v>
      </c>
      <c r="O46" s="34">
        <v>1.1000000000000001</v>
      </c>
      <c r="P46" s="53">
        <v>1.1000000000000001</v>
      </c>
      <c r="Q46" s="74">
        <f t="shared" si="0"/>
        <v>1.1000000000000001</v>
      </c>
      <c r="R46" s="34">
        <v>17.2</v>
      </c>
      <c r="S46" s="53">
        <v>143</v>
      </c>
      <c r="T46" s="16">
        <f t="shared" si="1"/>
        <v>22</v>
      </c>
      <c r="U46" s="53">
        <v>138</v>
      </c>
      <c r="V46" s="129">
        <f t="shared" si="2"/>
        <v>3036</v>
      </c>
      <c r="W46" s="53">
        <v>12</v>
      </c>
      <c r="X46" s="127" t="s">
        <v>46</v>
      </c>
      <c r="Y46" s="53" t="s">
        <v>314</v>
      </c>
      <c r="Z46" s="53" t="s">
        <v>69</v>
      </c>
      <c r="AA46" s="53" t="s">
        <v>97</v>
      </c>
      <c r="AB46" s="127" t="s">
        <v>288</v>
      </c>
      <c r="AC46" s="34"/>
    </row>
    <row r="47" spans="1:29" x14ac:dyDescent="0.15">
      <c r="A47" s="127" t="s">
        <v>61</v>
      </c>
      <c r="B47" s="127" t="s">
        <v>232</v>
      </c>
      <c r="C47" s="127">
        <v>2019</v>
      </c>
      <c r="D47" s="128" t="s">
        <v>285</v>
      </c>
      <c r="E47" s="127" t="s">
        <v>133</v>
      </c>
      <c r="F47" s="127" t="s">
        <v>301</v>
      </c>
      <c r="G47" s="127" t="s">
        <v>42</v>
      </c>
      <c r="H47" s="53" t="s">
        <v>164</v>
      </c>
      <c r="I47" s="53" t="s">
        <v>159</v>
      </c>
      <c r="J47" s="127" t="s">
        <v>38</v>
      </c>
      <c r="K47" s="53" t="s">
        <v>161</v>
      </c>
      <c r="L47" s="53">
        <v>1</v>
      </c>
      <c r="N47" s="53">
        <v>1</v>
      </c>
      <c r="O47" s="53">
        <v>0.85</v>
      </c>
      <c r="P47" s="53">
        <v>1.05</v>
      </c>
      <c r="Q47" s="74">
        <f t="shared" si="0"/>
        <v>0.95</v>
      </c>
      <c r="R47" s="53">
        <v>17.100000000000001</v>
      </c>
      <c r="S47" s="53">
        <v>116</v>
      </c>
      <c r="T47" s="16">
        <f t="shared" si="1"/>
        <v>30</v>
      </c>
      <c r="U47" s="53">
        <v>98</v>
      </c>
      <c r="V47" s="129">
        <f t="shared" si="2"/>
        <v>2940</v>
      </c>
      <c r="W47" s="53">
        <v>24</v>
      </c>
      <c r="X47" s="127" t="s">
        <v>46</v>
      </c>
      <c r="Y47" s="53" t="s">
        <v>69</v>
      </c>
      <c r="Z47" s="53" t="s">
        <v>55</v>
      </c>
      <c r="AA47" s="53" t="s">
        <v>97</v>
      </c>
      <c r="AB47" s="127" t="s">
        <v>288</v>
      </c>
      <c r="AC47" s="34"/>
    </row>
    <row r="48" spans="1:29" x14ac:dyDescent="0.15">
      <c r="A48" s="127" t="s">
        <v>61</v>
      </c>
      <c r="B48" s="127" t="s">
        <v>232</v>
      </c>
      <c r="C48" s="127">
        <v>2019</v>
      </c>
      <c r="D48" s="128" t="s">
        <v>285</v>
      </c>
      <c r="E48" s="127" t="s">
        <v>133</v>
      </c>
      <c r="F48" s="127" t="s">
        <v>301</v>
      </c>
      <c r="G48" s="127" t="s">
        <v>42</v>
      </c>
      <c r="H48" s="53" t="s">
        <v>164</v>
      </c>
      <c r="I48" s="53" t="s">
        <v>159</v>
      </c>
      <c r="J48" s="127" t="s">
        <v>38</v>
      </c>
      <c r="K48" s="53" t="s">
        <v>161</v>
      </c>
      <c r="L48" s="53">
        <v>2</v>
      </c>
      <c r="N48" s="53">
        <v>1</v>
      </c>
      <c r="O48" s="53">
        <v>0.95</v>
      </c>
      <c r="P48" s="53">
        <v>0.8</v>
      </c>
      <c r="Q48" s="74">
        <f t="shared" si="0"/>
        <v>0.875</v>
      </c>
      <c r="R48" s="53">
        <v>12.4</v>
      </c>
      <c r="S48" s="53">
        <v>124</v>
      </c>
      <c r="T48" s="16">
        <f t="shared" si="1"/>
        <v>27</v>
      </c>
      <c r="U48" s="53">
        <v>98</v>
      </c>
      <c r="V48" s="129">
        <f t="shared" si="2"/>
        <v>2646</v>
      </c>
      <c r="W48" s="53">
        <v>24</v>
      </c>
      <c r="X48" s="127" t="s">
        <v>46</v>
      </c>
      <c r="Y48" s="53" t="s">
        <v>69</v>
      </c>
      <c r="Z48" s="53" t="s">
        <v>55</v>
      </c>
      <c r="AA48" s="53" t="s">
        <v>97</v>
      </c>
      <c r="AB48" s="127" t="s">
        <v>288</v>
      </c>
      <c r="AC48" s="34"/>
    </row>
    <row r="49" spans="1:29" x14ac:dyDescent="0.15">
      <c r="A49" s="127" t="s">
        <v>61</v>
      </c>
      <c r="B49" s="127" t="s">
        <v>232</v>
      </c>
      <c r="C49" s="127">
        <v>2019</v>
      </c>
      <c r="D49" s="128" t="s">
        <v>285</v>
      </c>
      <c r="E49" s="127" t="s">
        <v>133</v>
      </c>
      <c r="F49" s="127" t="s">
        <v>301</v>
      </c>
      <c r="G49" s="127" t="s">
        <v>42</v>
      </c>
      <c r="H49" s="53" t="s">
        <v>164</v>
      </c>
      <c r="I49" s="53" t="s">
        <v>159</v>
      </c>
      <c r="J49" s="127" t="s">
        <v>38</v>
      </c>
      <c r="K49" s="53" t="s">
        <v>161</v>
      </c>
      <c r="L49" s="53">
        <v>3</v>
      </c>
      <c r="N49" s="53">
        <v>1</v>
      </c>
      <c r="O49" s="53">
        <v>0.75</v>
      </c>
      <c r="P49" s="53">
        <v>0.9</v>
      </c>
      <c r="Q49" s="74">
        <f t="shared" si="0"/>
        <v>0.82499999999999996</v>
      </c>
      <c r="R49" s="53">
        <v>17.3</v>
      </c>
      <c r="S49" s="53">
        <v>122</v>
      </c>
      <c r="T49" s="16">
        <f t="shared" si="1"/>
        <v>27</v>
      </c>
      <c r="U49" s="53">
        <v>98</v>
      </c>
      <c r="V49" s="129">
        <f t="shared" si="2"/>
        <v>2646</v>
      </c>
      <c r="W49" s="53">
        <v>24</v>
      </c>
      <c r="X49" s="127" t="s">
        <v>46</v>
      </c>
      <c r="Y49" s="53" t="s">
        <v>69</v>
      </c>
      <c r="Z49" s="53" t="s">
        <v>55</v>
      </c>
      <c r="AA49" s="53" t="s">
        <v>97</v>
      </c>
      <c r="AB49" s="127" t="s">
        <v>288</v>
      </c>
      <c r="AC49" s="34"/>
    </row>
    <row r="50" spans="1:29" x14ac:dyDescent="0.15">
      <c r="A50" s="127" t="s">
        <v>61</v>
      </c>
      <c r="B50" s="127" t="s">
        <v>232</v>
      </c>
      <c r="C50" s="127">
        <v>2019</v>
      </c>
      <c r="D50" s="128" t="s">
        <v>285</v>
      </c>
      <c r="E50" s="127" t="s">
        <v>133</v>
      </c>
      <c r="F50" s="127" t="s">
        <v>301</v>
      </c>
      <c r="G50" s="127" t="s">
        <v>42</v>
      </c>
      <c r="H50" s="53" t="s">
        <v>186</v>
      </c>
      <c r="I50" s="53" t="s">
        <v>159</v>
      </c>
      <c r="J50" s="127" t="s">
        <v>38</v>
      </c>
      <c r="K50" s="53" t="s">
        <v>161</v>
      </c>
      <c r="L50" s="53">
        <v>1</v>
      </c>
      <c r="N50" s="53">
        <v>1</v>
      </c>
      <c r="O50" s="53">
        <v>1</v>
      </c>
      <c r="P50" s="53">
        <v>1</v>
      </c>
      <c r="Q50" s="74">
        <f t="shared" si="0"/>
        <v>1</v>
      </c>
      <c r="R50" s="53">
        <v>17.5</v>
      </c>
      <c r="S50" s="53">
        <v>122</v>
      </c>
      <c r="T50" s="16">
        <f t="shared" si="1"/>
        <v>27</v>
      </c>
      <c r="U50" s="53">
        <v>98</v>
      </c>
      <c r="V50" s="129">
        <f t="shared" si="2"/>
        <v>2646</v>
      </c>
      <c r="W50" s="53">
        <v>24</v>
      </c>
      <c r="X50" s="127" t="s">
        <v>46</v>
      </c>
      <c r="Y50" s="53" t="s">
        <v>69</v>
      </c>
      <c r="Z50" s="53" t="s">
        <v>55</v>
      </c>
      <c r="AA50" s="53" t="s">
        <v>97</v>
      </c>
      <c r="AB50" s="127" t="s">
        <v>288</v>
      </c>
      <c r="AC50" s="34"/>
    </row>
    <row r="51" spans="1:29" x14ac:dyDescent="0.15">
      <c r="A51" s="127" t="s">
        <v>61</v>
      </c>
      <c r="B51" s="127" t="s">
        <v>232</v>
      </c>
      <c r="C51" s="127">
        <v>2019</v>
      </c>
      <c r="D51" s="128" t="s">
        <v>285</v>
      </c>
      <c r="E51" s="127" t="s">
        <v>133</v>
      </c>
      <c r="F51" s="127" t="s">
        <v>301</v>
      </c>
      <c r="G51" s="127" t="s">
        <v>42</v>
      </c>
      <c r="H51" s="53" t="s">
        <v>186</v>
      </c>
      <c r="I51" s="53" t="s">
        <v>159</v>
      </c>
      <c r="J51" s="127" t="s">
        <v>38</v>
      </c>
      <c r="K51" s="53" t="s">
        <v>161</v>
      </c>
      <c r="L51" s="53">
        <v>2</v>
      </c>
      <c r="N51" s="53">
        <v>1</v>
      </c>
      <c r="O51" s="53">
        <v>1.1000000000000001</v>
      </c>
      <c r="P51" s="53">
        <v>1.3</v>
      </c>
      <c r="Q51" s="74">
        <f t="shared" si="0"/>
        <v>1.2000000000000002</v>
      </c>
      <c r="R51" s="53">
        <v>15.5</v>
      </c>
      <c r="S51" s="53">
        <v>127</v>
      </c>
      <c r="T51" s="16">
        <f t="shared" si="1"/>
        <v>27</v>
      </c>
      <c r="U51" s="53">
        <v>98</v>
      </c>
      <c r="V51" s="129">
        <f t="shared" si="2"/>
        <v>2646</v>
      </c>
      <c r="W51" s="53">
        <v>24</v>
      </c>
      <c r="X51" s="127" t="s">
        <v>46</v>
      </c>
      <c r="Y51" s="53" t="s">
        <v>69</v>
      </c>
      <c r="Z51" s="53" t="s">
        <v>55</v>
      </c>
      <c r="AA51" s="53" t="s">
        <v>97</v>
      </c>
      <c r="AB51" s="127" t="s">
        <v>288</v>
      </c>
      <c r="AC51" s="34"/>
    </row>
    <row r="52" spans="1:29" x14ac:dyDescent="0.15">
      <c r="A52" s="127" t="s">
        <v>61</v>
      </c>
      <c r="B52" s="127" t="s">
        <v>232</v>
      </c>
      <c r="C52" s="127">
        <v>2019</v>
      </c>
      <c r="D52" s="128" t="s">
        <v>285</v>
      </c>
      <c r="E52" s="127" t="s">
        <v>133</v>
      </c>
      <c r="F52" s="127" t="s">
        <v>301</v>
      </c>
      <c r="G52" s="127" t="s">
        <v>42</v>
      </c>
      <c r="H52" s="53" t="s">
        <v>186</v>
      </c>
      <c r="I52" s="53" t="s">
        <v>159</v>
      </c>
      <c r="J52" s="127" t="s">
        <v>38</v>
      </c>
      <c r="K52" s="53" t="s">
        <v>161</v>
      </c>
      <c r="L52" s="53">
        <v>3</v>
      </c>
      <c r="N52" s="53">
        <v>1</v>
      </c>
      <c r="O52" s="53">
        <v>1.1499999999999999</v>
      </c>
      <c r="P52" s="53">
        <v>1.1499999999999999</v>
      </c>
      <c r="Q52" s="74">
        <f t="shared" si="0"/>
        <v>1.1499999999999999</v>
      </c>
      <c r="R52" s="53">
        <v>17.899999999999999</v>
      </c>
      <c r="S52" s="53">
        <v>122</v>
      </c>
      <c r="T52" s="16">
        <f t="shared" si="1"/>
        <v>27</v>
      </c>
      <c r="U52" s="53">
        <v>98</v>
      </c>
      <c r="V52" s="129">
        <f t="shared" si="2"/>
        <v>2646</v>
      </c>
      <c r="W52" s="53">
        <v>24</v>
      </c>
      <c r="X52" s="127" t="s">
        <v>46</v>
      </c>
      <c r="Y52" s="53" t="s">
        <v>69</v>
      </c>
      <c r="Z52" s="53" t="s">
        <v>55</v>
      </c>
      <c r="AA52" s="53" t="s">
        <v>97</v>
      </c>
      <c r="AB52" s="127" t="s">
        <v>288</v>
      </c>
      <c r="AC52" s="34"/>
    </row>
    <row r="53" spans="1:29" x14ac:dyDescent="0.15">
      <c r="A53" s="127" t="s">
        <v>61</v>
      </c>
      <c r="B53" s="127" t="s">
        <v>232</v>
      </c>
      <c r="C53" s="127">
        <v>2019</v>
      </c>
      <c r="D53" s="128" t="s">
        <v>285</v>
      </c>
      <c r="E53" s="127" t="s">
        <v>133</v>
      </c>
      <c r="F53" s="127" t="s">
        <v>301</v>
      </c>
      <c r="G53" s="127" t="s">
        <v>42</v>
      </c>
      <c r="H53" s="53" t="s">
        <v>160</v>
      </c>
      <c r="I53" s="53" t="s">
        <v>159</v>
      </c>
      <c r="J53" s="127" t="s">
        <v>38</v>
      </c>
      <c r="K53" s="53" t="s">
        <v>161</v>
      </c>
      <c r="L53" s="53">
        <v>1</v>
      </c>
      <c r="N53" s="53">
        <v>1</v>
      </c>
      <c r="O53" s="53">
        <v>1.05</v>
      </c>
      <c r="P53" s="53">
        <v>1</v>
      </c>
      <c r="Q53" s="74">
        <f t="shared" si="0"/>
        <v>1.0249999999999999</v>
      </c>
      <c r="R53" s="53">
        <v>18.3</v>
      </c>
      <c r="S53" s="53">
        <v>150</v>
      </c>
      <c r="T53" s="16">
        <f t="shared" si="1"/>
        <v>22</v>
      </c>
      <c r="U53" s="53">
        <v>138</v>
      </c>
      <c r="V53" s="129">
        <f t="shared" si="2"/>
        <v>3036</v>
      </c>
      <c r="W53" s="53">
        <v>24</v>
      </c>
      <c r="X53" s="127" t="s">
        <v>46</v>
      </c>
      <c r="Y53" s="53" t="s">
        <v>69</v>
      </c>
      <c r="Z53" s="53" t="s">
        <v>55</v>
      </c>
      <c r="AA53" s="53" t="s">
        <v>97</v>
      </c>
      <c r="AB53" s="127" t="s">
        <v>288</v>
      </c>
      <c r="AC53" s="34"/>
    </row>
    <row r="54" spans="1:29" x14ac:dyDescent="0.15">
      <c r="A54" s="127" t="s">
        <v>61</v>
      </c>
      <c r="B54" s="127" t="s">
        <v>232</v>
      </c>
      <c r="C54" s="127">
        <v>2019</v>
      </c>
      <c r="D54" s="128" t="s">
        <v>285</v>
      </c>
      <c r="E54" s="127" t="s">
        <v>133</v>
      </c>
      <c r="F54" s="127" t="s">
        <v>301</v>
      </c>
      <c r="G54" s="127" t="s">
        <v>42</v>
      </c>
      <c r="H54" s="53" t="s">
        <v>160</v>
      </c>
      <c r="I54" s="53" t="s">
        <v>159</v>
      </c>
      <c r="J54" s="127" t="s">
        <v>38</v>
      </c>
      <c r="K54" s="53" t="s">
        <v>161</v>
      </c>
      <c r="L54" s="53">
        <v>2</v>
      </c>
      <c r="N54" s="53">
        <v>1</v>
      </c>
      <c r="O54" s="53">
        <v>1</v>
      </c>
      <c r="P54" s="53">
        <v>0.9</v>
      </c>
      <c r="Q54" s="74">
        <f t="shared" si="0"/>
        <v>0.95</v>
      </c>
      <c r="R54" s="53">
        <v>17.8</v>
      </c>
      <c r="S54" s="53">
        <v>149</v>
      </c>
      <c r="T54" s="16">
        <f t="shared" si="1"/>
        <v>22</v>
      </c>
      <c r="U54" s="53">
        <v>138</v>
      </c>
      <c r="V54" s="129">
        <f t="shared" si="2"/>
        <v>3036</v>
      </c>
      <c r="W54" s="53">
        <v>24</v>
      </c>
      <c r="X54" s="127" t="s">
        <v>46</v>
      </c>
      <c r="Y54" s="53" t="s">
        <v>69</v>
      </c>
      <c r="Z54" s="53" t="s">
        <v>55</v>
      </c>
      <c r="AA54" s="53" t="s">
        <v>97</v>
      </c>
      <c r="AB54" s="127" t="s">
        <v>288</v>
      </c>
      <c r="AC54" s="34"/>
    </row>
    <row r="55" spans="1:29" x14ac:dyDescent="0.15">
      <c r="A55" s="127" t="s">
        <v>61</v>
      </c>
      <c r="B55" s="127" t="s">
        <v>232</v>
      </c>
      <c r="C55" s="127">
        <v>2019</v>
      </c>
      <c r="D55" s="128" t="s">
        <v>285</v>
      </c>
      <c r="E55" s="127" t="s">
        <v>133</v>
      </c>
      <c r="F55" s="127" t="s">
        <v>301</v>
      </c>
      <c r="G55" s="127" t="s">
        <v>42</v>
      </c>
      <c r="H55" s="53" t="s">
        <v>160</v>
      </c>
      <c r="I55" s="53" t="s">
        <v>159</v>
      </c>
      <c r="J55" s="127" t="s">
        <v>38</v>
      </c>
      <c r="K55" s="53" t="s">
        <v>161</v>
      </c>
      <c r="L55" s="53">
        <v>3</v>
      </c>
      <c r="N55" s="53">
        <v>1</v>
      </c>
      <c r="O55" s="53">
        <v>1</v>
      </c>
      <c r="P55" s="53">
        <v>0.85</v>
      </c>
      <c r="Q55" s="74">
        <f t="shared" si="0"/>
        <v>0.92500000000000004</v>
      </c>
      <c r="R55" s="53">
        <v>18.600000000000001</v>
      </c>
      <c r="S55" s="53">
        <v>148</v>
      </c>
      <c r="T55" s="16">
        <f t="shared" si="1"/>
        <v>22</v>
      </c>
      <c r="U55" s="53">
        <v>138</v>
      </c>
      <c r="V55" s="129">
        <f t="shared" si="2"/>
        <v>3036</v>
      </c>
      <c r="W55" s="53">
        <v>24</v>
      </c>
      <c r="X55" s="127" t="s">
        <v>46</v>
      </c>
      <c r="Y55" s="53" t="s">
        <v>69</v>
      </c>
      <c r="Z55" s="53" t="s">
        <v>55</v>
      </c>
      <c r="AA55" s="53" t="s">
        <v>97</v>
      </c>
      <c r="AB55" s="127" t="s">
        <v>288</v>
      </c>
      <c r="AC55" s="34"/>
    </row>
    <row r="56" spans="1:29" x14ac:dyDescent="0.15">
      <c r="A56" s="127" t="s">
        <v>61</v>
      </c>
      <c r="B56" s="127" t="s">
        <v>232</v>
      </c>
      <c r="C56" s="127">
        <v>2019</v>
      </c>
      <c r="D56" s="128" t="s">
        <v>285</v>
      </c>
      <c r="E56" s="127" t="s">
        <v>302</v>
      </c>
      <c r="F56" s="127" t="s">
        <v>303</v>
      </c>
      <c r="G56" s="127" t="s">
        <v>42</v>
      </c>
      <c r="H56" s="53" t="s">
        <v>164</v>
      </c>
      <c r="I56" s="53" t="s">
        <v>159</v>
      </c>
      <c r="J56" s="127" t="s">
        <v>38</v>
      </c>
      <c r="K56" s="53" t="s">
        <v>161</v>
      </c>
      <c r="L56" s="53">
        <v>1</v>
      </c>
      <c r="N56" s="53">
        <v>1</v>
      </c>
      <c r="O56" s="53">
        <v>0.5</v>
      </c>
      <c r="P56" s="53">
        <v>0.5</v>
      </c>
      <c r="Q56" s="74">
        <f t="shared" si="0"/>
        <v>0.5</v>
      </c>
      <c r="R56" s="53">
        <v>17.2</v>
      </c>
      <c r="S56" s="53">
        <v>128</v>
      </c>
      <c r="T56" s="16">
        <f t="shared" si="1"/>
        <v>27</v>
      </c>
      <c r="U56" s="53">
        <v>138</v>
      </c>
      <c r="V56" s="129">
        <f t="shared" si="2"/>
        <v>3726</v>
      </c>
      <c r="W56" s="53">
        <v>10</v>
      </c>
      <c r="X56" s="127" t="s">
        <v>46</v>
      </c>
      <c r="Y56" s="53" t="s">
        <v>97</v>
      </c>
      <c r="Z56" s="53" t="s">
        <v>69</v>
      </c>
      <c r="AA56" s="53" t="s">
        <v>55</v>
      </c>
      <c r="AB56" s="127" t="s">
        <v>288</v>
      </c>
    </row>
    <row r="57" spans="1:29" x14ac:dyDescent="0.15">
      <c r="A57" s="127" t="s">
        <v>61</v>
      </c>
      <c r="B57" s="127" t="s">
        <v>232</v>
      </c>
      <c r="C57" s="127">
        <v>2019</v>
      </c>
      <c r="D57" s="128" t="s">
        <v>285</v>
      </c>
      <c r="E57" s="127" t="s">
        <v>302</v>
      </c>
      <c r="F57" s="127" t="s">
        <v>303</v>
      </c>
      <c r="G57" s="127" t="s">
        <v>42</v>
      </c>
      <c r="H57" s="53" t="s">
        <v>164</v>
      </c>
      <c r="I57" s="53" t="s">
        <v>159</v>
      </c>
      <c r="J57" s="127" t="s">
        <v>38</v>
      </c>
      <c r="K57" s="53" t="s">
        <v>161</v>
      </c>
      <c r="L57" s="53">
        <v>2</v>
      </c>
      <c r="N57" s="53">
        <v>1</v>
      </c>
      <c r="O57" s="53">
        <v>0.5</v>
      </c>
      <c r="P57" s="53">
        <v>0.5</v>
      </c>
      <c r="Q57" s="74">
        <f t="shared" si="0"/>
        <v>0.5</v>
      </c>
      <c r="R57" s="53">
        <v>317</v>
      </c>
      <c r="S57" s="53">
        <v>123</v>
      </c>
      <c r="T57" s="16">
        <f t="shared" si="1"/>
        <v>27</v>
      </c>
      <c r="U57" s="53">
        <v>138</v>
      </c>
      <c r="V57" s="129">
        <f t="shared" si="2"/>
        <v>3726</v>
      </c>
      <c r="W57" s="53">
        <v>10</v>
      </c>
      <c r="X57" s="127" t="s">
        <v>46</v>
      </c>
      <c r="Y57" s="53" t="s">
        <v>97</v>
      </c>
      <c r="Z57" s="53" t="s">
        <v>69</v>
      </c>
      <c r="AA57" s="53" t="s">
        <v>55</v>
      </c>
      <c r="AB57" s="127" t="s">
        <v>288</v>
      </c>
    </row>
    <row r="58" spans="1:29" x14ac:dyDescent="0.15">
      <c r="A58" s="127" t="s">
        <v>61</v>
      </c>
      <c r="B58" s="127" t="s">
        <v>232</v>
      </c>
      <c r="C58" s="127">
        <v>2019</v>
      </c>
      <c r="D58" s="128" t="s">
        <v>285</v>
      </c>
      <c r="E58" s="127" t="s">
        <v>302</v>
      </c>
      <c r="F58" s="127" t="s">
        <v>303</v>
      </c>
      <c r="G58" s="127" t="s">
        <v>42</v>
      </c>
      <c r="H58" s="53" t="s">
        <v>164</v>
      </c>
      <c r="I58" s="53" t="s">
        <v>159</v>
      </c>
      <c r="J58" s="127" t="s">
        <v>38</v>
      </c>
      <c r="K58" s="53" t="s">
        <v>161</v>
      </c>
      <c r="L58" s="53">
        <v>3</v>
      </c>
      <c r="N58" s="53">
        <v>1</v>
      </c>
      <c r="O58" s="53">
        <v>0.5</v>
      </c>
      <c r="P58" s="53">
        <v>0.5</v>
      </c>
      <c r="Q58" s="74">
        <f t="shared" si="0"/>
        <v>0.5</v>
      </c>
      <c r="R58" s="53">
        <v>17.2</v>
      </c>
      <c r="S58" s="53">
        <v>126</v>
      </c>
      <c r="T58" s="16">
        <f t="shared" si="1"/>
        <v>27</v>
      </c>
      <c r="U58" s="53">
        <v>138</v>
      </c>
      <c r="V58" s="129">
        <f t="shared" si="2"/>
        <v>3726</v>
      </c>
      <c r="W58" s="53">
        <v>10</v>
      </c>
      <c r="X58" s="127" t="s">
        <v>46</v>
      </c>
      <c r="Y58" s="53" t="s">
        <v>97</v>
      </c>
      <c r="Z58" s="53" t="s">
        <v>69</v>
      </c>
      <c r="AA58" s="53" t="s">
        <v>55</v>
      </c>
      <c r="AB58" s="127" t="s">
        <v>288</v>
      </c>
    </row>
    <row r="59" spans="1:29" x14ac:dyDescent="0.15">
      <c r="A59" s="127" t="s">
        <v>61</v>
      </c>
      <c r="B59" s="127" t="s">
        <v>232</v>
      </c>
      <c r="C59" s="127">
        <v>2019</v>
      </c>
      <c r="D59" s="128" t="s">
        <v>285</v>
      </c>
      <c r="E59" s="127" t="s">
        <v>302</v>
      </c>
      <c r="F59" s="127" t="s">
        <v>303</v>
      </c>
      <c r="G59" s="127" t="s">
        <v>42</v>
      </c>
      <c r="H59" s="53" t="s">
        <v>186</v>
      </c>
      <c r="I59" s="53" t="s">
        <v>159</v>
      </c>
      <c r="J59" s="127" t="s">
        <v>38</v>
      </c>
      <c r="K59" s="53" t="s">
        <v>161</v>
      </c>
      <c r="L59" s="53">
        <v>1</v>
      </c>
      <c r="N59" s="53">
        <v>5</v>
      </c>
      <c r="O59" s="53">
        <v>0.6</v>
      </c>
      <c r="P59" s="53">
        <v>0.65</v>
      </c>
      <c r="Q59" s="74">
        <f t="shared" si="0"/>
        <v>0.625</v>
      </c>
      <c r="R59" s="53">
        <v>15.6</v>
      </c>
      <c r="S59" s="53">
        <v>86</v>
      </c>
      <c r="T59" s="16">
        <f t="shared" si="1"/>
        <v>36</v>
      </c>
      <c r="U59" s="53">
        <v>398</v>
      </c>
      <c r="V59" s="129">
        <f t="shared" si="2"/>
        <v>2865.6</v>
      </c>
      <c r="W59" s="53">
        <v>10</v>
      </c>
      <c r="X59" s="127" t="s">
        <v>46</v>
      </c>
      <c r="Y59" s="53" t="s">
        <v>97</v>
      </c>
      <c r="Z59" s="53" t="s">
        <v>69</v>
      </c>
      <c r="AA59" s="53" t="s">
        <v>55</v>
      </c>
      <c r="AB59" s="127" t="s">
        <v>288</v>
      </c>
    </row>
    <row r="60" spans="1:29" x14ac:dyDescent="0.15">
      <c r="A60" s="127" t="s">
        <v>61</v>
      </c>
      <c r="B60" s="127" t="s">
        <v>232</v>
      </c>
      <c r="C60" s="127">
        <v>2019</v>
      </c>
      <c r="D60" s="128" t="s">
        <v>285</v>
      </c>
      <c r="E60" s="127" t="s">
        <v>302</v>
      </c>
      <c r="F60" s="127" t="s">
        <v>303</v>
      </c>
      <c r="G60" s="127" t="s">
        <v>42</v>
      </c>
      <c r="H60" s="53" t="s">
        <v>186</v>
      </c>
      <c r="I60" s="53" t="s">
        <v>159</v>
      </c>
      <c r="J60" s="127" t="s">
        <v>38</v>
      </c>
      <c r="K60" s="53" t="s">
        <v>161</v>
      </c>
      <c r="L60" s="53">
        <v>2</v>
      </c>
      <c r="N60" s="53">
        <v>5</v>
      </c>
      <c r="O60" s="53">
        <v>0.5</v>
      </c>
      <c r="P60" s="53">
        <v>0.5</v>
      </c>
      <c r="Q60" s="74">
        <f t="shared" si="0"/>
        <v>0.5</v>
      </c>
      <c r="R60" s="53">
        <v>17.399999999999999</v>
      </c>
      <c r="S60" s="53">
        <v>76</v>
      </c>
      <c r="T60" s="16">
        <f t="shared" si="1"/>
        <v>39</v>
      </c>
      <c r="U60" s="53">
        <v>398</v>
      </c>
      <c r="V60" s="129">
        <f t="shared" si="2"/>
        <v>3104.3999999999996</v>
      </c>
      <c r="W60" s="53">
        <v>10</v>
      </c>
      <c r="X60" s="127" t="s">
        <v>46</v>
      </c>
      <c r="Y60" s="53" t="s">
        <v>97</v>
      </c>
      <c r="Z60" s="53" t="s">
        <v>69</v>
      </c>
      <c r="AA60" s="53" t="s">
        <v>55</v>
      </c>
      <c r="AB60" s="127" t="s">
        <v>288</v>
      </c>
    </row>
    <row r="61" spans="1:29" x14ac:dyDescent="0.15">
      <c r="A61" s="127" t="s">
        <v>61</v>
      </c>
      <c r="B61" s="127" t="s">
        <v>232</v>
      </c>
      <c r="C61" s="127">
        <v>2019</v>
      </c>
      <c r="D61" s="128" t="s">
        <v>285</v>
      </c>
      <c r="E61" s="127" t="s">
        <v>302</v>
      </c>
      <c r="F61" s="127" t="s">
        <v>303</v>
      </c>
      <c r="G61" s="127" t="s">
        <v>42</v>
      </c>
      <c r="H61" s="53" t="s">
        <v>186</v>
      </c>
      <c r="I61" s="53" t="s">
        <v>159</v>
      </c>
      <c r="J61" s="127" t="s">
        <v>38</v>
      </c>
      <c r="K61" s="53" t="s">
        <v>161</v>
      </c>
      <c r="L61" s="53">
        <v>3</v>
      </c>
      <c r="N61" s="53">
        <v>5</v>
      </c>
      <c r="O61" s="53">
        <v>0.5</v>
      </c>
      <c r="P61" s="53">
        <v>0.5</v>
      </c>
      <c r="Q61" s="74">
        <f t="shared" si="0"/>
        <v>0.5</v>
      </c>
      <c r="R61" s="53">
        <v>14.4</v>
      </c>
      <c r="S61" s="53">
        <v>88</v>
      </c>
      <c r="T61" s="16">
        <f t="shared" si="1"/>
        <v>36</v>
      </c>
      <c r="U61" s="53">
        <v>398</v>
      </c>
      <c r="V61" s="129">
        <f t="shared" si="2"/>
        <v>2865.6</v>
      </c>
      <c r="W61" s="53">
        <v>10</v>
      </c>
      <c r="X61" s="127" t="s">
        <v>46</v>
      </c>
      <c r="Y61" s="53" t="s">
        <v>97</v>
      </c>
      <c r="Z61" s="53" t="s">
        <v>69</v>
      </c>
      <c r="AA61" s="53" t="s">
        <v>55</v>
      </c>
      <c r="AB61" s="127" t="s">
        <v>288</v>
      </c>
    </row>
    <row r="62" spans="1:29" x14ac:dyDescent="0.15">
      <c r="A62" s="127" t="s">
        <v>61</v>
      </c>
      <c r="B62" s="127" t="s">
        <v>232</v>
      </c>
      <c r="C62" s="127">
        <v>2019</v>
      </c>
      <c r="D62" s="128" t="s">
        <v>285</v>
      </c>
      <c r="E62" s="127" t="s">
        <v>302</v>
      </c>
      <c r="F62" s="127" t="s">
        <v>303</v>
      </c>
      <c r="G62" s="127" t="s">
        <v>42</v>
      </c>
      <c r="H62" s="53" t="s">
        <v>160</v>
      </c>
      <c r="I62" s="53" t="s">
        <v>159</v>
      </c>
      <c r="J62" s="127" t="s">
        <v>38</v>
      </c>
      <c r="K62" s="53" t="s">
        <v>161</v>
      </c>
      <c r="L62" s="53">
        <v>1</v>
      </c>
      <c r="N62" s="53">
        <v>1</v>
      </c>
      <c r="O62" s="53">
        <v>0.5</v>
      </c>
      <c r="P62" s="53">
        <v>0.5</v>
      </c>
      <c r="Q62" s="74">
        <f t="shared" si="0"/>
        <v>0.5</v>
      </c>
      <c r="R62" s="53">
        <v>17.600000000000001</v>
      </c>
      <c r="S62" s="53">
        <v>143</v>
      </c>
      <c r="T62" s="16">
        <f t="shared" si="1"/>
        <v>22</v>
      </c>
      <c r="U62" s="53">
        <v>138</v>
      </c>
      <c r="V62" s="129">
        <f t="shared" si="2"/>
        <v>3036</v>
      </c>
      <c r="W62" s="53">
        <v>10</v>
      </c>
      <c r="X62" s="127" t="s">
        <v>46</v>
      </c>
      <c r="Y62" s="53" t="s">
        <v>97</v>
      </c>
      <c r="Z62" s="53" t="s">
        <v>69</v>
      </c>
      <c r="AA62" s="53" t="s">
        <v>55</v>
      </c>
      <c r="AB62" s="127" t="s">
        <v>288</v>
      </c>
      <c r="AC62" s="34"/>
    </row>
    <row r="63" spans="1:29" x14ac:dyDescent="0.15">
      <c r="A63" s="127" t="s">
        <v>61</v>
      </c>
      <c r="B63" s="127" t="s">
        <v>232</v>
      </c>
      <c r="C63" s="127">
        <v>2019</v>
      </c>
      <c r="D63" s="128" t="s">
        <v>285</v>
      </c>
      <c r="E63" s="127" t="s">
        <v>302</v>
      </c>
      <c r="F63" s="127" t="s">
        <v>303</v>
      </c>
      <c r="G63" s="127" t="s">
        <v>42</v>
      </c>
      <c r="H63" s="53" t="s">
        <v>160</v>
      </c>
      <c r="I63" s="53" t="s">
        <v>159</v>
      </c>
      <c r="J63" s="127" t="s">
        <v>38</v>
      </c>
      <c r="K63" s="53" t="s">
        <v>161</v>
      </c>
      <c r="L63" s="53">
        <v>2</v>
      </c>
      <c r="N63" s="53">
        <v>1</v>
      </c>
      <c r="O63" s="53">
        <v>0.5</v>
      </c>
      <c r="P63" s="53">
        <v>0.5</v>
      </c>
      <c r="Q63" s="74">
        <f t="shared" si="0"/>
        <v>0.5</v>
      </c>
      <c r="R63" s="53">
        <v>18</v>
      </c>
      <c r="S63" s="53">
        <v>147</v>
      </c>
      <c r="T63" s="16">
        <f t="shared" si="1"/>
        <v>22</v>
      </c>
      <c r="U63" s="53">
        <v>138</v>
      </c>
      <c r="V63" s="129">
        <f t="shared" si="2"/>
        <v>3036</v>
      </c>
      <c r="W63" s="53">
        <v>10</v>
      </c>
      <c r="X63" s="127" t="s">
        <v>46</v>
      </c>
      <c r="Y63" s="53" t="s">
        <v>97</v>
      </c>
      <c r="Z63" s="53" t="s">
        <v>69</v>
      </c>
      <c r="AA63" s="53" t="s">
        <v>55</v>
      </c>
      <c r="AB63" s="127" t="s">
        <v>288</v>
      </c>
      <c r="AC63" s="34"/>
    </row>
    <row r="64" spans="1:29" x14ac:dyDescent="0.15">
      <c r="A64" s="127" t="s">
        <v>61</v>
      </c>
      <c r="B64" s="127" t="s">
        <v>232</v>
      </c>
      <c r="C64" s="127">
        <v>2019</v>
      </c>
      <c r="D64" s="128" t="s">
        <v>285</v>
      </c>
      <c r="E64" s="127" t="s">
        <v>302</v>
      </c>
      <c r="F64" s="127" t="s">
        <v>303</v>
      </c>
      <c r="G64" s="127" t="s">
        <v>42</v>
      </c>
      <c r="H64" s="53" t="s">
        <v>160</v>
      </c>
      <c r="I64" s="53" t="s">
        <v>159</v>
      </c>
      <c r="J64" s="127" t="s">
        <v>38</v>
      </c>
      <c r="K64" s="53" t="s">
        <v>161</v>
      </c>
      <c r="L64" s="53">
        <v>3</v>
      </c>
      <c r="N64" s="53">
        <v>1</v>
      </c>
      <c r="O64" s="53">
        <v>0.5</v>
      </c>
      <c r="P64" s="53">
        <v>0.5</v>
      </c>
      <c r="Q64" s="74">
        <f t="shared" si="0"/>
        <v>0.5</v>
      </c>
      <c r="R64" s="53">
        <v>17.5</v>
      </c>
      <c r="S64" s="53">
        <v>147</v>
      </c>
      <c r="T64" s="16">
        <f t="shared" si="1"/>
        <v>22</v>
      </c>
      <c r="U64" s="53">
        <v>138</v>
      </c>
      <c r="V64" s="129">
        <f t="shared" si="2"/>
        <v>3036</v>
      </c>
      <c r="W64" s="53">
        <v>10</v>
      </c>
      <c r="X64" s="127" t="s">
        <v>46</v>
      </c>
      <c r="Y64" s="53" t="s">
        <v>97</v>
      </c>
      <c r="Z64" s="53" t="s">
        <v>69</v>
      </c>
      <c r="AA64" s="53" t="s">
        <v>55</v>
      </c>
      <c r="AB64" s="127" t="s">
        <v>288</v>
      </c>
      <c r="AC64" s="34"/>
    </row>
    <row r="65" spans="1:29" x14ac:dyDescent="0.15">
      <c r="A65" s="127" t="s">
        <v>61</v>
      </c>
      <c r="B65" s="127" t="s">
        <v>232</v>
      </c>
      <c r="C65" s="127">
        <v>2019</v>
      </c>
      <c r="D65" s="128" t="s">
        <v>285</v>
      </c>
      <c r="E65" s="127" t="s">
        <v>304</v>
      </c>
      <c r="F65" s="127" t="s">
        <v>303</v>
      </c>
      <c r="G65" s="127" t="s">
        <v>42</v>
      </c>
      <c r="H65" s="53" t="s">
        <v>164</v>
      </c>
      <c r="I65" s="53" t="s">
        <v>159</v>
      </c>
      <c r="J65" s="127" t="s">
        <v>38</v>
      </c>
      <c r="K65" s="53" t="s">
        <v>161</v>
      </c>
      <c r="L65" s="53">
        <v>1</v>
      </c>
      <c r="N65" s="53">
        <v>4</v>
      </c>
      <c r="O65" s="53">
        <v>0.5</v>
      </c>
      <c r="P65" s="53">
        <v>0.5</v>
      </c>
      <c r="Q65" s="74">
        <f t="shared" si="0"/>
        <v>0.5</v>
      </c>
      <c r="R65" s="53">
        <v>11.5</v>
      </c>
      <c r="S65" s="53">
        <v>92</v>
      </c>
      <c r="T65" s="16">
        <f t="shared" si="1"/>
        <v>36</v>
      </c>
      <c r="U65" s="53">
        <v>321</v>
      </c>
      <c r="V65" s="129">
        <f t="shared" si="2"/>
        <v>2889</v>
      </c>
      <c r="W65" s="53">
        <v>26</v>
      </c>
      <c r="X65" s="127" t="s">
        <v>46</v>
      </c>
      <c r="Y65" s="53" t="s">
        <v>55</v>
      </c>
      <c r="Z65" s="53" t="s">
        <v>97</v>
      </c>
      <c r="AA65" s="53" t="s">
        <v>69</v>
      </c>
      <c r="AB65" s="127" t="s">
        <v>288</v>
      </c>
      <c r="AC65" s="34"/>
    </row>
    <row r="66" spans="1:29" x14ac:dyDescent="0.15">
      <c r="A66" s="127" t="s">
        <v>61</v>
      </c>
      <c r="B66" s="127" t="s">
        <v>232</v>
      </c>
      <c r="C66" s="127">
        <v>2019</v>
      </c>
      <c r="D66" s="128" t="s">
        <v>285</v>
      </c>
      <c r="E66" s="127" t="s">
        <v>304</v>
      </c>
      <c r="F66" s="127" t="s">
        <v>303</v>
      </c>
      <c r="G66" s="127" t="s">
        <v>42</v>
      </c>
      <c r="H66" s="53" t="s">
        <v>164</v>
      </c>
      <c r="I66" s="53" t="s">
        <v>159</v>
      </c>
      <c r="J66" s="127" t="s">
        <v>38</v>
      </c>
      <c r="K66" s="53" t="s">
        <v>161</v>
      </c>
      <c r="L66" s="53">
        <v>2</v>
      </c>
      <c r="N66" s="53">
        <v>4</v>
      </c>
      <c r="O66" s="53">
        <v>0.8</v>
      </c>
      <c r="P66" s="53">
        <v>0.85</v>
      </c>
      <c r="Q66" s="74">
        <f t="shared" ref="Q66:Q104" si="3">IF(OR(O66="",P66=""),"",AVERAGE(O66,P66))</f>
        <v>0.82499999999999996</v>
      </c>
      <c r="R66" s="53">
        <v>14.4</v>
      </c>
      <c r="S66" s="53">
        <v>100</v>
      </c>
      <c r="T66" s="16">
        <f t="shared" ref="T66:T103" si="4">IF(H66="","",IF(OR(H66="GREEN",H66="GK"),IF(S66&gt;=$AX$2,VLOOKUP(S66,$AX$2:$AY$15,2,1),""),IF(S66&gt;=$AZ$2,VLOOKUP(S66,$AZ$2:$BA$15,2,1),"")))</f>
        <v>33</v>
      </c>
      <c r="U66" s="53">
        <v>321</v>
      </c>
      <c r="V66" s="129">
        <f t="shared" ref="V66:V104" si="5">IF(OR(N66="",U66="",T66=""),"",U66/N66*T66)</f>
        <v>2648.25</v>
      </c>
      <c r="W66" s="53">
        <v>26</v>
      </c>
      <c r="X66" s="127" t="s">
        <v>46</v>
      </c>
      <c r="Y66" s="53" t="s">
        <v>55</v>
      </c>
      <c r="Z66" s="53" t="s">
        <v>97</v>
      </c>
      <c r="AA66" s="53" t="s">
        <v>69</v>
      </c>
      <c r="AB66" s="127" t="s">
        <v>288</v>
      </c>
      <c r="AC66" s="34"/>
    </row>
    <row r="67" spans="1:29" x14ac:dyDescent="0.15">
      <c r="A67" s="127" t="s">
        <v>61</v>
      </c>
      <c r="B67" s="127" t="s">
        <v>232</v>
      </c>
      <c r="C67" s="127">
        <v>2019</v>
      </c>
      <c r="D67" s="128" t="s">
        <v>285</v>
      </c>
      <c r="E67" s="127" t="s">
        <v>304</v>
      </c>
      <c r="F67" s="127" t="s">
        <v>303</v>
      </c>
      <c r="G67" s="127" t="s">
        <v>42</v>
      </c>
      <c r="H67" s="53" t="s">
        <v>164</v>
      </c>
      <c r="I67" s="53" t="s">
        <v>159</v>
      </c>
      <c r="J67" s="127" t="s">
        <v>38</v>
      </c>
      <c r="K67" s="53" t="s">
        <v>161</v>
      </c>
      <c r="L67" s="53">
        <v>3</v>
      </c>
      <c r="N67" s="53">
        <v>4</v>
      </c>
      <c r="O67" s="53">
        <v>0.85</v>
      </c>
      <c r="P67" s="53">
        <v>0.9</v>
      </c>
      <c r="Q67" s="74">
        <f t="shared" si="3"/>
        <v>0.875</v>
      </c>
      <c r="R67" s="53">
        <v>16.899999999999999</v>
      </c>
      <c r="S67" s="53">
        <v>93</v>
      </c>
      <c r="T67" s="16">
        <f t="shared" si="4"/>
        <v>36</v>
      </c>
      <c r="U67" s="53">
        <v>321</v>
      </c>
      <c r="V67" s="129">
        <f t="shared" si="5"/>
        <v>2889</v>
      </c>
      <c r="W67" s="53">
        <v>26</v>
      </c>
      <c r="X67" s="127" t="s">
        <v>46</v>
      </c>
      <c r="Y67" s="53" t="s">
        <v>55</v>
      </c>
      <c r="Z67" s="53" t="s">
        <v>97</v>
      </c>
      <c r="AA67" s="53" t="s">
        <v>69</v>
      </c>
      <c r="AB67" s="127" t="s">
        <v>288</v>
      </c>
      <c r="AC67" s="34"/>
    </row>
    <row r="68" spans="1:29" x14ac:dyDescent="0.15">
      <c r="A68" s="127" t="s">
        <v>61</v>
      </c>
      <c r="B68" s="127" t="s">
        <v>232</v>
      </c>
      <c r="C68" s="127">
        <v>2019</v>
      </c>
      <c r="D68" s="128" t="s">
        <v>285</v>
      </c>
      <c r="E68" s="127" t="s">
        <v>304</v>
      </c>
      <c r="F68" s="127" t="s">
        <v>303</v>
      </c>
      <c r="G68" s="127" t="s">
        <v>42</v>
      </c>
      <c r="H68" s="53" t="s">
        <v>186</v>
      </c>
      <c r="I68" s="53" t="s">
        <v>159</v>
      </c>
      <c r="J68" s="127" t="s">
        <v>38</v>
      </c>
      <c r="K68" s="53" t="s">
        <v>161</v>
      </c>
      <c r="L68" s="53">
        <v>1</v>
      </c>
      <c r="N68" s="53">
        <v>4</v>
      </c>
      <c r="O68" s="53">
        <v>0.5</v>
      </c>
      <c r="P68" s="53">
        <v>0.5</v>
      </c>
      <c r="Q68" s="74">
        <f t="shared" si="3"/>
        <v>0.5</v>
      </c>
      <c r="R68" s="53">
        <v>17.5</v>
      </c>
      <c r="S68" s="53">
        <v>79</v>
      </c>
      <c r="T68" s="16">
        <f t="shared" si="4"/>
        <v>39</v>
      </c>
      <c r="U68" s="53">
        <v>321</v>
      </c>
      <c r="V68" s="129">
        <f t="shared" si="5"/>
        <v>3129.75</v>
      </c>
      <c r="W68" s="53">
        <v>26</v>
      </c>
      <c r="X68" s="127" t="s">
        <v>46</v>
      </c>
      <c r="Y68" s="53" t="s">
        <v>55</v>
      </c>
      <c r="Z68" s="53" t="s">
        <v>97</v>
      </c>
      <c r="AA68" s="53" t="s">
        <v>69</v>
      </c>
      <c r="AB68" s="127" t="s">
        <v>288</v>
      </c>
      <c r="AC68" s="34"/>
    </row>
    <row r="69" spans="1:29" x14ac:dyDescent="0.15">
      <c r="A69" s="127" t="s">
        <v>61</v>
      </c>
      <c r="B69" s="127" t="s">
        <v>232</v>
      </c>
      <c r="C69" s="127">
        <v>2019</v>
      </c>
      <c r="D69" s="128" t="s">
        <v>285</v>
      </c>
      <c r="E69" s="127" t="s">
        <v>304</v>
      </c>
      <c r="F69" s="127" t="s">
        <v>303</v>
      </c>
      <c r="G69" s="127" t="s">
        <v>42</v>
      </c>
      <c r="H69" s="53" t="s">
        <v>186</v>
      </c>
      <c r="I69" s="53" t="s">
        <v>159</v>
      </c>
      <c r="J69" s="127" t="s">
        <v>38</v>
      </c>
      <c r="K69" s="53" t="s">
        <v>161</v>
      </c>
      <c r="L69" s="53">
        <v>2</v>
      </c>
      <c r="N69" s="53">
        <v>4</v>
      </c>
      <c r="O69" s="53">
        <v>0.5</v>
      </c>
      <c r="P69" s="53">
        <v>0.5</v>
      </c>
      <c r="Q69" s="74">
        <f t="shared" si="3"/>
        <v>0.5</v>
      </c>
      <c r="R69" s="53">
        <v>17.3</v>
      </c>
      <c r="S69" s="53">
        <v>74</v>
      </c>
      <c r="T69" s="16">
        <f t="shared" si="4"/>
        <v>42</v>
      </c>
      <c r="U69" s="53">
        <v>321</v>
      </c>
      <c r="V69" s="129">
        <f t="shared" si="5"/>
        <v>3370.5</v>
      </c>
      <c r="W69" s="53">
        <v>26</v>
      </c>
      <c r="X69" s="127" t="s">
        <v>46</v>
      </c>
      <c r="Y69" s="53" t="s">
        <v>55</v>
      </c>
      <c r="Z69" s="53" t="s">
        <v>97</v>
      </c>
      <c r="AA69" s="53" t="s">
        <v>69</v>
      </c>
      <c r="AB69" s="127" t="s">
        <v>288</v>
      </c>
      <c r="AC69" s="34"/>
    </row>
    <row r="70" spans="1:29" x14ac:dyDescent="0.15">
      <c r="A70" s="127" t="s">
        <v>61</v>
      </c>
      <c r="B70" s="127" t="s">
        <v>232</v>
      </c>
      <c r="C70" s="127">
        <v>2019</v>
      </c>
      <c r="D70" s="128" t="s">
        <v>285</v>
      </c>
      <c r="E70" s="127" t="s">
        <v>304</v>
      </c>
      <c r="F70" s="127" t="s">
        <v>303</v>
      </c>
      <c r="G70" s="127" t="s">
        <v>42</v>
      </c>
      <c r="H70" s="53" t="s">
        <v>186</v>
      </c>
      <c r="I70" s="53" t="s">
        <v>159</v>
      </c>
      <c r="J70" s="127" t="s">
        <v>38</v>
      </c>
      <c r="K70" s="53" t="s">
        <v>161</v>
      </c>
      <c r="L70" s="53">
        <v>3</v>
      </c>
      <c r="N70" s="53">
        <v>4</v>
      </c>
      <c r="O70" s="53">
        <v>0.5</v>
      </c>
      <c r="P70" s="53">
        <v>0.5</v>
      </c>
      <c r="Q70" s="74">
        <f t="shared" si="3"/>
        <v>0.5</v>
      </c>
      <c r="R70" s="53">
        <v>17</v>
      </c>
      <c r="S70" s="53">
        <v>79</v>
      </c>
      <c r="T70" s="16">
        <f t="shared" si="4"/>
        <v>39</v>
      </c>
      <c r="U70" s="53">
        <v>321</v>
      </c>
      <c r="V70" s="129">
        <f t="shared" si="5"/>
        <v>3129.75</v>
      </c>
      <c r="W70" s="53">
        <v>26</v>
      </c>
      <c r="X70" s="127" t="s">
        <v>46</v>
      </c>
      <c r="Y70" s="53" t="s">
        <v>55</v>
      </c>
      <c r="Z70" s="53" t="s">
        <v>97</v>
      </c>
      <c r="AA70" s="53" t="s">
        <v>69</v>
      </c>
      <c r="AB70" s="127" t="s">
        <v>288</v>
      </c>
      <c r="AC70" s="34"/>
    </row>
    <row r="71" spans="1:29" x14ac:dyDescent="0.15">
      <c r="A71" s="127" t="s">
        <v>61</v>
      </c>
      <c r="B71" s="127" t="s">
        <v>232</v>
      </c>
      <c r="C71" s="127">
        <v>2019</v>
      </c>
      <c r="D71" s="128" t="s">
        <v>285</v>
      </c>
      <c r="E71" s="127" t="s">
        <v>304</v>
      </c>
      <c r="F71" s="127" t="s">
        <v>303</v>
      </c>
      <c r="G71" s="127" t="s">
        <v>42</v>
      </c>
      <c r="H71" s="53" t="s">
        <v>160</v>
      </c>
      <c r="I71" s="53" t="s">
        <v>159</v>
      </c>
      <c r="J71" s="127" t="s">
        <v>38</v>
      </c>
      <c r="K71" s="53" t="s">
        <v>161</v>
      </c>
      <c r="L71" s="53">
        <v>1</v>
      </c>
      <c r="N71" s="53">
        <v>1</v>
      </c>
      <c r="O71" s="53">
        <v>0.8</v>
      </c>
      <c r="P71" s="53">
        <v>1</v>
      </c>
      <c r="Q71" s="74">
        <f t="shared" si="3"/>
        <v>0.9</v>
      </c>
      <c r="R71" s="53">
        <v>17.399999999999999</v>
      </c>
      <c r="S71" s="53">
        <v>136</v>
      </c>
      <c r="T71" s="16">
        <f t="shared" si="4"/>
        <v>25</v>
      </c>
      <c r="U71" s="53">
        <v>105</v>
      </c>
      <c r="V71" s="129">
        <f t="shared" si="5"/>
        <v>2625</v>
      </c>
      <c r="W71" s="53">
        <v>26</v>
      </c>
      <c r="X71" s="127" t="s">
        <v>46</v>
      </c>
      <c r="Y71" s="53" t="s">
        <v>55</v>
      </c>
      <c r="Z71" s="53" t="s">
        <v>97</v>
      </c>
      <c r="AA71" s="53" t="s">
        <v>69</v>
      </c>
      <c r="AB71" s="127" t="s">
        <v>288</v>
      </c>
    </row>
    <row r="72" spans="1:29" x14ac:dyDescent="0.15">
      <c r="A72" s="127" t="s">
        <v>61</v>
      </c>
      <c r="B72" s="127" t="s">
        <v>232</v>
      </c>
      <c r="C72" s="127">
        <v>2019</v>
      </c>
      <c r="D72" s="128" t="s">
        <v>285</v>
      </c>
      <c r="E72" s="127" t="s">
        <v>304</v>
      </c>
      <c r="F72" s="127" t="s">
        <v>303</v>
      </c>
      <c r="G72" s="127" t="s">
        <v>42</v>
      </c>
      <c r="H72" s="53" t="s">
        <v>160</v>
      </c>
      <c r="I72" s="53" t="s">
        <v>159</v>
      </c>
      <c r="J72" s="127" t="s">
        <v>38</v>
      </c>
      <c r="K72" s="53" t="s">
        <v>161</v>
      </c>
      <c r="L72" s="53">
        <v>2</v>
      </c>
      <c r="N72" s="53">
        <v>1</v>
      </c>
      <c r="O72" s="53">
        <v>0.85</v>
      </c>
      <c r="P72" s="53">
        <v>0.75</v>
      </c>
      <c r="Q72" s="74">
        <f t="shared" si="3"/>
        <v>0.8</v>
      </c>
      <c r="R72" s="53">
        <v>17.5</v>
      </c>
      <c r="S72" s="53">
        <v>134</v>
      </c>
      <c r="T72" s="16">
        <f t="shared" si="4"/>
        <v>25</v>
      </c>
      <c r="U72" s="53">
        <v>105</v>
      </c>
      <c r="V72" s="129">
        <f t="shared" si="5"/>
        <v>2625</v>
      </c>
      <c r="W72" s="53">
        <v>26</v>
      </c>
      <c r="X72" s="127" t="s">
        <v>46</v>
      </c>
      <c r="Y72" s="53" t="s">
        <v>55</v>
      </c>
      <c r="Z72" s="53" t="s">
        <v>97</v>
      </c>
      <c r="AA72" s="53" t="s">
        <v>69</v>
      </c>
      <c r="AB72" s="127" t="s">
        <v>288</v>
      </c>
    </row>
    <row r="73" spans="1:29" x14ac:dyDescent="0.15">
      <c r="A73" s="127" t="s">
        <v>61</v>
      </c>
      <c r="B73" s="127" t="s">
        <v>232</v>
      </c>
      <c r="C73" s="127">
        <v>2019</v>
      </c>
      <c r="D73" s="128" t="s">
        <v>285</v>
      </c>
      <c r="E73" s="127" t="s">
        <v>304</v>
      </c>
      <c r="F73" s="127" t="s">
        <v>303</v>
      </c>
      <c r="G73" s="127" t="s">
        <v>42</v>
      </c>
      <c r="H73" s="53" t="s">
        <v>160</v>
      </c>
      <c r="I73" s="53" t="s">
        <v>159</v>
      </c>
      <c r="J73" s="127" t="s">
        <v>38</v>
      </c>
      <c r="K73" s="53" t="s">
        <v>161</v>
      </c>
      <c r="L73" s="53">
        <v>3</v>
      </c>
      <c r="N73" s="53">
        <v>1</v>
      </c>
      <c r="O73" s="53">
        <v>0.9</v>
      </c>
      <c r="P73" s="53">
        <v>0.85</v>
      </c>
      <c r="Q73" s="74">
        <f t="shared" si="3"/>
        <v>0.875</v>
      </c>
      <c r="R73" s="53">
        <v>17.3</v>
      </c>
      <c r="S73" s="53">
        <v>145</v>
      </c>
      <c r="T73" s="16">
        <f t="shared" si="4"/>
        <v>22</v>
      </c>
      <c r="U73" s="53">
        <v>105</v>
      </c>
      <c r="V73" s="129">
        <f t="shared" si="5"/>
        <v>2310</v>
      </c>
      <c r="W73" s="53">
        <v>26</v>
      </c>
      <c r="X73" s="127" t="s">
        <v>46</v>
      </c>
      <c r="Y73" s="53" t="s">
        <v>55</v>
      </c>
      <c r="Z73" s="53" t="s">
        <v>97</v>
      </c>
      <c r="AA73" s="53" t="s">
        <v>69</v>
      </c>
      <c r="AB73" s="127" t="s">
        <v>288</v>
      </c>
    </row>
    <row r="74" spans="1:29" x14ac:dyDescent="0.15">
      <c r="A74" s="127"/>
      <c r="B74" s="127"/>
      <c r="C74" s="127"/>
      <c r="D74" s="128"/>
      <c r="E74" s="127"/>
      <c r="F74" s="127"/>
      <c r="G74" s="127"/>
      <c r="J74" s="127"/>
      <c r="Q74" s="74" t="str">
        <f t="shared" si="3"/>
        <v/>
      </c>
      <c r="T74" s="16" t="str">
        <f t="shared" si="4"/>
        <v/>
      </c>
      <c r="V74" s="129" t="str">
        <f t="shared" si="5"/>
        <v/>
      </c>
      <c r="X74" s="127"/>
      <c r="AB74" s="127"/>
      <c r="AC74" s="34"/>
    </row>
    <row r="75" spans="1:29" x14ac:dyDescent="0.15">
      <c r="A75" s="127"/>
      <c r="B75" s="127"/>
      <c r="C75" s="127"/>
      <c r="D75" s="128"/>
      <c r="E75" s="127"/>
      <c r="F75" s="127"/>
      <c r="G75" s="127"/>
      <c r="J75" s="127"/>
      <c r="Q75" s="74" t="str">
        <f t="shared" si="3"/>
        <v/>
      </c>
      <c r="R75" s="34"/>
      <c r="T75" s="16" t="str">
        <f t="shared" si="4"/>
        <v/>
      </c>
      <c r="V75" s="129" t="str">
        <f t="shared" si="5"/>
        <v/>
      </c>
      <c r="X75" s="127"/>
      <c r="AB75" s="127"/>
      <c r="AC75" s="34"/>
    </row>
    <row r="76" spans="1:29" x14ac:dyDescent="0.15">
      <c r="A76" s="127"/>
      <c r="B76" s="127"/>
      <c r="C76" s="127"/>
      <c r="D76" s="128"/>
      <c r="F76" s="127"/>
      <c r="G76" s="127"/>
      <c r="J76" s="127"/>
      <c r="Q76" s="74" t="str">
        <f t="shared" si="3"/>
        <v/>
      </c>
      <c r="R76" s="34"/>
      <c r="T76" s="16" t="str">
        <f t="shared" si="4"/>
        <v/>
      </c>
      <c r="V76" s="129" t="str">
        <f t="shared" si="5"/>
        <v/>
      </c>
      <c r="X76" s="127"/>
      <c r="AB76" s="127"/>
      <c r="AC76" s="34"/>
    </row>
    <row r="77" spans="1:29" x14ac:dyDescent="0.15">
      <c r="A77" s="127"/>
      <c r="B77" s="127"/>
      <c r="C77" s="127"/>
      <c r="D77" s="128"/>
      <c r="F77" s="127"/>
      <c r="G77" s="127"/>
      <c r="J77" s="127"/>
      <c r="Q77" s="74" t="str">
        <f t="shared" si="3"/>
        <v/>
      </c>
      <c r="T77" s="16" t="str">
        <f t="shared" si="4"/>
        <v/>
      </c>
      <c r="V77" s="129" t="str">
        <f t="shared" si="5"/>
        <v/>
      </c>
      <c r="X77" s="127"/>
      <c r="AB77" s="127"/>
      <c r="AC77" s="34"/>
    </row>
    <row r="78" spans="1:29" x14ac:dyDescent="0.15">
      <c r="A78" s="127"/>
      <c r="B78" s="127"/>
      <c r="C78" s="127"/>
      <c r="D78" s="128"/>
      <c r="F78" s="127"/>
      <c r="G78" s="127"/>
      <c r="J78" s="127"/>
      <c r="Q78" s="74" t="str">
        <f t="shared" si="3"/>
        <v/>
      </c>
      <c r="T78" s="16" t="str">
        <f t="shared" si="4"/>
        <v/>
      </c>
      <c r="V78" s="129" t="str">
        <f t="shared" si="5"/>
        <v/>
      </c>
      <c r="X78" s="127"/>
      <c r="AB78" s="127"/>
      <c r="AC78" s="34"/>
    </row>
    <row r="79" spans="1:29" x14ac:dyDescent="0.15">
      <c r="A79" s="127"/>
      <c r="B79" s="127"/>
      <c r="C79" s="127"/>
      <c r="D79" s="128"/>
      <c r="G79" s="127"/>
      <c r="J79" s="127"/>
      <c r="Q79" s="74" t="str">
        <f t="shared" si="3"/>
        <v/>
      </c>
      <c r="T79" s="16" t="str">
        <f t="shared" si="4"/>
        <v/>
      </c>
      <c r="V79" s="129" t="str">
        <f t="shared" si="5"/>
        <v/>
      </c>
      <c r="X79" s="127"/>
      <c r="AB79" s="127"/>
      <c r="AC79" s="34"/>
    </row>
    <row r="80" spans="1:29" x14ac:dyDescent="0.15">
      <c r="A80" s="127"/>
      <c r="B80" s="127"/>
      <c r="C80" s="127"/>
      <c r="D80" s="128"/>
      <c r="G80" s="127"/>
      <c r="J80" s="127"/>
      <c r="Q80" s="74"/>
      <c r="V80" s="129"/>
      <c r="X80" s="127"/>
      <c r="AB80" s="127"/>
    </row>
    <row r="81" spans="1:28" x14ac:dyDescent="0.15">
      <c r="A81" s="127"/>
      <c r="B81" s="127"/>
      <c r="C81" s="127"/>
      <c r="D81" s="128"/>
      <c r="G81" s="127"/>
      <c r="J81" s="127"/>
      <c r="Q81" s="74"/>
      <c r="V81" s="129"/>
      <c r="X81" s="127"/>
      <c r="AB81" s="127"/>
    </row>
    <row r="82" spans="1:28" x14ac:dyDescent="0.15">
      <c r="A82" s="127"/>
      <c r="B82" s="127"/>
      <c r="C82" s="127"/>
      <c r="D82" s="128"/>
      <c r="G82" s="127"/>
      <c r="J82" s="127"/>
      <c r="Q82" s="74"/>
      <c r="V82" s="129"/>
      <c r="X82" s="127"/>
      <c r="AB82" s="127"/>
    </row>
    <row r="83" spans="1:28" x14ac:dyDescent="0.15">
      <c r="A83" s="127"/>
      <c r="B83" s="127"/>
      <c r="C83" s="127"/>
      <c r="D83" s="128"/>
      <c r="G83" s="127"/>
      <c r="J83" s="127"/>
      <c r="Q83" s="74" t="str">
        <f t="shared" ref="Q83:Q85" si="6">IF(OR(O83="",P83=""),"",AVERAGE(O83,P83))</f>
        <v/>
      </c>
      <c r="T83" s="16" t="str">
        <f>IF(H83="","",IF(OR(H83="GREEN",H83="GK"),IF(S83&gt;=$AX$2,VLOOKUP(S83,$AX$2:$AY$15,2,1),""),IF(S83&gt;=$AZ$2,VLOOKUP(S83,$AZ$2:$BA$15,2,1),"")))</f>
        <v/>
      </c>
      <c r="V83" s="129" t="str">
        <f t="shared" ref="V83:V85" si="7">IF(OR(N83="",U83="",T83=""),"",U83/N83*T83)</f>
        <v/>
      </c>
      <c r="X83" s="127"/>
      <c r="AB83" s="127"/>
    </row>
    <row r="84" spans="1:28" x14ac:dyDescent="0.15">
      <c r="A84" s="127"/>
      <c r="B84" s="127"/>
      <c r="C84" s="127"/>
      <c r="D84" s="128"/>
      <c r="G84" s="127"/>
      <c r="J84" s="127"/>
      <c r="Q84" s="74" t="str">
        <f t="shared" si="6"/>
        <v/>
      </c>
      <c r="T84" s="16" t="str">
        <f>IF(H84="","",IF(OR(H84="GREEN",H84="GK"),IF(S84&gt;=$AX$2,VLOOKUP(S84,$AX$2:$AY$15,2,1),""),IF(S84&gt;=$AZ$2,VLOOKUP(S84,$AZ$2:$BA$15,2,1),"")))</f>
        <v/>
      </c>
      <c r="V84" s="129" t="str">
        <f t="shared" si="7"/>
        <v/>
      </c>
      <c r="X84" s="127"/>
      <c r="AB84" s="127"/>
    </row>
    <row r="85" spans="1:28" x14ac:dyDescent="0.15">
      <c r="A85" s="127"/>
      <c r="B85" s="127"/>
      <c r="C85" s="127"/>
      <c r="D85" s="128"/>
      <c r="G85" s="127"/>
      <c r="J85" s="127"/>
      <c r="Q85" s="74" t="str">
        <f t="shared" si="6"/>
        <v/>
      </c>
      <c r="T85" s="16" t="str">
        <f>IF(H85="","",IF(OR(H85="GREEN",H85="GK"),IF(S85&gt;=$AX$2,VLOOKUP(S85,$AX$2:$AY$15,2,1),""),IF(S85&gt;=$AZ$2,VLOOKUP(S85,$AZ$2:$BA$15,2,1),"")))</f>
        <v/>
      </c>
      <c r="V85" s="129" t="str">
        <f t="shared" si="7"/>
        <v/>
      </c>
      <c r="X85" s="127"/>
      <c r="AB85" s="127"/>
    </row>
    <row r="86" spans="1:28" x14ac:dyDescent="0.15">
      <c r="A86" s="127"/>
      <c r="B86" s="127"/>
      <c r="C86" s="127"/>
      <c r="D86" s="128"/>
      <c r="G86" s="127"/>
      <c r="J86" s="127"/>
      <c r="Q86" s="74"/>
      <c r="V86" s="129"/>
      <c r="X86" s="127"/>
      <c r="AB86" s="127"/>
    </row>
    <row r="87" spans="1:28" x14ac:dyDescent="0.15">
      <c r="A87" s="127"/>
      <c r="B87" s="127"/>
      <c r="C87" s="127"/>
      <c r="D87" s="128"/>
      <c r="G87" s="127"/>
      <c r="J87" s="127"/>
      <c r="Q87" s="74"/>
      <c r="V87" s="129"/>
      <c r="X87" s="127"/>
      <c r="AB87" s="127"/>
    </row>
    <row r="88" spans="1:28" x14ac:dyDescent="0.15">
      <c r="A88" s="127"/>
      <c r="B88" s="127"/>
      <c r="C88" s="127"/>
      <c r="D88" s="128"/>
      <c r="G88" s="127"/>
      <c r="J88" s="127"/>
      <c r="Q88" s="74"/>
      <c r="V88" s="129"/>
      <c r="X88" s="127"/>
      <c r="AB88" s="127"/>
    </row>
    <row r="89" spans="1:28" x14ac:dyDescent="0.15">
      <c r="A89" s="127"/>
      <c r="B89" s="127"/>
      <c r="C89" s="127"/>
      <c r="D89" s="128"/>
      <c r="G89" s="127"/>
      <c r="J89" s="127"/>
      <c r="Q89" s="74"/>
      <c r="V89" s="129"/>
      <c r="X89" s="127"/>
      <c r="AB89" s="127"/>
    </row>
    <row r="90" spans="1:28" x14ac:dyDescent="0.15">
      <c r="A90" s="127"/>
      <c r="B90" s="127"/>
      <c r="C90" s="127"/>
      <c r="D90" s="128"/>
      <c r="G90" s="127"/>
      <c r="J90" s="127"/>
      <c r="Q90" s="74"/>
      <c r="V90" s="129"/>
      <c r="X90" s="127"/>
      <c r="AB90" s="127"/>
    </row>
    <row r="91" spans="1:28" x14ac:dyDescent="0.15">
      <c r="A91" s="127"/>
      <c r="B91" s="127"/>
      <c r="C91" s="127"/>
      <c r="D91" s="128"/>
      <c r="G91" s="127"/>
      <c r="J91" s="127"/>
      <c r="Q91" s="74"/>
      <c r="V91" s="129"/>
      <c r="X91" s="127"/>
      <c r="AB91" s="127"/>
    </row>
    <row r="92" spans="1:28" x14ac:dyDescent="0.15">
      <c r="A92" s="127"/>
      <c r="B92" s="127"/>
      <c r="C92" s="127"/>
      <c r="D92" s="128"/>
      <c r="G92" s="127"/>
      <c r="J92" s="127"/>
      <c r="Q92" s="74"/>
      <c r="V92" s="129"/>
      <c r="X92" s="127"/>
      <c r="AB92" s="127"/>
    </row>
    <row r="93" spans="1:28" x14ac:dyDescent="0.15">
      <c r="A93" s="127"/>
      <c r="B93" s="127"/>
      <c r="C93" s="127"/>
      <c r="D93" s="128"/>
      <c r="G93" s="127"/>
      <c r="J93" s="127"/>
      <c r="Q93" s="74"/>
      <c r="V93" s="129"/>
      <c r="X93" s="127"/>
      <c r="AB93" s="127"/>
    </row>
    <row r="94" spans="1:28" x14ac:dyDescent="0.15">
      <c r="A94" s="127"/>
      <c r="B94" s="127"/>
      <c r="C94" s="127"/>
      <c r="D94" s="128"/>
      <c r="G94" s="127"/>
      <c r="J94" s="127"/>
      <c r="Q94" s="74"/>
      <c r="V94" s="129"/>
      <c r="X94" s="127"/>
      <c r="AB94" s="127"/>
    </row>
    <row r="95" spans="1:28" x14ac:dyDescent="0.15">
      <c r="A95" s="127"/>
      <c r="B95" s="127"/>
      <c r="C95" s="127"/>
      <c r="D95" s="128"/>
      <c r="G95" s="127"/>
      <c r="J95" s="127"/>
      <c r="Q95" s="74"/>
      <c r="V95" s="129"/>
      <c r="X95" s="127"/>
      <c r="AB95" s="127"/>
    </row>
    <row r="96" spans="1:28" x14ac:dyDescent="0.15">
      <c r="A96" s="127"/>
      <c r="B96" s="127"/>
      <c r="C96" s="127"/>
      <c r="D96" s="128"/>
      <c r="G96" s="127"/>
      <c r="J96" s="127"/>
      <c r="Q96" s="74"/>
      <c r="V96" s="129"/>
      <c r="X96" s="127"/>
      <c r="AB96" s="127"/>
    </row>
    <row r="97" spans="1:28" x14ac:dyDescent="0.15">
      <c r="A97" s="127"/>
      <c r="B97" s="127"/>
      <c r="C97" s="127"/>
      <c r="D97" s="128"/>
      <c r="G97" s="127"/>
      <c r="J97" s="127"/>
      <c r="Q97" s="74"/>
      <c r="V97" s="129"/>
      <c r="X97" s="127"/>
      <c r="AB97" s="127"/>
    </row>
    <row r="98" spans="1:28" x14ac:dyDescent="0.15">
      <c r="A98" s="127"/>
      <c r="B98" s="127"/>
      <c r="C98" s="127"/>
      <c r="D98" s="128"/>
      <c r="G98" s="127"/>
      <c r="J98" s="127"/>
      <c r="Q98" s="74"/>
      <c r="V98" s="129"/>
      <c r="X98" s="127"/>
      <c r="AB98" s="127"/>
    </row>
    <row r="99" spans="1:28" x14ac:dyDescent="0.15">
      <c r="A99" s="127"/>
      <c r="B99" s="127"/>
      <c r="C99" s="127"/>
      <c r="D99" s="128"/>
      <c r="G99" s="127"/>
      <c r="J99" s="127"/>
      <c r="Q99" s="74"/>
      <c r="V99" s="129"/>
      <c r="X99" s="127"/>
      <c r="AB99" s="127"/>
    </row>
    <row r="100" spans="1:28" x14ac:dyDescent="0.15">
      <c r="A100" s="127"/>
      <c r="B100" s="127"/>
      <c r="C100" s="127"/>
      <c r="D100" s="128"/>
      <c r="G100" s="127"/>
      <c r="J100" s="127"/>
      <c r="Q100" s="74"/>
      <c r="V100" s="129"/>
      <c r="X100" s="127"/>
      <c r="AB100" s="127"/>
    </row>
    <row r="101" spans="1:28" x14ac:dyDescent="0.15">
      <c r="D101" s="128"/>
    </row>
    <row r="102" spans="1:28" x14ac:dyDescent="0.15">
      <c r="A102" s="127"/>
      <c r="B102" s="127"/>
      <c r="C102" s="127"/>
      <c r="D102" s="128"/>
      <c r="G102" s="127"/>
      <c r="J102" s="127"/>
      <c r="Q102" s="74"/>
      <c r="V102" s="129"/>
      <c r="X102" s="127"/>
      <c r="AB102" s="127"/>
    </row>
    <row r="103" spans="1:28" x14ac:dyDescent="0.15">
      <c r="A103" s="127"/>
      <c r="B103" s="127"/>
      <c r="C103" s="127"/>
      <c r="G103" s="127"/>
      <c r="J103" s="127"/>
      <c r="Q103" s="74"/>
      <c r="V103" s="129"/>
      <c r="X103" s="127"/>
      <c r="AB103" s="127"/>
    </row>
    <row r="104" spans="1:28" x14ac:dyDescent="0.15">
      <c r="A104" s="127"/>
      <c r="B104" s="127"/>
      <c r="C104" s="127"/>
      <c r="D104" s="128"/>
      <c r="G104" s="127"/>
      <c r="J104" s="127"/>
      <c r="Q104" s="74"/>
      <c r="V104" s="129"/>
      <c r="X104" s="127"/>
      <c r="AB104" s="127"/>
    </row>
    <row r="105" spans="1:28" x14ac:dyDescent="0.15">
      <c r="A105" s="127"/>
      <c r="B105" s="127"/>
      <c r="C105" s="127"/>
      <c r="D105" s="128"/>
      <c r="G105" s="127"/>
      <c r="J105" s="127"/>
      <c r="Q105" s="74"/>
      <c r="V105" s="129"/>
      <c r="X105" s="127"/>
      <c r="AB105" s="127"/>
    </row>
    <row r="106" spans="1:28" x14ac:dyDescent="0.15">
      <c r="A106" s="127"/>
      <c r="B106" s="127"/>
      <c r="C106" s="127"/>
      <c r="D106" s="128"/>
      <c r="G106" s="127"/>
      <c r="J106" s="127"/>
      <c r="Q106" s="74"/>
      <c r="V106" s="129"/>
      <c r="X106" s="127"/>
      <c r="AB106" s="127"/>
    </row>
    <row r="107" spans="1:28" x14ac:dyDescent="0.15">
      <c r="A107" s="127"/>
      <c r="B107" s="127"/>
      <c r="C107" s="127"/>
      <c r="D107" s="128"/>
      <c r="G107" s="127"/>
      <c r="J107" s="127"/>
      <c r="Q107" s="74"/>
      <c r="V107" s="129"/>
      <c r="X107" s="127"/>
      <c r="AB107" s="127"/>
    </row>
    <row r="108" spans="1:28" x14ac:dyDescent="0.15">
      <c r="A108" s="127"/>
      <c r="B108" s="127"/>
      <c r="C108" s="127"/>
      <c r="D108" s="128"/>
      <c r="G108" s="127"/>
      <c r="J108" s="127"/>
      <c r="Q108" s="74"/>
      <c r="V108" s="129"/>
      <c r="X108" s="127"/>
      <c r="AB108" s="127"/>
    </row>
    <row r="109" spans="1:28" x14ac:dyDescent="0.15">
      <c r="A109" s="127"/>
      <c r="B109" s="127"/>
      <c r="C109" s="127"/>
      <c r="D109" s="128"/>
      <c r="G109" s="127"/>
      <c r="J109" s="127"/>
      <c r="Q109" s="74"/>
      <c r="V109" s="129"/>
      <c r="X109" s="127"/>
      <c r="AB109" s="127"/>
    </row>
    <row r="110" spans="1:28" x14ac:dyDescent="0.15">
      <c r="A110" s="127"/>
      <c r="B110" s="127"/>
      <c r="C110" s="127"/>
      <c r="D110" s="128"/>
      <c r="G110" s="127"/>
      <c r="J110" s="127"/>
      <c r="Q110" s="74"/>
      <c r="V110" s="129"/>
      <c r="X110" s="127"/>
      <c r="AB110" s="127"/>
    </row>
    <row r="111" spans="1:28" x14ac:dyDescent="0.15">
      <c r="A111" s="127"/>
      <c r="B111" s="127"/>
      <c r="C111" s="127"/>
      <c r="D111" s="128"/>
      <c r="G111" s="127"/>
      <c r="J111" s="127"/>
      <c r="Q111" s="74"/>
      <c r="V111" s="129"/>
      <c r="X111" s="127"/>
      <c r="AB111" s="127"/>
    </row>
    <row r="112" spans="1:28" x14ac:dyDescent="0.15">
      <c r="A112" s="127"/>
      <c r="B112" s="127"/>
      <c r="C112" s="127"/>
      <c r="D112" s="128"/>
      <c r="G112" s="127"/>
      <c r="J112" s="127"/>
      <c r="Q112" s="74"/>
      <c r="V112" s="129"/>
      <c r="X112" s="127"/>
      <c r="AB112" s="127"/>
    </row>
    <row r="113" spans="1:28" x14ac:dyDescent="0.15">
      <c r="A113" s="127"/>
      <c r="B113" s="127"/>
      <c r="C113" s="127"/>
      <c r="D113" s="128"/>
      <c r="G113" s="127"/>
      <c r="J113" s="127"/>
      <c r="Q113" s="74"/>
      <c r="V113" s="129"/>
      <c r="X113" s="127"/>
      <c r="AB113" s="127"/>
    </row>
    <row r="114" spans="1:28" x14ac:dyDescent="0.15">
      <c r="A114" s="127"/>
      <c r="B114" s="127"/>
      <c r="C114" s="127"/>
      <c r="D114" s="128"/>
      <c r="G114" s="127"/>
      <c r="J114" s="127"/>
      <c r="Q114" s="74"/>
      <c r="V114" s="129"/>
      <c r="X114" s="127"/>
      <c r="AB114" s="127"/>
    </row>
    <row r="115" spans="1:28" x14ac:dyDescent="0.15">
      <c r="A115" s="127"/>
      <c r="B115" s="127"/>
      <c r="C115" s="127"/>
      <c r="D115" s="128"/>
      <c r="G115" s="127"/>
      <c r="J115" s="127"/>
      <c r="Q115" s="74"/>
      <c r="V115" s="129"/>
      <c r="X115" s="127"/>
      <c r="AB115" s="127"/>
    </row>
    <row r="116" spans="1:28" x14ac:dyDescent="0.15">
      <c r="A116" s="127"/>
      <c r="B116" s="127"/>
      <c r="C116" s="127"/>
      <c r="D116" s="128"/>
      <c r="G116" s="127"/>
      <c r="J116" s="127"/>
      <c r="Q116" s="74"/>
      <c r="V116" s="129"/>
      <c r="X116" s="127"/>
      <c r="AB116" s="127"/>
    </row>
    <row r="117" spans="1:28" x14ac:dyDescent="0.15">
      <c r="A117" s="127"/>
      <c r="B117" s="127"/>
      <c r="C117" s="127"/>
      <c r="D117" s="128"/>
      <c r="G117" s="127"/>
      <c r="J117" s="127"/>
      <c r="Q117" s="74"/>
      <c r="V117" s="129"/>
      <c r="X117" s="127"/>
      <c r="AB117" s="127"/>
    </row>
    <row r="118" spans="1:28" x14ac:dyDescent="0.15">
      <c r="A118" s="127"/>
      <c r="B118" s="127"/>
      <c r="C118" s="127"/>
      <c r="D118" s="128"/>
      <c r="G118" s="127"/>
      <c r="J118" s="127"/>
      <c r="Q118" s="74"/>
      <c r="V118" s="129"/>
      <c r="X118" s="127"/>
      <c r="AB118" s="127"/>
    </row>
    <row r="119" spans="1:28" x14ac:dyDescent="0.15">
      <c r="D119" s="128"/>
    </row>
    <row r="120" spans="1:28" x14ac:dyDescent="0.15">
      <c r="D120" s="128"/>
    </row>
  </sheetData>
  <autoFilter ref="A1:BA1" xr:uid="{00000000-0009-0000-0000-000004000000}"/>
  <phoneticPr fontId="3"/>
  <dataValidations count="21">
    <dataValidation type="list" allowBlank="1" showInputMessage="1" showErrorMessage="1" sqref="K2:K126" xr:uid="{4F717C3C-3C44-4781-A910-7DC1C1A06DBB}">
      <formula1>$AR$2:$AR$26</formula1>
    </dataValidation>
    <dataValidation type="list" allowBlank="1" showInputMessage="1" showErrorMessage="1" sqref="I64412:I64417 WVQ981895:WVQ981900 WLU981895:WLU981900 WBY981895:WBY981900 VSC981895:VSC981900 VIG981895:VIG981900 UYK981895:UYK981900 UOO981895:UOO981900 UES981895:UES981900 TUW981895:TUW981900 TLA981895:TLA981900 TBE981895:TBE981900 SRI981895:SRI981900 SHM981895:SHM981900 RXQ981895:RXQ981900 RNU981895:RNU981900 RDY981895:RDY981900 QUC981895:QUC981900 QKG981895:QKG981900 QAK981895:QAK981900 PQO981895:PQO981900 PGS981895:PGS981900 OWW981895:OWW981900 ONA981895:ONA981900 ODE981895:ODE981900 NTI981895:NTI981900 NJM981895:NJM981900 MZQ981895:MZQ981900 MPU981895:MPU981900 MFY981895:MFY981900 LWC981895:LWC981900 LMG981895:LMG981900 LCK981895:LCK981900 KSO981895:KSO981900 KIS981895:KIS981900 JYW981895:JYW981900 JPA981895:JPA981900 JFE981895:JFE981900 IVI981895:IVI981900 ILM981895:ILM981900 IBQ981895:IBQ981900 HRU981895:HRU981900 HHY981895:HHY981900 GYC981895:GYC981900 GOG981895:GOG981900 GEK981895:GEK981900 FUO981895:FUO981900 FKS981895:FKS981900 FAW981895:FAW981900 ERA981895:ERA981900 EHE981895:EHE981900 DXI981895:DXI981900 DNM981895:DNM981900 DDQ981895:DDQ981900 CTU981895:CTU981900 CJY981895:CJY981900 CAC981895:CAC981900 BQG981895:BQG981900 BGK981895:BGK981900 AWO981895:AWO981900 AMS981895:AMS981900 ACW981895:ACW981900 TA981895:TA981900 JE981895:JE981900 I981916:I981921 WVQ916359:WVQ916364 WLU916359:WLU916364 WBY916359:WBY916364 VSC916359:VSC916364 VIG916359:VIG916364 UYK916359:UYK916364 UOO916359:UOO916364 UES916359:UES916364 TUW916359:TUW916364 TLA916359:TLA916364 TBE916359:TBE916364 SRI916359:SRI916364 SHM916359:SHM916364 RXQ916359:RXQ916364 RNU916359:RNU916364 RDY916359:RDY916364 QUC916359:QUC916364 QKG916359:QKG916364 QAK916359:QAK916364 PQO916359:PQO916364 PGS916359:PGS916364 OWW916359:OWW916364 ONA916359:ONA916364 ODE916359:ODE916364 NTI916359:NTI916364 NJM916359:NJM916364 MZQ916359:MZQ916364 MPU916359:MPU916364 MFY916359:MFY916364 LWC916359:LWC916364 LMG916359:LMG916364 LCK916359:LCK916364 KSO916359:KSO916364 KIS916359:KIS916364 JYW916359:JYW916364 JPA916359:JPA916364 JFE916359:JFE916364 IVI916359:IVI916364 ILM916359:ILM916364 IBQ916359:IBQ916364 HRU916359:HRU916364 HHY916359:HHY916364 GYC916359:GYC916364 GOG916359:GOG916364 GEK916359:GEK916364 FUO916359:FUO916364 FKS916359:FKS916364 FAW916359:FAW916364 ERA916359:ERA916364 EHE916359:EHE916364 DXI916359:DXI916364 DNM916359:DNM916364 DDQ916359:DDQ916364 CTU916359:CTU916364 CJY916359:CJY916364 CAC916359:CAC916364 BQG916359:BQG916364 BGK916359:BGK916364 AWO916359:AWO916364 AMS916359:AMS916364 ACW916359:ACW916364 TA916359:TA916364 JE916359:JE916364 I916380:I916385 WVQ850823:WVQ850828 WLU850823:WLU850828 WBY850823:WBY850828 VSC850823:VSC850828 VIG850823:VIG850828 UYK850823:UYK850828 UOO850823:UOO850828 UES850823:UES850828 TUW850823:TUW850828 TLA850823:TLA850828 TBE850823:TBE850828 SRI850823:SRI850828 SHM850823:SHM850828 RXQ850823:RXQ850828 RNU850823:RNU850828 RDY850823:RDY850828 QUC850823:QUC850828 QKG850823:QKG850828 QAK850823:QAK850828 PQO850823:PQO850828 PGS850823:PGS850828 OWW850823:OWW850828 ONA850823:ONA850828 ODE850823:ODE850828 NTI850823:NTI850828 NJM850823:NJM850828 MZQ850823:MZQ850828 MPU850823:MPU850828 MFY850823:MFY850828 LWC850823:LWC850828 LMG850823:LMG850828 LCK850823:LCK850828 KSO850823:KSO850828 KIS850823:KIS850828 JYW850823:JYW850828 JPA850823:JPA850828 JFE850823:JFE850828 IVI850823:IVI850828 ILM850823:ILM850828 IBQ850823:IBQ850828 HRU850823:HRU850828 HHY850823:HHY850828 GYC850823:GYC850828 GOG850823:GOG850828 GEK850823:GEK850828 FUO850823:FUO850828 FKS850823:FKS850828 FAW850823:FAW850828 ERA850823:ERA850828 EHE850823:EHE850828 DXI850823:DXI850828 DNM850823:DNM850828 DDQ850823:DDQ850828 CTU850823:CTU850828 CJY850823:CJY850828 CAC850823:CAC850828 BQG850823:BQG850828 BGK850823:BGK850828 AWO850823:AWO850828 AMS850823:AMS850828 ACW850823:ACW850828 TA850823:TA850828 JE850823:JE850828 I850844:I850849 WVQ785287:WVQ785292 WLU785287:WLU785292 WBY785287:WBY785292 VSC785287:VSC785292 VIG785287:VIG785292 UYK785287:UYK785292 UOO785287:UOO785292 UES785287:UES785292 TUW785287:TUW785292 TLA785287:TLA785292 TBE785287:TBE785292 SRI785287:SRI785292 SHM785287:SHM785292 RXQ785287:RXQ785292 RNU785287:RNU785292 RDY785287:RDY785292 QUC785287:QUC785292 QKG785287:QKG785292 QAK785287:QAK785292 PQO785287:PQO785292 PGS785287:PGS785292 OWW785287:OWW785292 ONA785287:ONA785292 ODE785287:ODE785292 NTI785287:NTI785292 NJM785287:NJM785292 MZQ785287:MZQ785292 MPU785287:MPU785292 MFY785287:MFY785292 LWC785287:LWC785292 LMG785287:LMG785292 LCK785287:LCK785292 KSO785287:KSO785292 KIS785287:KIS785292 JYW785287:JYW785292 JPA785287:JPA785292 JFE785287:JFE785292 IVI785287:IVI785292 ILM785287:ILM785292 IBQ785287:IBQ785292 HRU785287:HRU785292 HHY785287:HHY785292 GYC785287:GYC785292 GOG785287:GOG785292 GEK785287:GEK785292 FUO785287:FUO785292 FKS785287:FKS785292 FAW785287:FAW785292 ERA785287:ERA785292 EHE785287:EHE785292 DXI785287:DXI785292 DNM785287:DNM785292 DDQ785287:DDQ785292 CTU785287:CTU785292 CJY785287:CJY785292 CAC785287:CAC785292 BQG785287:BQG785292 BGK785287:BGK785292 AWO785287:AWO785292 AMS785287:AMS785292 ACW785287:ACW785292 TA785287:TA785292 JE785287:JE785292 I785308:I785313 WVQ719751:WVQ719756 WLU719751:WLU719756 WBY719751:WBY719756 VSC719751:VSC719756 VIG719751:VIG719756 UYK719751:UYK719756 UOO719751:UOO719756 UES719751:UES719756 TUW719751:TUW719756 TLA719751:TLA719756 TBE719751:TBE719756 SRI719751:SRI719756 SHM719751:SHM719756 RXQ719751:RXQ719756 RNU719751:RNU719756 RDY719751:RDY719756 QUC719751:QUC719756 QKG719751:QKG719756 QAK719751:QAK719756 PQO719751:PQO719756 PGS719751:PGS719756 OWW719751:OWW719756 ONA719751:ONA719756 ODE719751:ODE719756 NTI719751:NTI719756 NJM719751:NJM719756 MZQ719751:MZQ719756 MPU719751:MPU719756 MFY719751:MFY719756 LWC719751:LWC719756 LMG719751:LMG719756 LCK719751:LCK719756 KSO719751:KSO719756 KIS719751:KIS719756 JYW719751:JYW719756 JPA719751:JPA719756 JFE719751:JFE719756 IVI719751:IVI719756 ILM719751:ILM719756 IBQ719751:IBQ719756 HRU719751:HRU719756 HHY719751:HHY719756 GYC719751:GYC719756 GOG719751:GOG719756 GEK719751:GEK719756 FUO719751:FUO719756 FKS719751:FKS719756 FAW719751:FAW719756 ERA719751:ERA719756 EHE719751:EHE719756 DXI719751:DXI719756 DNM719751:DNM719756 DDQ719751:DDQ719756 CTU719751:CTU719756 CJY719751:CJY719756 CAC719751:CAC719756 BQG719751:BQG719756 BGK719751:BGK719756 AWO719751:AWO719756 AMS719751:AMS719756 ACW719751:ACW719756 TA719751:TA719756 JE719751:JE719756 I719772:I719777 WVQ654215:WVQ654220 WLU654215:WLU654220 WBY654215:WBY654220 VSC654215:VSC654220 VIG654215:VIG654220 UYK654215:UYK654220 UOO654215:UOO654220 UES654215:UES654220 TUW654215:TUW654220 TLA654215:TLA654220 TBE654215:TBE654220 SRI654215:SRI654220 SHM654215:SHM654220 RXQ654215:RXQ654220 RNU654215:RNU654220 RDY654215:RDY654220 QUC654215:QUC654220 QKG654215:QKG654220 QAK654215:QAK654220 PQO654215:PQO654220 PGS654215:PGS654220 OWW654215:OWW654220 ONA654215:ONA654220 ODE654215:ODE654220 NTI654215:NTI654220 NJM654215:NJM654220 MZQ654215:MZQ654220 MPU654215:MPU654220 MFY654215:MFY654220 LWC654215:LWC654220 LMG654215:LMG654220 LCK654215:LCK654220 KSO654215:KSO654220 KIS654215:KIS654220 JYW654215:JYW654220 JPA654215:JPA654220 JFE654215:JFE654220 IVI654215:IVI654220 ILM654215:ILM654220 IBQ654215:IBQ654220 HRU654215:HRU654220 HHY654215:HHY654220 GYC654215:GYC654220 GOG654215:GOG654220 GEK654215:GEK654220 FUO654215:FUO654220 FKS654215:FKS654220 FAW654215:FAW654220 ERA654215:ERA654220 EHE654215:EHE654220 DXI654215:DXI654220 DNM654215:DNM654220 DDQ654215:DDQ654220 CTU654215:CTU654220 CJY654215:CJY654220 CAC654215:CAC654220 BQG654215:BQG654220 BGK654215:BGK654220 AWO654215:AWO654220 AMS654215:AMS654220 ACW654215:ACW654220 TA654215:TA654220 JE654215:JE654220 I654236:I654241 WVQ588679:WVQ588684 WLU588679:WLU588684 WBY588679:WBY588684 VSC588679:VSC588684 VIG588679:VIG588684 UYK588679:UYK588684 UOO588679:UOO588684 UES588679:UES588684 TUW588679:TUW588684 TLA588679:TLA588684 TBE588679:TBE588684 SRI588679:SRI588684 SHM588679:SHM588684 RXQ588679:RXQ588684 RNU588679:RNU588684 RDY588679:RDY588684 QUC588679:QUC588684 QKG588679:QKG588684 QAK588679:QAK588684 PQO588679:PQO588684 PGS588679:PGS588684 OWW588679:OWW588684 ONA588679:ONA588684 ODE588679:ODE588684 NTI588679:NTI588684 NJM588679:NJM588684 MZQ588679:MZQ588684 MPU588679:MPU588684 MFY588679:MFY588684 LWC588679:LWC588684 LMG588679:LMG588684 LCK588679:LCK588684 KSO588679:KSO588684 KIS588679:KIS588684 JYW588679:JYW588684 JPA588679:JPA588684 JFE588679:JFE588684 IVI588679:IVI588684 ILM588679:ILM588684 IBQ588679:IBQ588684 HRU588679:HRU588684 HHY588679:HHY588684 GYC588679:GYC588684 GOG588679:GOG588684 GEK588679:GEK588684 FUO588679:FUO588684 FKS588679:FKS588684 FAW588679:FAW588684 ERA588679:ERA588684 EHE588679:EHE588684 DXI588679:DXI588684 DNM588679:DNM588684 DDQ588679:DDQ588684 CTU588679:CTU588684 CJY588679:CJY588684 CAC588679:CAC588684 BQG588679:BQG588684 BGK588679:BGK588684 AWO588679:AWO588684 AMS588679:AMS588684 ACW588679:ACW588684 TA588679:TA588684 JE588679:JE588684 I588700:I588705 WVQ523143:WVQ523148 WLU523143:WLU523148 WBY523143:WBY523148 VSC523143:VSC523148 VIG523143:VIG523148 UYK523143:UYK523148 UOO523143:UOO523148 UES523143:UES523148 TUW523143:TUW523148 TLA523143:TLA523148 TBE523143:TBE523148 SRI523143:SRI523148 SHM523143:SHM523148 RXQ523143:RXQ523148 RNU523143:RNU523148 RDY523143:RDY523148 QUC523143:QUC523148 QKG523143:QKG523148 QAK523143:QAK523148 PQO523143:PQO523148 PGS523143:PGS523148 OWW523143:OWW523148 ONA523143:ONA523148 ODE523143:ODE523148 NTI523143:NTI523148 NJM523143:NJM523148 MZQ523143:MZQ523148 MPU523143:MPU523148 MFY523143:MFY523148 LWC523143:LWC523148 LMG523143:LMG523148 LCK523143:LCK523148 KSO523143:KSO523148 KIS523143:KIS523148 JYW523143:JYW523148 JPA523143:JPA523148 JFE523143:JFE523148 IVI523143:IVI523148 ILM523143:ILM523148 IBQ523143:IBQ523148 HRU523143:HRU523148 HHY523143:HHY523148 GYC523143:GYC523148 GOG523143:GOG523148 GEK523143:GEK523148 FUO523143:FUO523148 FKS523143:FKS523148 FAW523143:FAW523148 ERA523143:ERA523148 EHE523143:EHE523148 DXI523143:DXI523148 DNM523143:DNM523148 DDQ523143:DDQ523148 CTU523143:CTU523148 CJY523143:CJY523148 CAC523143:CAC523148 BQG523143:BQG523148 BGK523143:BGK523148 AWO523143:AWO523148 AMS523143:AMS523148 ACW523143:ACW523148 TA523143:TA523148 JE523143:JE523148 I523164:I523169 WVQ457607:WVQ457612 WLU457607:WLU457612 WBY457607:WBY457612 VSC457607:VSC457612 VIG457607:VIG457612 UYK457607:UYK457612 UOO457607:UOO457612 UES457607:UES457612 TUW457607:TUW457612 TLA457607:TLA457612 TBE457607:TBE457612 SRI457607:SRI457612 SHM457607:SHM457612 RXQ457607:RXQ457612 RNU457607:RNU457612 RDY457607:RDY457612 QUC457607:QUC457612 QKG457607:QKG457612 QAK457607:QAK457612 PQO457607:PQO457612 PGS457607:PGS457612 OWW457607:OWW457612 ONA457607:ONA457612 ODE457607:ODE457612 NTI457607:NTI457612 NJM457607:NJM457612 MZQ457607:MZQ457612 MPU457607:MPU457612 MFY457607:MFY457612 LWC457607:LWC457612 LMG457607:LMG457612 LCK457607:LCK457612 KSO457607:KSO457612 KIS457607:KIS457612 JYW457607:JYW457612 JPA457607:JPA457612 JFE457607:JFE457612 IVI457607:IVI457612 ILM457607:ILM457612 IBQ457607:IBQ457612 HRU457607:HRU457612 HHY457607:HHY457612 GYC457607:GYC457612 GOG457607:GOG457612 GEK457607:GEK457612 FUO457607:FUO457612 FKS457607:FKS457612 FAW457607:FAW457612 ERA457607:ERA457612 EHE457607:EHE457612 DXI457607:DXI457612 DNM457607:DNM457612 DDQ457607:DDQ457612 CTU457607:CTU457612 CJY457607:CJY457612 CAC457607:CAC457612 BQG457607:BQG457612 BGK457607:BGK457612 AWO457607:AWO457612 AMS457607:AMS457612 ACW457607:ACW457612 TA457607:TA457612 JE457607:JE457612 I457628:I457633 WVQ392071:WVQ392076 WLU392071:WLU392076 WBY392071:WBY392076 VSC392071:VSC392076 VIG392071:VIG392076 UYK392071:UYK392076 UOO392071:UOO392076 UES392071:UES392076 TUW392071:TUW392076 TLA392071:TLA392076 TBE392071:TBE392076 SRI392071:SRI392076 SHM392071:SHM392076 RXQ392071:RXQ392076 RNU392071:RNU392076 RDY392071:RDY392076 QUC392071:QUC392076 QKG392071:QKG392076 QAK392071:QAK392076 PQO392071:PQO392076 PGS392071:PGS392076 OWW392071:OWW392076 ONA392071:ONA392076 ODE392071:ODE392076 NTI392071:NTI392076 NJM392071:NJM392076 MZQ392071:MZQ392076 MPU392071:MPU392076 MFY392071:MFY392076 LWC392071:LWC392076 LMG392071:LMG392076 LCK392071:LCK392076 KSO392071:KSO392076 KIS392071:KIS392076 JYW392071:JYW392076 JPA392071:JPA392076 JFE392071:JFE392076 IVI392071:IVI392076 ILM392071:ILM392076 IBQ392071:IBQ392076 HRU392071:HRU392076 HHY392071:HHY392076 GYC392071:GYC392076 GOG392071:GOG392076 GEK392071:GEK392076 FUO392071:FUO392076 FKS392071:FKS392076 FAW392071:FAW392076 ERA392071:ERA392076 EHE392071:EHE392076 DXI392071:DXI392076 DNM392071:DNM392076 DDQ392071:DDQ392076 CTU392071:CTU392076 CJY392071:CJY392076 CAC392071:CAC392076 BQG392071:BQG392076 BGK392071:BGK392076 AWO392071:AWO392076 AMS392071:AMS392076 ACW392071:ACW392076 TA392071:TA392076 JE392071:JE392076 I392092:I392097 WVQ326535:WVQ326540 WLU326535:WLU326540 WBY326535:WBY326540 VSC326535:VSC326540 VIG326535:VIG326540 UYK326535:UYK326540 UOO326535:UOO326540 UES326535:UES326540 TUW326535:TUW326540 TLA326535:TLA326540 TBE326535:TBE326540 SRI326535:SRI326540 SHM326535:SHM326540 RXQ326535:RXQ326540 RNU326535:RNU326540 RDY326535:RDY326540 QUC326535:QUC326540 QKG326535:QKG326540 QAK326535:QAK326540 PQO326535:PQO326540 PGS326535:PGS326540 OWW326535:OWW326540 ONA326535:ONA326540 ODE326535:ODE326540 NTI326535:NTI326540 NJM326535:NJM326540 MZQ326535:MZQ326540 MPU326535:MPU326540 MFY326535:MFY326540 LWC326535:LWC326540 LMG326535:LMG326540 LCK326535:LCK326540 KSO326535:KSO326540 KIS326535:KIS326540 JYW326535:JYW326540 JPA326535:JPA326540 JFE326535:JFE326540 IVI326535:IVI326540 ILM326535:ILM326540 IBQ326535:IBQ326540 HRU326535:HRU326540 HHY326535:HHY326540 GYC326535:GYC326540 GOG326535:GOG326540 GEK326535:GEK326540 FUO326535:FUO326540 FKS326535:FKS326540 FAW326535:FAW326540 ERA326535:ERA326540 EHE326535:EHE326540 DXI326535:DXI326540 DNM326535:DNM326540 DDQ326535:DDQ326540 CTU326535:CTU326540 CJY326535:CJY326540 CAC326535:CAC326540 BQG326535:BQG326540 BGK326535:BGK326540 AWO326535:AWO326540 AMS326535:AMS326540 ACW326535:ACW326540 TA326535:TA326540 JE326535:JE326540 I326556:I326561 WVQ260999:WVQ261004 WLU260999:WLU261004 WBY260999:WBY261004 VSC260999:VSC261004 VIG260999:VIG261004 UYK260999:UYK261004 UOO260999:UOO261004 UES260999:UES261004 TUW260999:TUW261004 TLA260999:TLA261004 TBE260999:TBE261004 SRI260999:SRI261004 SHM260999:SHM261004 RXQ260999:RXQ261004 RNU260999:RNU261004 RDY260999:RDY261004 QUC260999:QUC261004 QKG260999:QKG261004 QAK260999:QAK261004 PQO260999:PQO261004 PGS260999:PGS261004 OWW260999:OWW261004 ONA260999:ONA261004 ODE260999:ODE261004 NTI260999:NTI261004 NJM260999:NJM261004 MZQ260999:MZQ261004 MPU260999:MPU261004 MFY260999:MFY261004 LWC260999:LWC261004 LMG260999:LMG261004 LCK260999:LCK261004 KSO260999:KSO261004 KIS260999:KIS261004 JYW260999:JYW261004 JPA260999:JPA261004 JFE260999:JFE261004 IVI260999:IVI261004 ILM260999:ILM261004 IBQ260999:IBQ261004 HRU260999:HRU261004 HHY260999:HHY261004 GYC260999:GYC261004 GOG260999:GOG261004 GEK260999:GEK261004 FUO260999:FUO261004 FKS260999:FKS261004 FAW260999:FAW261004 ERA260999:ERA261004 EHE260999:EHE261004 DXI260999:DXI261004 DNM260999:DNM261004 DDQ260999:DDQ261004 CTU260999:CTU261004 CJY260999:CJY261004 CAC260999:CAC261004 BQG260999:BQG261004 BGK260999:BGK261004 AWO260999:AWO261004 AMS260999:AMS261004 ACW260999:ACW261004 TA260999:TA261004 JE260999:JE261004 I261020:I261025 WVQ195463:WVQ195468 WLU195463:WLU195468 WBY195463:WBY195468 VSC195463:VSC195468 VIG195463:VIG195468 UYK195463:UYK195468 UOO195463:UOO195468 UES195463:UES195468 TUW195463:TUW195468 TLA195463:TLA195468 TBE195463:TBE195468 SRI195463:SRI195468 SHM195463:SHM195468 RXQ195463:RXQ195468 RNU195463:RNU195468 RDY195463:RDY195468 QUC195463:QUC195468 QKG195463:QKG195468 QAK195463:QAK195468 PQO195463:PQO195468 PGS195463:PGS195468 OWW195463:OWW195468 ONA195463:ONA195468 ODE195463:ODE195468 NTI195463:NTI195468 NJM195463:NJM195468 MZQ195463:MZQ195468 MPU195463:MPU195468 MFY195463:MFY195468 LWC195463:LWC195468 LMG195463:LMG195468 LCK195463:LCK195468 KSO195463:KSO195468 KIS195463:KIS195468 JYW195463:JYW195468 JPA195463:JPA195468 JFE195463:JFE195468 IVI195463:IVI195468 ILM195463:ILM195468 IBQ195463:IBQ195468 HRU195463:HRU195468 HHY195463:HHY195468 GYC195463:GYC195468 GOG195463:GOG195468 GEK195463:GEK195468 FUO195463:FUO195468 FKS195463:FKS195468 FAW195463:FAW195468 ERA195463:ERA195468 EHE195463:EHE195468 DXI195463:DXI195468 DNM195463:DNM195468 DDQ195463:DDQ195468 CTU195463:CTU195468 CJY195463:CJY195468 CAC195463:CAC195468 BQG195463:BQG195468 BGK195463:BGK195468 AWO195463:AWO195468 AMS195463:AMS195468 ACW195463:ACW195468 TA195463:TA195468 JE195463:JE195468 I195484:I195489 WVQ129927:WVQ129932 WLU129927:WLU129932 WBY129927:WBY129932 VSC129927:VSC129932 VIG129927:VIG129932 UYK129927:UYK129932 UOO129927:UOO129932 UES129927:UES129932 TUW129927:TUW129932 TLA129927:TLA129932 TBE129927:TBE129932 SRI129927:SRI129932 SHM129927:SHM129932 RXQ129927:RXQ129932 RNU129927:RNU129932 RDY129927:RDY129932 QUC129927:QUC129932 QKG129927:QKG129932 QAK129927:QAK129932 PQO129927:PQO129932 PGS129927:PGS129932 OWW129927:OWW129932 ONA129927:ONA129932 ODE129927:ODE129932 NTI129927:NTI129932 NJM129927:NJM129932 MZQ129927:MZQ129932 MPU129927:MPU129932 MFY129927:MFY129932 LWC129927:LWC129932 LMG129927:LMG129932 LCK129927:LCK129932 KSO129927:KSO129932 KIS129927:KIS129932 JYW129927:JYW129932 JPA129927:JPA129932 JFE129927:JFE129932 IVI129927:IVI129932 ILM129927:ILM129932 IBQ129927:IBQ129932 HRU129927:HRU129932 HHY129927:HHY129932 GYC129927:GYC129932 GOG129927:GOG129932 GEK129927:GEK129932 FUO129927:FUO129932 FKS129927:FKS129932 FAW129927:FAW129932 ERA129927:ERA129932 EHE129927:EHE129932 DXI129927:DXI129932 DNM129927:DNM129932 DDQ129927:DDQ129932 CTU129927:CTU129932 CJY129927:CJY129932 CAC129927:CAC129932 BQG129927:BQG129932 BGK129927:BGK129932 AWO129927:AWO129932 AMS129927:AMS129932 ACW129927:ACW129932 TA129927:TA129932 JE129927:JE129932 I129948:I129953 WVQ64391:WVQ64396 WLU64391:WLU64396 WBY64391:WBY64396 VSC64391:VSC64396 VIG64391:VIG64396 UYK64391:UYK64396 UOO64391:UOO64396 UES64391:UES64396 TUW64391:TUW64396 TLA64391:TLA64396 TBE64391:TBE64396 SRI64391:SRI64396 SHM64391:SHM64396 RXQ64391:RXQ64396 RNU64391:RNU64396 RDY64391:RDY64396 QUC64391:QUC64396 QKG64391:QKG64396 QAK64391:QAK64396 PQO64391:PQO64396 PGS64391:PGS64396 OWW64391:OWW64396 ONA64391:ONA64396 ODE64391:ODE64396 NTI64391:NTI64396 NJM64391:NJM64396 MZQ64391:MZQ64396 MPU64391:MPU64396 MFY64391:MFY64396 LWC64391:LWC64396 LMG64391:LMG64396 LCK64391:LCK64396 KSO64391:KSO64396 KIS64391:KIS64396 JYW64391:JYW64396 JPA64391:JPA64396 JFE64391:JFE64396 IVI64391:IVI64396 ILM64391:ILM64396 IBQ64391:IBQ64396 HRU64391:HRU64396 HHY64391:HHY64396 GYC64391:GYC64396 GOG64391:GOG64396 GEK64391:GEK64396 FUO64391:FUO64396 FKS64391:FKS64396 FAW64391:FAW64396 ERA64391:ERA64396 EHE64391:EHE64396 DXI64391:DXI64396 DNM64391:DNM64396 DDQ64391:DDQ64396 CTU64391:CTU64396 CJY64391:CJY64396 CAC64391:CAC64396 BQG64391:BQG64396 BGK64391:BGK64396 AWO64391:AWO64396 AMS64391:AMS64396 ACW64391:ACW64396 TA64391:TA64396 JE64391:JE64396" xr:uid="{39DA550F-0A9C-4A95-9911-10E0D86C1BEA}">
      <formula1>$AN$8:$AN$9</formula1>
    </dataValidation>
    <dataValidation type="list" allowBlank="1" showInputMessage="1" showErrorMessage="1" sqref="WVS981811:WVS981900 WLW981811:WLW981900 WCA981811:WCA981900 VSE981811:VSE981900 VII981811:VII981900 UYM981811:UYM981900 UOQ981811:UOQ981900 UEU981811:UEU981900 TUY981811:TUY981900 TLC981811:TLC981900 TBG981811:TBG981900 SRK981811:SRK981900 SHO981811:SHO981900 RXS981811:RXS981900 RNW981811:RNW981900 REA981811:REA981900 QUE981811:QUE981900 QKI981811:QKI981900 QAM981811:QAM981900 PQQ981811:PQQ981900 PGU981811:PGU981900 OWY981811:OWY981900 ONC981811:ONC981900 ODG981811:ODG981900 NTK981811:NTK981900 NJO981811:NJO981900 MZS981811:MZS981900 MPW981811:MPW981900 MGA981811:MGA981900 LWE981811:LWE981900 LMI981811:LMI981900 LCM981811:LCM981900 KSQ981811:KSQ981900 KIU981811:KIU981900 JYY981811:JYY981900 JPC981811:JPC981900 JFG981811:JFG981900 IVK981811:IVK981900 ILO981811:ILO981900 IBS981811:IBS981900 HRW981811:HRW981900 HIA981811:HIA981900 GYE981811:GYE981900 GOI981811:GOI981900 GEM981811:GEM981900 FUQ981811:FUQ981900 FKU981811:FKU981900 FAY981811:FAY981900 ERC981811:ERC981900 EHG981811:EHG981900 DXK981811:DXK981900 DNO981811:DNO981900 DDS981811:DDS981900 CTW981811:CTW981900 CKA981811:CKA981900 CAE981811:CAE981900 BQI981811:BQI981900 BGM981811:BGM981900 AWQ981811:AWQ981900 AMU981811:AMU981900 ACY981811:ACY981900 TC981811:TC981900 JG981811:JG981900 K981820:K981909 WVS916275:WVS916364 WLW916275:WLW916364 WCA916275:WCA916364 VSE916275:VSE916364 VII916275:VII916364 UYM916275:UYM916364 UOQ916275:UOQ916364 UEU916275:UEU916364 TUY916275:TUY916364 TLC916275:TLC916364 TBG916275:TBG916364 SRK916275:SRK916364 SHO916275:SHO916364 RXS916275:RXS916364 RNW916275:RNW916364 REA916275:REA916364 QUE916275:QUE916364 QKI916275:QKI916364 QAM916275:QAM916364 PQQ916275:PQQ916364 PGU916275:PGU916364 OWY916275:OWY916364 ONC916275:ONC916364 ODG916275:ODG916364 NTK916275:NTK916364 NJO916275:NJO916364 MZS916275:MZS916364 MPW916275:MPW916364 MGA916275:MGA916364 LWE916275:LWE916364 LMI916275:LMI916364 LCM916275:LCM916364 KSQ916275:KSQ916364 KIU916275:KIU916364 JYY916275:JYY916364 JPC916275:JPC916364 JFG916275:JFG916364 IVK916275:IVK916364 ILO916275:ILO916364 IBS916275:IBS916364 HRW916275:HRW916364 HIA916275:HIA916364 GYE916275:GYE916364 GOI916275:GOI916364 GEM916275:GEM916364 FUQ916275:FUQ916364 FKU916275:FKU916364 FAY916275:FAY916364 ERC916275:ERC916364 EHG916275:EHG916364 DXK916275:DXK916364 DNO916275:DNO916364 DDS916275:DDS916364 CTW916275:CTW916364 CKA916275:CKA916364 CAE916275:CAE916364 BQI916275:BQI916364 BGM916275:BGM916364 AWQ916275:AWQ916364 AMU916275:AMU916364 ACY916275:ACY916364 TC916275:TC916364 JG916275:JG916364 K916284:K916373 WVS850739:WVS850828 WLW850739:WLW850828 WCA850739:WCA850828 VSE850739:VSE850828 VII850739:VII850828 UYM850739:UYM850828 UOQ850739:UOQ850828 UEU850739:UEU850828 TUY850739:TUY850828 TLC850739:TLC850828 TBG850739:TBG850828 SRK850739:SRK850828 SHO850739:SHO850828 RXS850739:RXS850828 RNW850739:RNW850828 REA850739:REA850828 QUE850739:QUE850828 QKI850739:QKI850828 QAM850739:QAM850828 PQQ850739:PQQ850828 PGU850739:PGU850828 OWY850739:OWY850828 ONC850739:ONC850828 ODG850739:ODG850828 NTK850739:NTK850828 NJO850739:NJO850828 MZS850739:MZS850828 MPW850739:MPW850828 MGA850739:MGA850828 LWE850739:LWE850828 LMI850739:LMI850828 LCM850739:LCM850828 KSQ850739:KSQ850828 KIU850739:KIU850828 JYY850739:JYY850828 JPC850739:JPC850828 JFG850739:JFG850828 IVK850739:IVK850828 ILO850739:ILO850828 IBS850739:IBS850828 HRW850739:HRW850828 HIA850739:HIA850828 GYE850739:GYE850828 GOI850739:GOI850828 GEM850739:GEM850828 FUQ850739:FUQ850828 FKU850739:FKU850828 FAY850739:FAY850828 ERC850739:ERC850828 EHG850739:EHG850828 DXK850739:DXK850828 DNO850739:DNO850828 DDS850739:DDS850828 CTW850739:CTW850828 CKA850739:CKA850828 CAE850739:CAE850828 BQI850739:BQI850828 BGM850739:BGM850828 AWQ850739:AWQ850828 AMU850739:AMU850828 ACY850739:ACY850828 TC850739:TC850828 JG850739:JG850828 K850748:K850837 WVS785203:WVS785292 WLW785203:WLW785292 WCA785203:WCA785292 VSE785203:VSE785292 VII785203:VII785292 UYM785203:UYM785292 UOQ785203:UOQ785292 UEU785203:UEU785292 TUY785203:TUY785292 TLC785203:TLC785292 TBG785203:TBG785292 SRK785203:SRK785292 SHO785203:SHO785292 RXS785203:RXS785292 RNW785203:RNW785292 REA785203:REA785292 QUE785203:QUE785292 QKI785203:QKI785292 QAM785203:QAM785292 PQQ785203:PQQ785292 PGU785203:PGU785292 OWY785203:OWY785292 ONC785203:ONC785292 ODG785203:ODG785292 NTK785203:NTK785292 NJO785203:NJO785292 MZS785203:MZS785292 MPW785203:MPW785292 MGA785203:MGA785292 LWE785203:LWE785292 LMI785203:LMI785292 LCM785203:LCM785292 KSQ785203:KSQ785292 KIU785203:KIU785292 JYY785203:JYY785292 JPC785203:JPC785292 JFG785203:JFG785292 IVK785203:IVK785292 ILO785203:ILO785292 IBS785203:IBS785292 HRW785203:HRW785292 HIA785203:HIA785292 GYE785203:GYE785292 GOI785203:GOI785292 GEM785203:GEM785292 FUQ785203:FUQ785292 FKU785203:FKU785292 FAY785203:FAY785292 ERC785203:ERC785292 EHG785203:EHG785292 DXK785203:DXK785292 DNO785203:DNO785292 DDS785203:DDS785292 CTW785203:CTW785292 CKA785203:CKA785292 CAE785203:CAE785292 BQI785203:BQI785292 BGM785203:BGM785292 AWQ785203:AWQ785292 AMU785203:AMU785292 ACY785203:ACY785292 TC785203:TC785292 JG785203:JG785292 K785212:K785301 WVS719667:WVS719756 WLW719667:WLW719756 WCA719667:WCA719756 VSE719667:VSE719756 VII719667:VII719756 UYM719667:UYM719756 UOQ719667:UOQ719756 UEU719667:UEU719756 TUY719667:TUY719756 TLC719667:TLC719756 TBG719667:TBG719756 SRK719667:SRK719756 SHO719667:SHO719756 RXS719667:RXS719756 RNW719667:RNW719756 REA719667:REA719756 QUE719667:QUE719756 QKI719667:QKI719756 QAM719667:QAM719756 PQQ719667:PQQ719756 PGU719667:PGU719756 OWY719667:OWY719756 ONC719667:ONC719756 ODG719667:ODG719756 NTK719667:NTK719756 NJO719667:NJO719756 MZS719667:MZS719756 MPW719667:MPW719756 MGA719667:MGA719756 LWE719667:LWE719756 LMI719667:LMI719756 LCM719667:LCM719756 KSQ719667:KSQ719756 KIU719667:KIU719756 JYY719667:JYY719756 JPC719667:JPC719756 JFG719667:JFG719756 IVK719667:IVK719756 ILO719667:ILO719756 IBS719667:IBS719756 HRW719667:HRW719756 HIA719667:HIA719756 GYE719667:GYE719756 GOI719667:GOI719756 GEM719667:GEM719756 FUQ719667:FUQ719756 FKU719667:FKU719756 FAY719667:FAY719756 ERC719667:ERC719756 EHG719667:EHG719756 DXK719667:DXK719756 DNO719667:DNO719756 DDS719667:DDS719756 CTW719667:CTW719756 CKA719667:CKA719756 CAE719667:CAE719756 BQI719667:BQI719756 BGM719667:BGM719756 AWQ719667:AWQ719756 AMU719667:AMU719756 ACY719667:ACY719756 TC719667:TC719756 JG719667:JG719756 K719676:K719765 WVS654131:WVS654220 WLW654131:WLW654220 WCA654131:WCA654220 VSE654131:VSE654220 VII654131:VII654220 UYM654131:UYM654220 UOQ654131:UOQ654220 UEU654131:UEU654220 TUY654131:TUY654220 TLC654131:TLC654220 TBG654131:TBG654220 SRK654131:SRK654220 SHO654131:SHO654220 RXS654131:RXS654220 RNW654131:RNW654220 REA654131:REA654220 QUE654131:QUE654220 QKI654131:QKI654220 QAM654131:QAM654220 PQQ654131:PQQ654220 PGU654131:PGU654220 OWY654131:OWY654220 ONC654131:ONC654220 ODG654131:ODG654220 NTK654131:NTK654220 NJO654131:NJO654220 MZS654131:MZS654220 MPW654131:MPW654220 MGA654131:MGA654220 LWE654131:LWE654220 LMI654131:LMI654220 LCM654131:LCM654220 KSQ654131:KSQ654220 KIU654131:KIU654220 JYY654131:JYY654220 JPC654131:JPC654220 JFG654131:JFG654220 IVK654131:IVK654220 ILO654131:ILO654220 IBS654131:IBS654220 HRW654131:HRW654220 HIA654131:HIA654220 GYE654131:GYE654220 GOI654131:GOI654220 GEM654131:GEM654220 FUQ654131:FUQ654220 FKU654131:FKU654220 FAY654131:FAY654220 ERC654131:ERC654220 EHG654131:EHG654220 DXK654131:DXK654220 DNO654131:DNO654220 DDS654131:DDS654220 CTW654131:CTW654220 CKA654131:CKA654220 CAE654131:CAE654220 BQI654131:BQI654220 BGM654131:BGM654220 AWQ654131:AWQ654220 AMU654131:AMU654220 ACY654131:ACY654220 TC654131:TC654220 JG654131:JG654220 K654140:K654229 WVS588595:WVS588684 WLW588595:WLW588684 WCA588595:WCA588684 VSE588595:VSE588684 VII588595:VII588684 UYM588595:UYM588684 UOQ588595:UOQ588684 UEU588595:UEU588684 TUY588595:TUY588684 TLC588595:TLC588684 TBG588595:TBG588684 SRK588595:SRK588684 SHO588595:SHO588684 RXS588595:RXS588684 RNW588595:RNW588684 REA588595:REA588684 QUE588595:QUE588684 QKI588595:QKI588684 QAM588595:QAM588684 PQQ588595:PQQ588684 PGU588595:PGU588684 OWY588595:OWY588684 ONC588595:ONC588684 ODG588595:ODG588684 NTK588595:NTK588684 NJO588595:NJO588684 MZS588595:MZS588684 MPW588595:MPW588684 MGA588595:MGA588684 LWE588595:LWE588684 LMI588595:LMI588684 LCM588595:LCM588684 KSQ588595:KSQ588684 KIU588595:KIU588684 JYY588595:JYY588684 JPC588595:JPC588684 JFG588595:JFG588684 IVK588595:IVK588684 ILO588595:ILO588684 IBS588595:IBS588684 HRW588595:HRW588684 HIA588595:HIA588684 GYE588595:GYE588684 GOI588595:GOI588684 GEM588595:GEM588684 FUQ588595:FUQ588684 FKU588595:FKU588684 FAY588595:FAY588684 ERC588595:ERC588684 EHG588595:EHG588684 DXK588595:DXK588684 DNO588595:DNO588684 DDS588595:DDS588684 CTW588595:CTW588684 CKA588595:CKA588684 CAE588595:CAE588684 BQI588595:BQI588684 BGM588595:BGM588684 AWQ588595:AWQ588684 AMU588595:AMU588684 ACY588595:ACY588684 TC588595:TC588684 JG588595:JG588684 K588604:K588693 WVS523059:WVS523148 WLW523059:WLW523148 WCA523059:WCA523148 VSE523059:VSE523148 VII523059:VII523148 UYM523059:UYM523148 UOQ523059:UOQ523148 UEU523059:UEU523148 TUY523059:TUY523148 TLC523059:TLC523148 TBG523059:TBG523148 SRK523059:SRK523148 SHO523059:SHO523148 RXS523059:RXS523148 RNW523059:RNW523148 REA523059:REA523148 QUE523059:QUE523148 QKI523059:QKI523148 QAM523059:QAM523148 PQQ523059:PQQ523148 PGU523059:PGU523148 OWY523059:OWY523148 ONC523059:ONC523148 ODG523059:ODG523148 NTK523059:NTK523148 NJO523059:NJO523148 MZS523059:MZS523148 MPW523059:MPW523148 MGA523059:MGA523148 LWE523059:LWE523148 LMI523059:LMI523148 LCM523059:LCM523148 KSQ523059:KSQ523148 KIU523059:KIU523148 JYY523059:JYY523148 JPC523059:JPC523148 JFG523059:JFG523148 IVK523059:IVK523148 ILO523059:ILO523148 IBS523059:IBS523148 HRW523059:HRW523148 HIA523059:HIA523148 GYE523059:GYE523148 GOI523059:GOI523148 GEM523059:GEM523148 FUQ523059:FUQ523148 FKU523059:FKU523148 FAY523059:FAY523148 ERC523059:ERC523148 EHG523059:EHG523148 DXK523059:DXK523148 DNO523059:DNO523148 DDS523059:DDS523148 CTW523059:CTW523148 CKA523059:CKA523148 CAE523059:CAE523148 BQI523059:BQI523148 BGM523059:BGM523148 AWQ523059:AWQ523148 AMU523059:AMU523148 ACY523059:ACY523148 TC523059:TC523148 JG523059:JG523148 K523068:K523157 WVS457523:WVS457612 WLW457523:WLW457612 WCA457523:WCA457612 VSE457523:VSE457612 VII457523:VII457612 UYM457523:UYM457612 UOQ457523:UOQ457612 UEU457523:UEU457612 TUY457523:TUY457612 TLC457523:TLC457612 TBG457523:TBG457612 SRK457523:SRK457612 SHO457523:SHO457612 RXS457523:RXS457612 RNW457523:RNW457612 REA457523:REA457612 QUE457523:QUE457612 QKI457523:QKI457612 QAM457523:QAM457612 PQQ457523:PQQ457612 PGU457523:PGU457612 OWY457523:OWY457612 ONC457523:ONC457612 ODG457523:ODG457612 NTK457523:NTK457612 NJO457523:NJO457612 MZS457523:MZS457612 MPW457523:MPW457612 MGA457523:MGA457612 LWE457523:LWE457612 LMI457523:LMI457612 LCM457523:LCM457612 KSQ457523:KSQ457612 KIU457523:KIU457612 JYY457523:JYY457612 JPC457523:JPC457612 JFG457523:JFG457612 IVK457523:IVK457612 ILO457523:ILO457612 IBS457523:IBS457612 HRW457523:HRW457612 HIA457523:HIA457612 GYE457523:GYE457612 GOI457523:GOI457612 GEM457523:GEM457612 FUQ457523:FUQ457612 FKU457523:FKU457612 FAY457523:FAY457612 ERC457523:ERC457612 EHG457523:EHG457612 DXK457523:DXK457612 DNO457523:DNO457612 DDS457523:DDS457612 CTW457523:CTW457612 CKA457523:CKA457612 CAE457523:CAE457612 BQI457523:BQI457612 BGM457523:BGM457612 AWQ457523:AWQ457612 AMU457523:AMU457612 ACY457523:ACY457612 TC457523:TC457612 JG457523:JG457612 K457532:K457621 WVS391987:WVS392076 WLW391987:WLW392076 WCA391987:WCA392076 VSE391987:VSE392076 VII391987:VII392076 UYM391987:UYM392076 UOQ391987:UOQ392076 UEU391987:UEU392076 TUY391987:TUY392076 TLC391987:TLC392076 TBG391987:TBG392076 SRK391987:SRK392076 SHO391987:SHO392076 RXS391987:RXS392076 RNW391987:RNW392076 REA391987:REA392076 QUE391987:QUE392076 QKI391987:QKI392076 QAM391987:QAM392076 PQQ391987:PQQ392076 PGU391987:PGU392076 OWY391987:OWY392076 ONC391987:ONC392076 ODG391987:ODG392076 NTK391987:NTK392076 NJO391987:NJO392076 MZS391987:MZS392076 MPW391987:MPW392076 MGA391987:MGA392076 LWE391987:LWE392076 LMI391987:LMI392076 LCM391987:LCM392076 KSQ391987:KSQ392076 KIU391987:KIU392076 JYY391987:JYY392076 JPC391987:JPC392076 JFG391987:JFG392076 IVK391987:IVK392076 ILO391987:ILO392076 IBS391987:IBS392076 HRW391987:HRW392076 HIA391987:HIA392076 GYE391987:GYE392076 GOI391987:GOI392076 GEM391987:GEM392076 FUQ391987:FUQ392076 FKU391987:FKU392076 FAY391987:FAY392076 ERC391987:ERC392076 EHG391987:EHG392076 DXK391987:DXK392076 DNO391987:DNO392076 DDS391987:DDS392076 CTW391987:CTW392076 CKA391987:CKA392076 CAE391987:CAE392076 BQI391987:BQI392076 BGM391987:BGM392076 AWQ391987:AWQ392076 AMU391987:AMU392076 ACY391987:ACY392076 TC391987:TC392076 JG391987:JG392076 K391996:K392085 WVS326451:WVS326540 WLW326451:WLW326540 WCA326451:WCA326540 VSE326451:VSE326540 VII326451:VII326540 UYM326451:UYM326540 UOQ326451:UOQ326540 UEU326451:UEU326540 TUY326451:TUY326540 TLC326451:TLC326540 TBG326451:TBG326540 SRK326451:SRK326540 SHO326451:SHO326540 RXS326451:RXS326540 RNW326451:RNW326540 REA326451:REA326540 QUE326451:QUE326540 QKI326451:QKI326540 QAM326451:QAM326540 PQQ326451:PQQ326540 PGU326451:PGU326540 OWY326451:OWY326540 ONC326451:ONC326540 ODG326451:ODG326540 NTK326451:NTK326540 NJO326451:NJO326540 MZS326451:MZS326540 MPW326451:MPW326540 MGA326451:MGA326540 LWE326451:LWE326540 LMI326451:LMI326540 LCM326451:LCM326540 KSQ326451:KSQ326540 KIU326451:KIU326540 JYY326451:JYY326540 JPC326451:JPC326540 JFG326451:JFG326540 IVK326451:IVK326540 ILO326451:ILO326540 IBS326451:IBS326540 HRW326451:HRW326540 HIA326451:HIA326540 GYE326451:GYE326540 GOI326451:GOI326540 GEM326451:GEM326540 FUQ326451:FUQ326540 FKU326451:FKU326540 FAY326451:FAY326540 ERC326451:ERC326540 EHG326451:EHG326540 DXK326451:DXK326540 DNO326451:DNO326540 DDS326451:DDS326540 CTW326451:CTW326540 CKA326451:CKA326540 CAE326451:CAE326540 BQI326451:BQI326540 BGM326451:BGM326540 AWQ326451:AWQ326540 AMU326451:AMU326540 ACY326451:ACY326540 TC326451:TC326540 JG326451:JG326540 K326460:K326549 WVS260915:WVS261004 WLW260915:WLW261004 WCA260915:WCA261004 VSE260915:VSE261004 VII260915:VII261004 UYM260915:UYM261004 UOQ260915:UOQ261004 UEU260915:UEU261004 TUY260915:TUY261004 TLC260915:TLC261004 TBG260915:TBG261004 SRK260915:SRK261004 SHO260915:SHO261004 RXS260915:RXS261004 RNW260915:RNW261004 REA260915:REA261004 QUE260915:QUE261004 QKI260915:QKI261004 QAM260915:QAM261004 PQQ260915:PQQ261004 PGU260915:PGU261004 OWY260915:OWY261004 ONC260915:ONC261004 ODG260915:ODG261004 NTK260915:NTK261004 NJO260915:NJO261004 MZS260915:MZS261004 MPW260915:MPW261004 MGA260915:MGA261004 LWE260915:LWE261004 LMI260915:LMI261004 LCM260915:LCM261004 KSQ260915:KSQ261004 KIU260915:KIU261004 JYY260915:JYY261004 JPC260915:JPC261004 JFG260915:JFG261004 IVK260915:IVK261004 ILO260915:ILO261004 IBS260915:IBS261004 HRW260915:HRW261004 HIA260915:HIA261004 GYE260915:GYE261004 GOI260915:GOI261004 GEM260915:GEM261004 FUQ260915:FUQ261004 FKU260915:FKU261004 FAY260915:FAY261004 ERC260915:ERC261004 EHG260915:EHG261004 DXK260915:DXK261004 DNO260915:DNO261004 DDS260915:DDS261004 CTW260915:CTW261004 CKA260915:CKA261004 CAE260915:CAE261004 BQI260915:BQI261004 BGM260915:BGM261004 AWQ260915:AWQ261004 AMU260915:AMU261004 ACY260915:ACY261004 TC260915:TC261004 JG260915:JG261004 K260924:K261013 WVS195379:WVS195468 WLW195379:WLW195468 WCA195379:WCA195468 VSE195379:VSE195468 VII195379:VII195468 UYM195379:UYM195468 UOQ195379:UOQ195468 UEU195379:UEU195468 TUY195379:TUY195468 TLC195379:TLC195468 TBG195379:TBG195468 SRK195379:SRK195468 SHO195379:SHO195468 RXS195379:RXS195468 RNW195379:RNW195468 REA195379:REA195468 QUE195379:QUE195468 QKI195379:QKI195468 QAM195379:QAM195468 PQQ195379:PQQ195468 PGU195379:PGU195468 OWY195379:OWY195468 ONC195379:ONC195468 ODG195379:ODG195468 NTK195379:NTK195468 NJO195379:NJO195468 MZS195379:MZS195468 MPW195379:MPW195468 MGA195379:MGA195468 LWE195379:LWE195468 LMI195379:LMI195468 LCM195379:LCM195468 KSQ195379:KSQ195468 KIU195379:KIU195468 JYY195379:JYY195468 JPC195379:JPC195468 JFG195379:JFG195468 IVK195379:IVK195468 ILO195379:ILO195468 IBS195379:IBS195468 HRW195379:HRW195468 HIA195379:HIA195468 GYE195379:GYE195468 GOI195379:GOI195468 GEM195379:GEM195468 FUQ195379:FUQ195468 FKU195379:FKU195468 FAY195379:FAY195468 ERC195379:ERC195468 EHG195379:EHG195468 DXK195379:DXK195468 DNO195379:DNO195468 DDS195379:DDS195468 CTW195379:CTW195468 CKA195379:CKA195468 CAE195379:CAE195468 BQI195379:BQI195468 BGM195379:BGM195468 AWQ195379:AWQ195468 AMU195379:AMU195468 ACY195379:ACY195468 TC195379:TC195468 JG195379:JG195468 K195388:K195477 WVS129843:WVS129932 WLW129843:WLW129932 WCA129843:WCA129932 VSE129843:VSE129932 VII129843:VII129932 UYM129843:UYM129932 UOQ129843:UOQ129932 UEU129843:UEU129932 TUY129843:TUY129932 TLC129843:TLC129932 TBG129843:TBG129932 SRK129843:SRK129932 SHO129843:SHO129932 RXS129843:RXS129932 RNW129843:RNW129932 REA129843:REA129932 QUE129843:QUE129932 QKI129843:QKI129932 QAM129843:QAM129932 PQQ129843:PQQ129932 PGU129843:PGU129932 OWY129843:OWY129932 ONC129843:ONC129932 ODG129843:ODG129932 NTK129843:NTK129932 NJO129843:NJO129932 MZS129843:MZS129932 MPW129843:MPW129932 MGA129843:MGA129932 LWE129843:LWE129932 LMI129843:LMI129932 LCM129843:LCM129932 KSQ129843:KSQ129932 KIU129843:KIU129932 JYY129843:JYY129932 JPC129843:JPC129932 JFG129843:JFG129932 IVK129843:IVK129932 ILO129843:ILO129932 IBS129843:IBS129932 HRW129843:HRW129932 HIA129843:HIA129932 GYE129843:GYE129932 GOI129843:GOI129932 GEM129843:GEM129932 FUQ129843:FUQ129932 FKU129843:FKU129932 FAY129843:FAY129932 ERC129843:ERC129932 EHG129843:EHG129932 DXK129843:DXK129932 DNO129843:DNO129932 DDS129843:DDS129932 CTW129843:CTW129932 CKA129843:CKA129932 CAE129843:CAE129932 BQI129843:BQI129932 BGM129843:BGM129932 AWQ129843:AWQ129932 AMU129843:AMU129932 ACY129843:ACY129932 TC129843:TC129932 JG129843:JG129932 K129852:K129941 WVS64307:WVS64396 WLW64307:WLW64396 WCA64307:WCA64396 VSE64307:VSE64396 VII64307:VII64396 UYM64307:UYM64396 UOQ64307:UOQ64396 UEU64307:UEU64396 TUY64307:TUY64396 TLC64307:TLC64396 TBG64307:TBG64396 SRK64307:SRK64396 SHO64307:SHO64396 RXS64307:RXS64396 RNW64307:RNW64396 REA64307:REA64396 QUE64307:QUE64396 QKI64307:QKI64396 QAM64307:QAM64396 PQQ64307:PQQ64396 PGU64307:PGU64396 OWY64307:OWY64396 ONC64307:ONC64396 ODG64307:ODG64396 NTK64307:NTK64396 NJO64307:NJO64396 MZS64307:MZS64396 MPW64307:MPW64396 MGA64307:MGA64396 LWE64307:LWE64396 LMI64307:LMI64396 LCM64307:LCM64396 KSQ64307:KSQ64396 KIU64307:KIU64396 JYY64307:JYY64396 JPC64307:JPC64396 JFG64307:JFG64396 IVK64307:IVK64396 ILO64307:ILO64396 IBS64307:IBS64396 HRW64307:HRW64396 HIA64307:HIA64396 GYE64307:GYE64396 GOI64307:GOI64396 GEM64307:GEM64396 FUQ64307:FUQ64396 FKU64307:FKU64396 FAY64307:FAY64396 ERC64307:ERC64396 EHG64307:EHG64396 DXK64307:DXK64396 DNO64307:DNO64396 DDS64307:DDS64396 CTW64307:CTW64396 CKA64307:CKA64396 CAE64307:CAE64396 BQI64307:BQI64396 BGM64307:BGM64396 AWQ64307:AWQ64396 AMU64307:AMU64396 ACY64307:ACY64396 TC64307:TC64396 JG64307:JG64396 K64316:K64405 JG2:JG79 TC2:TC79 ACY2:ACY79 AMU2:AMU79 AWQ2:AWQ79 BGM2:BGM79 BQI2:BQI79 CAE2:CAE79 CKA2:CKA79 CTW2:CTW79 DDS2:DDS79 DNO2:DNO79 DXK2:DXK79 EHG2:EHG79 ERC2:ERC79 FAY2:FAY79 FKU2:FKU79 FUQ2:FUQ79 GEM2:GEM79 GOI2:GOI79 GYE2:GYE79 HIA2:HIA79 HRW2:HRW79 IBS2:IBS79 ILO2:ILO79 IVK2:IVK79 JFG2:JFG79 JPC2:JPC79 JYY2:JYY79 KIU2:KIU79 KSQ2:KSQ79 LCM2:LCM79 LMI2:LMI79 LWE2:LWE79 MGA2:MGA79 MPW2:MPW79 MZS2:MZS79 NJO2:NJO79 NTK2:NTK79 ODG2:ODG79 ONC2:ONC79 OWY2:OWY79 PGU2:PGU79 PQQ2:PQQ79 QAM2:QAM79 QKI2:QKI79 QUE2:QUE79 REA2:REA79 RNW2:RNW79 RXS2:RXS79 SHO2:SHO79 SRK2:SRK79 TBG2:TBG79 TLC2:TLC79 TUY2:TUY79 UEU2:UEU79 UOQ2:UOQ79 UYM2:UYM79 VII2:VII79 VSE2:VSE79 WCA2:WCA79 WLW2:WLW79 WVS2:WVS79" xr:uid="{04771AFD-1D10-44CA-8A23-A8667EE898FF}">
      <formula1>$AR$2:$AR$24</formula1>
    </dataValidation>
    <dataValidation type="list" allowBlank="1" showInputMessage="1" showErrorMessage="1" sqref="WVR981811:WVR981900 WLV981811:WLV981900 WBZ981811:WBZ981900 VSD981811:VSD981900 VIH981811:VIH981900 UYL981811:UYL981900 UOP981811:UOP981900 UET981811:UET981900 TUX981811:TUX981900 TLB981811:TLB981900 TBF981811:TBF981900 SRJ981811:SRJ981900 SHN981811:SHN981900 RXR981811:RXR981900 RNV981811:RNV981900 RDZ981811:RDZ981900 QUD981811:QUD981900 QKH981811:QKH981900 QAL981811:QAL981900 PQP981811:PQP981900 PGT981811:PGT981900 OWX981811:OWX981900 ONB981811:ONB981900 ODF981811:ODF981900 NTJ981811:NTJ981900 NJN981811:NJN981900 MZR981811:MZR981900 MPV981811:MPV981900 MFZ981811:MFZ981900 LWD981811:LWD981900 LMH981811:LMH981900 LCL981811:LCL981900 KSP981811:KSP981900 KIT981811:KIT981900 JYX981811:JYX981900 JPB981811:JPB981900 JFF981811:JFF981900 IVJ981811:IVJ981900 ILN981811:ILN981900 IBR981811:IBR981900 HRV981811:HRV981900 HHZ981811:HHZ981900 GYD981811:GYD981900 GOH981811:GOH981900 GEL981811:GEL981900 FUP981811:FUP981900 FKT981811:FKT981900 FAX981811:FAX981900 ERB981811:ERB981900 EHF981811:EHF981900 DXJ981811:DXJ981900 DNN981811:DNN981900 DDR981811:DDR981900 CTV981811:CTV981900 CJZ981811:CJZ981900 CAD981811:CAD981900 BQH981811:BQH981900 BGL981811:BGL981900 AWP981811:AWP981900 AMT981811:AMT981900 ACX981811:ACX981900 TB981811:TB981900 JF981811:JF981900 J981820:J981909 WVR916275:WVR916364 WLV916275:WLV916364 WBZ916275:WBZ916364 VSD916275:VSD916364 VIH916275:VIH916364 UYL916275:UYL916364 UOP916275:UOP916364 UET916275:UET916364 TUX916275:TUX916364 TLB916275:TLB916364 TBF916275:TBF916364 SRJ916275:SRJ916364 SHN916275:SHN916364 RXR916275:RXR916364 RNV916275:RNV916364 RDZ916275:RDZ916364 QUD916275:QUD916364 QKH916275:QKH916364 QAL916275:QAL916364 PQP916275:PQP916364 PGT916275:PGT916364 OWX916275:OWX916364 ONB916275:ONB916364 ODF916275:ODF916364 NTJ916275:NTJ916364 NJN916275:NJN916364 MZR916275:MZR916364 MPV916275:MPV916364 MFZ916275:MFZ916364 LWD916275:LWD916364 LMH916275:LMH916364 LCL916275:LCL916364 KSP916275:KSP916364 KIT916275:KIT916364 JYX916275:JYX916364 JPB916275:JPB916364 JFF916275:JFF916364 IVJ916275:IVJ916364 ILN916275:ILN916364 IBR916275:IBR916364 HRV916275:HRV916364 HHZ916275:HHZ916364 GYD916275:GYD916364 GOH916275:GOH916364 GEL916275:GEL916364 FUP916275:FUP916364 FKT916275:FKT916364 FAX916275:FAX916364 ERB916275:ERB916364 EHF916275:EHF916364 DXJ916275:DXJ916364 DNN916275:DNN916364 DDR916275:DDR916364 CTV916275:CTV916364 CJZ916275:CJZ916364 CAD916275:CAD916364 BQH916275:BQH916364 BGL916275:BGL916364 AWP916275:AWP916364 AMT916275:AMT916364 ACX916275:ACX916364 TB916275:TB916364 JF916275:JF916364 J916284:J916373 WVR850739:WVR850828 WLV850739:WLV850828 WBZ850739:WBZ850828 VSD850739:VSD850828 VIH850739:VIH850828 UYL850739:UYL850828 UOP850739:UOP850828 UET850739:UET850828 TUX850739:TUX850828 TLB850739:TLB850828 TBF850739:TBF850828 SRJ850739:SRJ850828 SHN850739:SHN850828 RXR850739:RXR850828 RNV850739:RNV850828 RDZ850739:RDZ850828 QUD850739:QUD850828 QKH850739:QKH850828 QAL850739:QAL850828 PQP850739:PQP850828 PGT850739:PGT850828 OWX850739:OWX850828 ONB850739:ONB850828 ODF850739:ODF850828 NTJ850739:NTJ850828 NJN850739:NJN850828 MZR850739:MZR850828 MPV850739:MPV850828 MFZ850739:MFZ850828 LWD850739:LWD850828 LMH850739:LMH850828 LCL850739:LCL850828 KSP850739:KSP850828 KIT850739:KIT850828 JYX850739:JYX850828 JPB850739:JPB850828 JFF850739:JFF850828 IVJ850739:IVJ850828 ILN850739:ILN850828 IBR850739:IBR850828 HRV850739:HRV850828 HHZ850739:HHZ850828 GYD850739:GYD850828 GOH850739:GOH850828 GEL850739:GEL850828 FUP850739:FUP850828 FKT850739:FKT850828 FAX850739:FAX850828 ERB850739:ERB850828 EHF850739:EHF850828 DXJ850739:DXJ850828 DNN850739:DNN850828 DDR850739:DDR850828 CTV850739:CTV850828 CJZ850739:CJZ850828 CAD850739:CAD850828 BQH850739:BQH850828 BGL850739:BGL850828 AWP850739:AWP850828 AMT850739:AMT850828 ACX850739:ACX850828 TB850739:TB850828 JF850739:JF850828 J850748:J850837 WVR785203:WVR785292 WLV785203:WLV785292 WBZ785203:WBZ785292 VSD785203:VSD785292 VIH785203:VIH785292 UYL785203:UYL785292 UOP785203:UOP785292 UET785203:UET785292 TUX785203:TUX785292 TLB785203:TLB785292 TBF785203:TBF785292 SRJ785203:SRJ785292 SHN785203:SHN785292 RXR785203:RXR785292 RNV785203:RNV785292 RDZ785203:RDZ785292 QUD785203:QUD785292 QKH785203:QKH785292 QAL785203:QAL785292 PQP785203:PQP785292 PGT785203:PGT785292 OWX785203:OWX785292 ONB785203:ONB785292 ODF785203:ODF785292 NTJ785203:NTJ785292 NJN785203:NJN785292 MZR785203:MZR785292 MPV785203:MPV785292 MFZ785203:MFZ785292 LWD785203:LWD785292 LMH785203:LMH785292 LCL785203:LCL785292 KSP785203:KSP785292 KIT785203:KIT785292 JYX785203:JYX785292 JPB785203:JPB785292 JFF785203:JFF785292 IVJ785203:IVJ785292 ILN785203:ILN785292 IBR785203:IBR785292 HRV785203:HRV785292 HHZ785203:HHZ785292 GYD785203:GYD785292 GOH785203:GOH785292 GEL785203:GEL785292 FUP785203:FUP785292 FKT785203:FKT785292 FAX785203:FAX785292 ERB785203:ERB785292 EHF785203:EHF785292 DXJ785203:DXJ785292 DNN785203:DNN785292 DDR785203:DDR785292 CTV785203:CTV785292 CJZ785203:CJZ785292 CAD785203:CAD785292 BQH785203:BQH785292 BGL785203:BGL785292 AWP785203:AWP785292 AMT785203:AMT785292 ACX785203:ACX785292 TB785203:TB785292 JF785203:JF785292 J785212:J785301 WVR719667:WVR719756 WLV719667:WLV719756 WBZ719667:WBZ719756 VSD719667:VSD719756 VIH719667:VIH719756 UYL719667:UYL719756 UOP719667:UOP719756 UET719667:UET719756 TUX719667:TUX719756 TLB719667:TLB719756 TBF719667:TBF719756 SRJ719667:SRJ719756 SHN719667:SHN719756 RXR719667:RXR719756 RNV719667:RNV719756 RDZ719667:RDZ719756 QUD719667:QUD719756 QKH719667:QKH719756 QAL719667:QAL719756 PQP719667:PQP719756 PGT719667:PGT719756 OWX719667:OWX719756 ONB719667:ONB719756 ODF719667:ODF719756 NTJ719667:NTJ719756 NJN719667:NJN719756 MZR719667:MZR719756 MPV719667:MPV719756 MFZ719667:MFZ719756 LWD719667:LWD719756 LMH719667:LMH719756 LCL719667:LCL719756 KSP719667:KSP719756 KIT719667:KIT719756 JYX719667:JYX719756 JPB719667:JPB719756 JFF719667:JFF719756 IVJ719667:IVJ719756 ILN719667:ILN719756 IBR719667:IBR719756 HRV719667:HRV719756 HHZ719667:HHZ719756 GYD719667:GYD719756 GOH719667:GOH719756 GEL719667:GEL719756 FUP719667:FUP719756 FKT719667:FKT719756 FAX719667:FAX719756 ERB719667:ERB719756 EHF719667:EHF719756 DXJ719667:DXJ719756 DNN719667:DNN719756 DDR719667:DDR719756 CTV719667:CTV719756 CJZ719667:CJZ719756 CAD719667:CAD719756 BQH719667:BQH719756 BGL719667:BGL719756 AWP719667:AWP719756 AMT719667:AMT719756 ACX719667:ACX719756 TB719667:TB719756 JF719667:JF719756 J719676:J719765 WVR654131:WVR654220 WLV654131:WLV654220 WBZ654131:WBZ654220 VSD654131:VSD654220 VIH654131:VIH654220 UYL654131:UYL654220 UOP654131:UOP654220 UET654131:UET654220 TUX654131:TUX654220 TLB654131:TLB654220 TBF654131:TBF654220 SRJ654131:SRJ654220 SHN654131:SHN654220 RXR654131:RXR654220 RNV654131:RNV654220 RDZ654131:RDZ654220 QUD654131:QUD654220 QKH654131:QKH654220 QAL654131:QAL654220 PQP654131:PQP654220 PGT654131:PGT654220 OWX654131:OWX654220 ONB654131:ONB654220 ODF654131:ODF654220 NTJ654131:NTJ654220 NJN654131:NJN654220 MZR654131:MZR654220 MPV654131:MPV654220 MFZ654131:MFZ654220 LWD654131:LWD654220 LMH654131:LMH654220 LCL654131:LCL654220 KSP654131:KSP654220 KIT654131:KIT654220 JYX654131:JYX654220 JPB654131:JPB654220 JFF654131:JFF654220 IVJ654131:IVJ654220 ILN654131:ILN654220 IBR654131:IBR654220 HRV654131:HRV654220 HHZ654131:HHZ654220 GYD654131:GYD654220 GOH654131:GOH654220 GEL654131:GEL654220 FUP654131:FUP654220 FKT654131:FKT654220 FAX654131:FAX654220 ERB654131:ERB654220 EHF654131:EHF654220 DXJ654131:DXJ654220 DNN654131:DNN654220 DDR654131:DDR654220 CTV654131:CTV654220 CJZ654131:CJZ654220 CAD654131:CAD654220 BQH654131:BQH654220 BGL654131:BGL654220 AWP654131:AWP654220 AMT654131:AMT654220 ACX654131:ACX654220 TB654131:TB654220 JF654131:JF654220 J654140:J654229 WVR588595:WVR588684 WLV588595:WLV588684 WBZ588595:WBZ588684 VSD588595:VSD588684 VIH588595:VIH588684 UYL588595:UYL588684 UOP588595:UOP588684 UET588595:UET588684 TUX588595:TUX588684 TLB588595:TLB588684 TBF588595:TBF588684 SRJ588595:SRJ588684 SHN588595:SHN588684 RXR588595:RXR588684 RNV588595:RNV588684 RDZ588595:RDZ588684 QUD588595:QUD588684 QKH588595:QKH588684 QAL588595:QAL588684 PQP588595:PQP588684 PGT588595:PGT588684 OWX588595:OWX588684 ONB588595:ONB588684 ODF588595:ODF588684 NTJ588595:NTJ588684 NJN588595:NJN588684 MZR588595:MZR588684 MPV588595:MPV588684 MFZ588595:MFZ588684 LWD588595:LWD588684 LMH588595:LMH588684 LCL588595:LCL588684 KSP588595:KSP588684 KIT588595:KIT588684 JYX588595:JYX588684 JPB588595:JPB588684 JFF588595:JFF588684 IVJ588595:IVJ588684 ILN588595:ILN588684 IBR588595:IBR588684 HRV588595:HRV588684 HHZ588595:HHZ588684 GYD588595:GYD588684 GOH588595:GOH588684 GEL588595:GEL588684 FUP588595:FUP588684 FKT588595:FKT588684 FAX588595:FAX588684 ERB588595:ERB588684 EHF588595:EHF588684 DXJ588595:DXJ588684 DNN588595:DNN588684 DDR588595:DDR588684 CTV588595:CTV588684 CJZ588595:CJZ588684 CAD588595:CAD588684 BQH588595:BQH588684 BGL588595:BGL588684 AWP588595:AWP588684 AMT588595:AMT588684 ACX588595:ACX588684 TB588595:TB588684 JF588595:JF588684 J588604:J588693 WVR523059:WVR523148 WLV523059:WLV523148 WBZ523059:WBZ523148 VSD523059:VSD523148 VIH523059:VIH523148 UYL523059:UYL523148 UOP523059:UOP523148 UET523059:UET523148 TUX523059:TUX523148 TLB523059:TLB523148 TBF523059:TBF523148 SRJ523059:SRJ523148 SHN523059:SHN523148 RXR523059:RXR523148 RNV523059:RNV523148 RDZ523059:RDZ523148 QUD523059:QUD523148 QKH523059:QKH523148 QAL523059:QAL523148 PQP523059:PQP523148 PGT523059:PGT523148 OWX523059:OWX523148 ONB523059:ONB523148 ODF523059:ODF523148 NTJ523059:NTJ523148 NJN523059:NJN523148 MZR523059:MZR523148 MPV523059:MPV523148 MFZ523059:MFZ523148 LWD523059:LWD523148 LMH523059:LMH523148 LCL523059:LCL523148 KSP523059:KSP523148 KIT523059:KIT523148 JYX523059:JYX523148 JPB523059:JPB523148 JFF523059:JFF523148 IVJ523059:IVJ523148 ILN523059:ILN523148 IBR523059:IBR523148 HRV523059:HRV523148 HHZ523059:HHZ523148 GYD523059:GYD523148 GOH523059:GOH523148 GEL523059:GEL523148 FUP523059:FUP523148 FKT523059:FKT523148 FAX523059:FAX523148 ERB523059:ERB523148 EHF523059:EHF523148 DXJ523059:DXJ523148 DNN523059:DNN523148 DDR523059:DDR523148 CTV523059:CTV523148 CJZ523059:CJZ523148 CAD523059:CAD523148 BQH523059:BQH523148 BGL523059:BGL523148 AWP523059:AWP523148 AMT523059:AMT523148 ACX523059:ACX523148 TB523059:TB523148 JF523059:JF523148 J523068:J523157 WVR457523:WVR457612 WLV457523:WLV457612 WBZ457523:WBZ457612 VSD457523:VSD457612 VIH457523:VIH457612 UYL457523:UYL457612 UOP457523:UOP457612 UET457523:UET457612 TUX457523:TUX457612 TLB457523:TLB457612 TBF457523:TBF457612 SRJ457523:SRJ457612 SHN457523:SHN457612 RXR457523:RXR457612 RNV457523:RNV457612 RDZ457523:RDZ457612 QUD457523:QUD457612 QKH457523:QKH457612 QAL457523:QAL457612 PQP457523:PQP457612 PGT457523:PGT457612 OWX457523:OWX457612 ONB457523:ONB457612 ODF457523:ODF457612 NTJ457523:NTJ457612 NJN457523:NJN457612 MZR457523:MZR457612 MPV457523:MPV457612 MFZ457523:MFZ457612 LWD457523:LWD457612 LMH457523:LMH457612 LCL457523:LCL457612 KSP457523:KSP457612 KIT457523:KIT457612 JYX457523:JYX457612 JPB457523:JPB457612 JFF457523:JFF457612 IVJ457523:IVJ457612 ILN457523:ILN457612 IBR457523:IBR457612 HRV457523:HRV457612 HHZ457523:HHZ457612 GYD457523:GYD457612 GOH457523:GOH457612 GEL457523:GEL457612 FUP457523:FUP457612 FKT457523:FKT457612 FAX457523:FAX457612 ERB457523:ERB457612 EHF457523:EHF457612 DXJ457523:DXJ457612 DNN457523:DNN457612 DDR457523:DDR457612 CTV457523:CTV457612 CJZ457523:CJZ457612 CAD457523:CAD457612 BQH457523:BQH457612 BGL457523:BGL457612 AWP457523:AWP457612 AMT457523:AMT457612 ACX457523:ACX457612 TB457523:TB457612 JF457523:JF457612 J457532:J457621 WVR391987:WVR392076 WLV391987:WLV392076 WBZ391987:WBZ392076 VSD391987:VSD392076 VIH391987:VIH392076 UYL391987:UYL392076 UOP391987:UOP392076 UET391987:UET392076 TUX391987:TUX392076 TLB391987:TLB392076 TBF391987:TBF392076 SRJ391987:SRJ392076 SHN391987:SHN392076 RXR391987:RXR392076 RNV391987:RNV392076 RDZ391987:RDZ392076 QUD391987:QUD392076 QKH391987:QKH392076 QAL391987:QAL392076 PQP391987:PQP392076 PGT391987:PGT392076 OWX391987:OWX392076 ONB391987:ONB392076 ODF391987:ODF392076 NTJ391987:NTJ392076 NJN391987:NJN392076 MZR391987:MZR392076 MPV391987:MPV392076 MFZ391987:MFZ392076 LWD391987:LWD392076 LMH391987:LMH392076 LCL391987:LCL392076 KSP391987:KSP392076 KIT391987:KIT392076 JYX391987:JYX392076 JPB391987:JPB392076 JFF391987:JFF392076 IVJ391987:IVJ392076 ILN391987:ILN392076 IBR391987:IBR392076 HRV391987:HRV392076 HHZ391987:HHZ392076 GYD391987:GYD392076 GOH391987:GOH392076 GEL391987:GEL392076 FUP391987:FUP392076 FKT391987:FKT392076 FAX391987:FAX392076 ERB391987:ERB392076 EHF391987:EHF392076 DXJ391987:DXJ392076 DNN391987:DNN392076 DDR391987:DDR392076 CTV391987:CTV392076 CJZ391987:CJZ392076 CAD391987:CAD392076 BQH391987:BQH392076 BGL391987:BGL392076 AWP391987:AWP392076 AMT391987:AMT392076 ACX391987:ACX392076 TB391987:TB392076 JF391987:JF392076 J391996:J392085 WVR326451:WVR326540 WLV326451:WLV326540 WBZ326451:WBZ326540 VSD326451:VSD326540 VIH326451:VIH326540 UYL326451:UYL326540 UOP326451:UOP326540 UET326451:UET326540 TUX326451:TUX326540 TLB326451:TLB326540 TBF326451:TBF326540 SRJ326451:SRJ326540 SHN326451:SHN326540 RXR326451:RXR326540 RNV326451:RNV326540 RDZ326451:RDZ326540 QUD326451:QUD326540 QKH326451:QKH326540 QAL326451:QAL326540 PQP326451:PQP326540 PGT326451:PGT326540 OWX326451:OWX326540 ONB326451:ONB326540 ODF326451:ODF326540 NTJ326451:NTJ326540 NJN326451:NJN326540 MZR326451:MZR326540 MPV326451:MPV326540 MFZ326451:MFZ326540 LWD326451:LWD326540 LMH326451:LMH326540 LCL326451:LCL326540 KSP326451:KSP326540 KIT326451:KIT326540 JYX326451:JYX326540 JPB326451:JPB326540 JFF326451:JFF326540 IVJ326451:IVJ326540 ILN326451:ILN326540 IBR326451:IBR326540 HRV326451:HRV326540 HHZ326451:HHZ326540 GYD326451:GYD326540 GOH326451:GOH326540 GEL326451:GEL326540 FUP326451:FUP326540 FKT326451:FKT326540 FAX326451:FAX326540 ERB326451:ERB326540 EHF326451:EHF326540 DXJ326451:DXJ326540 DNN326451:DNN326540 DDR326451:DDR326540 CTV326451:CTV326540 CJZ326451:CJZ326540 CAD326451:CAD326540 BQH326451:BQH326540 BGL326451:BGL326540 AWP326451:AWP326540 AMT326451:AMT326540 ACX326451:ACX326540 TB326451:TB326540 JF326451:JF326540 J326460:J326549 WVR260915:WVR261004 WLV260915:WLV261004 WBZ260915:WBZ261004 VSD260915:VSD261004 VIH260915:VIH261004 UYL260915:UYL261004 UOP260915:UOP261004 UET260915:UET261004 TUX260915:TUX261004 TLB260915:TLB261004 TBF260915:TBF261004 SRJ260915:SRJ261004 SHN260915:SHN261004 RXR260915:RXR261004 RNV260915:RNV261004 RDZ260915:RDZ261004 QUD260915:QUD261004 QKH260915:QKH261004 QAL260915:QAL261004 PQP260915:PQP261004 PGT260915:PGT261004 OWX260915:OWX261004 ONB260915:ONB261004 ODF260915:ODF261004 NTJ260915:NTJ261004 NJN260915:NJN261004 MZR260915:MZR261004 MPV260915:MPV261004 MFZ260915:MFZ261004 LWD260915:LWD261004 LMH260915:LMH261004 LCL260915:LCL261004 KSP260915:KSP261004 KIT260915:KIT261004 JYX260915:JYX261004 JPB260915:JPB261004 JFF260915:JFF261004 IVJ260915:IVJ261004 ILN260915:ILN261004 IBR260915:IBR261004 HRV260915:HRV261004 HHZ260915:HHZ261004 GYD260915:GYD261004 GOH260915:GOH261004 GEL260915:GEL261004 FUP260915:FUP261004 FKT260915:FKT261004 FAX260915:FAX261004 ERB260915:ERB261004 EHF260915:EHF261004 DXJ260915:DXJ261004 DNN260915:DNN261004 DDR260915:DDR261004 CTV260915:CTV261004 CJZ260915:CJZ261004 CAD260915:CAD261004 BQH260915:BQH261004 BGL260915:BGL261004 AWP260915:AWP261004 AMT260915:AMT261004 ACX260915:ACX261004 TB260915:TB261004 JF260915:JF261004 J260924:J261013 WVR195379:WVR195468 WLV195379:WLV195468 WBZ195379:WBZ195468 VSD195379:VSD195468 VIH195379:VIH195468 UYL195379:UYL195468 UOP195379:UOP195468 UET195379:UET195468 TUX195379:TUX195468 TLB195379:TLB195468 TBF195379:TBF195468 SRJ195379:SRJ195468 SHN195379:SHN195468 RXR195379:RXR195468 RNV195379:RNV195468 RDZ195379:RDZ195468 QUD195379:QUD195468 QKH195379:QKH195468 QAL195379:QAL195468 PQP195379:PQP195468 PGT195379:PGT195468 OWX195379:OWX195468 ONB195379:ONB195468 ODF195379:ODF195468 NTJ195379:NTJ195468 NJN195379:NJN195468 MZR195379:MZR195468 MPV195379:MPV195468 MFZ195379:MFZ195468 LWD195379:LWD195468 LMH195379:LMH195468 LCL195379:LCL195468 KSP195379:KSP195468 KIT195379:KIT195468 JYX195379:JYX195468 JPB195379:JPB195468 JFF195379:JFF195468 IVJ195379:IVJ195468 ILN195379:ILN195468 IBR195379:IBR195468 HRV195379:HRV195468 HHZ195379:HHZ195468 GYD195379:GYD195468 GOH195379:GOH195468 GEL195379:GEL195468 FUP195379:FUP195468 FKT195379:FKT195468 FAX195379:FAX195468 ERB195379:ERB195468 EHF195379:EHF195468 DXJ195379:DXJ195468 DNN195379:DNN195468 DDR195379:DDR195468 CTV195379:CTV195468 CJZ195379:CJZ195468 CAD195379:CAD195468 BQH195379:BQH195468 BGL195379:BGL195468 AWP195379:AWP195468 AMT195379:AMT195468 ACX195379:ACX195468 TB195379:TB195468 JF195379:JF195468 J195388:J195477 WVR129843:WVR129932 WLV129843:WLV129932 WBZ129843:WBZ129932 VSD129843:VSD129932 VIH129843:VIH129932 UYL129843:UYL129932 UOP129843:UOP129932 UET129843:UET129932 TUX129843:TUX129932 TLB129843:TLB129932 TBF129843:TBF129932 SRJ129843:SRJ129932 SHN129843:SHN129932 RXR129843:RXR129932 RNV129843:RNV129932 RDZ129843:RDZ129932 QUD129843:QUD129932 QKH129843:QKH129932 QAL129843:QAL129932 PQP129843:PQP129932 PGT129843:PGT129932 OWX129843:OWX129932 ONB129843:ONB129932 ODF129843:ODF129932 NTJ129843:NTJ129932 NJN129843:NJN129932 MZR129843:MZR129932 MPV129843:MPV129932 MFZ129843:MFZ129932 LWD129843:LWD129932 LMH129843:LMH129932 LCL129843:LCL129932 KSP129843:KSP129932 KIT129843:KIT129932 JYX129843:JYX129932 JPB129843:JPB129932 JFF129843:JFF129932 IVJ129843:IVJ129932 ILN129843:ILN129932 IBR129843:IBR129932 HRV129843:HRV129932 HHZ129843:HHZ129932 GYD129843:GYD129932 GOH129843:GOH129932 GEL129843:GEL129932 FUP129843:FUP129932 FKT129843:FKT129932 FAX129843:FAX129932 ERB129843:ERB129932 EHF129843:EHF129932 DXJ129843:DXJ129932 DNN129843:DNN129932 DDR129843:DDR129932 CTV129843:CTV129932 CJZ129843:CJZ129932 CAD129843:CAD129932 BQH129843:BQH129932 BGL129843:BGL129932 AWP129843:AWP129932 AMT129843:AMT129932 ACX129843:ACX129932 TB129843:TB129932 JF129843:JF129932 J129852:J129941 WVR64307:WVR64396 WLV64307:WLV64396 WBZ64307:WBZ64396 VSD64307:VSD64396 VIH64307:VIH64396 UYL64307:UYL64396 UOP64307:UOP64396 UET64307:UET64396 TUX64307:TUX64396 TLB64307:TLB64396 TBF64307:TBF64396 SRJ64307:SRJ64396 SHN64307:SHN64396 RXR64307:RXR64396 RNV64307:RNV64396 RDZ64307:RDZ64396 QUD64307:QUD64396 QKH64307:QKH64396 QAL64307:QAL64396 PQP64307:PQP64396 PGT64307:PGT64396 OWX64307:OWX64396 ONB64307:ONB64396 ODF64307:ODF64396 NTJ64307:NTJ64396 NJN64307:NJN64396 MZR64307:MZR64396 MPV64307:MPV64396 MFZ64307:MFZ64396 LWD64307:LWD64396 LMH64307:LMH64396 LCL64307:LCL64396 KSP64307:KSP64396 KIT64307:KIT64396 JYX64307:JYX64396 JPB64307:JPB64396 JFF64307:JFF64396 IVJ64307:IVJ64396 ILN64307:ILN64396 IBR64307:IBR64396 HRV64307:HRV64396 HHZ64307:HHZ64396 GYD64307:GYD64396 GOH64307:GOH64396 GEL64307:GEL64396 FUP64307:FUP64396 FKT64307:FKT64396 FAX64307:FAX64396 ERB64307:ERB64396 EHF64307:EHF64396 DXJ64307:DXJ64396 DNN64307:DNN64396 DDR64307:DDR64396 CTV64307:CTV64396 CJZ64307:CJZ64396 CAD64307:CAD64396 BQH64307:BQH64396 BGL64307:BGL64396 AWP64307:AWP64396 AMT64307:AMT64396 ACX64307:ACX64396 TB64307:TB64396 JF64307:JF64396 J64316:J64405 JF2:JF79 TB2:TB79 ACX2:ACX79 AMT2:AMT79 AWP2:AWP79 BGL2:BGL79 BQH2:BQH79 CAD2:CAD79 CJZ2:CJZ79 CTV2:CTV79 DDR2:DDR79 DNN2:DNN79 DXJ2:DXJ79 EHF2:EHF79 ERB2:ERB79 FAX2:FAX79 FKT2:FKT79 FUP2:FUP79 GEL2:GEL79 GOH2:GOH79 GYD2:GYD79 HHZ2:HHZ79 HRV2:HRV79 IBR2:IBR79 ILN2:ILN79 IVJ2:IVJ79 JFF2:JFF79 JPB2:JPB79 JYX2:JYX79 KIT2:KIT79 KSP2:KSP79 LCL2:LCL79 LMH2:LMH79 LWD2:LWD79 MFZ2:MFZ79 MPV2:MPV79 MZR2:MZR79 NJN2:NJN79 NTJ2:NTJ79 ODF2:ODF79 ONB2:ONB79 OWX2:OWX79 PGT2:PGT79 PQP2:PQP79 QAL2:QAL79 QKH2:QKH79 QUD2:QUD79 RDZ2:RDZ79 RNV2:RNV79 RXR2:RXR79 SHN2:SHN79 SRJ2:SRJ79 TBF2:TBF79 TLB2:TLB79 TUX2:TUX79 UET2:UET79 UOP2:UOP79 UYL2:UYL79 VIH2:VIH79 VSD2:VSD79 WBZ2:WBZ79 WLV2:WLV79 WVR2:WVR79" xr:uid="{4E5C0B24-5E11-473A-B731-B5AD4244C9CF}">
      <formula1>$AP$2:$AP$15</formula1>
    </dataValidation>
    <dataValidation type="list" allowBlank="1" showInputMessage="1" showErrorMessage="1" sqref="WVN981811:WVN981900 WLR981811:WLR981900 WBV981811:WBV981900 VRZ981811:VRZ981900 VID981811:VID981900 UYH981811:UYH981900 UOL981811:UOL981900 UEP981811:UEP981900 TUT981811:TUT981900 TKX981811:TKX981900 TBB981811:TBB981900 SRF981811:SRF981900 SHJ981811:SHJ981900 RXN981811:RXN981900 RNR981811:RNR981900 RDV981811:RDV981900 QTZ981811:QTZ981900 QKD981811:QKD981900 QAH981811:QAH981900 PQL981811:PQL981900 PGP981811:PGP981900 OWT981811:OWT981900 OMX981811:OMX981900 ODB981811:ODB981900 NTF981811:NTF981900 NJJ981811:NJJ981900 MZN981811:MZN981900 MPR981811:MPR981900 MFV981811:MFV981900 LVZ981811:LVZ981900 LMD981811:LMD981900 LCH981811:LCH981900 KSL981811:KSL981900 KIP981811:KIP981900 JYT981811:JYT981900 JOX981811:JOX981900 JFB981811:JFB981900 IVF981811:IVF981900 ILJ981811:ILJ981900 IBN981811:IBN981900 HRR981811:HRR981900 HHV981811:HHV981900 GXZ981811:GXZ981900 GOD981811:GOD981900 GEH981811:GEH981900 FUL981811:FUL981900 FKP981811:FKP981900 FAT981811:FAT981900 EQX981811:EQX981900 EHB981811:EHB981900 DXF981811:DXF981900 DNJ981811:DNJ981900 DDN981811:DDN981900 CTR981811:CTR981900 CJV981811:CJV981900 BZZ981811:BZZ981900 BQD981811:BQD981900 BGH981811:BGH981900 AWL981811:AWL981900 AMP981811:AMP981900 ACT981811:ACT981900 SX981811:SX981900 JB981811:JB981900 F981822:F981911 WVN916275:WVN916364 WLR916275:WLR916364 WBV916275:WBV916364 VRZ916275:VRZ916364 VID916275:VID916364 UYH916275:UYH916364 UOL916275:UOL916364 UEP916275:UEP916364 TUT916275:TUT916364 TKX916275:TKX916364 TBB916275:TBB916364 SRF916275:SRF916364 SHJ916275:SHJ916364 RXN916275:RXN916364 RNR916275:RNR916364 RDV916275:RDV916364 QTZ916275:QTZ916364 QKD916275:QKD916364 QAH916275:QAH916364 PQL916275:PQL916364 PGP916275:PGP916364 OWT916275:OWT916364 OMX916275:OMX916364 ODB916275:ODB916364 NTF916275:NTF916364 NJJ916275:NJJ916364 MZN916275:MZN916364 MPR916275:MPR916364 MFV916275:MFV916364 LVZ916275:LVZ916364 LMD916275:LMD916364 LCH916275:LCH916364 KSL916275:KSL916364 KIP916275:KIP916364 JYT916275:JYT916364 JOX916275:JOX916364 JFB916275:JFB916364 IVF916275:IVF916364 ILJ916275:ILJ916364 IBN916275:IBN916364 HRR916275:HRR916364 HHV916275:HHV916364 GXZ916275:GXZ916364 GOD916275:GOD916364 GEH916275:GEH916364 FUL916275:FUL916364 FKP916275:FKP916364 FAT916275:FAT916364 EQX916275:EQX916364 EHB916275:EHB916364 DXF916275:DXF916364 DNJ916275:DNJ916364 DDN916275:DDN916364 CTR916275:CTR916364 CJV916275:CJV916364 BZZ916275:BZZ916364 BQD916275:BQD916364 BGH916275:BGH916364 AWL916275:AWL916364 AMP916275:AMP916364 ACT916275:ACT916364 SX916275:SX916364 JB916275:JB916364 F916286:F916375 WVN850739:WVN850828 WLR850739:WLR850828 WBV850739:WBV850828 VRZ850739:VRZ850828 VID850739:VID850828 UYH850739:UYH850828 UOL850739:UOL850828 UEP850739:UEP850828 TUT850739:TUT850828 TKX850739:TKX850828 TBB850739:TBB850828 SRF850739:SRF850828 SHJ850739:SHJ850828 RXN850739:RXN850828 RNR850739:RNR850828 RDV850739:RDV850828 QTZ850739:QTZ850828 QKD850739:QKD850828 QAH850739:QAH850828 PQL850739:PQL850828 PGP850739:PGP850828 OWT850739:OWT850828 OMX850739:OMX850828 ODB850739:ODB850828 NTF850739:NTF850828 NJJ850739:NJJ850828 MZN850739:MZN850828 MPR850739:MPR850828 MFV850739:MFV850828 LVZ850739:LVZ850828 LMD850739:LMD850828 LCH850739:LCH850828 KSL850739:KSL850828 KIP850739:KIP850828 JYT850739:JYT850828 JOX850739:JOX850828 JFB850739:JFB850828 IVF850739:IVF850828 ILJ850739:ILJ850828 IBN850739:IBN850828 HRR850739:HRR850828 HHV850739:HHV850828 GXZ850739:GXZ850828 GOD850739:GOD850828 GEH850739:GEH850828 FUL850739:FUL850828 FKP850739:FKP850828 FAT850739:FAT850828 EQX850739:EQX850828 EHB850739:EHB850828 DXF850739:DXF850828 DNJ850739:DNJ850828 DDN850739:DDN850828 CTR850739:CTR850828 CJV850739:CJV850828 BZZ850739:BZZ850828 BQD850739:BQD850828 BGH850739:BGH850828 AWL850739:AWL850828 AMP850739:AMP850828 ACT850739:ACT850828 SX850739:SX850828 JB850739:JB850828 F850750:F850839 WVN785203:WVN785292 WLR785203:WLR785292 WBV785203:WBV785292 VRZ785203:VRZ785292 VID785203:VID785292 UYH785203:UYH785292 UOL785203:UOL785292 UEP785203:UEP785292 TUT785203:TUT785292 TKX785203:TKX785292 TBB785203:TBB785292 SRF785203:SRF785292 SHJ785203:SHJ785292 RXN785203:RXN785292 RNR785203:RNR785292 RDV785203:RDV785292 QTZ785203:QTZ785292 QKD785203:QKD785292 QAH785203:QAH785292 PQL785203:PQL785292 PGP785203:PGP785292 OWT785203:OWT785292 OMX785203:OMX785292 ODB785203:ODB785292 NTF785203:NTF785292 NJJ785203:NJJ785292 MZN785203:MZN785292 MPR785203:MPR785292 MFV785203:MFV785292 LVZ785203:LVZ785292 LMD785203:LMD785292 LCH785203:LCH785292 KSL785203:KSL785292 KIP785203:KIP785292 JYT785203:JYT785292 JOX785203:JOX785292 JFB785203:JFB785292 IVF785203:IVF785292 ILJ785203:ILJ785292 IBN785203:IBN785292 HRR785203:HRR785292 HHV785203:HHV785292 GXZ785203:GXZ785292 GOD785203:GOD785292 GEH785203:GEH785292 FUL785203:FUL785292 FKP785203:FKP785292 FAT785203:FAT785292 EQX785203:EQX785292 EHB785203:EHB785292 DXF785203:DXF785292 DNJ785203:DNJ785292 DDN785203:DDN785292 CTR785203:CTR785292 CJV785203:CJV785292 BZZ785203:BZZ785292 BQD785203:BQD785292 BGH785203:BGH785292 AWL785203:AWL785292 AMP785203:AMP785292 ACT785203:ACT785292 SX785203:SX785292 JB785203:JB785292 F785214:F785303 WVN719667:WVN719756 WLR719667:WLR719756 WBV719667:WBV719756 VRZ719667:VRZ719756 VID719667:VID719756 UYH719667:UYH719756 UOL719667:UOL719756 UEP719667:UEP719756 TUT719667:TUT719756 TKX719667:TKX719756 TBB719667:TBB719756 SRF719667:SRF719756 SHJ719667:SHJ719756 RXN719667:RXN719756 RNR719667:RNR719756 RDV719667:RDV719756 QTZ719667:QTZ719756 QKD719667:QKD719756 QAH719667:QAH719756 PQL719667:PQL719756 PGP719667:PGP719756 OWT719667:OWT719756 OMX719667:OMX719756 ODB719667:ODB719756 NTF719667:NTF719756 NJJ719667:NJJ719756 MZN719667:MZN719756 MPR719667:MPR719756 MFV719667:MFV719756 LVZ719667:LVZ719756 LMD719667:LMD719756 LCH719667:LCH719756 KSL719667:KSL719756 KIP719667:KIP719756 JYT719667:JYT719756 JOX719667:JOX719756 JFB719667:JFB719756 IVF719667:IVF719756 ILJ719667:ILJ719756 IBN719667:IBN719756 HRR719667:HRR719756 HHV719667:HHV719756 GXZ719667:GXZ719756 GOD719667:GOD719756 GEH719667:GEH719756 FUL719667:FUL719756 FKP719667:FKP719756 FAT719667:FAT719756 EQX719667:EQX719756 EHB719667:EHB719756 DXF719667:DXF719756 DNJ719667:DNJ719756 DDN719667:DDN719756 CTR719667:CTR719756 CJV719667:CJV719756 BZZ719667:BZZ719756 BQD719667:BQD719756 BGH719667:BGH719756 AWL719667:AWL719756 AMP719667:AMP719756 ACT719667:ACT719756 SX719667:SX719756 JB719667:JB719756 F719678:F719767 WVN654131:WVN654220 WLR654131:WLR654220 WBV654131:WBV654220 VRZ654131:VRZ654220 VID654131:VID654220 UYH654131:UYH654220 UOL654131:UOL654220 UEP654131:UEP654220 TUT654131:TUT654220 TKX654131:TKX654220 TBB654131:TBB654220 SRF654131:SRF654220 SHJ654131:SHJ654220 RXN654131:RXN654220 RNR654131:RNR654220 RDV654131:RDV654220 QTZ654131:QTZ654220 QKD654131:QKD654220 QAH654131:QAH654220 PQL654131:PQL654220 PGP654131:PGP654220 OWT654131:OWT654220 OMX654131:OMX654220 ODB654131:ODB654220 NTF654131:NTF654220 NJJ654131:NJJ654220 MZN654131:MZN654220 MPR654131:MPR654220 MFV654131:MFV654220 LVZ654131:LVZ654220 LMD654131:LMD654220 LCH654131:LCH654220 KSL654131:KSL654220 KIP654131:KIP654220 JYT654131:JYT654220 JOX654131:JOX654220 JFB654131:JFB654220 IVF654131:IVF654220 ILJ654131:ILJ654220 IBN654131:IBN654220 HRR654131:HRR654220 HHV654131:HHV654220 GXZ654131:GXZ654220 GOD654131:GOD654220 GEH654131:GEH654220 FUL654131:FUL654220 FKP654131:FKP654220 FAT654131:FAT654220 EQX654131:EQX654220 EHB654131:EHB654220 DXF654131:DXF654220 DNJ654131:DNJ654220 DDN654131:DDN654220 CTR654131:CTR654220 CJV654131:CJV654220 BZZ654131:BZZ654220 BQD654131:BQD654220 BGH654131:BGH654220 AWL654131:AWL654220 AMP654131:AMP654220 ACT654131:ACT654220 SX654131:SX654220 JB654131:JB654220 F654142:F654231 WVN588595:WVN588684 WLR588595:WLR588684 WBV588595:WBV588684 VRZ588595:VRZ588684 VID588595:VID588684 UYH588595:UYH588684 UOL588595:UOL588684 UEP588595:UEP588684 TUT588595:TUT588684 TKX588595:TKX588684 TBB588595:TBB588684 SRF588595:SRF588684 SHJ588595:SHJ588684 RXN588595:RXN588684 RNR588595:RNR588684 RDV588595:RDV588684 QTZ588595:QTZ588684 QKD588595:QKD588684 QAH588595:QAH588684 PQL588595:PQL588684 PGP588595:PGP588684 OWT588595:OWT588684 OMX588595:OMX588684 ODB588595:ODB588684 NTF588595:NTF588684 NJJ588595:NJJ588684 MZN588595:MZN588684 MPR588595:MPR588684 MFV588595:MFV588684 LVZ588595:LVZ588684 LMD588595:LMD588684 LCH588595:LCH588684 KSL588595:KSL588684 KIP588595:KIP588684 JYT588595:JYT588684 JOX588595:JOX588684 JFB588595:JFB588684 IVF588595:IVF588684 ILJ588595:ILJ588684 IBN588595:IBN588684 HRR588595:HRR588684 HHV588595:HHV588684 GXZ588595:GXZ588684 GOD588595:GOD588684 GEH588595:GEH588684 FUL588595:FUL588684 FKP588595:FKP588684 FAT588595:FAT588684 EQX588595:EQX588684 EHB588595:EHB588684 DXF588595:DXF588684 DNJ588595:DNJ588684 DDN588595:DDN588684 CTR588595:CTR588684 CJV588595:CJV588684 BZZ588595:BZZ588684 BQD588595:BQD588684 BGH588595:BGH588684 AWL588595:AWL588684 AMP588595:AMP588684 ACT588595:ACT588684 SX588595:SX588684 JB588595:JB588684 F588606:F588695 WVN523059:WVN523148 WLR523059:WLR523148 WBV523059:WBV523148 VRZ523059:VRZ523148 VID523059:VID523148 UYH523059:UYH523148 UOL523059:UOL523148 UEP523059:UEP523148 TUT523059:TUT523148 TKX523059:TKX523148 TBB523059:TBB523148 SRF523059:SRF523148 SHJ523059:SHJ523148 RXN523059:RXN523148 RNR523059:RNR523148 RDV523059:RDV523148 QTZ523059:QTZ523148 QKD523059:QKD523148 QAH523059:QAH523148 PQL523059:PQL523148 PGP523059:PGP523148 OWT523059:OWT523148 OMX523059:OMX523148 ODB523059:ODB523148 NTF523059:NTF523148 NJJ523059:NJJ523148 MZN523059:MZN523148 MPR523059:MPR523148 MFV523059:MFV523148 LVZ523059:LVZ523148 LMD523059:LMD523148 LCH523059:LCH523148 KSL523059:KSL523148 KIP523059:KIP523148 JYT523059:JYT523148 JOX523059:JOX523148 JFB523059:JFB523148 IVF523059:IVF523148 ILJ523059:ILJ523148 IBN523059:IBN523148 HRR523059:HRR523148 HHV523059:HHV523148 GXZ523059:GXZ523148 GOD523059:GOD523148 GEH523059:GEH523148 FUL523059:FUL523148 FKP523059:FKP523148 FAT523059:FAT523148 EQX523059:EQX523148 EHB523059:EHB523148 DXF523059:DXF523148 DNJ523059:DNJ523148 DDN523059:DDN523148 CTR523059:CTR523148 CJV523059:CJV523148 BZZ523059:BZZ523148 BQD523059:BQD523148 BGH523059:BGH523148 AWL523059:AWL523148 AMP523059:AMP523148 ACT523059:ACT523148 SX523059:SX523148 JB523059:JB523148 F523070:F523159 WVN457523:WVN457612 WLR457523:WLR457612 WBV457523:WBV457612 VRZ457523:VRZ457612 VID457523:VID457612 UYH457523:UYH457612 UOL457523:UOL457612 UEP457523:UEP457612 TUT457523:TUT457612 TKX457523:TKX457612 TBB457523:TBB457612 SRF457523:SRF457612 SHJ457523:SHJ457612 RXN457523:RXN457612 RNR457523:RNR457612 RDV457523:RDV457612 QTZ457523:QTZ457612 QKD457523:QKD457612 QAH457523:QAH457612 PQL457523:PQL457612 PGP457523:PGP457612 OWT457523:OWT457612 OMX457523:OMX457612 ODB457523:ODB457612 NTF457523:NTF457612 NJJ457523:NJJ457612 MZN457523:MZN457612 MPR457523:MPR457612 MFV457523:MFV457612 LVZ457523:LVZ457612 LMD457523:LMD457612 LCH457523:LCH457612 KSL457523:KSL457612 KIP457523:KIP457612 JYT457523:JYT457612 JOX457523:JOX457612 JFB457523:JFB457612 IVF457523:IVF457612 ILJ457523:ILJ457612 IBN457523:IBN457612 HRR457523:HRR457612 HHV457523:HHV457612 GXZ457523:GXZ457612 GOD457523:GOD457612 GEH457523:GEH457612 FUL457523:FUL457612 FKP457523:FKP457612 FAT457523:FAT457612 EQX457523:EQX457612 EHB457523:EHB457612 DXF457523:DXF457612 DNJ457523:DNJ457612 DDN457523:DDN457612 CTR457523:CTR457612 CJV457523:CJV457612 BZZ457523:BZZ457612 BQD457523:BQD457612 BGH457523:BGH457612 AWL457523:AWL457612 AMP457523:AMP457612 ACT457523:ACT457612 SX457523:SX457612 JB457523:JB457612 F457534:F457623 WVN391987:WVN392076 WLR391987:WLR392076 WBV391987:WBV392076 VRZ391987:VRZ392076 VID391987:VID392076 UYH391987:UYH392076 UOL391987:UOL392076 UEP391987:UEP392076 TUT391987:TUT392076 TKX391987:TKX392076 TBB391987:TBB392076 SRF391987:SRF392076 SHJ391987:SHJ392076 RXN391987:RXN392076 RNR391987:RNR392076 RDV391987:RDV392076 QTZ391987:QTZ392076 QKD391987:QKD392076 QAH391987:QAH392076 PQL391987:PQL392076 PGP391987:PGP392076 OWT391987:OWT392076 OMX391987:OMX392076 ODB391987:ODB392076 NTF391987:NTF392076 NJJ391987:NJJ392076 MZN391987:MZN392076 MPR391987:MPR392076 MFV391987:MFV392076 LVZ391987:LVZ392076 LMD391987:LMD392076 LCH391987:LCH392076 KSL391987:KSL392076 KIP391987:KIP392076 JYT391987:JYT392076 JOX391987:JOX392076 JFB391987:JFB392076 IVF391987:IVF392076 ILJ391987:ILJ392076 IBN391987:IBN392076 HRR391987:HRR392076 HHV391987:HHV392076 GXZ391987:GXZ392076 GOD391987:GOD392076 GEH391987:GEH392076 FUL391987:FUL392076 FKP391987:FKP392076 FAT391987:FAT392076 EQX391987:EQX392076 EHB391987:EHB392076 DXF391987:DXF392076 DNJ391987:DNJ392076 DDN391987:DDN392076 CTR391987:CTR392076 CJV391987:CJV392076 BZZ391987:BZZ392076 BQD391987:BQD392076 BGH391987:BGH392076 AWL391987:AWL392076 AMP391987:AMP392076 ACT391987:ACT392076 SX391987:SX392076 JB391987:JB392076 F391998:F392087 WVN326451:WVN326540 WLR326451:WLR326540 WBV326451:WBV326540 VRZ326451:VRZ326540 VID326451:VID326540 UYH326451:UYH326540 UOL326451:UOL326540 UEP326451:UEP326540 TUT326451:TUT326540 TKX326451:TKX326540 TBB326451:TBB326540 SRF326451:SRF326540 SHJ326451:SHJ326540 RXN326451:RXN326540 RNR326451:RNR326540 RDV326451:RDV326540 QTZ326451:QTZ326540 QKD326451:QKD326540 QAH326451:QAH326540 PQL326451:PQL326540 PGP326451:PGP326540 OWT326451:OWT326540 OMX326451:OMX326540 ODB326451:ODB326540 NTF326451:NTF326540 NJJ326451:NJJ326540 MZN326451:MZN326540 MPR326451:MPR326540 MFV326451:MFV326540 LVZ326451:LVZ326540 LMD326451:LMD326540 LCH326451:LCH326540 KSL326451:KSL326540 KIP326451:KIP326540 JYT326451:JYT326540 JOX326451:JOX326540 JFB326451:JFB326540 IVF326451:IVF326540 ILJ326451:ILJ326540 IBN326451:IBN326540 HRR326451:HRR326540 HHV326451:HHV326540 GXZ326451:GXZ326540 GOD326451:GOD326540 GEH326451:GEH326540 FUL326451:FUL326540 FKP326451:FKP326540 FAT326451:FAT326540 EQX326451:EQX326540 EHB326451:EHB326540 DXF326451:DXF326540 DNJ326451:DNJ326540 DDN326451:DDN326540 CTR326451:CTR326540 CJV326451:CJV326540 BZZ326451:BZZ326540 BQD326451:BQD326540 BGH326451:BGH326540 AWL326451:AWL326540 AMP326451:AMP326540 ACT326451:ACT326540 SX326451:SX326540 JB326451:JB326540 F326462:F326551 WVN260915:WVN261004 WLR260915:WLR261004 WBV260915:WBV261004 VRZ260915:VRZ261004 VID260915:VID261004 UYH260915:UYH261004 UOL260915:UOL261004 UEP260915:UEP261004 TUT260915:TUT261004 TKX260915:TKX261004 TBB260915:TBB261004 SRF260915:SRF261004 SHJ260915:SHJ261004 RXN260915:RXN261004 RNR260915:RNR261004 RDV260915:RDV261004 QTZ260915:QTZ261004 QKD260915:QKD261004 QAH260915:QAH261004 PQL260915:PQL261004 PGP260915:PGP261004 OWT260915:OWT261004 OMX260915:OMX261004 ODB260915:ODB261004 NTF260915:NTF261004 NJJ260915:NJJ261004 MZN260915:MZN261004 MPR260915:MPR261004 MFV260915:MFV261004 LVZ260915:LVZ261004 LMD260915:LMD261004 LCH260915:LCH261004 KSL260915:KSL261004 KIP260915:KIP261004 JYT260915:JYT261004 JOX260915:JOX261004 JFB260915:JFB261004 IVF260915:IVF261004 ILJ260915:ILJ261004 IBN260915:IBN261004 HRR260915:HRR261004 HHV260915:HHV261004 GXZ260915:GXZ261004 GOD260915:GOD261004 GEH260915:GEH261004 FUL260915:FUL261004 FKP260915:FKP261004 FAT260915:FAT261004 EQX260915:EQX261004 EHB260915:EHB261004 DXF260915:DXF261004 DNJ260915:DNJ261004 DDN260915:DDN261004 CTR260915:CTR261004 CJV260915:CJV261004 BZZ260915:BZZ261004 BQD260915:BQD261004 BGH260915:BGH261004 AWL260915:AWL261004 AMP260915:AMP261004 ACT260915:ACT261004 SX260915:SX261004 JB260915:JB261004 F260926:F261015 WVN195379:WVN195468 WLR195379:WLR195468 WBV195379:WBV195468 VRZ195379:VRZ195468 VID195379:VID195468 UYH195379:UYH195468 UOL195379:UOL195468 UEP195379:UEP195468 TUT195379:TUT195468 TKX195379:TKX195468 TBB195379:TBB195468 SRF195379:SRF195468 SHJ195379:SHJ195468 RXN195379:RXN195468 RNR195379:RNR195468 RDV195379:RDV195468 QTZ195379:QTZ195468 QKD195379:QKD195468 QAH195379:QAH195468 PQL195379:PQL195468 PGP195379:PGP195468 OWT195379:OWT195468 OMX195379:OMX195468 ODB195379:ODB195468 NTF195379:NTF195468 NJJ195379:NJJ195468 MZN195379:MZN195468 MPR195379:MPR195468 MFV195379:MFV195468 LVZ195379:LVZ195468 LMD195379:LMD195468 LCH195379:LCH195468 KSL195379:KSL195468 KIP195379:KIP195468 JYT195379:JYT195468 JOX195379:JOX195468 JFB195379:JFB195468 IVF195379:IVF195468 ILJ195379:ILJ195468 IBN195379:IBN195468 HRR195379:HRR195468 HHV195379:HHV195468 GXZ195379:GXZ195468 GOD195379:GOD195468 GEH195379:GEH195468 FUL195379:FUL195468 FKP195379:FKP195468 FAT195379:FAT195468 EQX195379:EQX195468 EHB195379:EHB195468 DXF195379:DXF195468 DNJ195379:DNJ195468 DDN195379:DDN195468 CTR195379:CTR195468 CJV195379:CJV195468 BZZ195379:BZZ195468 BQD195379:BQD195468 BGH195379:BGH195468 AWL195379:AWL195468 AMP195379:AMP195468 ACT195379:ACT195468 SX195379:SX195468 JB195379:JB195468 F195390:F195479 WVN129843:WVN129932 WLR129843:WLR129932 WBV129843:WBV129932 VRZ129843:VRZ129932 VID129843:VID129932 UYH129843:UYH129932 UOL129843:UOL129932 UEP129843:UEP129932 TUT129843:TUT129932 TKX129843:TKX129932 TBB129843:TBB129932 SRF129843:SRF129932 SHJ129843:SHJ129932 RXN129843:RXN129932 RNR129843:RNR129932 RDV129843:RDV129932 QTZ129843:QTZ129932 QKD129843:QKD129932 QAH129843:QAH129932 PQL129843:PQL129932 PGP129843:PGP129932 OWT129843:OWT129932 OMX129843:OMX129932 ODB129843:ODB129932 NTF129843:NTF129932 NJJ129843:NJJ129932 MZN129843:MZN129932 MPR129843:MPR129932 MFV129843:MFV129932 LVZ129843:LVZ129932 LMD129843:LMD129932 LCH129843:LCH129932 KSL129843:KSL129932 KIP129843:KIP129932 JYT129843:JYT129932 JOX129843:JOX129932 JFB129843:JFB129932 IVF129843:IVF129932 ILJ129843:ILJ129932 IBN129843:IBN129932 HRR129843:HRR129932 HHV129843:HHV129932 GXZ129843:GXZ129932 GOD129843:GOD129932 GEH129843:GEH129932 FUL129843:FUL129932 FKP129843:FKP129932 FAT129843:FAT129932 EQX129843:EQX129932 EHB129843:EHB129932 DXF129843:DXF129932 DNJ129843:DNJ129932 DDN129843:DDN129932 CTR129843:CTR129932 CJV129843:CJV129932 BZZ129843:BZZ129932 BQD129843:BQD129932 BGH129843:BGH129932 AWL129843:AWL129932 AMP129843:AMP129932 ACT129843:ACT129932 SX129843:SX129932 JB129843:JB129932 F129854:F129943 WVN64307:WVN64396 WLR64307:WLR64396 WBV64307:WBV64396 VRZ64307:VRZ64396 VID64307:VID64396 UYH64307:UYH64396 UOL64307:UOL64396 UEP64307:UEP64396 TUT64307:TUT64396 TKX64307:TKX64396 TBB64307:TBB64396 SRF64307:SRF64396 SHJ64307:SHJ64396 RXN64307:RXN64396 RNR64307:RNR64396 RDV64307:RDV64396 QTZ64307:QTZ64396 QKD64307:QKD64396 QAH64307:QAH64396 PQL64307:PQL64396 PGP64307:PGP64396 OWT64307:OWT64396 OMX64307:OMX64396 ODB64307:ODB64396 NTF64307:NTF64396 NJJ64307:NJJ64396 MZN64307:MZN64396 MPR64307:MPR64396 MFV64307:MFV64396 LVZ64307:LVZ64396 LMD64307:LMD64396 LCH64307:LCH64396 KSL64307:KSL64396 KIP64307:KIP64396 JYT64307:JYT64396 JOX64307:JOX64396 JFB64307:JFB64396 IVF64307:IVF64396 ILJ64307:ILJ64396 IBN64307:IBN64396 HRR64307:HRR64396 HHV64307:HHV64396 GXZ64307:GXZ64396 GOD64307:GOD64396 GEH64307:GEH64396 FUL64307:FUL64396 FKP64307:FKP64396 FAT64307:FAT64396 EQX64307:EQX64396 EHB64307:EHB64396 DXF64307:DXF64396 DNJ64307:DNJ64396 DDN64307:DDN64396 CTR64307:CTR64396 CJV64307:CJV64396 BZZ64307:BZZ64396 BQD64307:BQD64396 BGH64307:BGH64396 AWL64307:AWL64396 AMP64307:AMP64396 ACT64307:ACT64396 SX64307:SX64396 JB64307:JB64396 F64318:F64407 WVN2:WVN79 WLR2:WLR79 WBV2:WBV79 VRZ2:VRZ79 VID2:VID79 UYH2:UYH79 UOL2:UOL79 UEP2:UEP79 TUT2:TUT79 TKX2:TKX79 TBB2:TBB79 SRF2:SRF79 SHJ2:SHJ79 RXN2:RXN79 RNR2:RNR79 RDV2:RDV79 QTZ2:QTZ79 QKD2:QKD79 QAH2:QAH79 PQL2:PQL79 PGP2:PGP79 OWT2:OWT79 OMX2:OMX79 ODB2:ODB79 NTF2:NTF79 NJJ2:NJJ79 MZN2:MZN79 MPR2:MPR79 MFV2:MFV79 LVZ2:LVZ79 LMD2:LMD79 LCH2:LCH79 KSL2:KSL79 KIP2:KIP79 JYT2:JYT79 JOX2:JOX79 JFB2:JFB79 IVF2:IVF79 ILJ2:ILJ79 IBN2:IBN79 HRR2:HRR79 HHV2:HHV79 GXZ2:GXZ79 GOD2:GOD79 GEH2:GEH79 FUL2:FUL79 FKP2:FKP79 FAT2:FAT79 EQX2:EQX79 EHB2:EHB79 DXF2:DXF79 DNJ2:DNJ79 DDN2:DDN79 CTR2:CTR79 CJV2:CJV79 BZZ2:BZZ79 BQD2:BQD79 BGH2:BGH79 AWL2:AWL79 AMP2:AMP79 ACT2:ACT79 SX2:SX79 JB2:JB79" xr:uid="{7AAAE89C-171F-498F-BDC3-F92E9AEC79B7}">
      <formula1>$AH$2:$AH$13</formula1>
    </dataValidation>
    <dataValidation type="list" allowBlank="1" showInputMessage="1" showErrorMessage="1" sqref="WVM981811:WVM981900 WLQ981811:WLQ981900 WBU981811:WBU981900 VRY981811:VRY981900 VIC981811:VIC981900 UYG981811:UYG981900 UOK981811:UOK981900 UEO981811:UEO981900 TUS981811:TUS981900 TKW981811:TKW981900 TBA981811:TBA981900 SRE981811:SRE981900 SHI981811:SHI981900 RXM981811:RXM981900 RNQ981811:RNQ981900 RDU981811:RDU981900 QTY981811:QTY981900 QKC981811:QKC981900 QAG981811:QAG981900 PQK981811:PQK981900 PGO981811:PGO981900 OWS981811:OWS981900 OMW981811:OMW981900 ODA981811:ODA981900 NTE981811:NTE981900 NJI981811:NJI981900 MZM981811:MZM981900 MPQ981811:MPQ981900 MFU981811:MFU981900 LVY981811:LVY981900 LMC981811:LMC981900 LCG981811:LCG981900 KSK981811:KSK981900 KIO981811:KIO981900 JYS981811:JYS981900 JOW981811:JOW981900 JFA981811:JFA981900 IVE981811:IVE981900 ILI981811:ILI981900 IBM981811:IBM981900 HRQ981811:HRQ981900 HHU981811:HHU981900 GXY981811:GXY981900 GOC981811:GOC981900 GEG981811:GEG981900 FUK981811:FUK981900 FKO981811:FKO981900 FAS981811:FAS981900 EQW981811:EQW981900 EHA981811:EHA981900 DXE981811:DXE981900 DNI981811:DNI981900 DDM981811:DDM981900 CTQ981811:CTQ981900 CJU981811:CJU981900 BZY981811:BZY981900 BQC981811:BQC981900 BGG981811:BGG981900 AWK981811:AWK981900 AMO981811:AMO981900 ACS981811:ACS981900 SW981811:SW981900 JA981811:JA981900 E981822:E981911 WVM916275:WVM916364 WLQ916275:WLQ916364 WBU916275:WBU916364 VRY916275:VRY916364 VIC916275:VIC916364 UYG916275:UYG916364 UOK916275:UOK916364 UEO916275:UEO916364 TUS916275:TUS916364 TKW916275:TKW916364 TBA916275:TBA916364 SRE916275:SRE916364 SHI916275:SHI916364 RXM916275:RXM916364 RNQ916275:RNQ916364 RDU916275:RDU916364 QTY916275:QTY916364 QKC916275:QKC916364 QAG916275:QAG916364 PQK916275:PQK916364 PGO916275:PGO916364 OWS916275:OWS916364 OMW916275:OMW916364 ODA916275:ODA916364 NTE916275:NTE916364 NJI916275:NJI916364 MZM916275:MZM916364 MPQ916275:MPQ916364 MFU916275:MFU916364 LVY916275:LVY916364 LMC916275:LMC916364 LCG916275:LCG916364 KSK916275:KSK916364 KIO916275:KIO916364 JYS916275:JYS916364 JOW916275:JOW916364 JFA916275:JFA916364 IVE916275:IVE916364 ILI916275:ILI916364 IBM916275:IBM916364 HRQ916275:HRQ916364 HHU916275:HHU916364 GXY916275:GXY916364 GOC916275:GOC916364 GEG916275:GEG916364 FUK916275:FUK916364 FKO916275:FKO916364 FAS916275:FAS916364 EQW916275:EQW916364 EHA916275:EHA916364 DXE916275:DXE916364 DNI916275:DNI916364 DDM916275:DDM916364 CTQ916275:CTQ916364 CJU916275:CJU916364 BZY916275:BZY916364 BQC916275:BQC916364 BGG916275:BGG916364 AWK916275:AWK916364 AMO916275:AMO916364 ACS916275:ACS916364 SW916275:SW916364 JA916275:JA916364 E916286:E916375 WVM850739:WVM850828 WLQ850739:WLQ850828 WBU850739:WBU850828 VRY850739:VRY850828 VIC850739:VIC850828 UYG850739:UYG850828 UOK850739:UOK850828 UEO850739:UEO850828 TUS850739:TUS850828 TKW850739:TKW850828 TBA850739:TBA850828 SRE850739:SRE850828 SHI850739:SHI850828 RXM850739:RXM850828 RNQ850739:RNQ850828 RDU850739:RDU850828 QTY850739:QTY850828 QKC850739:QKC850828 QAG850739:QAG850828 PQK850739:PQK850828 PGO850739:PGO850828 OWS850739:OWS850828 OMW850739:OMW850828 ODA850739:ODA850828 NTE850739:NTE850828 NJI850739:NJI850828 MZM850739:MZM850828 MPQ850739:MPQ850828 MFU850739:MFU850828 LVY850739:LVY850828 LMC850739:LMC850828 LCG850739:LCG850828 KSK850739:KSK850828 KIO850739:KIO850828 JYS850739:JYS850828 JOW850739:JOW850828 JFA850739:JFA850828 IVE850739:IVE850828 ILI850739:ILI850828 IBM850739:IBM850828 HRQ850739:HRQ850828 HHU850739:HHU850828 GXY850739:GXY850828 GOC850739:GOC850828 GEG850739:GEG850828 FUK850739:FUK850828 FKO850739:FKO850828 FAS850739:FAS850828 EQW850739:EQW850828 EHA850739:EHA850828 DXE850739:DXE850828 DNI850739:DNI850828 DDM850739:DDM850828 CTQ850739:CTQ850828 CJU850739:CJU850828 BZY850739:BZY850828 BQC850739:BQC850828 BGG850739:BGG850828 AWK850739:AWK850828 AMO850739:AMO850828 ACS850739:ACS850828 SW850739:SW850828 JA850739:JA850828 E850750:E850839 WVM785203:WVM785292 WLQ785203:WLQ785292 WBU785203:WBU785292 VRY785203:VRY785292 VIC785203:VIC785292 UYG785203:UYG785292 UOK785203:UOK785292 UEO785203:UEO785292 TUS785203:TUS785292 TKW785203:TKW785292 TBA785203:TBA785292 SRE785203:SRE785292 SHI785203:SHI785292 RXM785203:RXM785292 RNQ785203:RNQ785292 RDU785203:RDU785292 QTY785203:QTY785292 QKC785203:QKC785292 QAG785203:QAG785292 PQK785203:PQK785292 PGO785203:PGO785292 OWS785203:OWS785292 OMW785203:OMW785292 ODA785203:ODA785292 NTE785203:NTE785292 NJI785203:NJI785292 MZM785203:MZM785292 MPQ785203:MPQ785292 MFU785203:MFU785292 LVY785203:LVY785292 LMC785203:LMC785292 LCG785203:LCG785292 KSK785203:KSK785292 KIO785203:KIO785292 JYS785203:JYS785292 JOW785203:JOW785292 JFA785203:JFA785292 IVE785203:IVE785292 ILI785203:ILI785292 IBM785203:IBM785292 HRQ785203:HRQ785292 HHU785203:HHU785292 GXY785203:GXY785292 GOC785203:GOC785292 GEG785203:GEG785292 FUK785203:FUK785292 FKO785203:FKO785292 FAS785203:FAS785292 EQW785203:EQW785292 EHA785203:EHA785292 DXE785203:DXE785292 DNI785203:DNI785292 DDM785203:DDM785292 CTQ785203:CTQ785292 CJU785203:CJU785292 BZY785203:BZY785292 BQC785203:BQC785292 BGG785203:BGG785292 AWK785203:AWK785292 AMO785203:AMO785292 ACS785203:ACS785292 SW785203:SW785292 JA785203:JA785292 E785214:E785303 WVM719667:WVM719756 WLQ719667:WLQ719756 WBU719667:WBU719756 VRY719667:VRY719756 VIC719667:VIC719756 UYG719667:UYG719756 UOK719667:UOK719756 UEO719667:UEO719756 TUS719667:TUS719756 TKW719667:TKW719756 TBA719667:TBA719756 SRE719667:SRE719756 SHI719667:SHI719756 RXM719667:RXM719756 RNQ719667:RNQ719756 RDU719667:RDU719756 QTY719667:QTY719756 QKC719667:QKC719756 QAG719667:QAG719756 PQK719667:PQK719756 PGO719667:PGO719756 OWS719667:OWS719756 OMW719667:OMW719756 ODA719667:ODA719756 NTE719667:NTE719756 NJI719667:NJI719756 MZM719667:MZM719756 MPQ719667:MPQ719756 MFU719667:MFU719756 LVY719667:LVY719756 LMC719667:LMC719756 LCG719667:LCG719756 KSK719667:KSK719756 KIO719667:KIO719756 JYS719667:JYS719756 JOW719667:JOW719756 JFA719667:JFA719756 IVE719667:IVE719756 ILI719667:ILI719756 IBM719667:IBM719756 HRQ719667:HRQ719756 HHU719667:HHU719756 GXY719667:GXY719756 GOC719667:GOC719756 GEG719667:GEG719756 FUK719667:FUK719756 FKO719667:FKO719756 FAS719667:FAS719756 EQW719667:EQW719756 EHA719667:EHA719756 DXE719667:DXE719756 DNI719667:DNI719756 DDM719667:DDM719756 CTQ719667:CTQ719756 CJU719667:CJU719756 BZY719667:BZY719756 BQC719667:BQC719756 BGG719667:BGG719756 AWK719667:AWK719756 AMO719667:AMO719756 ACS719667:ACS719756 SW719667:SW719756 JA719667:JA719756 E719678:E719767 WVM654131:WVM654220 WLQ654131:WLQ654220 WBU654131:WBU654220 VRY654131:VRY654220 VIC654131:VIC654220 UYG654131:UYG654220 UOK654131:UOK654220 UEO654131:UEO654220 TUS654131:TUS654220 TKW654131:TKW654220 TBA654131:TBA654220 SRE654131:SRE654220 SHI654131:SHI654220 RXM654131:RXM654220 RNQ654131:RNQ654220 RDU654131:RDU654220 QTY654131:QTY654220 QKC654131:QKC654220 QAG654131:QAG654220 PQK654131:PQK654220 PGO654131:PGO654220 OWS654131:OWS654220 OMW654131:OMW654220 ODA654131:ODA654220 NTE654131:NTE654220 NJI654131:NJI654220 MZM654131:MZM654220 MPQ654131:MPQ654220 MFU654131:MFU654220 LVY654131:LVY654220 LMC654131:LMC654220 LCG654131:LCG654220 KSK654131:KSK654220 KIO654131:KIO654220 JYS654131:JYS654220 JOW654131:JOW654220 JFA654131:JFA654220 IVE654131:IVE654220 ILI654131:ILI654220 IBM654131:IBM654220 HRQ654131:HRQ654220 HHU654131:HHU654220 GXY654131:GXY654220 GOC654131:GOC654220 GEG654131:GEG654220 FUK654131:FUK654220 FKO654131:FKO654220 FAS654131:FAS654220 EQW654131:EQW654220 EHA654131:EHA654220 DXE654131:DXE654220 DNI654131:DNI654220 DDM654131:DDM654220 CTQ654131:CTQ654220 CJU654131:CJU654220 BZY654131:BZY654220 BQC654131:BQC654220 BGG654131:BGG654220 AWK654131:AWK654220 AMO654131:AMO654220 ACS654131:ACS654220 SW654131:SW654220 JA654131:JA654220 E654142:E654231 WVM588595:WVM588684 WLQ588595:WLQ588684 WBU588595:WBU588684 VRY588595:VRY588684 VIC588595:VIC588684 UYG588595:UYG588684 UOK588595:UOK588684 UEO588595:UEO588684 TUS588595:TUS588684 TKW588595:TKW588684 TBA588595:TBA588684 SRE588595:SRE588684 SHI588595:SHI588684 RXM588595:RXM588684 RNQ588595:RNQ588684 RDU588595:RDU588684 QTY588595:QTY588684 QKC588595:QKC588684 QAG588595:QAG588684 PQK588595:PQK588684 PGO588595:PGO588684 OWS588595:OWS588684 OMW588595:OMW588684 ODA588595:ODA588684 NTE588595:NTE588684 NJI588595:NJI588684 MZM588595:MZM588684 MPQ588595:MPQ588684 MFU588595:MFU588684 LVY588595:LVY588684 LMC588595:LMC588684 LCG588595:LCG588684 KSK588595:KSK588684 KIO588595:KIO588684 JYS588595:JYS588684 JOW588595:JOW588684 JFA588595:JFA588684 IVE588595:IVE588684 ILI588595:ILI588684 IBM588595:IBM588684 HRQ588595:HRQ588684 HHU588595:HHU588684 GXY588595:GXY588684 GOC588595:GOC588684 GEG588595:GEG588684 FUK588595:FUK588684 FKO588595:FKO588684 FAS588595:FAS588684 EQW588595:EQW588684 EHA588595:EHA588684 DXE588595:DXE588684 DNI588595:DNI588684 DDM588595:DDM588684 CTQ588595:CTQ588684 CJU588595:CJU588684 BZY588595:BZY588684 BQC588595:BQC588684 BGG588595:BGG588684 AWK588595:AWK588684 AMO588595:AMO588684 ACS588595:ACS588684 SW588595:SW588684 JA588595:JA588684 E588606:E588695 WVM523059:WVM523148 WLQ523059:WLQ523148 WBU523059:WBU523148 VRY523059:VRY523148 VIC523059:VIC523148 UYG523059:UYG523148 UOK523059:UOK523148 UEO523059:UEO523148 TUS523059:TUS523148 TKW523059:TKW523148 TBA523059:TBA523148 SRE523059:SRE523148 SHI523059:SHI523148 RXM523059:RXM523148 RNQ523059:RNQ523148 RDU523059:RDU523148 QTY523059:QTY523148 QKC523059:QKC523148 QAG523059:QAG523148 PQK523059:PQK523148 PGO523059:PGO523148 OWS523059:OWS523148 OMW523059:OMW523148 ODA523059:ODA523148 NTE523059:NTE523148 NJI523059:NJI523148 MZM523059:MZM523148 MPQ523059:MPQ523148 MFU523059:MFU523148 LVY523059:LVY523148 LMC523059:LMC523148 LCG523059:LCG523148 KSK523059:KSK523148 KIO523059:KIO523148 JYS523059:JYS523148 JOW523059:JOW523148 JFA523059:JFA523148 IVE523059:IVE523148 ILI523059:ILI523148 IBM523059:IBM523148 HRQ523059:HRQ523148 HHU523059:HHU523148 GXY523059:GXY523148 GOC523059:GOC523148 GEG523059:GEG523148 FUK523059:FUK523148 FKO523059:FKO523148 FAS523059:FAS523148 EQW523059:EQW523148 EHA523059:EHA523148 DXE523059:DXE523148 DNI523059:DNI523148 DDM523059:DDM523148 CTQ523059:CTQ523148 CJU523059:CJU523148 BZY523059:BZY523148 BQC523059:BQC523148 BGG523059:BGG523148 AWK523059:AWK523148 AMO523059:AMO523148 ACS523059:ACS523148 SW523059:SW523148 JA523059:JA523148 E523070:E523159 WVM457523:WVM457612 WLQ457523:WLQ457612 WBU457523:WBU457612 VRY457523:VRY457612 VIC457523:VIC457612 UYG457523:UYG457612 UOK457523:UOK457612 UEO457523:UEO457612 TUS457523:TUS457612 TKW457523:TKW457612 TBA457523:TBA457612 SRE457523:SRE457612 SHI457523:SHI457612 RXM457523:RXM457612 RNQ457523:RNQ457612 RDU457523:RDU457612 QTY457523:QTY457612 QKC457523:QKC457612 QAG457523:QAG457612 PQK457523:PQK457612 PGO457523:PGO457612 OWS457523:OWS457612 OMW457523:OMW457612 ODA457523:ODA457612 NTE457523:NTE457612 NJI457523:NJI457612 MZM457523:MZM457612 MPQ457523:MPQ457612 MFU457523:MFU457612 LVY457523:LVY457612 LMC457523:LMC457612 LCG457523:LCG457612 KSK457523:KSK457612 KIO457523:KIO457612 JYS457523:JYS457612 JOW457523:JOW457612 JFA457523:JFA457612 IVE457523:IVE457612 ILI457523:ILI457612 IBM457523:IBM457612 HRQ457523:HRQ457612 HHU457523:HHU457612 GXY457523:GXY457612 GOC457523:GOC457612 GEG457523:GEG457612 FUK457523:FUK457612 FKO457523:FKO457612 FAS457523:FAS457612 EQW457523:EQW457612 EHA457523:EHA457612 DXE457523:DXE457612 DNI457523:DNI457612 DDM457523:DDM457612 CTQ457523:CTQ457612 CJU457523:CJU457612 BZY457523:BZY457612 BQC457523:BQC457612 BGG457523:BGG457612 AWK457523:AWK457612 AMO457523:AMO457612 ACS457523:ACS457612 SW457523:SW457612 JA457523:JA457612 E457534:E457623 WVM391987:WVM392076 WLQ391987:WLQ392076 WBU391987:WBU392076 VRY391987:VRY392076 VIC391987:VIC392076 UYG391987:UYG392076 UOK391987:UOK392076 UEO391987:UEO392076 TUS391987:TUS392076 TKW391987:TKW392076 TBA391987:TBA392076 SRE391987:SRE392076 SHI391987:SHI392076 RXM391987:RXM392076 RNQ391987:RNQ392076 RDU391987:RDU392076 QTY391987:QTY392076 QKC391987:QKC392076 QAG391987:QAG392076 PQK391987:PQK392076 PGO391987:PGO392076 OWS391987:OWS392076 OMW391987:OMW392076 ODA391987:ODA392076 NTE391987:NTE392076 NJI391987:NJI392076 MZM391987:MZM392076 MPQ391987:MPQ392076 MFU391987:MFU392076 LVY391987:LVY392076 LMC391987:LMC392076 LCG391987:LCG392076 KSK391987:KSK392076 KIO391987:KIO392076 JYS391987:JYS392076 JOW391987:JOW392076 JFA391987:JFA392076 IVE391987:IVE392076 ILI391987:ILI392076 IBM391987:IBM392076 HRQ391987:HRQ392076 HHU391987:HHU392076 GXY391987:GXY392076 GOC391987:GOC392076 GEG391987:GEG392076 FUK391987:FUK392076 FKO391987:FKO392076 FAS391987:FAS392076 EQW391987:EQW392076 EHA391987:EHA392076 DXE391987:DXE392076 DNI391987:DNI392076 DDM391987:DDM392076 CTQ391987:CTQ392076 CJU391987:CJU392076 BZY391987:BZY392076 BQC391987:BQC392076 BGG391987:BGG392076 AWK391987:AWK392076 AMO391987:AMO392076 ACS391987:ACS392076 SW391987:SW392076 JA391987:JA392076 E391998:E392087 WVM326451:WVM326540 WLQ326451:WLQ326540 WBU326451:WBU326540 VRY326451:VRY326540 VIC326451:VIC326540 UYG326451:UYG326540 UOK326451:UOK326540 UEO326451:UEO326540 TUS326451:TUS326540 TKW326451:TKW326540 TBA326451:TBA326540 SRE326451:SRE326540 SHI326451:SHI326540 RXM326451:RXM326540 RNQ326451:RNQ326540 RDU326451:RDU326540 QTY326451:QTY326540 QKC326451:QKC326540 QAG326451:QAG326540 PQK326451:PQK326540 PGO326451:PGO326540 OWS326451:OWS326540 OMW326451:OMW326540 ODA326451:ODA326540 NTE326451:NTE326540 NJI326451:NJI326540 MZM326451:MZM326540 MPQ326451:MPQ326540 MFU326451:MFU326540 LVY326451:LVY326540 LMC326451:LMC326540 LCG326451:LCG326540 KSK326451:KSK326540 KIO326451:KIO326540 JYS326451:JYS326540 JOW326451:JOW326540 JFA326451:JFA326540 IVE326451:IVE326540 ILI326451:ILI326540 IBM326451:IBM326540 HRQ326451:HRQ326540 HHU326451:HHU326540 GXY326451:GXY326540 GOC326451:GOC326540 GEG326451:GEG326540 FUK326451:FUK326540 FKO326451:FKO326540 FAS326451:FAS326540 EQW326451:EQW326540 EHA326451:EHA326540 DXE326451:DXE326540 DNI326451:DNI326540 DDM326451:DDM326540 CTQ326451:CTQ326540 CJU326451:CJU326540 BZY326451:BZY326540 BQC326451:BQC326540 BGG326451:BGG326540 AWK326451:AWK326540 AMO326451:AMO326540 ACS326451:ACS326540 SW326451:SW326540 JA326451:JA326540 E326462:E326551 WVM260915:WVM261004 WLQ260915:WLQ261004 WBU260915:WBU261004 VRY260915:VRY261004 VIC260915:VIC261004 UYG260915:UYG261004 UOK260915:UOK261004 UEO260915:UEO261004 TUS260915:TUS261004 TKW260915:TKW261004 TBA260915:TBA261004 SRE260915:SRE261004 SHI260915:SHI261004 RXM260915:RXM261004 RNQ260915:RNQ261004 RDU260915:RDU261004 QTY260915:QTY261004 QKC260915:QKC261004 QAG260915:QAG261004 PQK260915:PQK261004 PGO260915:PGO261004 OWS260915:OWS261004 OMW260915:OMW261004 ODA260915:ODA261004 NTE260915:NTE261004 NJI260915:NJI261004 MZM260915:MZM261004 MPQ260915:MPQ261004 MFU260915:MFU261004 LVY260915:LVY261004 LMC260915:LMC261004 LCG260915:LCG261004 KSK260915:KSK261004 KIO260915:KIO261004 JYS260915:JYS261004 JOW260915:JOW261004 JFA260915:JFA261004 IVE260915:IVE261004 ILI260915:ILI261004 IBM260915:IBM261004 HRQ260915:HRQ261004 HHU260915:HHU261004 GXY260915:GXY261004 GOC260915:GOC261004 GEG260915:GEG261004 FUK260915:FUK261004 FKO260915:FKO261004 FAS260915:FAS261004 EQW260915:EQW261004 EHA260915:EHA261004 DXE260915:DXE261004 DNI260915:DNI261004 DDM260915:DDM261004 CTQ260915:CTQ261004 CJU260915:CJU261004 BZY260915:BZY261004 BQC260915:BQC261004 BGG260915:BGG261004 AWK260915:AWK261004 AMO260915:AMO261004 ACS260915:ACS261004 SW260915:SW261004 JA260915:JA261004 E260926:E261015 WVM195379:WVM195468 WLQ195379:WLQ195468 WBU195379:WBU195468 VRY195379:VRY195468 VIC195379:VIC195468 UYG195379:UYG195468 UOK195379:UOK195468 UEO195379:UEO195468 TUS195379:TUS195468 TKW195379:TKW195468 TBA195379:TBA195468 SRE195379:SRE195468 SHI195379:SHI195468 RXM195379:RXM195468 RNQ195379:RNQ195468 RDU195379:RDU195468 QTY195379:QTY195468 QKC195379:QKC195468 QAG195379:QAG195468 PQK195379:PQK195468 PGO195379:PGO195468 OWS195379:OWS195468 OMW195379:OMW195468 ODA195379:ODA195468 NTE195379:NTE195468 NJI195379:NJI195468 MZM195379:MZM195468 MPQ195379:MPQ195468 MFU195379:MFU195468 LVY195379:LVY195468 LMC195379:LMC195468 LCG195379:LCG195468 KSK195379:KSK195468 KIO195379:KIO195468 JYS195379:JYS195468 JOW195379:JOW195468 JFA195379:JFA195468 IVE195379:IVE195468 ILI195379:ILI195468 IBM195379:IBM195468 HRQ195379:HRQ195468 HHU195379:HHU195468 GXY195379:GXY195468 GOC195379:GOC195468 GEG195379:GEG195468 FUK195379:FUK195468 FKO195379:FKO195468 FAS195379:FAS195468 EQW195379:EQW195468 EHA195379:EHA195468 DXE195379:DXE195468 DNI195379:DNI195468 DDM195379:DDM195468 CTQ195379:CTQ195468 CJU195379:CJU195468 BZY195379:BZY195468 BQC195379:BQC195468 BGG195379:BGG195468 AWK195379:AWK195468 AMO195379:AMO195468 ACS195379:ACS195468 SW195379:SW195468 JA195379:JA195468 E195390:E195479 WVM129843:WVM129932 WLQ129843:WLQ129932 WBU129843:WBU129932 VRY129843:VRY129932 VIC129843:VIC129932 UYG129843:UYG129932 UOK129843:UOK129932 UEO129843:UEO129932 TUS129843:TUS129932 TKW129843:TKW129932 TBA129843:TBA129932 SRE129843:SRE129932 SHI129843:SHI129932 RXM129843:RXM129932 RNQ129843:RNQ129932 RDU129843:RDU129932 QTY129843:QTY129932 QKC129843:QKC129932 QAG129843:QAG129932 PQK129843:PQK129932 PGO129843:PGO129932 OWS129843:OWS129932 OMW129843:OMW129932 ODA129843:ODA129932 NTE129843:NTE129932 NJI129843:NJI129932 MZM129843:MZM129932 MPQ129843:MPQ129932 MFU129843:MFU129932 LVY129843:LVY129932 LMC129843:LMC129932 LCG129843:LCG129932 KSK129843:KSK129932 KIO129843:KIO129932 JYS129843:JYS129932 JOW129843:JOW129932 JFA129843:JFA129932 IVE129843:IVE129932 ILI129843:ILI129932 IBM129843:IBM129932 HRQ129843:HRQ129932 HHU129843:HHU129932 GXY129843:GXY129932 GOC129843:GOC129932 GEG129843:GEG129932 FUK129843:FUK129932 FKO129843:FKO129932 FAS129843:FAS129932 EQW129843:EQW129932 EHA129843:EHA129932 DXE129843:DXE129932 DNI129843:DNI129932 DDM129843:DDM129932 CTQ129843:CTQ129932 CJU129843:CJU129932 BZY129843:BZY129932 BQC129843:BQC129932 BGG129843:BGG129932 AWK129843:AWK129932 AMO129843:AMO129932 ACS129843:ACS129932 SW129843:SW129932 JA129843:JA129932 E129854:E129943 WVM64307:WVM64396 WLQ64307:WLQ64396 WBU64307:WBU64396 VRY64307:VRY64396 VIC64307:VIC64396 UYG64307:UYG64396 UOK64307:UOK64396 UEO64307:UEO64396 TUS64307:TUS64396 TKW64307:TKW64396 TBA64307:TBA64396 SRE64307:SRE64396 SHI64307:SHI64396 RXM64307:RXM64396 RNQ64307:RNQ64396 RDU64307:RDU64396 QTY64307:QTY64396 QKC64307:QKC64396 QAG64307:QAG64396 PQK64307:PQK64396 PGO64307:PGO64396 OWS64307:OWS64396 OMW64307:OMW64396 ODA64307:ODA64396 NTE64307:NTE64396 NJI64307:NJI64396 MZM64307:MZM64396 MPQ64307:MPQ64396 MFU64307:MFU64396 LVY64307:LVY64396 LMC64307:LMC64396 LCG64307:LCG64396 KSK64307:KSK64396 KIO64307:KIO64396 JYS64307:JYS64396 JOW64307:JOW64396 JFA64307:JFA64396 IVE64307:IVE64396 ILI64307:ILI64396 IBM64307:IBM64396 HRQ64307:HRQ64396 HHU64307:HHU64396 GXY64307:GXY64396 GOC64307:GOC64396 GEG64307:GEG64396 FUK64307:FUK64396 FKO64307:FKO64396 FAS64307:FAS64396 EQW64307:EQW64396 EHA64307:EHA64396 DXE64307:DXE64396 DNI64307:DNI64396 DDM64307:DDM64396 CTQ64307:CTQ64396 CJU64307:CJU64396 BZY64307:BZY64396 BQC64307:BQC64396 BGG64307:BGG64396 AWK64307:AWK64396 AMO64307:AMO64396 ACS64307:ACS64396 SW64307:SW64396 JA64307:JA64396 E64318:E64407 WVM2:WVM79 WLQ2:WLQ79 WBU2:WBU79 VRY2:VRY79 VIC2:VIC79 UYG2:UYG79 UOK2:UOK79 UEO2:UEO79 TUS2:TUS79 TKW2:TKW79 TBA2:TBA79 SRE2:SRE79 SHI2:SHI79 RXM2:RXM79 RNQ2:RNQ79 RDU2:RDU79 QTY2:QTY79 QKC2:QKC79 QAG2:QAG79 PQK2:PQK79 PGO2:PGO79 OWS2:OWS79 OMW2:OMW79 ODA2:ODA79 NTE2:NTE79 NJI2:NJI79 MZM2:MZM79 MPQ2:MPQ79 MFU2:MFU79 LVY2:LVY79 LMC2:LMC79 LCG2:LCG79 KSK2:KSK79 KIO2:KIO79 JYS2:JYS79 JOW2:JOW79 JFA2:JFA79 IVE2:IVE79 ILI2:ILI79 IBM2:IBM79 HRQ2:HRQ79 HHU2:HHU79 GXY2:GXY79 GOC2:GOC79 GEG2:GEG79 FUK2:FUK79 FKO2:FKO79 FAS2:FAS79 EQW2:EQW79 EHA2:EHA79 DXE2:DXE79 DNI2:DNI79 DDM2:DDM79 CTQ2:CTQ79 CJU2:CJU79 BZY2:BZY79 BQC2:BQC79 BGG2:BGG79 AWK2:AWK79 AMO2:AMO79 ACS2:ACS79 SW2:SW79 JA2:JA79" xr:uid="{D6F3BD8E-763B-4EBA-BEB3-5CD058BB55F7}">
      <formula1>$AG$2:$AG$13</formula1>
    </dataValidation>
    <dataValidation type="list" allowBlank="1" showInputMessage="1" showErrorMessage="1" sqref="WWF981811:WWF981894 WMJ981811:WMJ981894 WCN981811:WCN981894 VSR981811:VSR981894 VIV981811:VIV981894 UYZ981811:UYZ981894 UPD981811:UPD981894 UFH981811:UFH981894 TVL981811:TVL981894 TLP981811:TLP981894 TBT981811:TBT981894 SRX981811:SRX981894 SIB981811:SIB981894 RYF981811:RYF981894 ROJ981811:ROJ981894 REN981811:REN981894 QUR981811:QUR981894 QKV981811:QKV981894 QAZ981811:QAZ981894 PRD981811:PRD981894 PHH981811:PHH981894 OXL981811:OXL981894 ONP981811:ONP981894 ODT981811:ODT981894 NTX981811:NTX981894 NKB981811:NKB981894 NAF981811:NAF981894 MQJ981811:MQJ981894 MGN981811:MGN981894 LWR981811:LWR981894 LMV981811:LMV981894 LCZ981811:LCZ981894 KTD981811:KTD981894 KJH981811:KJH981894 JZL981811:JZL981894 JPP981811:JPP981894 JFT981811:JFT981894 IVX981811:IVX981894 IMB981811:IMB981894 ICF981811:ICF981894 HSJ981811:HSJ981894 HIN981811:HIN981894 GYR981811:GYR981894 GOV981811:GOV981894 GEZ981811:GEZ981894 FVD981811:FVD981894 FLH981811:FLH981894 FBL981811:FBL981894 ERP981811:ERP981894 EHT981811:EHT981894 DXX981811:DXX981894 DOB981811:DOB981894 DEF981811:DEF981894 CUJ981811:CUJ981894 CKN981811:CKN981894 CAR981811:CAR981894 BQV981811:BQV981894 BGZ981811:BGZ981894 AXD981811:AXD981894 ANH981811:ANH981894 ADL981811:ADL981894 TP981811:TP981894 JT981811:JT981894 X981811:X981894 WWF916275:WWF916358 WMJ916275:WMJ916358 WCN916275:WCN916358 VSR916275:VSR916358 VIV916275:VIV916358 UYZ916275:UYZ916358 UPD916275:UPD916358 UFH916275:UFH916358 TVL916275:TVL916358 TLP916275:TLP916358 TBT916275:TBT916358 SRX916275:SRX916358 SIB916275:SIB916358 RYF916275:RYF916358 ROJ916275:ROJ916358 REN916275:REN916358 QUR916275:QUR916358 QKV916275:QKV916358 QAZ916275:QAZ916358 PRD916275:PRD916358 PHH916275:PHH916358 OXL916275:OXL916358 ONP916275:ONP916358 ODT916275:ODT916358 NTX916275:NTX916358 NKB916275:NKB916358 NAF916275:NAF916358 MQJ916275:MQJ916358 MGN916275:MGN916358 LWR916275:LWR916358 LMV916275:LMV916358 LCZ916275:LCZ916358 KTD916275:KTD916358 KJH916275:KJH916358 JZL916275:JZL916358 JPP916275:JPP916358 JFT916275:JFT916358 IVX916275:IVX916358 IMB916275:IMB916358 ICF916275:ICF916358 HSJ916275:HSJ916358 HIN916275:HIN916358 GYR916275:GYR916358 GOV916275:GOV916358 GEZ916275:GEZ916358 FVD916275:FVD916358 FLH916275:FLH916358 FBL916275:FBL916358 ERP916275:ERP916358 EHT916275:EHT916358 DXX916275:DXX916358 DOB916275:DOB916358 DEF916275:DEF916358 CUJ916275:CUJ916358 CKN916275:CKN916358 CAR916275:CAR916358 BQV916275:BQV916358 BGZ916275:BGZ916358 AXD916275:AXD916358 ANH916275:ANH916358 ADL916275:ADL916358 TP916275:TP916358 JT916275:JT916358 X916275:X916358 WWF850739:WWF850822 WMJ850739:WMJ850822 WCN850739:WCN850822 VSR850739:VSR850822 VIV850739:VIV850822 UYZ850739:UYZ850822 UPD850739:UPD850822 UFH850739:UFH850822 TVL850739:TVL850822 TLP850739:TLP850822 TBT850739:TBT850822 SRX850739:SRX850822 SIB850739:SIB850822 RYF850739:RYF850822 ROJ850739:ROJ850822 REN850739:REN850822 QUR850739:QUR850822 QKV850739:QKV850822 QAZ850739:QAZ850822 PRD850739:PRD850822 PHH850739:PHH850822 OXL850739:OXL850822 ONP850739:ONP850822 ODT850739:ODT850822 NTX850739:NTX850822 NKB850739:NKB850822 NAF850739:NAF850822 MQJ850739:MQJ850822 MGN850739:MGN850822 LWR850739:LWR850822 LMV850739:LMV850822 LCZ850739:LCZ850822 KTD850739:KTD850822 KJH850739:KJH850822 JZL850739:JZL850822 JPP850739:JPP850822 JFT850739:JFT850822 IVX850739:IVX850822 IMB850739:IMB850822 ICF850739:ICF850822 HSJ850739:HSJ850822 HIN850739:HIN850822 GYR850739:GYR850822 GOV850739:GOV850822 GEZ850739:GEZ850822 FVD850739:FVD850822 FLH850739:FLH850822 FBL850739:FBL850822 ERP850739:ERP850822 EHT850739:EHT850822 DXX850739:DXX850822 DOB850739:DOB850822 DEF850739:DEF850822 CUJ850739:CUJ850822 CKN850739:CKN850822 CAR850739:CAR850822 BQV850739:BQV850822 BGZ850739:BGZ850822 AXD850739:AXD850822 ANH850739:ANH850822 ADL850739:ADL850822 TP850739:TP850822 JT850739:JT850822 X850739:X850822 WWF785203:WWF785286 WMJ785203:WMJ785286 WCN785203:WCN785286 VSR785203:VSR785286 VIV785203:VIV785286 UYZ785203:UYZ785286 UPD785203:UPD785286 UFH785203:UFH785286 TVL785203:TVL785286 TLP785203:TLP785286 TBT785203:TBT785286 SRX785203:SRX785286 SIB785203:SIB785286 RYF785203:RYF785286 ROJ785203:ROJ785286 REN785203:REN785286 QUR785203:QUR785286 QKV785203:QKV785286 QAZ785203:QAZ785286 PRD785203:PRD785286 PHH785203:PHH785286 OXL785203:OXL785286 ONP785203:ONP785286 ODT785203:ODT785286 NTX785203:NTX785286 NKB785203:NKB785286 NAF785203:NAF785286 MQJ785203:MQJ785286 MGN785203:MGN785286 LWR785203:LWR785286 LMV785203:LMV785286 LCZ785203:LCZ785286 KTD785203:KTD785286 KJH785203:KJH785286 JZL785203:JZL785286 JPP785203:JPP785286 JFT785203:JFT785286 IVX785203:IVX785286 IMB785203:IMB785286 ICF785203:ICF785286 HSJ785203:HSJ785286 HIN785203:HIN785286 GYR785203:GYR785286 GOV785203:GOV785286 GEZ785203:GEZ785286 FVD785203:FVD785286 FLH785203:FLH785286 FBL785203:FBL785286 ERP785203:ERP785286 EHT785203:EHT785286 DXX785203:DXX785286 DOB785203:DOB785286 DEF785203:DEF785286 CUJ785203:CUJ785286 CKN785203:CKN785286 CAR785203:CAR785286 BQV785203:BQV785286 BGZ785203:BGZ785286 AXD785203:AXD785286 ANH785203:ANH785286 ADL785203:ADL785286 TP785203:TP785286 JT785203:JT785286 X785203:X785286 WWF719667:WWF719750 WMJ719667:WMJ719750 WCN719667:WCN719750 VSR719667:VSR719750 VIV719667:VIV719750 UYZ719667:UYZ719750 UPD719667:UPD719750 UFH719667:UFH719750 TVL719667:TVL719750 TLP719667:TLP719750 TBT719667:TBT719750 SRX719667:SRX719750 SIB719667:SIB719750 RYF719667:RYF719750 ROJ719667:ROJ719750 REN719667:REN719750 QUR719667:QUR719750 QKV719667:QKV719750 QAZ719667:QAZ719750 PRD719667:PRD719750 PHH719667:PHH719750 OXL719667:OXL719750 ONP719667:ONP719750 ODT719667:ODT719750 NTX719667:NTX719750 NKB719667:NKB719750 NAF719667:NAF719750 MQJ719667:MQJ719750 MGN719667:MGN719750 LWR719667:LWR719750 LMV719667:LMV719750 LCZ719667:LCZ719750 KTD719667:KTD719750 KJH719667:KJH719750 JZL719667:JZL719750 JPP719667:JPP719750 JFT719667:JFT719750 IVX719667:IVX719750 IMB719667:IMB719750 ICF719667:ICF719750 HSJ719667:HSJ719750 HIN719667:HIN719750 GYR719667:GYR719750 GOV719667:GOV719750 GEZ719667:GEZ719750 FVD719667:FVD719750 FLH719667:FLH719750 FBL719667:FBL719750 ERP719667:ERP719750 EHT719667:EHT719750 DXX719667:DXX719750 DOB719667:DOB719750 DEF719667:DEF719750 CUJ719667:CUJ719750 CKN719667:CKN719750 CAR719667:CAR719750 BQV719667:BQV719750 BGZ719667:BGZ719750 AXD719667:AXD719750 ANH719667:ANH719750 ADL719667:ADL719750 TP719667:TP719750 JT719667:JT719750 X719667:X719750 WWF654131:WWF654214 WMJ654131:WMJ654214 WCN654131:WCN654214 VSR654131:VSR654214 VIV654131:VIV654214 UYZ654131:UYZ654214 UPD654131:UPD654214 UFH654131:UFH654214 TVL654131:TVL654214 TLP654131:TLP654214 TBT654131:TBT654214 SRX654131:SRX654214 SIB654131:SIB654214 RYF654131:RYF654214 ROJ654131:ROJ654214 REN654131:REN654214 QUR654131:QUR654214 QKV654131:QKV654214 QAZ654131:QAZ654214 PRD654131:PRD654214 PHH654131:PHH654214 OXL654131:OXL654214 ONP654131:ONP654214 ODT654131:ODT654214 NTX654131:NTX654214 NKB654131:NKB654214 NAF654131:NAF654214 MQJ654131:MQJ654214 MGN654131:MGN654214 LWR654131:LWR654214 LMV654131:LMV654214 LCZ654131:LCZ654214 KTD654131:KTD654214 KJH654131:KJH654214 JZL654131:JZL654214 JPP654131:JPP654214 JFT654131:JFT654214 IVX654131:IVX654214 IMB654131:IMB654214 ICF654131:ICF654214 HSJ654131:HSJ654214 HIN654131:HIN654214 GYR654131:GYR654214 GOV654131:GOV654214 GEZ654131:GEZ654214 FVD654131:FVD654214 FLH654131:FLH654214 FBL654131:FBL654214 ERP654131:ERP654214 EHT654131:EHT654214 DXX654131:DXX654214 DOB654131:DOB654214 DEF654131:DEF654214 CUJ654131:CUJ654214 CKN654131:CKN654214 CAR654131:CAR654214 BQV654131:BQV654214 BGZ654131:BGZ654214 AXD654131:AXD654214 ANH654131:ANH654214 ADL654131:ADL654214 TP654131:TP654214 JT654131:JT654214 X654131:X654214 WWF588595:WWF588678 WMJ588595:WMJ588678 WCN588595:WCN588678 VSR588595:VSR588678 VIV588595:VIV588678 UYZ588595:UYZ588678 UPD588595:UPD588678 UFH588595:UFH588678 TVL588595:TVL588678 TLP588595:TLP588678 TBT588595:TBT588678 SRX588595:SRX588678 SIB588595:SIB588678 RYF588595:RYF588678 ROJ588595:ROJ588678 REN588595:REN588678 QUR588595:QUR588678 QKV588595:QKV588678 QAZ588595:QAZ588678 PRD588595:PRD588678 PHH588595:PHH588678 OXL588595:OXL588678 ONP588595:ONP588678 ODT588595:ODT588678 NTX588595:NTX588678 NKB588595:NKB588678 NAF588595:NAF588678 MQJ588595:MQJ588678 MGN588595:MGN588678 LWR588595:LWR588678 LMV588595:LMV588678 LCZ588595:LCZ588678 KTD588595:KTD588678 KJH588595:KJH588678 JZL588595:JZL588678 JPP588595:JPP588678 JFT588595:JFT588678 IVX588595:IVX588678 IMB588595:IMB588678 ICF588595:ICF588678 HSJ588595:HSJ588678 HIN588595:HIN588678 GYR588595:GYR588678 GOV588595:GOV588678 GEZ588595:GEZ588678 FVD588595:FVD588678 FLH588595:FLH588678 FBL588595:FBL588678 ERP588595:ERP588678 EHT588595:EHT588678 DXX588595:DXX588678 DOB588595:DOB588678 DEF588595:DEF588678 CUJ588595:CUJ588678 CKN588595:CKN588678 CAR588595:CAR588678 BQV588595:BQV588678 BGZ588595:BGZ588678 AXD588595:AXD588678 ANH588595:ANH588678 ADL588595:ADL588678 TP588595:TP588678 JT588595:JT588678 X588595:X588678 WWF523059:WWF523142 WMJ523059:WMJ523142 WCN523059:WCN523142 VSR523059:VSR523142 VIV523059:VIV523142 UYZ523059:UYZ523142 UPD523059:UPD523142 UFH523059:UFH523142 TVL523059:TVL523142 TLP523059:TLP523142 TBT523059:TBT523142 SRX523059:SRX523142 SIB523059:SIB523142 RYF523059:RYF523142 ROJ523059:ROJ523142 REN523059:REN523142 QUR523059:QUR523142 QKV523059:QKV523142 QAZ523059:QAZ523142 PRD523059:PRD523142 PHH523059:PHH523142 OXL523059:OXL523142 ONP523059:ONP523142 ODT523059:ODT523142 NTX523059:NTX523142 NKB523059:NKB523142 NAF523059:NAF523142 MQJ523059:MQJ523142 MGN523059:MGN523142 LWR523059:LWR523142 LMV523059:LMV523142 LCZ523059:LCZ523142 KTD523059:KTD523142 KJH523059:KJH523142 JZL523059:JZL523142 JPP523059:JPP523142 JFT523059:JFT523142 IVX523059:IVX523142 IMB523059:IMB523142 ICF523059:ICF523142 HSJ523059:HSJ523142 HIN523059:HIN523142 GYR523059:GYR523142 GOV523059:GOV523142 GEZ523059:GEZ523142 FVD523059:FVD523142 FLH523059:FLH523142 FBL523059:FBL523142 ERP523059:ERP523142 EHT523059:EHT523142 DXX523059:DXX523142 DOB523059:DOB523142 DEF523059:DEF523142 CUJ523059:CUJ523142 CKN523059:CKN523142 CAR523059:CAR523142 BQV523059:BQV523142 BGZ523059:BGZ523142 AXD523059:AXD523142 ANH523059:ANH523142 ADL523059:ADL523142 TP523059:TP523142 JT523059:JT523142 X523059:X523142 WWF457523:WWF457606 WMJ457523:WMJ457606 WCN457523:WCN457606 VSR457523:VSR457606 VIV457523:VIV457606 UYZ457523:UYZ457606 UPD457523:UPD457606 UFH457523:UFH457606 TVL457523:TVL457606 TLP457523:TLP457606 TBT457523:TBT457606 SRX457523:SRX457606 SIB457523:SIB457606 RYF457523:RYF457606 ROJ457523:ROJ457606 REN457523:REN457606 QUR457523:QUR457606 QKV457523:QKV457606 QAZ457523:QAZ457606 PRD457523:PRD457606 PHH457523:PHH457606 OXL457523:OXL457606 ONP457523:ONP457606 ODT457523:ODT457606 NTX457523:NTX457606 NKB457523:NKB457606 NAF457523:NAF457606 MQJ457523:MQJ457606 MGN457523:MGN457606 LWR457523:LWR457606 LMV457523:LMV457606 LCZ457523:LCZ457606 KTD457523:KTD457606 KJH457523:KJH457606 JZL457523:JZL457606 JPP457523:JPP457606 JFT457523:JFT457606 IVX457523:IVX457606 IMB457523:IMB457606 ICF457523:ICF457606 HSJ457523:HSJ457606 HIN457523:HIN457606 GYR457523:GYR457606 GOV457523:GOV457606 GEZ457523:GEZ457606 FVD457523:FVD457606 FLH457523:FLH457606 FBL457523:FBL457606 ERP457523:ERP457606 EHT457523:EHT457606 DXX457523:DXX457606 DOB457523:DOB457606 DEF457523:DEF457606 CUJ457523:CUJ457606 CKN457523:CKN457606 CAR457523:CAR457606 BQV457523:BQV457606 BGZ457523:BGZ457606 AXD457523:AXD457606 ANH457523:ANH457606 ADL457523:ADL457606 TP457523:TP457606 JT457523:JT457606 X457523:X457606 WWF391987:WWF392070 WMJ391987:WMJ392070 WCN391987:WCN392070 VSR391987:VSR392070 VIV391987:VIV392070 UYZ391987:UYZ392070 UPD391987:UPD392070 UFH391987:UFH392070 TVL391987:TVL392070 TLP391987:TLP392070 TBT391987:TBT392070 SRX391987:SRX392070 SIB391987:SIB392070 RYF391987:RYF392070 ROJ391987:ROJ392070 REN391987:REN392070 QUR391987:QUR392070 QKV391987:QKV392070 QAZ391987:QAZ392070 PRD391987:PRD392070 PHH391987:PHH392070 OXL391987:OXL392070 ONP391987:ONP392070 ODT391987:ODT392070 NTX391987:NTX392070 NKB391987:NKB392070 NAF391987:NAF392070 MQJ391987:MQJ392070 MGN391987:MGN392070 LWR391987:LWR392070 LMV391987:LMV392070 LCZ391987:LCZ392070 KTD391987:KTD392070 KJH391987:KJH392070 JZL391987:JZL392070 JPP391987:JPP392070 JFT391987:JFT392070 IVX391987:IVX392070 IMB391987:IMB392070 ICF391987:ICF392070 HSJ391987:HSJ392070 HIN391987:HIN392070 GYR391987:GYR392070 GOV391987:GOV392070 GEZ391987:GEZ392070 FVD391987:FVD392070 FLH391987:FLH392070 FBL391987:FBL392070 ERP391987:ERP392070 EHT391987:EHT392070 DXX391987:DXX392070 DOB391987:DOB392070 DEF391987:DEF392070 CUJ391987:CUJ392070 CKN391987:CKN392070 CAR391987:CAR392070 BQV391987:BQV392070 BGZ391987:BGZ392070 AXD391987:AXD392070 ANH391987:ANH392070 ADL391987:ADL392070 TP391987:TP392070 JT391987:JT392070 X391987:X392070 WWF326451:WWF326534 WMJ326451:WMJ326534 WCN326451:WCN326534 VSR326451:VSR326534 VIV326451:VIV326534 UYZ326451:UYZ326534 UPD326451:UPD326534 UFH326451:UFH326534 TVL326451:TVL326534 TLP326451:TLP326534 TBT326451:TBT326534 SRX326451:SRX326534 SIB326451:SIB326534 RYF326451:RYF326534 ROJ326451:ROJ326534 REN326451:REN326534 QUR326451:QUR326534 QKV326451:QKV326534 QAZ326451:QAZ326534 PRD326451:PRD326534 PHH326451:PHH326534 OXL326451:OXL326534 ONP326451:ONP326534 ODT326451:ODT326534 NTX326451:NTX326534 NKB326451:NKB326534 NAF326451:NAF326534 MQJ326451:MQJ326534 MGN326451:MGN326534 LWR326451:LWR326534 LMV326451:LMV326534 LCZ326451:LCZ326534 KTD326451:KTD326534 KJH326451:KJH326534 JZL326451:JZL326534 JPP326451:JPP326534 JFT326451:JFT326534 IVX326451:IVX326534 IMB326451:IMB326534 ICF326451:ICF326534 HSJ326451:HSJ326534 HIN326451:HIN326534 GYR326451:GYR326534 GOV326451:GOV326534 GEZ326451:GEZ326534 FVD326451:FVD326534 FLH326451:FLH326534 FBL326451:FBL326534 ERP326451:ERP326534 EHT326451:EHT326534 DXX326451:DXX326534 DOB326451:DOB326534 DEF326451:DEF326534 CUJ326451:CUJ326534 CKN326451:CKN326534 CAR326451:CAR326534 BQV326451:BQV326534 BGZ326451:BGZ326534 AXD326451:AXD326534 ANH326451:ANH326534 ADL326451:ADL326534 TP326451:TP326534 JT326451:JT326534 X326451:X326534 WWF260915:WWF260998 WMJ260915:WMJ260998 WCN260915:WCN260998 VSR260915:VSR260998 VIV260915:VIV260998 UYZ260915:UYZ260998 UPD260915:UPD260998 UFH260915:UFH260998 TVL260915:TVL260998 TLP260915:TLP260998 TBT260915:TBT260998 SRX260915:SRX260998 SIB260915:SIB260998 RYF260915:RYF260998 ROJ260915:ROJ260998 REN260915:REN260998 QUR260915:QUR260998 QKV260915:QKV260998 QAZ260915:QAZ260998 PRD260915:PRD260998 PHH260915:PHH260998 OXL260915:OXL260998 ONP260915:ONP260998 ODT260915:ODT260998 NTX260915:NTX260998 NKB260915:NKB260998 NAF260915:NAF260998 MQJ260915:MQJ260998 MGN260915:MGN260998 LWR260915:LWR260998 LMV260915:LMV260998 LCZ260915:LCZ260998 KTD260915:KTD260998 KJH260915:KJH260998 JZL260915:JZL260998 JPP260915:JPP260998 JFT260915:JFT260998 IVX260915:IVX260998 IMB260915:IMB260998 ICF260915:ICF260998 HSJ260915:HSJ260998 HIN260915:HIN260998 GYR260915:GYR260998 GOV260915:GOV260998 GEZ260915:GEZ260998 FVD260915:FVD260998 FLH260915:FLH260998 FBL260915:FBL260998 ERP260915:ERP260998 EHT260915:EHT260998 DXX260915:DXX260998 DOB260915:DOB260998 DEF260915:DEF260998 CUJ260915:CUJ260998 CKN260915:CKN260998 CAR260915:CAR260998 BQV260915:BQV260998 BGZ260915:BGZ260998 AXD260915:AXD260998 ANH260915:ANH260998 ADL260915:ADL260998 TP260915:TP260998 JT260915:JT260998 X260915:X260998 WWF195379:WWF195462 WMJ195379:WMJ195462 WCN195379:WCN195462 VSR195379:VSR195462 VIV195379:VIV195462 UYZ195379:UYZ195462 UPD195379:UPD195462 UFH195379:UFH195462 TVL195379:TVL195462 TLP195379:TLP195462 TBT195379:TBT195462 SRX195379:SRX195462 SIB195379:SIB195462 RYF195379:RYF195462 ROJ195379:ROJ195462 REN195379:REN195462 QUR195379:QUR195462 QKV195379:QKV195462 QAZ195379:QAZ195462 PRD195379:PRD195462 PHH195379:PHH195462 OXL195379:OXL195462 ONP195379:ONP195462 ODT195379:ODT195462 NTX195379:NTX195462 NKB195379:NKB195462 NAF195379:NAF195462 MQJ195379:MQJ195462 MGN195379:MGN195462 LWR195379:LWR195462 LMV195379:LMV195462 LCZ195379:LCZ195462 KTD195379:KTD195462 KJH195379:KJH195462 JZL195379:JZL195462 JPP195379:JPP195462 JFT195379:JFT195462 IVX195379:IVX195462 IMB195379:IMB195462 ICF195379:ICF195462 HSJ195379:HSJ195462 HIN195379:HIN195462 GYR195379:GYR195462 GOV195379:GOV195462 GEZ195379:GEZ195462 FVD195379:FVD195462 FLH195379:FLH195462 FBL195379:FBL195462 ERP195379:ERP195462 EHT195379:EHT195462 DXX195379:DXX195462 DOB195379:DOB195462 DEF195379:DEF195462 CUJ195379:CUJ195462 CKN195379:CKN195462 CAR195379:CAR195462 BQV195379:BQV195462 BGZ195379:BGZ195462 AXD195379:AXD195462 ANH195379:ANH195462 ADL195379:ADL195462 TP195379:TP195462 JT195379:JT195462 X195379:X195462 WWF129843:WWF129926 WMJ129843:WMJ129926 WCN129843:WCN129926 VSR129843:VSR129926 VIV129843:VIV129926 UYZ129843:UYZ129926 UPD129843:UPD129926 UFH129843:UFH129926 TVL129843:TVL129926 TLP129843:TLP129926 TBT129843:TBT129926 SRX129843:SRX129926 SIB129843:SIB129926 RYF129843:RYF129926 ROJ129843:ROJ129926 REN129843:REN129926 QUR129843:QUR129926 QKV129843:QKV129926 QAZ129843:QAZ129926 PRD129843:PRD129926 PHH129843:PHH129926 OXL129843:OXL129926 ONP129843:ONP129926 ODT129843:ODT129926 NTX129843:NTX129926 NKB129843:NKB129926 NAF129843:NAF129926 MQJ129843:MQJ129926 MGN129843:MGN129926 LWR129843:LWR129926 LMV129843:LMV129926 LCZ129843:LCZ129926 KTD129843:KTD129926 KJH129843:KJH129926 JZL129843:JZL129926 JPP129843:JPP129926 JFT129843:JFT129926 IVX129843:IVX129926 IMB129843:IMB129926 ICF129843:ICF129926 HSJ129843:HSJ129926 HIN129843:HIN129926 GYR129843:GYR129926 GOV129843:GOV129926 GEZ129843:GEZ129926 FVD129843:FVD129926 FLH129843:FLH129926 FBL129843:FBL129926 ERP129843:ERP129926 EHT129843:EHT129926 DXX129843:DXX129926 DOB129843:DOB129926 DEF129843:DEF129926 CUJ129843:CUJ129926 CKN129843:CKN129926 CAR129843:CAR129926 BQV129843:BQV129926 BGZ129843:BGZ129926 AXD129843:AXD129926 ANH129843:ANH129926 ADL129843:ADL129926 TP129843:TP129926 JT129843:JT129926 X129843:X129926 WWF64307:WWF64390 WMJ64307:WMJ64390 WCN64307:WCN64390 VSR64307:VSR64390 VIV64307:VIV64390 UYZ64307:UYZ64390 UPD64307:UPD64390 UFH64307:UFH64390 TVL64307:TVL64390 TLP64307:TLP64390 TBT64307:TBT64390 SRX64307:SRX64390 SIB64307:SIB64390 RYF64307:RYF64390 ROJ64307:ROJ64390 REN64307:REN64390 QUR64307:QUR64390 QKV64307:QKV64390 QAZ64307:QAZ64390 PRD64307:PRD64390 PHH64307:PHH64390 OXL64307:OXL64390 ONP64307:ONP64390 ODT64307:ODT64390 NTX64307:NTX64390 NKB64307:NKB64390 NAF64307:NAF64390 MQJ64307:MQJ64390 MGN64307:MGN64390 LWR64307:LWR64390 LMV64307:LMV64390 LCZ64307:LCZ64390 KTD64307:KTD64390 KJH64307:KJH64390 JZL64307:JZL64390 JPP64307:JPP64390 JFT64307:JFT64390 IVX64307:IVX64390 IMB64307:IMB64390 ICF64307:ICF64390 HSJ64307:HSJ64390 HIN64307:HIN64390 GYR64307:GYR64390 GOV64307:GOV64390 GEZ64307:GEZ64390 FVD64307:FVD64390 FLH64307:FLH64390 FBL64307:FBL64390 ERP64307:ERP64390 EHT64307:EHT64390 DXX64307:DXX64390 DOB64307:DOB64390 DEF64307:DEF64390 CUJ64307:CUJ64390 CKN64307:CKN64390 CAR64307:CAR64390 BQV64307:BQV64390 BGZ64307:BGZ64390 AXD64307:AXD64390 ANH64307:ANH64390 ADL64307:ADL64390 TP64307:TP64390 JT64307:JT64390 X64307:X64390 X102:X506 JT2:JT79 WWF2:WWF79 WMJ2:WMJ79 WCN2:WCN79 VSR2:VSR79 VIV2:VIV79 UYZ2:UYZ79 UPD2:UPD79 UFH2:UFH79 TVL2:TVL79 TLP2:TLP79 TBT2:TBT79 SRX2:SRX79 SIB2:SIB79 RYF2:RYF79 ROJ2:ROJ79 REN2:REN79 QUR2:QUR79 QKV2:QKV79 QAZ2:QAZ79 PRD2:PRD79 PHH2:PHH79 OXL2:OXL79 ONP2:ONP79 ODT2:ODT79 NTX2:NTX79 NKB2:NKB79 NAF2:NAF79 MQJ2:MQJ79 MGN2:MGN79 LWR2:LWR79 LMV2:LMV79 LCZ2:LCZ79 KTD2:KTD79 KJH2:KJH79 JZL2:JZL79 JPP2:JPP79 JFT2:JFT79 IVX2:IVX79 IMB2:IMB79 ICF2:ICF79 HSJ2:HSJ79 HIN2:HIN79 GYR2:GYR79 GOV2:GOV79 GEZ2:GEZ79 FVD2:FVD79 FLH2:FLH79 FBL2:FBL79 ERP2:ERP79 EHT2:EHT79 DXX2:DXX79 DOB2:DOB79 DEF2:DEF79 CUJ2:CUJ79 CKN2:CKN79 CAR2:CAR79 BQV2:BQV79 BGZ2:BGZ79 AXD2:AXD79 ANH2:ANH79 ADL2:ADL79 TP2:TP79 X2:X100" xr:uid="{DD2E4533-618F-4555-ADCA-F8AAF2EE82B7}">
      <formula1>$AT$2:$AT$3</formula1>
    </dataValidation>
    <dataValidation operator="equal" allowBlank="1" showInputMessage="1" showErrorMessage="1" sqref="WVJ981811:WVJ981900 WLN981811:WLN981900 WBR981811:WBR981900 VRV981811:VRV981900 VHZ981811:VHZ981900 UYD981811:UYD981900 UOH981811:UOH981900 UEL981811:UEL981900 TUP981811:TUP981900 TKT981811:TKT981900 TAX981811:TAX981900 SRB981811:SRB981900 SHF981811:SHF981900 RXJ981811:RXJ981900 RNN981811:RNN981900 RDR981811:RDR981900 QTV981811:QTV981900 QJZ981811:QJZ981900 QAD981811:QAD981900 PQH981811:PQH981900 PGL981811:PGL981900 OWP981811:OWP981900 OMT981811:OMT981900 OCX981811:OCX981900 NTB981811:NTB981900 NJF981811:NJF981900 MZJ981811:MZJ981900 MPN981811:MPN981900 MFR981811:MFR981900 LVV981811:LVV981900 LLZ981811:LLZ981900 LCD981811:LCD981900 KSH981811:KSH981900 KIL981811:KIL981900 JYP981811:JYP981900 JOT981811:JOT981900 JEX981811:JEX981900 IVB981811:IVB981900 ILF981811:ILF981900 IBJ981811:IBJ981900 HRN981811:HRN981900 HHR981811:HHR981900 GXV981811:GXV981900 GNZ981811:GNZ981900 GED981811:GED981900 FUH981811:FUH981900 FKL981811:FKL981900 FAP981811:FAP981900 EQT981811:EQT981900 EGX981811:EGX981900 DXB981811:DXB981900 DNF981811:DNF981900 DDJ981811:DDJ981900 CTN981811:CTN981900 CJR981811:CJR981900 BZV981811:BZV981900 BPZ981811:BPZ981900 BGD981811:BGD981900 AWH981811:AWH981900 AML981811:AML981900 ACP981811:ACP981900 ST981811:ST981900 IX981811:IX981900 B981817:B981906 WVJ916275:WVJ916364 WLN916275:WLN916364 WBR916275:WBR916364 VRV916275:VRV916364 VHZ916275:VHZ916364 UYD916275:UYD916364 UOH916275:UOH916364 UEL916275:UEL916364 TUP916275:TUP916364 TKT916275:TKT916364 TAX916275:TAX916364 SRB916275:SRB916364 SHF916275:SHF916364 RXJ916275:RXJ916364 RNN916275:RNN916364 RDR916275:RDR916364 QTV916275:QTV916364 QJZ916275:QJZ916364 QAD916275:QAD916364 PQH916275:PQH916364 PGL916275:PGL916364 OWP916275:OWP916364 OMT916275:OMT916364 OCX916275:OCX916364 NTB916275:NTB916364 NJF916275:NJF916364 MZJ916275:MZJ916364 MPN916275:MPN916364 MFR916275:MFR916364 LVV916275:LVV916364 LLZ916275:LLZ916364 LCD916275:LCD916364 KSH916275:KSH916364 KIL916275:KIL916364 JYP916275:JYP916364 JOT916275:JOT916364 JEX916275:JEX916364 IVB916275:IVB916364 ILF916275:ILF916364 IBJ916275:IBJ916364 HRN916275:HRN916364 HHR916275:HHR916364 GXV916275:GXV916364 GNZ916275:GNZ916364 GED916275:GED916364 FUH916275:FUH916364 FKL916275:FKL916364 FAP916275:FAP916364 EQT916275:EQT916364 EGX916275:EGX916364 DXB916275:DXB916364 DNF916275:DNF916364 DDJ916275:DDJ916364 CTN916275:CTN916364 CJR916275:CJR916364 BZV916275:BZV916364 BPZ916275:BPZ916364 BGD916275:BGD916364 AWH916275:AWH916364 AML916275:AML916364 ACP916275:ACP916364 ST916275:ST916364 IX916275:IX916364 B916281:B916370 WVJ850739:WVJ850828 WLN850739:WLN850828 WBR850739:WBR850828 VRV850739:VRV850828 VHZ850739:VHZ850828 UYD850739:UYD850828 UOH850739:UOH850828 UEL850739:UEL850828 TUP850739:TUP850828 TKT850739:TKT850828 TAX850739:TAX850828 SRB850739:SRB850828 SHF850739:SHF850828 RXJ850739:RXJ850828 RNN850739:RNN850828 RDR850739:RDR850828 QTV850739:QTV850828 QJZ850739:QJZ850828 QAD850739:QAD850828 PQH850739:PQH850828 PGL850739:PGL850828 OWP850739:OWP850828 OMT850739:OMT850828 OCX850739:OCX850828 NTB850739:NTB850828 NJF850739:NJF850828 MZJ850739:MZJ850828 MPN850739:MPN850828 MFR850739:MFR850828 LVV850739:LVV850828 LLZ850739:LLZ850828 LCD850739:LCD850828 KSH850739:KSH850828 KIL850739:KIL850828 JYP850739:JYP850828 JOT850739:JOT850828 JEX850739:JEX850828 IVB850739:IVB850828 ILF850739:ILF850828 IBJ850739:IBJ850828 HRN850739:HRN850828 HHR850739:HHR850828 GXV850739:GXV850828 GNZ850739:GNZ850828 GED850739:GED850828 FUH850739:FUH850828 FKL850739:FKL850828 FAP850739:FAP850828 EQT850739:EQT850828 EGX850739:EGX850828 DXB850739:DXB850828 DNF850739:DNF850828 DDJ850739:DDJ850828 CTN850739:CTN850828 CJR850739:CJR850828 BZV850739:BZV850828 BPZ850739:BPZ850828 BGD850739:BGD850828 AWH850739:AWH850828 AML850739:AML850828 ACP850739:ACP850828 ST850739:ST850828 IX850739:IX850828 B850745:B850834 WVJ785203:WVJ785292 WLN785203:WLN785292 WBR785203:WBR785292 VRV785203:VRV785292 VHZ785203:VHZ785292 UYD785203:UYD785292 UOH785203:UOH785292 UEL785203:UEL785292 TUP785203:TUP785292 TKT785203:TKT785292 TAX785203:TAX785292 SRB785203:SRB785292 SHF785203:SHF785292 RXJ785203:RXJ785292 RNN785203:RNN785292 RDR785203:RDR785292 QTV785203:QTV785292 QJZ785203:QJZ785292 QAD785203:QAD785292 PQH785203:PQH785292 PGL785203:PGL785292 OWP785203:OWP785292 OMT785203:OMT785292 OCX785203:OCX785292 NTB785203:NTB785292 NJF785203:NJF785292 MZJ785203:MZJ785292 MPN785203:MPN785292 MFR785203:MFR785292 LVV785203:LVV785292 LLZ785203:LLZ785292 LCD785203:LCD785292 KSH785203:KSH785292 KIL785203:KIL785292 JYP785203:JYP785292 JOT785203:JOT785292 JEX785203:JEX785292 IVB785203:IVB785292 ILF785203:ILF785292 IBJ785203:IBJ785292 HRN785203:HRN785292 HHR785203:HHR785292 GXV785203:GXV785292 GNZ785203:GNZ785292 GED785203:GED785292 FUH785203:FUH785292 FKL785203:FKL785292 FAP785203:FAP785292 EQT785203:EQT785292 EGX785203:EGX785292 DXB785203:DXB785292 DNF785203:DNF785292 DDJ785203:DDJ785292 CTN785203:CTN785292 CJR785203:CJR785292 BZV785203:BZV785292 BPZ785203:BPZ785292 BGD785203:BGD785292 AWH785203:AWH785292 AML785203:AML785292 ACP785203:ACP785292 ST785203:ST785292 IX785203:IX785292 B785209:B785298 WVJ719667:WVJ719756 WLN719667:WLN719756 WBR719667:WBR719756 VRV719667:VRV719756 VHZ719667:VHZ719756 UYD719667:UYD719756 UOH719667:UOH719756 UEL719667:UEL719756 TUP719667:TUP719756 TKT719667:TKT719756 TAX719667:TAX719756 SRB719667:SRB719756 SHF719667:SHF719756 RXJ719667:RXJ719756 RNN719667:RNN719756 RDR719667:RDR719756 QTV719667:QTV719756 QJZ719667:QJZ719756 QAD719667:QAD719756 PQH719667:PQH719756 PGL719667:PGL719756 OWP719667:OWP719756 OMT719667:OMT719756 OCX719667:OCX719756 NTB719667:NTB719756 NJF719667:NJF719756 MZJ719667:MZJ719756 MPN719667:MPN719756 MFR719667:MFR719756 LVV719667:LVV719756 LLZ719667:LLZ719756 LCD719667:LCD719756 KSH719667:KSH719756 KIL719667:KIL719756 JYP719667:JYP719756 JOT719667:JOT719756 JEX719667:JEX719756 IVB719667:IVB719756 ILF719667:ILF719756 IBJ719667:IBJ719756 HRN719667:HRN719756 HHR719667:HHR719756 GXV719667:GXV719756 GNZ719667:GNZ719756 GED719667:GED719756 FUH719667:FUH719756 FKL719667:FKL719756 FAP719667:FAP719756 EQT719667:EQT719756 EGX719667:EGX719756 DXB719667:DXB719756 DNF719667:DNF719756 DDJ719667:DDJ719756 CTN719667:CTN719756 CJR719667:CJR719756 BZV719667:BZV719756 BPZ719667:BPZ719756 BGD719667:BGD719756 AWH719667:AWH719756 AML719667:AML719756 ACP719667:ACP719756 ST719667:ST719756 IX719667:IX719756 B719673:B719762 WVJ654131:WVJ654220 WLN654131:WLN654220 WBR654131:WBR654220 VRV654131:VRV654220 VHZ654131:VHZ654220 UYD654131:UYD654220 UOH654131:UOH654220 UEL654131:UEL654220 TUP654131:TUP654220 TKT654131:TKT654220 TAX654131:TAX654220 SRB654131:SRB654220 SHF654131:SHF654220 RXJ654131:RXJ654220 RNN654131:RNN654220 RDR654131:RDR654220 QTV654131:QTV654220 QJZ654131:QJZ654220 QAD654131:QAD654220 PQH654131:PQH654220 PGL654131:PGL654220 OWP654131:OWP654220 OMT654131:OMT654220 OCX654131:OCX654220 NTB654131:NTB654220 NJF654131:NJF654220 MZJ654131:MZJ654220 MPN654131:MPN654220 MFR654131:MFR654220 LVV654131:LVV654220 LLZ654131:LLZ654220 LCD654131:LCD654220 KSH654131:KSH654220 KIL654131:KIL654220 JYP654131:JYP654220 JOT654131:JOT654220 JEX654131:JEX654220 IVB654131:IVB654220 ILF654131:ILF654220 IBJ654131:IBJ654220 HRN654131:HRN654220 HHR654131:HHR654220 GXV654131:GXV654220 GNZ654131:GNZ654220 GED654131:GED654220 FUH654131:FUH654220 FKL654131:FKL654220 FAP654131:FAP654220 EQT654131:EQT654220 EGX654131:EGX654220 DXB654131:DXB654220 DNF654131:DNF654220 DDJ654131:DDJ654220 CTN654131:CTN654220 CJR654131:CJR654220 BZV654131:BZV654220 BPZ654131:BPZ654220 BGD654131:BGD654220 AWH654131:AWH654220 AML654131:AML654220 ACP654131:ACP654220 ST654131:ST654220 IX654131:IX654220 B654137:B654226 WVJ588595:WVJ588684 WLN588595:WLN588684 WBR588595:WBR588684 VRV588595:VRV588684 VHZ588595:VHZ588684 UYD588595:UYD588684 UOH588595:UOH588684 UEL588595:UEL588684 TUP588595:TUP588684 TKT588595:TKT588684 TAX588595:TAX588684 SRB588595:SRB588684 SHF588595:SHF588684 RXJ588595:RXJ588684 RNN588595:RNN588684 RDR588595:RDR588684 QTV588595:QTV588684 QJZ588595:QJZ588684 QAD588595:QAD588684 PQH588595:PQH588684 PGL588595:PGL588684 OWP588595:OWP588684 OMT588595:OMT588684 OCX588595:OCX588684 NTB588595:NTB588684 NJF588595:NJF588684 MZJ588595:MZJ588684 MPN588595:MPN588684 MFR588595:MFR588684 LVV588595:LVV588684 LLZ588595:LLZ588684 LCD588595:LCD588684 KSH588595:KSH588684 KIL588595:KIL588684 JYP588595:JYP588684 JOT588595:JOT588684 JEX588595:JEX588684 IVB588595:IVB588684 ILF588595:ILF588684 IBJ588595:IBJ588684 HRN588595:HRN588684 HHR588595:HHR588684 GXV588595:GXV588684 GNZ588595:GNZ588684 GED588595:GED588684 FUH588595:FUH588684 FKL588595:FKL588684 FAP588595:FAP588684 EQT588595:EQT588684 EGX588595:EGX588684 DXB588595:DXB588684 DNF588595:DNF588684 DDJ588595:DDJ588684 CTN588595:CTN588684 CJR588595:CJR588684 BZV588595:BZV588684 BPZ588595:BPZ588684 BGD588595:BGD588684 AWH588595:AWH588684 AML588595:AML588684 ACP588595:ACP588684 ST588595:ST588684 IX588595:IX588684 B588601:B588690 WVJ523059:WVJ523148 WLN523059:WLN523148 WBR523059:WBR523148 VRV523059:VRV523148 VHZ523059:VHZ523148 UYD523059:UYD523148 UOH523059:UOH523148 UEL523059:UEL523148 TUP523059:TUP523148 TKT523059:TKT523148 TAX523059:TAX523148 SRB523059:SRB523148 SHF523059:SHF523148 RXJ523059:RXJ523148 RNN523059:RNN523148 RDR523059:RDR523148 QTV523059:QTV523148 QJZ523059:QJZ523148 QAD523059:QAD523148 PQH523059:PQH523148 PGL523059:PGL523148 OWP523059:OWP523148 OMT523059:OMT523148 OCX523059:OCX523148 NTB523059:NTB523148 NJF523059:NJF523148 MZJ523059:MZJ523148 MPN523059:MPN523148 MFR523059:MFR523148 LVV523059:LVV523148 LLZ523059:LLZ523148 LCD523059:LCD523148 KSH523059:KSH523148 KIL523059:KIL523148 JYP523059:JYP523148 JOT523059:JOT523148 JEX523059:JEX523148 IVB523059:IVB523148 ILF523059:ILF523148 IBJ523059:IBJ523148 HRN523059:HRN523148 HHR523059:HHR523148 GXV523059:GXV523148 GNZ523059:GNZ523148 GED523059:GED523148 FUH523059:FUH523148 FKL523059:FKL523148 FAP523059:FAP523148 EQT523059:EQT523148 EGX523059:EGX523148 DXB523059:DXB523148 DNF523059:DNF523148 DDJ523059:DDJ523148 CTN523059:CTN523148 CJR523059:CJR523148 BZV523059:BZV523148 BPZ523059:BPZ523148 BGD523059:BGD523148 AWH523059:AWH523148 AML523059:AML523148 ACP523059:ACP523148 ST523059:ST523148 IX523059:IX523148 B523065:B523154 WVJ457523:WVJ457612 WLN457523:WLN457612 WBR457523:WBR457612 VRV457523:VRV457612 VHZ457523:VHZ457612 UYD457523:UYD457612 UOH457523:UOH457612 UEL457523:UEL457612 TUP457523:TUP457612 TKT457523:TKT457612 TAX457523:TAX457612 SRB457523:SRB457612 SHF457523:SHF457612 RXJ457523:RXJ457612 RNN457523:RNN457612 RDR457523:RDR457612 QTV457523:QTV457612 QJZ457523:QJZ457612 QAD457523:QAD457612 PQH457523:PQH457612 PGL457523:PGL457612 OWP457523:OWP457612 OMT457523:OMT457612 OCX457523:OCX457612 NTB457523:NTB457612 NJF457523:NJF457612 MZJ457523:MZJ457612 MPN457523:MPN457612 MFR457523:MFR457612 LVV457523:LVV457612 LLZ457523:LLZ457612 LCD457523:LCD457612 KSH457523:KSH457612 KIL457523:KIL457612 JYP457523:JYP457612 JOT457523:JOT457612 JEX457523:JEX457612 IVB457523:IVB457612 ILF457523:ILF457612 IBJ457523:IBJ457612 HRN457523:HRN457612 HHR457523:HHR457612 GXV457523:GXV457612 GNZ457523:GNZ457612 GED457523:GED457612 FUH457523:FUH457612 FKL457523:FKL457612 FAP457523:FAP457612 EQT457523:EQT457612 EGX457523:EGX457612 DXB457523:DXB457612 DNF457523:DNF457612 DDJ457523:DDJ457612 CTN457523:CTN457612 CJR457523:CJR457612 BZV457523:BZV457612 BPZ457523:BPZ457612 BGD457523:BGD457612 AWH457523:AWH457612 AML457523:AML457612 ACP457523:ACP457612 ST457523:ST457612 IX457523:IX457612 B457529:B457618 WVJ391987:WVJ392076 WLN391987:WLN392076 WBR391987:WBR392076 VRV391987:VRV392076 VHZ391987:VHZ392076 UYD391987:UYD392076 UOH391987:UOH392076 UEL391987:UEL392076 TUP391987:TUP392076 TKT391987:TKT392076 TAX391987:TAX392076 SRB391987:SRB392076 SHF391987:SHF392076 RXJ391987:RXJ392076 RNN391987:RNN392076 RDR391987:RDR392076 QTV391987:QTV392076 QJZ391987:QJZ392076 QAD391987:QAD392076 PQH391987:PQH392076 PGL391987:PGL392076 OWP391987:OWP392076 OMT391987:OMT392076 OCX391987:OCX392076 NTB391987:NTB392076 NJF391987:NJF392076 MZJ391987:MZJ392076 MPN391987:MPN392076 MFR391987:MFR392076 LVV391987:LVV392076 LLZ391987:LLZ392076 LCD391987:LCD392076 KSH391987:KSH392076 KIL391987:KIL392076 JYP391987:JYP392076 JOT391987:JOT392076 JEX391987:JEX392076 IVB391987:IVB392076 ILF391987:ILF392076 IBJ391987:IBJ392076 HRN391987:HRN392076 HHR391987:HHR392076 GXV391987:GXV392076 GNZ391987:GNZ392076 GED391987:GED392076 FUH391987:FUH392076 FKL391987:FKL392076 FAP391987:FAP392076 EQT391987:EQT392076 EGX391987:EGX392076 DXB391987:DXB392076 DNF391987:DNF392076 DDJ391987:DDJ392076 CTN391987:CTN392076 CJR391987:CJR392076 BZV391987:BZV392076 BPZ391987:BPZ392076 BGD391987:BGD392076 AWH391987:AWH392076 AML391987:AML392076 ACP391987:ACP392076 ST391987:ST392076 IX391987:IX392076 B391993:B392082 WVJ326451:WVJ326540 WLN326451:WLN326540 WBR326451:WBR326540 VRV326451:VRV326540 VHZ326451:VHZ326540 UYD326451:UYD326540 UOH326451:UOH326540 UEL326451:UEL326540 TUP326451:TUP326540 TKT326451:TKT326540 TAX326451:TAX326540 SRB326451:SRB326540 SHF326451:SHF326540 RXJ326451:RXJ326540 RNN326451:RNN326540 RDR326451:RDR326540 QTV326451:QTV326540 QJZ326451:QJZ326540 QAD326451:QAD326540 PQH326451:PQH326540 PGL326451:PGL326540 OWP326451:OWP326540 OMT326451:OMT326540 OCX326451:OCX326540 NTB326451:NTB326540 NJF326451:NJF326540 MZJ326451:MZJ326540 MPN326451:MPN326540 MFR326451:MFR326540 LVV326451:LVV326540 LLZ326451:LLZ326540 LCD326451:LCD326540 KSH326451:KSH326540 KIL326451:KIL326540 JYP326451:JYP326540 JOT326451:JOT326540 JEX326451:JEX326540 IVB326451:IVB326540 ILF326451:ILF326540 IBJ326451:IBJ326540 HRN326451:HRN326540 HHR326451:HHR326540 GXV326451:GXV326540 GNZ326451:GNZ326540 GED326451:GED326540 FUH326451:FUH326540 FKL326451:FKL326540 FAP326451:FAP326540 EQT326451:EQT326540 EGX326451:EGX326540 DXB326451:DXB326540 DNF326451:DNF326540 DDJ326451:DDJ326540 CTN326451:CTN326540 CJR326451:CJR326540 BZV326451:BZV326540 BPZ326451:BPZ326540 BGD326451:BGD326540 AWH326451:AWH326540 AML326451:AML326540 ACP326451:ACP326540 ST326451:ST326540 IX326451:IX326540 B326457:B326546 WVJ260915:WVJ261004 WLN260915:WLN261004 WBR260915:WBR261004 VRV260915:VRV261004 VHZ260915:VHZ261004 UYD260915:UYD261004 UOH260915:UOH261004 UEL260915:UEL261004 TUP260915:TUP261004 TKT260915:TKT261004 TAX260915:TAX261004 SRB260915:SRB261004 SHF260915:SHF261004 RXJ260915:RXJ261004 RNN260915:RNN261004 RDR260915:RDR261004 QTV260915:QTV261004 QJZ260915:QJZ261004 QAD260915:QAD261004 PQH260915:PQH261004 PGL260915:PGL261004 OWP260915:OWP261004 OMT260915:OMT261004 OCX260915:OCX261004 NTB260915:NTB261004 NJF260915:NJF261004 MZJ260915:MZJ261004 MPN260915:MPN261004 MFR260915:MFR261004 LVV260915:LVV261004 LLZ260915:LLZ261004 LCD260915:LCD261004 KSH260915:KSH261004 KIL260915:KIL261004 JYP260915:JYP261004 JOT260915:JOT261004 JEX260915:JEX261004 IVB260915:IVB261004 ILF260915:ILF261004 IBJ260915:IBJ261004 HRN260915:HRN261004 HHR260915:HHR261004 GXV260915:GXV261004 GNZ260915:GNZ261004 GED260915:GED261004 FUH260915:FUH261004 FKL260915:FKL261004 FAP260915:FAP261004 EQT260915:EQT261004 EGX260915:EGX261004 DXB260915:DXB261004 DNF260915:DNF261004 DDJ260915:DDJ261004 CTN260915:CTN261004 CJR260915:CJR261004 BZV260915:BZV261004 BPZ260915:BPZ261004 BGD260915:BGD261004 AWH260915:AWH261004 AML260915:AML261004 ACP260915:ACP261004 ST260915:ST261004 IX260915:IX261004 B260921:B261010 WVJ195379:WVJ195468 WLN195379:WLN195468 WBR195379:WBR195468 VRV195379:VRV195468 VHZ195379:VHZ195468 UYD195379:UYD195468 UOH195379:UOH195468 UEL195379:UEL195468 TUP195379:TUP195468 TKT195379:TKT195468 TAX195379:TAX195468 SRB195379:SRB195468 SHF195379:SHF195468 RXJ195379:RXJ195468 RNN195379:RNN195468 RDR195379:RDR195468 QTV195379:QTV195468 QJZ195379:QJZ195468 QAD195379:QAD195468 PQH195379:PQH195468 PGL195379:PGL195468 OWP195379:OWP195468 OMT195379:OMT195468 OCX195379:OCX195468 NTB195379:NTB195468 NJF195379:NJF195468 MZJ195379:MZJ195468 MPN195379:MPN195468 MFR195379:MFR195468 LVV195379:LVV195468 LLZ195379:LLZ195468 LCD195379:LCD195468 KSH195379:KSH195468 KIL195379:KIL195468 JYP195379:JYP195468 JOT195379:JOT195468 JEX195379:JEX195468 IVB195379:IVB195468 ILF195379:ILF195468 IBJ195379:IBJ195468 HRN195379:HRN195468 HHR195379:HHR195468 GXV195379:GXV195468 GNZ195379:GNZ195468 GED195379:GED195468 FUH195379:FUH195468 FKL195379:FKL195468 FAP195379:FAP195468 EQT195379:EQT195468 EGX195379:EGX195468 DXB195379:DXB195468 DNF195379:DNF195468 DDJ195379:DDJ195468 CTN195379:CTN195468 CJR195379:CJR195468 BZV195379:BZV195468 BPZ195379:BPZ195468 BGD195379:BGD195468 AWH195379:AWH195468 AML195379:AML195468 ACP195379:ACP195468 ST195379:ST195468 IX195379:IX195468 B195385:B195474 WVJ129843:WVJ129932 WLN129843:WLN129932 WBR129843:WBR129932 VRV129843:VRV129932 VHZ129843:VHZ129932 UYD129843:UYD129932 UOH129843:UOH129932 UEL129843:UEL129932 TUP129843:TUP129932 TKT129843:TKT129932 TAX129843:TAX129932 SRB129843:SRB129932 SHF129843:SHF129932 RXJ129843:RXJ129932 RNN129843:RNN129932 RDR129843:RDR129932 QTV129843:QTV129932 QJZ129843:QJZ129932 QAD129843:QAD129932 PQH129843:PQH129932 PGL129843:PGL129932 OWP129843:OWP129932 OMT129843:OMT129932 OCX129843:OCX129932 NTB129843:NTB129932 NJF129843:NJF129932 MZJ129843:MZJ129932 MPN129843:MPN129932 MFR129843:MFR129932 LVV129843:LVV129932 LLZ129843:LLZ129932 LCD129843:LCD129932 KSH129843:KSH129932 KIL129843:KIL129932 JYP129843:JYP129932 JOT129843:JOT129932 JEX129843:JEX129932 IVB129843:IVB129932 ILF129843:ILF129932 IBJ129843:IBJ129932 HRN129843:HRN129932 HHR129843:HHR129932 GXV129843:GXV129932 GNZ129843:GNZ129932 GED129843:GED129932 FUH129843:FUH129932 FKL129843:FKL129932 FAP129843:FAP129932 EQT129843:EQT129932 EGX129843:EGX129932 DXB129843:DXB129932 DNF129843:DNF129932 DDJ129843:DDJ129932 CTN129843:CTN129932 CJR129843:CJR129932 BZV129843:BZV129932 BPZ129843:BPZ129932 BGD129843:BGD129932 AWH129843:AWH129932 AML129843:AML129932 ACP129843:ACP129932 ST129843:ST129932 IX129843:IX129932 B129849:B129938 WVJ64307:WVJ64396 WLN64307:WLN64396 WBR64307:WBR64396 VRV64307:VRV64396 VHZ64307:VHZ64396 UYD64307:UYD64396 UOH64307:UOH64396 UEL64307:UEL64396 TUP64307:TUP64396 TKT64307:TKT64396 TAX64307:TAX64396 SRB64307:SRB64396 SHF64307:SHF64396 RXJ64307:RXJ64396 RNN64307:RNN64396 RDR64307:RDR64396 QTV64307:QTV64396 QJZ64307:QJZ64396 QAD64307:QAD64396 PQH64307:PQH64396 PGL64307:PGL64396 OWP64307:OWP64396 OMT64307:OMT64396 OCX64307:OCX64396 NTB64307:NTB64396 NJF64307:NJF64396 MZJ64307:MZJ64396 MPN64307:MPN64396 MFR64307:MFR64396 LVV64307:LVV64396 LLZ64307:LLZ64396 LCD64307:LCD64396 KSH64307:KSH64396 KIL64307:KIL64396 JYP64307:JYP64396 JOT64307:JOT64396 JEX64307:JEX64396 IVB64307:IVB64396 ILF64307:ILF64396 IBJ64307:IBJ64396 HRN64307:HRN64396 HHR64307:HHR64396 GXV64307:GXV64396 GNZ64307:GNZ64396 GED64307:GED64396 FUH64307:FUH64396 FKL64307:FKL64396 FAP64307:FAP64396 EQT64307:EQT64396 EGX64307:EGX64396 DXB64307:DXB64396 DNF64307:DNF64396 DDJ64307:DDJ64396 CTN64307:CTN64396 CJR64307:CJR64396 BZV64307:BZV64396 BPZ64307:BPZ64396 BGD64307:BGD64396 AWH64307:AWH64396 AML64307:AML64396 ACP64307:ACP64396 ST64307:ST64396 IX64307:IX64396 B64313:B64402 B102:B118 IX2:IX79 WVJ2:WVJ79 WLN2:WLN79 WBR2:WBR79 VRV2:VRV79 VHZ2:VHZ79 UYD2:UYD79 UOH2:UOH79 UEL2:UEL79 TUP2:TUP79 TKT2:TKT79 TAX2:TAX79 SRB2:SRB79 SHF2:SHF79 RXJ2:RXJ79 RNN2:RNN79 RDR2:RDR79 QTV2:QTV79 QJZ2:QJZ79 QAD2:QAD79 PQH2:PQH79 PGL2:PGL79 OWP2:OWP79 OMT2:OMT79 OCX2:OCX79 NTB2:NTB79 NJF2:NJF79 MZJ2:MZJ79 MPN2:MPN79 MFR2:MFR79 LVV2:LVV79 LLZ2:LLZ79 LCD2:LCD79 KSH2:KSH79 KIL2:KIL79 JYP2:JYP79 JOT2:JOT79 JEX2:JEX79 IVB2:IVB79 ILF2:ILF79 IBJ2:IBJ79 HRN2:HRN79 HHR2:HHR79 GXV2:GXV79 GNZ2:GNZ79 GED2:GED79 FUH2:FUH79 FKL2:FKL79 FAP2:FAP79 EQT2:EQT79 EGX2:EGX79 DXB2:DXB79 DNF2:DNF79 DDJ2:DDJ79 CTN2:CTN79 CJR2:CJR79 BZV2:BZV79 BPZ2:BPZ79 BGD2:BGD79 AWH2:AWH79 AML2:AML79 ACP2:ACP79 ST2:ST79 B2:B100" xr:uid="{FE27000C-893C-4A00-B601-5FD7D3947777}"/>
    <dataValidation type="list" allowBlank="1" showInputMessage="1" showErrorMessage="1" sqref="WVI981811:WVI981900 WLM981811:WLM981900 WBQ981811:WBQ981900 VRU981811:VRU981900 VHY981811:VHY981900 UYC981811:UYC981900 UOG981811:UOG981900 UEK981811:UEK981900 TUO981811:TUO981900 TKS981811:TKS981900 TAW981811:TAW981900 SRA981811:SRA981900 SHE981811:SHE981900 RXI981811:RXI981900 RNM981811:RNM981900 RDQ981811:RDQ981900 QTU981811:QTU981900 QJY981811:QJY981900 QAC981811:QAC981900 PQG981811:PQG981900 PGK981811:PGK981900 OWO981811:OWO981900 OMS981811:OMS981900 OCW981811:OCW981900 NTA981811:NTA981900 NJE981811:NJE981900 MZI981811:MZI981900 MPM981811:MPM981900 MFQ981811:MFQ981900 LVU981811:LVU981900 LLY981811:LLY981900 LCC981811:LCC981900 KSG981811:KSG981900 KIK981811:KIK981900 JYO981811:JYO981900 JOS981811:JOS981900 JEW981811:JEW981900 IVA981811:IVA981900 ILE981811:ILE981900 IBI981811:IBI981900 HRM981811:HRM981900 HHQ981811:HHQ981900 GXU981811:GXU981900 GNY981811:GNY981900 GEC981811:GEC981900 FUG981811:FUG981900 FKK981811:FKK981900 FAO981811:FAO981900 EQS981811:EQS981900 EGW981811:EGW981900 DXA981811:DXA981900 DNE981811:DNE981900 DDI981811:DDI981900 CTM981811:CTM981900 CJQ981811:CJQ981900 BZU981811:BZU981900 BPY981811:BPY981900 BGC981811:BGC981900 AWG981811:AWG981900 AMK981811:AMK981900 ACO981811:ACO981900 SS981811:SS981900 IW981811:IW981900 A981817:A981906 WVI916275:WVI916364 WLM916275:WLM916364 WBQ916275:WBQ916364 VRU916275:VRU916364 VHY916275:VHY916364 UYC916275:UYC916364 UOG916275:UOG916364 UEK916275:UEK916364 TUO916275:TUO916364 TKS916275:TKS916364 TAW916275:TAW916364 SRA916275:SRA916364 SHE916275:SHE916364 RXI916275:RXI916364 RNM916275:RNM916364 RDQ916275:RDQ916364 QTU916275:QTU916364 QJY916275:QJY916364 QAC916275:QAC916364 PQG916275:PQG916364 PGK916275:PGK916364 OWO916275:OWO916364 OMS916275:OMS916364 OCW916275:OCW916364 NTA916275:NTA916364 NJE916275:NJE916364 MZI916275:MZI916364 MPM916275:MPM916364 MFQ916275:MFQ916364 LVU916275:LVU916364 LLY916275:LLY916364 LCC916275:LCC916364 KSG916275:KSG916364 KIK916275:KIK916364 JYO916275:JYO916364 JOS916275:JOS916364 JEW916275:JEW916364 IVA916275:IVA916364 ILE916275:ILE916364 IBI916275:IBI916364 HRM916275:HRM916364 HHQ916275:HHQ916364 GXU916275:GXU916364 GNY916275:GNY916364 GEC916275:GEC916364 FUG916275:FUG916364 FKK916275:FKK916364 FAO916275:FAO916364 EQS916275:EQS916364 EGW916275:EGW916364 DXA916275:DXA916364 DNE916275:DNE916364 DDI916275:DDI916364 CTM916275:CTM916364 CJQ916275:CJQ916364 BZU916275:BZU916364 BPY916275:BPY916364 BGC916275:BGC916364 AWG916275:AWG916364 AMK916275:AMK916364 ACO916275:ACO916364 SS916275:SS916364 IW916275:IW916364 A916281:A916370 WVI850739:WVI850828 WLM850739:WLM850828 WBQ850739:WBQ850828 VRU850739:VRU850828 VHY850739:VHY850828 UYC850739:UYC850828 UOG850739:UOG850828 UEK850739:UEK850828 TUO850739:TUO850828 TKS850739:TKS850828 TAW850739:TAW850828 SRA850739:SRA850828 SHE850739:SHE850828 RXI850739:RXI850828 RNM850739:RNM850828 RDQ850739:RDQ850828 QTU850739:QTU850828 QJY850739:QJY850828 QAC850739:QAC850828 PQG850739:PQG850828 PGK850739:PGK850828 OWO850739:OWO850828 OMS850739:OMS850828 OCW850739:OCW850828 NTA850739:NTA850828 NJE850739:NJE850828 MZI850739:MZI850828 MPM850739:MPM850828 MFQ850739:MFQ850828 LVU850739:LVU850828 LLY850739:LLY850828 LCC850739:LCC850828 KSG850739:KSG850828 KIK850739:KIK850828 JYO850739:JYO850828 JOS850739:JOS850828 JEW850739:JEW850828 IVA850739:IVA850828 ILE850739:ILE850828 IBI850739:IBI850828 HRM850739:HRM850828 HHQ850739:HHQ850828 GXU850739:GXU850828 GNY850739:GNY850828 GEC850739:GEC850828 FUG850739:FUG850828 FKK850739:FKK850828 FAO850739:FAO850828 EQS850739:EQS850828 EGW850739:EGW850828 DXA850739:DXA850828 DNE850739:DNE850828 DDI850739:DDI850828 CTM850739:CTM850828 CJQ850739:CJQ850828 BZU850739:BZU850828 BPY850739:BPY850828 BGC850739:BGC850828 AWG850739:AWG850828 AMK850739:AMK850828 ACO850739:ACO850828 SS850739:SS850828 IW850739:IW850828 A850745:A850834 WVI785203:WVI785292 WLM785203:WLM785292 WBQ785203:WBQ785292 VRU785203:VRU785292 VHY785203:VHY785292 UYC785203:UYC785292 UOG785203:UOG785292 UEK785203:UEK785292 TUO785203:TUO785292 TKS785203:TKS785292 TAW785203:TAW785292 SRA785203:SRA785292 SHE785203:SHE785292 RXI785203:RXI785292 RNM785203:RNM785292 RDQ785203:RDQ785292 QTU785203:QTU785292 QJY785203:QJY785292 QAC785203:QAC785292 PQG785203:PQG785292 PGK785203:PGK785292 OWO785203:OWO785292 OMS785203:OMS785292 OCW785203:OCW785292 NTA785203:NTA785292 NJE785203:NJE785292 MZI785203:MZI785292 MPM785203:MPM785292 MFQ785203:MFQ785292 LVU785203:LVU785292 LLY785203:LLY785292 LCC785203:LCC785292 KSG785203:KSG785292 KIK785203:KIK785292 JYO785203:JYO785292 JOS785203:JOS785292 JEW785203:JEW785292 IVA785203:IVA785292 ILE785203:ILE785292 IBI785203:IBI785292 HRM785203:HRM785292 HHQ785203:HHQ785292 GXU785203:GXU785292 GNY785203:GNY785292 GEC785203:GEC785292 FUG785203:FUG785292 FKK785203:FKK785292 FAO785203:FAO785292 EQS785203:EQS785292 EGW785203:EGW785292 DXA785203:DXA785292 DNE785203:DNE785292 DDI785203:DDI785292 CTM785203:CTM785292 CJQ785203:CJQ785292 BZU785203:BZU785292 BPY785203:BPY785292 BGC785203:BGC785292 AWG785203:AWG785292 AMK785203:AMK785292 ACO785203:ACO785292 SS785203:SS785292 IW785203:IW785292 A785209:A785298 WVI719667:WVI719756 WLM719667:WLM719756 WBQ719667:WBQ719756 VRU719667:VRU719756 VHY719667:VHY719756 UYC719667:UYC719756 UOG719667:UOG719756 UEK719667:UEK719756 TUO719667:TUO719756 TKS719667:TKS719756 TAW719667:TAW719756 SRA719667:SRA719756 SHE719667:SHE719756 RXI719667:RXI719756 RNM719667:RNM719756 RDQ719667:RDQ719756 QTU719667:QTU719756 QJY719667:QJY719756 QAC719667:QAC719756 PQG719667:PQG719756 PGK719667:PGK719756 OWO719667:OWO719756 OMS719667:OMS719756 OCW719667:OCW719756 NTA719667:NTA719756 NJE719667:NJE719756 MZI719667:MZI719756 MPM719667:MPM719756 MFQ719667:MFQ719756 LVU719667:LVU719756 LLY719667:LLY719756 LCC719667:LCC719756 KSG719667:KSG719756 KIK719667:KIK719756 JYO719667:JYO719756 JOS719667:JOS719756 JEW719667:JEW719756 IVA719667:IVA719756 ILE719667:ILE719756 IBI719667:IBI719756 HRM719667:HRM719756 HHQ719667:HHQ719756 GXU719667:GXU719756 GNY719667:GNY719756 GEC719667:GEC719756 FUG719667:FUG719756 FKK719667:FKK719756 FAO719667:FAO719756 EQS719667:EQS719756 EGW719667:EGW719756 DXA719667:DXA719756 DNE719667:DNE719756 DDI719667:DDI719756 CTM719667:CTM719756 CJQ719667:CJQ719756 BZU719667:BZU719756 BPY719667:BPY719756 BGC719667:BGC719756 AWG719667:AWG719756 AMK719667:AMK719756 ACO719667:ACO719756 SS719667:SS719756 IW719667:IW719756 A719673:A719762 WVI654131:WVI654220 WLM654131:WLM654220 WBQ654131:WBQ654220 VRU654131:VRU654220 VHY654131:VHY654220 UYC654131:UYC654220 UOG654131:UOG654220 UEK654131:UEK654220 TUO654131:TUO654220 TKS654131:TKS654220 TAW654131:TAW654220 SRA654131:SRA654220 SHE654131:SHE654220 RXI654131:RXI654220 RNM654131:RNM654220 RDQ654131:RDQ654220 QTU654131:QTU654220 QJY654131:QJY654220 QAC654131:QAC654220 PQG654131:PQG654220 PGK654131:PGK654220 OWO654131:OWO654220 OMS654131:OMS654220 OCW654131:OCW654220 NTA654131:NTA654220 NJE654131:NJE654220 MZI654131:MZI654220 MPM654131:MPM654220 MFQ654131:MFQ654220 LVU654131:LVU654220 LLY654131:LLY654220 LCC654131:LCC654220 KSG654131:KSG654220 KIK654131:KIK654220 JYO654131:JYO654220 JOS654131:JOS654220 JEW654131:JEW654220 IVA654131:IVA654220 ILE654131:ILE654220 IBI654131:IBI654220 HRM654131:HRM654220 HHQ654131:HHQ654220 GXU654131:GXU654220 GNY654131:GNY654220 GEC654131:GEC654220 FUG654131:FUG654220 FKK654131:FKK654220 FAO654131:FAO654220 EQS654131:EQS654220 EGW654131:EGW654220 DXA654131:DXA654220 DNE654131:DNE654220 DDI654131:DDI654220 CTM654131:CTM654220 CJQ654131:CJQ654220 BZU654131:BZU654220 BPY654131:BPY654220 BGC654131:BGC654220 AWG654131:AWG654220 AMK654131:AMK654220 ACO654131:ACO654220 SS654131:SS654220 IW654131:IW654220 A654137:A654226 WVI588595:WVI588684 WLM588595:WLM588684 WBQ588595:WBQ588684 VRU588595:VRU588684 VHY588595:VHY588684 UYC588595:UYC588684 UOG588595:UOG588684 UEK588595:UEK588684 TUO588595:TUO588684 TKS588595:TKS588684 TAW588595:TAW588684 SRA588595:SRA588684 SHE588595:SHE588684 RXI588595:RXI588684 RNM588595:RNM588684 RDQ588595:RDQ588684 QTU588595:QTU588684 QJY588595:QJY588684 QAC588595:QAC588684 PQG588595:PQG588684 PGK588595:PGK588684 OWO588595:OWO588684 OMS588595:OMS588684 OCW588595:OCW588684 NTA588595:NTA588684 NJE588595:NJE588684 MZI588595:MZI588684 MPM588595:MPM588684 MFQ588595:MFQ588684 LVU588595:LVU588684 LLY588595:LLY588684 LCC588595:LCC588684 KSG588595:KSG588684 KIK588595:KIK588684 JYO588595:JYO588684 JOS588595:JOS588684 JEW588595:JEW588684 IVA588595:IVA588684 ILE588595:ILE588684 IBI588595:IBI588684 HRM588595:HRM588684 HHQ588595:HHQ588684 GXU588595:GXU588684 GNY588595:GNY588684 GEC588595:GEC588684 FUG588595:FUG588684 FKK588595:FKK588684 FAO588595:FAO588684 EQS588595:EQS588684 EGW588595:EGW588684 DXA588595:DXA588684 DNE588595:DNE588684 DDI588595:DDI588684 CTM588595:CTM588684 CJQ588595:CJQ588684 BZU588595:BZU588684 BPY588595:BPY588684 BGC588595:BGC588684 AWG588595:AWG588684 AMK588595:AMK588684 ACO588595:ACO588684 SS588595:SS588684 IW588595:IW588684 A588601:A588690 WVI523059:WVI523148 WLM523059:WLM523148 WBQ523059:WBQ523148 VRU523059:VRU523148 VHY523059:VHY523148 UYC523059:UYC523148 UOG523059:UOG523148 UEK523059:UEK523148 TUO523059:TUO523148 TKS523059:TKS523148 TAW523059:TAW523148 SRA523059:SRA523148 SHE523059:SHE523148 RXI523059:RXI523148 RNM523059:RNM523148 RDQ523059:RDQ523148 QTU523059:QTU523148 QJY523059:QJY523148 QAC523059:QAC523148 PQG523059:PQG523148 PGK523059:PGK523148 OWO523059:OWO523148 OMS523059:OMS523148 OCW523059:OCW523148 NTA523059:NTA523148 NJE523059:NJE523148 MZI523059:MZI523148 MPM523059:MPM523148 MFQ523059:MFQ523148 LVU523059:LVU523148 LLY523059:LLY523148 LCC523059:LCC523148 KSG523059:KSG523148 KIK523059:KIK523148 JYO523059:JYO523148 JOS523059:JOS523148 JEW523059:JEW523148 IVA523059:IVA523148 ILE523059:ILE523148 IBI523059:IBI523148 HRM523059:HRM523148 HHQ523059:HHQ523148 GXU523059:GXU523148 GNY523059:GNY523148 GEC523059:GEC523148 FUG523059:FUG523148 FKK523059:FKK523148 FAO523059:FAO523148 EQS523059:EQS523148 EGW523059:EGW523148 DXA523059:DXA523148 DNE523059:DNE523148 DDI523059:DDI523148 CTM523059:CTM523148 CJQ523059:CJQ523148 BZU523059:BZU523148 BPY523059:BPY523148 BGC523059:BGC523148 AWG523059:AWG523148 AMK523059:AMK523148 ACO523059:ACO523148 SS523059:SS523148 IW523059:IW523148 A523065:A523154 WVI457523:WVI457612 WLM457523:WLM457612 WBQ457523:WBQ457612 VRU457523:VRU457612 VHY457523:VHY457612 UYC457523:UYC457612 UOG457523:UOG457612 UEK457523:UEK457612 TUO457523:TUO457612 TKS457523:TKS457612 TAW457523:TAW457612 SRA457523:SRA457612 SHE457523:SHE457612 RXI457523:RXI457612 RNM457523:RNM457612 RDQ457523:RDQ457612 QTU457523:QTU457612 QJY457523:QJY457612 QAC457523:QAC457612 PQG457523:PQG457612 PGK457523:PGK457612 OWO457523:OWO457612 OMS457523:OMS457612 OCW457523:OCW457612 NTA457523:NTA457612 NJE457523:NJE457612 MZI457523:MZI457612 MPM457523:MPM457612 MFQ457523:MFQ457612 LVU457523:LVU457612 LLY457523:LLY457612 LCC457523:LCC457612 KSG457523:KSG457612 KIK457523:KIK457612 JYO457523:JYO457612 JOS457523:JOS457612 JEW457523:JEW457612 IVA457523:IVA457612 ILE457523:ILE457612 IBI457523:IBI457612 HRM457523:HRM457612 HHQ457523:HHQ457612 GXU457523:GXU457612 GNY457523:GNY457612 GEC457523:GEC457612 FUG457523:FUG457612 FKK457523:FKK457612 FAO457523:FAO457612 EQS457523:EQS457612 EGW457523:EGW457612 DXA457523:DXA457612 DNE457523:DNE457612 DDI457523:DDI457612 CTM457523:CTM457612 CJQ457523:CJQ457612 BZU457523:BZU457612 BPY457523:BPY457612 BGC457523:BGC457612 AWG457523:AWG457612 AMK457523:AMK457612 ACO457523:ACO457612 SS457523:SS457612 IW457523:IW457612 A457529:A457618 WVI391987:WVI392076 WLM391987:WLM392076 WBQ391987:WBQ392076 VRU391987:VRU392076 VHY391987:VHY392076 UYC391987:UYC392076 UOG391987:UOG392076 UEK391987:UEK392076 TUO391987:TUO392076 TKS391987:TKS392076 TAW391987:TAW392076 SRA391987:SRA392076 SHE391987:SHE392076 RXI391987:RXI392076 RNM391987:RNM392076 RDQ391987:RDQ392076 QTU391987:QTU392076 QJY391987:QJY392076 QAC391987:QAC392076 PQG391987:PQG392076 PGK391987:PGK392076 OWO391987:OWO392076 OMS391987:OMS392076 OCW391987:OCW392076 NTA391987:NTA392076 NJE391987:NJE392076 MZI391987:MZI392076 MPM391987:MPM392076 MFQ391987:MFQ392076 LVU391987:LVU392076 LLY391987:LLY392076 LCC391987:LCC392076 KSG391987:KSG392076 KIK391987:KIK392076 JYO391987:JYO392076 JOS391987:JOS392076 JEW391987:JEW392076 IVA391987:IVA392076 ILE391987:ILE392076 IBI391987:IBI392076 HRM391987:HRM392076 HHQ391987:HHQ392076 GXU391987:GXU392076 GNY391987:GNY392076 GEC391987:GEC392076 FUG391987:FUG392076 FKK391987:FKK392076 FAO391987:FAO392076 EQS391987:EQS392076 EGW391987:EGW392076 DXA391987:DXA392076 DNE391987:DNE392076 DDI391987:DDI392076 CTM391987:CTM392076 CJQ391987:CJQ392076 BZU391987:BZU392076 BPY391987:BPY392076 BGC391987:BGC392076 AWG391987:AWG392076 AMK391987:AMK392076 ACO391987:ACO392076 SS391987:SS392076 IW391987:IW392076 A391993:A392082 WVI326451:WVI326540 WLM326451:WLM326540 WBQ326451:WBQ326540 VRU326451:VRU326540 VHY326451:VHY326540 UYC326451:UYC326540 UOG326451:UOG326540 UEK326451:UEK326540 TUO326451:TUO326540 TKS326451:TKS326540 TAW326451:TAW326540 SRA326451:SRA326540 SHE326451:SHE326540 RXI326451:RXI326540 RNM326451:RNM326540 RDQ326451:RDQ326540 QTU326451:QTU326540 QJY326451:QJY326540 QAC326451:QAC326540 PQG326451:PQG326540 PGK326451:PGK326540 OWO326451:OWO326540 OMS326451:OMS326540 OCW326451:OCW326540 NTA326451:NTA326540 NJE326451:NJE326540 MZI326451:MZI326540 MPM326451:MPM326540 MFQ326451:MFQ326540 LVU326451:LVU326540 LLY326451:LLY326540 LCC326451:LCC326540 KSG326451:KSG326540 KIK326451:KIK326540 JYO326451:JYO326540 JOS326451:JOS326540 JEW326451:JEW326540 IVA326451:IVA326540 ILE326451:ILE326540 IBI326451:IBI326540 HRM326451:HRM326540 HHQ326451:HHQ326540 GXU326451:GXU326540 GNY326451:GNY326540 GEC326451:GEC326540 FUG326451:FUG326540 FKK326451:FKK326540 FAO326451:FAO326540 EQS326451:EQS326540 EGW326451:EGW326540 DXA326451:DXA326540 DNE326451:DNE326540 DDI326451:DDI326540 CTM326451:CTM326540 CJQ326451:CJQ326540 BZU326451:BZU326540 BPY326451:BPY326540 BGC326451:BGC326540 AWG326451:AWG326540 AMK326451:AMK326540 ACO326451:ACO326540 SS326451:SS326540 IW326451:IW326540 A326457:A326546 WVI260915:WVI261004 WLM260915:WLM261004 WBQ260915:WBQ261004 VRU260915:VRU261004 VHY260915:VHY261004 UYC260915:UYC261004 UOG260915:UOG261004 UEK260915:UEK261004 TUO260915:TUO261004 TKS260915:TKS261004 TAW260915:TAW261004 SRA260915:SRA261004 SHE260915:SHE261004 RXI260915:RXI261004 RNM260915:RNM261004 RDQ260915:RDQ261004 QTU260915:QTU261004 QJY260915:QJY261004 QAC260915:QAC261004 PQG260915:PQG261004 PGK260915:PGK261004 OWO260915:OWO261004 OMS260915:OMS261004 OCW260915:OCW261004 NTA260915:NTA261004 NJE260915:NJE261004 MZI260915:MZI261004 MPM260915:MPM261004 MFQ260915:MFQ261004 LVU260915:LVU261004 LLY260915:LLY261004 LCC260915:LCC261004 KSG260915:KSG261004 KIK260915:KIK261004 JYO260915:JYO261004 JOS260915:JOS261004 JEW260915:JEW261004 IVA260915:IVA261004 ILE260915:ILE261004 IBI260915:IBI261004 HRM260915:HRM261004 HHQ260915:HHQ261004 GXU260915:GXU261004 GNY260915:GNY261004 GEC260915:GEC261004 FUG260915:FUG261004 FKK260915:FKK261004 FAO260915:FAO261004 EQS260915:EQS261004 EGW260915:EGW261004 DXA260915:DXA261004 DNE260915:DNE261004 DDI260915:DDI261004 CTM260915:CTM261004 CJQ260915:CJQ261004 BZU260915:BZU261004 BPY260915:BPY261004 BGC260915:BGC261004 AWG260915:AWG261004 AMK260915:AMK261004 ACO260915:ACO261004 SS260915:SS261004 IW260915:IW261004 A260921:A261010 WVI195379:WVI195468 WLM195379:WLM195468 WBQ195379:WBQ195468 VRU195379:VRU195468 VHY195379:VHY195468 UYC195379:UYC195468 UOG195379:UOG195468 UEK195379:UEK195468 TUO195379:TUO195468 TKS195379:TKS195468 TAW195379:TAW195468 SRA195379:SRA195468 SHE195379:SHE195468 RXI195379:RXI195468 RNM195379:RNM195468 RDQ195379:RDQ195468 QTU195379:QTU195468 QJY195379:QJY195468 QAC195379:QAC195468 PQG195379:PQG195468 PGK195379:PGK195468 OWO195379:OWO195468 OMS195379:OMS195468 OCW195379:OCW195468 NTA195379:NTA195468 NJE195379:NJE195468 MZI195379:MZI195468 MPM195379:MPM195468 MFQ195379:MFQ195468 LVU195379:LVU195468 LLY195379:LLY195468 LCC195379:LCC195468 KSG195379:KSG195468 KIK195379:KIK195468 JYO195379:JYO195468 JOS195379:JOS195468 JEW195379:JEW195468 IVA195379:IVA195468 ILE195379:ILE195468 IBI195379:IBI195468 HRM195379:HRM195468 HHQ195379:HHQ195468 GXU195379:GXU195468 GNY195379:GNY195468 GEC195379:GEC195468 FUG195379:FUG195468 FKK195379:FKK195468 FAO195379:FAO195468 EQS195379:EQS195468 EGW195379:EGW195468 DXA195379:DXA195468 DNE195379:DNE195468 DDI195379:DDI195468 CTM195379:CTM195468 CJQ195379:CJQ195468 BZU195379:BZU195468 BPY195379:BPY195468 BGC195379:BGC195468 AWG195379:AWG195468 AMK195379:AMK195468 ACO195379:ACO195468 SS195379:SS195468 IW195379:IW195468 A195385:A195474 WVI129843:WVI129932 WLM129843:WLM129932 WBQ129843:WBQ129932 VRU129843:VRU129932 VHY129843:VHY129932 UYC129843:UYC129932 UOG129843:UOG129932 UEK129843:UEK129932 TUO129843:TUO129932 TKS129843:TKS129932 TAW129843:TAW129932 SRA129843:SRA129932 SHE129843:SHE129932 RXI129843:RXI129932 RNM129843:RNM129932 RDQ129843:RDQ129932 QTU129843:QTU129932 QJY129843:QJY129932 QAC129843:QAC129932 PQG129843:PQG129932 PGK129843:PGK129932 OWO129843:OWO129932 OMS129843:OMS129932 OCW129843:OCW129932 NTA129843:NTA129932 NJE129843:NJE129932 MZI129843:MZI129932 MPM129843:MPM129932 MFQ129843:MFQ129932 LVU129843:LVU129932 LLY129843:LLY129932 LCC129843:LCC129932 KSG129843:KSG129932 KIK129843:KIK129932 JYO129843:JYO129932 JOS129843:JOS129932 JEW129843:JEW129932 IVA129843:IVA129932 ILE129843:ILE129932 IBI129843:IBI129932 HRM129843:HRM129932 HHQ129843:HHQ129932 GXU129843:GXU129932 GNY129843:GNY129932 GEC129843:GEC129932 FUG129843:FUG129932 FKK129843:FKK129932 FAO129843:FAO129932 EQS129843:EQS129932 EGW129843:EGW129932 DXA129843:DXA129932 DNE129843:DNE129932 DDI129843:DDI129932 CTM129843:CTM129932 CJQ129843:CJQ129932 BZU129843:BZU129932 BPY129843:BPY129932 BGC129843:BGC129932 AWG129843:AWG129932 AMK129843:AMK129932 ACO129843:ACO129932 SS129843:SS129932 IW129843:IW129932 A129849:A129938 WVI64307:WVI64396 WLM64307:WLM64396 WBQ64307:WBQ64396 VRU64307:VRU64396 VHY64307:VHY64396 UYC64307:UYC64396 UOG64307:UOG64396 UEK64307:UEK64396 TUO64307:TUO64396 TKS64307:TKS64396 TAW64307:TAW64396 SRA64307:SRA64396 SHE64307:SHE64396 RXI64307:RXI64396 RNM64307:RNM64396 RDQ64307:RDQ64396 QTU64307:QTU64396 QJY64307:QJY64396 QAC64307:QAC64396 PQG64307:PQG64396 PGK64307:PGK64396 OWO64307:OWO64396 OMS64307:OMS64396 OCW64307:OCW64396 NTA64307:NTA64396 NJE64307:NJE64396 MZI64307:MZI64396 MPM64307:MPM64396 MFQ64307:MFQ64396 LVU64307:LVU64396 LLY64307:LLY64396 LCC64307:LCC64396 KSG64307:KSG64396 KIK64307:KIK64396 JYO64307:JYO64396 JOS64307:JOS64396 JEW64307:JEW64396 IVA64307:IVA64396 ILE64307:ILE64396 IBI64307:IBI64396 HRM64307:HRM64396 HHQ64307:HHQ64396 GXU64307:GXU64396 GNY64307:GNY64396 GEC64307:GEC64396 FUG64307:FUG64396 FKK64307:FKK64396 FAO64307:FAO64396 EQS64307:EQS64396 EGW64307:EGW64396 DXA64307:DXA64396 DNE64307:DNE64396 DDI64307:DDI64396 CTM64307:CTM64396 CJQ64307:CJQ64396 BZU64307:BZU64396 BPY64307:BPY64396 BGC64307:BGC64396 AWG64307:AWG64396 AMK64307:AMK64396 ACO64307:ACO64396 SS64307:SS64396 IW64307:IW64396 A64313:A64402 IW2:IW79 SS2:SS79 ACO2:ACO79 AMK2:AMK79 AWG2:AWG79 BGC2:BGC79 BPY2:BPY79 BZU2:BZU79 CJQ2:CJQ79 CTM2:CTM79 DDI2:DDI79 DNE2:DNE79 DXA2:DXA79 EGW2:EGW79 EQS2:EQS79 FAO2:FAO79 FKK2:FKK79 FUG2:FUG79 GEC2:GEC79 GNY2:GNY79 GXU2:GXU79 HHQ2:HHQ79 HRM2:HRM79 IBI2:IBI79 ILE2:ILE79 IVA2:IVA79 JEW2:JEW79 JOS2:JOS79 JYO2:JYO79 KIK2:KIK79 KSG2:KSG79 LCC2:LCC79 LLY2:LLY79 LVU2:LVU79 MFQ2:MFQ79 MPM2:MPM79 MZI2:MZI79 NJE2:NJE79 NTA2:NTA79 OCW2:OCW79 OMS2:OMS79 OWO2:OWO79 PGK2:PGK79 PQG2:PQG79 QAC2:QAC79 QJY2:QJY79 QTU2:QTU79 RDQ2:RDQ79 RNM2:RNM79 RXI2:RXI79 SHE2:SHE79 SRA2:SRA79 TAW2:TAW79 TKS2:TKS79 TUO2:TUO79 UEK2:UEK79 UOG2:UOG79 UYC2:UYC79 VHY2:VHY79 VRU2:VRU79 WBQ2:WBQ79 WLM2:WLM79 WVI2:WVI79" xr:uid="{62C0A97D-41F2-4DC0-A3AE-FC2E72F40057}">
      <formula1>$AE$2:$AE$22</formula1>
    </dataValidation>
    <dataValidation type="list" allowBlank="1" showInputMessage="1" showErrorMessage="1" sqref="WVO981811:WVO981900 WLS981811:WLS981900 WBW981811:WBW981900 VSA981811:VSA981900 VIE981811:VIE981900 UYI981811:UYI981900 UOM981811:UOM981900 UEQ981811:UEQ981900 TUU981811:TUU981900 TKY981811:TKY981900 TBC981811:TBC981900 SRG981811:SRG981900 SHK981811:SHK981900 RXO981811:RXO981900 RNS981811:RNS981900 RDW981811:RDW981900 QUA981811:QUA981900 QKE981811:QKE981900 QAI981811:QAI981900 PQM981811:PQM981900 PGQ981811:PGQ981900 OWU981811:OWU981900 OMY981811:OMY981900 ODC981811:ODC981900 NTG981811:NTG981900 NJK981811:NJK981900 MZO981811:MZO981900 MPS981811:MPS981900 MFW981811:MFW981900 LWA981811:LWA981900 LME981811:LME981900 LCI981811:LCI981900 KSM981811:KSM981900 KIQ981811:KIQ981900 JYU981811:JYU981900 JOY981811:JOY981900 JFC981811:JFC981900 IVG981811:IVG981900 ILK981811:ILK981900 IBO981811:IBO981900 HRS981811:HRS981900 HHW981811:HHW981900 GYA981811:GYA981900 GOE981811:GOE981900 GEI981811:GEI981900 FUM981811:FUM981900 FKQ981811:FKQ981900 FAU981811:FAU981900 EQY981811:EQY981900 EHC981811:EHC981900 DXG981811:DXG981900 DNK981811:DNK981900 DDO981811:DDO981900 CTS981811:CTS981900 CJW981811:CJW981900 CAA981811:CAA981900 BQE981811:BQE981900 BGI981811:BGI981900 AWM981811:AWM981900 AMQ981811:AMQ981900 ACU981811:ACU981900 SY981811:SY981900 JC981811:JC981900 G981820:G981909 WVO916275:WVO916364 WLS916275:WLS916364 WBW916275:WBW916364 VSA916275:VSA916364 VIE916275:VIE916364 UYI916275:UYI916364 UOM916275:UOM916364 UEQ916275:UEQ916364 TUU916275:TUU916364 TKY916275:TKY916364 TBC916275:TBC916364 SRG916275:SRG916364 SHK916275:SHK916364 RXO916275:RXO916364 RNS916275:RNS916364 RDW916275:RDW916364 QUA916275:QUA916364 QKE916275:QKE916364 QAI916275:QAI916364 PQM916275:PQM916364 PGQ916275:PGQ916364 OWU916275:OWU916364 OMY916275:OMY916364 ODC916275:ODC916364 NTG916275:NTG916364 NJK916275:NJK916364 MZO916275:MZO916364 MPS916275:MPS916364 MFW916275:MFW916364 LWA916275:LWA916364 LME916275:LME916364 LCI916275:LCI916364 KSM916275:KSM916364 KIQ916275:KIQ916364 JYU916275:JYU916364 JOY916275:JOY916364 JFC916275:JFC916364 IVG916275:IVG916364 ILK916275:ILK916364 IBO916275:IBO916364 HRS916275:HRS916364 HHW916275:HHW916364 GYA916275:GYA916364 GOE916275:GOE916364 GEI916275:GEI916364 FUM916275:FUM916364 FKQ916275:FKQ916364 FAU916275:FAU916364 EQY916275:EQY916364 EHC916275:EHC916364 DXG916275:DXG916364 DNK916275:DNK916364 DDO916275:DDO916364 CTS916275:CTS916364 CJW916275:CJW916364 CAA916275:CAA916364 BQE916275:BQE916364 BGI916275:BGI916364 AWM916275:AWM916364 AMQ916275:AMQ916364 ACU916275:ACU916364 SY916275:SY916364 JC916275:JC916364 G916284:G916373 WVO850739:WVO850828 WLS850739:WLS850828 WBW850739:WBW850828 VSA850739:VSA850828 VIE850739:VIE850828 UYI850739:UYI850828 UOM850739:UOM850828 UEQ850739:UEQ850828 TUU850739:TUU850828 TKY850739:TKY850828 TBC850739:TBC850828 SRG850739:SRG850828 SHK850739:SHK850828 RXO850739:RXO850828 RNS850739:RNS850828 RDW850739:RDW850828 QUA850739:QUA850828 QKE850739:QKE850828 QAI850739:QAI850828 PQM850739:PQM850828 PGQ850739:PGQ850828 OWU850739:OWU850828 OMY850739:OMY850828 ODC850739:ODC850828 NTG850739:NTG850828 NJK850739:NJK850828 MZO850739:MZO850828 MPS850739:MPS850828 MFW850739:MFW850828 LWA850739:LWA850828 LME850739:LME850828 LCI850739:LCI850828 KSM850739:KSM850828 KIQ850739:KIQ850828 JYU850739:JYU850828 JOY850739:JOY850828 JFC850739:JFC850828 IVG850739:IVG850828 ILK850739:ILK850828 IBO850739:IBO850828 HRS850739:HRS850828 HHW850739:HHW850828 GYA850739:GYA850828 GOE850739:GOE850828 GEI850739:GEI850828 FUM850739:FUM850828 FKQ850739:FKQ850828 FAU850739:FAU850828 EQY850739:EQY850828 EHC850739:EHC850828 DXG850739:DXG850828 DNK850739:DNK850828 DDO850739:DDO850828 CTS850739:CTS850828 CJW850739:CJW850828 CAA850739:CAA850828 BQE850739:BQE850828 BGI850739:BGI850828 AWM850739:AWM850828 AMQ850739:AMQ850828 ACU850739:ACU850828 SY850739:SY850828 JC850739:JC850828 G850748:G850837 WVO785203:WVO785292 WLS785203:WLS785292 WBW785203:WBW785292 VSA785203:VSA785292 VIE785203:VIE785292 UYI785203:UYI785292 UOM785203:UOM785292 UEQ785203:UEQ785292 TUU785203:TUU785292 TKY785203:TKY785292 TBC785203:TBC785292 SRG785203:SRG785292 SHK785203:SHK785292 RXO785203:RXO785292 RNS785203:RNS785292 RDW785203:RDW785292 QUA785203:QUA785292 QKE785203:QKE785292 QAI785203:QAI785292 PQM785203:PQM785292 PGQ785203:PGQ785292 OWU785203:OWU785292 OMY785203:OMY785292 ODC785203:ODC785292 NTG785203:NTG785292 NJK785203:NJK785292 MZO785203:MZO785292 MPS785203:MPS785292 MFW785203:MFW785292 LWA785203:LWA785292 LME785203:LME785292 LCI785203:LCI785292 KSM785203:KSM785292 KIQ785203:KIQ785292 JYU785203:JYU785292 JOY785203:JOY785292 JFC785203:JFC785292 IVG785203:IVG785292 ILK785203:ILK785292 IBO785203:IBO785292 HRS785203:HRS785292 HHW785203:HHW785292 GYA785203:GYA785292 GOE785203:GOE785292 GEI785203:GEI785292 FUM785203:FUM785292 FKQ785203:FKQ785292 FAU785203:FAU785292 EQY785203:EQY785292 EHC785203:EHC785292 DXG785203:DXG785292 DNK785203:DNK785292 DDO785203:DDO785292 CTS785203:CTS785292 CJW785203:CJW785292 CAA785203:CAA785292 BQE785203:BQE785292 BGI785203:BGI785292 AWM785203:AWM785292 AMQ785203:AMQ785292 ACU785203:ACU785292 SY785203:SY785292 JC785203:JC785292 G785212:G785301 WVO719667:WVO719756 WLS719667:WLS719756 WBW719667:WBW719756 VSA719667:VSA719756 VIE719667:VIE719756 UYI719667:UYI719756 UOM719667:UOM719756 UEQ719667:UEQ719756 TUU719667:TUU719756 TKY719667:TKY719756 TBC719667:TBC719756 SRG719667:SRG719756 SHK719667:SHK719756 RXO719667:RXO719756 RNS719667:RNS719756 RDW719667:RDW719756 QUA719667:QUA719756 QKE719667:QKE719756 QAI719667:QAI719756 PQM719667:PQM719756 PGQ719667:PGQ719756 OWU719667:OWU719756 OMY719667:OMY719756 ODC719667:ODC719756 NTG719667:NTG719756 NJK719667:NJK719756 MZO719667:MZO719756 MPS719667:MPS719756 MFW719667:MFW719756 LWA719667:LWA719756 LME719667:LME719756 LCI719667:LCI719756 KSM719667:KSM719756 KIQ719667:KIQ719756 JYU719667:JYU719756 JOY719667:JOY719756 JFC719667:JFC719756 IVG719667:IVG719756 ILK719667:ILK719756 IBO719667:IBO719756 HRS719667:HRS719756 HHW719667:HHW719756 GYA719667:GYA719756 GOE719667:GOE719756 GEI719667:GEI719756 FUM719667:FUM719756 FKQ719667:FKQ719756 FAU719667:FAU719756 EQY719667:EQY719756 EHC719667:EHC719756 DXG719667:DXG719756 DNK719667:DNK719756 DDO719667:DDO719756 CTS719667:CTS719756 CJW719667:CJW719756 CAA719667:CAA719756 BQE719667:BQE719756 BGI719667:BGI719756 AWM719667:AWM719756 AMQ719667:AMQ719756 ACU719667:ACU719756 SY719667:SY719756 JC719667:JC719756 G719676:G719765 WVO654131:WVO654220 WLS654131:WLS654220 WBW654131:WBW654220 VSA654131:VSA654220 VIE654131:VIE654220 UYI654131:UYI654220 UOM654131:UOM654220 UEQ654131:UEQ654220 TUU654131:TUU654220 TKY654131:TKY654220 TBC654131:TBC654220 SRG654131:SRG654220 SHK654131:SHK654220 RXO654131:RXO654220 RNS654131:RNS654220 RDW654131:RDW654220 QUA654131:QUA654220 QKE654131:QKE654220 QAI654131:QAI654220 PQM654131:PQM654220 PGQ654131:PGQ654220 OWU654131:OWU654220 OMY654131:OMY654220 ODC654131:ODC654220 NTG654131:NTG654220 NJK654131:NJK654220 MZO654131:MZO654220 MPS654131:MPS654220 MFW654131:MFW654220 LWA654131:LWA654220 LME654131:LME654220 LCI654131:LCI654220 KSM654131:KSM654220 KIQ654131:KIQ654220 JYU654131:JYU654220 JOY654131:JOY654220 JFC654131:JFC654220 IVG654131:IVG654220 ILK654131:ILK654220 IBO654131:IBO654220 HRS654131:HRS654220 HHW654131:HHW654220 GYA654131:GYA654220 GOE654131:GOE654220 GEI654131:GEI654220 FUM654131:FUM654220 FKQ654131:FKQ654220 FAU654131:FAU654220 EQY654131:EQY654220 EHC654131:EHC654220 DXG654131:DXG654220 DNK654131:DNK654220 DDO654131:DDO654220 CTS654131:CTS654220 CJW654131:CJW654220 CAA654131:CAA654220 BQE654131:BQE654220 BGI654131:BGI654220 AWM654131:AWM654220 AMQ654131:AMQ654220 ACU654131:ACU654220 SY654131:SY654220 JC654131:JC654220 G654140:G654229 WVO588595:WVO588684 WLS588595:WLS588684 WBW588595:WBW588684 VSA588595:VSA588684 VIE588595:VIE588684 UYI588595:UYI588684 UOM588595:UOM588684 UEQ588595:UEQ588684 TUU588595:TUU588684 TKY588595:TKY588684 TBC588595:TBC588684 SRG588595:SRG588684 SHK588595:SHK588684 RXO588595:RXO588684 RNS588595:RNS588684 RDW588595:RDW588684 QUA588595:QUA588684 QKE588595:QKE588684 QAI588595:QAI588684 PQM588595:PQM588684 PGQ588595:PGQ588684 OWU588595:OWU588684 OMY588595:OMY588684 ODC588595:ODC588684 NTG588595:NTG588684 NJK588595:NJK588684 MZO588595:MZO588684 MPS588595:MPS588684 MFW588595:MFW588684 LWA588595:LWA588684 LME588595:LME588684 LCI588595:LCI588684 KSM588595:KSM588684 KIQ588595:KIQ588684 JYU588595:JYU588684 JOY588595:JOY588684 JFC588595:JFC588684 IVG588595:IVG588684 ILK588595:ILK588684 IBO588595:IBO588684 HRS588595:HRS588684 HHW588595:HHW588684 GYA588595:GYA588684 GOE588595:GOE588684 GEI588595:GEI588684 FUM588595:FUM588684 FKQ588595:FKQ588684 FAU588595:FAU588684 EQY588595:EQY588684 EHC588595:EHC588684 DXG588595:DXG588684 DNK588595:DNK588684 DDO588595:DDO588684 CTS588595:CTS588684 CJW588595:CJW588684 CAA588595:CAA588684 BQE588595:BQE588684 BGI588595:BGI588684 AWM588595:AWM588684 AMQ588595:AMQ588684 ACU588595:ACU588684 SY588595:SY588684 JC588595:JC588684 G588604:G588693 WVO523059:WVO523148 WLS523059:WLS523148 WBW523059:WBW523148 VSA523059:VSA523148 VIE523059:VIE523148 UYI523059:UYI523148 UOM523059:UOM523148 UEQ523059:UEQ523148 TUU523059:TUU523148 TKY523059:TKY523148 TBC523059:TBC523148 SRG523059:SRG523148 SHK523059:SHK523148 RXO523059:RXO523148 RNS523059:RNS523148 RDW523059:RDW523148 QUA523059:QUA523148 QKE523059:QKE523148 QAI523059:QAI523148 PQM523059:PQM523148 PGQ523059:PGQ523148 OWU523059:OWU523148 OMY523059:OMY523148 ODC523059:ODC523148 NTG523059:NTG523148 NJK523059:NJK523148 MZO523059:MZO523148 MPS523059:MPS523148 MFW523059:MFW523148 LWA523059:LWA523148 LME523059:LME523148 LCI523059:LCI523148 KSM523059:KSM523148 KIQ523059:KIQ523148 JYU523059:JYU523148 JOY523059:JOY523148 JFC523059:JFC523148 IVG523059:IVG523148 ILK523059:ILK523148 IBO523059:IBO523148 HRS523059:HRS523148 HHW523059:HHW523148 GYA523059:GYA523148 GOE523059:GOE523148 GEI523059:GEI523148 FUM523059:FUM523148 FKQ523059:FKQ523148 FAU523059:FAU523148 EQY523059:EQY523148 EHC523059:EHC523148 DXG523059:DXG523148 DNK523059:DNK523148 DDO523059:DDO523148 CTS523059:CTS523148 CJW523059:CJW523148 CAA523059:CAA523148 BQE523059:BQE523148 BGI523059:BGI523148 AWM523059:AWM523148 AMQ523059:AMQ523148 ACU523059:ACU523148 SY523059:SY523148 JC523059:JC523148 G523068:G523157 WVO457523:WVO457612 WLS457523:WLS457612 WBW457523:WBW457612 VSA457523:VSA457612 VIE457523:VIE457612 UYI457523:UYI457612 UOM457523:UOM457612 UEQ457523:UEQ457612 TUU457523:TUU457612 TKY457523:TKY457612 TBC457523:TBC457612 SRG457523:SRG457612 SHK457523:SHK457612 RXO457523:RXO457612 RNS457523:RNS457612 RDW457523:RDW457612 QUA457523:QUA457612 QKE457523:QKE457612 QAI457523:QAI457612 PQM457523:PQM457612 PGQ457523:PGQ457612 OWU457523:OWU457612 OMY457523:OMY457612 ODC457523:ODC457612 NTG457523:NTG457612 NJK457523:NJK457612 MZO457523:MZO457612 MPS457523:MPS457612 MFW457523:MFW457612 LWA457523:LWA457612 LME457523:LME457612 LCI457523:LCI457612 KSM457523:KSM457612 KIQ457523:KIQ457612 JYU457523:JYU457612 JOY457523:JOY457612 JFC457523:JFC457612 IVG457523:IVG457612 ILK457523:ILK457612 IBO457523:IBO457612 HRS457523:HRS457612 HHW457523:HHW457612 GYA457523:GYA457612 GOE457523:GOE457612 GEI457523:GEI457612 FUM457523:FUM457612 FKQ457523:FKQ457612 FAU457523:FAU457612 EQY457523:EQY457612 EHC457523:EHC457612 DXG457523:DXG457612 DNK457523:DNK457612 DDO457523:DDO457612 CTS457523:CTS457612 CJW457523:CJW457612 CAA457523:CAA457612 BQE457523:BQE457612 BGI457523:BGI457612 AWM457523:AWM457612 AMQ457523:AMQ457612 ACU457523:ACU457612 SY457523:SY457612 JC457523:JC457612 G457532:G457621 WVO391987:WVO392076 WLS391987:WLS392076 WBW391987:WBW392076 VSA391987:VSA392076 VIE391987:VIE392076 UYI391987:UYI392076 UOM391987:UOM392076 UEQ391987:UEQ392076 TUU391987:TUU392076 TKY391987:TKY392076 TBC391987:TBC392076 SRG391987:SRG392076 SHK391987:SHK392076 RXO391987:RXO392076 RNS391987:RNS392076 RDW391987:RDW392076 QUA391987:QUA392076 QKE391987:QKE392076 QAI391987:QAI392076 PQM391987:PQM392076 PGQ391987:PGQ392076 OWU391987:OWU392076 OMY391987:OMY392076 ODC391987:ODC392076 NTG391987:NTG392076 NJK391987:NJK392076 MZO391987:MZO392076 MPS391987:MPS392076 MFW391987:MFW392076 LWA391987:LWA392076 LME391987:LME392076 LCI391987:LCI392076 KSM391987:KSM392076 KIQ391987:KIQ392076 JYU391987:JYU392076 JOY391987:JOY392076 JFC391987:JFC392076 IVG391987:IVG392076 ILK391987:ILK392076 IBO391987:IBO392076 HRS391987:HRS392076 HHW391987:HHW392076 GYA391987:GYA392076 GOE391987:GOE392076 GEI391987:GEI392076 FUM391987:FUM392076 FKQ391987:FKQ392076 FAU391987:FAU392076 EQY391987:EQY392076 EHC391987:EHC392076 DXG391987:DXG392076 DNK391987:DNK392076 DDO391987:DDO392076 CTS391987:CTS392076 CJW391987:CJW392076 CAA391987:CAA392076 BQE391987:BQE392076 BGI391987:BGI392076 AWM391987:AWM392076 AMQ391987:AMQ392076 ACU391987:ACU392076 SY391987:SY392076 JC391987:JC392076 G391996:G392085 WVO326451:WVO326540 WLS326451:WLS326540 WBW326451:WBW326540 VSA326451:VSA326540 VIE326451:VIE326540 UYI326451:UYI326540 UOM326451:UOM326540 UEQ326451:UEQ326540 TUU326451:TUU326540 TKY326451:TKY326540 TBC326451:TBC326540 SRG326451:SRG326540 SHK326451:SHK326540 RXO326451:RXO326540 RNS326451:RNS326540 RDW326451:RDW326540 QUA326451:QUA326540 QKE326451:QKE326540 QAI326451:QAI326540 PQM326451:PQM326540 PGQ326451:PGQ326540 OWU326451:OWU326540 OMY326451:OMY326540 ODC326451:ODC326540 NTG326451:NTG326540 NJK326451:NJK326540 MZO326451:MZO326540 MPS326451:MPS326540 MFW326451:MFW326540 LWA326451:LWA326540 LME326451:LME326540 LCI326451:LCI326540 KSM326451:KSM326540 KIQ326451:KIQ326540 JYU326451:JYU326540 JOY326451:JOY326540 JFC326451:JFC326540 IVG326451:IVG326540 ILK326451:ILK326540 IBO326451:IBO326540 HRS326451:HRS326540 HHW326451:HHW326540 GYA326451:GYA326540 GOE326451:GOE326540 GEI326451:GEI326540 FUM326451:FUM326540 FKQ326451:FKQ326540 FAU326451:FAU326540 EQY326451:EQY326540 EHC326451:EHC326540 DXG326451:DXG326540 DNK326451:DNK326540 DDO326451:DDO326540 CTS326451:CTS326540 CJW326451:CJW326540 CAA326451:CAA326540 BQE326451:BQE326540 BGI326451:BGI326540 AWM326451:AWM326540 AMQ326451:AMQ326540 ACU326451:ACU326540 SY326451:SY326540 JC326451:JC326540 G326460:G326549 WVO260915:WVO261004 WLS260915:WLS261004 WBW260915:WBW261004 VSA260915:VSA261004 VIE260915:VIE261004 UYI260915:UYI261004 UOM260915:UOM261004 UEQ260915:UEQ261004 TUU260915:TUU261004 TKY260915:TKY261004 TBC260915:TBC261004 SRG260915:SRG261004 SHK260915:SHK261004 RXO260915:RXO261004 RNS260915:RNS261004 RDW260915:RDW261004 QUA260915:QUA261004 QKE260915:QKE261004 QAI260915:QAI261004 PQM260915:PQM261004 PGQ260915:PGQ261004 OWU260915:OWU261004 OMY260915:OMY261004 ODC260915:ODC261004 NTG260915:NTG261004 NJK260915:NJK261004 MZO260915:MZO261004 MPS260915:MPS261004 MFW260915:MFW261004 LWA260915:LWA261004 LME260915:LME261004 LCI260915:LCI261004 KSM260915:KSM261004 KIQ260915:KIQ261004 JYU260915:JYU261004 JOY260915:JOY261004 JFC260915:JFC261004 IVG260915:IVG261004 ILK260915:ILK261004 IBO260915:IBO261004 HRS260915:HRS261004 HHW260915:HHW261004 GYA260915:GYA261004 GOE260915:GOE261004 GEI260915:GEI261004 FUM260915:FUM261004 FKQ260915:FKQ261004 FAU260915:FAU261004 EQY260915:EQY261004 EHC260915:EHC261004 DXG260915:DXG261004 DNK260915:DNK261004 DDO260915:DDO261004 CTS260915:CTS261004 CJW260915:CJW261004 CAA260915:CAA261004 BQE260915:BQE261004 BGI260915:BGI261004 AWM260915:AWM261004 AMQ260915:AMQ261004 ACU260915:ACU261004 SY260915:SY261004 JC260915:JC261004 G260924:G261013 WVO195379:WVO195468 WLS195379:WLS195468 WBW195379:WBW195468 VSA195379:VSA195468 VIE195379:VIE195468 UYI195379:UYI195468 UOM195379:UOM195468 UEQ195379:UEQ195468 TUU195379:TUU195468 TKY195379:TKY195468 TBC195379:TBC195468 SRG195379:SRG195468 SHK195379:SHK195468 RXO195379:RXO195468 RNS195379:RNS195468 RDW195379:RDW195468 QUA195379:QUA195468 QKE195379:QKE195468 QAI195379:QAI195468 PQM195379:PQM195468 PGQ195379:PGQ195468 OWU195379:OWU195468 OMY195379:OMY195468 ODC195379:ODC195468 NTG195379:NTG195468 NJK195379:NJK195468 MZO195379:MZO195468 MPS195379:MPS195468 MFW195379:MFW195468 LWA195379:LWA195468 LME195379:LME195468 LCI195379:LCI195468 KSM195379:KSM195468 KIQ195379:KIQ195468 JYU195379:JYU195468 JOY195379:JOY195468 JFC195379:JFC195468 IVG195379:IVG195468 ILK195379:ILK195468 IBO195379:IBO195468 HRS195379:HRS195468 HHW195379:HHW195468 GYA195379:GYA195468 GOE195379:GOE195468 GEI195379:GEI195468 FUM195379:FUM195468 FKQ195379:FKQ195468 FAU195379:FAU195468 EQY195379:EQY195468 EHC195379:EHC195468 DXG195379:DXG195468 DNK195379:DNK195468 DDO195379:DDO195468 CTS195379:CTS195468 CJW195379:CJW195468 CAA195379:CAA195468 BQE195379:BQE195468 BGI195379:BGI195468 AWM195379:AWM195468 AMQ195379:AMQ195468 ACU195379:ACU195468 SY195379:SY195468 JC195379:JC195468 G195388:G195477 WVO129843:WVO129932 WLS129843:WLS129932 WBW129843:WBW129932 VSA129843:VSA129932 VIE129843:VIE129932 UYI129843:UYI129932 UOM129843:UOM129932 UEQ129843:UEQ129932 TUU129843:TUU129932 TKY129843:TKY129932 TBC129843:TBC129932 SRG129843:SRG129932 SHK129843:SHK129932 RXO129843:RXO129932 RNS129843:RNS129932 RDW129843:RDW129932 QUA129843:QUA129932 QKE129843:QKE129932 QAI129843:QAI129932 PQM129843:PQM129932 PGQ129843:PGQ129932 OWU129843:OWU129932 OMY129843:OMY129932 ODC129843:ODC129932 NTG129843:NTG129932 NJK129843:NJK129932 MZO129843:MZO129932 MPS129843:MPS129932 MFW129843:MFW129932 LWA129843:LWA129932 LME129843:LME129932 LCI129843:LCI129932 KSM129843:KSM129932 KIQ129843:KIQ129932 JYU129843:JYU129932 JOY129843:JOY129932 JFC129843:JFC129932 IVG129843:IVG129932 ILK129843:ILK129932 IBO129843:IBO129932 HRS129843:HRS129932 HHW129843:HHW129932 GYA129843:GYA129932 GOE129843:GOE129932 GEI129843:GEI129932 FUM129843:FUM129932 FKQ129843:FKQ129932 FAU129843:FAU129932 EQY129843:EQY129932 EHC129843:EHC129932 DXG129843:DXG129932 DNK129843:DNK129932 DDO129843:DDO129932 CTS129843:CTS129932 CJW129843:CJW129932 CAA129843:CAA129932 BQE129843:BQE129932 BGI129843:BGI129932 AWM129843:AWM129932 AMQ129843:AMQ129932 ACU129843:ACU129932 SY129843:SY129932 JC129843:JC129932 G129852:G129941 WVO64307:WVO64396 WLS64307:WLS64396 WBW64307:WBW64396 VSA64307:VSA64396 VIE64307:VIE64396 UYI64307:UYI64396 UOM64307:UOM64396 UEQ64307:UEQ64396 TUU64307:TUU64396 TKY64307:TKY64396 TBC64307:TBC64396 SRG64307:SRG64396 SHK64307:SHK64396 RXO64307:RXO64396 RNS64307:RNS64396 RDW64307:RDW64396 QUA64307:QUA64396 QKE64307:QKE64396 QAI64307:QAI64396 PQM64307:PQM64396 PGQ64307:PGQ64396 OWU64307:OWU64396 OMY64307:OMY64396 ODC64307:ODC64396 NTG64307:NTG64396 NJK64307:NJK64396 MZO64307:MZO64396 MPS64307:MPS64396 MFW64307:MFW64396 LWA64307:LWA64396 LME64307:LME64396 LCI64307:LCI64396 KSM64307:KSM64396 KIQ64307:KIQ64396 JYU64307:JYU64396 JOY64307:JOY64396 JFC64307:JFC64396 IVG64307:IVG64396 ILK64307:ILK64396 IBO64307:IBO64396 HRS64307:HRS64396 HHW64307:HHW64396 GYA64307:GYA64396 GOE64307:GOE64396 GEI64307:GEI64396 FUM64307:FUM64396 FKQ64307:FKQ64396 FAU64307:FAU64396 EQY64307:EQY64396 EHC64307:EHC64396 DXG64307:DXG64396 DNK64307:DNK64396 DDO64307:DDO64396 CTS64307:CTS64396 CJW64307:CJW64396 CAA64307:CAA64396 BQE64307:BQE64396 BGI64307:BGI64396 AWM64307:AWM64396 AMQ64307:AMQ64396 ACU64307:ACU64396 SY64307:SY64396 JC64307:JC64396 G64316:G64405 G102:G506 JC2:JC79 WVO2:WVO79 WLS2:WLS79 WBW2:WBW79 VSA2:VSA79 VIE2:VIE79 UYI2:UYI79 UOM2:UOM79 UEQ2:UEQ79 TUU2:TUU79 TKY2:TKY79 TBC2:TBC79 SRG2:SRG79 SHK2:SHK79 RXO2:RXO79 RNS2:RNS79 RDW2:RDW79 QUA2:QUA79 QKE2:QKE79 QAI2:QAI79 PQM2:PQM79 PGQ2:PGQ79 OWU2:OWU79 OMY2:OMY79 ODC2:ODC79 NTG2:NTG79 NJK2:NJK79 MZO2:MZO79 MPS2:MPS79 MFW2:MFW79 LWA2:LWA79 LME2:LME79 LCI2:LCI79 KSM2:KSM79 KIQ2:KIQ79 JYU2:JYU79 JOY2:JOY79 JFC2:JFC79 IVG2:IVG79 ILK2:ILK79 IBO2:IBO79 HRS2:HRS79 HHW2:HHW79 GYA2:GYA79 GOE2:GOE79 GEI2:GEI79 FUM2:FUM79 FKQ2:FKQ79 FAU2:FAU79 EQY2:EQY79 EHC2:EHC79 DXG2:DXG79 DNK2:DNK79 DDO2:DDO79 CTS2:CTS79 CJW2:CJW79 CAA2:CAA79 BQE2:BQE79 BGI2:BGI79 AWM2:AWM79 AMQ2:AMQ79 ACU2:ACU79 SY2:SY79 G2:G100" xr:uid="{76DF884E-C6CC-4E91-8D14-EBA95E23EE4B}">
      <formula1>$AJ$2:$AJ$4</formula1>
    </dataValidation>
    <dataValidation type="list" allowBlank="1" showInputMessage="1" showErrorMessage="1" sqref="WVP981811:WVP981900 WLT981811:WLT981900 WBX981811:WBX981900 VSB981811:VSB981900 VIF981811:VIF981900 UYJ981811:UYJ981900 UON981811:UON981900 UER981811:UER981900 TUV981811:TUV981900 TKZ981811:TKZ981900 TBD981811:TBD981900 SRH981811:SRH981900 SHL981811:SHL981900 RXP981811:RXP981900 RNT981811:RNT981900 RDX981811:RDX981900 QUB981811:QUB981900 QKF981811:QKF981900 QAJ981811:QAJ981900 PQN981811:PQN981900 PGR981811:PGR981900 OWV981811:OWV981900 OMZ981811:OMZ981900 ODD981811:ODD981900 NTH981811:NTH981900 NJL981811:NJL981900 MZP981811:MZP981900 MPT981811:MPT981900 MFX981811:MFX981900 LWB981811:LWB981900 LMF981811:LMF981900 LCJ981811:LCJ981900 KSN981811:KSN981900 KIR981811:KIR981900 JYV981811:JYV981900 JOZ981811:JOZ981900 JFD981811:JFD981900 IVH981811:IVH981900 ILL981811:ILL981900 IBP981811:IBP981900 HRT981811:HRT981900 HHX981811:HHX981900 GYB981811:GYB981900 GOF981811:GOF981900 GEJ981811:GEJ981900 FUN981811:FUN981900 FKR981811:FKR981900 FAV981811:FAV981900 EQZ981811:EQZ981900 EHD981811:EHD981900 DXH981811:DXH981900 DNL981811:DNL981900 DDP981811:DDP981900 CTT981811:CTT981900 CJX981811:CJX981900 CAB981811:CAB981900 BQF981811:BQF981900 BGJ981811:BGJ981900 AWN981811:AWN981900 AMR981811:AMR981900 ACV981811:ACV981900 SZ981811:SZ981900 JD981811:JD981900 H981832:H981921 WVP916275:WVP916364 WLT916275:WLT916364 WBX916275:WBX916364 VSB916275:VSB916364 VIF916275:VIF916364 UYJ916275:UYJ916364 UON916275:UON916364 UER916275:UER916364 TUV916275:TUV916364 TKZ916275:TKZ916364 TBD916275:TBD916364 SRH916275:SRH916364 SHL916275:SHL916364 RXP916275:RXP916364 RNT916275:RNT916364 RDX916275:RDX916364 QUB916275:QUB916364 QKF916275:QKF916364 QAJ916275:QAJ916364 PQN916275:PQN916364 PGR916275:PGR916364 OWV916275:OWV916364 OMZ916275:OMZ916364 ODD916275:ODD916364 NTH916275:NTH916364 NJL916275:NJL916364 MZP916275:MZP916364 MPT916275:MPT916364 MFX916275:MFX916364 LWB916275:LWB916364 LMF916275:LMF916364 LCJ916275:LCJ916364 KSN916275:KSN916364 KIR916275:KIR916364 JYV916275:JYV916364 JOZ916275:JOZ916364 JFD916275:JFD916364 IVH916275:IVH916364 ILL916275:ILL916364 IBP916275:IBP916364 HRT916275:HRT916364 HHX916275:HHX916364 GYB916275:GYB916364 GOF916275:GOF916364 GEJ916275:GEJ916364 FUN916275:FUN916364 FKR916275:FKR916364 FAV916275:FAV916364 EQZ916275:EQZ916364 EHD916275:EHD916364 DXH916275:DXH916364 DNL916275:DNL916364 DDP916275:DDP916364 CTT916275:CTT916364 CJX916275:CJX916364 CAB916275:CAB916364 BQF916275:BQF916364 BGJ916275:BGJ916364 AWN916275:AWN916364 AMR916275:AMR916364 ACV916275:ACV916364 SZ916275:SZ916364 JD916275:JD916364 H916296:H916385 WVP850739:WVP850828 WLT850739:WLT850828 WBX850739:WBX850828 VSB850739:VSB850828 VIF850739:VIF850828 UYJ850739:UYJ850828 UON850739:UON850828 UER850739:UER850828 TUV850739:TUV850828 TKZ850739:TKZ850828 TBD850739:TBD850828 SRH850739:SRH850828 SHL850739:SHL850828 RXP850739:RXP850828 RNT850739:RNT850828 RDX850739:RDX850828 QUB850739:QUB850828 QKF850739:QKF850828 QAJ850739:QAJ850828 PQN850739:PQN850828 PGR850739:PGR850828 OWV850739:OWV850828 OMZ850739:OMZ850828 ODD850739:ODD850828 NTH850739:NTH850828 NJL850739:NJL850828 MZP850739:MZP850828 MPT850739:MPT850828 MFX850739:MFX850828 LWB850739:LWB850828 LMF850739:LMF850828 LCJ850739:LCJ850828 KSN850739:KSN850828 KIR850739:KIR850828 JYV850739:JYV850828 JOZ850739:JOZ850828 JFD850739:JFD850828 IVH850739:IVH850828 ILL850739:ILL850828 IBP850739:IBP850828 HRT850739:HRT850828 HHX850739:HHX850828 GYB850739:GYB850828 GOF850739:GOF850828 GEJ850739:GEJ850828 FUN850739:FUN850828 FKR850739:FKR850828 FAV850739:FAV850828 EQZ850739:EQZ850828 EHD850739:EHD850828 DXH850739:DXH850828 DNL850739:DNL850828 DDP850739:DDP850828 CTT850739:CTT850828 CJX850739:CJX850828 CAB850739:CAB850828 BQF850739:BQF850828 BGJ850739:BGJ850828 AWN850739:AWN850828 AMR850739:AMR850828 ACV850739:ACV850828 SZ850739:SZ850828 JD850739:JD850828 H850760:H850849 WVP785203:WVP785292 WLT785203:WLT785292 WBX785203:WBX785292 VSB785203:VSB785292 VIF785203:VIF785292 UYJ785203:UYJ785292 UON785203:UON785292 UER785203:UER785292 TUV785203:TUV785292 TKZ785203:TKZ785292 TBD785203:TBD785292 SRH785203:SRH785292 SHL785203:SHL785292 RXP785203:RXP785292 RNT785203:RNT785292 RDX785203:RDX785292 QUB785203:QUB785292 QKF785203:QKF785292 QAJ785203:QAJ785292 PQN785203:PQN785292 PGR785203:PGR785292 OWV785203:OWV785292 OMZ785203:OMZ785292 ODD785203:ODD785292 NTH785203:NTH785292 NJL785203:NJL785292 MZP785203:MZP785292 MPT785203:MPT785292 MFX785203:MFX785292 LWB785203:LWB785292 LMF785203:LMF785292 LCJ785203:LCJ785292 KSN785203:KSN785292 KIR785203:KIR785292 JYV785203:JYV785292 JOZ785203:JOZ785292 JFD785203:JFD785292 IVH785203:IVH785292 ILL785203:ILL785292 IBP785203:IBP785292 HRT785203:HRT785292 HHX785203:HHX785292 GYB785203:GYB785292 GOF785203:GOF785292 GEJ785203:GEJ785292 FUN785203:FUN785292 FKR785203:FKR785292 FAV785203:FAV785292 EQZ785203:EQZ785292 EHD785203:EHD785292 DXH785203:DXH785292 DNL785203:DNL785292 DDP785203:DDP785292 CTT785203:CTT785292 CJX785203:CJX785292 CAB785203:CAB785292 BQF785203:BQF785292 BGJ785203:BGJ785292 AWN785203:AWN785292 AMR785203:AMR785292 ACV785203:ACV785292 SZ785203:SZ785292 JD785203:JD785292 H785224:H785313 WVP719667:WVP719756 WLT719667:WLT719756 WBX719667:WBX719756 VSB719667:VSB719756 VIF719667:VIF719756 UYJ719667:UYJ719756 UON719667:UON719756 UER719667:UER719756 TUV719667:TUV719756 TKZ719667:TKZ719756 TBD719667:TBD719756 SRH719667:SRH719756 SHL719667:SHL719756 RXP719667:RXP719756 RNT719667:RNT719756 RDX719667:RDX719756 QUB719667:QUB719756 QKF719667:QKF719756 QAJ719667:QAJ719756 PQN719667:PQN719756 PGR719667:PGR719756 OWV719667:OWV719756 OMZ719667:OMZ719756 ODD719667:ODD719756 NTH719667:NTH719756 NJL719667:NJL719756 MZP719667:MZP719756 MPT719667:MPT719756 MFX719667:MFX719756 LWB719667:LWB719756 LMF719667:LMF719756 LCJ719667:LCJ719756 KSN719667:KSN719756 KIR719667:KIR719756 JYV719667:JYV719756 JOZ719667:JOZ719756 JFD719667:JFD719756 IVH719667:IVH719756 ILL719667:ILL719756 IBP719667:IBP719756 HRT719667:HRT719756 HHX719667:HHX719756 GYB719667:GYB719756 GOF719667:GOF719756 GEJ719667:GEJ719756 FUN719667:FUN719756 FKR719667:FKR719756 FAV719667:FAV719756 EQZ719667:EQZ719756 EHD719667:EHD719756 DXH719667:DXH719756 DNL719667:DNL719756 DDP719667:DDP719756 CTT719667:CTT719756 CJX719667:CJX719756 CAB719667:CAB719756 BQF719667:BQF719756 BGJ719667:BGJ719756 AWN719667:AWN719756 AMR719667:AMR719756 ACV719667:ACV719756 SZ719667:SZ719756 JD719667:JD719756 H719688:H719777 WVP654131:WVP654220 WLT654131:WLT654220 WBX654131:WBX654220 VSB654131:VSB654220 VIF654131:VIF654220 UYJ654131:UYJ654220 UON654131:UON654220 UER654131:UER654220 TUV654131:TUV654220 TKZ654131:TKZ654220 TBD654131:TBD654220 SRH654131:SRH654220 SHL654131:SHL654220 RXP654131:RXP654220 RNT654131:RNT654220 RDX654131:RDX654220 QUB654131:QUB654220 QKF654131:QKF654220 QAJ654131:QAJ654220 PQN654131:PQN654220 PGR654131:PGR654220 OWV654131:OWV654220 OMZ654131:OMZ654220 ODD654131:ODD654220 NTH654131:NTH654220 NJL654131:NJL654220 MZP654131:MZP654220 MPT654131:MPT654220 MFX654131:MFX654220 LWB654131:LWB654220 LMF654131:LMF654220 LCJ654131:LCJ654220 KSN654131:KSN654220 KIR654131:KIR654220 JYV654131:JYV654220 JOZ654131:JOZ654220 JFD654131:JFD654220 IVH654131:IVH654220 ILL654131:ILL654220 IBP654131:IBP654220 HRT654131:HRT654220 HHX654131:HHX654220 GYB654131:GYB654220 GOF654131:GOF654220 GEJ654131:GEJ654220 FUN654131:FUN654220 FKR654131:FKR654220 FAV654131:FAV654220 EQZ654131:EQZ654220 EHD654131:EHD654220 DXH654131:DXH654220 DNL654131:DNL654220 DDP654131:DDP654220 CTT654131:CTT654220 CJX654131:CJX654220 CAB654131:CAB654220 BQF654131:BQF654220 BGJ654131:BGJ654220 AWN654131:AWN654220 AMR654131:AMR654220 ACV654131:ACV654220 SZ654131:SZ654220 JD654131:JD654220 H654152:H654241 WVP588595:WVP588684 WLT588595:WLT588684 WBX588595:WBX588684 VSB588595:VSB588684 VIF588595:VIF588684 UYJ588595:UYJ588684 UON588595:UON588684 UER588595:UER588684 TUV588595:TUV588684 TKZ588595:TKZ588684 TBD588595:TBD588684 SRH588595:SRH588684 SHL588595:SHL588684 RXP588595:RXP588684 RNT588595:RNT588684 RDX588595:RDX588684 QUB588595:QUB588684 QKF588595:QKF588684 QAJ588595:QAJ588684 PQN588595:PQN588684 PGR588595:PGR588684 OWV588595:OWV588684 OMZ588595:OMZ588684 ODD588595:ODD588684 NTH588595:NTH588684 NJL588595:NJL588684 MZP588595:MZP588684 MPT588595:MPT588684 MFX588595:MFX588684 LWB588595:LWB588684 LMF588595:LMF588684 LCJ588595:LCJ588684 KSN588595:KSN588684 KIR588595:KIR588684 JYV588595:JYV588684 JOZ588595:JOZ588684 JFD588595:JFD588684 IVH588595:IVH588684 ILL588595:ILL588684 IBP588595:IBP588684 HRT588595:HRT588684 HHX588595:HHX588684 GYB588595:GYB588684 GOF588595:GOF588684 GEJ588595:GEJ588684 FUN588595:FUN588684 FKR588595:FKR588684 FAV588595:FAV588684 EQZ588595:EQZ588684 EHD588595:EHD588684 DXH588595:DXH588684 DNL588595:DNL588684 DDP588595:DDP588684 CTT588595:CTT588684 CJX588595:CJX588684 CAB588595:CAB588684 BQF588595:BQF588684 BGJ588595:BGJ588684 AWN588595:AWN588684 AMR588595:AMR588684 ACV588595:ACV588684 SZ588595:SZ588684 JD588595:JD588684 H588616:H588705 WVP523059:WVP523148 WLT523059:WLT523148 WBX523059:WBX523148 VSB523059:VSB523148 VIF523059:VIF523148 UYJ523059:UYJ523148 UON523059:UON523148 UER523059:UER523148 TUV523059:TUV523148 TKZ523059:TKZ523148 TBD523059:TBD523148 SRH523059:SRH523148 SHL523059:SHL523148 RXP523059:RXP523148 RNT523059:RNT523148 RDX523059:RDX523148 QUB523059:QUB523148 QKF523059:QKF523148 QAJ523059:QAJ523148 PQN523059:PQN523148 PGR523059:PGR523148 OWV523059:OWV523148 OMZ523059:OMZ523148 ODD523059:ODD523148 NTH523059:NTH523148 NJL523059:NJL523148 MZP523059:MZP523148 MPT523059:MPT523148 MFX523059:MFX523148 LWB523059:LWB523148 LMF523059:LMF523148 LCJ523059:LCJ523148 KSN523059:KSN523148 KIR523059:KIR523148 JYV523059:JYV523148 JOZ523059:JOZ523148 JFD523059:JFD523148 IVH523059:IVH523148 ILL523059:ILL523148 IBP523059:IBP523148 HRT523059:HRT523148 HHX523059:HHX523148 GYB523059:GYB523148 GOF523059:GOF523148 GEJ523059:GEJ523148 FUN523059:FUN523148 FKR523059:FKR523148 FAV523059:FAV523148 EQZ523059:EQZ523148 EHD523059:EHD523148 DXH523059:DXH523148 DNL523059:DNL523148 DDP523059:DDP523148 CTT523059:CTT523148 CJX523059:CJX523148 CAB523059:CAB523148 BQF523059:BQF523148 BGJ523059:BGJ523148 AWN523059:AWN523148 AMR523059:AMR523148 ACV523059:ACV523148 SZ523059:SZ523148 JD523059:JD523148 H523080:H523169 WVP457523:WVP457612 WLT457523:WLT457612 WBX457523:WBX457612 VSB457523:VSB457612 VIF457523:VIF457612 UYJ457523:UYJ457612 UON457523:UON457612 UER457523:UER457612 TUV457523:TUV457612 TKZ457523:TKZ457612 TBD457523:TBD457612 SRH457523:SRH457612 SHL457523:SHL457612 RXP457523:RXP457612 RNT457523:RNT457612 RDX457523:RDX457612 QUB457523:QUB457612 QKF457523:QKF457612 QAJ457523:QAJ457612 PQN457523:PQN457612 PGR457523:PGR457612 OWV457523:OWV457612 OMZ457523:OMZ457612 ODD457523:ODD457612 NTH457523:NTH457612 NJL457523:NJL457612 MZP457523:MZP457612 MPT457523:MPT457612 MFX457523:MFX457612 LWB457523:LWB457612 LMF457523:LMF457612 LCJ457523:LCJ457612 KSN457523:KSN457612 KIR457523:KIR457612 JYV457523:JYV457612 JOZ457523:JOZ457612 JFD457523:JFD457612 IVH457523:IVH457612 ILL457523:ILL457612 IBP457523:IBP457612 HRT457523:HRT457612 HHX457523:HHX457612 GYB457523:GYB457612 GOF457523:GOF457612 GEJ457523:GEJ457612 FUN457523:FUN457612 FKR457523:FKR457612 FAV457523:FAV457612 EQZ457523:EQZ457612 EHD457523:EHD457612 DXH457523:DXH457612 DNL457523:DNL457612 DDP457523:DDP457612 CTT457523:CTT457612 CJX457523:CJX457612 CAB457523:CAB457612 BQF457523:BQF457612 BGJ457523:BGJ457612 AWN457523:AWN457612 AMR457523:AMR457612 ACV457523:ACV457612 SZ457523:SZ457612 JD457523:JD457612 H457544:H457633 WVP391987:WVP392076 WLT391987:WLT392076 WBX391987:WBX392076 VSB391987:VSB392076 VIF391987:VIF392076 UYJ391987:UYJ392076 UON391987:UON392076 UER391987:UER392076 TUV391987:TUV392076 TKZ391987:TKZ392076 TBD391987:TBD392076 SRH391987:SRH392076 SHL391987:SHL392076 RXP391987:RXP392076 RNT391987:RNT392076 RDX391987:RDX392076 QUB391987:QUB392076 QKF391987:QKF392076 QAJ391987:QAJ392076 PQN391987:PQN392076 PGR391987:PGR392076 OWV391987:OWV392076 OMZ391987:OMZ392076 ODD391987:ODD392076 NTH391987:NTH392076 NJL391987:NJL392076 MZP391987:MZP392076 MPT391987:MPT392076 MFX391987:MFX392076 LWB391987:LWB392076 LMF391987:LMF392076 LCJ391987:LCJ392076 KSN391987:KSN392076 KIR391987:KIR392076 JYV391987:JYV392076 JOZ391987:JOZ392076 JFD391987:JFD392076 IVH391987:IVH392076 ILL391987:ILL392076 IBP391987:IBP392076 HRT391987:HRT392076 HHX391987:HHX392076 GYB391987:GYB392076 GOF391987:GOF392076 GEJ391987:GEJ392076 FUN391987:FUN392076 FKR391987:FKR392076 FAV391987:FAV392076 EQZ391987:EQZ392076 EHD391987:EHD392076 DXH391987:DXH392076 DNL391987:DNL392076 DDP391987:DDP392076 CTT391987:CTT392076 CJX391987:CJX392076 CAB391987:CAB392076 BQF391987:BQF392076 BGJ391987:BGJ392076 AWN391987:AWN392076 AMR391987:AMR392076 ACV391987:ACV392076 SZ391987:SZ392076 JD391987:JD392076 H392008:H392097 WVP326451:WVP326540 WLT326451:WLT326540 WBX326451:WBX326540 VSB326451:VSB326540 VIF326451:VIF326540 UYJ326451:UYJ326540 UON326451:UON326540 UER326451:UER326540 TUV326451:TUV326540 TKZ326451:TKZ326540 TBD326451:TBD326540 SRH326451:SRH326540 SHL326451:SHL326540 RXP326451:RXP326540 RNT326451:RNT326540 RDX326451:RDX326540 QUB326451:QUB326540 QKF326451:QKF326540 QAJ326451:QAJ326540 PQN326451:PQN326540 PGR326451:PGR326540 OWV326451:OWV326540 OMZ326451:OMZ326540 ODD326451:ODD326540 NTH326451:NTH326540 NJL326451:NJL326540 MZP326451:MZP326540 MPT326451:MPT326540 MFX326451:MFX326540 LWB326451:LWB326540 LMF326451:LMF326540 LCJ326451:LCJ326540 KSN326451:KSN326540 KIR326451:KIR326540 JYV326451:JYV326540 JOZ326451:JOZ326540 JFD326451:JFD326540 IVH326451:IVH326540 ILL326451:ILL326540 IBP326451:IBP326540 HRT326451:HRT326540 HHX326451:HHX326540 GYB326451:GYB326540 GOF326451:GOF326540 GEJ326451:GEJ326540 FUN326451:FUN326540 FKR326451:FKR326540 FAV326451:FAV326540 EQZ326451:EQZ326540 EHD326451:EHD326540 DXH326451:DXH326540 DNL326451:DNL326540 DDP326451:DDP326540 CTT326451:CTT326540 CJX326451:CJX326540 CAB326451:CAB326540 BQF326451:BQF326540 BGJ326451:BGJ326540 AWN326451:AWN326540 AMR326451:AMR326540 ACV326451:ACV326540 SZ326451:SZ326540 JD326451:JD326540 H326472:H326561 WVP260915:WVP261004 WLT260915:WLT261004 WBX260915:WBX261004 VSB260915:VSB261004 VIF260915:VIF261004 UYJ260915:UYJ261004 UON260915:UON261004 UER260915:UER261004 TUV260915:TUV261004 TKZ260915:TKZ261004 TBD260915:TBD261004 SRH260915:SRH261004 SHL260915:SHL261004 RXP260915:RXP261004 RNT260915:RNT261004 RDX260915:RDX261004 QUB260915:QUB261004 QKF260915:QKF261004 QAJ260915:QAJ261004 PQN260915:PQN261004 PGR260915:PGR261004 OWV260915:OWV261004 OMZ260915:OMZ261004 ODD260915:ODD261004 NTH260915:NTH261004 NJL260915:NJL261004 MZP260915:MZP261004 MPT260915:MPT261004 MFX260915:MFX261004 LWB260915:LWB261004 LMF260915:LMF261004 LCJ260915:LCJ261004 KSN260915:KSN261004 KIR260915:KIR261004 JYV260915:JYV261004 JOZ260915:JOZ261004 JFD260915:JFD261004 IVH260915:IVH261004 ILL260915:ILL261004 IBP260915:IBP261004 HRT260915:HRT261004 HHX260915:HHX261004 GYB260915:GYB261004 GOF260915:GOF261004 GEJ260915:GEJ261004 FUN260915:FUN261004 FKR260915:FKR261004 FAV260915:FAV261004 EQZ260915:EQZ261004 EHD260915:EHD261004 DXH260915:DXH261004 DNL260915:DNL261004 DDP260915:DDP261004 CTT260915:CTT261004 CJX260915:CJX261004 CAB260915:CAB261004 BQF260915:BQF261004 BGJ260915:BGJ261004 AWN260915:AWN261004 AMR260915:AMR261004 ACV260915:ACV261004 SZ260915:SZ261004 JD260915:JD261004 H260936:H261025 WVP195379:WVP195468 WLT195379:WLT195468 WBX195379:WBX195468 VSB195379:VSB195468 VIF195379:VIF195468 UYJ195379:UYJ195468 UON195379:UON195468 UER195379:UER195468 TUV195379:TUV195468 TKZ195379:TKZ195468 TBD195379:TBD195468 SRH195379:SRH195468 SHL195379:SHL195468 RXP195379:RXP195468 RNT195379:RNT195468 RDX195379:RDX195468 QUB195379:QUB195468 QKF195379:QKF195468 QAJ195379:QAJ195468 PQN195379:PQN195468 PGR195379:PGR195468 OWV195379:OWV195468 OMZ195379:OMZ195468 ODD195379:ODD195468 NTH195379:NTH195468 NJL195379:NJL195468 MZP195379:MZP195468 MPT195379:MPT195468 MFX195379:MFX195468 LWB195379:LWB195468 LMF195379:LMF195468 LCJ195379:LCJ195468 KSN195379:KSN195468 KIR195379:KIR195468 JYV195379:JYV195468 JOZ195379:JOZ195468 JFD195379:JFD195468 IVH195379:IVH195468 ILL195379:ILL195468 IBP195379:IBP195468 HRT195379:HRT195468 HHX195379:HHX195468 GYB195379:GYB195468 GOF195379:GOF195468 GEJ195379:GEJ195468 FUN195379:FUN195468 FKR195379:FKR195468 FAV195379:FAV195468 EQZ195379:EQZ195468 EHD195379:EHD195468 DXH195379:DXH195468 DNL195379:DNL195468 DDP195379:DDP195468 CTT195379:CTT195468 CJX195379:CJX195468 CAB195379:CAB195468 BQF195379:BQF195468 BGJ195379:BGJ195468 AWN195379:AWN195468 AMR195379:AMR195468 ACV195379:ACV195468 SZ195379:SZ195468 JD195379:JD195468 H195400:H195489 WVP129843:WVP129932 WLT129843:WLT129932 WBX129843:WBX129932 VSB129843:VSB129932 VIF129843:VIF129932 UYJ129843:UYJ129932 UON129843:UON129932 UER129843:UER129932 TUV129843:TUV129932 TKZ129843:TKZ129932 TBD129843:TBD129932 SRH129843:SRH129932 SHL129843:SHL129932 RXP129843:RXP129932 RNT129843:RNT129932 RDX129843:RDX129932 QUB129843:QUB129932 QKF129843:QKF129932 QAJ129843:QAJ129932 PQN129843:PQN129932 PGR129843:PGR129932 OWV129843:OWV129932 OMZ129843:OMZ129932 ODD129843:ODD129932 NTH129843:NTH129932 NJL129843:NJL129932 MZP129843:MZP129932 MPT129843:MPT129932 MFX129843:MFX129932 LWB129843:LWB129932 LMF129843:LMF129932 LCJ129843:LCJ129932 KSN129843:KSN129932 KIR129843:KIR129932 JYV129843:JYV129932 JOZ129843:JOZ129932 JFD129843:JFD129932 IVH129843:IVH129932 ILL129843:ILL129932 IBP129843:IBP129932 HRT129843:HRT129932 HHX129843:HHX129932 GYB129843:GYB129932 GOF129843:GOF129932 GEJ129843:GEJ129932 FUN129843:FUN129932 FKR129843:FKR129932 FAV129843:FAV129932 EQZ129843:EQZ129932 EHD129843:EHD129932 DXH129843:DXH129932 DNL129843:DNL129932 DDP129843:DDP129932 CTT129843:CTT129932 CJX129843:CJX129932 CAB129843:CAB129932 BQF129843:BQF129932 BGJ129843:BGJ129932 AWN129843:AWN129932 AMR129843:AMR129932 ACV129843:ACV129932 SZ129843:SZ129932 JD129843:JD129932 H129864:H129953 WVP64307:WVP64396 WLT64307:WLT64396 WBX64307:WBX64396 VSB64307:VSB64396 VIF64307:VIF64396 UYJ64307:UYJ64396 UON64307:UON64396 UER64307:UER64396 TUV64307:TUV64396 TKZ64307:TKZ64396 TBD64307:TBD64396 SRH64307:SRH64396 SHL64307:SHL64396 RXP64307:RXP64396 RNT64307:RNT64396 RDX64307:RDX64396 QUB64307:QUB64396 QKF64307:QKF64396 QAJ64307:QAJ64396 PQN64307:PQN64396 PGR64307:PGR64396 OWV64307:OWV64396 OMZ64307:OMZ64396 ODD64307:ODD64396 NTH64307:NTH64396 NJL64307:NJL64396 MZP64307:MZP64396 MPT64307:MPT64396 MFX64307:MFX64396 LWB64307:LWB64396 LMF64307:LMF64396 LCJ64307:LCJ64396 KSN64307:KSN64396 KIR64307:KIR64396 JYV64307:JYV64396 JOZ64307:JOZ64396 JFD64307:JFD64396 IVH64307:IVH64396 ILL64307:ILL64396 IBP64307:IBP64396 HRT64307:HRT64396 HHX64307:HHX64396 GYB64307:GYB64396 GOF64307:GOF64396 GEJ64307:GEJ64396 FUN64307:FUN64396 FKR64307:FKR64396 FAV64307:FAV64396 EQZ64307:EQZ64396 EHD64307:EHD64396 DXH64307:DXH64396 DNL64307:DNL64396 DDP64307:DDP64396 CTT64307:CTT64396 CJX64307:CJX64396 CAB64307:CAB64396 BQF64307:BQF64396 BGJ64307:BGJ64396 AWN64307:AWN64396 AMR64307:AMR64396 ACV64307:ACV64396 SZ64307:SZ64396 JD64307:JD64396 H64328:H64417 WVP2:WVP79 WLT2:WLT79 WBX2:WBX79 VSB2:VSB79 VIF2:VIF79 UYJ2:UYJ79 UON2:UON79 UER2:UER79 TUV2:TUV79 TKZ2:TKZ79 TBD2:TBD79 SRH2:SRH79 SHL2:SHL79 RXP2:RXP79 RNT2:RNT79 RDX2:RDX79 QUB2:QUB79 QKF2:QKF79 QAJ2:QAJ79 PQN2:PQN79 PGR2:PGR79 OWV2:OWV79 OMZ2:OMZ79 ODD2:ODD79 NTH2:NTH79 NJL2:NJL79 MZP2:MZP79 MPT2:MPT79 MFX2:MFX79 LWB2:LWB79 LMF2:LMF79 LCJ2:LCJ79 KSN2:KSN79 KIR2:KIR79 JYV2:JYV79 JOZ2:JOZ79 JFD2:JFD79 IVH2:IVH79 ILL2:ILL79 IBP2:IBP79 HRT2:HRT79 HHX2:HHX79 GYB2:GYB79 GOF2:GOF79 GEJ2:GEJ79 FUN2:FUN79 FKR2:FKR79 FAV2:FAV79 EQZ2:EQZ79 EHD2:EHD79 DXH2:DXH79 DNL2:DNL79 DDP2:DDP79 CTT2:CTT79 CJX2:CJX79 CAB2:CAB79 BQF2:BQF79 BGJ2:BGJ79 AWN2:AWN79 AMR2:AMR79 ACV2:ACV79 SZ2:SZ79 JD2:JD79" xr:uid="{CA4B8D15-4B0C-4EB7-AB96-B9E0B9C75351}">
      <formula1>$AL$8:$AL$13</formula1>
    </dataValidation>
    <dataValidation type="list" allowBlank="1" showInputMessage="1" showErrorMessage="1" sqref="WVQ981811:WVQ981894 WLU981811:WLU981894 WBY981811:WBY981894 VSC981811:VSC981894 VIG981811:VIG981894 UYK981811:UYK981894 UOO981811:UOO981894 UES981811:UES981894 TUW981811:TUW981894 TLA981811:TLA981894 TBE981811:TBE981894 SRI981811:SRI981894 SHM981811:SHM981894 RXQ981811:RXQ981894 RNU981811:RNU981894 RDY981811:RDY981894 QUC981811:QUC981894 QKG981811:QKG981894 QAK981811:QAK981894 PQO981811:PQO981894 PGS981811:PGS981894 OWW981811:OWW981894 ONA981811:ONA981894 ODE981811:ODE981894 NTI981811:NTI981894 NJM981811:NJM981894 MZQ981811:MZQ981894 MPU981811:MPU981894 MFY981811:MFY981894 LWC981811:LWC981894 LMG981811:LMG981894 LCK981811:LCK981894 KSO981811:KSO981894 KIS981811:KIS981894 JYW981811:JYW981894 JPA981811:JPA981894 JFE981811:JFE981894 IVI981811:IVI981894 ILM981811:ILM981894 IBQ981811:IBQ981894 HRU981811:HRU981894 HHY981811:HHY981894 GYC981811:GYC981894 GOG981811:GOG981894 GEK981811:GEK981894 FUO981811:FUO981894 FKS981811:FKS981894 FAW981811:FAW981894 ERA981811:ERA981894 EHE981811:EHE981894 DXI981811:DXI981894 DNM981811:DNM981894 DDQ981811:DDQ981894 CTU981811:CTU981894 CJY981811:CJY981894 CAC981811:CAC981894 BQG981811:BQG981894 BGK981811:BGK981894 AWO981811:AWO981894 AMS981811:AMS981894 ACW981811:ACW981894 TA981811:TA981894 JE981811:JE981894 I981832:I981915 WVQ916275:WVQ916358 WLU916275:WLU916358 WBY916275:WBY916358 VSC916275:VSC916358 VIG916275:VIG916358 UYK916275:UYK916358 UOO916275:UOO916358 UES916275:UES916358 TUW916275:TUW916358 TLA916275:TLA916358 TBE916275:TBE916358 SRI916275:SRI916358 SHM916275:SHM916358 RXQ916275:RXQ916358 RNU916275:RNU916358 RDY916275:RDY916358 QUC916275:QUC916358 QKG916275:QKG916358 QAK916275:QAK916358 PQO916275:PQO916358 PGS916275:PGS916358 OWW916275:OWW916358 ONA916275:ONA916358 ODE916275:ODE916358 NTI916275:NTI916358 NJM916275:NJM916358 MZQ916275:MZQ916358 MPU916275:MPU916358 MFY916275:MFY916358 LWC916275:LWC916358 LMG916275:LMG916358 LCK916275:LCK916358 KSO916275:KSO916358 KIS916275:KIS916358 JYW916275:JYW916358 JPA916275:JPA916358 JFE916275:JFE916358 IVI916275:IVI916358 ILM916275:ILM916358 IBQ916275:IBQ916358 HRU916275:HRU916358 HHY916275:HHY916358 GYC916275:GYC916358 GOG916275:GOG916358 GEK916275:GEK916358 FUO916275:FUO916358 FKS916275:FKS916358 FAW916275:FAW916358 ERA916275:ERA916358 EHE916275:EHE916358 DXI916275:DXI916358 DNM916275:DNM916358 DDQ916275:DDQ916358 CTU916275:CTU916358 CJY916275:CJY916358 CAC916275:CAC916358 BQG916275:BQG916358 BGK916275:BGK916358 AWO916275:AWO916358 AMS916275:AMS916358 ACW916275:ACW916358 TA916275:TA916358 JE916275:JE916358 I916296:I916379 WVQ850739:WVQ850822 WLU850739:WLU850822 WBY850739:WBY850822 VSC850739:VSC850822 VIG850739:VIG850822 UYK850739:UYK850822 UOO850739:UOO850822 UES850739:UES850822 TUW850739:TUW850822 TLA850739:TLA850822 TBE850739:TBE850822 SRI850739:SRI850822 SHM850739:SHM850822 RXQ850739:RXQ850822 RNU850739:RNU850822 RDY850739:RDY850822 QUC850739:QUC850822 QKG850739:QKG850822 QAK850739:QAK850822 PQO850739:PQO850822 PGS850739:PGS850822 OWW850739:OWW850822 ONA850739:ONA850822 ODE850739:ODE850822 NTI850739:NTI850822 NJM850739:NJM850822 MZQ850739:MZQ850822 MPU850739:MPU850822 MFY850739:MFY850822 LWC850739:LWC850822 LMG850739:LMG850822 LCK850739:LCK850822 KSO850739:KSO850822 KIS850739:KIS850822 JYW850739:JYW850822 JPA850739:JPA850822 JFE850739:JFE850822 IVI850739:IVI850822 ILM850739:ILM850822 IBQ850739:IBQ850822 HRU850739:HRU850822 HHY850739:HHY850822 GYC850739:GYC850822 GOG850739:GOG850822 GEK850739:GEK850822 FUO850739:FUO850822 FKS850739:FKS850822 FAW850739:FAW850822 ERA850739:ERA850822 EHE850739:EHE850822 DXI850739:DXI850822 DNM850739:DNM850822 DDQ850739:DDQ850822 CTU850739:CTU850822 CJY850739:CJY850822 CAC850739:CAC850822 BQG850739:BQG850822 BGK850739:BGK850822 AWO850739:AWO850822 AMS850739:AMS850822 ACW850739:ACW850822 TA850739:TA850822 JE850739:JE850822 I850760:I850843 WVQ785203:WVQ785286 WLU785203:WLU785286 WBY785203:WBY785286 VSC785203:VSC785286 VIG785203:VIG785286 UYK785203:UYK785286 UOO785203:UOO785286 UES785203:UES785286 TUW785203:TUW785286 TLA785203:TLA785286 TBE785203:TBE785286 SRI785203:SRI785286 SHM785203:SHM785286 RXQ785203:RXQ785286 RNU785203:RNU785286 RDY785203:RDY785286 QUC785203:QUC785286 QKG785203:QKG785286 QAK785203:QAK785286 PQO785203:PQO785286 PGS785203:PGS785286 OWW785203:OWW785286 ONA785203:ONA785286 ODE785203:ODE785286 NTI785203:NTI785286 NJM785203:NJM785286 MZQ785203:MZQ785286 MPU785203:MPU785286 MFY785203:MFY785286 LWC785203:LWC785286 LMG785203:LMG785286 LCK785203:LCK785286 KSO785203:KSO785286 KIS785203:KIS785286 JYW785203:JYW785286 JPA785203:JPA785286 JFE785203:JFE785286 IVI785203:IVI785286 ILM785203:ILM785286 IBQ785203:IBQ785286 HRU785203:HRU785286 HHY785203:HHY785286 GYC785203:GYC785286 GOG785203:GOG785286 GEK785203:GEK785286 FUO785203:FUO785286 FKS785203:FKS785286 FAW785203:FAW785286 ERA785203:ERA785286 EHE785203:EHE785286 DXI785203:DXI785286 DNM785203:DNM785286 DDQ785203:DDQ785286 CTU785203:CTU785286 CJY785203:CJY785286 CAC785203:CAC785286 BQG785203:BQG785286 BGK785203:BGK785286 AWO785203:AWO785286 AMS785203:AMS785286 ACW785203:ACW785286 TA785203:TA785286 JE785203:JE785286 I785224:I785307 WVQ719667:WVQ719750 WLU719667:WLU719750 WBY719667:WBY719750 VSC719667:VSC719750 VIG719667:VIG719750 UYK719667:UYK719750 UOO719667:UOO719750 UES719667:UES719750 TUW719667:TUW719750 TLA719667:TLA719750 TBE719667:TBE719750 SRI719667:SRI719750 SHM719667:SHM719750 RXQ719667:RXQ719750 RNU719667:RNU719750 RDY719667:RDY719750 QUC719667:QUC719750 QKG719667:QKG719750 QAK719667:QAK719750 PQO719667:PQO719750 PGS719667:PGS719750 OWW719667:OWW719750 ONA719667:ONA719750 ODE719667:ODE719750 NTI719667:NTI719750 NJM719667:NJM719750 MZQ719667:MZQ719750 MPU719667:MPU719750 MFY719667:MFY719750 LWC719667:LWC719750 LMG719667:LMG719750 LCK719667:LCK719750 KSO719667:KSO719750 KIS719667:KIS719750 JYW719667:JYW719750 JPA719667:JPA719750 JFE719667:JFE719750 IVI719667:IVI719750 ILM719667:ILM719750 IBQ719667:IBQ719750 HRU719667:HRU719750 HHY719667:HHY719750 GYC719667:GYC719750 GOG719667:GOG719750 GEK719667:GEK719750 FUO719667:FUO719750 FKS719667:FKS719750 FAW719667:FAW719750 ERA719667:ERA719750 EHE719667:EHE719750 DXI719667:DXI719750 DNM719667:DNM719750 DDQ719667:DDQ719750 CTU719667:CTU719750 CJY719667:CJY719750 CAC719667:CAC719750 BQG719667:BQG719750 BGK719667:BGK719750 AWO719667:AWO719750 AMS719667:AMS719750 ACW719667:ACW719750 TA719667:TA719750 JE719667:JE719750 I719688:I719771 WVQ654131:WVQ654214 WLU654131:WLU654214 WBY654131:WBY654214 VSC654131:VSC654214 VIG654131:VIG654214 UYK654131:UYK654214 UOO654131:UOO654214 UES654131:UES654214 TUW654131:TUW654214 TLA654131:TLA654214 TBE654131:TBE654214 SRI654131:SRI654214 SHM654131:SHM654214 RXQ654131:RXQ654214 RNU654131:RNU654214 RDY654131:RDY654214 QUC654131:QUC654214 QKG654131:QKG654214 QAK654131:QAK654214 PQO654131:PQO654214 PGS654131:PGS654214 OWW654131:OWW654214 ONA654131:ONA654214 ODE654131:ODE654214 NTI654131:NTI654214 NJM654131:NJM654214 MZQ654131:MZQ654214 MPU654131:MPU654214 MFY654131:MFY654214 LWC654131:LWC654214 LMG654131:LMG654214 LCK654131:LCK654214 KSO654131:KSO654214 KIS654131:KIS654214 JYW654131:JYW654214 JPA654131:JPA654214 JFE654131:JFE654214 IVI654131:IVI654214 ILM654131:ILM654214 IBQ654131:IBQ654214 HRU654131:HRU654214 HHY654131:HHY654214 GYC654131:GYC654214 GOG654131:GOG654214 GEK654131:GEK654214 FUO654131:FUO654214 FKS654131:FKS654214 FAW654131:FAW654214 ERA654131:ERA654214 EHE654131:EHE654214 DXI654131:DXI654214 DNM654131:DNM654214 DDQ654131:DDQ654214 CTU654131:CTU654214 CJY654131:CJY654214 CAC654131:CAC654214 BQG654131:BQG654214 BGK654131:BGK654214 AWO654131:AWO654214 AMS654131:AMS654214 ACW654131:ACW654214 TA654131:TA654214 JE654131:JE654214 I654152:I654235 WVQ588595:WVQ588678 WLU588595:WLU588678 WBY588595:WBY588678 VSC588595:VSC588678 VIG588595:VIG588678 UYK588595:UYK588678 UOO588595:UOO588678 UES588595:UES588678 TUW588595:TUW588678 TLA588595:TLA588678 TBE588595:TBE588678 SRI588595:SRI588678 SHM588595:SHM588678 RXQ588595:RXQ588678 RNU588595:RNU588678 RDY588595:RDY588678 QUC588595:QUC588678 QKG588595:QKG588678 QAK588595:QAK588678 PQO588595:PQO588678 PGS588595:PGS588678 OWW588595:OWW588678 ONA588595:ONA588678 ODE588595:ODE588678 NTI588595:NTI588678 NJM588595:NJM588678 MZQ588595:MZQ588678 MPU588595:MPU588678 MFY588595:MFY588678 LWC588595:LWC588678 LMG588595:LMG588678 LCK588595:LCK588678 KSO588595:KSO588678 KIS588595:KIS588678 JYW588595:JYW588678 JPA588595:JPA588678 JFE588595:JFE588678 IVI588595:IVI588678 ILM588595:ILM588678 IBQ588595:IBQ588678 HRU588595:HRU588678 HHY588595:HHY588678 GYC588595:GYC588678 GOG588595:GOG588678 GEK588595:GEK588678 FUO588595:FUO588678 FKS588595:FKS588678 FAW588595:FAW588678 ERA588595:ERA588678 EHE588595:EHE588678 DXI588595:DXI588678 DNM588595:DNM588678 DDQ588595:DDQ588678 CTU588595:CTU588678 CJY588595:CJY588678 CAC588595:CAC588678 BQG588595:BQG588678 BGK588595:BGK588678 AWO588595:AWO588678 AMS588595:AMS588678 ACW588595:ACW588678 TA588595:TA588678 JE588595:JE588678 I588616:I588699 WVQ523059:WVQ523142 WLU523059:WLU523142 WBY523059:WBY523142 VSC523059:VSC523142 VIG523059:VIG523142 UYK523059:UYK523142 UOO523059:UOO523142 UES523059:UES523142 TUW523059:TUW523142 TLA523059:TLA523142 TBE523059:TBE523142 SRI523059:SRI523142 SHM523059:SHM523142 RXQ523059:RXQ523142 RNU523059:RNU523142 RDY523059:RDY523142 QUC523059:QUC523142 QKG523059:QKG523142 QAK523059:QAK523142 PQO523059:PQO523142 PGS523059:PGS523142 OWW523059:OWW523142 ONA523059:ONA523142 ODE523059:ODE523142 NTI523059:NTI523142 NJM523059:NJM523142 MZQ523059:MZQ523142 MPU523059:MPU523142 MFY523059:MFY523142 LWC523059:LWC523142 LMG523059:LMG523142 LCK523059:LCK523142 KSO523059:KSO523142 KIS523059:KIS523142 JYW523059:JYW523142 JPA523059:JPA523142 JFE523059:JFE523142 IVI523059:IVI523142 ILM523059:ILM523142 IBQ523059:IBQ523142 HRU523059:HRU523142 HHY523059:HHY523142 GYC523059:GYC523142 GOG523059:GOG523142 GEK523059:GEK523142 FUO523059:FUO523142 FKS523059:FKS523142 FAW523059:FAW523142 ERA523059:ERA523142 EHE523059:EHE523142 DXI523059:DXI523142 DNM523059:DNM523142 DDQ523059:DDQ523142 CTU523059:CTU523142 CJY523059:CJY523142 CAC523059:CAC523142 BQG523059:BQG523142 BGK523059:BGK523142 AWO523059:AWO523142 AMS523059:AMS523142 ACW523059:ACW523142 TA523059:TA523142 JE523059:JE523142 I523080:I523163 WVQ457523:WVQ457606 WLU457523:WLU457606 WBY457523:WBY457606 VSC457523:VSC457606 VIG457523:VIG457606 UYK457523:UYK457606 UOO457523:UOO457606 UES457523:UES457606 TUW457523:TUW457606 TLA457523:TLA457606 TBE457523:TBE457606 SRI457523:SRI457606 SHM457523:SHM457606 RXQ457523:RXQ457606 RNU457523:RNU457606 RDY457523:RDY457606 QUC457523:QUC457606 QKG457523:QKG457606 QAK457523:QAK457606 PQO457523:PQO457606 PGS457523:PGS457606 OWW457523:OWW457606 ONA457523:ONA457606 ODE457523:ODE457606 NTI457523:NTI457606 NJM457523:NJM457606 MZQ457523:MZQ457606 MPU457523:MPU457606 MFY457523:MFY457606 LWC457523:LWC457606 LMG457523:LMG457606 LCK457523:LCK457606 KSO457523:KSO457606 KIS457523:KIS457606 JYW457523:JYW457606 JPA457523:JPA457606 JFE457523:JFE457606 IVI457523:IVI457606 ILM457523:ILM457606 IBQ457523:IBQ457606 HRU457523:HRU457606 HHY457523:HHY457606 GYC457523:GYC457606 GOG457523:GOG457606 GEK457523:GEK457606 FUO457523:FUO457606 FKS457523:FKS457606 FAW457523:FAW457606 ERA457523:ERA457606 EHE457523:EHE457606 DXI457523:DXI457606 DNM457523:DNM457606 DDQ457523:DDQ457606 CTU457523:CTU457606 CJY457523:CJY457606 CAC457523:CAC457606 BQG457523:BQG457606 BGK457523:BGK457606 AWO457523:AWO457606 AMS457523:AMS457606 ACW457523:ACW457606 TA457523:TA457606 JE457523:JE457606 I457544:I457627 WVQ391987:WVQ392070 WLU391987:WLU392070 WBY391987:WBY392070 VSC391987:VSC392070 VIG391987:VIG392070 UYK391987:UYK392070 UOO391987:UOO392070 UES391987:UES392070 TUW391987:TUW392070 TLA391987:TLA392070 TBE391987:TBE392070 SRI391987:SRI392070 SHM391987:SHM392070 RXQ391987:RXQ392070 RNU391987:RNU392070 RDY391987:RDY392070 QUC391987:QUC392070 QKG391987:QKG392070 QAK391987:QAK392070 PQO391987:PQO392070 PGS391987:PGS392070 OWW391987:OWW392070 ONA391987:ONA392070 ODE391987:ODE392070 NTI391987:NTI392070 NJM391987:NJM392070 MZQ391987:MZQ392070 MPU391987:MPU392070 MFY391987:MFY392070 LWC391987:LWC392070 LMG391987:LMG392070 LCK391987:LCK392070 KSO391987:KSO392070 KIS391987:KIS392070 JYW391987:JYW392070 JPA391987:JPA392070 JFE391987:JFE392070 IVI391987:IVI392070 ILM391987:ILM392070 IBQ391987:IBQ392070 HRU391987:HRU392070 HHY391987:HHY392070 GYC391987:GYC392070 GOG391987:GOG392070 GEK391987:GEK392070 FUO391987:FUO392070 FKS391987:FKS392070 FAW391987:FAW392070 ERA391987:ERA392070 EHE391987:EHE392070 DXI391987:DXI392070 DNM391987:DNM392070 DDQ391987:DDQ392070 CTU391987:CTU392070 CJY391987:CJY392070 CAC391987:CAC392070 BQG391987:BQG392070 BGK391987:BGK392070 AWO391987:AWO392070 AMS391987:AMS392070 ACW391987:ACW392070 TA391987:TA392070 JE391987:JE392070 I392008:I392091 WVQ326451:WVQ326534 WLU326451:WLU326534 WBY326451:WBY326534 VSC326451:VSC326534 VIG326451:VIG326534 UYK326451:UYK326534 UOO326451:UOO326534 UES326451:UES326534 TUW326451:TUW326534 TLA326451:TLA326534 TBE326451:TBE326534 SRI326451:SRI326534 SHM326451:SHM326534 RXQ326451:RXQ326534 RNU326451:RNU326534 RDY326451:RDY326534 QUC326451:QUC326534 QKG326451:QKG326534 QAK326451:QAK326534 PQO326451:PQO326534 PGS326451:PGS326534 OWW326451:OWW326534 ONA326451:ONA326534 ODE326451:ODE326534 NTI326451:NTI326534 NJM326451:NJM326534 MZQ326451:MZQ326534 MPU326451:MPU326534 MFY326451:MFY326534 LWC326451:LWC326534 LMG326451:LMG326534 LCK326451:LCK326534 KSO326451:KSO326534 KIS326451:KIS326534 JYW326451:JYW326534 JPA326451:JPA326534 JFE326451:JFE326534 IVI326451:IVI326534 ILM326451:ILM326534 IBQ326451:IBQ326534 HRU326451:HRU326534 HHY326451:HHY326534 GYC326451:GYC326534 GOG326451:GOG326534 GEK326451:GEK326534 FUO326451:FUO326534 FKS326451:FKS326534 FAW326451:FAW326534 ERA326451:ERA326534 EHE326451:EHE326534 DXI326451:DXI326534 DNM326451:DNM326534 DDQ326451:DDQ326534 CTU326451:CTU326534 CJY326451:CJY326534 CAC326451:CAC326534 BQG326451:BQG326534 BGK326451:BGK326534 AWO326451:AWO326534 AMS326451:AMS326534 ACW326451:ACW326534 TA326451:TA326534 JE326451:JE326534 I326472:I326555 WVQ260915:WVQ260998 WLU260915:WLU260998 WBY260915:WBY260998 VSC260915:VSC260998 VIG260915:VIG260998 UYK260915:UYK260998 UOO260915:UOO260998 UES260915:UES260998 TUW260915:TUW260998 TLA260915:TLA260998 TBE260915:TBE260998 SRI260915:SRI260998 SHM260915:SHM260998 RXQ260915:RXQ260998 RNU260915:RNU260998 RDY260915:RDY260998 QUC260915:QUC260998 QKG260915:QKG260998 QAK260915:QAK260998 PQO260915:PQO260998 PGS260915:PGS260998 OWW260915:OWW260998 ONA260915:ONA260998 ODE260915:ODE260998 NTI260915:NTI260998 NJM260915:NJM260998 MZQ260915:MZQ260998 MPU260915:MPU260998 MFY260915:MFY260998 LWC260915:LWC260998 LMG260915:LMG260998 LCK260915:LCK260998 KSO260915:KSO260998 KIS260915:KIS260998 JYW260915:JYW260998 JPA260915:JPA260998 JFE260915:JFE260998 IVI260915:IVI260998 ILM260915:ILM260998 IBQ260915:IBQ260998 HRU260915:HRU260998 HHY260915:HHY260998 GYC260915:GYC260998 GOG260915:GOG260998 GEK260915:GEK260998 FUO260915:FUO260998 FKS260915:FKS260998 FAW260915:FAW260998 ERA260915:ERA260998 EHE260915:EHE260998 DXI260915:DXI260998 DNM260915:DNM260998 DDQ260915:DDQ260998 CTU260915:CTU260998 CJY260915:CJY260998 CAC260915:CAC260998 BQG260915:BQG260998 BGK260915:BGK260998 AWO260915:AWO260998 AMS260915:AMS260998 ACW260915:ACW260998 TA260915:TA260998 JE260915:JE260998 I260936:I261019 WVQ195379:WVQ195462 WLU195379:WLU195462 WBY195379:WBY195462 VSC195379:VSC195462 VIG195379:VIG195462 UYK195379:UYK195462 UOO195379:UOO195462 UES195379:UES195462 TUW195379:TUW195462 TLA195379:TLA195462 TBE195379:TBE195462 SRI195379:SRI195462 SHM195379:SHM195462 RXQ195379:RXQ195462 RNU195379:RNU195462 RDY195379:RDY195462 QUC195379:QUC195462 QKG195379:QKG195462 QAK195379:QAK195462 PQO195379:PQO195462 PGS195379:PGS195462 OWW195379:OWW195462 ONA195379:ONA195462 ODE195379:ODE195462 NTI195379:NTI195462 NJM195379:NJM195462 MZQ195379:MZQ195462 MPU195379:MPU195462 MFY195379:MFY195462 LWC195379:LWC195462 LMG195379:LMG195462 LCK195379:LCK195462 KSO195379:KSO195462 KIS195379:KIS195462 JYW195379:JYW195462 JPA195379:JPA195462 JFE195379:JFE195462 IVI195379:IVI195462 ILM195379:ILM195462 IBQ195379:IBQ195462 HRU195379:HRU195462 HHY195379:HHY195462 GYC195379:GYC195462 GOG195379:GOG195462 GEK195379:GEK195462 FUO195379:FUO195462 FKS195379:FKS195462 FAW195379:FAW195462 ERA195379:ERA195462 EHE195379:EHE195462 DXI195379:DXI195462 DNM195379:DNM195462 DDQ195379:DDQ195462 CTU195379:CTU195462 CJY195379:CJY195462 CAC195379:CAC195462 BQG195379:BQG195462 BGK195379:BGK195462 AWO195379:AWO195462 AMS195379:AMS195462 ACW195379:ACW195462 TA195379:TA195462 JE195379:JE195462 I195400:I195483 WVQ129843:WVQ129926 WLU129843:WLU129926 WBY129843:WBY129926 VSC129843:VSC129926 VIG129843:VIG129926 UYK129843:UYK129926 UOO129843:UOO129926 UES129843:UES129926 TUW129843:TUW129926 TLA129843:TLA129926 TBE129843:TBE129926 SRI129843:SRI129926 SHM129843:SHM129926 RXQ129843:RXQ129926 RNU129843:RNU129926 RDY129843:RDY129926 QUC129843:QUC129926 QKG129843:QKG129926 QAK129843:QAK129926 PQO129843:PQO129926 PGS129843:PGS129926 OWW129843:OWW129926 ONA129843:ONA129926 ODE129843:ODE129926 NTI129843:NTI129926 NJM129843:NJM129926 MZQ129843:MZQ129926 MPU129843:MPU129926 MFY129843:MFY129926 LWC129843:LWC129926 LMG129843:LMG129926 LCK129843:LCK129926 KSO129843:KSO129926 KIS129843:KIS129926 JYW129843:JYW129926 JPA129843:JPA129926 JFE129843:JFE129926 IVI129843:IVI129926 ILM129843:ILM129926 IBQ129843:IBQ129926 HRU129843:HRU129926 HHY129843:HHY129926 GYC129843:GYC129926 GOG129843:GOG129926 GEK129843:GEK129926 FUO129843:FUO129926 FKS129843:FKS129926 FAW129843:FAW129926 ERA129843:ERA129926 EHE129843:EHE129926 DXI129843:DXI129926 DNM129843:DNM129926 DDQ129843:DDQ129926 CTU129843:CTU129926 CJY129843:CJY129926 CAC129843:CAC129926 BQG129843:BQG129926 BGK129843:BGK129926 AWO129843:AWO129926 AMS129843:AMS129926 ACW129843:ACW129926 TA129843:TA129926 JE129843:JE129926 I129864:I129947 WVQ64307:WVQ64390 WLU64307:WLU64390 WBY64307:WBY64390 VSC64307:VSC64390 VIG64307:VIG64390 UYK64307:UYK64390 UOO64307:UOO64390 UES64307:UES64390 TUW64307:TUW64390 TLA64307:TLA64390 TBE64307:TBE64390 SRI64307:SRI64390 SHM64307:SHM64390 RXQ64307:RXQ64390 RNU64307:RNU64390 RDY64307:RDY64390 QUC64307:QUC64390 QKG64307:QKG64390 QAK64307:QAK64390 PQO64307:PQO64390 PGS64307:PGS64390 OWW64307:OWW64390 ONA64307:ONA64390 ODE64307:ODE64390 NTI64307:NTI64390 NJM64307:NJM64390 MZQ64307:MZQ64390 MPU64307:MPU64390 MFY64307:MFY64390 LWC64307:LWC64390 LMG64307:LMG64390 LCK64307:LCK64390 KSO64307:KSO64390 KIS64307:KIS64390 JYW64307:JYW64390 JPA64307:JPA64390 JFE64307:JFE64390 IVI64307:IVI64390 ILM64307:ILM64390 IBQ64307:IBQ64390 HRU64307:HRU64390 HHY64307:HHY64390 GYC64307:GYC64390 GOG64307:GOG64390 GEK64307:GEK64390 FUO64307:FUO64390 FKS64307:FKS64390 FAW64307:FAW64390 ERA64307:ERA64390 EHE64307:EHE64390 DXI64307:DXI64390 DNM64307:DNM64390 DDQ64307:DDQ64390 CTU64307:CTU64390 CJY64307:CJY64390 CAC64307:CAC64390 BQG64307:BQG64390 BGK64307:BGK64390 AWO64307:AWO64390 AMS64307:AMS64390 ACW64307:ACW64390 TA64307:TA64390 JE64307:JE64390 I64328:I64411 I102:I506 JE2:JE79 WVQ2:WVQ79 WLU2:WLU79 WBY2:WBY79 VSC2:VSC79 VIG2:VIG79 UYK2:UYK79 UOO2:UOO79 UES2:UES79 TUW2:TUW79 TLA2:TLA79 TBE2:TBE79 SRI2:SRI79 SHM2:SHM79 RXQ2:RXQ79 RNU2:RNU79 RDY2:RDY79 QUC2:QUC79 QKG2:QKG79 QAK2:QAK79 PQO2:PQO79 PGS2:PGS79 OWW2:OWW79 ONA2:ONA79 ODE2:ODE79 NTI2:NTI79 NJM2:NJM79 MZQ2:MZQ79 MPU2:MPU79 MFY2:MFY79 LWC2:LWC79 LMG2:LMG79 LCK2:LCK79 KSO2:KSO79 KIS2:KIS79 JYW2:JYW79 JPA2:JPA79 JFE2:JFE79 IVI2:IVI79 ILM2:ILM79 IBQ2:IBQ79 HRU2:HRU79 HHY2:HHY79 GYC2:GYC79 GOG2:GOG79 GEK2:GEK79 FUO2:FUO79 FKS2:FKS79 FAW2:FAW79 ERA2:ERA79 EHE2:EHE79 DXI2:DXI79 DNM2:DNM79 DDQ2:DDQ79 CTU2:CTU79 CJY2:CJY79 CAC2:CAC79 BQG2:BQG79 BGK2:BGK79 AWO2:AWO79 AMS2:AMS79 ACW2:ACW79 TA2:TA79 I2:I100" xr:uid="{B60793B8-2F4B-4CA4-BD19-520C058D77FB}">
      <formula1>$AN$5:$AN$6</formula1>
    </dataValidation>
    <dataValidation type="list" allowBlank="1" showInputMessage="1" showErrorMessage="1" sqref="WWG981811:WWI981894 WCO981811:WCQ981894 WMK981811:WMM981894 Y64307:AA64390 JU64307:JW64390 TQ64307:TS64390 ADM64307:ADO64390 ANI64307:ANK64390 AXE64307:AXG64390 BHA64307:BHC64390 BQW64307:BQY64390 CAS64307:CAU64390 CKO64307:CKQ64390 CUK64307:CUM64390 DEG64307:DEI64390 DOC64307:DOE64390 DXY64307:DYA64390 EHU64307:EHW64390 ERQ64307:ERS64390 FBM64307:FBO64390 FLI64307:FLK64390 FVE64307:FVG64390 GFA64307:GFC64390 GOW64307:GOY64390 GYS64307:GYU64390 HIO64307:HIQ64390 HSK64307:HSM64390 ICG64307:ICI64390 IMC64307:IME64390 IVY64307:IWA64390 JFU64307:JFW64390 JPQ64307:JPS64390 JZM64307:JZO64390 KJI64307:KJK64390 KTE64307:KTG64390 LDA64307:LDC64390 LMW64307:LMY64390 LWS64307:LWU64390 MGO64307:MGQ64390 MQK64307:MQM64390 NAG64307:NAI64390 NKC64307:NKE64390 NTY64307:NUA64390 ODU64307:ODW64390 ONQ64307:ONS64390 OXM64307:OXO64390 PHI64307:PHK64390 PRE64307:PRG64390 QBA64307:QBC64390 QKW64307:QKY64390 QUS64307:QUU64390 REO64307:REQ64390 ROK64307:ROM64390 RYG64307:RYI64390 SIC64307:SIE64390 SRY64307:SSA64390 TBU64307:TBW64390 TLQ64307:TLS64390 TVM64307:TVO64390 UFI64307:UFK64390 UPE64307:UPG64390 UZA64307:UZC64390 VIW64307:VIY64390 VSS64307:VSU64390 WCO64307:WCQ64390 WMK64307:WMM64390 WWG64307:WWI64390 Y129843:AA129926 JU129843:JW129926 TQ129843:TS129926 ADM129843:ADO129926 ANI129843:ANK129926 AXE129843:AXG129926 BHA129843:BHC129926 BQW129843:BQY129926 CAS129843:CAU129926 CKO129843:CKQ129926 CUK129843:CUM129926 DEG129843:DEI129926 DOC129843:DOE129926 DXY129843:DYA129926 EHU129843:EHW129926 ERQ129843:ERS129926 FBM129843:FBO129926 FLI129843:FLK129926 FVE129843:FVG129926 GFA129843:GFC129926 GOW129843:GOY129926 GYS129843:GYU129926 HIO129843:HIQ129926 HSK129843:HSM129926 ICG129843:ICI129926 IMC129843:IME129926 IVY129843:IWA129926 JFU129843:JFW129926 JPQ129843:JPS129926 JZM129843:JZO129926 KJI129843:KJK129926 KTE129843:KTG129926 LDA129843:LDC129926 LMW129843:LMY129926 LWS129843:LWU129926 MGO129843:MGQ129926 MQK129843:MQM129926 NAG129843:NAI129926 NKC129843:NKE129926 NTY129843:NUA129926 ODU129843:ODW129926 ONQ129843:ONS129926 OXM129843:OXO129926 PHI129843:PHK129926 PRE129843:PRG129926 QBA129843:QBC129926 QKW129843:QKY129926 QUS129843:QUU129926 REO129843:REQ129926 ROK129843:ROM129926 RYG129843:RYI129926 SIC129843:SIE129926 SRY129843:SSA129926 TBU129843:TBW129926 TLQ129843:TLS129926 TVM129843:TVO129926 UFI129843:UFK129926 UPE129843:UPG129926 UZA129843:UZC129926 VIW129843:VIY129926 VSS129843:VSU129926 WCO129843:WCQ129926 WMK129843:WMM129926 WWG129843:WWI129926 Y195379:AA195462 JU195379:JW195462 TQ195379:TS195462 ADM195379:ADO195462 ANI195379:ANK195462 AXE195379:AXG195462 BHA195379:BHC195462 BQW195379:BQY195462 CAS195379:CAU195462 CKO195379:CKQ195462 CUK195379:CUM195462 DEG195379:DEI195462 DOC195379:DOE195462 DXY195379:DYA195462 EHU195379:EHW195462 ERQ195379:ERS195462 FBM195379:FBO195462 FLI195379:FLK195462 FVE195379:FVG195462 GFA195379:GFC195462 GOW195379:GOY195462 GYS195379:GYU195462 HIO195379:HIQ195462 HSK195379:HSM195462 ICG195379:ICI195462 IMC195379:IME195462 IVY195379:IWA195462 JFU195379:JFW195462 JPQ195379:JPS195462 JZM195379:JZO195462 KJI195379:KJK195462 KTE195379:KTG195462 LDA195379:LDC195462 LMW195379:LMY195462 LWS195379:LWU195462 MGO195379:MGQ195462 MQK195379:MQM195462 NAG195379:NAI195462 NKC195379:NKE195462 NTY195379:NUA195462 ODU195379:ODW195462 ONQ195379:ONS195462 OXM195379:OXO195462 PHI195379:PHK195462 PRE195379:PRG195462 QBA195379:QBC195462 QKW195379:QKY195462 QUS195379:QUU195462 REO195379:REQ195462 ROK195379:ROM195462 RYG195379:RYI195462 SIC195379:SIE195462 SRY195379:SSA195462 TBU195379:TBW195462 TLQ195379:TLS195462 TVM195379:TVO195462 UFI195379:UFK195462 UPE195379:UPG195462 UZA195379:UZC195462 VIW195379:VIY195462 VSS195379:VSU195462 WCO195379:WCQ195462 WMK195379:WMM195462 WWG195379:WWI195462 Y260915:AA260998 JU260915:JW260998 TQ260915:TS260998 ADM260915:ADO260998 ANI260915:ANK260998 AXE260915:AXG260998 BHA260915:BHC260998 BQW260915:BQY260998 CAS260915:CAU260998 CKO260915:CKQ260998 CUK260915:CUM260998 DEG260915:DEI260998 DOC260915:DOE260998 DXY260915:DYA260998 EHU260915:EHW260998 ERQ260915:ERS260998 FBM260915:FBO260998 FLI260915:FLK260998 FVE260915:FVG260998 GFA260915:GFC260998 GOW260915:GOY260998 GYS260915:GYU260998 HIO260915:HIQ260998 HSK260915:HSM260998 ICG260915:ICI260998 IMC260915:IME260998 IVY260915:IWA260998 JFU260915:JFW260998 JPQ260915:JPS260998 JZM260915:JZO260998 KJI260915:KJK260998 KTE260915:KTG260998 LDA260915:LDC260998 LMW260915:LMY260998 LWS260915:LWU260998 MGO260915:MGQ260998 MQK260915:MQM260998 NAG260915:NAI260998 NKC260915:NKE260998 NTY260915:NUA260998 ODU260915:ODW260998 ONQ260915:ONS260998 OXM260915:OXO260998 PHI260915:PHK260998 PRE260915:PRG260998 QBA260915:QBC260998 QKW260915:QKY260998 QUS260915:QUU260998 REO260915:REQ260998 ROK260915:ROM260998 RYG260915:RYI260998 SIC260915:SIE260998 SRY260915:SSA260998 TBU260915:TBW260998 TLQ260915:TLS260998 TVM260915:TVO260998 UFI260915:UFK260998 UPE260915:UPG260998 UZA260915:UZC260998 VIW260915:VIY260998 VSS260915:VSU260998 WCO260915:WCQ260998 WMK260915:WMM260998 WWG260915:WWI260998 Y326451:AA326534 JU326451:JW326534 TQ326451:TS326534 ADM326451:ADO326534 ANI326451:ANK326534 AXE326451:AXG326534 BHA326451:BHC326534 BQW326451:BQY326534 CAS326451:CAU326534 CKO326451:CKQ326534 CUK326451:CUM326534 DEG326451:DEI326534 DOC326451:DOE326534 DXY326451:DYA326534 EHU326451:EHW326534 ERQ326451:ERS326534 FBM326451:FBO326534 FLI326451:FLK326534 FVE326451:FVG326534 GFA326451:GFC326534 GOW326451:GOY326534 GYS326451:GYU326534 HIO326451:HIQ326534 HSK326451:HSM326534 ICG326451:ICI326534 IMC326451:IME326534 IVY326451:IWA326534 JFU326451:JFW326534 JPQ326451:JPS326534 JZM326451:JZO326534 KJI326451:KJK326534 KTE326451:KTG326534 LDA326451:LDC326534 LMW326451:LMY326534 LWS326451:LWU326534 MGO326451:MGQ326534 MQK326451:MQM326534 NAG326451:NAI326534 NKC326451:NKE326534 NTY326451:NUA326534 ODU326451:ODW326534 ONQ326451:ONS326534 OXM326451:OXO326534 PHI326451:PHK326534 PRE326451:PRG326534 QBA326451:QBC326534 QKW326451:QKY326534 QUS326451:QUU326534 REO326451:REQ326534 ROK326451:ROM326534 RYG326451:RYI326534 SIC326451:SIE326534 SRY326451:SSA326534 TBU326451:TBW326534 TLQ326451:TLS326534 TVM326451:TVO326534 UFI326451:UFK326534 UPE326451:UPG326534 UZA326451:UZC326534 VIW326451:VIY326534 VSS326451:VSU326534 WCO326451:WCQ326534 WMK326451:WMM326534 WWG326451:WWI326534 Y391987:AA392070 JU391987:JW392070 TQ391987:TS392070 ADM391987:ADO392070 ANI391987:ANK392070 AXE391987:AXG392070 BHA391987:BHC392070 BQW391987:BQY392070 CAS391987:CAU392070 CKO391987:CKQ392070 CUK391987:CUM392070 DEG391987:DEI392070 DOC391987:DOE392070 DXY391987:DYA392070 EHU391987:EHW392070 ERQ391987:ERS392070 FBM391987:FBO392070 FLI391987:FLK392070 FVE391987:FVG392070 GFA391987:GFC392070 GOW391987:GOY392070 GYS391987:GYU392070 HIO391987:HIQ392070 HSK391987:HSM392070 ICG391987:ICI392070 IMC391987:IME392070 IVY391987:IWA392070 JFU391987:JFW392070 JPQ391987:JPS392070 JZM391987:JZO392070 KJI391987:KJK392070 KTE391987:KTG392070 LDA391987:LDC392070 LMW391987:LMY392070 LWS391987:LWU392070 MGO391987:MGQ392070 MQK391987:MQM392070 NAG391987:NAI392070 NKC391987:NKE392070 NTY391987:NUA392070 ODU391987:ODW392070 ONQ391987:ONS392070 OXM391987:OXO392070 PHI391987:PHK392070 PRE391987:PRG392070 QBA391987:QBC392070 QKW391987:QKY392070 QUS391987:QUU392070 REO391987:REQ392070 ROK391987:ROM392070 RYG391987:RYI392070 SIC391987:SIE392070 SRY391987:SSA392070 TBU391987:TBW392070 TLQ391987:TLS392070 TVM391987:TVO392070 UFI391987:UFK392070 UPE391987:UPG392070 UZA391987:UZC392070 VIW391987:VIY392070 VSS391987:VSU392070 WCO391987:WCQ392070 WMK391987:WMM392070 WWG391987:WWI392070 Y457523:AA457606 JU457523:JW457606 TQ457523:TS457606 ADM457523:ADO457606 ANI457523:ANK457606 AXE457523:AXG457606 BHA457523:BHC457606 BQW457523:BQY457606 CAS457523:CAU457606 CKO457523:CKQ457606 CUK457523:CUM457606 DEG457523:DEI457606 DOC457523:DOE457606 DXY457523:DYA457606 EHU457523:EHW457606 ERQ457523:ERS457606 FBM457523:FBO457606 FLI457523:FLK457606 FVE457523:FVG457606 GFA457523:GFC457606 GOW457523:GOY457606 GYS457523:GYU457606 HIO457523:HIQ457606 HSK457523:HSM457606 ICG457523:ICI457606 IMC457523:IME457606 IVY457523:IWA457606 JFU457523:JFW457606 JPQ457523:JPS457606 JZM457523:JZO457606 KJI457523:KJK457606 KTE457523:KTG457606 LDA457523:LDC457606 LMW457523:LMY457606 LWS457523:LWU457606 MGO457523:MGQ457606 MQK457523:MQM457606 NAG457523:NAI457606 NKC457523:NKE457606 NTY457523:NUA457606 ODU457523:ODW457606 ONQ457523:ONS457606 OXM457523:OXO457606 PHI457523:PHK457606 PRE457523:PRG457606 QBA457523:QBC457606 QKW457523:QKY457606 QUS457523:QUU457606 REO457523:REQ457606 ROK457523:ROM457606 RYG457523:RYI457606 SIC457523:SIE457606 SRY457523:SSA457606 TBU457523:TBW457606 TLQ457523:TLS457606 TVM457523:TVO457606 UFI457523:UFK457606 UPE457523:UPG457606 UZA457523:UZC457606 VIW457523:VIY457606 VSS457523:VSU457606 WCO457523:WCQ457606 WMK457523:WMM457606 WWG457523:WWI457606 Y523059:AA523142 JU523059:JW523142 TQ523059:TS523142 ADM523059:ADO523142 ANI523059:ANK523142 AXE523059:AXG523142 BHA523059:BHC523142 BQW523059:BQY523142 CAS523059:CAU523142 CKO523059:CKQ523142 CUK523059:CUM523142 DEG523059:DEI523142 DOC523059:DOE523142 DXY523059:DYA523142 EHU523059:EHW523142 ERQ523059:ERS523142 FBM523059:FBO523142 FLI523059:FLK523142 FVE523059:FVG523142 GFA523059:GFC523142 GOW523059:GOY523142 GYS523059:GYU523142 HIO523059:HIQ523142 HSK523059:HSM523142 ICG523059:ICI523142 IMC523059:IME523142 IVY523059:IWA523142 JFU523059:JFW523142 JPQ523059:JPS523142 JZM523059:JZO523142 KJI523059:KJK523142 KTE523059:KTG523142 LDA523059:LDC523142 LMW523059:LMY523142 LWS523059:LWU523142 MGO523059:MGQ523142 MQK523059:MQM523142 NAG523059:NAI523142 NKC523059:NKE523142 NTY523059:NUA523142 ODU523059:ODW523142 ONQ523059:ONS523142 OXM523059:OXO523142 PHI523059:PHK523142 PRE523059:PRG523142 QBA523059:QBC523142 QKW523059:QKY523142 QUS523059:QUU523142 REO523059:REQ523142 ROK523059:ROM523142 RYG523059:RYI523142 SIC523059:SIE523142 SRY523059:SSA523142 TBU523059:TBW523142 TLQ523059:TLS523142 TVM523059:TVO523142 UFI523059:UFK523142 UPE523059:UPG523142 UZA523059:UZC523142 VIW523059:VIY523142 VSS523059:VSU523142 WCO523059:WCQ523142 WMK523059:WMM523142 WWG523059:WWI523142 Y588595:AA588678 JU588595:JW588678 TQ588595:TS588678 ADM588595:ADO588678 ANI588595:ANK588678 AXE588595:AXG588678 BHA588595:BHC588678 BQW588595:BQY588678 CAS588595:CAU588678 CKO588595:CKQ588678 CUK588595:CUM588678 DEG588595:DEI588678 DOC588595:DOE588678 DXY588595:DYA588678 EHU588595:EHW588678 ERQ588595:ERS588678 FBM588595:FBO588678 FLI588595:FLK588678 FVE588595:FVG588678 GFA588595:GFC588678 GOW588595:GOY588678 GYS588595:GYU588678 HIO588595:HIQ588678 HSK588595:HSM588678 ICG588595:ICI588678 IMC588595:IME588678 IVY588595:IWA588678 JFU588595:JFW588678 JPQ588595:JPS588678 JZM588595:JZO588678 KJI588595:KJK588678 KTE588595:KTG588678 LDA588595:LDC588678 LMW588595:LMY588678 LWS588595:LWU588678 MGO588595:MGQ588678 MQK588595:MQM588678 NAG588595:NAI588678 NKC588595:NKE588678 NTY588595:NUA588678 ODU588595:ODW588678 ONQ588595:ONS588678 OXM588595:OXO588678 PHI588595:PHK588678 PRE588595:PRG588678 QBA588595:QBC588678 QKW588595:QKY588678 QUS588595:QUU588678 REO588595:REQ588678 ROK588595:ROM588678 RYG588595:RYI588678 SIC588595:SIE588678 SRY588595:SSA588678 TBU588595:TBW588678 TLQ588595:TLS588678 TVM588595:TVO588678 UFI588595:UFK588678 UPE588595:UPG588678 UZA588595:UZC588678 VIW588595:VIY588678 VSS588595:VSU588678 WCO588595:WCQ588678 WMK588595:WMM588678 WWG588595:WWI588678 Y654131:AA654214 JU654131:JW654214 TQ654131:TS654214 ADM654131:ADO654214 ANI654131:ANK654214 AXE654131:AXG654214 BHA654131:BHC654214 BQW654131:BQY654214 CAS654131:CAU654214 CKO654131:CKQ654214 CUK654131:CUM654214 DEG654131:DEI654214 DOC654131:DOE654214 DXY654131:DYA654214 EHU654131:EHW654214 ERQ654131:ERS654214 FBM654131:FBO654214 FLI654131:FLK654214 FVE654131:FVG654214 GFA654131:GFC654214 GOW654131:GOY654214 GYS654131:GYU654214 HIO654131:HIQ654214 HSK654131:HSM654214 ICG654131:ICI654214 IMC654131:IME654214 IVY654131:IWA654214 JFU654131:JFW654214 JPQ654131:JPS654214 JZM654131:JZO654214 KJI654131:KJK654214 KTE654131:KTG654214 LDA654131:LDC654214 LMW654131:LMY654214 LWS654131:LWU654214 MGO654131:MGQ654214 MQK654131:MQM654214 NAG654131:NAI654214 NKC654131:NKE654214 NTY654131:NUA654214 ODU654131:ODW654214 ONQ654131:ONS654214 OXM654131:OXO654214 PHI654131:PHK654214 PRE654131:PRG654214 QBA654131:QBC654214 QKW654131:QKY654214 QUS654131:QUU654214 REO654131:REQ654214 ROK654131:ROM654214 RYG654131:RYI654214 SIC654131:SIE654214 SRY654131:SSA654214 TBU654131:TBW654214 TLQ654131:TLS654214 TVM654131:TVO654214 UFI654131:UFK654214 UPE654131:UPG654214 UZA654131:UZC654214 VIW654131:VIY654214 VSS654131:VSU654214 WCO654131:WCQ654214 WMK654131:WMM654214 WWG654131:WWI654214 Y719667:AA719750 JU719667:JW719750 TQ719667:TS719750 ADM719667:ADO719750 ANI719667:ANK719750 AXE719667:AXG719750 BHA719667:BHC719750 BQW719667:BQY719750 CAS719667:CAU719750 CKO719667:CKQ719750 CUK719667:CUM719750 DEG719667:DEI719750 DOC719667:DOE719750 DXY719667:DYA719750 EHU719667:EHW719750 ERQ719667:ERS719750 FBM719667:FBO719750 FLI719667:FLK719750 FVE719667:FVG719750 GFA719667:GFC719750 GOW719667:GOY719750 GYS719667:GYU719750 HIO719667:HIQ719750 HSK719667:HSM719750 ICG719667:ICI719750 IMC719667:IME719750 IVY719667:IWA719750 JFU719667:JFW719750 JPQ719667:JPS719750 JZM719667:JZO719750 KJI719667:KJK719750 KTE719667:KTG719750 LDA719667:LDC719750 LMW719667:LMY719750 LWS719667:LWU719750 MGO719667:MGQ719750 MQK719667:MQM719750 NAG719667:NAI719750 NKC719667:NKE719750 NTY719667:NUA719750 ODU719667:ODW719750 ONQ719667:ONS719750 OXM719667:OXO719750 PHI719667:PHK719750 PRE719667:PRG719750 QBA719667:QBC719750 QKW719667:QKY719750 QUS719667:QUU719750 REO719667:REQ719750 ROK719667:ROM719750 RYG719667:RYI719750 SIC719667:SIE719750 SRY719667:SSA719750 TBU719667:TBW719750 TLQ719667:TLS719750 TVM719667:TVO719750 UFI719667:UFK719750 UPE719667:UPG719750 UZA719667:UZC719750 VIW719667:VIY719750 VSS719667:VSU719750 WCO719667:WCQ719750 WMK719667:WMM719750 WWG719667:WWI719750 Y785203:AA785286 JU785203:JW785286 TQ785203:TS785286 ADM785203:ADO785286 ANI785203:ANK785286 AXE785203:AXG785286 BHA785203:BHC785286 BQW785203:BQY785286 CAS785203:CAU785286 CKO785203:CKQ785286 CUK785203:CUM785286 DEG785203:DEI785286 DOC785203:DOE785286 DXY785203:DYA785286 EHU785203:EHW785286 ERQ785203:ERS785286 FBM785203:FBO785286 FLI785203:FLK785286 FVE785203:FVG785286 GFA785203:GFC785286 GOW785203:GOY785286 GYS785203:GYU785286 HIO785203:HIQ785286 HSK785203:HSM785286 ICG785203:ICI785286 IMC785203:IME785286 IVY785203:IWA785286 JFU785203:JFW785286 JPQ785203:JPS785286 JZM785203:JZO785286 KJI785203:KJK785286 KTE785203:KTG785286 LDA785203:LDC785286 LMW785203:LMY785286 LWS785203:LWU785286 MGO785203:MGQ785286 MQK785203:MQM785286 NAG785203:NAI785286 NKC785203:NKE785286 NTY785203:NUA785286 ODU785203:ODW785286 ONQ785203:ONS785286 OXM785203:OXO785286 PHI785203:PHK785286 PRE785203:PRG785286 QBA785203:QBC785286 QKW785203:QKY785286 QUS785203:QUU785286 REO785203:REQ785286 ROK785203:ROM785286 RYG785203:RYI785286 SIC785203:SIE785286 SRY785203:SSA785286 TBU785203:TBW785286 TLQ785203:TLS785286 TVM785203:TVO785286 UFI785203:UFK785286 UPE785203:UPG785286 UZA785203:UZC785286 VIW785203:VIY785286 VSS785203:VSU785286 WCO785203:WCQ785286 WMK785203:WMM785286 WWG785203:WWI785286 Y850739:AA850822 JU850739:JW850822 TQ850739:TS850822 ADM850739:ADO850822 ANI850739:ANK850822 AXE850739:AXG850822 BHA850739:BHC850822 BQW850739:BQY850822 CAS850739:CAU850822 CKO850739:CKQ850822 CUK850739:CUM850822 DEG850739:DEI850822 DOC850739:DOE850822 DXY850739:DYA850822 EHU850739:EHW850822 ERQ850739:ERS850822 FBM850739:FBO850822 FLI850739:FLK850822 FVE850739:FVG850822 GFA850739:GFC850822 GOW850739:GOY850822 GYS850739:GYU850822 HIO850739:HIQ850822 HSK850739:HSM850822 ICG850739:ICI850822 IMC850739:IME850822 IVY850739:IWA850822 JFU850739:JFW850822 JPQ850739:JPS850822 JZM850739:JZO850822 KJI850739:KJK850822 KTE850739:KTG850822 LDA850739:LDC850822 LMW850739:LMY850822 LWS850739:LWU850822 MGO850739:MGQ850822 MQK850739:MQM850822 NAG850739:NAI850822 NKC850739:NKE850822 NTY850739:NUA850822 ODU850739:ODW850822 ONQ850739:ONS850822 OXM850739:OXO850822 PHI850739:PHK850822 PRE850739:PRG850822 QBA850739:QBC850822 QKW850739:QKY850822 QUS850739:QUU850822 REO850739:REQ850822 ROK850739:ROM850822 RYG850739:RYI850822 SIC850739:SIE850822 SRY850739:SSA850822 TBU850739:TBW850822 TLQ850739:TLS850822 TVM850739:TVO850822 UFI850739:UFK850822 UPE850739:UPG850822 UZA850739:UZC850822 VIW850739:VIY850822 VSS850739:VSU850822 WCO850739:WCQ850822 WMK850739:WMM850822 WWG850739:WWI850822 Y916275:AA916358 JU916275:JW916358 TQ916275:TS916358 ADM916275:ADO916358 ANI916275:ANK916358 AXE916275:AXG916358 BHA916275:BHC916358 BQW916275:BQY916358 CAS916275:CAU916358 CKO916275:CKQ916358 CUK916275:CUM916358 DEG916275:DEI916358 DOC916275:DOE916358 DXY916275:DYA916358 EHU916275:EHW916358 ERQ916275:ERS916358 FBM916275:FBO916358 FLI916275:FLK916358 FVE916275:FVG916358 GFA916275:GFC916358 GOW916275:GOY916358 GYS916275:GYU916358 HIO916275:HIQ916358 HSK916275:HSM916358 ICG916275:ICI916358 IMC916275:IME916358 IVY916275:IWA916358 JFU916275:JFW916358 JPQ916275:JPS916358 JZM916275:JZO916358 KJI916275:KJK916358 KTE916275:KTG916358 LDA916275:LDC916358 LMW916275:LMY916358 LWS916275:LWU916358 MGO916275:MGQ916358 MQK916275:MQM916358 NAG916275:NAI916358 NKC916275:NKE916358 NTY916275:NUA916358 ODU916275:ODW916358 ONQ916275:ONS916358 OXM916275:OXO916358 PHI916275:PHK916358 PRE916275:PRG916358 QBA916275:QBC916358 QKW916275:QKY916358 QUS916275:QUU916358 REO916275:REQ916358 ROK916275:ROM916358 RYG916275:RYI916358 SIC916275:SIE916358 SRY916275:SSA916358 TBU916275:TBW916358 TLQ916275:TLS916358 TVM916275:TVO916358 UFI916275:UFK916358 UPE916275:UPG916358 UZA916275:UZC916358 VIW916275:VIY916358 VSS916275:VSU916358 WCO916275:WCQ916358 WMK916275:WMM916358 WWG916275:WWI916358 Y981811:AA981894 JU981811:JW981894 TQ981811:TS981894 ADM981811:ADO981894 ANI981811:ANK981894 AXE981811:AXG981894 BHA981811:BHC981894 BQW981811:BQY981894 CAS981811:CAU981894 CKO981811:CKQ981894 CUK981811:CUM981894 DEG981811:DEI981894 DOC981811:DOE981894 DXY981811:DYA981894 EHU981811:EHW981894 ERQ981811:ERS981894 FBM981811:FBO981894 FLI981811:FLK981894 FVE981811:FVG981894 GFA981811:GFC981894 GOW981811:GOY981894 GYS981811:GYU981894 HIO981811:HIQ981894 HSK981811:HSM981894 ICG981811:ICI981894 IMC981811:IME981894 IVY981811:IWA981894 JFU981811:JFW981894 JPQ981811:JPS981894 JZM981811:JZO981894 KJI981811:KJK981894 KTE981811:KTG981894 LDA981811:LDC981894 LMW981811:LMY981894 LWS981811:LWU981894 MGO981811:MGQ981894 MQK981811:MQM981894 NAG981811:NAI981894 NKC981811:NKE981894 NTY981811:NUA981894 ODU981811:ODW981894 ONQ981811:ONS981894 OXM981811:OXO981894 PHI981811:PHK981894 PRE981811:PRG981894 QBA981811:QBC981894 QKW981811:QKY981894 QUS981811:QUU981894 REO981811:REQ981894 ROK981811:ROM981894 RYG981811:RYI981894 SIC981811:SIE981894 SRY981811:SSA981894 TBU981811:TBW981894 TLQ981811:TLS981894 TVM981811:TVO981894 UFI981811:UFK981894 UPE981811:UPG981894 UZA981811:UZC981894 VIW981811:VIY981894 VSS981811:VSU981894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JU2:JW79" xr:uid="{4B82CECB-EA6E-49B5-9462-DF4F7449E9A9}">
      <formula1>$AV$2:$AV$22</formula1>
    </dataValidation>
    <dataValidation type="list" allowBlank="1" showInputMessage="1" showErrorMessage="1" sqref="K127:K506" xr:uid="{891B19D3-E9D6-4768-B1D3-E046895CA0AE}">
      <formula1>$AR$2:$AR$25</formula1>
    </dataValidation>
    <dataValidation type="list" allowBlank="1" showInputMessage="1" showErrorMessage="1" sqref="J102:J506 J2:J100" xr:uid="{93183437-246A-4A32-A18E-686E2D3377A3}">
      <formula1>$AP$2:$AP$27</formula1>
    </dataValidation>
    <dataValidation type="list" allowBlank="1" showInputMessage="1" showErrorMessage="1" sqref="F104:F508 F2:F102" xr:uid="{AE9B93D8-6288-4391-B615-19D35E6D084B}">
      <formula1>$AH$2:$AH$10</formula1>
    </dataValidation>
    <dataValidation type="list" allowBlank="1" showInputMessage="1" showErrorMessage="1" sqref="E104:E508 E2:E102" xr:uid="{F6CD9A2A-70D9-47CF-839F-310EB1536893}">
      <formula1>$AG$2:$AG$11</formula1>
    </dataValidation>
    <dataValidation type="list" allowBlank="1" showInputMessage="1" showErrorMessage="1" sqref="A102:A506 A2:A100" xr:uid="{65F3D4B0-8086-4DAA-93D3-137A8A540098}">
      <formula1>$AE$2:$AE$19</formula1>
    </dataValidation>
    <dataValidation type="list" allowBlank="1" showInputMessage="1" showErrorMessage="1" sqref="H102:H506 H2:H100" xr:uid="{984CC7AA-06C4-4569-AA81-9BDA72B829AB}">
      <formula1>$AL$2:$AL$8</formula1>
    </dataValidation>
    <dataValidation type="list" allowBlank="1" showInputMessage="1" showErrorMessage="1" sqref="Y102:AA506 Y2:AA100" xr:uid="{F17A5585-7302-4569-B906-5F31CA82F812}">
      <formula1>$AV$2:$AV$21</formula1>
    </dataValidation>
    <dataValidation type="decimal" allowBlank="1" showInputMessage="1" showErrorMessage="1" error="硬度を正しく入力して下さい。" sqref="O102:P506 O18:P19 P15 P13 P74:P100 O71:O100 O23:P46" xr:uid="{3A09EE90-E5D1-453E-AA3C-3517745EE22F}">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BED08-4316-4CD8-9394-A1F673B78354}">
  <dimension ref="A1:BA152"/>
  <sheetViews>
    <sheetView topLeftCell="A16" zoomScale="70" zoomScaleNormal="70" workbookViewId="0">
      <selection activeCell="AD36" sqref="AD36"/>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315</v>
      </c>
      <c r="O1" s="56" t="s">
        <v>14</v>
      </c>
      <c r="P1" s="56" t="s">
        <v>15</v>
      </c>
      <c r="Q1" s="3" t="s">
        <v>16</v>
      </c>
      <c r="R1" s="56" t="s">
        <v>17</v>
      </c>
      <c r="S1" s="56" t="s">
        <v>18</v>
      </c>
      <c r="T1" s="3" t="s">
        <v>19</v>
      </c>
      <c r="U1" s="58" t="s">
        <v>316</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232</v>
      </c>
      <c r="C2" s="62">
        <v>2019</v>
      </c>
      <c r="D2" s="137" t="s">
        <v>285</v>
      </c>
      <c r="E2" s="53" t="s">
        <v>317</v>
      </c>
      <c r="F2" s="53" t="s">
        <v>318</v>
      </c>
      <c r="G2" s="53" t="s">
        <v>36</v>
      </c>
      <c r="H2" s="53" t="s">
        <v>160</v>
      </c>
      <c r="I2" s="53" t="s">
        <v>159</v>
      </c>
      <c r="J2" s="53" t="s">
        <v>38</v>
      </c>
      <c r="K2" s="53" t="s">
        <v>161</v>
      </c>
      <c r="L2" s="53">
        <v>1</v>
      </c>
      <c r="N2" s="53">
        <v>4</v>
      </c>
      <c r="O2" s="53">
        <v>0.7</v>
      </c>
      <c r="P2" s="53">
        <v>0.75</v>
      </c>
      <c r="Q2" s="74">
        <f>IF(OR(O2="",P2=""),"",AVERAGE(O2,P2))</f>
        <v>0.72499999999999998</v>
      </c>
      <c r="R2" s="53">
        <v>15</v>
      </c>
      <c r="S2" s="53">
        <v>102</v>
      </c>
      <c r="T2" s="16">
        <f t="shared" ref="T2:T61" si="0">IF(H2="","",IF(OR(H2="GREEN",H2="GK"),IF(S2&gt;=$AX$2,VLOOKUP(S2,$AX$2:$AY$12,2,1),""),IF(S2&gt;=$AZ$2,VLOOKUP(S2,$AZ$2:$BA$12,2,1),"")))</f>
        <v>33</v>
      </c>
      <c r="U2" s="53">
        <v>480</v>
      </c>
      <c r="V2" s="16">
        <f t="shared" ref="V2:V61" si="1">IF(J2="","",IF(OR(J2="GREEN",J2="GK"),IF(U2&gt;=$AX$2,VLOOKUP(U2,$AX$2:$AY$12,2,1),""),IF(U2&gt;=$AZ$2,VLOOKUP(U2,$AZ$2:$BA$12,2,1),"")))</f>
        <v>16</v>
      </c>
      <c r="W2" s="53">
        <v>2</v>
      </c>
      <c r="X2" s="53" t="s">
        <v>39</v>
      </c>
      <c r="Y2" s="53" t="s">
        <v>314</v>
      </c>
      <c r="Z2" s="53" t="s">
        <v>78</v>
      </c>
      <c r="AA2" s="53" t="s">
        <v>47</v>
      </c>
      <c r="AB2" s="53" t="s">
        <v>319</v>
      </c>
      <c r="AE2" s="64" t="s">
        <v>35</v>
      </c>
      <c r="AG2" s="138" t="s">
        <v>320</v>
      </c>
      <c r="AH2" s="139" t="s">
        <v>321</v>
      </c>
      <c r="AJ2" s="67" t="s">
        <v>36</v>
      </c>
      <c r="AL2" s="67" t="s">
        <v>127</v>
      </c>
      <c r="AN2" s="67" t="s">
        <v>322</v>
      </c>
      <c r="AP2" s="67" t="s">
        <v>38</v>
      </c>
      <c r="AR2" s="67" t="s">
        <v>120</v>
      </c>
      <c r="AT2" s="67" t="s">
        <v>39</v>
      </c>
      <c r="AV2" s="23" t="s">
        <v>55</v>
      </c>
      <c r="AX2" s="68">
        <v>1</v>
      </c>
      <c r="AY2" s="69">
        <v>50</v>
      </c>
      <c r="AZ2" s="69">
        <v>1</v>
      </c>
      <c r="BA2" s="70">
        <v>50</v>
      </c>
    </row>
    <row r="3" spans="1:53" x14ac:dyDescent="0.15">
      <c r="A3" s="53" t="s">
        <v>59</v>
      </c>
      <c r="B3" s="53" t="s">
        <v>232</v>
      </c>
      <c r="C3" s="62">
        <v>2019</v>
      </c>
      <c r="D3" s="137" t="s">
        <v>285</v>
      </c>
      <c r="E3" s="53" t="s">
        <v>317</v>
      </c>
      <c r="F3" s="53" t="s">
        <v>318</v>
      </c>
      <c r="G3" s="53" t="s">
        <v>36</v>
      </c>
      <c r="H3" s="53" t="s">
        <v>160</v>
      </c>
      <c r="I3" s="53" t="s">
        <v>159</v>
      </c>
      <c r="J3" s="53" t="s">
        <v>38</v>
      </c>
      <c r="K3" s="53" t="s">
        <v>161</v>
      </c>
      <c r="L3" s="53">
        <v>2</v>
      </c>
      <c r="N3" s="53">
        <v>4</v>
      </c>
      <c r="O3" s="53">
        <v>0.63</v>
      </c>
      <c r="P3" s="53">
        <v>0.75</v>
      </c>
      <c r="Q3" s="74">
        <f t="shared" ref="Q3:Q61" si="2">IF(OR(O3="",P3=""),"",AVERAGE(O3,P3))</f>
        <v>0.69</v>
      </c>
      <c r="R3" s="53">
        <v>14.6</v>
      </c>
      <c r="S3" s="53">
        <v>101</v>
      </c>
      <c r="T3" s="16">
        <f t="shared" si="0"/>
        <v>33</v>
      </c>
      <c r="U3" s="53">
        <v>480</v>
      </c>
      <c r="V3" s="16">
        <f t="shared" si="1"/>
        <v>16</v>
      </c>
      <c r="W3" s="53">
        <v>2</v>
      </c>
      <c r="X3" s="53" t="s">
        <v>39</v>
      </c>
      <c r="Y3" s="53" t="s">
        <v>314</v>
      </c>
      <c r="Z3" s="53" t="s">
        <v>78</v>
      </c>
      <c r="AA3" s="53" t="s">
        <v>47</v>
      </c>
      <c r="AB3" s="53" t="s">
        <v>319</v>
      </c>
      <c r="AE3" s="22" t="s">
        <v>41</v>
      </c>
      <c r="AG3" s="138" t="s">
        <v>323</v>
      </c>
      <c r="AH3" s="139" t="s">
        <v>318</v>
      </c>
      <c r="AJ3" s="23" t="s">
        <v>42</v>
      </c>
      <c r="AL3" s="23" t="s">
        <v>128</v>
      </c>
      <c r="AN3" s="23" t="s">
        <v>43</v>
      </c>
      <c r="AP3" s="23" t="s">
        <v>44</v>
      </c>
      <c r="AR3" s="23" t="s">
        <v>45</v>
      </c>
      <c r="AT3" s="23" t="s">
        <v>46</v>
      </c>
      <c r="AV3" s="23" t="s">
        <v>324</v>
      </c>
      <c r="AX3" s="24">
        <v>72</v>
      </c>
      <c r="AY3" s="25">
        <v>46</v>
      </c>
      <c r="AZ3" s="25">
        <v>71</v>
      </c>
      <c r="BA3" s="26">
        <v>42</v>
      </c>
    </row>
    <row r="4" spans="1:53" x14ac:dyDescent="0.15">
      <c r="A4" s="53" t="s">
        <v>59</v>
      </c>
      <c r="B4" s="53" t="s">
        <v>232</v>
      </c>
      <c r="C4" s="62">
        <v>2019</v>
      </c>
      <c r="D4" s="137" t="s">
        <v>285</v>
      </c>
      <c r="E4" s="53" t="s">
        <v>317</v>
      </c>
      <c r="F4" s="53" t="s">
        <v>318</v>
      </c>
      <c r="G4" s="53" t="s">
        <v>36</v>
      </c>
      <c r="H4" s="53" t="s">
        <v>160</v>
      </c>
      <c r="I4" s="53" t="s">
        <v>325</v>
      </c>
      <c r="J4" s="53" t="s">
        <v>38</v>
      </c>
      <c r="K4" s="53" t="s">
        <v>161</v>
      </c>
      <c r="L4" s="53">
        <v>3</v>
      </c>
      <c r="N4" s="53">
        <v>4</v>
      </c>
      <c r="O4" s="53">
        <v>0.69</v>
      </c>
      <c r="P4" s="53">
        <v>0.74</v>
      </c>
      <c r="Q4" s="74">
        <f t="shared" si="2"/>
        <v>0.71499999999999997</v>
      </c>
      <c r="R4" s="53">
        <v>15.3</v>
      </c>
      <c r="S4" s="53">
        <v>104</v>
      </c>
      <c r="T4" s="16">
        <f t="shared" si="0"/>
        <v>33</v>
      </c>
      <c r="U4" s="53">
        <v>480</v>
      </c>
      <c r="V4" s="16">
        <f t="shared" si="1"/>
        <v>16</v>
      </c>
      <c r="W4" s="53">
        <v>2</v>
      </c>
      <c r="X4" s="53" t="s">
        <v>39</v>
      </c>
      <c r="Y4" s="53" t="s">
        <v>314</v>
      </c>
      <c r="Z4" s="53" t="s">
        <v>78</v>
      </c>
      <c r="AA4" s="53" t="s">
        <v>47</v>
      </c>
      <c r="AB4" s="53" t="s">
        <v>319</v>
      </c>
      <c r="AE4" s="22" t="s">
        <v>34</v>
      </c>
      <c r="AG4" s="138" t="s">
        <v>326</v>
      </c>
      <c r="AH4" s="139" t="s">
        <v>327</v>
      </c>
      <c r="AJ4" s="27" t="s">
        <v>48</v>
      </c>
      <c r="AL4" s="27" t="s">
        <v>129</v>
      </c>
      <c r="AN4" s="28" t="s">
        <v>49</v>
      </c>
      <c r="AP4" s="23" t="s">
        <v>93</v>
      </c>
      <c r="AR4" s="23" t="s">
        <v>328</v>
      </c>
      <c r="AT4" s="28"/>
      <c r="AV4" s="23" t="s">
        <v>314</v>
      </c>
      <c r="AX4" s="24">
        <v>75</v>
      </c>
      <c r="AY4" s="25">
        <v>42</v>
      </c>
      <c r="AZ4" s="25">
        <v>76</v>
      </c>
      <c r="BA4" s="26">
        <v>39</v>
      </c>
    </row>
    <row r="5" spans="1:53" x14ac:dyDescent="0.15">
      <c r="A5" s="53" t="s">
        <v>59</v>
      </c>
      <c r="B5" s="53" t="s">
        <v>232</v>
      </c>
      <c r="C5" s="62">
        <v>2019</v>
      </c>
      <c r="D5" s="137" t="s">
        <v>285</v>
      </c>
      <c r="E5" s="53" t="s">
        <v>317</v>
      </c>
      <c r="F5" s="53" t="s">
        <v>318</v>
      </c>
      <c r="G5" s="53" t="s">
        <v>36</v>
      </c>
      <c r="H5" s="53" t="s">
        <v>164</v>
      </c>
      <c r="I5" s="53" t="s">
        <v>159</v>
      </c>
      <c r="J5" s="53" t="s">
        <v>38</v>
      </c>
      <c r="K5" s="53" t="s">
        <v>161</v>
      </c>
      <c r="L5" s="53">
        <v>1</v>
      </c>
      <c r="N5" s="53">
        <v>5</v>
      </c>
      <c r="O5" s="53">
        <v>0.65</v>
      </c>
      <c r="P5" s="53">
        <v>0.65</v>
      </c>
      <c r="Q5" s="74">
        <f t="shared" si="2"/>
        <v>0.65</v>
      </c>
      <c r="R5" s="53">
        <v>13.9</v>
      </c>
      <c r="S5" s="53">
        <v>78</v>
      </c>
      <c r="T5" s="16">
        <f t="shared" si="0"/>
        <v>39</v>
      </c>
      <c r="U5" s="53">
        <v>398</v>
      </c>
      <c r="V5" s="16">
        <f t="shared" si="1"/>
        <v>16</v>
      </c>
      <c r="W5" s="53">
        <v>2</v>
      </c>
      <c r="X5" s="53" t="s">
        <v>39</v>
      </c>
      <c r="Y5" s="53" t="s">
        <v>314</v>
      </c>
      <c r="Z5" s="53" t="s">
        <v>78</v>
      </c>
      <c r="AA5" s="53" t="s">
        <v>47</v>
      </c>
      <c r="AB5" s="53" t="s">
        <v>319</v>
      </c>
      <c r="AE5" s="22" t="s">
        <v>51</v>
      </c>
      <c r="AG5" s="138" t="s">
        <v>329</v>
      </c>
      <c r="AH5" s="139" t="s">
        <v>330</v>
      </c>
      <c r="AJ5" s="28"/>
      <c r="AL5" s="72" t="s">
        <v>66</v>
      </c>
      <c r="AN5" s="72" t="s">
        <v>52</v>
      </c>
      <c r="AP5" s="23" t="s">
        <v>244</v>
      </c>
      <c r="AR5" s="23" t="s">
        <v>54</v>
      </c>
      <c r="AV5" s="23" t="s">
        <v>331</v>
      </c>
      <c r="AX5" s="24">
        <v>84</v>
      </c>
      <c r="AY5" s="25">
        <v>39</v>
      </c>
      <c r="AZ5" s="25">
        <v>84</v>
      </c>
      <c r="BA5" s="26">
        <v>36</v>
      </c>
    </row>
    <row r="6" spans="1:53" x14ac:dyDescent="0.15">
      <c r="A6" s="53" t="s">
        <v>59</v>
      </c>
      <c r="B6" s="53" t="s">
        <v>232</v>
      </c>
      <c r="C6" s="62">
        <v>2019</v>
      </c>
      <c r="D6" s="137" t="s">
        <v>285</v>
      </c>
      <c r="E6" s="53" t="s">
        <v>317</v>
      </c>
      <c r="F6" s="53" t="s">
        <v>318</v>
      </c>
      <c r="G6" s="53" t="s">
        <v>36</v>
      </c>
      <c r="H6" s="53" t="s">
        <v>164</v>
      </c>
      <c r="I6" s="53" t="s">
        <v>159</v>
      </c>
      <c r="J6" s="53" t="s">
        <v>38</v>
      </c>
      <c r="K6" s="53" t="s">
        <v>161</v>
      </c>
      <c r="L6" s="53">
        <v>2</v>
      </c>
      <c r="N6" s="53">
        <v>5</v>
      </c>
      <c r="O6" s="53">
        <v>0.74</v>
      </c>
      <c r="P6" s="53">
        <v>0.66</v>
      </c>
      <c r="Q6" s="74">
        <f t="shared" si="2"/>
        <v>0.7</v>
      </c>
      <c r="R6" s="53">
        <v>13</v>
      </c>
      <c r="S6" s="53">
        <v>90</v>
      </c>
      <c r="T6" s="16">
        <f t="shared" si="0"/>
        <v>36</v>
      </c>
      <c r="U6" s="53">
        <v>398</v>
      </c>
      <c r="V6" s="16">
        <f t="shared" si="1"/>
        <v>16</v>
      </c>
      <c r="W6" s="53">
        <v>2</v>
      </c>
      <c r="X6" s="53" t="s">
        <v>39</v>
      </c>
      <c r="Y6" s="53" t="s">
        <v>314</v>
      </c>
      <c r="Z6" s="53" t="s">
        <v>78</v>
      </c>
      <c r="AA6" s="53" t="s">
        <v>47</v>
      </c>
      <c r="AB6" s="53" t="s">
        <v>319</v>
      </c>
      <c r="AE6" s="22" t="s">
        <v>56</v>
      </c>
      <c r="AG6" s="138" t="s">
        <v>332</v>
      </c>
      <c r="AH6" s="139" t="s">
        <v>333</v>
      </c>
      <c r="AL6" s="72" t="s">
        <v>99</v>
      </c>
      <c r="AN6" s="72" t="s">
        <v>57</v>
      </c>
      <c r="AP6" s="23" t="s">
        <v>53</v>
      </c>
      <c r="AR6" s="23" t="s">
        <v>334</v>
      </c>
      <c r="AV6" s="23" t="s">
        <v>60</v>
      </c>
      <c r="AX6" s="24">
        <v>97</v>
      </c>
      <c r="AY6" s="25">
        <v>36</v>
      </c>
      <c r="AZ6" s="25">
        <v>99</v>
      </c>
      <c r="BA6" s="26">
        <v>33</v>
      </c>
    </row>
    <row r="7" spans="1:53" x14ac:dyDescent="0.15">
      <c r="A7" s="53" t="s">
        <v>59</v>
      </c>
      <c r="B7" s="53" t="s">
        <v>232</v>
      </c>
      <c r="C7" s="62">
        <v>2019</v>
      </c>
      <c r="D7" s="137" t="s">
        <v>285</v>
      </c>
      <c r="E7" s="53" t="s">
        <v>317</v>
      </c>
      <c r="F7" s="53" t="s">
        <v>318</v>
      </c>
      <c r="G7" s="53" t="s">
        <v>36</v>
      </c>
      <c r="H7" s="53" t="s">
        <v>164</v>
      </c>
      <c r="I7" s="53" t="s">
        <v>159</v>
      </c>
      <c r="J7" s="53" t="s">
        <v>38</v>
      </c>
      <c r="K7" s="53" t="s">
        <v>161</v>
      </c>
      <c r="L7" s="53">
        <v>3</v>
      </c>
      <c r="N7" s="53">
        <v>5</v>
      </c>
      <c r="O7" s="53">
        <v>0.67</v>
      </c>
      <c r="P7" s="53">
        <v>0.68</v>
      </c>
      <c r="Q7" s="74">
        <f t="shared" si="2"/>
        <v>0.67500000000000004</v>
      </c>
      <c r="R7" s="53">
        <v>13.7</v>
      </c>
      <c r="S7" s="53">
        <v>94</v>
      </c>
      <c r="T7" s="16">
        <f t="shared" si="0"/>
        <v>36</v>
      </c>
      <c r="U7" s="53">
        <v>398</v>
      </c>
      <c r="V7" s="16">
        <f t="shared" si="1"/>
        <v>16</v>
      </c>
      <c r="W7" s="53">
        <v>2</v>
      </c>
      <c r="X7" s="53" t="s">
        <v>39</v>
      </c>
      <c r="Y7" s="53" t="s">
        <v>314</v>
      </c>
      <c r="Z7" s="53" t="s">
        <v>78</v>
      </c>
      <c r="AA7" s="53" t="s">
        <v>47</v>
      </c>
      <c r="AB7" s="53" t="s">
        <v>319</v>
      </c>
      <c r="AE7" s="22" t="s">
        <v>61</v>
      </c>
      <c r="AG7" s="138" t="s">
        <v>335</v>
      </c>
      <c r="AH7" s="139" t="s">
        <v>336</v>
      </c>
      <c r="AL7" s="34" t="s">
        <v>109</v>
      </c>
      <c r="AP7" s="23" t="s">
        <v>58</v>
      </c>
      <c r="AR7" s="23" t="s">
        <v>337</v>
      </c>
      <c r="AV7" s="23" t="s">
        <v>64</v>
      </c>
      <c r="AX7" s="24">
        <v>109</v>
      </c>
      <c r="AY7" s="25">
        <v>33</v>
      </c>
      <c r="AZ7" s="25">
        <v>113</v>
      </c>
      <c r="BA7" s="26">
        <v>30</v>
      </c>
    </row>
    <row r="8" spans="1:53" x14ac:dyDescent="0.15">
      <c r="A8" s="53" t="s">
        <v>59</v>
      </c>
      <c r="B8" s="53" t="s">
        <v>232</v>
      </c>
      <c r="C8" s="62">
        <v>2019</v>
      </c>
      <c r="D8" s="137" t="s">
        <v>285</v>
      </c>
      <c r="E8" s="53" t="s">
        <v>320</v>
      </c>
      <c r="F8" s="53" t="s">
        <v>321</v>
      </c>
      <c r="G8" s="53" t="s">
        <v>36</v>
      </c>
      <c r="H8" s="53" t="s">
        <v>160</v>
      </c>
      <c r="I8" s="53" t="s">
        <v>159</v>
      </c>
      <c r="J8" s="53" t="s">
        <v>38</v>
      </c>
      <c r="K8" s="53" t="s">
        <v>161</v>
      </c>
      <c r="L8" s="53">
        <v>1</v>
      </c>
      <c r="N8" s="53">
        <v>4</v>
      </c>
      <c r="O8" s="53">
        <v>0.47</v>
      </c>
      <c r="P8" s="53">
        <v>0.48</v>
      </c>
      <c r="Q8" s="74">
        <f t="shared" si="2"/>
        <v>0.47499999999999998</v>
      </c>
      <c r="R8" s="53">
        <v>16.5</v>
      </c>
      <c r="S8" s="53">
        <v>91</v>
      </c>
      <c r="T8" s="16">
        <f t="shared" si="0"/>
        <v>36</v>
      </c>
      <c r="U8" s="53">
        <v>297</v>
      </c>
      <c r="V8" s="16">
        <f t="shared" si="1"/>
        <v>16</v>
      </c>
      <c r="W8" s="53">
        <v>8</v>
      </c>
      <c r="X8" s="53" t="s">
        <v>39</v>
      </c>
      <c r="Y8" s="53" t="s">
        <v>314</v>
      </c>
      <c r="Z8" s="53" t="s">
        <v>97</v>
      </c>
      <c r="AA8" s="53" t="s">
        <v>69</v>
      </c>
      <c r="AB8" s="53" t="s">
        <v>319</v>
      </c>
      <c r="AE8" s="22" t="s">
        <v>59</v>
      </c>
      <c r="AG8" s="140" t="s">
        <v>162</v>
      </c>
      <c r="AH8" s="139" t="s">
        <v>338</v>
      </c>
      <c r="AL8" s="34" t="s">
        <v>134</v>
      </c>
      <c r="AP8" s="23" t="s">
        <v>62</v>
      </c>
      <c r="AR8" s="23" t="s">
        <v>81</v>
      </c>
      <c r="AV8" s="23" t="s">
        <v>97</v>
      </c>
      <c r="AX8" s="24">
        <v>119</v>
      </c>
      <c r="AY8" s="25">
        <v>30</v>
      </c>
      <c r="AZ8" s="25">
        <v>121</v>
      </c>
      <c r="BA8" s="26">
        <v>27</v>
      </c>
    </row>
    <row r="9" spans="1:53" x14ac:dyDescent="0.15">
      <c r="A9" s="53" t="s">
        <v>59</v>
      </c>
      <c r="B9" s="53" t="s">
        <v>232</v>
      </c>
      <c r="C9" s="62">
        <v>2019</v>
      </c>
      <c r="D9" s="137" t="s">
        <v>285</v>
      </c>
      <c r="E9" s="53" t="s">
        <v>320</v>
      </c>
      <c r="F9" s="53" t="s">
        <v>321</v>
      </c>
      <c r="G9" s="53" t="s">
        <v>36</v>
      </c>
      <c r="H9" s="53" t="s">
        <v>160</v>
      </c>
      <c r="I9" s="53" t="s">
        <v>159</v>
      </c>
      <c r="J9" s="53" t="s">
        <v>38</v>
      </c>
      <c r="K9" s="53" t="s">
        <v>161</v>
      </c>
      <c r="L9" s="53">
        <v>2</v>
      </c>
      <c r="N9" s="53">
        <v>4</v>
      </c>
      <c r="O9" s="53">
        <v>0.35</v>
      </c>
      <c r="P9" s="53">
        <v>0.37</v>
      </c>
      <c r="Q9" s="74">
        <f t="shared" si="2"/>
        <v>0.36</v>
      </c>
      <c r="R9" s="53">
        <v>17.3</v>
      </c>
      <c r="S9" s="53">
        <v>105</v>
      </c>
      <c r="T9" s="16">
        <f t="shared" si="0"/>
        <v>33</v>
      </c>
      <c r="U9" s="53">
        <v>297</v>
      </c>
      <c r="V9" s="16">
        <f t="shared" si="1"/>
        <v>16</v>
      </c>
      <c r="W9" s="53">
        <v>8</v>
      </c>
      <c r="X9" s="53" t="s">
        <v>39</v>
      </c>
      <c r="Y9" s="53" t="s">
        <v>314</v>
      </c>
      <c r="Z9" s="53" t="s">
        <v>97</v>
      </c>
      <c r="AA9" s="53" t="s">
        <v>69</v>
      </c>
      <c r="AB9" s="53" t="s">
        <v>319</v>
      </c>
      <c r="AE9" s="22" t="s">
        <v>98</v>
      </c>
      <c r="AG9" s="140" t="s">
        <v>339</v>
      </c>
      <c r="AH9" s="139" t="s">
        <v>338</v>
      </c>
      <c r="AL9" s="72"/>
      <c r="AP9" s="23" t="s">
        <v>340</v>
      </c>
      <c r="AR9" s="23" t="s">
        <v>89</v>
      </c>
      <c r="AV9" s="23" t="s">
        <v>102</v>
      </c>
      <c r="AX9" s="24">
        <v>128</v>
      </c>
      <c r="AY9" s="25">
        <v>27</v>
      </c>
      <c r="AZ9" s="25">
        <v>129</v>
      </c>
      <c r="BA9" s="26">
        <v>25</v>
      </c>
    </row>
    <row r="10" spans="1:53" x14ac:dyDescent="0.15">
      <c r="A10" s="53" t="s">
        <v>59</v>
      </c>
      <c r="B10" s="53" t="s">
        <v>232</v>
      </c>
      <c r="C10" s="62">
        <v>2019</v>
      </c>
      <c r="D10" s="137" t="s">
        <v>285</v>
      </c>
      <c r="E10" s="53" t="s">
        <v>320</v>
      </c>
      <c r="F10" s="53" t="s">
        <v>321</v>
      </c>
      <c r="G10" s="53" t="s">
        <v>36</v>
      </c>
      <c r="H10" s="53" t="s">
        <v>160</v>
      </c>
      <c r="I10" s="53" t="s">
        <v>159</v>
      </c>
      <c r="J10" s="53" t="s">
        <v>38</v>
      </c>
      <c r="K10" s="53" t="s">
        <v>161</v>
      </c>
      <c r="L10" s="53">
        <v>3</v>
      </c>
      <c r="N10" s="53">
        <v>4</v>
      </c>
      <c r="O10" s="53">
        <v>0.49</v>
      </c>
      <c r="P10" s="53">
        <v>0.51</v>
      </c>
      <c r="Q10" s="74">
        <f t="shared" si="2"/>
        <v>0.5</v>
      </c>
      <c r="R10" s="53">
        <v>16.2</v>
      </c>
      <c r="S10" s="53">
        <v>96</v>
      </c>
      <c r="T10" s="16">
        <f t="shared" si="0"/>
        <v>36</v>
      </c>
      <c r="U10" s="53">
        <v>297</v>
      </c>
      <c r="V10" s="16">
        <f t="shared" si="1"/>
        <v>16</v>
      </c>
      <c r="W10" s="53">
        <v>8</v>
      </c>
      <c r="X10" s="53" t="s">
        <v>39</v>
      </c>
      <c r="Y10" s="53" t="s">
        <v>314</v>
      </c>
      <c r="Z10" s="53" t="s">
        <v>97</v>
      </c>
      <c r="AA10" s="53" t="s">
        <v>69</v>
      </c>
      <c r="AB10" s="53" t="s">
        <v>319</v>
      </c>
      <c r="AE10" s="22" t="s">
        <v>103</v>
      </c>
      <c r="AG10" s="138" t="s">
        <v>341</v>
      </c>
      <c r="AH10" s="139" t="s">
        <v>330</v>
      </c>
      <c r="AL10" s="83"/>
      <c r="AP10" s="23" t="s">
        <v>100</v>
      </c>
      <c r="AR10" s="23" t="s">
        <v>123</v>
      </c>
      <c r="AV10" s="23" t="s">
        <v>106</v>
      </c>
      <c r="AX10" s="24">
        <v>138</v>
      </c>
      <c r="AY10" s="25">
        <v>25</v>
      </c>
      <c r="AZ10" s="25">
        <v>138</v>
      </c>
      <c r="BA10" s="26">
        <v>22</v>
      </c>
    </row>
    <row r="11" spans="1:53" x14ac:dyDescent="0.15">
      <c r="A11" s="53" t="s">
        <v>59</v>
      </c>
      <c r="B11" s="53" t="s">
        <v>232</v>
      </c>
      <c r="C11" s="62">
        <v>2019</v>
      </c>
      <c r="D11" s="137" t="s">
        <v>285</v>
      </c>
      <c r="E11" s="53" t="s">
        <v>320</v>
      </c>
      <c r="F11" s="53" t="s">
        <v>321</v>
      </c>
      <c r="G11" s="53" t="s">
        <v>36</v>
      </c>
      <c r="H11" s="53" t="s">
        <v>164</v>
      </c>
      <c r="I11" s="53" t="s">
        <v>159</v>
      </c>
      <c r="J11" s="53" t="s">
        <v>38</v>
      </c>
      <c r="K11" s="53" t="s">
        <v>161</v>
      </c>
      <c r="L11" s="53">
        <v>1</v>
      </c>
      <c r="N11" s="53">
        <v>4</v>
      </c>
      <c r="O11" s="53">
        <v>0.6</v>
      </c>
      <c r="P11" s="53">
        <v>0.48</v>
      </c>
      <c r="Q11" s="74">
        <f t="shared" si="2"/>
        <v>0.54</v>
      </c>
      <c r="R11" s="53">
        <v>13.6</v>
      </c>
      <c r="S11" s="53">
        <v>94</v>
      </c>
      <c r="T11" s="16">
        <f t="shared" si="0"/>
        <v>36</v>
      </c>
      <c r="U11" s="53">
        <v>297</v>
      </c>
      <c r="V11" s="16">
        <f t="shared" si="1"/>
        <v>16</v>
      </c>
      <c r="W11" s="53">
        <v>7</v>
      </c>
      <c r="X11" s="53" t="s">
        <v>39</v>
      </c>
      <c r="Y11" s="53" t="s">
        <v>314</v>
      </c>
      <c r="Z11" s="53" t="s">
        <v>97</v>
      </c>
      <c r="AA11" s="53" t="s">
        <v>69</v>
      </c>
      <c r="AB11" s="53" t="s">
        <v>319</v>
      </c>
      <c r="AE11" s="22" t="s">
        <v>65</v>
      </c>
      <c r="AG11" s="140" t="s">
        <v>342</v>
      </c>
      <c r="AH11" s="139" t="s">
        <v>343</v>
      </c>
      <c r="AL11" s="83"/>
      <c r="AP11" s="23" t="s">
        <v>344</v>
      </c>
      <c r="AR11" s="23" t="s">
        <v>345</v>
      </c>
      <c r="AV11" s="23" t="s">
        <v>346</v>
      </c>
      <c r="AX11" s="24">
        <v>151</v>
      </c>
      <c r="AY11" s="25">
        <v>22</v>
      </c>
      <c r="AZ11" s="25">
        <v>152</v>
      </c>
      <c r="BA11" s="26">
        <v>18</v>
      </c>
    </row>
    <row r="12" spans="1:53" x14ac:dyDescent="0.15">
      <c r="A12" s="53" t="s">
        <v>59</v>
      </c>
      <c r="B12" s="53" t="s">
        <v>232</v>
      </c>
      <c r="C12" s="62">
        <v>2019</v>
      </c>
      <c r="D12" s="137" t="s">
        <v>285</v>
      </c>
      <c r="E12" s="53" t="s">
        <v>320</v>
      </c>
      <c r="F12" s="53" t="s">
        <v>321</v>
      </c>
      <c r="G12" s="53" t="s">
        <v>36</v>
      </c>
      <c r="H12" s="53" t="s">
        <v>164</v>
      </c>
      <c r="I12" s="53" t="s">
        <v>159</v>
      </c>
      <c r="J12" s="53" t="s">
        <v>38</v>
      </c>
      <c r="K12" s="53" t="s">
        <v>161</v>
      </c>
      <c r="L12" s="53">
        <v>2</v>
      </c>
      <c r="N12" s="53">
        <v>4</v>
      </c>
      <c r="O12" s="53">
        <v>0.59</v>
      </c>
      <c r="P12" s="53">
        <v>0.53</v>
      </c>
      <c r="Q12" s="74">
        <f t="shared" si="2"/>
        <v>0.56000000000000005</v>
      </c>
      <c r="R12" s="53">
        <v>14.4</v>
      </c>
      <c r="S12" s="53">
        <v>91</v>
      </c>
      <c r="T12" s="16">
        <f t="shared" si="0"/>
        <v>36</v>
      </c>
      <c r="U12" s="53">
        <v>297</v>
      </c>
      <c r="V12" s="16">
        <f t="shared" si="1"/>
        <v>16</v>
      </c>
      <c r="W12" s="53">
        <v>7</v>
      </c>
      <c r="X12" s="53" t="s">
        <v>39</v>
      </c>
      <c r="Y12" s="53" t="s">
        <v>314</v>
      </c>
      <c r="Z12" s="53" t="s">
        <v>97</v>
      </c>
      <c r="AA12" s="53" t="s">
        <v>69</v>
      </c>
      <c r="AB12" s="53" t="s">
        <v>319</v>
      </c>
      <c r="AE12" s="22" t="s">
        <v>70</v>
      </c>
      <c r="AG12" s="23"/>
      <c r="AH12" s="141"/>
      <c r="AL12" s="83"/>
      <c r="AP12" s="23" t="s">
        <v>67</v>
      </c>
      <c r="AR12" s="23" t="s">
        <v>124</v>
      </c>
      <c r="AV12" s="23" t="s">
        <v>72</v>
      </c>
      <c r="AX12" s="31">
        <v>180</v>
      </c>
      <c r="AY12" s="32">
        <v>18</v>
      </c>
      <c r="AZ12" s="32">
        <v>181</v>
      </c>
      <c r="BA12" s="33">
        <v>16</v>
      </c>
    </row>
    <row r="13" spans="1:53" x14ac:dyDescent="0.15">
      <c r="A13" s="53" t="s">
        <v>59</v>
      </c>
      <c r="B13" s="53" t="s">
        <v>232</v>
      </c>
      <c r="C13" s="62">
        <v>2019</v>
      </c>
      <c r="D13" s="137" t="s">
        <v>285</v>
      </c>
      <c r="E13" s="53" t="s">
        <v>320</v>
      </c>
      <c r="F13" s="53" t="s">
        <v>321</v>
      </c>
      <c r="G13" s="53" t="s">
        <v>36</v>
      </c>
      <c r="H13" s="53" t="s">
        <v>164</v>
      </c>
      <c r="I13" s="53" t="s">
        <v>159</v>
      </c>
      <c r="J13" s="53" t="s">
        <v>38</v>
      </c>
      <c r="K13" s="53" t="s">
        <v>161</v>
      </c>
      <c r="L13" s="53">
        <v>3</v>
      </c>
      <c r="N13" s="53">
        <v>4</v>
      </c>
      <c r="O13" s="53">
        <v>0.66</v>
      </c>
      <c r="P13" s="53">
        <v>0.57999999999999996</v>
      </c>
      <c r="Q13" s="74">
        <f t="shared" si="2"/>
        <v>0.62</v>
      </c>
      <c r="R13" s="53">
        <v>13.9</v>
      </c>
      <c r="S13" s="53">
        <v>99</v>
      </c>
      <c r="T13" s="16">
        <f t="shared" si="0"/>
        <v>33</v>
      </c>
      <c r="U13" s="53">
        <v>297</v>
      </c>
      <c r="V13" s="16">
        <f t="shared" si="1"/>
        <v>16</v>
      </c>
      <c r="W13" s="53">
        <v>7</v>
      </c>
      <c r="X13" s="53" t="s">
        <v>39</v>
      </c>
      <c r="Y13" s="53" t="s">
        <v>314</v>
      </c>
      <c r="Z13" s="53" t="s">
        <v>97</v>
      </c>
      <c r="AA13" s="53" t="s">
        <v>69</v>
      </c>
      <c r="AB13" s="53" t="s">
        <v>319</v>
      </c>
      <c r="AE13" s="22" t="s">
        <v>73</v>
      </c>
      <c r="AG13" s="23"/>
      <c r="AH13" s="23"/>
      <c r="AP13" s="23" t="s">
        <v>71</v>
      </c>
      <c r="AR13" s="23" t="s">
        <v>103</v>
      </c>
      <c r="AV13" s="23" t="s">
        <v>75</v>
      </c>
    </row>
    <row r="14" spans="1:53" x14ac:dyDescent="0.15">
      <c r="A14" s="53" t="s">
        <v>59</v>
      </c>
      <c r="B14" s="53" t="s">
        <v>232</v>
      </c>
      <c r="C14" s="62">
        <v>2019</v>
      </c>
      <c r="D14" s="137" t="s">
        <v>285</v>
      </c>
      <c r="E14" s="53" t="s">
        <v>329</v>
      </c>
      <c r="F14" s="53" t="s">
        <v>330</v>
      </c>
      <c r="G14" s="53" t="s">
        <v>36</v>
      </c>
      <c r="H14" s="53" t="s">
        <v>160</v>
      </c>
      <c r="I14" s="53" t="s">
        <v>159</v>
      </c>
      <c r="J14" s="53" t="s">
        <v>38</v>
      </c>
      <c r="K14" s="53" t="s">
        <v>161</v>
      </c>
      <c r="L14" s="53">
        <v>1</v>
      </c>
      <c r="N14" s="53">
        <v>3</v>
      </c>
      <c r="O14" s="53">
        <v>0.35</v>
      </c>
      <c r="P14" s="53">
        <v>0.45</v>
      </c>
      <c r="Q14" s="74">
        <f t="shared" si="2"/>
        <v>0.4</v>
      </c>
      <c r="R14" s="53">
        <v>17.2</v>
      </c>
      <c r="S14" s="53">
        <v>135</v>
      </c>
      <c r="T14" s="16">
        <f t="shared" si="0"/>
        <v>25</v>
      </c>
      <c r="U14" s="53">
        <v>399</v>
      </c>
      <c r="V14" s="16">
        <f t="shared" si="1"/>
        <v>16</v>
      </c>
      <c r="W14" s="53">
        <v>6</v>
      </c>
      <c r="X14" s="53" t="s">
        <v>46</v>
      </c>
      <c r="Y14" s="53" t="s">
        <v>90</v>
      </c>
      <c r="Z14" s="53" t="s">
        <v>55</v>
      </c>
      <c r="AA14" s="53" t="s">
        <v>47</v>
      </c>
      <c r="AB14" s="53" t="s">
        <v>319</v>
      </c>
      <c r="AE14" s="22" t="s">
        <v>76</v>
      </c>
      <c r="AG14" s="23"/>
      <c r="AH14" s="23"/>
      <c r="AP14" s="23" t="s">
        <v>347</v>
      </c>
      <c r="AR14" s="23" t="s">
        <v>125</v>
      </c>
      <c r="AV14" s="23" t="s">
        <v>78</v>
      </c>
    </row>
    <row r="15" spans="1:53" x14ac:dyDescent="0.15">
      <c r="A15" s="53" t="s">
        <v>59</v>
      </c>
      <c r="B15" s="53" t="s">
        <v>232</v>
      </c>
      <c r="C15" s="62">
        <v>2019</v>
      </c>
      <c r="D15" s="137" t="s">
        <v>285</v>
      </c>
      <c r="E15" s="53" t="s">
        <v>329</v>
      </c>
      <c r="F15" s="53" t="s">
        <v>330</v>
      </c>
      <c r="G15" s="53" t="s">
        <v>36</v>
      </c>
      <c r="H15" s="53" t="s">
        <v>160</v>
      </c>
      <c r="I15" s="53" t="s">
        <v>159</v>
      </c>
      <c r="J15" s="53" t="s">
        <v>38</v>
      </c>
      <c r="K15" s="53" t="s">
        <v>161</v>
      </c>
      <c r="L15" s="53">
        <v>2</v>
      </c>
      <c r="N15" s="53">
        <v>3</v>
      </c>
      <c r="O15" s="53">
        <v>0.6</v>
      </c>
      <c r="P15" s="53">
        <v>0.6</v>
      </c>
      <c r="Q15" s="74">
        <f t="shared" si="2"/>
        <v>0.6</v>
      </c>
      <c r="R15" s="53">
        <v>16</v>
      </c>
      <c r="S15" s="53">
        <v>128</v>
      </c>
      <c r="T15" s="16">
        <f t="shared" si="0"/>
        <v>27</v>
      </c>
      <c r="U15" s="53">
        <v>399</v>
      </c>
      <c r="V15" s="16">
        <f t="shared" si="1"/>
        <v>16</v>
      </c>
      <c r="W15" s="53">
        <v>6</v>
      </c>
      <c r="X15" s="53" t="s">
        <v>46</v>
      </c>
      <c r="Y15" s="53" t="s">
        <v>90</v>
      </c>
      <c r="Z15" s="53" t="s">
        <v>55</v>
      </c>
      <c r="AA15" s="53" t="s">
        <v>47</v>
      </c>
      <c r="AB15" s="53" t="s">
        <v>319</v>
      </c>
      <c r="AE15" s="22" t="s">
        <v>79</v>
      </c>
      <c r="AG15" s="23"/>
      <c r="AH15" s="23"/>
      <c r="AP15" s="23" t="s">
        <v>348</v>
      </c>
      <c r="AR15" s="23" t="s">
        <v>94</v>
      </c>
      <c r="AV15" s="23" t="s">
        <v>107</v>
      </c>
    </row>
    <row r="16" spans="1:53" x14ac:dyDescent="0.15">
      <c r="A16" s="53" t="s">
        <v>59</v>
      </c>
      <c r="B16" s="53" t="s">
        <v>232</v>
      </c>
      <c r="C16" s="62">
        <v>2019</v>
      </c>
      <c r="D16" s="137" t="s">
        <v>285</v>
      </c>
      <c r="E16" s="53" t="s">
        <v>329</v>
      </c>
      <c r="F16" s="53" t="s">
        <v>330</v>
      </c>
      <c r="G16" s="53" t="s">
        <v>36</v>
      </c>
      <c r="H16" s="53" t="s">
        <v>160</v>
      </c>
      <c r="I16" s="53" t="s">
        <v>159</v>
      </c>
      <c r="J16" s="53" t="s">
        <v>38</v>
      </c>
      <c r="K16" s="53" t="s">
        <v>161</v>
      </c>
      <c r="L16" s="53">
        <v>3</v>
      </c>
      <c r="N16" s="53">
        <v>3</v>
      </c>
      <c r="O16" s="53">
        <v>0.39</v>
      </c>
      <c r="P16" s="53">
        <v>0.4</v>
      </c>
      <c r="Q16" s="74">
        <f t="shared" si="2"/>
        <v>0.39500000000000002</v>
      </c>
      <c r="R16" s="53">
        <v>17.5</v>
      </c>
      <c r="S16" s="53">
        <v>135</v>
      </c>
      <c r="T16" s="16">
        <f t="shared" si="0"/>
        <v>25</v>
      </c>
      <c r="U16" s="53">
        <v>399</v>
      </c>
      <c r="V16" s="16">
        <f t="shared" si="1"/>
        <v>16</v>
      </c>
      <c r="W16" s="53">
        <v>6</v>
      </c>
      <c r="X16" s="53" t="s">
        <v>46</v>
      </c>
      <c r="Y16" s="53" t="s">
        <v>90</v>
      </c>
      <c r="Z16" s="53" t="s">
        <v>55</v>
      </c>
      <c r="AA16" s="53" t="s">
        <v>47</v>
      </c>
      <c r="AB16" s="53" t="s">
        <v>319</v>
      </c>
      <c r="AE16" s="22" t="s">
        <v>82</v>
      </c>
      <c r="AG16" s="28"/>
      <c r="AH16" s="28"/>
      <c r="AP16" s="23" t="s">
        <v>80</v>
      </c>
      <c r="AR16" s="23" t="s">
        <v>63</v>
      </c>
      <c r="AV16" s="23" t="s">
        <v>84</v>
      </c>
    </row>
    <row r="17" spans="1:48" x14ac:dyDescent="0.15">
      <c r="A17" s="53" t="s">
        <v>59</v>
      </c>
      <c r="B17" s="53" t="s">
        <v>232</v>
      </c>
      <c r="C17" s="62">
        <v>2019</v>
      </c>
      <c r="D17" s="137" t="s">
        <v>285</v>
      </c>
      <c r="E17" s="53" t="s">
        <v>329</v>
      </c>
      <c r="F17" s="53" t="s">
        <v>330</v>
      </c>
      <c r="G17" s="53" t="s">
        <v>36</v>
      </c>
      <c r="H17" s="53" t="s">
        <v>164</v>
      </c>
      <c r="I17" s="53" t="s">
        <v>159</v>
      </c>
      <c r="J17" s="53" t="s">
        <v>38</v>
      </c>
      <c r="K17" s="53" t="s">
        <v>161</v>
      </c>
      <c r="L17" s="53">
        <v>1</v>
      </c>
      <c r="N17" s="53">
        <v>4</v>
      </c>
      <c r="O17" s="53">
        <v>0.69</v>
      </c>
      <c r="P17" s="53">
        <v>0.75</v>
      </c>
      <c r="Q17" s="74">
        <f t="shared" si="2"/>
        <v>0.72</v>
      </c>
      <c r="R17" s="53">
        <v>14.2</v>
      </c>
      <c r="S17" s="53">
        <v>102</v>
      </c>
      <c r="T17" s="16">
        <f t="shared" si="0"/>
        <v>33</v>
      </c>
      <c r="U17" s="53">
        <v>399</v>
      </c>
      <c r="V17" s="16">
        <f t="shared" si="1"/>
        <v>16</v>
      </c>
      <c r="W17" s="53">
        <v>6</v>
      </c>
      <c r="X17" s="53" t="s">
        <v>46</v>
      </c>
      <c r="Y17" s="53" t="s">
        <v>90</v>
      </c>
      <c r="Z17" s="53" t="s">
        <v>55</v>
      </c>
      <c r="AA17" s="53" t="s">
        <v>47</v>
      </c>
      <c r="AB17" s="53" t="s">
        <v>319</v>
      </c>
      <c r="AE17" s="22" t="s">
        <v>85</v>
      </c>
      <c r="AP17" s="27" t="s">
        <v>110</v>
      </c>
      <c r="AR17" s="23" t="s">
        <v>96</v>
      </c>
      <c r="AV17" s="23" t="s">
        <v>86</v>
      </c>
    </row>
    <row r="18" spans="1:48" x14ac:dyDescent="0.15">
      <c r="A18" s="53" t="s">
        <v>59</v>
      </c>
      <c r="B18" s="53" t="s">
        <v>232</v>
      </c>
      <c r="C18" s="62">
        <v>2019</v>
      </c>
      <c r="D18" s="137" t="s">
        <v>285</v>
      </c>
      <c r="E18" s="53" t="s">
        <v>329</v>
      </c>
      <c r="F18" s="53" t="s">
        <v>330</v>
      </c>
      <c r="G18" s="53" t="s">
        <v>36</v>
      </c>
      <c r="H18" s="53" t="s">
        <v>164</v>
      </c>
      <c r="I18" s="53" t="s">
        <v>159</v>
      </c>
      <c r="J18" s="53" t="s">
        <v>38</v>
      </c>
      <c r="K18" s="53" t="s">
        <v>161</v>
      </c>
      <c r="L18" s="53">
        <v>2</v>
      </c>
      <c r="N18" s="53">
        <v>4</v>
      </c>
      <c r="O18" s="53">
        <v>0.68</v>
      </c>
      <c r="P18" s="53">
        <v>0.73</v>
      </c>
      <c r="Q18" s="74">
        <f t="shared" si="2"/>
        <v>0.70500000000000007</v>
      </c>
      <c r="R18" s="53">
        <v>14.2</v>
      </c>
      <c r="S18" s="53">
        <v>101</v>
      </c>
      <c r="T18" s="16">
        <f t="shared" si="0"/>
        <v>33</v>
      </c>
      <c r="U18" s="53">
        <v>399</v>
      </c>
      <c r="V18" s="16">
        <f t="shared" si="1"/>
        <v>16</v>
      </c>
      <c r="W18" s="53">
        <v>6</v>
      </c>
      <c r="X18" s="53" t="s">
        <v>46</v>
      </c>
      <c r="Y18" s="53" t="s">
        <v>90</v>
      </c>
      <c r="Z18" s="53" t="s">
        <v>55</v>
      </c>
      <c r="AA18" s="53" t="s">
        <v>47</v>
      </c>
      <c r="AB18" s="53" t="s">
        <v>319</v>
      </c>
      <c r="AE18" s="22" t="s">
        <v>87</v>
      </c>
      <c r="AP18" s="27" t="s">
        <v>349</v>
      </c>
      <c r="AR18" s="23" t="s">
        <v>101</v>
      </c>
      <c r="AV18" s="23" t="s">
        <v>88</v>
      </c>
    </row>
    <row r="19" spans="1:48" x14ac:dyDescent="0.15">
      <c r="A19" s="53" t="s">
        <v>59</v>
      </c>
      <c r="B19" s="53" t="s">
        <v>232</v>
      </c>
      <c r="C19" s="62">
        <v>2019</v>
      </c>
      <c r="D19" s="137" t="s">
        <v>285</v>
      </c>
      <c r="E19" s="53" t="s">
        <v>329</v>
      </c>
      <c r="F19" s="53" t="s">
        <v>330</v>
      </c>
      <c r="G19" s="53" t="s">
        <v>36</v>
      </c>
      <c r="H19" s="53" t="s">
        <v>164</v>
      </c>
      <c r="I19" s="53" t="s">
        <v>159</v>
      </c>
      <c r="J19" s="53" t="s">
        <v>38</v>
      </c>
      <c r="K19" s="53" t="s">
        <v>161</v>
      </c>
      <c r="L19" s="53">
        <v>3</v>
      </c>
      <c r="N19" s="53">
        <v>4</v>
      </c>
      <c r="O19" s="53">
        <v>0.63</v>
      </c>
      <c r="P19" s="53">
        <v>0.71</v>
      </c>
      <c r="Q19" s="74">
        <f t="shared" si="2"/>
        <v>0.66999999999999993</v>
      </c>
      <c r="R19" s="53">
        <v>14.1</v>
      </c>
      <c r="S19" s="53">
        <v>100</v>
      </c>
      <c r="T19" s="16">
        <f t="shared" si="0"/>
        <v>33</v>
      </c>
      <c r="U19" s="53">
        <v>399</v>
      </c>
      <c r="V19" s="16">
        <f t="shared" si="1"/>
        <v>16</v>
      </c>
      <c r="W19" s="53">
        <v>6</v>
      </c>
      <c r="X19" s="53" t="s">
        <v>46</v>
      </c>
      <c r="Y19" s="53" t="s">
        <v>90</v>
      </c>
      <c r="Z19" s="53" t="s">
        <v>55</v>
      </c>
      <c r="AA19" s="53" t="s">
        <v>47</v>
      </c>
      <c r="AB19" s="53" t="s">
        <v>319</v>
      </c>
      <c r="AE19" s="35" t="s">
        <v>89</v>
      </c>
      <c r="AP19" s="27" t="s">
        <v>112</v>
      </c>
      <c r="AR19" s="23" t="s">
        <v>126</v>
      </c>
      <c r="AV19" s="23" t="s">
        <v>350</v>
      </c>
    </row>
    <row r="20" spans="1:48" x14ac:dyDescent="0.15">
      <c r="A20" s="53" t="s">
        <v>59</v>
      </c>
      <c r="B20" s="53" t="s">
        <v>232</v>
      </c>
      <c r="C20" s="62">
        <v>2019</v>
      </c>
      <c r="D20" s="137" t="s">
        <v>285</v>
      </c>
      <c r="E20" s="53" t="s">
        <v>341</v>
      </c>
      <c r="F20" s="53" t="s">
        <v>330</v>
      </c>
      <c r="G20" s="53" t="s">
        <v>36</v>
      </c>
      <c r="H20" s="53" t="s">
        <v>160</v>
      </c>
      <c r="I20" s="53" t="s">
        <v>159</v>
      </c>
      <c r="J20" s="53" t="s">
        <v>38</v>
      </c>
      <c r="K20" s="53" t="s">
        <v>161</v>
      </c>
      <c r="L20" s="53">
        <v>1</v>
      </c>
      <c r="N20" s="53">
        <v>2</v>
      </c>
      <c r="O20" s="53">
        <v>0.42</v>
      </c>
      <c r="P20" s="53">
        <v>0.34</v>
      </c>
      <c r="Q20" s="74">
        <f t="shared" si="2"/>
        <v>0.38</v>
      </c>
      <c r="R20" s="53">
        <v>17.3</v>
      </c>
      <c r="S20" s="53">
        <v>142</v>
      </c>
      <c r="T20" s="16">
        <f t="shared" si="0"/>
        <v>22</v>
      </c>
      <c r="U20" s="53">
        <v>429</v>
      </c>
      <c r="V20" s="16">
        <f t="shared" si="1"/>
        <v>16</v>
      </c>
      <c r="W20" s="53">
        <v>4</v>
      </c>
      <c r="X20" s="53" t="s">
        <v>46</v>
      </c>
      <c r="Y20" s="53" t="s">
        <v>90</v>
      </c>
      <c r="Z20" s="53" t="s">
        <v>60</v>
      </c>
      <c r="AA20" s="53" t="s">
        <v>78</v>
      </c>
      <c r="AB20" s="53" t="s">
        <v>319</v>
      </c>
      <c r="AE20" s="35"/>
      <c r="AP20" s="27" t="s">
        <v>113</v>
      </c>
      <c r="AR20" s="23" t="s">
        <v>105</v>
      </c>
      <c r="AV20" s="27" t="s">
        <v>135</v>
      </c>
    </row>
    <row r="21" spans="1:48" x14ac:dyDescent="0.15">
      <c r="A21" s="53" t="s">
        <v>59</v>
      </c>
      <c r="B21" s="53" t="s">
        <v>232</v>
      </c>
      <c r="C21" s="62">
        <v>2019</v>
      </c>
      <c r="D21" s="137" t="s">
        <v>285</v>
      </c>
      <c r="E21" s="53" t="s">
        <v>341</v>
      </c>
      <c r="F21" s="53" t="s">
        <v>330</v>
      </c>
      <c r="G21" s="53" t="s">
        <v>36</v>
      </c>
      <c r="H21" s="53" t="s">
        <v>160</v>
      </c>
      <c r="I21" s="53" t="s">
        <v>159</v>
      </c>
      <c r="J21" s="53" t="s">
        <v>38</v>
      </c>
      <c r="K21" s="53" t="s">
        <v>161</v>
      </c>
      <c r="L21" s="53">
        <v>2</v>
      </c>
      <c r="N21" s="53">
        <v>2</v>
      </c>
      <c r="O21" s="53">
        <v>0.25</v>
      </c>
      <c r="P21" s="53">
        <v>0.3</v>
      </c>
      <c r="Q21" s="74">
        <f t="shared" si="2"/>
        <v>0.27500000000000002</v>
      </c>
      <c r="R21" s="53">
        <v>17.7</v>
      </c>
      <c r="S21" s="53">
        <v>160</v>
      </c>
      <c r="T21" s="16">
        <f t="shared" si="0"/>
        <v>18</v>
      </c>
      <c r="U21" s="53">
        <v>429</v>
      </c>
      <c r="V21" s="16">
        <f t="shared" si="1"/>
        <v>16</v>
      </c>
      <c r="W21" s="53">
        <v>4</v>
      </c>
      <c r="X21" s="53" t="s">
        <v>46</v>
      </c>
      <c r="Y21" s="53" t="s">
        <v>90</v>
      </c>
      <c r="Z21" s="53" t="s">
        <v>60</v>
      </c>
      <c r="AA21" s="53" t="s">
        <v>78</v>
      </c>
      <c r="AB21" s="53" t="s">
        <v>319</v>
      </c>
      <c r="AE21" s="28"/>
      <c r="AP21" s="27" t="s">
        <v>351</v>
      </c>
      <c r="AR21" s="23" t="s">
        <v>68</v>
      </c>
      <c r="AV21" s="27" t="s">
        <v>136</v>
      </c>
    </row>
    <row r="22" spans="1:48" x14ac:dyDescent="0.15">
      <c r="A22" s="53" t="s">
        <v>59</v>
      </c>
      <c r="B22" s="53" t="s">
        <v>232</v>
      </c>
      <c r="C22" s="62">
        <v>2019</v>
      </c>
      <c r="D22" s="137" t="s">
        <v>285</v>
      </c>
      <c r="E22" s="53" t="s">
        <v>341</v>
      </c>
      <c r="F22" s="53" t="s">
        <v>330</v>
      </c>
      <c r="G22" s="53" t="s">
        <v>36</v>
      </c>
      <c r="H22" s="53" t="s">
        <v>160</v>
      </c>
      <c r="I22" s="53" t="s">
        <v>159</v>
      </c>
      <c r="J22" s="53" t="s">
        <v>38</v>
      </c>
      <c r="K22" s="53" t="s">
        <v>161</v>
      </c>
      <c r="L22" s="53">
        <v>3</v>
      </c>
      <c r="N22" s="53">
        <v>2</v>
      </c>
      <c r="O22" s="53">
        <v>0.33</v>
      </c>
      <c r="P22" s="53">
        <v>0.39</v>
      </c>
      <c r="Q22" s="74">
        <f t="shared" si="2"/>
        <v>0.36</v>
      </c>
      <c r="R22" s="53">
        <v>17.100000000000001</v>
      </c>
      <c r="S22" s="53">
        <v>150</v>
      </c>
      <c r="T22" s="16">
        <f t="shared" si="0"/>
        <v>22</v>
      </c>
      <c r="U22" s="53">
        <v>429</v>
      </c>
      <c r="V22" s="16">
        <f t="shared" si="1"/>
        <v>16</v>
      </c>
      <c r="W22" s="53">
        <v>4</v>
      </c>
      <c r="X22" s="53" t="s">
        <v>46</v>
      </c>
      <c r="Y22" s="53" t="s">
        <v>90</v>
      </c>
      <c r="Z22" s="53" t="s">
        <v>60</v>
      </c>
      <c r="AA22" s="53" t="s">
        <v>78</v>
      </c>
      <c r="AB22" s="53" t="s">
        <v>319</v>
      </c>
      <c r="AP22" s="27" t="s">
        <v>352</v>
      </c>
      <c r="AR22" s="23" t="s">
        <v>83</v>
      </c>
      <c r="AV22" s="27" t="s">
        <v>353</v>
      </c>
    </row>
    <row r="23" spans="1:48" x14ac:dyDescent="0.15">
      <c r="A23" s="53" t="s">
        <v>59</v>
      </c>
      <c r="B23" s="53" t="s">
        <v>232</v>
      </c>
      <c r="C23" s="62">
        <v>2019</v>
      </c>
      <c r="D23" s="137" t="s">
        <v>285</v>
      </c>
      <c r="E23" s="53" t="s">
        <v>341</v>
      </c>
      <c r="F23" s="53" t="s">
        <v>330</v>
      </c>
      <c r="G23" s="53" t="s">
        <v>36</v>
      </c>
      <c r="H23" s="53" t="s">
        <v>164</v>
      </c>
      <c r="I23" s="53" t="s">
        <v>159</v>
      </c>
      <c r="J23" s="53" t="s">
        <v>38</v>
      </c>
      <c r="K23" s="53" t="s">
        <v>161</v>
      </c>
      <c r="L23" s="53">
        <v>1</v>
      </c>
      <c r="N23" s="53">
        <v>4</v>
      </c>
      <c r="O23" s="53">
        <v>0.74</v>
      </c>
      <c r="P23" s="53">
        <v>0.85</v>
      </c>
      <c r="Q23" s="74">
        <f t="shared" si="2"/>
        <v>0.79499999999999993</v>
      </c>
      <c r="R23" s="53">
        <v>14.3</v>
      </c>
      <c r="S23" s="53">
        <v>98</v>
      </c>
      <c r="T23" s="16">
        <f t="shared" si="0"/>
        <v>36</v>
      </c>
      <c r="U23" s="53">
        <v>410</v>
      </c>
      <c r="V23" s="16">
        <f t="shared" si="1"/>
        <v>16</v>
      </c>
      <c r="W23" s="53">
        <v>1</v>
      </c>
      <c r="X23" s="53" t="s">
        <v>46</v>
      </c>
      <c r="Y23" s="53" t="s">
        <v>90</v>
      </c>
      <c r="Z23" s="53" t="s">
        <v>60</v>
      </c>
      <c r="AA23" s="53" t="s">
        <v>78</v>
      </c>
      <c r="AB23" s="53" t="s">
        <v>319</v>
      </c>
      <c r="AP23" s="27" t="s">
        <v>137</v>
      </c>
      <c r="AR23" s="23" t="s">
        <v>61</v>
      </c>
      <c r="AV23" s="27" t="s">
        <v>354</v>
      </c>
    </row>
    <row r="24" spans="1:48" x14ac:dyDescent="0.15">
      <c r="A24" s="53" t="s">
        <v>59</v>
      </c>
      <c r="B24" s="53" t="s">
        <v>232</v>
      </c>
      <c r="C24" s="62">
        <v>2019</v>
      </c>
      <c r="D24" s="137" t="s">
        <v>285</v>
      </c>
      <c r="E24" s="53" t="s">
        <v>341</v>
      </c>
      <c r="F24" s="53" t="s">
        <v>330</v>
      </c>
      <c r="G24" s="53" t="s">
        <v>36</v>
      </c>
      <c r="H24" s="53" t="s">
        <v>164</v>
      </c>
      <c r="I24" s="53" t="s">
        <v>159</v>
      </c>
      <c r="J24" s="53" t="s">
        <v>38</v>
      </c>
      <c r="K24" s="53" t="s">
        <v>161</v>
      </c>
      <c r="L24" s="53">
        <v>2</v>
      </c>
      <c r="N24" s="53">
        <v>4</v>
      </c>
      <c r="O24" s="53">
        <v>0.9</v>
      </c>
      <c r="P24" s="53">
        <v>0.95</v>
      </c>
      <c r="Q24" s="74">
        <f t="shared" si="2"/>
        <v>0.92500000000000004</v>
      </c>
      <c r="R24" s="53">
        <v>13.6</v>
      </c>
      <c r="S24" s="53">
        <v>105</v>
      </c>
      <c r="T24" s="16">
        <f t="shared" si="0"/>
        <v>33</v>
      </c>
      <c r="U24" s="53">
        <v>410</v>
      </c>
      <c r="V24" s="16">
        <f t="shared" si="1"/>
        <v>16</v>
      </c>
      <c r="W24" s="53">
        <v>1</v>
      </c>
      <c r="X24" s="53" t="s">
        <v>46</v>
      </c>
      <c r="Y24" s="53" t="s">
        <v>90</v>
      </c>
      <c r="Z24" s="53" t="s">
        <v>60</v>
      </c>
      <c r="AA24" s="53" t="s">
        <v>78</v>
      </c>
      <c r="AB24" s="53" t="s">
        <v>319</v>
      </c>
      <c r="AP24" s="27" t="s">
        <v>138</v>
      </c>
      <c r="AR24" s="23" t="s">
        <v>91</v>
      </c>
      <c r="AV24" s="27" t="s">
        <v>355</v>
      </c>
    </row>
    <row r="25" spans="1:48" x14ac:dyDescent="0.15">
      <c r="A25" s="53" t="s">
        <v>59</v>
      </c>
      <c r="B25" s="53" t="s">
        <v>232</v>
      </c>
      <c r="C25" s="62">
        <v>2019</v>
      </c>
      <c r="D25" s="137" t="s">
        <v>285</v>
      </c>
      <c r="E25" s="53" t="s">
        <v>341</v>
      </c>
      <c r="F25" s="53" t="s">
        <v>330</v>
      </c>
      <c r="G25" s="53" t="s">
        <v>36</v>
      </c>
      <c r="H25" s="53" t="s">
        <v>164</v>
      </c>
      <c r="I25" s="53" t="s">
        <v>159</v>
      </c>
      <c r="J25" s="53" t="s">
        <v>38</v>
      </c>
      <c r="K25" s="53" t="s">
        <v>161</v>
      </c>
      <c r="L25" s="53">
        <v>3</v>
      </c>
      <c r="N25" s="53">
        <v>4</v>
      </c>
      <c r="O25" s="53">
        <v>0.88</v>
      </c>
      <c r="P25" s="53">
        <v>0.82</v>
      </c>
      <c r="Q25" s="74">
        <f t="shared" si="2"/>
        <v>0.85</v>
      </c>
      <c r="R25" s="53">
        <v>14</v>
      </c>
      <c r="S25" s="53">
        <v>96</v>
      </c>
      <c r="T25" s="16">
        <f t="shared" si="0"/>
        <v>36</v>
      </c>
      <c r="U25" s="53">
        <v>410</v>
      </c>
      <c r="V25" s="16">
        <f t="shared" si="1"/>
        <v>16</v>
      </c>
      <c r="W25" s="53">
        <v>1</v>
      </c>
      <c r="X25" s="53" t="s">
        <v>46</v>
      </c>
      <c r="Y25" s="53" t="s">
        <v>90</v>
      </c>
      <c r="Z25" s="53" t="s">
        <v>60</v>
      </c>
      <c r="AA25" s="53" t="s">
        <v>78</v>
      </c>
      <c r="AB25" s="53" t="s">
        <v>319</v>
      </c>
      <c r="AP25" s="27" t="s">
        <v>116</v>
      </c>
      <c r="AR25" s="27" t="s">
        <v>92</v>
      </c>
      <c r="AV25" s="27" t="s">
        <v>356</v>
      </c>
    </row>
    <row r="26" spans="1:48" x14ac:dyDescent="0.15">
      <c r="A26" s="53" t="s">
        <v>59</v>
      </c>
      <c r="B26" s="53" t="s">
        <v>232</v>
      </c>
      <c r="C26" s="62">
        <v>2019</v>
      </c>
      <c r="D26" s="137" t="s">
        <v>285</v>
      </c>
      <c r="E26" s="53" t="s">
        <v>339</v>
      </c>
      <c r="F26" s="53" t="s">
        <v>338</v>
      </c>
      <c r="G26" s="53" t="s">
        <v>36</v>
      </c>
      <c r="H26" s="53" t="s">
        <v>160</v>
      </c>
      <c r="I26" s="53" t="s">
        <v>159</v>
      </c>
      <c r="J26" s="53" t="s">
        <v>38</v>
      </c>
      <c r="K26" s="53" t="s">
        <v>161</v>
      </c>
      <c r="L26" s="53">
        <v>1</v>
      </c>
      <c r="N26" s="53">
        <v>4</v>
      </c>
      <c r="O26" s="53">
        <v>0.67</v>
      </c>
      <c r="P26" s="53">
        <v>0.64</v>
      </c>
      <c r="Q26" s="74">
        <f t="shared" si="2"/>
        <v>0.65500000000000003</v>
      </c>
      <c r="R26" s="53">
        <v>17.600000000000001</v>
      </c>
      <c r="S26" s="53">
        <v>91</v>
      </c>
      <c r="T26" s="16">
        <f t="shared" si="0"/>
        <v>36</v>
      </c>
      <c r="U26" s="53">
        <v>398</v>
      </c>
      <c r="V26" s="16">
        <f t="shared" si="1"/>
        <v>16</v>
      </c>
      <c r="W26" s="53">
        <v>9</v>
      </c>
      <c r="X26" s="53" t="s">
        <v>46</v>
      </c>
      <c r="Y26" s="53" t="s">
        <v>86</v>
      </c>
      <c r="Z26" s="53" t="s">
        <v>55</v>
      </c>
      <c r="AA26" s="53" t="s">
        <v>78</v>
      </c>
      <c r="AB26" s="53" t="s">
        <v>319</v>
      </c>
      <c r="AP26" s="27" t="s">
        <v>117</v>
      </c>
      <c r="AR26" s="27" t="s">
        <v>357</v>
      </c>
      <c r="AV26" s="27"/>
    </row>
    <row r="27" spans="1:48" x14ac:dyDescent="0.15">
      <c r="A27" s="53" t="s">
        <v>59</v>
      </c>
      <c r="B27" s="53" t="s">
        <v>232</v>
      </c>
      <c r="C27" s="62">
        <v>2019</v>
      </c>
      <c r="D27" s="137" t="s">
        <v>285</v>
      </c>
      <c r="E27" s="53" t="s">
        <v>339</v>
      </c>
      <c r="F27" s="53" t="s">
        <v>338</v>
      </c>
      <c r="G27" s="53" t="s">
        <v>36</v>
      </c>
      <c r="H27" s="53" t="s">
        <v>160</v>
      </c>
      <c r="I27" s="53" t="s">
        <v>159</v>
      </c>
      <c r="J27" s="53" t="s">
        <v>38</v>
      </c>
      <c r="K27" s="53" t="s">
        <v>161</v>
      </c>
      <c r="L27" s="53">
        <v>2</v>
      </c>
      <c r="N27" s="53">
        <v>4</v>
      </c>
      <c r="O27" s="53">
        <v>0.76</v>
      </c>
      <c r="P27" s="53">
        <v>0.8</v>
      </c>
      <c r="Q27" s="74">
        <f t="shared" si="2"/>
        <v>0.78</v>
      </c>
      <c r="R27" s="53">
        <v>14.8</v>
      </c>
      <c r="S27" s="53">
        <v>95</v>
      </c>
      <c r="T27" s="16">
        <f t="shared" si="0"/>
        <v>36</v>
      </c>
      <c r="U27" s="53">
        <v>398</v>
      </c>
      <c r="V27" s="16">
        <f t="shared" si="1"/>
        <v>16</v>
      </c>
      <c r="W27" s="53">
        <v>9</v>
      </c>
      <c r="X27" s="53" t="s">
        <v>46</v>
      </c>
      <c r="Y27" s="53" t="s">
        <v>86</v>
      </c>
      <c r="Z27" s="53" t="s">
        <v>55</v>
      </c>
      <c r="AA27" s="53" t="s">
        <v>78</v>
      </c>
      <c r="AB27" s="53" t="s">
        <v>319</v>
      </c>
      <c r="AP27" s="27" t="s">
        <v>118</v>
      </c>
      <c r="AR27" s="28" t="s">
        <v>153</v>
      </c>
      <c r="AV27" s="27"/>
    </row>
    <row r="28" spans="1:48" x14ac:dyDescent="0.15">
      <c r="A28" s="53" t="s">
        <v>59</v>
      </c>
      <c r="B28" s="53" t="s">
        <v>232</v>
      </c>
      <c r="C28" s="62">
        <v>2019</v>
      </c>
      <c r="D28" s="137" t="s">
        <v>285</v>
      </c>
      <c r="E28" s="53" t="s">
        <v>339</v>
      </c>
      <c r="F28" s="53" t="s">
        <v>338</v>
      </c>
      <c r="G28" s="53" t="s">
        <v>36</v>
      </c>
      <c r="H28" s="53" t="s">
        <v>160</v>
      </c>
      <c r="I28" s="53" t="s">
        <v>159</v>
      </c>
      <c r="J28" s="53" t="s">
        <v>38</v>
      </c>
      <c r="K28" s="53" t="s">
        <v>161</v>
      </c>
      <c r="L28" s="53">
        <v>3</v>
      </c>
      <c r="N28" s="53">
        <v>4</v>
      </c>
      <c r="O28" s="53">
        <v>0.77</v>
      </c>
      <c r="P28" s="53">
        <v>0.72</v>
      </c>
      <c r="Q28" s="74">
        <f t="shared" si="2"/>
        <v>0.745</v>
      </c>
      <c r="R28" s="53">
        <v>16.899999999999999</v>
      </c>
      <c r="S28" s="53">
        <v>99</v>
      </c>
      <c r="T28" s="16">
        <f t="shared" si="0"/>
        <v>33</v>
      </c>
      <c r="U28" s="53">
        <v>398</v>
      </c>
      <c r="V28" s="16">
        <f t="shared" si="1"/>
        <v>16</v>
      </c>
      <c r="W28" s="53">
        <v>9</v>
      </c>
      <c r="X28" s="53" t="s">
        <v>46</v>
      </c>
      <c r="Y28" s="53" t="s">
        <v>86</v>
      </c>
      <c r="Z28" s="53" t="s">
        <v>55</v>
      </c>
      <c r="AA28" s="53" t="s">
        <v>78</v>
      </c>
      <c r="AB28" s="53" t="s">
        <v>319</v>
      </c>
      <c r="AV28" s="27"/>
    </row>
    <row r="29" spans="1:48" x14ac:dyDescent="0.15">
      <c r="A29" s="53" t="s">
        <v>59</v>
      </c>
      <c r="B29" s="53" t="s">
        <v>232</v>
      </c>
      <c r="C29" s="62">
        <v>2019</v>
      </c>
      <c r="D29" s="137" t="s">
        <v>285</v>
      </c>
      <c r="E29" s="53" t="s">
        <v>339</v>
      </c>
      <c r="F29" s="53" t="s">
        <v>338</v>
      </c>
      <c r="G29" s="53" t="s">
        <v>36</v>
      </c>
      <c r="H29" s="53" t="s">
        <v>164</v>
      </c>
      <c r="I29" s="53" t="s">
        <v>159</v>
      </c>
      <c r="J29" s="53" t="s">
        <v>38</v>
      </c>
      <c r="K29" s="53" t="s">
        <v>161</v>
      </c>
      <c r="L29" s="53">
        <v>1</v>
      </c>
      <c r="N29" s="53">
        <v>1</v>
      </c>
      <c r="O29" s="53">
        <v>0.94</v>
      </c>
      <c r="P29" s="53">
        <v>0.92</v>
      </c>
      <c r="Q29" s="74">
        <f t="shared" si="2"/>
        <v>0.92999999999999994</v>
      </c>
      <c r="R29" s="53">
        <v>13.2</v>
      </c>
      <c r="S29" s="53">
        <v>130</v>
      </c>
      <c r="T29" s="16">
        <f t="shared" si="0"/>
        <v>25</v>
      </c>
      <c r="U29" s="53">
        <v>138</v>
      </c>
      <c r="V29" s="16">
        <f t="shared" si="1"/>
        <v>22</v>
      </c>
      <c r="W29" s="53">
        <v>3</v>
      </c>
      <c r="X29" s="53" t="s">
        <v>46</v>
      </c>
      <c r="Y29" s="53" t="s">
        <v>86</v>
      </c>
      <c r="Z29" s="53" t="s">
        <v>55</v>
      </c>
      <c r="AA29" s="53" t="s">
        <v>78</v>
      </c>
      <c r="AB29" s="53" t="s">
        <v>319</v>
      </c>
      <c r="AV29" s="27"/>
    </row>
    <row r="30" spans="1:48" x14ac:dyDescent="0.15">
      <c r="A30" s="53" t="s">
        <v>59</v>
      </c>
      <c r="B30" s="53" t="s">
        <v>232</v>
      </c>
      <c r="C30" s="62">
        <v>2019</v>
      </c>
      <c r="D30" s="137" t="s">
        <v>285</v>
      </c>
      <c r="E30" s="53" t="s">
        <v>339</v>
      </c>
      <c r="F30" s="53" t="s">
        <v>338</v>
      </c>
      <c r="G30" s="53" t="s">
        <v>36</v>
      </c>
      <c r="H30" s="53" t="s">
        <v>164</v>
      </c>
      <c r="I30" s="53" t="s">
        <v>159</v>
      </c>
      <c r="J30" s="53" t="s">
        <v>38</v>
      </c>
      <c r="K30" s="53" t="s">
        <v>161</v>
      </c>
      <c r="L30" s="53">
        <v>2</v>
      </c>
      <c r="N30" s="53">
        <v>1</v>
      </c>
      <c r="O30" s="53">
        <v>0.99</v>
      </c>
      <c r="P30" s="53">
        <v>0.96</v>
      </c>
      <c r="Q30" s="74">
        <f t="shared" si="2"/>
        <v>0.97499999999999998</v>
      </c>
      <c r="R30" s="53">
        <v>13.9</v>
      </c>
      <c r="S30" s="53">
        <v>132</v>
      </c>
      <c r="T30" s="16">
        <f t="shared" si="0"/>
        <v>25</v>
      </c>
      <c r="U30" s="53">
        <v>138</v>
      </c>
      <c r="V30" s="16">
        <f t="shared" si="1"/>
        <v>22</v>
      </c>
      <c r="W30" s="53">
        <v>3</v>
      </c>
      <c r="X30" s="53" t="s">
        <v>46</v>
      </c>
      <c r="Y30" s="53" t="s">
        <v>86</v>
      </c>
      <c r="Z30" s="53" t="s">
        <v>55</v>
      </c>
      <c r="AA30" s="53" t="s">
        <v>78</v>
      </c>
      <c r="AB30" s="53" t="s">
        <v>319</v>
      </c>
      <c r="AV30" s="27"/>
    </row>
    <row r="31" spans="1:48" x14ac:dyDescent="0.15">
      <c r="A31" s="53" t="s">
        <v>59</v>
      </c>
      <c r="B31" s="53" t="s">
        <v>232</v>
      </c>
      <c r="C31" s="62">
        <v>2019</v>
      </c>
      <c r="D31" s="137" t="s">
        <v>285</v>
      </c>
      <c r="E31" s="53" t="s">
        <v>339</v>
      </c>
      <c r="F31" s="53" t="s">
        <v>338</v>
      </c>
      <c r="G31" s="53" t="s">
        <v>36</v>
      </c>
      <c r="H31" s="53" t="s">
        <v>164</v>
      </c>
      <c r="I31" s="53" t="s">
        <v>159</v>
      </c>
      <c r="J31" s="53" t="s">
        <v>38</v>
      </c>
      <c r="K31" s="53" t="s">
        <v>161</v>
      </c>
      <c r="L31" s="53">
        <v>3</v>
      </c>
      <c r="N31" s="53">
        <v>1</v>
      </c>
      <c r="O31" s="53">
        <v>0.9</v>
      </c>
      <c r="P31" s="53">
        <v>0.95</v>
      </c>
      <c r="Q31" s="74">
        <f t="shared" si="2"/>
        <v>0.92500000000000004</v>
      </c>
      <c r="R31" s="53">
        <v>13.8</v>
      </c>
      <c r="S31" s="53">
        <v>136</v>
      </c>
      <c r="T31" s="16">
        <f t="shared" si="0"/>
        <v>25</v>
      </c>
      <c r="U31" s="53">
        <v>138</v>
      </c>
      <c r="V31" s="16">
        <f t="shared" si="1"/>
        <v>22</v>
      </c>
      <c r="W31" s="53">
        <v>3</v>
      </c>
      <c r="X31" s="53" t="s">
        <v>46</v>
      </c>
      <c r="Y31" s="53" t="s">
        <v>86</v>
      </c>
      <c r="Z31" s="53" t="s">
        <v>55</v>
      </c>
      <c r="AA31" s="53" t="s">
        <v>78</v>
      </c>
      <c r="AB31" s="53" t="s">
        <v>319</v>
      </c>
      <c r="AV31" s="27"/>
    </row>
    <row r="32" spans="1:48" x14ac:dyDescent="0.15">
      <c r="A32" s="53" t="s">
        <v>59</v>
      </c>
      <c r="B32" s="53" t="s">
        <v>232</v>
      </c>
      <c r="C32" s="62">
        <v>2019</v>
      </c>
      <c r="D32" s="137" t="s">
        <v>285</v>
      </c>
      <c r="E32" s="53" t="s">
        <v>162</v>
      </c>
      <c r="F32" s="53" t="s">
        <v>338</v>
      </c>
      <c r="G32" s="53" t="s">
        <v>36</v>
      </c>
      <c r="H32" s="53" t="s">
        <v>160</v>
      </c>
      <c r="I32" s="53" t="s">
        <v>159</v>
      </c>
      <c r="J32" s="53" t="s">
        <v>38</v>
      </c>
      <c r="K32" s="53" t="s">
        <v>161</v>
      </c>
      <c r="L32" s="53">
        <v>1</v>
      </c>
      <c r="N32" s="53">
        <v>4</v>
      </c>
      <c r="O32" s="53">
        <v>0.51</v>
      </c>
      <c r="P32" s="53">
        <v>0.44</v>
      </c>
      <c r="Q32" s="74">
        <f t="shared" si="2"/>
        <v>0.47499999999999998</v>
      </c>
      <c r="R32" s="53">
        <v>16.899999999999999</v>
      </c>
      <c r="S32" s="53">
        <v>94</v>
      </c>
      <c r="T32" s="16">
        <f t="shared" si="0"/>
        <v>36</v>
      </c>
      <c r="U32" s="53">
        <v>398</v>
      </c>
      <c r="V32" s="16">
        <f t="shared" si="1"/>
        <v>16</v>
      </c>
      <c r="W32" s="53">
        <v>7</v>
      </c>
      <c r="X32" s="53" t="s">
        <v>46</v>
      </c>
      <c r="Y32" s="53" t="s">
        <v>55</v>
      </c>
      <c r="Z32" s="53" t="s">
        <v>69</v>
      </c>
      <c r="AA32" s="53" t="s">
        <v>78</v>
      </c>
      <c r="AB32" s="53" t="s">
        <v>319</v>
      </c>
      <c r="AV32" s="27"/>
    </row>
    <row r="33" spans="1:48" x14ac:dyDescent="0.15">
      <c r="A33" s="53" t="s">
        <v>59</v>
      </c>
      <c r="B33" s="53" t="s">
        <v>232</v>
      </c>
      <c r="C33" s="62">
        <v>2019</v>
      </c>
      <c r="D33" s="137" t="s">
        <v>285</v>
      </c>
      <c r="E33" s="53" t="s">
        <v>162</v>
      </c>
      <c r="F33" s="53" t="s">
        <v>338</v>
      </c>
      <c r="G33" s="53" t="s">
        <v>36</v>
      </c>
      <c r="H33" s="53" t="s">
        <v>160</v>
      </c>
      <c r="I33" s="53" t="s">
        <v>159</v>
      </c>
      <c r="J33" s="53" t="s">
        <v>38</v>
      </c>
      <c r="K33" s="53" t="s">
        <v>161</v>
      </c>
      <c r="L33" s="53">
        <v>2</v>
      </c>
      <c r="N33" s="53">
        <v>4</v>
      </c>
      <c r="O33" s="53">
        <v>0.32</v>
      </c>
      <c r="P33" s="53">
        <v>0.42</v>
      </c>
      <c r="Q33" s="74">
        <f t="shared" si="2"/>
        <v>0.37</v>
      </c>
      <c r="R33" s="53">
        <v>17.399999999999999</v>
      </c>
      <c r="S33" s="53">
        <v>95</v>
      </c>
      <c r="T33" s="16">
        <f t="shared" si="0"/>
        <v>36</v>
      </c>
      <c r="U33" s="53">
        <v>398</v>
      </c>
      <c r="V33" s="16">
        <f t="shared" si="1"/>
        <v>16</v>
      </c>
      <c r="W33" s="53">
        <v>7</v>
      </c>
      <c r="X33" s="53" t="s">
        <v>46</v>
      </c>
      <c r="Y33" s="53" t="s">
        <v>55</v>
      </c>
      <c r="Z33" s="53" t="s">
        <v>69</v>
      </c>
      <c r="AA33" s="53" t="s">
        <v>78</v>
      </c>
      <c r="AB33" s="53" t="s">
        <v>319</v>
      </c>
      <c r="AV33" s="27"/>
    </row>
    <row r="34" spans="1:48" x14ac:dyDescent="0.15">
      <c r="A34" s="53" t="s">
        <v>59</v>
      </c>
      <c r="B34" s="53" t="s">
        <v>232</v>
      </c>
      <c r="C34" s="62">
        <v>2019</v>
      </c>
      <c r="D34" s="137" t="s">
        <v>285</v>
      </c>
      <c r="E34" s="53" t="s">
        <v>162</v>
      </c>
      <c r="F34" s="53" t="s">
        <v>338</v>
      </c>
      <c r="G34" s="53" t="s">
        <v>36</v>
      </c>
      <c r="H34" s="53" t="s">
        <v>160</v>
      </c>
      <c r="I34" s="53" t="s">
        <v>159</v>
      </c>
      <c r="J34" s="53" t="s">
        <v>38</v>
      </c>
      <c r="K34" s="53" t="s">
        <v>161</v>
      </c>
      <c r="L34" s="53">
        <v>3</v>
      </c>
      <c r="N34" s="53">
        <v>4</v>
      </c>
      <c r="O34" s="53">
        <v>0.35</v>
      </c>
      <c r="P34" s="53">
        <v>0.44</v>
      </c>
      <c r="Q34" s="74">
        <f t="shared" si="2"/>
        <v>0.39500000000000002</v>
      </c>
      <c r="R34" s="53">
        <v>16.7</v>
      </c>
      <c r="S34" s="53">
        <v>95</v>
      </c>
      <c r="T34" s="16">
        <f t="shared" si="0"/>
        <v>36</v>
      </c>
      <c r="U34" s="53">
        <v>398</v>
      </c>
      <c r="V34" s="16">
        <f t="shared" si="1"/>
        <v>16</v>
      </c>
      <c r="W34" s="53">
        <v>7</v>
      </c>
      <c r="X34" s="53" t="s">
        <v>46</v>
      </c>
      <c r="Y34" s="53" t="s">
        <v>55</v>
      </c>
      <c r="Z34" s="53" t="s">
        <v>69</v>
      </c>
      <c r="AA34" s="53" t="s">
        <v>78</v>
      </c>
      <c r="AB34" s="53" t="s">
        <v>319</v>
      </c>
      <c r="AV34" s="27"/>
    </row>
    <row r="35" spans="1:48" x14ac:dyDescent="0.15">
      <c r="A35" s="53" t="s">
        <v>59</v>
      </c>
      <c r="B35" s="53" t="s">
        <v>232</v>
      </c>
      <c r="C35" s="62">
        <v>2019</v>
      </c>
      <c r="D35" s="137" t="s">
        <v>285</v>
      </c>
      <c r="E35" s="53" t="s">
        <v>162</v>
      </c>
      <c r="F35" s="53" t="s">
        <v>338</v>
      </c>
      <c r="G35" s="53" t="s">
        <v>36</v>
      </c>
      <c r="H35" s="53" t="s">
        <v>164</v>
      </c>
      <c r="I35" s="53" t="s">
        <v>159</v>
      </c>
      <c r="J35" s="53" t="s">
        <v>38</v>
      </c>
      <c r="K35" s="53" t="s">
        <v>161</v>
      </c>
      <c r="L35" s="53">
        <v>1</v>
      </c>
      <c r="N35" s="53">
        <v>5</v>
      </c>
      <c r="O35" s="53">
        <v>0.76</v>
      </c>
      <c r="P35" s="53">
        <v>0.75</v>
      </c>
      <c r="Q35" s="74">
        <f t="shared" si="2"/>
        <v>0.755</v>
      </c>
      <c r="R35" s="53">
        <v>13.9</v>
      </c>
      <c r="S35" s="53">
        <v>95</v>
      </c>
      <c r="T35" s="16">
        <f t="shared" si="0"/>
        <v>36</v>
      </c>
      <c r="U35" s="53">
        <v>398</v>
      </c>
      <c r="V35" s="16">
        <f t="shared" si="1"/>
        <v>16</v>
      </c>
      <c r="W35" s="53">
        <v>6</v>
      </c>
      <c r="X35" s="53" t="s">
        <v>46</v>
      </c>
      <c r="Y35" s="53" t="s">
        <v>55</v>
      </c>
      <c r="Z35" s="53" t="s">
        <v>69</v>
      </c>
      <c r="AA35" s="53" t="s">
        <v>78</v>
      </c>
      <c r="AB35" s="53" t="s">
        <v>319</v>
      </c>
      <c r="AV35" s="27"/>
    </row>
    <row r="36" spans="1:48" x14ac:dyDescent="0.15">
      <c r="A36" s="53" t="s">
        <v>59</v>
      </c>
      <c r="B36" s="53" t="s">
        <v>232</v>
      </c>
      <c r="C36" s="62">
        <v>2019</v>
      </c>
      <c r="D36" s="137" t="s">
        <v>285</v>
      </c>
      <c r="E36" s="53" t="s">
        <v>162</v>
      </c>
      <c r="F36" s="53" t="s">
        <v>338</v>
      </c>
      <c r="G36" s="53" t="s">
        <v>36</v>
      </c>
      <c r="H36" s="53" t="s">
        <v>164</v>
      </c>
      <c r="I36" s="53" t="s">
        <v>159</v>
      </c>
      <c r="J36" s="53" t="s">
        <v>38</v>
      </c>
      <c r="K36" s="53" t="s">
        <v>161</v>
      </c>
      <c r="L36" s="53">
        <v>2</v>
      </c>
      <c r="N36" s="53">
        <v>5</v>
      </c>
      <c r="O36" s="53">
        <v>0.51</v>
      </c>
      <c r="P36" s="53">
        <v>0.61</v>
      </c>
      <c r="Q36" s="74">
        <f t="shared" si="2"/>
        <v>0.56000000000000005</v>
      </c>
      <c r="R36" s="53">
        <v>13.2</v>
      </c>
      <c r="S36" s="53">
        <v>90</v>
      </c>
      <c r="T36" s="16">
        <f t="shared" si="0"/>
        <v>36</v>
      </c>
      <c r="U36" s="53">
        <v>398</v>
      </c>
      <c r="V36" s="16">
        <f t="shared" si="1"/>
        <v>16</v>
      </c>
      <c r="W36" s="53">
        <v>6</v>
      </c>
      <c r="X36" s="53" t="s">
        <v>46</v>
      </c>
      <c r="Y36" s="53" t="s">
        <v>55</v>
      </c>
      <c r="Z36" s="53" t="s">
        <v>69</v>
      </c>
      <c r="AA36" s="53" t="s">
        <v>78</v>
      </c>
      <c r="AB36" s="53" t="s">
        <v>319</v>
      </c>
      <c r="AV36" s="27"/>
    </row>
    <row r="37" spans="1:48" x14ac:dyDescent="0.15">
      <c r="A37" s="53" t="s">
        <v>59</v>
      </c>
      <c r="B37" s="53" t="s">
        <v>232</v>
      </c>
      <c r="C37" s="62">
        <v>2019</v>
      </c>
      <c r="D37" s="137" t="s">
        <v>285</v>
      </c>
      <c r="E37" s="53" t="s">
        <v>162</v>
      </c>
      <c r="F37" s="53" t="s">
        <v>338</v>
      </c>
      <c r="G37" s="53" t="s">
        <v>36</v>
      </c>
      <c r="H37" s="53" t="s">
        <v>164</v>
      </c>
      <c r="I37" s="53" t="s">
        <v>159</v>
      </c>
      <c r="J37" s="53" t="s">
        <v>38</v>
      </c>
      <c r="K37" s="53" t="s">
        <v>161</v>
      </c>
      <c r="L37" s="53">
        <v>3</v>
      </c>
      <c r="N37" s="53">
        <v>5</v>
      </c>
      <c r="O37" s="53">
        <v>0.53</v>
      </c>
      <c r="P37" s="53">
        <v>0.62</v>
      </c>
      <c r="Q37" s="74">
        <f t="shared" si="2"/>
        <v>0.57499999999999996</v>
      </c>
      <c r="R37" s="53">
        <v>14.2</v>
      </c>
      <c r="S37" s="53">
        <v>89</v>
      </c>
      <c r="T37" s="16">
        <f t="shared" si="0"/>
        <v>36</v>
      </c>
      <c r="U37" s="53">
        <v>398</v>
      </c>
      <c r="V37" s="16">
        <f t="shared" si="1"/>
        <v>16</v>
      </c>
      <c r="W37" s="53">
        <v>6</v>
      </c>
      <c r="X37" s="53" t="s">
        <v>46</v>
      </c>
      <c r="Y37" s="53" t="s">
        <v>55</v>
      </c>
      <c r="Z37" s="53" t="s">
        <v>69</v>
      </c>
      <c r="AA37" s="53" t="s">
        <v>78</v>
      </c>
      <c r="AB37" s="53" t="s">
        <v>319</v>
      </c>
      <c r="AV37" s="27"/>
    </row>
    <row r="38" spans="1:48" x14ac:dyDescent="0.15">
      <c r="A38" s="53" t="s">
        <v>59</v>
      </c>
      <c r="B38" s="53" t="s">
        <v>232</v>
      </c>
      <c r="C38" s="62">
        <v>2019</v>
      </c>
      <c r="D38" s="137" t="s">
        <v>285</v>
      </c>
      <c r="E38" s="53" t="s">
        <v>335</v>
      </c>
      <c r="F38" s="53" t="s">
        <v>336</v>
      </c>
      <c r="G38" s="53" t="s">
        <v>36</v>
      </c>
      <c r="H38" s="53" t="s">
        <v>160</v>
      </c>
      <c r="I38" s="53" t="s">
        <v>159</v>
      </c>
      <c r="J38" s="53" t="s">
        <v>38</v>
      </c>
      <c r="K38" s="53" t="s">
        <v>161</v>
      </c>
      <c r="L38" s="53">
        <v>1</v>
      </c>
      <c r="N38" s="53">
        <v>3</v>
      </c>
      <c r="O38" s="53">
        <v>0.63</v>
      </c>
      <c r="P38" s="53">
        <v>0.63</v>
      </c>
      <c r="Q38" s="74">
        <f t="shared" si="2"/>
        <v>0.63</v>
      </c>
      <c r="R38" s="53">
        <v>17.7</v>
      </c>
      <c r="S38" s="53">
        <v>132</v>
      </c>
      <c r="T38" s="16">
        <f t="shared" si="0"/>
        <v>25</v>
      </c>
      <c r="U38" s="53">
        <v>399</v>
      </c>
      <c r="V38" s="16">
        <f t="shared" si="1"/>
        <v>16</v>
      </c>
      <c r="W38" s="53">
        <v>14</v>
      </c>
      <c r="X38" s="53" t="s">
        <v>39</v>
      </c>
      <c r="Y38" s="53" t="s">
        <v>69</v>
      </c>
      <c r="Z38" s="53" t="s">
        <v>55</v>
      </c>
      <c r="AA38" s="53" t="s">
        <v>78</v>
      </c>
      <c r="AB38" s="53" t="s">
        <v>319</v>
      </c>
      <c r="AV38" s="27"/>
    </row>
    <row r="39" spans="1:48" x14ac:dyDescent="0.15">
      <c r="A39" s="53" t="s">
        <v>59</v>
      </c>
      <c r="B39" s="53" t="s">
        <v>232</v>
      </c>
      <c r="C39" s="62">
        <v>2019</v>
      </c>
      <c r="D39" s="137" t="s">
        <v>285</v>
      </c>
      <c r="E39" s="53" t="s">
        <v>335</v>
      </c>
      <c r="F39" s="53" t="s">
        <v>336</v>
      </c>
      <c r="G39" s="53" t="s">
        <v>36</v>
      </c>
      <c r="H39" s="53" t="s">
        <v>160</v>
      </c>
      <c r="I39" s="53" t="s">
        <v>159</v>
      </c>
      <c r="J39" s="53" t="s">
        <v>38</v>
      </c>
      <c r="K39" s="53" t="s">
        <v>161</v>
      </c>
      <c r="L39" s="53">
        <v>2</v>
      </c>
      <c r="N39" s="53">
        <v>3</v>
      </c>
      <c r="O39" s="53">
        <v>0.55000000000000004</v>
      </c>
      <c r="P39" s="53">
        <v>0.56000000000000005</v>
      </c>
      <c r="Q39" s="74">
        <f t="shared" si="2"/>
        <v>0.55500000000000005</v>
      </c>
      <c r="R39" s="53">
        <v>16.3</v>
      </c>
      <c r="S39" s="53">
        <v>135</v>
      </c>
      <c r="T39" s="16">
        <f t="shared" si="0"/>
        <v>25</v>
      </c>
      <c r="U39" s="53">
        <v>399</v>
      </c>
      <c r="V39" s="16">
        <f t="shared" si="1"/>
        <v>16</v>
      </c>
      <c r="W39" s="53">
        <v>14</v>
      </c>
      <c r="X39" s="53" t="s">
        <v>39</v>
      </c>
      <c r="Y39" s="53" t="s">
        <v>69</v>
      </c>
      <c r="Z39" s="53" t="s">
        <v>55</v>
      </c>
      <c r="AA39" s="53" t="s">
        <v>78</v>
      </c>
      <c r="AB39" s="53" t="s">
        <v>319</v>
      </c>
      <c r="AV39" s="27"/>
    </row>
    <row r="40" spans="1:48" x14ac:dyDescent="0.15">
      <c r="A40" s="53" t="s">
        <v>59</v>
      </c>
      <c r="B40" s="53" t="s">
        <v>232</v>
      </c>
      <c r="C40" s="62">
        <v>2019</v>
      </c>
      <c r="D40" s="137" t="s">
        <v>285</v>
      </c>
      <c r="E40" s="53" t="s">
        <v>335</v>
      </c>
      <c r="F40" s="53" t="s">
        <v>336</v>
      </c>
      <c r="G40" s="53" t="s">
        <v>36</v>
      </c>
      <c r="H40" s="53" t="s">
        <v>160</v>
      </c>
      <c r="I40" s="53" t="s">
        <v>159</v>
      </c>
      <c r="J40" s="53" t="s">
        <v>38</v>
      </c>
      <c r="K40" s="53" t="s">
        <v>161</v>
      </c>
      <c r="L40" s="53">
        <v>3</v>
      </c>
      <c r="N40" s="53">
        <v>3</v>
      </c>
      <c r="O40" s="53">
        <v>0.6</v>
      </c>
      <c r="P40" s="53">
        <v>0.56999999999999995</v>
      </c>
      <c r="Q40" s="74">
        <f t="shared" si="2"/>
        <v>0.58499999999999996</v>
      </c>
      <c r="R40" s="53">
        <v>16.8</v>
      </c>
      <c r="S40" s="53">
        <v>134</v>
      </c>
      <c r="T40" s="16">
        <f t="shared" si="0"/>
        <v>25</v>
      </c>
      <c r="U40" s="53">
        <v>399</v>
      </c>
      <c r="V40" s="16">
        <f t="shared" si="1"/>
        <v>16</v>
      </c>
      <c r="W40" s="53">
        <v>14</v>
      </c>
      <c r="X40" s="53" t="s">
        <v>39</v>
      </c>
      <c r="Y40" s="53" t="s">
        <v>69</v>
      </c>
      <c r="Z40" s="53" t="s">
        <v>55</v>
      </c>
      <c r="AA40" s="53" t="s">
        <v>78</v>
      </c>
      <c r="AB40" s="53" t="s">
        <v>319</v>
      </c>
      <c r="AV40" s="27"/>
    </row>
    <row r="41" spans="1:48" x14ac:dyDescent="0.15">
      <c r="A41" s="53" t="s">
        <v>59</v>
      </c>
      <c r="B41" s="53" t="s">
        <v>232</v>
      </c>
      <c r="C41" s="62">
        <v>2019</v>
      </c>
      <c r="D41" s="137" t="s">
        <v>285</v>
      </c>
      <c r="E41" s="53" t="s">
        <v>335</v>
      </c>
      <c r="F41" s="53" t="s">
        <v>336</v>
      </c>
      <c r="G41" s="53" t="s">
        <v>36</v>
      </c>
      <c r="H41" s="53" t="s">
        <v>164</v>
      </c>
      <c r="I41" s="53" t="s">
        <v>159</v>
      </c>
      <c r="J41" s="53" t="s">
        <v>38</v>
      </c>
      <c r="K41" s="53" t="s">
        <v>161</v>
      </c>
      <c r="L41" s="53">
        <v>1</v>
      </c>
      <c r="N41" s="53">
        <v>3</v>
      </c>
      <c r="O41" s="53">
        <v>0.78</v>
      </c>
      <c r="P41" s="53">
        <v>0.69</v>
      </c>
      <c r="Q41" s="74">
        <f t="shared" si="2"/>
        <v>0.73499999999999999</v>
      </c>
      <c r="R41" s="53">
        <v>14</v>
      </c>
      <c r="S41" s="53">
        <v>131</v>
      </c>
      <c r="T41" s="16">
        <f t="shared" si="0"/>
        <v>25</v>
      </c>
      <c r="U41" s="53">
        <v>399</v>
      </c>
      <c r="V41" s="16">
        <f t="shared" si="1"/>
        <v>16</v>
      </c>
      <c r="W41" s="53">
        <v>9</v>
      </c>
      <c r="X41" s="53" t="s">
        <v>39</v>
      </c>
      <c r="Y41" s="53" t="s">
        <v>69</v>
      </c>
      <c r="Z41" s="53" t="s">
        <v>55</v>
      </c>
      <c r="AA41" s="53" t="s">
        <v>78</v>
      </c>
      <c r="AB41" s="53" t="s">
        <v>319</v>
      </c>
      <c r="AV41" s="27"/>
    </row>
    <row r="42" spans="1:48" x14ac:dyDescent="0.15">
      <c r="A42" s="53" t="s">
        <v>59</v>
      </c>
      <c r="B42" s="53" t="s">
        <v>232</v>
      </c>
      <c r="C42" s="62">
        <v>2019</v>
      </c>
      <c r="D42" s="137" t="s">
        <v>285</v>
      </c>
      <c r="E42" s="53" t="s">
        <v>335</v>
      </c>
      <c r="F42" s="53" t="s">
        <v>336</v>
      </c>
      <c r="G42" s="53" t="s">
        <v>36</v>
      </c>
      <c r="H42" s="53" t="s">
        <v>164</v>
      </c>
      <c r="I42" s="53" t="s">
        <v>159</v>
      </c>
      <c r="J42" s="53" t="s">
        <v>38</v>
      </c>
      <c r="K42" s="53" t="s">
        <v>161</v>
      </c>
      <c r="L42" s="53">
        <v>2</v>
      </c>
      <c r="N42" s="53">
        <v>3</v>
      </c>
      <c r="O42" s="53">
        <v>0.72</v>
      </c>
      <c r="P42" s="53">
        <v>0.72</v>
      </c>
      <c r="Q42" s="74">
        <f t="shared" si="2"/>
        <v>0.72</v>
      </c>
      <c r="R42" s="53">
        <v>15.6</v>
      </c>
      <c r="S42" s="53">
        <v>134</v>
      </c>
      <c r="T42" s="16">
        <f t="shared" si="0"/>
        <v>25</v>
      </c>
      <c r="U42" s="53">
        <v>399</v>
      </c>
      <c r="V42" s="16">
        <f t="shared" si="1"/>
        <v>16</v>
      </c>
      <c r="W42" s="53">
        <v>9</v>
      </c>
      <c r="X42" s="53" t="s">
        <v>39</v>
      </c>
      <c r="Y42" s="53" t="s">
        <v>69</v>
      </c>
      <c r="Z42" s="53" t="s">
        <v>55</v>
      </c>
      <c r="AA42" s="53" t="s">
        <v>78</v>
      </c>
      <c r="AB42" s="53" t="s">
        <v>319</v>
      </c>
      <c r="AV42" s="27"/>
    </row>
    <row r="43" spans="1:48" x14ac:dyDescent="0.15">
      <c r="A43" s="53" t="s">
        <v>59</v>
      </c>
      <c r="B43" s="53" t="s">
        <v>232</v>
      </c>
      <c r="C43" s="62">
        <v>2019</v>
      </c>
      <c r="D43" s="137" t="s">
        <v>285</v>
      </c>
      <c r="E43" s="53" t="s">
        <v>335</v>
      </c>
      <c r="F43" s="53" t="s">
        <v>336</v>
      </c>
      <c r="G43" s="53" t="s">
        <v>36</v>
      </c>
      <c r="H43" s="53" t="s">
        <v>164</v>
      </c>
      <c r="I43" s="53" t="s">
        <v>159</v>
      </c>
      <c r="J43" s="53" t="s">
        <v>38</v>
      </c>
      <c r="K43" s="53" t="s">
        <v>161</v>
      </c>
      <c r="L43" s="53">
        <v>3</v>
      </c>
      <c r="N43" s="53">
        <v>3</v>
      </c>
      <c r="O43" s="53">
        <v>0.68</v>
      </c>
      <c r="P43" s="53">
        <v>0.71</v>
      </c>
      <c r="Q43" s="74">
        <f t="shared" si="2"/>
        <v>0.69500000000000006</v>
      </c>
      <c r="R43" s="53">
        <v>15.2</v>
      </c>
      <c r="S43" s="53">
        <v>133</v>
      </c>
      <c r="T43" s="16">
        <f t="shared" si="0"/>
        <v>25</v>
      </c>
      <c r="U43" s="53">
        <v>399</v>
      </c>
      <c r="V43" s="16">
        <f t="shared" si="1"/>
        <v>16</v>
      </c>
      <c r="W43" s="53">
        <v>9</v>
      </c>
      <c r="X43" s="53" t="s">
        <v>39</v>
      </c>
      <c r="Y43" s="53" t="s">
        <v>69</v>
      </c>
      <c r="Z43" s="53" t="s">
        <v>55</v>
      </c>
      <c r="AA43" s="53" t="s">
        <v>78</v>
      </c>
      <c r="AB43" s="53" t="s">
        <v>319</v>
      </c>
      <c r="AV43" s="27"/>
    </row>
    <row r="44" spans="1:48" x14ac:dyDescent="0.15">
      <c r="A44" s="53" t="s">
        <v>59</v>
      </c>
      <c r="B44" s="53" t="s">
        <v>232</v>
      </c>
      <c r="C44" s="62">
        <v>2019</v>
      </c>
      <c r="D44" s="137" t="s">
        <v>285</v>
      </c>
      <c r="E44" s="53" t="s">
        <v>326</v>
      </c>
      <c r="F44" s="53" t="s">
        <v>327</v>
      </c>
      <c r="G44" s="53" t="s">
        <v>36</v>
      </c>
      <c r="H44" s="53" t="s">
        <v>160</v>
      </c>
      <c r="I44" s="53" t="s">
        <v>159</v>
      </c>
      <c r="J44" s="53" t="s">
        <v>38</v>
      </c>
      <c r="K44" s="53" t="s">
        <v>161</v>
      </c>
      <c r="L44" s="53">
        <v>1</v>
      </c>
      <c r="N44" s="53">
        <v>4</v>
      </c>
      <c r="O44" s="53">
        <v>0.42</v>
      </c>
      <c r="P44" s="53">
        <v>0.36</v>
      </c>
      <c r="Q44" s="74">
        <f t="shared" si="2"/>
        <v>0.39</v>
      </c>
      <c r="R44" s="53">
        <v>15.2</v>
      </c>
      <c r="S44" s="53">
        <v>86</v>
      </c>
      <c r="T44" s="16">
        <f t="shared" si="0"/>
        <v>36</v>
      </c>
      <c r="U44" s="53">
        <v>486</v>
      </c>
      <c r="V44" s="16">
        <f t="shared" si="1"/>
        <v>16</v>
      </c>
      <c r="W44" s="53">
        <v>1</v>
      </c>
      <c r="X44" s="53" t="s">
        <v>39</v>
      </c>
      <c r="Y44" s="53" t="s">
        <v>69</v>
      </c>
      <c r="Z44" s="53" t="s">
        <v>90</v>
      </c>
      <c r="AA44" s="53" t="s">
        <v>353</v>
      </c>
      <c r="AB44" s="53" t="s">
        <v>319</v>
      </c>
      <c r="AV44" s="27"/>
    </row>
    <row r="45" spans="1:48" x14ac:dyDescent="0.15">
      <c r="A45" s="53" t="s">
        <v>59</v>
      </c>
      <c r="B45" s="53" t="s">
        <v>232</v>
      </c>
      <c r="C45" s="62">
        <v>2019</v>
      </c>
      <c r="D45" s="137" t="s">
        <v>285</v>
      </c>
      <c r="E45" s="53" t="s">
        <v>326</v>
      </c>
      <c r="F45" s="53" t="s">
        <v>327</v>
      </c>
      <c r="G45" s="53" t="s">
        <v>36</v>
      </c>
      <c r="H45" s="53" t="s">
        <v>160</v>
      </c>
      <c r="I45" s="53" t="s">
        <v>159</v>
      </c>
      <c r="J45" s="53" t="s">
        <v>38</v>
      </c>
      <c r="K45" s="53" t="s">
        <v>161</v>
      </c>
      <c r="L45" s="53">
        <v>2</v>
      </c>
      <c r="N45" s="53">
        <v>4</v>
      </c>
      <c r="O45" s="53">
        <v>0.35</v>
      </c>
      <c r="P45" s="53">
        <v>0.32</v>
      </c>
      <c r="Q45" s="74">
        <f t="shared" si="2"/>
        <v>0.33499999999999996</v>
      </c>
      <c r="R45" s="53">
        <v>16.2</v>
      </c>
      <c r="S45" s="53">
        <v>85</v>
      </c>
      <c r="T45" s="16">
        <f t="shared" si="0"/>
        <v>36</v>
      </c>
      <c r="U45" s="53">
        <v>486</v>
      </c>
      <c r="V45" s="16">
        <f t="shared" si="1"/>
        <v>16</v>
      </c>
      <c r="W45" s="53">
        <v>1</v>
      </c>
      <c r="X45" s="53" t="s">
        <v>39</v>
      </c>
      <c r="Y45" s="53" t="s">
        <v>69</v>
      </c>
      <c r="Z45" s="53" t="s">
        <v>90</v>
      </c>
      <c r="AA45" s="53" t="s">
        <v>353</v>
      </c>
      <c r="AB45" s="53" t="s">
        <v>319</v>
      </c>
      <c r="AV45" s="27"/>
    </row>
    <row r="46" spans="1:48" x14ac:dyDescent="0.15">
      <c r="A46" s="53" t="s">
        <v>59</v>
      </c>
      <c r="B46" s="53" t="s">
        <v>232</v>
      </c>
      <c r="C46" s="62">
        <v>2019</v>
      </c>
      <c r="D46" s="137" t="s">
        <v>285</v>
      </c>
      <c r="E46" s="53" t="s">
        <v>326</v>
      </c>
      <c r="F46" s="53" t="s">
        <v>327</v>
      </c>
      <c r="G46" s="53" t="s">
        <v>36</v>
      </c>
      <c r="H46" s="53" t="s">
        <v>160</v>
      </c>
      <c r="I46" s="53" t="s">
        <v>159</v>
      </c>
      <c r="J46" s="53" t="s">
        <v>38</v>
      </c>
      <c r="K46" s="53" t="s">
        <v>161</v>
      </c>
      <c r="L46" s="53">
        <v>3</v>
      </c>
      <c r="N46" s="53">
        <v>4</v>
      </c>
      <c r="O46" s="53">
        <v>0.41</v>
      </c>
      <c r="P46" s="53">
        <v>0.38</v>
      </c>
      <c r="Q46" s="74">
        <f t="shared" si="2"/>
        <v>0.39500000000000002</v>
      </c>
      <c r="R46" s="53">
        <v>16.600000000000001</v>
      </c>
      <c r="S46" s="53">
        <v>84</v>
      </c>
      <c r="T46" s="16">
        <f t="shared" si="0"/>
        <v>36</v>
      </c>
      <c r="U46" s="53">
        <v>486</v>
      </c>
      <c r="V46" s="16">
        <f t="shared" si="1"/>
        <v>16</v>
      </c>
      <c r="W46" s="53">
        <v>1</v>
      </c>
      <c r="X46" s="53" t="s">
        <v>39</v>
      </c>
      <c r="Y46" s="53" t="s">
        <v>69</v>
      </c>
      <c r="Z46" s="53" t="s">
        <v>90</v>
      </c>
      <c r="AA46" s="53" t="s">
        <v>353</v>
      </c>
      <c r="AB46" s="53" t="s">
        <v>319</v>
      </c>
      <c r="AV46" s="27"/>
    </row>
    <row r="47" spans="1:48" x14ac:dyDescent="0.15">
      <c r="A47" s="53" t="s">
        <v>59</v>
      </c>
      <c r="B47" s="53" t="s">
        <v>232</v>
      </c>
      <c r="C47" s="62">
        <v>2019</v>
      </c>
      <c r="D47" s="137" t="s">
        <v>285</v>
      </c>
      <c r="E47" s="53" t="s">
        <v>326</v>
      </c>
      <c r="F47" s="53" t="s">
        <v>327</v>
      </c>
      <c r="G47" s="53" t="s">
        <v>36</v>
      </c>
      <c r="H47" s="53" t="s">
        <v>164</v>
      </c>
      <c r="I47" s="53" t="s">
        <v>159</v>
      </c>
      <c r="J47" s="53" t="s">
        <v>38</v>
      </c>
      <c r="K47" s="53" t="s">
        <v>161</v>
      </c>
      <c r="L47" s="53">
        <v>1</v>
      </c>
      <c r="N47" s="53">
        <v>1</v>
      </c>
      <c r="O47" s="53">
        <v>0.67</v>
      </c>
      <c r="P47" s="53">
        <v>0.66</v>
      </c>
      <c r="Q47" s="74">
        <f t="shared" si="2"/>
        <v>0.66500000000000004</v>
      </c>
      <c r="R47" s="53">
        <v>15.2</v>
      </c>
      <c r="S47" s="53">
        <v>135</v>
      </c>
      <c r="T47" s="16">
        <f t="shared" si="0"/>
        <v>25</v>
      </c>
      <c r="U47" s="53">
        <v>105</v>
      </c>
      <c r="V47" s="16">
        <f t="shared" si="1"/>
        <v>33</v>
      </c>
      <c r="W47" s="53">
        <v>1</v>
      </c>
      <c r="X47" s="53" t="s">
        <v>39</v>
      </c>
      <c r="Y47" s="53" t="s">
        <v>69</v>
      </c>
      <c r="Z47" s="53" t="s">
        <v>90</v>
      </c>
      <c r="AA47" s="53" t="s">
        <v>353</v>
      </c>
      <c r="AB47" s="53" t="s">
        <v>319</v>
      </c>
      <c r="AV47" s="27"/>
    </row>
    <row r="48" spans="1:48" x14ac:dyDescent="0.15">
      <c r="A48" s="53" t="s">
        <v>59</v>
      </c>
      <c r="B48" s="53" t="s">
        <v>232</v>
      </c>
      <c r="C48" s="62">
        <v>2019</v>
      </c>
      <c r="D48" s="137" t="s">
        <v>285</v>
      </c>
      <c r="E48" s="53" t="s">
        <v>326</v>
      </c>
      <c r="F48" s="53" t="s">
        <v>327</v>
      </c>
      <c r="G48" s="53" t="s">
        <v>36</v>
      </c>
      <c r="H48" s="53" t="s">
        <v>164</v>
      </c>
      <c r="I48" s="53" t="s">
        <v>159</v>
      </c>
      <c r="J48" s="53" t="s">
        <v>38</v>
      </c>
      <c r="K48" s="53" t="s">
        <v>161</v>
      </c>
      <c r="L48" s="53">
        <v>2</v>
      </c>
      <c r="N48" s="53">
        <v>1</v>
      </c>
      <c r="O48" s="53">
        <v>0.6</v>
      </c>
      <c r="P48" s="53">
        <v>0.7</v>
      </c>
      <c r="Q48" s="74">
        <f t="shared" si="2"/>
        <v>0.64999999999999991</v>
      </c>
      <c r="R48" s="53">
        <v>14.5</v>
      </c>
      <c r="S48" s="53">
        <v>135</v>
      </c>
      <c r="T48" s="16">
        <f t="shared" si="0"/>
        <v>25</v>
      </c>
      <c r="U48" s="53">
        <v>105</v>
      </c>
      <c r="V48" s="16">
        <f t="shared" si="1"/>
        <v>33</v>
      </c>
      <c r="W48" s="53">
        <v>1</v>
      </c>
      <c r="X48" s="53" t="s">
        <v>39</v>
      </c>
      <c r="Y48" s="53" t="s">
        <v>69</v>
      </c>
      <c r="Z48" s="53" t="s">
        <v>90</v>
      </c>
      <c r="AA48" s="53" t="s">
        <v>353</v>
      </c>
      <c r="AB48" s="53" t="s">
        <v>319</v>
      </c>
      <c r="AV48" s="27"/>
    </row>
    <row r="49" spans="1:48" x14ac:dyDescent="0.15">
      <c r="A49" s="53" t="s">
        <v>59</v>
      </c>
      <c r="B49" s="53" t="s">
        <v>232</v>
      </c>
      <c r="C49" s="62">
        <v>2019</v>
      </c>
      <c r="D49" s="137" t="s">
        <v>285</v>
      </c>
      <c r="E49" s="53" t="s">
        <v>326</v>
      </c>
      <c r="F49" s="53" t="s">
        <v>327</v>
      </c>
      <c r="G49" s="53" t="s">
        <v>36</v>
      </c>
      <c r="H49" s="53" t="s">
        <v>164</v>
      </c>
      <c r="I49" s="53" t="s">
        <v>159</v>
      </c>
      <c r="J49" s="53" t="s">
        <v>38</v>
      </c>
      <c r="K49" s="53" t="s">
        <v>161</v>
      </c>
      <c r="L49" s="53">
        <v>3</v>
      </c>
      <c r="N49" s="53">
        <v>1</v>
      </c>
      <c r="O49" s="53">
        <v>0.68</v>
      </c>
      <c r="P49" s="53">
        <v>0.65</v>
      </c>
      <c r="Q49" s="74">
        <f t="shared" si="2"/>
        <v>0.66500000000000004</v>
      </c>
      <c r="R49" s="53">
        <v>15.2</v>
      </c>
      <c r="S49" s="53">
        <v>130</v>
      </c>
      <c r="T49" s="16">
        <f t="shared" si="0"/>
        <v>25</v>
      </c>
      <c r="U49" s="53">
        <v>105</v>
      </c>
      <c r="V49" s="16">
        <f t="shared" si="1"/>
        <v>33</v>
      </c>
      <c r="W49" s="53">
        <v>1</v>
      </c>
      <c r="X49" s="53" t="s">
        <v>39</v>
      </c>
      <c r="Y49" s="53" t="s">
        <v>69</v>
      </c>
      <c r="Z49" s="53" t="s">
        <v>90</v>
      </c>
      <c r="AA49" s="53" t="s">
        <v>353</v>
      </c>
      <c r="AB49" s="53" t="s">
        <v>319</v>
      </c>
      <c r="AV49" s="27"/>
    </row>
    <row r="50" spans="1:48" x14ac:dyDescent="0.15">
      <c r="A50" s="53" t="s">
        <v>59</v>
      </c>
      <c r="B50" s="53" t="s">
        <v>232</v>
      </c>
      <c r="C50" s="62">
        <v>2019</v>
      </c>
      <c r="D50" s="137" t="s">
        <v>285</v>
      </c>
      <c r="E50" s="53" t="s">
        <v>342</v>
      </c>
      <c r="F50" s="53" t="s">
        <v>343</v>
      </c>
      <c r="G50" s="53" t="s">
        <v>36</v>
      </c>
      <c r="H50" s="53" t="s">
        <v>160</v>
      </c>
      <c r="I50" s="53" t="s">
        <v>159</v>
      </c>
      <c r="J50" s="53" t="s">
        <v>38</v>
      </c>
      <c r="K50" s="53" t="s">
        <v>161</v>
      </c>
      <c r="L50" s="53">
        <v>1</v>
      </c>
      <c r="N50" s="53">
        <v>4</v>
      </c>
      <c r="O50" s="53">
        <v>0.54</v>
      </c>
      <c r="P50" s="53">
        <v>0.54</v>
      </c>
      <c r="Q50" s="74">
        <f t="shared" si="2"/>
        <v>0.54</v>
      </c>
      <c r="R50" s="53">
        <v>18.100000000000001</v>
      </c>
      <c r="S50" s="53">
        <v>121</v>
      </c>
      <c r="T50" s="16">
        <f t="shared" si="0"/>
        <v>27</v>
      </c>
      <c r="U50" s="53">
        <v>458</v>
      </c>
      <c r="V50" s="16">
        <f t="shared" si="1"/>
        <v>16</v>
      </c>
      <c r="W50" s="53">
        <v>8</v>
      </c>
      <c r="X50" s="53" t="s">
        <v>46</v>
      </c>
      <c r="Y50" s="53" t="s">
        <v>55</v>
      </c>
      <c r="Z50" s="53" t="s">
        <v>97</v>
      </c>
      <c r="AA50" s="53" t="s">
        <v>69</v>
      </c>
      <c r="AB50" s="53" t="s">
        <v>319</v>
      </c>
      <c r="AV50" s="27"/>
    </row>
    <row r="51" spans="1:48" x14ac:dyDescent="0.15">
      <c r="A51" s="53" t="s">
        <v>59</v>
      </c>
      <c r="B51" s="53" t="s">
        <v>232</v>
      </c>
      <c r="C51" s="62">
        <v>2019</v>
      </c>
      <c r="D51" s="137" t="s">
        <v>285</v>
      </c>
      <c r="E51" s="53" t="s">
        <v>342</v>
      </c>
      <c r="F51" s="53" t="s">
        <v>343</v>
      </c>
      <c r="G51" s="53" t="s">
        <v>36</v>
      </c>
      <c r="H51" s="53" t="s">
        <v>160</v>
      </c>
      <c r="I51" s="53" t="s">
        <v>159</v>
      </c>
      <c r="J51" s="53" t="s">
        <v>38</v>
      </c>
      <c r="K51" s="53" t="s">
        <v>161</v>
      </c>
      <c r="L51" s="53">
        <v>2</v>
      </c>
      <c r="N51" s="53">
        <v>4</v>
      </c>
      <c r="O51" s="53">
        <v>0.36</v>
      </c>
      <c r="P51" s="53">
        <v>0.36</v>
      </c>
      <c r="Q51" s="74">
        <f t="shared" si="2"/>
        <v>0.36</v>
      </c>
      <c r="R51" s="53">
        <v>16.600000000000001</v>
      </c>
      <c r="S51" s="53">
        <v>126</v>
      </c>
      <c r="T51" s="16">
        <f t="shared" si="0"/>
        <v>27</v>
      </c>
      <c r="U51" s="53">
        <v>458</v>
      </c>
      <c r="V51" s="16">
        <f t="shared" si="1"/>
        <v>16</v>
      </c>
      <c r="W51" s="53">
        <v>8</v>
      </c>
      <c r="X51" s="53" t="s">
        <v>46</v>
      </c>
      <c r="Y51" s="53" t="s">
        <v>55</v>
      </c>
      <c r="Z51" s="53" t="s">
        <v>97</v>
      </c>
      <c r="AA51" s="53" t="s">
        <v>69</v>
      </c>
      <c r="AB51" s="53" t="s">
        <v>319</v>
      </c>
      <c r="AV51" s="27"/>
    </row>
    <row r="52" spans="1:48" x14ac:dyDescent="0.15">
      <c r="A52" s="53" t="s">
        <v>59</v>
      </c>
      <c r="B52" s="53" t="s">
        <v>232</v>
      </c>
      <c r="C52" s="62">
        <v>2019</v>
      </c>
      <c r="D52" s="137" t="s">
        <v>285</v>
      </c>
      <c r="E52" s="53" t="s">
        <v>342</v>
      </c>
      <c r="F52" s="53" t="s">
        <v>343</v>
      </c>
      <c r="G52" s="53" t="s">
        <v>36</v>
      </c>
      <c r="H52" s="53" t="s">
        <v>160</v>
      </c>
      <c r="I52" s="53" t="s">
        <v>159</v>
      </c>
      <c r="J52" s="53" t="s">
        <v>38</v>
      </c>
      <c r="K52" s="53" t="s">
        <v>161</v>
      </c>
      <c r="L52" s="53">
        <v>3</v>
      </c>
      <c r="N52" s="53">
        <v>4</v>
      </c>
      <c r="O52" s="53">
        <v>0.51</v>
      </c>
      <c r="P52" s="53">
        <v>0.49</v>
      </c>
      <c r="Q52" s="74">
        <f t="shared" si="2"/>
        <v>0.5</v>
      </c>
      <c r="R52" s="53">
        <v>16.899999999999999</v>
      </c>
      <c r="S52" s="53">
        <v>124</v>
      </c>
      <c r="T52" s="16">
        <f t="shared" si="0"/>
        <v>27</v>
      </c>
      <c r="U52" s="53">
        <v>458</v>
      </c>
      <c r="V52" s="16">
        <f t="shared" si="1"/>
        <v>16</v>
      </c>
      <c r="W52" s="53">
        <v>8</v>
      </c>
      <c r="X52" s="53" t="s">
        <v>46</v>
      </c>
      <c r="Y52" s="53" t="s">
        <v>55</v>
      </c>
      <c r="Z52" s="53" t="s">
        <v>97</v>
      </c>
      <c r="AA52" s="53" t="s">
        <v>69</v>
      </c>
      <c r="AB52" s="53" t="s">
        <v>319</v>
      </c>
      <c r="AV52" s="27"/>
    </row>
    <row r="53" spans="1:48" x14ac:dyDescent="0.15">
      <c r="A53" s="53" t="s">
        <v>59</v>
      </c>
      <c r="B53" s="53" t="s">
        <v>232</v>
      </c>
      <c r="C53" s="62">
        <v>2019</v>
      </c>
      <c r="D53" s="137" t="s">
        <v>285</v>
      </c>
      <c r="E53" s="53" t="s">
        <v>342</v>
      </c>
      <c r="F53" s="53" t="s">
        <v>343</v>
      </c>
      <c r="G53" s="53" t="s">
        <v>36</v>
      </c>
      <c r="H53" s="53" t="s">
        <v>164</v>
      </c>
      <c r="I53" s="53" t="s">
        <v>159</v>
      </c>
      <c r="J53" s="53" t="s">
        <v>38</v>
      </c>
      <c r="K53" s="53" t="s">
        <v>161</v>
      </c>
      <c r="L53" s="53">
        <v>1</v>
      </c>
      <c r="N53" s="53">
        <v>4</v>
      </c>
      <c r="O53" s="53">
        <v>0.73</v>
      </c>
      <c r="P53" s="53">
        <v>0.71</v>
      </c>
      <c r="Q53" s="74">
        <f t="shared" si="2"/>
        <v>0.72</v>
      </c>
      <c r="R53" s="53">
        <v>14</v>
      </c>
      <c r="S53" s="53">
        <v>135</v>
      </c>
      <c r="T53" s="16">
        <f t="shared" si="0"/>
        <v>25</v>
      </c>
      <c r="U53" s="53">
        <v>358</v>
      </c>
      <c r="V53" s="16">
        <f t="shared" si="1"/>
        <v>16</v>
      </c>
      <c r="W53" s="53">
        <v>8</v>
      </c>
      <c r="X53" s="53" t="s">
        <v>46</v>
      </c>
      <c r="Y53" s="53" t="s">
        <v>55</v>
      </c>
      <c r="Z53" s="53" t="s">
        <v>97</v>
      </c>
      <c r="AA53" s="53" t="s">
        <v>69</v>
      </c>
      <c r="AB53" s="53" t="s">
        <v>319</v>
      </c>
      <c r="AV53" s="27"/>
    </row>
    <row r="54" spans="1:48" x14ac:dyDescent="0.15">
      <c r="A54" s="53" t="s">
        <v>59</v>
      </c>
      <c r="B54" s="53" t="s">
        <v>232</v>
      </c>
      <c r="C54" s="62">
        <v>2019</v>
      </c>
      <c r="D54" s="137" t="s">
        <v>285</v>
      </c>
      <c r="E54" s="53" t="s">
        <v>342</v>
      </c>
      <c r="F54" s="53" t="s">
        <v>343</v>
      </c>
      <c r="G54" s="53" t="s">
        <v>36</v>
      </c>
      <c r="H54" s="53" t="s">
        <v>164</v>
      </c>
      <c r="I54" s="53" t="s">
        <v>159</v>
      </c>
      <c r="J54" s="53" t="s">
        <v>38</v>
      </c>
      <c r="K54" s="53" t="s">
        <v>161</v>
      </c>
      <c r="L54" s="53">
        <v>2</v>
      </c>
      <c r="N54" s="53">
        <v>4</v>
      </c>
      <c r="O54" s="53">
        <v>0.67</v>
      </c>
      <c r="P54" s="53">
        <v>0.62</v>
      </c>
      <c r="Q54" s="74">
        <f t="shared" si="2"/>
        <v>0.64500000000000002</v>
      </c>
      <c r="R54" s="53">
        <v>15.4</v>
      </c>
      <c r="S54" s="53">
        <v>130</v>
      </c>
      <c r="T54" s="16">
        <f t="shared" si="0"/>
        <v>25</v>
      </c>
      <c r="U54" s="53">
        <v>358</v>
      </c>
      <c r="V54" s="16">
        <f t="shared" si="1"/>
        <v>16</v>
      </c>
      <c r="W54" s="53">
        <v>8</v>
      </c>
      <c r="X54" s="53" t="s">
        <v>46</v>
      </c>
      <c r="Y54" s="53" t="s">
        <v>55</v>
      </c>
      <c r="Z54" s="53" t="s">
        <v>97</v>
      </c>
      <c r="AA54" s="53" t="s">
        <v>69</v>
      </c>
      <c r="AB54" s="53" t="s">
        <v>319</v>
      </c>
      <c r="AV54" s="27"/>
    </row>
    <row r="55" spans="1:48" x14ac:dyDescent="0.15">
      <c r="A55" s="53" t="s">
        <v>59</v>
      </c>
      <c r="B55" s="53" t="s">
        <v>232</v>
      </c>
      <c r="C55" s="62">
        <v>2019</v>
      </c>
      <c r="D55" s="137" t="s">
        <v>285</v>
      </c>
      <c r="E55" s="53" t="s">
        <v>342</v>
      </c>
      <c r="F55" s="53" t="s">
        <v>343</v>
      </c>
      <c r="G55" s="53" t="s">
        <v>36</v>
      </c>
      <c r="H55" s="53" t="s">
        <v>164</v>
      </c>
      <c r="I55" s="53" t="s">
        <v>159</v>
      </c>
      <c r="J55" s="53" t="s">
        <v>38</v>
      </c>
      <c r="K55" s="53" t="s">
        <v>161</v>
      </c>
      <c r="L55" s="53">
        <v>3</v>
      </c>
      <c r="N55" s="53">
        <v>4</v>
      </c>
      <c r="O55" s="53">
        <v>0.72</v>
      </c>
      <c r="P55" s="53">
        <v>0.73</v>
      </c>
      <c r="Q55" s="74">
        <f t="shared" si="2"/>
        <v>0.72499999999999998</v>
      </c>
      <c r="R55" s="53">
        <v>14.1</v>
      </c>
      <c r="S55" s="53">
        <v>131</v>
      </c>
      <c r="T55" s="16">
        <f t="shared" si="0"/>
        <v>25</v>
      </c>
      <c r="U55" s="53">
        <v>358</v>
      </c>
      <c r="V55" s="16">
        <f t="shared" si="1"/>
        <v>16</v>
      </c>
      <c r="W55" s="53">
        <v>8</v>
      </c>
      <c r="X55" s="53" t="s">
        <v>46</v>
      </c>
      <c r="Y55" s="53" t="s">
        <v>55</v>
      </c>
      <c r="Z55" s="53" t="s">
        <v>97</v>
      </c>
      <c r="AA55" s="53" t="s">
        <v>69</v>
      </c>
      <c r="AB55" s="53" t="s">
        <v>319</v>
      </c>
      <c r="AV55" s="27"/>
    </row>
    <row r="56" spans="1:48" x14ac:dyDescent="0.15">
      <c r="A56" s="53" t="s">
        <v>59</v>
      </c>
      <c r="B56" s="53" t="s">
        <v>232</v>
      </c>
      <c r="C56" s="62">
        <v>2019</v>
      </c>
      <c r="D56" s="137" t="s">
        <v>285</v>
      </c>
      <c r="E56" s="53" t="s">
        <v>332</v>
      </c>
      <c r="F56" s="53" t="s">
        <v>333</v>
      </c>
      <c r="G56" s="53" t="s">
        <v>36</v>
      </c>
      <c r="H56" s="53" t="s">
        <v>160</v>
      </c>
      <c r="I56" s="53" t="s">
        <v>159</v>
      </c>
      <c r="J56" s="53" t="s">
        <v>38</v>
      </c>
      <c r="K56" s="53" t="s">
        <v>161</v>
      </c>
      <c r="L56" s="53">
        <v>1</v>
      </c>
      <c r="N56" s="53">
        <v>4</v>
      </c>
      <c r="O56" s="53">
        <v>0.49</v>
      </c>
      <c r="P56" s="53">
        <v>0.45</v>
      </c>
      <c r="Q56" s="74">
        <f t="shared" si="2"/>
        <v>0.47</v>
      </c>
      <c r="R56" s="53">
        <v>16.2</v>
      </c>
      <c r="S56" s="53">
        <v>100</v>
      </c>
      <c r="T56" s="16">
        <f t="shared" si="0"/>
        <v>33</v>
      </c>
      <c r="U56" s="53">
        <v>429</v>
      </c>
      <c r="V56" s="16">
        <f t="shared" si="1"/>
        <v>16</v>
      </c>
      <c r="W56" s="53">
        <v>10</v>
      </c>
      <c r="X56" s="53" t="s">
        <v>39</v>
      </c>
      <c r="Y56" s="53" t="s">
        <v>90</v>
      </c>
      <c r="Z56" s="53" t="s">
        <v>69</v>
      </c>
      <c r="AA56" s="53" t="s">
        <v>55</v>
      </c>
      <c r="AB56" s="53" t="s">
        <v>319</v>
      </c>
      <c r="AV56" s="27"/>
    </row>
    <row r="57" spans="1:48" x14ac:dyDescent="0.15">
      <c r="A57" s="53" t="s">
        <v>59</v>
      </c>
      <c r="B57" s="53" t="s">
        <v>232</v>
      </c>
      <c r="C57" s="62">
        <v>2019</v>
      </c>
      <c r="D57" s="137" t="s">
        <v>285</v>
      </c>
      <c r="E57" s="53" t="s">
        <v>332</v>
      </c>
      <c r="F57" s="53" t="s">
        <v>333</v>
      </c>
      <c r="G57" s="53" t="s">
        <v>36</v>
      </c>
      <c r="H57" s="53" t="s">
        <v>160</v>
      </c>
      <c r="I57" s="53" t="s">
        <v>159</v>
      </c>
      <c r="J57" s="53" t="s">
        <v>38</v>
      </c>
      <c r="K57" s="53" t="s">
        <v>161</v>
      </c>
      <c r="L57" s="53">
        <v>2</v>
      </c>
      <c r="N57" s="53">
        <v>4</v>
      </c>
      <c r="O57" s="53">
        <v>0.44</v>
      </c>
      <c r="P57" s="53">
        <v>0.4</v>
      </c>
      <c r="Q57" s="74">
        <f t="shared" si="2"/>
        <v>0.42000000000000004</v>
      </c>
      <c r="R57" s="53">
        <v>15.3</v>
      </c>
      <c r="S57" s="53">
        <v>98</v>
      </c>
      <c r="T57" s="16">
        <f t="shared" si="0"/>
        <v>36</v>
      </c>
      <c r="U57" s="53">
        <v>429</v>
      </c>
      <c r="V57" s="16">
        <f t="shared" si="1"/>
        <v>16</v>
      </c>
      <c r="W57" s="53">
        <v>10</v>
      </c>
      <c r="X57" s="53" t="s">
        <v>39</v>
      </c>
      <c r="Y57" s="53" t="s">
        <v>90</v>
      </c>
      <c r="Z57" s="53" t="s">
        <v>69</v>
      </c>
      <c r="AA57" s="53" t="s">
        <v>55</v>
      </c>
      <c r="AB57" s="53" t="s">
        <v>319</v>
      </c>
      <c r="AV57" s="27"/>
    </row>
    <row r="58" spans="1:48" x14ac:dyDescent="0.15">
      <c r="A58" s="53" t="s">
        <v>59</v>
      </c>
      <c r="B58" s="53" t="s">
        <v>232</v>
      </c>
      <c r="C58" s="62">
        <v>2019</v>
      </c>
      <c r="D58" s="137" t="s">
        <v>285</v>
      </c>
      <c r="E58" s="53" t="s">
        <v>332</v>
      </c>
      <c r="F58" s="53" t="s">
        <v>333</v>
      </c>
      <c r="G58" s="53" t="s">
        <v>36</v>
      </c>
      <c r="H58" s="53" t="s">
        <v>160</v>
      </c>
      <c r="I58" s="53" t="s">
        <v>159</v>
      </c>
      <c r="J58" s="53" t="s">
        <v>38</v>
      </c>
      <c r="K58" s="53" t="s">
        <v>161</v>
      </c>
      <c r="L58" s="53">
        <v>3</v>
      </c>
      <c r="N58" s="53">
        <v>4</v>
      </c>
      <c r="O58" s="53">
        <v>0.46</v>
      </c>
      <c r="P58" s="53">
        <v>0.42</v>
      </c>
      <c r="Q58" s="74">
        <f t="shared" si="2"/>
        <v>0.44</v>
      </c>
      <c r="R58" s="53">
        <v>15.2</v>
      </c>
      <c r="S58" s="53">
        <v>98</v>
      </c>
      <c r="T58" s="16">
        <f t="shared" si="0"/>
        <v>36</v>
      </c>
      <c r="U58" s="53">
        <v>429</v>
      </c>
      <c r="V58" s="16">
        <f t="shared" si="1"/>
        <v>16</v>
      </c>
      <c r="W58" s="53">
        <v>10</v>
      </c>
      <c r="X58" s="53" t="s">
        <v>39</v>
      </c>
      <c r="Y58" s="53" t="s">
        <v>90</v>
      </c>
      <c r="Z58" s="53" t="s">
        <v>69</v>
      </c>
      <c r="AA58" s="53" t="s">
        <v>55</v>
      </c>
      <c r="AB58" s="53" t="s">
        <v>319</v>
      </c>
      <c r="AV58" s="27"/>
    </row>
    <row r="59" spans="1:48" x14ac:dyDescent="0.15">
      <c r="A59" s="53" t="s">
        <v>59</v>
      </c>
      <c r="B59" s="53" t="s">
        <v>232</v>
      </c>
      <c r="C59" s="62">
        <v>2019</v>
      </c>
      <c r="D59" s="137" t="s">
        <v>285</v>
      </c>
      <c r="E59" s="53" t="s">
        <v>332</v>
      </c>
      <c r="F59" s="53" t="s">
        <v>333</v>
      </c>
      <c r="G59" s="53" t="s">
        <v>36</v>
      </c>
      <c r="H59" s="53" t="s">
        <v>164</v>
      </c>
      <c r="I59" s="53" t="s">
        <v>159</v>
      </c>
      <c r="J59" s="53" t="s">
        <v>38</v>
      </c>
      <c r="K59" s="53" t="s">
        <v>161</v>
      </c>
      <c r="L59" s="53">
        <v>1</v>
      </c>
      <c r="N59" s="53">
        <v>4</v>
      </c>
      <c r="O59" s="53">
        <v>0.45</v>
      </c>
      <c r="P59" s="53">
        <v>0.45</v>
      </c>
      <c r="Q59" s="74">
        <f t="shared" si="2"/>
        <v>0.45</v>
      </c>
      <c r="R59" s="53">
        <v>13.6</v>
      </c>
      <c r="S59" s="53">
        <v>100</v>
      </c>
      <c r="T59" s="16">
        <f t="shared" si="0"/>
        <v>33</v>
      </c>
      <c r="U59" s="53">
        <v>321</v>
      </c>
      <c r="V59" s="16">
        <f t="shared" si="1"/>
        <v>16</v>
      </c>
      <c r="W59" s="53">
        <v>2</v>
      </c>
      <c r="X59" s="53" t="s">
        <v>39</v>
      </c>
      <c r="Y59" s="53" t="s">
        <v>90</v>
      </c>
      <c r="Z59" s="53" t="s">
        <v>69</v>
      </c>
      <c r="AA59" s="53" t="s">
        <v>55</v>
      </c>
      <c r="AB59" s="53" t="s">
        <v>319</v>
      </c>
      <c r="AV59" s="27"/>
    </row>
    <row r="60" spans="1:48" x14ac:dyDescent="0.15">
      <c r="A60" s="53" t="s">
        <v>59</v>
      </c>
      <c r="B60" s="53" t="s">
        <v>232</v>
      </c>
      <c r="C60" s="62">
        <v>2019</v>
      </c>
      <c r="D60" s="137" t="s">
        <v>285</v>
      </c>
      <c r="E60" s="53" t="s">
        <v>332</v>
      </c>
      <c r="F60" s="53" t="s">
        <v>333</v>
      </c>
      <c r="G60" s="53" t="s">
        <v>36</v>
      </c>
      <c r="H60" s="53" t="s">
        <v>164</v>
      </c>
      <c r="I60" s="53" t="s">
        <v>159</v>
      </c>
      <c r="J60" s="53" t="s">
        <v>38</v>
      </c>
      <c r="K60" s="53" t="s">
        <v>161</v>
      </c>
      <c r="L60" s="53">
        <v>2</v>
      </c>
      <c r="N60" s="53">
        <v>4</v>
      </c>
      <c r="O60" s="53">
        <v>0.28999999999999998</v>
      </c>
      <c r="P60" s="53">
        <v>0.28000000000000003</v>
      </c>
      <c r="Q60" s="74">
        <f t="shared" si="2"/>
        <v>0.28500000000000003</v>
      </c>
      <c r="R60" s="53">
        <v>14.6</v>
      </c>
      <c r="S60" s="53">
        <v>90</v>
      </c>
      <c r="T60" s="16">
        <f t="shared" si="0"/>
        <v>36</v>
      </c>
      <c r="U60" s="53">
        <v>321</v>
      </c>
      <c r="V60" s="16">
        <f t="shared" si="1"/>
        <v>16</v>
      </c>
      <c r="W60" s="53">
        <v>2</v>
      </c>
      <c r="X60" s="53" t="s">
        <v>39</v>
      </c>
      <c r="Y60" s="53" t="s">
        <v>90</v>
      </c>
      <c r="Z60" s="53" t="s">
        <v>69</v>
      </c>
      <c r="AA60" s="53" t="s">
        <v>55</v>
      </c>
      <c r="AB60" s="53" t="s">
        <v>319</v>
      </c>
      <c r="AV60" s="27"/>
    </row>
    <row r="61" spans="1:48" x14ac:dyDescent="0.15">
      <c r="A61" s="53" t="s">
        <v>59</v>
      </c>
      <c r="B61" s="53" t="s">
        <v>232</v>
      </c>
      <c r="C61" s="62">
        <v>2019</v>
      </c>
      <c r="D61" s="137" t="s">
        <v>285</v>
      </c>
      <c r="E61" s="53" t="s">
        <v>332</v>
      </c>
      <c r="F61" s="53" t="s">
        <v>333</v>
      </c>
      <c r="G61" s="53" t="s">
        <v>36</v>
      </c>
      <c r="H61" s="53" t="s">
        <v>164</v>
      </c>
      <c r="I61" s="53" t="s">
        <v>159</v>
      </c>
      <c r="J61" s="53" t="s">
        <v>38</v>
      </c>
      <c r="K61" s="53" t="s">
        <v>161</v>
      </c>
      <c r="L61" s="53">
        <v>3</v>
      </c>
      <c r="N61" s="53">
        <v>4</v>
      </c>
      <c r="O61" s="53">
        <v>0.4</v>
      </c>
      <c r="P61" s="53">
        <v>0.43</v>
      </c>
      <c r="Q61" s="74">
        <f t="shared" si="2"/>
        <v>0.41500000000000004</v>
      </c>
      <c r="R61" s="53">
        <v>13.7</v>
      </c>
      <c r="S61" s="53">
        <v>85</v>
      </c>
      <c r="T61" s="16">
        <f t="shared" si="0"/>
        <v>36</v>
      </c>
      <c r="U61" s="53">
        <v>321</v>
      </c>
      <c r="V61" s="16">
        <f t="shared" si="1"/>
        <v>16</v>
      </c>
      <c r="W61" s="53">
        <v>2</v>
      </c>
      <c r="X61" s="53" t="s">
        <v>39</v>
      </c>
      <c r="Y61" s="53" t="s">
        <v>90</v>
      </c>
      <c r="Z61" s="53" t="s">
        <v>69</v>
      </c>
      <c r="AA61" s="53" t="s">
        <v>55</v>
      </c>
      <c r="AB61" s="53" t="s">
        <v>319</v>
      </c>
      <c r="AV61" s="27"/>
    </row>
    <row r="62" spans="1:48" x14ac:dyDescent="0.15">
      <c r="C62" s="62"/>
      <c r="D62" s="137"/>
      <c r="Q62" s="74"/>
    </row>
    <row r="63" spans="1:48" x14ac:dyDescent="0.15">
      <c r="C63" s="62"/>
      <c r="D63" s="137"/>
      <c r="Q63" s="74"/>
    </row>
    <row r="64" spans="1:48" x14ac:dyDescent="0.15">
      <c r="C64" s="62"/>
      <c r="D64" s="137"/>
      <c r="Q64" s="74"/>
    </row>
    <row r="65" spans="3:17" x14ac:dyDescent="0.15">
      <c r="C65" s="62"/>
      <c r="D65" s="137"/>
      <c r="Q65" s="74"/>
    </row>
    <row r="66" spans="3:17" x14ac:dyDescent="0.15">
      <c r="C66" s="62"/>
      <c r="D66" s="137"/>
      <c r="Q66" s="74"/>
    </row>
    <row r="67" spans="3:17" x14ac:dyDescent="0.15">
      <c r="C67" s="62"/>
      <c r="D67" s="137"/>
      <c r="Q67" s="74"/>
    </row>
    <row r="68" spans="3:17" x14ac:dyDescent="0.15">
      <c r="C68" s="62"/>
      <c r="D68" s="137"/>
      <c r="Q68" s="74"/>
    </row>
    <row r="69" spans="3:17" x14ac:dyDescent="0.15">
      <c r="C69" s="62"/>
      <c r="D69" s="137"/>
      <c r="Q69" s="74"/>
    </row>
    <row r="70" spans="3:17" x14ac:dyDescent="0.15">
      <c r="C70" s="62"/>
      <c r="D70" s="137"/>
      <c r="Q70" s="74"/>
    </row>
    <row r="71" spans="3:17" x14ac:dyDescent="0.15">
      <c r="C71" s="62"/>
      <c r="D71" s="137"/>
      <c r="Q71" s="74"/>
    </row>
    <row r="72" spans="3:17" x14ac:dyDescent="0.15">
      <c r="C72" s="62"/>
      <c r="D72" s="137"/>
      <c r="Q72" s="74"/>
    </row>
    <row r="73" spans="3:17" x14ac:dyDescent="0.15">
      <c r="C73" s="62"/>
      <c r="D73" s="137"/>
      <c r="Q73" s="74"/>
    </row>
    <row r="74" spans="3:17" x14ac:dyDescent="0.15">
      <c r="C74" s="62"/>
      <c r="D74" s="137"/>
      <c r="Q74" s="74"/>
    </row>
    <row r="75" spans="3:17" x14ac:dyDescent="0.15">
      <c r="C75" s="62"/>
      <c r="D75" s="137"/>
      <c r="Q75" s="74"/>
    </row>
    <row r="76" spans="3:17" x14ac:dyDescent="0.15">
      <c r="C76" s="62"/>
      <c r="D76" s="137"/>
      <c r="Q76" s="74"/>
    </row>
    <row r="77" spans="3:17" x14ac:dyDescent="0.15">
      <c r="C77" s="62"/>
      <c r="D77" s="137"/>
      <c r="Q77" s="74"/>
    </row>
    <row r="78" spans="3:17" x14ac:dyDescent="0.15">
      <c r="C78" s="62"/>
      <c r="D78" s="137"/>
      <c r="Q78" s="74"/>
    </row>
    <row r="79" spans="3:17" x14ac:dyDescent="0.15">
      <c r="C79" s="62"/>
      <c r="D79" s="137"/>
      <c r="Q79" s="74"/>
    </row>
    <row r="80" spans="3:17" x14ac:dyDescent="0.15">
      <c r="C80" s="62"/>
      <c r="D80" s="137"/>
      <c r="Q80" s="74"/>
    </row>
    <row r="81" spans="3:17" x14ac:dyDescent="0.15">
      <c r="C81" s="62"/>
      <c r="D81" s="137"/>
      <c r="Q81" s="74"/>
    </row>
    <row r="82" spans="3:17" x14ac:dyDescent="0.15">
      <c r="C82" s="62"/>
      <c r="D82" s="137"/>
      <c r="Q82" s="74"/>
    </row>
    <row r="83" spans="3:17" x14ac:dyDescent="0.15">
      <c r="C83" s="62"/>
      <c r="Q83" s="74"/>
    </row>
    <row r="84" spans="3:17" x14ac:dyDescent="0.15">
      <c r="C84" s="62"/>
      <c r="Q84" s="74"/>
    </row>
    <row r="85" spans="3:17" x14ac:dyDescent="0.15">
      <c r="C85" s="62"/>
      <c r="Q85" s="74"/>
    </row>
    <row r="86" spans="3:17" x14ac:dyDescent="0.15">
      <c r="C86" s="62"/>
      <c r="Q86" s="74"/>
    </row>
    <row r="87" spans="3:17" x14ac:dyDescent="0.15">
      <c r="C87" s="62"/>
      <c r="Q87" s="74"/>
    </row>
    <row r="88" spans="3:17" x14ac:dyDescent="0.15">
      <c r="C88" s="62"/>
      <c r="Q88" s="74"/>
    </row>
    <row r="89" spans="3:17" x14ac:dyDescent="0.15">
      <c r="C89" s="62"/>
      <c r="Q89" s="74"/>
    </row>
    <row r="90" spans="3:17" x14ac:dyDescent="0.15">
      <c r="C90" s="62"/>
      <c r="Q90" s="74"/>
    </row>
    <row r="91" spans="3:17" x14ac:dyDescent="0.15">
      <c r="C91" s="62"/>
      <c r="Q91" s="74"/>
    </row>
    <row r="92" spans="3:17" x14ac:dyDescent="0.15">
      <c r="C92" s="62"/>
      <c r="Q92" s="74"/>
    </row>
    <row r="93" spans="3:17" x14ac:dyDescent="0.15">
      <c r="C93" s="62"/>
      <c r="Q93" s="74"/>
    </row>
    <row r="94" spans="3:17" x14ac:dyDescent="0.15">
      <c r="C94" s="62"/>
      <c r="Q94" s="74"/>
    </row>
    <row r="95" spans="3:17" x14ac:dyDescent="0.15">
      <c r="C95" s="62"/>
      <c r="Q95" s="74"/>
    </row>
    <row r="96" spans="3:17" x14ac:dyDescent="0.15">
      <c r="C96" s="62"/>
      <c r="Q96" s="74"/>
    </row>
    <row r="97" spans="3:22" x14ac:dyDescent="0.15">
      <c r="C97" s="62"/>
      <c r="Q97" s="74"/>
    </row>
    <row r="98" spans="3:22" x14ac:dyDescent="0.15">
      <c r="C98" s="62"/>
      <c r="Q98" s="74"/>
    </row>
    <row r="99" spans="3:22" x14ac:dyDescent="0.15">
      <c r="C99" s="62"/>
    </row>
    <row r="100" spans="3:22" x14ac:dyDescent="0.15">
      <c r="C100" s="62"/>
    </row>
    <row r="101" spans="3:22" x14ac:dyDescent="0.15">
      <c r="Q101" s="16" t="str">
        <f t="shared" ref="Q101:Q152" si="3">IF(OR(O101="",P101=""),"",AVERAGE(O101,P101))</f>
        <v/>
      </c>
      <c r="T101" s="16" t="str">
        <f t="shared" ref="T101:T152" si="4">IF(H101="","",IF(OR(H101="GREEN",H101="GK"),IF(S101&gt;=$AX$2,VLOOKUP(S101,$AX$2:$AY$12,2,1),""),IF(S101&gt;=$AZ$2,VLOOKUP(S101,$AZ$2:$BA$12,2,1),"")))</f>
        <v/>
      </c>
      <c r="V101" s="16" t="str">
        <f t="shared" ref="V101:V152" si="5">IF(J101="","",IF(OR(J101="GREEN",J101="GK"),IF(U101&gt;=$AX$2,VLOOKUP(U101,$AX$2:$AY$12,2,1),""),IF(U101&gt;=$AZ$2,VLOOKUP(U101,$AZ$2:$BA$12,2,1),"")))</f>
        <v/>
      </c>
    </row>
    <row r="102" spans="3:22" x14ac:dyDescent="0.15">
      <c r="Q102" s="16" t="str">
        <f t="shared" si="3"/>
        <v/>
      </c>
      <c r="T102" s="16" t="str">
        <f t="shared" si="4"/>
        <v/>
      </c>
      <c r="V102" s="16" t="str">
        <f t="shared" si="5"/>
        <v/>
      </c>
    </row>
    <row r="103" spans="3:22" x14ac:dyDescent="0.15">
      <c r="Q103" s="16" t="str">
        <f t="shared" si="3"/>
        <v/>
      </c>
      <c r="T103" s="16" t="str">
        <f t="shared" si="4"/>
        <v/>
      </c>
      <c r="V103" s="16" t="str">
        <f t="shared" si="5"/>
        <v/>
      </c>
    </row>
    <row r="104" spans="3:22" x14ac:dyDescent="0.15">
      <c r="Q104" s="16" t="str">
        <f t="shared" si="3"/>
        <v/>
      </c>
      <c r="T104" s="16" t="str">
        <f t="shared" si="4"/>
        <v/>
      </c>
      <c r="V104" s="16" t="str">
        <f t="shared" si="5"/>
        <v/>
      </c>
    </row>
    <row r="105" spans="3:22" x14ac:dyDescent="0.15">
      <c r="Q105" s="16" t="str">
        <f t="shared" si="3"/>
        <v/>
      </c>
      <c r="T105" s="16" t="str">
        <f t="shared" si="4"/>
        <v/>
      </c>
      <c r="V105" s="16" t="str">
        <f t="shared" si="5"/>
        <v/>
      </c>
    </row>
    <row r="106" spans="3:22" x14ac:dyDescent="0.15">
      <c r="Q106" s="16" t="str">
        <f t="shared" si="3"/>
        <v/>
      </c>
      <c r="T106" s="16" t="str">
        <f t="shared" si="4"/>
        <v/>
      </c>
      <c r="V106" s="16" t="str">
        <f t="shared" si="5"/>
        <v/>
      </c>
    </row>
    <row r="107" spans="3:22" x14ac:dyDescent="0.15">
      <c r="Q107" s="16" t="str">
        <f t="shared" si="3"/>
        <v/>
      </c>
      <c r="T107" s="16" t="str">
        <f t="shared" si="4"/>
        <v/>
      </c>
      <c r="V107" s="16" t="str">
        <f t="shared" si="5"/>
        <v/>
      </c>
    </row>
    <row r="108" spans="3:22" x14ac:dyDescent="0.15">
      <c r="Q108" s="16" t="str">
        <f t="shared" si="3"/>
        <v/>
      </c>
      <c r="T108" s="16" t="str">
        <f t="shared" si="4"/>
        <v/>
      </c>
      <c r="V108" s="16" t="str">
        <f t="shared" si="5"/>
        <v/>
      </c>
    </row>
    <row r="109" spans="3:22" x14ac:dyDescent="0.15">
      <c r="Q109" s="16" t="str">
        <f t="shared" si="3"/>
        <v/>
      </c>
      <c r="T109" s="16" t="str">
        <f t="shared" si="4"/>
        <v/>
      </c>
      <c r="V109" s="16" t="str">
        <f t="shared" si="5"/>
        <v/>
      </c>
    </row>
    <row r="110" spans="3:22" x14ac:dyDescent="0.15">
      <c r="Q110" s="16" t="str">
        <f t="shared" si="3"/>
        <v/>
      </c>
      <c r="T110" s="16" t="str">
        <f t="shared" si="4"/>
        <v/>
      </c>
      <c r="V110" s="16" t="str">
        <f t="shared" si="5"/>
        <v/>
      </c>
    </row>
    <row r="111" spans="3:22" x14ac:dyDescent="0.15">
      <c r="Q111" s="16" t="str">
        <f t="shared" si="3"/>
        <v/>
      </c>
      <c r="T111" s="16" t="str">
        <f t="shared" si="4"/>
        <v/>
      </c>
      <c r="V111" s="16" t="str">
        <f t="shared" si="5"/>
        <v/>
      </c>
    </row>
    <row r="112" spans="3: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row r="146" spans="17:22" x14ac:dyDescent="0.15">
      <c r="Q146" s="16" t="str">
        <f t="shared" si="3"/>
        <v/>
      </c>
      <c r="T146" s="16" t="str">
        <f t="shared" si="4"/>
        <v/>
      </c>
      <c r="V146" s="16" t="str">
        <f t="shared" si="5"/>
        <v/>
      </c>
    </row>
    <row r="147" spans="17:22" x14ac:dyDescent="0.15">
      <c r="Q147" s="16" t="str">
        <f t="shared" si="3"/>
        <v/>
      </c>
      <c r="T147" s="16" t="str">
        <f t="shared" si="4"/>
        <v/>
      </c>
      <c r="V147" s="16" t="str">
        <f t="shared" si="5"/>
        <v/>
      </c>
    </row>
    <row r="148" spans="17:22" x14ac:dyDescent="0.15">
      <c r="Q148" s="16" t="str">
        <f t="shared" si="3"/>
        <v/>
      </c>
      <c r="T148" s="16" t="str">
        <f t="shared" si="4"/>
        <v/>
      </c>
      <c r="V148" s="16" t="str">
        <f t="shared" si="5"/>
        <v/>
      </c>
    </row>
    <row r="149" spans="17:22" x14ac:dyDescent="0.15">
      <c r="Q149" s="16" t="str">
        <f t="shared" si="3"/>
        <v/>
      </c>
      <c r="T149" s="16" t="str">
        <f t="shared" si="4"/>
        <v/>
      </c>
      <c r="V149" s="16" t="str">
        <f t="shared" si="5"/>
        <v/>
      </c>
    </row>
    <row r="150" spans="17:22" x14ac:dyDescent="0.15">
      <c r="Q150" s="16" t="str">
        <f t="shared" si="3"/>
        <v/>
      </c>
      <c r="T150" s="16" t="str">
        <f t="shared" si="4"/>
        <v/>
      </c>
      <c r="V150" s="16" t="str">
        <f t="shared" si="5"/>
        <v/>
      </c>
    </row>
    <row r="151" spans="17:22" x14ac:dyDescent="0.15">
      <c r="Q151" s="16" t="str">
        <f t="shared" si="3"/>
        <v/>
      </c>
      <c r="T151" s="16" t="str">
        <f t="shared" si="4"/>
        <v/>
      </c>
      <c r="V151" s="16" t="str">
        <f t="shared" si="5"/>
        <v/>
      </c>
    </row>
    <row r="152" spans="17:22" x14ac:dyDescent="0.15">
      <c r="Q152" s="16" t="str">
        <f t="shared" si="3"/>
        <v/>
      </c>
      <c r="T152" s="16" t="str">
        <f t="shared" si="4"/>
        <v/>
      </c>
      <c r="V152" s="16" t="str">
        <f t="shared" si="5"/>
        <v/>
      </c>
    </row>
  </sheetData>
  <autoFilter ref="A1:BA152" xr:uid="{00000000-0009-0000-0000-000000000000}"/>
  <phoneticPr fontId="3"/>
  <dataValidations count="19">
    <dataValidation type="list" allowBlank="1" showInputMessage="1" showErrorMessage="1" sqref="K2:K434" xr:uid="{C8F87D35-EF66-4FDA-BBB3-D936A542E2B0}">
      <formula1>$AR$2:$AR$27</formula1>
    </dataValidation>
    <dataValidation type="list" allowBlank="1" showInputMessage="1" showErrorMessage="1" sqref="WVS983034:WVS983099 K65530:K65595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K131066:K131131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K196602:K196667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K262138:K262203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K327674:K32773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K393210:K393275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K458746:K458811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K524282:K524347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K589818:K589883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K655354:K65541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K720890:K720955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K786426:K786491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K851962:K852027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K917498:K917563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K983034:K98309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K435:K492 WVS2:WVS61 WLW2:WLW61 WCA2:WCA61 VSE2:VSE61 VII2:VII61 UYM2:UYM61 UOQ2:UOQ61 UEU2:UEU61 TUY2:TUY61 TLC2:TLC61 TBG2:TBG61 SRK2:SRK61 SHO2:SHO61 RXS2:RXS61 RNW2:RNW61 REA2:REA61 QUE2:QUE61 QKI2:QKI61 QAM2:QAM61 PQQ2:PQQ61 PGU2:PGU61 OWY2:OWY61 ONC2:ONC61 ODG2:ODG61 NTK2:NTK61 NJO2:NJO61 MZS2:MZS61 MPW2:MPW61 MGA2:MGA61 LWE2:LWE61 LMI2:LMI61 LCM2:LCM61 KSQ2:KSQ61 KIU2:KIU61 JYY2:JYY61 JPC2:JPC61 JFG2:JFG61 IVK2:IVK61 ILO2:ILO61 IBS2:IBS61 HRW2:HRW61 HIA2:HIA61 GYE2:GYE61 GOI2:GOI61 GEM2:GEM61 FUQ2:FUQ61 FKU2:FKU61 FAY2:FAY61 ERC2:ERC61 EHG2:EHG61 DXK2:DXK61 DNO2:DNO61 DDS2:DDS61 CTW2:CTW61 CKA2:CKA61 CAE2:CAE61 BQI2:BQI61 BGM2:BGM61 AWQ2:AWQ61 AMU2:AMU61 ACY2:ACY61 TC2:TC61 JG2:JG61" xr:uid="{855EFAF7-6F20-4F33-A8FB-26F05F1FDB2B}">
      <formula1>$AR$2:$AR$25</formula1>
    </dataValidation>
    <dataValidation type="list" allowBlank="1" showInputMessage="1" showErrorMessage="1" sqref="WVR983034:WVR983099 J65530:J65595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J131066:J131131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J196602:J196667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J262138:J262203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J327674:J32773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J393210:J393275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J458746:J458811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J524282:J524347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J589818:J589883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J655354:J65541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J720890:J720955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J786426:J786491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J851962:J852027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J917498:J917563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983034:J98309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LV2:WLV61 WBZ2:WBZ61 VSD2:VSD61 VIH2:VIH61 UYL2:UYL61 UOP2:UOP61 UET2:UET61 TUX2:TUX61 TLB2:TLB61 TBF2:TBF61 SRJ2:SRJ61 SHN2:SHN61 RXR2:RXR61 RNV2:RNV61 RDZ2:RDZ61 QUD2:QUD61 QKH2:QKH61 QAL2:QAL61 PQP2:PQP61 PGT2:PGT61 OWX2:OWX61 ONB2:ONB61 ODF2:ODF61 NTJ2:NTJ61 NJN2:NJN61 MZR2:MZR61 MPV2:MPV61 MFZ2:MFZ61 LWD2:LWD61 LMH2:LMH61 LCL2:LCL61 KSP2:KSP61 KIT2:KIT61 JYX2:JYX61 JPB2:JPB61 JFF2:JFF61 IVJ2:IVJ61 ILN2:ILN61 IBR2:IBR61 HRV2:HRV61 HHZ2:HHZ61 GYD2:GYD61 GOH2:GOH61 GEL2:GEL61 FUP2:FUP61 FKT2:FKT61 FAX2:FAX61 ERB2:ERB61 EHF2:EHF61 DXJ2:DXJ61 DNN2:DNN61 DDR2:DDR61 CTV2:CTV61 CJZ2:CJZ61 CAD2:CAD61 BQH2:BQH61 BGL2:BGL61 AWP2:AWP61 AMT2:AMT61 ACX2:ACX61 TB2:TB61 JF2:JF61 J62:J492 WVR2:WVR61" xr:uid="{8392DB37-5068-4CED-902B-11ECB9DAD651}">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LT2:WLT61 WBX2:WBX61 VSB2:VSB61 VIF2:VIF61 UYJ2:UYJ61 UON2:UON61 UER2:UER61 TUV2:TUV61 TKZ2:TKZ61 TBD2:TBD61 SRH2:SRH61 SHL2:SHL61 RXP2:RXP61 RNT2:RNT61 RDX2:RDX61 QUB2:QUB61 QKF2:QKF61 QAJ2:QAJ61 PQN2:PQN61 PGR2:PGR61 OWV2:OWV61 OMZ2:OMZ61 ODD2:ODD61 NTH2:NTH61 NJL2:NJL61 MZP2:MZP61 MPT2:MPT61 MFX2:MFX61 LWB2:LWB61 LMF2:LMF61 LCJ2:LCJ61 KSN2:KSN61 KIR2:KIR61 JYV2:JYV61 JOZ2:JOZ61 JFD2:JFD61 IVH2:IVH61 ILL2:ILL61 IBP2:IBP61 HRT2:HRT61 HHX2:HHX61 GYB2:GYB61 GOF2:GOF61 GEJ2:GEJ61 FUN2:FUN61 FKR2:FKR61 FAV2:FAV61 EQZ2:EQZ61 EHD2:EHD61 DXH2:DXH61 DNL2:DNL61 DDP2:DDP61 CTT2:CTT61 CJX2:CJX61 CAB2:CAB61 BQF2:BQF61 BGJ2:BGJ61 AWN2:AWN61 AMR2:AMR61 ACV2:ACV61 SZ2:SZ61 JD2:JD61 WVP2:WVP61" xr:uid="{E4F36122-CABB-4A09-BEF1-6DC5137B7E81}">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A2:A492 SS2:SS65 ACO2:ACO65 AMK2:AMK65 AWG2:AWG65 BGC2:BGC65 BPY2:BPY65 BZU2:BZU65 CJQ2:CJQ65 CTM2:CTM65 DDI2:DDI65 DNE2:DNE65 DXA2:DXA65 EGW2:EGW65 EQS2:EQS65 FAO2:FAO65 FKK2:FKK65 FUG2:FUG65 GEC2:GEC65 GNY2:GNY65 GXU2:GXU65 HHQ2:HHQ65 HRM2:HRM65 IBI2:IBI65 ILE2:ILE65 IVA2:IVA65 JEW2:JEW65 JOS2:JOS65 JYO2:JYO65 KIK2:KIK65 KSG2:KSG65 LCC2:LCC65 LLY2:LLY65 LVU2:LVU65 MFQ2:MFQ65 MPM2:MPM65 MZI2:MZI65 NJE2:NJE65 NTA2:NTA65 OCW2:OCW65 OMS2:OMS65 OWO2:OWO65 PGK2:PGK65 PQG2:PQG65 QAC2:QAC65 QJY2:QJY65 QTU2:QTU65 RDQ2:RDQ65 RNM2:RNM65 RXI2:RXI65 SHE2:SHE65 SRA2:SRA65 TAW2:TAW65 TKS2:TKS65 TUO2:TUO65 UEK2:UEK65 UOG2:UOG65 UYC2:UYC65 VHY2:VHY65 VRU2:VRU65 WBQ2:WBQ65 WLM2:WLM65 WVI2:WVI65 IW2:IW65" xr:uid="{ACFE5EAA-6B4C-4997-A77E-00F024877CDF}">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WWF2:WWF61 WMJ2:WMJ61 WCN2:WCN61 VSR2:VSR61 VIV2:VIV61 UYZ2:UYZ61 UPD2:UPD61 UFH2:UFH61 TVL2:TVL61 TLP2:TLP61 TBT2:TBT61 SRX2:SRX61 SIB2:SIB61 RYF2:RYF61 ROJ2:ROJ61 REN2:REN61 QUR2:QUR61 QKV2:QKV61 QAZ2:QAZ61 PRD2:PRD61 PHH2:PHH61 OXL2:OXL61 ONP2:ONP61 ODT2:ODT61 NTX2:NTX61 NKB2:NKB61 NAF2:NAF61 MQJ2:MQJ61 MGN2:MGN61 LWR2:LWR61 LMV2:LMV61 LCZ2:LCZ61 KTD2:KTD61 KJH2:KJH61 JZL2:JZL61 JPP2:JPP61 JFT2:JFT61 IVX2:IVX61 IMB2:IMB61 ICF2:ICF61 HSJ2:HSJ61 HIN2:HIN61 GYR2:GYR61 GOV2:GOV61 GEZ2:GEZ61 FVD2:FVD61 FLH2:FLH61 FBL2:FBL61 ERP2:ERP61 EHT2:EHT61 DXX2:DXX61 DOB2:DOB61 DEF2:DEF61 CUJ2:CUJ61 CKN2:CKN61 CAR2:CAR61 BQV2:BQV61 BGZ2:BGZ61 AXD2:AXD61 ANH2:ANH61 ADL2:ADL61 TP2:TP61 JT2:JT61 X2:X492" xr:uid="{523D72CB-5A35-44D6-85CD-F5717E40C1FE}">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G2:G492 SY2:SY65 ACU2:ACU65 AMQ2:AMQ65 AWM2:AWM65 BGI2:BGI65 BQE2:BQE65 CAA2:CAA65 CJW2:CJW65 CTS2:CTS65 DDO2:DDO65 DNK2:DNK65 DXG2:DXG65 EHC2:EHC65 EQY2:EQY65 FAU2:FAU65 FKQ2:FKQ65 FUM2:FUM65 GEI2:GEI65 GOE2:GOE65 GYA2:GYA65 HHW2:HHW65 HRS2:HRS65 IBO2:IBO65 ILK2:ILK65 IVG2:IVG65 JFC2:JFC65 JOY2:JOY65 JYU2:JYU65 KIQ2:KIQ65 KSM2:KSM65 LCI2:LCI65 LME2:LME65 LWA2:LWA65 MFW2:MFW65 MPS2:MPS65 MZO2:MZO65 NJK2:NJK65 NTG2:NTG65 ODC2:ODC65 OMY2:OMY65 OWU2:OWU65 PGQ2:PGQ65 PQM2:PQM65 QAI2:QAI65 QKE2:QKE65 QUA2:QUA65 RDW2:RDW65 RNS2:RNS65 RXO2:RXO65 SHK2:SHK65 SRG2:SRG65 TBC2:TBC65 TKY2:TKY65 TUU2:TUU65 UEQ2:UEQ65 UOM2:UOM65 UYI2:UYI65 VIE2:VIE65 VSA2:VSA65 WBW2:WBW65 WLS2:WLS65 WVO2:WVO65 JC2:JC65" xr:uid="{370067F6-EB30-44BB-8466-3533EA455056}">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WVQ2:WVQ61 WLU2:WLU61 WBY2:WBY61 VSC2:VSC61 VIG2:VIG61 UYK2:UYK61 UOO2:UOO61 UES2:UES61 TUW2:TUW61 TLA2:TLA61 TBE2:TBE61 SRI2:SRI61 SHM2:SHM61 RXQ2:RXQ61 RNU2:RNU61 RDY2:RDY61 QUC2:QUC61 QKG2:QKG61 QAK2:QAK61 PQO2:PQO61 PGS2:PGS61 OWW2:OWW61 ONA2:ONA61 ODE2:ODE61 NTI2:NTI61 NJM2:NJM61 MZQ2:MZQ61 MPU2:MPU61 MFY2:MFY61 LWC2:LWC61 LMG2:LMG61 LCK2:LCK61 KSO2:KSO61 KIS2:KIS61 JYW2:JYW61 JPA2:JPA61 JFE2:JFE61 IVI2:IVI61 ILM2:ILM61 IBQ2:IBQ61 HRU2:HRU61 HHY2:HHY61 GYC2:GYC61 GOG2:GOG61 GEK2:GEK61 FUO2:FUO61 FKS2:FKS61 FAW2:FAW61 ERA2:ERA61 EHE2:EHE61 DXI2:DXI61 DNM2:DNM61 DDQ2:DDQ61 CTU2:CTU61 CJY2:CJY61 CAC2:CAC61 BQG2:BQG61 BGK2:BGK61 AWO2:AWO61 AMS2:AMS61 ACW2:ACW61 TA2:TA61 I2:I492 JE2:JE61" xr:uid="{0C1FDF84-9A23-4552-B043-61874E519854}">
      <formula1>$AN$5:$AN$6</formula1>
    </dataValidation>
    <dataValidation type="list" allowBlank="1" showInputMessage="1" showErrorMessage="1" sqref="J64355:J6442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J129891:J129956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J195427:J195492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J260963:J261028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J326499:J326564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J392035:J39210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J457571:J457636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J523107:J523172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J588643:J588708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J654179:J654244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J719715:J71978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J785251:J785316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J850787:J850852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J916323:J916388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J981859:J981924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J1047395:J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RDZ1047395:RDZ1047460 RNV1047395:RNV1047460 RXR1047395:RXR1047460 SHN1047395:SHN1047460 SRJ1047395:SRJ1047460 TBF1047395:TBF1047460 TLB1047395:TLB1047460 TUX1047395:TUX1047460 UET1047395:UET1047460 UOP1047395:UOP1047460 UYL1047395:UYL1047460 VIH1047395:VIH1047460 VSD1047395:VSD1047460 WBZ1047395:WBZ1047460 WLV1047395:WLV1047460 WVR1047395:WVR1047460" xr:uid="{51FAE203-AE8A-4C2B-8CBE-A9C298E9A87E}">
      <formula1>$AP$2:$AP$15</formula1>
    </dataValidation>
    <dataValidation type="list" allowBlank="1" showInputMessage="1" showErrorMessage="1" sqref="K64355:K6442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K129891:K129956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K195427:K195492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K260963:K261028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K326499:K326564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K392035:K39210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K457571:K457636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K523107:K523172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K588643:K588708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K654179:K654244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K719715:K71978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K785251:K785316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K850787:K850852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K916323:K916388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K981859:K981924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K1047395:K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REA1047395:REA1047460 RNW1047395:RNW1047460 RXS1047395:RXS1047460 SHO1047395:SHO1047460 SRK1047395:SRK1047460 TBG1047395:TBG1047460 TLC1047395:TLC1047460 TUY1047395:TUY1047460 UEU1047395:UEU1047460 UOQ1047395:UOQ1047460 UYM1047395:UYM1047460 VII1047395:VII1047460 VSE1047395:VSE1047460 WCA1047395:WCA1047460 WLW1047395:WLW1047460 WVS1047395:WVS1047460" xr:uid="{D4C67B7D-4744-48B0-BD50-B5EF5D19003C}">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MK2:WMM61 WCO2:WCQ61 VSS2:VSU61 VIW2:VIY61 UZA2:UZC61 UPE2:UPG61 UFI2:UFK61 TVM2:TVO61 TLQ2:TLS61 TBU2:TBW61 SRY2:SSA61 SIC2:SIE61 RYG2:RYI61 ROK2:ROM61 REO2:REQ61 QUS2:QUU61 QKW2:QKY61 QBA2:QBC61 PRE2:PRG61 PHI2:PHK61 OXM2:OXO61 ONQ2:ONS61 ODU2:ODW61 NTY2:NUA61 NKC2:NKE61 NAG2:NAI61 MQK2:MQM61 MGO2:MGQ61 LWS2:LWU61 LMW2:LMY61 LDA2:LDC61 KTE2:KTG61 KJI2:KJK61 JZM2:JZO61 JPQ2:JPS61 JFU2:JFW61 IVY2:IWA61 IMC2:IME61 ICG2:ICI61 HSK2:HSM61 HIO2:HIQ61 GYS2:GYU61 GOW2:GOY61 GFA2:GFC61 FVE2:FVG61 FLI2:FLK61 FBM2:FBO61 ERQ2:ERS61 EHU2:EHW61 DXY2:DYA61 DOC2:DOE61 DEG2:DEI61 CUK2:CUM61 CKO2:CKQ61 CAS2:CAU61 BQW2:BQY61 BHA2:BHC61 AXE2:AXG61 ANI2:ANK61 ADM2:ADO61 TQ2:TS61 JU2:JW61 WWG2:WWI61" xr:uid="{828FD0EA-6333-4F1A-879D-5C78652043A2}">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AA76FBBC-A822-45AE-B65E-476457FC115A}">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WVM2:WVN65 WLQ2:WLR65 WBU2:WBV65 VRY2:VRZ65 VIC2:VID65 UYG2:UYH65 UOK2:UOL65 UEO2:UEP65 TUS2:TUT65 TKW2:TKX65 TBA2:TBB65 SRE2:SRF65 SHI2:SHJ65 RXM2:RXN65 RNQ2:RNR65 RDU2:RDV65 QTY2:QTZ65 QKC2:QKD65 QAG2:QAH65 PQK2:PQL65 PGO2:PGP65 OWS2:OWT65 OMW2:OMX65 ODA2:ODB65 NTE2:NTF65 NJI2:NJJ65 MZM2:MZN65 MPQ2:MPR65 MFU2:MFV65 LVY2:LVZ65 LMC2:LMD65 LCG2:LCH65 KSK2:KSL65 KIO2:KIP65 JYS2:JYT65 JOW2:JOX65 JFA2:JFB65 IVE2:IVF65 ILI2:ILJ65 IBM2:IBN65 HRQ2:HRR65 HHU2:HHV65 GXY2:GXZ65 GOC2:GOD65 GEG2:GEH65 FUK2:FUL65 FKO2:FKP65 FAS2:FAT65 EQW2:EQX65 EHA2:EHB65 DXE2:DXF65 DNI2:DNJ65 DDM2:DDN65 CTQ2:CTR65 CJU2:CJV65 BZY2:BZZ65 BQC2:BQD65 BGG2:BGH65 AWK2:AWL65 AMO2:AMP65 ACS2:ACT65 SW2:SX65 JA2:JB65" xr:uid="{0F1E7D9F-362B-4226-94B9-1E9754472B0E}">
      <formula1>#REF!</formula1>
    </dataValidation>
    <dataValidation type="list" allowBlank="1" showInputMessage="1" showErrorMessage="1" sqref="E2:E492" xr:uid="{4C633E6C-1AA8-47E8-AF8E-BBE11F27A099}">
      <formula1>$AG$2:$AG$11</formula1>
    </dataValidation>
    <dataValidation type="list" allowBlank="1" showInputMessage="1" showErrorMessage="1" sqref="H2:H492" xr:uid="{AE04CC9E-3A50-4931-98E3-BBA99372EA3B}">
      <formula1>$AL$2:$AL$8</formula1>
    </dataValidation>
    <dataValidation type="decimal" allowBlank="1" showInputMessage="1" showErrorMessage="1" error="硬度を正しく入力して下さい。" sqref="O2:P492" xr:uid="{A00E7066-A244-4F65-B3AA-D29021A5D6FB}">
      <formula1>0</formula1>
      <formula2>7</formula2>
    </dataValidation>
    <dataValidation type="list" allowBlank="1" showInputMessage="1" showErrorMessage="1" sqref="F2:F1446" xr:uid="{3C7FD368-AAE5-45E3-BCB1-F78F558A4708}">
      <formula1>$AH$2:$AH$11</formula1>
    </dataValidation>
    <dataValidation type="list" allowBlank="1" showInputMessage="1" showErrorMessage="1" sqref="Y2:AA583" xr:uid="{5C6DB684-D59C-4832-9B5C-665FE8B8625C}">
      <formula1>$AV$2:$AV$38</formula1>
    </dataValidation>
    <dataValidation type="list" allowBlank="1" showInputMessage="1" showErrorMessage="1" sqref="J2:J61" xr:uid="{F810C10C-D2AE-48CF-BA8B-51B176702D48}">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86B6C-D21D-4EBF-A4E1-27CFA01E44BB}">
  <dimension ref="A1:BA437"/>
  <sheetViews>
    <sheetView topLeftCell="A28" zoomScale="85" zoomScaleNormal="85" zoomScaleSheetLayoutView="100" workbookViewId="0">
      <selection activeCell="H58" sqref="H58"/>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9" style="53"/>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5</v>
      </c>
      <c r="G1" s="45" t="s">
        <v>6</v>
      </c>
      <c r="H1" s="45" t="s">
        <v>7</v>
      </c>
      <c r="I1" s="45" t="s">
        <v>8</v>
      </c>
      <c r="J1" s="45" t="s">
        <v>9</v>
      </c>
      <c r="K1" s="142"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3"/>
      <c r="AJ1" s="144" t="s">
        <v>6</v>
      </c>
      <c r="AK1" s="143"/>
      <c r="AL1" s="145" t="s">
        <v>7</v>
      </c>
      <c r="AM1" s="143"/>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6" t="s">
        <v>34</v>
      </c>
      <c r="B2" s="146" t="s">
        <v>232</v>
      </c>
      <c r="C2" s="146">
        <v>2019</v>
      </c>
      <c r="D2" s="147" t="s">
        <v>233</v>
      </c>
      <c r="E2" s="146" t="s">
        <v>358</v>
      </c>
      <c r="F2" s="146" t="s">
        <v>359</v>
      </c>
      <c r="G2" s="148" t="s">
        <v>36</v>
      </c>
      <c r="H2" s="149" t="s">
        <v>164</v>
      </c>
      <c r="I2" s="127" t="s">
        <v>159</v>
      </c>
      <c r="J2" s="150" t="s">
        <v>38</v>
      </c>
      <c r="K2" s="127" t="s">
        <v>161</v>
      </c>
      <c r="L2" s="151">
        <v>1</v>
      </c>
      <c r="M2" s="152"/>
      <c r="N2" s="152">
        <v>1</v>
      </c>
      <c r="O2" s="152">
        <v>0.7</v>
      </c>
      <c r="P2" s="152">
        <v>0.6</v>
      </c>
      <c r="Q2" s="153">
        <f t="shared" ref="Q2:Q65" si="0">IF(OR(O2="",P2=""),"",AVERAGE(O2,P2))</f>
        <v>0.64999999999999991</v>
      </c>
      <c r="R2" s="154">
        <v>13.5</v>
      </c>
      <c r="S2" s="149">
        <v>123</v>
      </c>
      <c r="T2" s="155">
        <f t="shared" ref="T2:T65" si="1">IF(H2="","",IF(OR(H2="GREEN",H2="GK"),IF(S2&gt;=$AX$2,VLOOKUP(S2,$AX$2:$AY$7,2,1),""),IF(S2&gt;=$AZ$2,VLOOKUP(S2,$AZ$2:$BA$7,2,1),"")))</f>
        <v>30</v>
      </c>
      <c r="U2" s="127">
        <v>98</v>
      </c>
      <c r="V2" s="155">
        <f t="shared" ref="V2:V65" si="2">IF(OR(N2="",U2="",T2=""),"",U2/N2*T2)</f>
        <v>2940</v>
      </c>
      <c r="W2" s="156">
        <v>10</v>
      </c>
      <c r="X2" s="157" t="s">
        <v>46</v>
      </c>
      <c r="Y2" s="157" t="s">
        <v>69</v>
      </c>
      <c r="Z2" s="157" t="s">
        <v>86</v>
      </c>
      <c r="AA2" s="157" t="s">
        <v>64</v>
      </c>
      <c r="AB2" s="53" t="s">
        <v>288</v>
      </c>
      <c r="AE2" s="64" t="s">
        <v>35</v>
      </c>
      <c r="AG2" s="67" t="s">
        <v>358</v>
      </c>
      <c r="AH2" s="67" t="s">
        <v>359</v>
      </c>
      <c r="AJ2" s="130" t="s">
        <v>36</v>
      </c>
      <c r="AL2" s="67" t="s">
        <v>127</v>
      </c>
      <c r="AN2" s="67" t="s">
        <v>37</v>
      </c>
      <c r="AP2" s="67" t="s">
        <v>38</v>
      </c>
      <c r="AR2" s="67" t="s">
        <v>120</v>
      </c>
      <c r="AT2" s="67" t="s">
        <v>39</v>
      </c>
      <c r="AV2" s="67" t="s">
        <v>40</v>
      </c>
      <c r="AX2" s="68">
        <v>1</v>
      </c>
      <c r="AY2" s="69">
        <v>50</v>
      </c>
      <c r="AZ2" s="69">
        <v>1</v>
      </c>
      <c r="BA2" s="70">
        <v>50</v>
      </c>
    </row>
    <row r="3" spans="1:53" x14ac:dyDescent="0.15">
      <c r="A3" s="158" t="s">
        <v>34</v>
      </c>
      <c r="B3" s="158" t="s">
        <v>157</v>
      </c>
      <c r="C3" s="159">
        <v>2019</v>
      </c>
      <c r="D3" s="160" t="s">
        <v>184</v>
      </c>
      <c r="E3" s="158" t="s">
        <v>358</v>
      </c>
      <c r="F3" s="158" t="s">
        <v>359</v>
      </c>
      <c r="G3" s="161" t="s">
        <v>36</v>
      </c>
      <c r="H3" s="127" t="s">
        <v>164</v>
      </c>
      <c r="I3" s="127" t="s">
        <v>159</v>
      </c>
      <c r="J3" s="127" t="s">
        <v>38</v>
      </c>
      <c r="K3" s="127" t="s">
        <v>161</v>
      </c>
      <c r="L3" s="53">
        <v>2</v>
      </c>
      <c r="N3" s="53">
        <v>1</v>
      </c>
      <c r="O3" s="53">
        <v>0.65</v>
      </c>
      <c r="P3" s="34">
        <v>0.7</v>
      </c>
      <c r="Q3" s="162">
        <f t="shared" si="0"/>
        <v>0.67500000000000004</v>
      </c>
      <c r="R3" s="163">
        <v>13.7</v>
      </c>
      <c r="S3" s="163">
        <v>120</v>
      </c>
      <c r="T3" s="16">
        <f t="shared" si="1"/>
        <v>30</v>
      </c>
      <c r="U3" s="164">
        <v>98</v>
      </c>
      <c r="V3" s="38">
        <f t="shared" si="2"/>
        <v>2940</v>
      </c>
      <c r="W3" s="165">
        <v>10</v>
      </c>
      <c r="X3" s="166" t="s">
        <v>46</v>
      </c>
      <c r="Y3" s="166" t="s">
        <v>69</v>
      </c>
      <c r="Z3" s="166" t="s">
        <v>86</v>
      </c>
      <c r="AA3" s="157" t="s">
        <v>64</v>
      </c>
      <c r="AB3" s="53" t="s">
        <v>158</v>
      </c>
      <c r="AE3" s="22" t="s">
        <v>41</v>
      </c>
      <c r="AG3" s="67" t="s">
        <v>360</v>
      </c>
      <c r="AH3" s="67" t="s">
        <v>361</v>
      </c>
      <c r="AJ3" s="167" t="s">
        <v>42</v>
      </c>
      <c r="AL3" s="23" t="s">
        <v>128</v>
      </c>
      <c r="AN3" s="23" t="s">
        <v>43</v>
      </c>
      <c r="AP3" s="23" t="s">
        <v>44</v>
      </c>
      <c r="AR3" s="23" t="s">
        <v>45</v>
      </c>
      <c r="AT3" s="23" t="s">
        <v>46</v>
      </c>
      <c r="AV3" s="23" t="s">
        <v>47</v>
      </c>
      <c r="AX3" s="24">
        <v>72</v>
      </c>
      <c r="AY3" s="25">
        <v>46</v>
      </c>
      <c r="AZ3" s="25">
        <v>71</v>
      </c>
      <c r="BA3" s="26">
        <v>42</v>
      </c>
    </row>
    <row r="4" spans="1:53" x14ac:dyDescent="0.15">
      <c r="A4" s="158" t="s">
        <v>34</v>
      </c>
      <c r="B4" s="158" t="s">
        <v>157</v>
      </c>
      <c r="C4" s="158">
        <v>2019</v>
      </c>
      <c r="D4" s="160" t="s">
        <v>184</v>
      </c>
      <c r="E4" s="158" t="s">
        <v>358</v>
      </c>
      <c r="F4" s="158" t="s">
        <v>359</v>
      </c>
      <c r="G4" s="161" t="s">
        <v>36</v>
      </c>
      <c r="H4" s="127" t="s">
        <v>164</v>
      </c>
      <c r="I4" s="127" t="s">
        <v>159</v>
      </c>
      <c r="J4" s="127" t="s">
        <v>38</v>
      </c>
      <c r="K4" s="127" t="s">
        <v>161</v>
      </c>
      <c r="L4" s="53">
        <v>3</v>
      </c>
      <c r="N4" s="53">
        <v>1</v>
      </c>
      <c r="O4" s="53">
        <v>0.65</v>
      </c>
      <c r="P4" s="34">
        <v>0.65</v>
      </c>
      <c r="Q4" s="74">
        <f t="shared" si="0"/>
        <v>0.65</v>
      </c>
      <c r="R4" s="168">
        <v>13.3</v>
      </c>
      <c r="S4" s="168">
        <v>123</v>
      </c>
      <c r="T4" s="16">
        <f t="shared" si="1"/>
        <v>30</v>
      </c>
      <c r="U4" s="169">
        <v>98</v>
      </c>
      <c r="V4" s="38">
        <f t="shared" si="2"/>
        <v>2940</v>
      </c>
      <c r="W4" s="165">
        <v>10</v>
      </c>
      <c r="X4" s="166" t="s">
        <v>46</v>
      </c>
      <c r="Y4" s="166" t="s">
        <v>69</v>
      </c>
      <c r="Z4" s="166" t="s">
        <v>86</v>
      </c>
      <c r="AA4" s="157" t="s">
        <v>64</v>
      </c>
      <c r="AB4" s="53" t="s">
        <v>158</v>
      </c>
      <c r="AE4" s="22" t="s">
        <v>34</v>
      </c>
      <c r="AG4" s="67" t="s">
        <v>362</v>
      </c>
      <c r="AH4" s="67" t="s">
        <v>361</v>
      </c>
      <c r="AJ4" s="170" t="s">
        <v>48</v>
      </c>
      <c r="AL4" s="27" t="s">
        <v>129</v>
      </c>
      <c r="AN4" s="28" t="s">
        <v>49</v>
      </c>
      <c r="AP4" s="23" t="s">
        <v>93</v>
      </c>
      <c r="AR4" s="23" t="s">
        <v>121</v>
      </c>
      <c r="AT4" s="28"/>
      <c r="AV4" s="23" t="s">
        <v>50</v>
      </c>
      <c r="AX4" s="24">
        <v>75</v>
      </c>
      <c r="AY4" s="25">
        <v>42</v>
      </c>
      <c r="AZ4" s="25">
        <v>76</v>
      </c>
      <c r="BA4" s="26">
        <v>39</v>
      </c>
    </row>
    <row r="5" spans="1:53" x14ac:dyDescent="0.15">
      <c r="A5" s="158" t="s">
        <v>34</v>
      </c>
      <c r="B5" s="158" t="s">
        <v>157</v>
      </c>
      <c r="C5" s="159">
        <v>2019</v>
      </c>
      <c r="D5" s="160" t="s">
        <v>184</v>
      </c>
      <c r="E5" s="158" t="s">
        <v>358</v>
      </c>
      <c r="F5" s="158" t="s">
        <v>359</v>
      </c>
      <c r="G5" s="161" t="s">
        <v>36</v>
      </c>
      <c r="H5" s="127" t="s">
        <v>160</v>
      </c>
      <c r="I5" s="127" t="s">
        <v>159</v>
      </c>
      <c r="J5" s="127" t="s">
        <v>38</v>
      </c>
      <c r="K5" s="127" t="s">
        <v>161</v>
      </c>
      <c r="L5" s="53">
        <v>1</v>
      </c>
      <c r="N5" s="53">
        <v>1</v>
      </c>
      <c r="O5" s="53">
        <v>0.8</v>
      </c>
      <c r="P5" s="53">
        <v>0.85</v>
      </c>
      <c r="Q5" s="74">
        <f t="shared" si="0"/>
        <v>0.82499999999999996</v>
      </c>
      <c r="R5" s="168">
        <v>15.9</v>
      </c>
      <c r="S5" s="168">
        <v>139</v>
      </c>
      <c r="T5" s="16">
        <f t="shared" si="1"/>
        <v>30</v>
      </c>
      <c r="U5" s="169">
        <v>98</v>
      </c>
      <c r="V5" s="38">
        <f t="shared" si="2"/>
        <v>2940</v>
      </c>
      <c r="W5" s="165">
        <v>10</v>
      </c>
      <c r="X5" s="166" t="s">
        <v>46</v>
      </c>
      <c r="Y5" s="166" t="s">
        <v>69</v>
      </c>
      <c r="Z5" s="166" t="s">
        <v>86</v>
      </c>
      <c r="AA5" s="157" t="s">
        <v>64</v>
      </c>
      <c r="AB5" s="53" t="s">
        <v>158</v>
      </c>
      <c r="AE5" s="22" t="s">
        <v>51</v>
      </c>
      <c r="AG5" s="67" t="s">
        <v>358</v>
      </c>
      <c r="AH5" s="67" t="s">
        <v>363</v>
      </c>
      <c r="AJ5" s="171"/>
      <c r="AL5" s="72" t="s">
        <v>66</v>
      </c>
      <c r="AN5" s="72" t="s">
        <v>52</v>
      </c>
      <c r="AP5" s="23" t="s">
        <v>119</v>
      </c>
      <c r="AR5" s="23" t="s">
        <v>54</v>
      </c>
      <c r="AV5" s="23" t="s">
        <v>55</v>
      </c>
      <c r="AX5" s="24">
        <v>84</v>
      </c>
      <c r="AY5" s="25">
        <v>39</v>
      </c>
      <c r="AZ5" s="25">
        <v>84</v>
      </c>
      <c r="BA5" s="26">
        <v>36</v>
      </c>
    </row>
    <row r="6" spans="1:53" x14ac:dyDescent="0.15">
      <c r="A6" s="158" t="s">
        <v>34</v>
      </c>
      <c r="B6" s="158" t="s">
        <v>157</v>
      </c>
      <c r="C6" s="158">
        <v>2019</v>
      </c>
      <c r="D6" s="160" t="s">
        <v>184</v>
      </c>
      <c r="E6" s="158" t="s">
        <v>358</v>
      </c>
      <c r="F6" s="158" t="s">
        <v>359</v>
      </c>
      <c r="G6" s="161" t="s">
        <v>36</v>
      </c>
      <c r="H6" s="127" t="s">
        <v>160</v>
      </c>
      <c r="I6" s="127" t="s">
        <v>159</v>
      </c>
      <c r="J6" s="127" t="s">
        <v>38</v>
      </c>
      <c r="K6" s="127" t="s">
        <v>161</v>
      </c>
      <c r="L6" s="53">
        <v>2</v>
      </c>
      <c r="N6" s="53">
        <v>1</v>
      </c>
      <c r="O6" s="53">
        <v>0.7</v>
      </c>
      <c r="P6" s="53">
        <v>0.8</v>
      </c>
      <c r="Q6" s="74">
        <f t="shared" si="0"/>
        <v>0.75</v>
      </c>
      <c r="R6" s="168">
        <v>16.600000000000001</v>
      </c>
      <c r="S6" s="168">
        <v>135</v>
      </c>
      <c r="T6" s="16">
        <f t="shared" si="1"/>
        <v>30</v>
      </c>
      <c r="U6" s="169">
        <v>98</v>
      </c>
      <c r="V6" s="38">
        <f t="shared" si="2"/>
        <v>2940</v>
      </c>
      <c r="W6" s="165">
        <v>10</v>
      </c>
      <c r="X6" s="166" t="s">
        <v>46</v>
      </c>
      <c r="Y6" s="166" t="s">
        <v>69</v>
      </c>
      <c r="Z6" s="166" t="s">
        <v>86</v>
      </c>
      <c r="AA6" s="157" t="s">
        <v>64</v>
      </c>
      <c r="AB6" s="53" t="s">
        <v>158</v>
      </c>
      <c r="AE6" s="22" t="s">
        <v>56</v>
      </c>
      <c r="AG6" s="67" t="s">
        <v>210</v>
      </c>
      <c r="AH6" s="67" t="s">
        <v>364</v>
      </c>
      <c r="AL6" s="72" t="s">
        <v>99</v>
      </c>
      <c r="AN6" s="72" t="s">
        <v>57</v>
      </c>
      <c r="AP6" s="23" t="s">
        <v>53</v>
      </c>
      <c r="AR6" s="23" t="s">
        <v>59</v>
      </c>
      <c r="AV6" s="23" t="s">
        <v>60</v>
      </c>
      <c r="AX6" s="24">
        <v>97</v>
      </c>
      <c r="AY6" s="25">
        <v>36</v>
      </c>
      <c r="AZ6" s="25">
        <v>99</v>
      </c>
      <c r="BA6" s="26">
        <v>33</v>
      </c>
    </row>
    <row r="7" spans="1:53" x14ac:dyDescent="0.15">
      <c r="A7" s="158" t="s">
        <v>34</v>
      </c>
      <c r="B7" s="158" t="s">
        <v>157</v>
      </c>
      <c r="C7" s="159">
        <v>2019</v>
      </c>
      <c r="D7" s="160" t="s">
        <v>184</v>
      </c>
      <c r="E7" s="158" t="s">
        <v>358</v>
      </c>
      <c r="F7" s="158" t="s">
        <v>359</v>
      </c>
      <c r="G7" s="161" t="s">
        <v>36</v>
      </c>
      <c r="H7" s="127" t="s">
        <v>160</v>
      </c>
      <c r="I7" s="127" t="s">
        <v>159</v>
      </c>
      <c r="J7" s="127" t="s">
        <v>38</v>
      </c>
      <c r="K7" s="127" t="s">
        <v>161</v>
      </c>
      <c r="L7" s="53">
        <v>3</v>
      </c>
      <c r="N7" s="53">
        <v>1</v>
      </c>
      <c r="O7" s="53">
        <v>0.75</v>
      </c>
      <c r="P7" s="53">
        <v>0.7</v>
      </c>
      <c r="Q7" s="74">
        <f t="shared" si="0"/>
        <v>0.72499999999999998</v>
      </c>
      <c r="R7" s="168">
        <v>16.399999999999999</v>
      </c>
      <c r="S7" s="168">
        <v>138</v>
      </c>
      <c r="T7" s="16">
        <f t="shared" si="1"/>
        <v>30</v>
      </c>
      <c r="U7" s="169">
        <v>98</v>
      </c>
      <c r="V7" s="38">
        <f t="shared" si="2"/>
        <v>2940</v>
      </c>
      <c r="W7" s="165">
        <v>10</v>
      </c>
      <c r="X7" s="166" t="s">
        <v>46</v>
      </c>
      <c r="Y7" s="166" t="s">
        <v>69</v>
      </c>
      <c r="Z7" s="166" t="s">
        <v>86</v>
      </c>
      <c r="AA7" s="157" t="s">
        <v>64</v>
      </c>
      <c r="AB7" s="53" t="s">
        <v>158</v>
      </c>
      <c r="AE7" s="22" t="s">
        <v>61</v>
      </c>
      <c r="AG7" s="67" t="s">
        <v>365</v>
      </c>
      <c r="AH7" s="67" t="s">
        <v>364</v>
      </c>
      <c r="AL7" s="34" t="s">
        <v>109</v>
      </c>
      <c r="AP7" s="23" t="s">
        <v>58</v>
      </c>
      <c r="AR7" s="23" t="s">
        <v>122</v>
      </c>
      <c r="AV7" s="23" t="s">
        <v>64</v>
      </c>
      <c r="AX7" s="24">
        <v>109</v>
      </c>
      <c r="AY7" s="25">
        <v>33</v>
      </c>
      <c r="AZ7" s="25">
        <v>113</v>
      </c>
      <c r="BA7" s="26">
        <v>30</v>
      </c>
    </row>
    <row r="8" spans="1:53" x14ac:dyDescent="0.15">
      <c r="A8" s="158" t="s">
        <v>34</v>
      </c>
      <c r="B8" s="158" t="s">
        <v>157</v>
      </c>
      <c r="C8" s="158">
        <v>2019</v>
      </c>
      <c r="D8" s="160" t="s">
        <v>184</v>
      </c>
      <c r="E8" s="159" t="s">
        <v>360</v>
      </c>
      <c r="F8" s="158" t="s">
        <v>361</v>
      </c>
      <c r="G8" s="161" t="s">
        <v>36</v>
      </c>
      <c r="H8" s="127" t="s">
        <v>164</v>
      </c>
      <c r="I8" s="127" t="s">
        <v>159</v>
      </c>
      <c r="J8" s="127" t="s">
        <v>38</v>
      </c>
      <c r="K8" s="127" t="s">
        <v>161</v>
      </c>
      <c r="L8" s="53">
        <v>1</v>
      </c>
      <c r="N8" s="53">
        <v>4</v>
      </c>
      <c r="O8" s="53">
        <v>0.7</v>
      </c>
      <c r="P8" s="53">
        <v>0.65</v>
      </c>
      <c r="Q8" s="74">
        <f t="shared" si="0"/>
        <v>0.67500000000000004</v>
      </c>
      <c r="R8" s="168">
        <v>14.4</v>
      </c>
      <c r="S8" s="168">
        <v>86</v>
      </c>
      <c r="T8" s="16">
        <f t="shared" si="1"/>
        <v>36</v>
      </c>
      <c r="U8" s="164">
        <v>398</v>
      </c>
      <c r="V8" s="38">
        <f t="shared" si="2"/>
        <v>3582</v>
      </c>
      <c r="W8" s="165">
        <v>6</v>
      </c>
      <c r="X8" s="166" t="s">
        <v>46</v>
      </c>
      <c r="Y8" s="172" t="s">
        <v>86</v>
      </c>
      <c r="Z8" s="166" t="s">
        <v>60</v>
      </c>
      <c r="AA8" s="157" t="s">
        <v>75</v>
      </c>
      <c r="AB8" s="53" t="s">
        <v>158</v>
      </c>
      <c r="AE8" s="22" t="s">
        <v>59</v>
      </c>
      <c r="AG8" s="67" t="s">
        <v>210</v>
      </c>
      <c r="AH8" s="67" t="s">
        <v>366</v>
      </c>
      <c r="AL8" s="34" t="s">
        <v>134</v>
      </c>
      <c r="AP8" s="23" t="s">
        <v>62</v>
      </c>
      <c r="AR8" s="23" t="s">
        <v>81</v>
      </c>
      <c r="AV8" s="23" t="s">
        <v>97</v>
      </c>
      <c r="AX8" s="24">
        <v>151</v>
      </c>
      <c r="AY8" s="25">
        <v>22</v>
      </c>
      <c r="AZ8" s="25">
        <v>152</v>
      </c>
      <c r="BA8" s="26">
        <v>18</v>
      </c>
    </row>
    <row r="9" spans="1:53" x14ac:dyDescent="0.15">
      <c r="A9" s="158" t="s">
        <v>34</v>
      </c>
      <c r="B9" s="158" t="s">
        <v>157</v>
      </c>
      <c r="C9" s="159">
        <v>2019</v>
      </c>
      <c r="D9" s="160" t="s">
        <v>184</v>
      </c>
      <c r="E9" s="159" t="s">
        <v>360</v>
      </c>
      <c r="F9" s="158" t="s">
        <v>361</v>
      </c>
      <c r="G9" s="161" t="s">
        <v>36</v>
      </c>
      <c r="H9" s="127" t="s">
        <v>164</v>
      </c>
      <c r="I9" s="127" t="s">
        <v>159</v>
      </c>
      <c r="J9" s="127" t="s">
        <v>38</v>
      </c>
      <c r="K9" s="127" t="s">
        <v>161</v>
      </c>
      <c r="L9" s="53">
        <v>2</v>
      </c>
      <c r="N9" s="53">
        <v>4</v>
      </c>
      <c r="O9" s="53">
        <v>0.8</v>
      </c>
      <c r="P9" s="53">
        <v>0.9</v>
      </c>
      <c r="Q9" s="74">
        <f t="shared" si="0"/>
        <v>0.85000000000000009</v>
      </c>
      <c r="R9" s="168">
        <v>13.8</v>
      </c>
      <c r="S9" s="168">
        <v>85</v>
      </c>
      <c r="T9" s="16">
        <f t="shared" si="1"/>
        <v>36</v>
      </c>
      <c r="U9" s="164">
        <v>398</v>
      </c>
      <c r="V9" s="38">
        <f t="shared" si="2"/>
        <v>3582</v>
      </c>
      <c r="W9" s="165">
        <v>6</v>
      </c>
      <c r="X9" s="166" t="s">
        <v>46</v>
      </c>
      <c r="Y9" s="172" t="s">
        <v>86</v>
      </c>
      <c r="Z9" s="166" t="s">
        <v>60</v>
      </c>
      <c r="AA9" s="157" t="s">
        <v>75</v>
      </c>
      <c r="AB9" s="53" t="s">
        <v>158</v>
      </c>
      <c r="AE9" s="22" t="s">
        <v>98</v>
      </c>
      <c r="AG9" s="67" t="s">
        <v>139</v>
      </c>
      <c r="AH9" s="67" t="s">
        <v>366</v>
      </c>
      <c r="AL9" s="72"/>
      <c r="AP9" s="23" t="s">
        <v>95</v>
      </c>
      <c r="AR9" s="23" t="s">
        <v>89</v>
      </c>
      <c r="AV9" s="23" t="s">
        <v>102</v>
      </c>
      <c r="AX9" s="31">
        <v>180</v>
      </c>
      <c r="AY9" s="32">
        <v>18</v>
      </c>
      <c r="AZ9" s="32">
        <v>181</v>
      </c>
      <c r="BA9" s="33">
        <v>16</v>
      </c>
    </row>
    <row r="10" spans="1:53" x14ac:dyDescent="0.15">
      <c r="A10" s="158" t="s">
        <v>34</v>
      </c>
      <c r="B10" s="158" t="s">
        <v>157</v>
      </c>
      <c r="C10" s="158">
        <v>2019</v>
      </c>
      <c r="D10" s="160" t="s">
        <v>184</v>
      </c>
      <c r="E10" s="159" t="s">
        <v>360</v>
      </c>
      <c r="F10" s="158" t="s">
        <v>361</v>
      </c>
      <c r="G10" s="161" t="s">
        <v>36</v>
      </c>
      <c r="H10" s="127" t="s">
        <v>164</v>
      </c>
      <c r="I10" s="127" t="s">
        <v>159</v>
      </c>
      <c r="J10" s="127" t="s">
        <v>38</v>
      </c>
      <c r="K10" s="127" t="s">
        <v>161</v>
      </c>
      <c r="L10" s="53">
        <v>3</v>
      </c>
      <c r="N10" s="53">
        <v>4</v>
      </c>
      <c r="O10" s="53">
        <v>0.65</v>
      </c>
      <c r="P10" s="53">
        <v>0.55000000000000004</v>
      </c>
      <c r="Q10" s="74">
        <f t="shared" si="0"/>
        <v>0.60000000000000009</v>
      </c>
      <c r="R10" s="168">
        <v>14.6</v>
      </c>
      <c r="S10" s="168">
        <v>86</v>
      </c>
      <c r="T10" s="16">
        <f t="shared" si="1"/>
        <v>36</v>
      </c>
      <c r="U10" s="164">
        <v>398</v>
      </c>
      <c r="V10" s="38">
        <f t="shared" si="2"/>
        <v>3582</v>
      </c>
      <c r="W10" s="165">
        <v>6</v>
      </c>
      <c r="X10" s="166" t="s">
        <v>46</v>
      </c>
      <c r="Y10" s="172" t="s">
        <v>86</v>
      </c>
      <c r="Z10" s="166" t="s">
        <v>60</v>
      </c>
      <c r="AA10" s="157" t="s">
        <v>75</v>
      </c>
      <c r="AB10" s="53" t="s">
        <v>158</v>
      </c>
      <c r="AE10" s="22" t="s">
        <v>103</v>
      </c>
      <c r="AG10" s="67" t="s">
        <v>133</v>
      </c>
      <c r="AH10" s="67" t="s">
        <v>367</v>
      </c>
      <c r="AL10" s="34"/>
      <c r="AP10" s="23" t="s">
        <v>100</v>
      </c>
      <c r="AR10" s="23" t="s">
        <v>123</v>
      </c>
      <c r="AV10" s="23" t="s">
        <v>106</v>
      </c>
    </row>
    <row r="11" spans="1:53" x14ac:dyDescent="0.15">
      <c r="A11" s="158" t="s">
        <v>34</v>
      </c>
      <c r="B11" s="158" t="s">
        <v>157</v>
      </c>
      <c r="C11" s="159">
        <v>2019</v>
      </c>
      <c r="D11" s="160" t="s">
        <v>184</v>
      </c>
      <c r="E11" s="159" t="s">
        <v>360</v>
      </c>
      <c r="F11" s="158" t="s">
        <v>361</v>
      </c>
      <c r="G11" s="161" t="s">
        <v>36</v>
      </c>
      <c r="H11" s="127" t="s">
        <v>160</v>
      </c>
      <c r="I11" s="127" t="s">
        <v>159</v>
      </c>
      <c r="J11" s="127" t="s">
        <v>38</v>
      </c>
      <c r="K11" s="127" t="s">
        <v>161</v>
      </c>
      <c r="L11" s="53">
        <v>1</v>
      </c>
      <c r="N11" s="53">
        <v>4</v>
      </c>
      <c r="O11" s="53">
        <v>0.9</v>
      </c>
      <c r="P11" s="53">
        <v>0.85</v>
      </c>
      <c r="Q11" s="74">
        <f t="shared" si="0"/>
        <v>0.875</v>
      </c>
      <c r="R11" s="168">
        <v>15.5</v>
      </c>
      <c r="S11" s="168">
        <v>101</v>
      </c>
      <c r="T11" s="16">
        <f t="shared" si="1"/>
        <v>33</v>
      </c>
      <c r="U11" s="164">
        <v>498</v>
      </c>
      <c r="V11" s="38">
        <f t="shared" si="2"/>
        <v>4108.5</v>
      </c>
      <c r="W11" s="165">
        <v>6</v>
      </c>
      <c r="X11" s="166" t="s">
        <v>46</v>
      </c>
      <c r="Y11" s="172" t="s">
        <v>86</v>
      </c>
      <c r="Z11" s="166" t="s">
        <v>60</v>
      </c>
      <c r="AA11" s="172" t="s">
        <v>75</v>
      </c>
      <c r="AB11" s="53" t="s">
        <v>158</v>
      </c>
      <c r="AE11" s="22" t="s">
        <v>65</v>
      </c>
      <c r="AG11" s="23" t="s">
        <v>269</v>
      </c>
      <c r="AH11" s="23" t="s">
        <v>368</v>
      </c>
      <c r="AL11" s="34"/>
      <c r="AP11" s="23" t="s">
        <v>104</v>
      </c>
      <c r="AR11" s="23" t="s">
        <v>87</v>
      </c>
      <c r="AV11" s="23" t="s">
        <v>69</v>
      </c>
    </row>
    <row r="12" spans="1:53" x14ac:dyDescent="0.15">
      <c r="A12" s="158" t="s">
        <v>34</v>
      </c>
      <c r="B12" s="158" t="s">
        <v>157</v>
      </c>
      <c r="C12" s="158">
        <v>2019</v>
      </c>
      <c r="D12" s="160" t="s">
        <v>184</v>
      </c>
      <c r="E12" s="159" t="s">
        <v>360</v>
      </c>
      <c r="F12" s="158" t="s">
        <v>361</v>
      </c>
      <c r="G12" s="161" t="s">
        <v>36</v>
      </c>
      <c r="H12" s="127" t="s">
        <v>160</v>
      </c>
      <c r="I12" s="127" t="s">
        <v>159</v>
      </c>
      <c r="J12" s="127" t="s">
        <v>38</v>
      </c>
      <c r="K12" s="127" t="s">
        <v>161</v>
      </c>
      <c r="L12" s="53">
        <v>2</v>
      </c>
      <c r="N12" s="53">
        <v>4</v>
      </c>
      <c r="O12" s="53">
        <v>0.8</v>
      </c>
      <c r="P12" s="53">
        <v>0.85</v>
      </c>
      <c r="Q12" s="74">
        <f t="shared" si="0"/>
        <v>0.82499999999999996</v>
      </c>
      <c r="R12" s="168">
        <v>15.8</v>
      </c>
      <c r="S12" s="168">
        <v>102</v>
      </c>
      <c r="T12" s="16">
        <f t="shared" si="1"/>
        <v>33</v>
      </c>
      <c r="U12" s="164">
        <v>498</v>
      </c>
      <c r="V12" s="38">
        <f t="shared" si="2"/>
        <v>4108.5</v>
      </c>
      <c r="W12" s="165">
        <v>6</v>
      </c>
      <c r="X12" s="166" t="s">
        <v>46</v>
      </c>
      <c r="Y12" s="172" t="s">
        <v>86</v>
      </c>
      <c r="Z12" s="166" t="s">
        <v>60</v>
      </c>
      <c r="AA12" s="172" t="s">
        <v>75</v>
      </c>
      <c r="AB12" s="53" t="s">
        <v>158</v>
      </c>
      <c r="AE12" s="22" t="s">
        <v>70</v>
      </c>
      <c r="AG12" s="23"/>
      <c r="AH12" s="23"/>
      <c r="AL12" s="34"/>
      <c r="AP12" s="23" t="s">
        <v>67</v>
      </c>
      <c r="AR12" s="23" t="s">
        <v>124</v>
      </c>
      <c r="AV12" s="23" t="s">
        <v>72</v>
      </c>
    </row>
    <row r="13" spans="1:53" x14ac:dyDescent="0.15">
      <c r="A13" s="158" t="s">
        <v>34</v>
      </c>
      <c r="B13" s="158" t="s">
        <v>157</v>
      </c>
      <c r="C13" s="159">
        <v>2019</v>
      </c>
      <c r="D13" s="160" t="s">
        <v>184</v>
      </c>
      <c r="E13" s="159" t="s">
        <v>360</v>
      </c>
      <c r="F13" s="158" t="s">
        <v>361</v>
      </c>
      <c r="G13" s="161" t="s">
        <v>36</v>
      </c>
      <c r="H13" s="127" t="s">
        <v>160</v>
      </c>
      <c r="I13" s="127" t="s">
        <v>159</v>
      </c>
      <c r="J13" s="127" t="s">
        <v>38</v>
      </c>
      <c r="K13" s="127" t="s">
        <v>161</v>
      </c>
      <c r="L13" s="53">
        <v>3</v>
      </c>
      <c r="N13" s="53">
        <v>4</v>
      </c>
      <c r="O13" s="53">
        <v>0.8</v>
      </c>
      <c r="P13" s="53">
        <v>0.8</v>
      </c>
      <c r="Q13" s="74">
        <f t="shared" si="0"/>
        <v>0.8</v>
      </c>
      <c r="R13" s="168">
        <v>16.100000000000001</v>
      </c>
      <c r="S13" s="168">
        <v>106</v>
      </c>
      <c r="T13" s="16">
        <f t="shared" si="1"/>
        <v>33</v>
      </c>
      <c r="U13" s="164">
        <v>498</v>
      </c>
      <c r="V13" s="38">
        <f t="shared" si="2"/>
        <v>4108.5</v>
      </c>
      <c r="W13" s="165">
        <v>6</v>
      </c>
      <c r="X13" s="166" t="s">
        <v>46</v>
      </c>
      <c r="Y13" s="172" t="s">
        <v>86</v>
      </c>
      <c r="Z13" s="166" t="s">
        <v>60</v>
      </c>
      <c r="AA13" s="172" t="s">
        <v>75</v>
      </c>
      <c r="AB13" s="53" t="s">
        <v>158</v>
      </c>
      <c r="AE13" s="22" t="s">
        <v>73</v>
      </c>
      <c r="AG13" s="28"/>
      <c r="AH13" s="28"/>
      <c r="AP13" s="23" t="s">
        <v>71</v>
      </c>
      <c r="AR13" s="23" t="s">
        <v>103</v>
      </c>
      <c r="AV13" s="23" t="s">
        <v>75</v>
      </c>
    </row>
    <row r="14" spans="1:53" x14ac:dyDescent="0.15">
      <c r="A14" s="158" t="s">
        <v>34</v>
      </c>
      <c r="B14" s="158" t="s">
        <v>157</v>
      </c>
      <c r="C14" s="158">
        <v>2019</v>
      </c>
      <c r="D14" s="160" t="s">
        <v>184</v>
      </c>
      <c r="E14" s="159" t="s">
        <v>362</v>
      </c>
      <c r="F14" s="158" t="s">
        <v>361</v>
      </c>
      <c r="G14" s="161" t="s">
        <v>36</v>
      </c>
      <c r="H14" s="127" t="s">
        <v>164</v>
      </c>
      <c r="I14" s="127" t="s">
        <v>159</v>
      </c>
      <c r="J14" s="127" t="s">
        <v>38</v>
      </c>
      <c r="K14" s="127" t="s">
        <v>161</v>
      </c>
      <c r="L14" s="53">
        <v>1</v>
      </c>
      <c r="N14" s="53">
        <v>1</v>
      </c>
      <c r="O14" s="53">
        <v>0.85</v>
      </c>
      <c r="P14" s="53">
        <v>0.8</v>
      </c>
      <c r="Q14" s="74">
        <f t="shared" si="0"/>
        <v>0.82499999999999996</v>
      </c>
      <c r="R14" s="168">
        <v>14.5</v>
      </c>
      <c r="S14" s="168">
        <v>118</v>
      </c>
      <c r="T14" s="16">
        <f t="shared" si="1"/>
        <v>30</v>
      </c>
      <c r="U14" s="164">
        <v>98</v>
      </c>
      <c r="V14" s="38">
        <f t="shared" si="2"/>
        <v>2940</v>
      </c>
      <c r="W14" s="165">
        <v>2</v>
      </c>
      <c r="X14" s="166" t="s">
        <v>46</v>
      </c>
      <c r="Y14" s="172" t="s">
        <v>97</v>
      </c>
      <c r="Z14" s="172" t="s">
        <v>106</v>
      </c>
      <c r="AA14" s="172" t="s">
        <v>64</v>
      </c>
      <c r="AB14" s="53" t="s">
        <v>158</v>
      </c>
      <c r="AC14" s="34"/>
      <c r="AE14" s="22" t="s">
        <v>76</v>
      </c>
      <c r="AP14" s="23" t="s">
        <v>74</v>
      </c>
      <c r="AR14" s="23" t="s">
        <v>125</v>
      </c>
      <c r="AV14" s="23" t="s">
        <v>78</v>
      </c>
    </row>
    <row r="15" spans="1:53" x14ac:dyDescent="0.15">
      <c r="A15" s="158" t="s">
        <v>34</v>
      </c>
      <c r="B15" s="158" t="s">
        <v>157</v>
      </c>
      <c r="C15" s="159">
        <v>2019</v>
      </c>
      <c r="D15" s="160" t="s">
        <v>184</v>
      </c>
      <c r="E15" s="159" t="s">
        <v>362</v>
      </c>
      <c r="F15" s="158" t="s">
        <v>361</v>
      </c>
      <c r="G15" s="161" t="s">
        <v>36</v>
      </c>
      <c r="H15" s="127" t="s">
        <v>164</v>
      </c>
      <c r="I15" s="127" t="s">
        <v>159</v>
      </c>
      <c r="J15" s="127" t="s">
        <v>38</v>
      </c>
      <c r="K15" s="127" t="s">
        <v>161</v>
      </c>
      <c r="L15" s="53">
        <v>2</v>
      </c>
      <c r="N15" s="53">
        <v>1</v>
      </c>
      <c r="O15" s="53">
        <v>0.6</v>
      </c>
      <c r="P15" s="53">
        <v>0.65</v>
      </c>
      <c r="Q15" s="74">
        <f t="shared" si="0"/>
        <v>0.625</v>
      </c>
      <c r="R15" s="168">
        <v>15.2</v>
      </c>
      <c r="S15" s="168">
        <v>120</v>
      </c>
      <c r="T15" s="16">
        <f t="shared" si="1"/>
        <v>30</v>
      </c>
      <c r="U15" s="164">
        <v>98</v>
      </c>
      <c r="V15" s="38">
        <f t="shared" si="2"/>
        <v>2940</v>
      </c>
      <c r="W15" s="165">
        <v>2</v>
      </c>
      <c r="X15" s="166" t="s">
        <v>46</v>
      </c>
      <c r="Y15" s="172" t="s">
        <v>97</v>
      </c>
      <c r="Z15" s="172" t="s">
        <v>106</v>
      </c>
      <c r="AA15" s="172" t="s">
        <v>64</v>
      </c>
      <c r="AB15" s="53" t="s">
        <v>158</v>
      </c>
      <c r="AC15" s="34"/>
      <c r="AE15" s="22" t="s">
        <v>79</v>
      </c>
      <c r="AP15" s="23" t="s">
        <v>77</v>
      </c>
      <c r="AR15" s="23" t="s">
        <v>94</v>
      </c>
      <c r="AV15" s="23" t="s">
        <v>107</v>
      </c>
    </row>
    <row r="16" spans="1:53" x14ac:dyDescent="0.15">
      <c r="A16" s="158" t="s">
        <v>34</v>
      </c>
      <c r="B16" s="158" t="s">
        <v>157</v>
      </c>
      <c r="C16" s="158">
        <v>2019</v>
      </c>
      <c r="D16" s="160" t="s">
        <v>184</v>
      </c>
      <c r="E16" s="159" t="s">
        <v>362</v>
      </c>
      <c r="F16" s="158" t="s">
        <v>361</v>
      </c>
      <c r="G16" s="161" t="s">
        <v>36</v>
      </c>
      <c r="H16" s="127" t="s">
        <v>164</v>
      </c>
      <c r="I16" s="127" t="s">
        <v>159</v>
      </c>
      <c r="J16" s="127" t="s">
        <v>38</v>
      </c>
      <c r="K16" s="127" t="s">
        <v>161</v>
      </c>
      <c r="L16" s="53">
        <v>3</v>
      </c>
      <c r="N16" s="53">
        <v>1</v>
      </c>
      <c r="O16" s="53">
        <v>0.75</v>
      </c>
      <c r="P16" s="53">
        <v>0.7</v>
      </c>
      <c r="Q16" s="74">
        <f t="shared" si="0"/>
        <v>0.72499999999999998</v>
      </c>
      <c r="R16" s="168">
        <v>14.8</v>
      </c>
      <c r="S16" s="168">
        <v>118</v>
      </c>
      <c r="T16" s="16">
        <f t="shared" si="1"/>
        <v>30</v>
      </c>
      <c r="U16" s="164">
        <v>98</v>
      </c>
      <c r="V16" s="38">
        <f t="shared" si="2"/>
        <v>2940</v>
      </c>
      <c r="W16" s="165">
        <v>2</v>
      </c>
      <c r="X16" s="166" t="s">
        <v>46</v>
      </c>
      <c r="Y16" s="172" t="s">
        <v>97</v>
      </c>
      <c r="Z16" s="172" t="s">
        <v>106</v>
      </c>
      <c r="AA16" s="172" t="s">
        <v>64</v>
      </c>
      <c r="AB16" s="53" t="s">
        <v>158</v>
      </c>
      <c r="AC16" s="34"/>
      <c r="AE16" s="22" t="s">
        <v>82</v>
      </c>
      <c r="AP16" s="23" t="s">
        <v>80</v>
      </c>
      <c r="AR16" s="23" t="s">
        <v>63</v>
      </c>
      <c r="AV16" s="23" t="s">
        <v>84</v>
      </c>
    </row>
    <row r="17" spans="1:48" x14ac:dyDescent="0.15">
      <c r="A17" s="158" t="s">
        <v>34</v>
      </c>
      <c r="B17" s="158" t="s">
        <v>157</v>
      </c>
      <c r="C17" s="159">
        <v>2019</v>
      </c>
      <c r="D17" s="160" t="s">
        <v>184</v>
      </c>
      <c r="E17" s="159" t="s">
        <v>358</v>
      </c>
      <c r="F17" s="158" t="s">
        <v>363</v>
      </c>
      <c r="G17" s="161" t="s">
        <v>36</v>
      </c>
      <c r="H17" s="127" t="s">
        <v>164</v>
      </c>
      <c r="I17" s="127" t="s">
        <v>159</v>
      </c>
      <c r="J17" s="127" t="s">
        <v>38</v>
      </c>
      <c r="K17" s="127" t="s">
        <v>161</v>
      </c>
      <c r="L17" s="53">
        <v>1</v>
      </c>
      <c r="N17" s="53">
        <v>8</v>
      </c>
      <c r="O17" s="53">
        <v>0.5</v>
      </c>
      <c r="P17" s="53">
        <v>0.55000000000000004</v>
      </c>
      <c r="Q17" s="74">
        <f t="shared" si="0"/>
        <v>0.52500000000000002</v>
      </c>
      <c r="R17" s="168">
        <v>15.5</v>
      </c>
      <c r="S17" s="168">
        <v>97</v>
      </c>
      <c r="T17" s="16">
        <f t="shared" si="1"/>
        <v>36</v>
      </c>
      <c r="U17" s="164">
        <v>598</v>
      </c>
      <c r="V17" s="38">
        <f t="shared" si="2"/>
        <v>2691</v>
      </c>
      <c r="W17" s="165">
        <v>10</v>
      </c>
      <c r="X17" s="166" t="s">
        <v>46</v>
      </c>
      <c r="Y17" s="172" t="s">
        <v>97</v>
      </c>
      <c r="Z17" s="172" t="s">
        <v>55</v>
      </c>
      <c r="AA17" s="172" t="s">
        <v>40</v>
      </c>
      <c r="AB17" s="53" t="s">
        <v>158</v>
      </c>
      <c r="AC17" s="34"/>
      <c r="AE17" s="22" t="s">
        <v>85</v>
      </c>
      <c r="AP17" s="27" t="s">
        <v>110</v>
      </c>
      <c r="AR17" s="23" t="s">
        <v>96</v>
      </c>
      <c r="AV17" s="23" t="s">
        <v>86</v>
      </c>
    </row>
    <row r="18" spans="1:48" x14ac:dyDescent="0.15">
      <c r="A18" s="158" t="s">
        <v>34</v>
      </c>
      <c r="B18" s="158" t="s">
        <v>157</v>
      </c>
      <c r="C18" s="158">
        <v>2019</v>
      </c>
      <c r="D18" s="160" t="s">
        <v>184</v>
      </c>
      <c r="E18" s="159" t="s">
        <v>358</v>
      </c>
      <c r="F18" s="158" t="s">
        <v>363</v>
      </c>
      <c r="G18" s="161" t="s">
        <v>36</v>
      </c>
      <c r="H18" s="127" t="s">
        <v>164</v>
      </c>
      <c r="I18" s="127" t="s">
        <v>159</v>
      </c>
      <c r="J18" s="127" t="s">
        <v>38</v>
      </c>
      <c r="K18" s="127" t="s">
        <v>161</v>
      </c>
      <c r="L18" s="53">
        <v>2</v>
      </c>
      <c r="N18" s="53">
        <v>8</v>
      </c>
      <c r="O18" s="53">
        <v>0.6</v>
      </c>
      <c r="P18" s="53">
        <v>0.55000000000000004</v>
      </c>
      <c r="Q18" s="74">
        <f t="shared" si="0"/>
        <v>0.57499999999999996</v>
      </c>
      <c r="R18" s="168">
        <v>14.8</v>
      </c>
      <c r="S18" s="168">
        <v>103</v>
      </c>
      <c r="T18" s="16">
        <f t="shared" si="1"/>
        <v>33</v>
      </c>
      <c r="U18" s="164">
        <v>598</v>
      </c>
      <c r="V18" s="38">
        <f t="shared" si="2"/>
        <v>2466.75</v>
      </c>
      <c r="W18" s="165">
        <v>10</v>
      </c>
      <c r="X18" s="166" t="s">
        <v>46</v>
      </c>
      <c r="Y18" s="172" t="s">
        <v>97</v>
      </c>
      <c r="Z18" s="172" t="s">
        <v>55</v>
      </c>
      <c r="AA18" s="172" t="s">
        <v>40</v>
      </c>
      <c r="AB18" s="53" t="s">
        <v>158</v>
      </c>
      <c r="AC18" s="34"/>
      <c r="AE18" s="22" t="s">
        <v>87</v>
      </c>
      <c r="AP18" s="27" t="s">
        <v>111</v>
      </c>
      <c r="AR18" s="23" t="s">
        <v>101</v>
      </c>
      <c r="AV18" s="23" t="s">
        <v>88</v>
      </c>
    </row>
    <row r="19" spans="1:48" x14ac:dyDescent="0.15">
      <c r="A19" s="158" t="s">
        <v>34</v>
      </c>
      <c r="B19" s="158" t="s">
        <v>157</v>
      </c>
      <c r="C19" s="159">
        <v>2019</v>
      </c>
      <c r="D19" s="160" t="s">
        <v>184</v>
      </c>
      <c r="E19" s="159" t="s">
        <v>358</v>
      </c>
      <c r="F19" s="158" t="s">
        <v>363</v>
      </c>
      <c r="G19" s="161" t="s">
        <v>36</v>
      </c>
      <c r="H19" s="127" t="s">
        <v>164</v>
      </c>
      <c r="I19" s="127" t="s">
        <v>159</v>
      </c>
      <c r="J19" s="127" t="s">
        <v>38</v>
      </c>
      <c r="K19" s="127" t="s">
        <v>161</v>
      </c>
      <c r="L19" s="53">
        <v>3</v>
      </c>
      <c r="N19" s="53">
        <v>8</v>
      </c>
      <c r="O19" s="53">
        <v>0.5</v>
      </c>
      <c r="P19" s="53">
        <v>0.6</v>
      </c>
      <c r="Q19" s="74">
        <f t="shared" si="0"/>
        <v>0.55000000000000004</v>
      </c>
      <c r="R19" s="168">
        <v>14.4</v>
      </c>
      <c r="S19" s="168">
        <v>102</v>
      </c>
      <c r="T19" s="16">
        <f t="shared" si="1"/>
        <v>33</v>
      </c>
      <c r="U19" s="164">
        <v>598</v>
      </c>
      <c r="V19" s="38">
        <f t="shared" si="2"/>
        <v>2466.75</v>
      </c>
      <c r="W19" s="165">
        <v>10</v>
      </c>
      <c r="X19" s="166" t="s">
        <v>46</v>
      </c>
      <c r="Y19" s="172" t="s">
        <v>97</v>
      </c>
      <c r="Z19" s="172" t="s">
        <v>55</v>
      </c>
      <c r="AA19" s="172" t="s">
        <v>40</v>
      </c>
      <c r="AB19" s="53" t="s">
        <v>158</v>
      </c>
      <c r="AC19" s="34"/>
      <c r="AE19" s="35" t="s">
        <v>89</v>
      </c>
      <c r="AP19" s="27" t="s">
        <v>112</v>
      </c>
      <c r="AR19" s="23" t="s">
        <v>126</v>
      </c>
      <c r="AV19" s="23" t="s">
        <v>90</v>
      </c>
    </row>
    <row r="20" spans="1:48" x14ac:dyDescent="0.15">
      <c r="A20" s="158" t="s">
        <v>34</v>
      </c>
      <c r="B20" s="158" t="s">
        <v>157</v>
      </c>
      <c r="C20" s="158">
        <v>2019</v>
      </c>
      <c r="D20" s="160" t="s">
        <v>184</v>
      </c>
      <c r="E20" s="159" t="s">
        <v>358</v>
      </c>
      <c r="F20" s="158" t="s">
        <v>363</v>
      </c>
      <c r="G20" s="161" t="s">
        <v>36</v>
      </c>
      <c r="H20" s="127" t="s">
        <v>160</v>
      </c>
      <c r="I20" s="127" t="s">
        <v>159</v>
      </c>
      <c r="J20" s="127" t="s">
        <v>38</v>
      </c>
      <c r="K20" s="127" t="s">
        <v>161</v>
      </c>
      <c r="L20" s="53">
        <v>1</v>
      </c>
      <c r="N20" s="53">
        <v>8</v>
      </c>
      <c r="O20" s="53">
        <v>0.6</v>
      </c>
      <c r="P20" s="53">
        <v>0.55000000000000004</v>
      </c>
      <c r="Q20" s="74">
        <f t="shared" si="0"/>
        <v>0.57499999999999996</v>
      </c>
      <c r="R20" s="168">
        <v>17.3</v>
      </c>
      <c r="S20" s="168">
        <v>101</v>
      </c>
      <c r="T20" s="16">
        <f t="shared" si="1"/>
        <v>33</v>
      </c>
      <c r="U20" s="164">
        <v>598</v>
      </c>
      <c r="V20" s="38">
        <f t="shared" si="2"/>
        <v>2466.75</v>
      </c>
      <c r="W20" s="165">
        <v>10</v>
      </c>
      <c r="X20" s="166" t="s">
        <v>46</v>
      </c>
      <c r="Y20" s="172" t="s">
        <v>97</v>
      </c>
      <c r="Z20" s="172" t="s">
        <v>55</v>
      </c>
      <c r="AA20" s="172" t="s">
        <v>40</v>
      </c>
      <c r="AB20" s="53" t="s">
        <v>158</v>
      </c>
      <c r="AE20" s="35"/>
      <c r="AP20" s="27" t="s">
        <v>113</v>
      </c>
      <c r="AR20" s="23" t="s">
        <v>105</v>
      </c>
      <c r="AV20" s="27" t="s">
        <v>135</v>
      </c>
    </row>
    <row r="21" spans="1:48" x14ac:dyDescent="0.15">
      <c r="A21" s="158" t="s">
        <v>34</v>
      </c>
      <c r="B21" s="158" t="s">
        <v>157</v>
      </c>
      <c r="C21" s="159">
        <v>2019</v>
      </c>
      <c r="D21" s="160" t="s">
        <v>184</v>
      </c>
      <c r="E21" s="159" t="s">
        <v>358</v>
      </c>
      <c r="F21" s="158" t="s">
        <v>363</v>
      </c>
      <c r="G21" s="161" t="s">
        <v>36</v>
      </c>
      <c r="H21" s="127" t="s">
        <v>160</v>
      </c>
      <c r="I21" s="127" t="s">
        <v>159</v>
      </c>
      <c r="J21" s="127" t="s">
        <v>38</v>
      </c>
      <c r="K21" s="127" t="s">
        <v>161</v>
      </c>
      <c r="L21" s="53">
        <v>2</v>
      </c>
      <c r="N21" s="53">
        <v>8</v>
      </c>
      <c r="O21" s="53">
        <v>0.55000000000000004</v>
      </c>
      <c r="P21" s="53">
        <v>0.5</v>
      </c>
      <c r="Q21" s="74">
        <f t="shared" si="0"/>
        <v>0.52500000000000002</v>
      </c>
      <c r="R21" s="168">
        <v>18.100000000000001</v>
      </c>
      <c r="S21" s="168">
        <v>92</v>
      </c>
      <c r="T21" s="16">
        <f t="shared" si="1"/>
        <v>36</v>
      </c>
      <c r="U21" s="164">
        <v>598</v>
      </c>
      <c r="V21" s="38">
        <f t="shared" si="2"/>
        <v>2691</v>
      </c>
      <c r="W21" s="165">
        <v>10</v>
      </c>
      <c r="X21" s="166" t="s">
        <v>46</v>
      </c>
      <c r="Y21" s="172" t="s">
        <v>97</v>
      </c>
      <c r="Z21" s="172" t="s">
        <v>55</v>
      </c>
      <c r="AA21" s="172" t="s">
        <v>40</v>
      </c>
      <c r="AB21" s="53" t="s">
        <v>158</v>
      </c>
      <c r="AE21" s="28"/>
      <c r="AP21" s="27" t="s">
        <v>114</v>
      </c>
      <c r="AR21" s="23" t="s">
        <v>68</v>
      </c>
      <c r="AV21" s="27" t="s">
        <v>136</v>
      </c>
    </row>
    <row r="22" spans="1:48" x14ac:dyDescent="0.15">
      <c r="A22" s="158" t="s">
        <v>34</v>
      </c>
      <c r="B22" s="158" t="s">
        <v>157</v>
      </c>
      <c r="C22" s="158">
        <v>2019</v>
      </c>
      <c r="D22" s="160" t="s">
        <v>184</v>
      </c>
      <c r="E22" s="159" t="s">
        <v>358</v>
      </c>
      <c r="F22" s="158" t="s">
        <v>363</v>
      </c>
      <c r="G22" s="161" t="s">
        <v>36</v>
      </c>
      <c r="H22" s="127" t="s">
        <v>160</v>
      </c>
      <c r="I22" s="127" t="s">
        <v>159</v>
      </c>
      <c r="J22" s="127" t="s">
        <v>38</v>
      </c>
      <c r="K22" s="127" t="s">
        <v>161</v>
      </c>
      <c r="L22" s="53">
        <v>3</v>
      </c>
      <c r="N22" s="53">
        <v>8</v>
      </c>
      <c r="O22" s="53">
        <v>0.6</v>
      </c>
      <c r="P22" s="34">
        <v>0.55000000000000004</v>
      </c>
      <c r="Q22" s="74">
        <f t="shared" si="0"/>
        <v>0.57499999999999996</v>
      </c>
      <c r="R22" s="168">
        <v>17.2</v>
      </c>
      <c r="S22" s="168">
        <v>104</v>
      </c>
      <c r="T22" s="16">
        <f t="shared" si="1"/>
        <v>33</v>
      </c>
      <c r="U22" s="164">
        <v>598</v>
      </c>
      <c r="V22" s="38">
        <f t="shared" si="2"/>
        <v>2466.75</v>
      </c>
      <c r="W22" s="165">
        <v>10</v>
      </c>
      <c r="X22" s="166" t="s">
        <v>46</v>
      </c>
      <c r="Y22" s="172" t="s">
        <v>97</v>
      </c>
      <c r="Z22" s="172" t="s">
        <v>55</v>
      </c>
      <c r="AA22" s="172" t="s">
        <v>40</v>
      </c>
      <c r="AB22" s="53" t="s">
        <v>158</v>
      </c>
      <c r="AP22" s="27" t="s">
        <v>115</v>
      </c>
      <c r="AR22" s="23" t="s">
        <v>83</v>
      </c>
      <c r="AV22" s="23"/>
    </row>
    <row r="23" spans="1:48" x14ac:dyDescent="0.15">
      <c r="A23" s="158" t="s">
        <v>34</v>
      </c>
      <c r="B23" s="158" t="s">
        <v>157</v>
      </c>
      <c r="C23" s="159">
        <v>2019</v>
      </c>
      <c r="D23" s="160" t="s">
        <v>184</v>
      </c>
      <c r="E23" s="159" t="s">
        <v>269</v>
      </c>
      <c r="F23" s="158" t="s">
        <v>364</v>
      </c>
      <c r="G23" s="161" t="s">
        <v>36</v>
      </c>
      <c r="H23" s="127" t="s">
        <v>164</v>
      </c>
      <c r="I23" s="127" t="s">
        <v>159</v>
      </c>
      <c r="J23" s="127" t="s">
        <v>38</v>
      </c>
      <c r="K23" s="127" t="s">
        <v>161</v>
      </c>
      <c r="L23" s="53">
        <v>1</v>
      </c>
      <c r="N23" s="53">
        <v>1</v>
      </c>
      <c r="O23" s="53">
        <v>0.65</v>
      </c>
      <c r="P23" s="34">
        <v>0.6</v>
      </c>
      <c r="Q23" s="74">
        <f t="shared" si="0"/>
        <v>0.625</v>
      </c>
      <c r="R23" s="168">
        <v>15.2</v>
      </c>
      <c r="S23" s="168">
        <v>122</v>
      </c>
      <c r="T23" s="16">
        <f t="shared" si="1"/>
        <v>30</v>
      </c>
      <c r="U23" s="164">
        <v>118</v>
      </c>
      <c r="V23" s="38">
        <f t="shared" si="2"/>
        <v>3540</v>
      </c>
      <c r="W23" s="165">
        <v>4</v>
      </c>
      <c r="X23" s="166" t="s">
        <v>46</v>
      </c>
      <c r="Y23" s="172" t="s">
        <v>55</v>
      </c>
      <c r="Z23" s="172" t="s">
        <v>64</v>
      </c>
      <c r="AA23" s="172" t="s">
        <v>78</v>
      </c>
      <c r="AB23" s="53" t="s">
        <v>158</v>
      </c>
      <c r="AP23" s="27" t="s">
        <v>137</v>
      </c>
      <c r="AR23" s="23" t="s">
        <v>61</v>
      </c>
      <c r="AV23" s="23"/>
    </row>
    <row r="24" spans="1:48" x14ac:dyDescent="0.15">
      <c r="A24" s="158" t="s">
        <v>34</v>
      </c>
      <c r="B24" s="158" t="s">
        <v>157</v>
      </c>
      <c r="C24" s="158">
        <v>2019</v>
      </c>
      <c r="D24" s="160" t="s">
        <v>184</v>
      </c>
      <c r="E24" s="159" t="s">
        <v>269</v>
      </c>
      <c r="F24" s="158" t="s">
        <v>364</v>
      </c>
      <c r="G24" s="161" t="s">
        <v>36</v>
      </c>
      <c r="H24" s="127" t="s">
        <v>164</v>
      </c>
      <c r="I24" s="127" t="s">
        <v>159</v>
      </c>
      <c r="J24" s="127" t="s">
        <v>38</v>
      </c>
      <c r="K24" s="127" t="s">
        <v>161</v>
      </c>
      <c r="L24" s="53">
        <v>2</v>
      </c>
      <c r="N24" s="53">
        <v>1</v>
      </c>
      <c r="O24" s="53">
        <v>0.8</v>
      </c>
      <c r="P24" s="34">
        <v>0.7</v>
      </c>
      <c r="Q24" s="74">
        <f t="shared" si="0"/>
        <v>0.75</v>
      </c>
      <c r="R24" s="168">
        <v>14.8</v>
      </c>
      <c r="S24" s="168">
        <v>126</v>
      </c>
      <c r="T24" s="16">
        <f t="shared" si="1"/>
        <v>30</v>
      </c>
      <c r="U24" s="164">
        <v>118</v>
      </c>
      <c r="V24" s="38">
        <f t="shared" si="2"/>
        <v>3540</v>
      </c>
      <c r="W24" s="165">
        <v>4</v>
      </c>
      <c r="X24" s="166" t="s">
        <v>46</v>
      </c>
      <c r="Y24" s="172" t="s">
        <v>55</v>
      </c>
      <c r="Z24" s="172" t="s">
        <v>64</v>
      </c>
      <c r="AA24" s="172" t="s">
        <v>78</v>
      </c>
      <c r="AB24" s="53" t="s">
        <v>158</v>
      </c>
      <c r="AP24" s="27" t="s">
        <v>138</v>
      </c>
      <c r="AR24" s="23" t="s">
        <v>91</v>
      </c>
      <c r="AV24" s="23"/>
    </row>
    <row r="25" spans="1:48" x14ac:dyDescent="0.15">
      <c r="A25" s="158" t="s">
        <v>34</v>
      </c>
      <c r="B25" s="158" t="s">
        <v>157</v>
      </c>
      <c r="C25" s="159">
        <v>2019</v>
      </c>
      <c r="D25" s="160" t="s">
        <v>184</v>
      </c>
      <c r="E25" s="159" t="s">
        <v>269</v>
      </c>
      <c r="F25" s="158" t="s">
        <v>364</v>
      </c>
      <c r="G25" s="161" t="s">
        <v>36</v>
      </c>
      <c r="H25" s="127" t="s">
        <v>164</v>
      </c>
      <c r="I25" s="127" t="s">
        <v>159</v>
      </c>
      <c r="J25" s="127" t="s">
        <v>38</v>
      </c>
      <c r="K25" s="127" t="s">
        <v>161</v>
      </c>
      <c r="L25" s="53">
        <v>3</v>
      </c>
      <c r="N25" s="53">
        <v>1</v>
      </c>
      <c r="O25" s="53">
        <v>0.65</v>
      </c>
      <c r="P25" s="34">
        <v>0.7</v>
      </c>
      <c r="Q25" s="74">
        <f t="shared" si="0"/>
        <v>0.67500000000000004</v>
      </c>
      <c r="R25" s="168">
        <v>15.1</v>
      </c>
      <c r="S25" s="168">
        <v>127</v>
      </c>
      <c r="T25" s="16">
        <f t="shared" si="1"/>
        <v>30</v>
      </c>
      <c r="U25" s="164">
        <v>118</v>
      </c>
      <c r="V25" s="38">
        <f t="shared" si="2"/>
        <v>3540</v>
      </c>
      <c r="W25" s="165">
        <v>4</v>
      </c>
      <c r="X25" s="166" t="s">
        <v>46</v>
      </c>
      <c r="Y25" s="172" t="s">
        <v>55</v>
      </c>
      <c r="Z25" s="172" t="s">
        <v>64</v>
      </c>
      <c r="AA25" s="172" t="s">
        <v>78</v>
      </c>
      <c r="AB25" s="53" t="s">
        <v>158</v>
      </c>
      <c r="AP25" s="27" t="s">
        <v>116</v>
      </c>
      <c r="AR25" s="27" t="s">
        <v>92</v>
      </c>
      <c r="AV25" s="23"/>
    </row>
    <row r="26" spans="1:48" x14ac:dyDescent="0.15">
      <c r="A26" s="158" t="s">
        <v>34</v>
      </c>
      <c r="B26" s="158" t="s">
        <v>157</v>
      </c>
      <c r="C26" s="158">
        <v>2019</v>
      </c>
      <c r="D26" s="160" t="s">
        <v>184</v>
      </c>
      <c r="E26" s="159" t="s">
        <v>269</v>
      </c>
      <c r="F26" s="158" t="s">
        <v>364</v>
      </c>
      <c r="G26" s="161" t="s">
        <v>36</v>
      </c>
      <c r="H26" s="127" t="s">
        <v>160</v>
      </c>
      <c r="I26" s="127" t="s">
        <v>159</v>
      </c>
      <c r="J26" s="127" t="s">
        <v>38</v>
      </c>
      <c r="K26" s="127" t="s">
        <v>161</v>
      </c>
      <c r="L26" s="53">
        <v>1</v>
      </c>
      <c r="N26" s="53">
        <v>7</v>
      </c>
      <c r="O26" s="53">
        <v>0.4</v>
      </c>
      <c r="P26" s="53">
        <v>0.5</v>
      </c>
      <c r="Q26" s="74">
        <f t="shared" si="0"/>
        <v>0.45</v>
      </c>
      <c r="R26" s="168">
        <v>16.899999999999999</v>
      </c>
      <c r="S26" s="168">
        <v>87</v>
      </c>
      <c r="T26" s="16">
        <f t="shared" si="1"/>
        <v>36</v>
      </c>
      <c r="U26" s="164">
        <v>580</v>
      </c>
      <c r="V26" s="38">
        <f t="shared" si="2"/>
        <v>2982.8571428571431</v>
      </c>
      <c r="W26" s="165">
        <v>4</v>
      </c>
      <c r="X26" s="166" t="s">
        <v>46</v>
      </c>
      <c r="Y26" s="172" t="s">
        <v>55</v>
      </c>
      <c r="Z26" s="172" t="s">
        <v>64</v>
      </c>
      <c r="AA26" s="172" t="s">
        <v>78</v>
      </c>
      <c r="AB26" s="53" t="s">
        <v>158</v>
      </c>
      <c r="AP26" s="27" t="s">
        <v>117</v>
      </c>
      <c r="AR26" s="23" t="s">
        <v>153</v>
      </c>
      <c r="AV26" s="27"/>
    </row>
    <row r="27" spans="1:48" x14ac:dyDescent="0.15">
      <c r="A27" s="158" t="s">
        <v>34</v>
      </c>
      <c r="B27" s="158" t="s">
        <v>157</v>
      </c>
      <c r="C27" s="159">
        <v>2019</v>
      </c>
      <c r="D27" s="160" t="s">
        <v>184</v>
      </c>
      <c r="E27" s="159" t="s">
        <v>269</v>
      </c>
      <c r="F27" s="158" t="s">
        <v>364</v>
      </c>
      <c r="G27" s="161" t="s">
        <v>36</v>
      </c>
      <c r="H27" s="127" t="s">
        <v>160</v>
      </c>
      <c r="I27" s="127" t="s">
        <v>159</v>
      </c>
      <c r="J27" s="127" t="s">
        <v>38</v>
      </c>
      <c r="K27" s="127" t="s">
        <v>161</v>
      </c>
      <c r="L27" s="53">
        <v>2</v>
      </c>
      <c r="N27" s="53">
        <v>7</v>
      </c>
      <c r="O27" s="34">
        <v>0.5</v>
      </c>
      <c r="P27" s="53">
        <v>0.5</v>
      </c>
      <c r="Q27" s="74">
        <f t="shared" si="0"/>
        <v>0.5</v>
      </c>
      <c r="R27" s="168">
        <v>17.7</v>
      </c>
      <c r="S27" s="168">
        <v>89</v>
      </c>
      <c r="T27" s="16">
        <f t="shared" si="1"/>
        <v>36</v>
      </c>
      <c r="U27" s="164">
        <v>580</v>
      </c>
      <c r="V27" s="38">
        <f t="shared" si="2"/>
        <v>2982.8571428571431</v>
      </c>
      <c r="W27" s="165">
        <v>4</v>
      </c>
      <c r="X27" s="166" t="s">
        <v>46</v>
      </c>
      <c r="Y27" s="172" t="s">
        <v>55</v>
      </c>
      <c r="Z27" s="172" t="s">
        <v>64</v>
      </c>
      <c r="AA27" s="172" t="s">
        <v>78</v>
      </c>
      <c r="AB27" s="53" t="s">
        <v>158</v>
      </c>
      <c r="AP27" s="27" t="s">
        <v>118</v>
      </c>
      <c r="AR27" s="23"/>
    </row>
    <row r="28" spans="1:48" x14ac:dyDescent="0.15">
      <c r="A28" s="158" t="s">
        <v>34</v>
      </c>
      <c r="B28" s="158" t="s">
        <v>157</v>
      </c>
      <c r="C28" s="158">
        <v>2019</v>
      </c>
      <c r="D28" s="160" t="s">
        <v>184</v>
      </c>
      <c r="E28" s="159" t="s">
        <v>269</v>
      </c>
      <c r="F28" s="158" t="s">
        <v>364</v>
      </c>
      <c r="G28" s="161" t="s">
        <v>36</v>
      </c>
      <c r="H28" s="127" t="s">
        <v>160</v>
      </c>
      <c r="I28" s="127" t="s">
        <v>159</v>
      </c>
      <c r="J28" s="127" t="s">
        <v>38</v>
      </c>
      <c r="K28" s="127" t="s">
        <v>161</v>
      </c>
      <c r="L28" s="53">
        <v>3</v>
      </c>
      <c r="N28" s="53">
        <v>7</v>
      </c>
      <c r="O28" s="34">
        <v>0.45</v>
      </c>
      <c r="P28" s="53">
        <v>0.5</v>
      </c>
      <c r="Q28" s="74">
        <f t="shared" si="0"/>
        <v>0.47499999999999998</v>
      </c>
      <c r="R28" s="168">
        <v>17.600000000000001</v>
      </c>
      <c r="S28" s="168">
        <v>86</v>
      </c>
      <c r="T28" s="16">
        <f t="shared" si="1"/>
        <v>36</v>
      </c>
      <c r="U28" s="164">
        <v>580</v>
      </c>
      <c r="V28" s="38">
        <f t="shared" si="2"/>
        <v>2982.8571428571431</v>
      </c>
      <c r="W28" s="165">
        <v>4</v>
      </c>
      <c r="X28" s="166" t="s">
        <v>46</v>
      </c>
      <c r="Y28" s="172" t="s">
        <v>55</v>
      </c>
      <c r="Z28" s="172" t="s">
        <v>64</v>
      </c>
      <c r="AA28" s="172" t="s">
        <v>78</v>
      </c>
      <c r="AB28" s="53" t="s">
        <v>158</v>
      </c>
      <c r="AR28" s="23"/>
    </row>
    <row r="29" spans="1:48" x14ac:dyDescent="0.15">
      <c r="A29" s="158" t="s">
        <v>34</v>
      </c>
      <c r="B29" s="158" t="s">
        <v>157</v>
      </c>
      <c r="C29" s="158">
        <v>2019</v>
      </c>
      <c r="D29" s="160" t="s">
        <v>184</v>
      </c>
      <c r="E29" s="159" t="s">
        <v>210</v>
      </c>
      <c r="F29" s="158" t="s">
        <v>364</v>
      </c>
      <c r="G29" s="161" t="s">
        <v>42</v>
      </c>
      <c r="H29" s="127" t="s">
        <v>164</v>
      </c>
      <c r="I29" s="127" t="s">
        <v>159</v>
      </c>
      <c r="J29" s="127" t="s">
        <v>38</v>
      </c>
      <c r="K29" s="127" t="s">
        <v>161</v>
      </c>
      <c r="L29" s="53">
        <v>1</v>
      </c>
      <c r="N29" s="53">
        <v>1</v>
      </c>
      <c r="O29" s="53">
        <v>0.6</v>
      </c>
      <c r="P29" s="53">
        <v>0.55000000000000004</v>
      </c>
      <c r="Q29" s="74">
        <f t="shared" si="0"/>
        <v>0.57499999999999996</v>
      </c>
      <c r="R29" s="168">
        <v>14.8</v>
      </c>
      <c r="S29" s="168">
        <v>117</v>
      </c>
      <c r="T29" s="16">
        <f t="shared" si="1"/>
        <v>30</v>
      </c>
      <c r="U29" s="164">
        <v>97</v>
      </c>
      <c r="V29" s="38">
        <f t="shared" si="2"/>
        <v>2910</v>
      </c>
      <c r="W29" s="165">
        <v>20</v>
      </c>
      <c r="X29" s="166" t="s">
        <v>46</v>
      </c>
      <c r="Y29" s="172" t="s">
        <v>55</v>
      </c>
      <c r="Z29" s="172" t="s">
        <v>97</v>
      </c>
      <c r="AA29" s="172" t="s">
        <v>86</v>
      </c>
      <c r="AB29" s="53" t="s">
        <v>158</v>
      </c>
      <c r="AR29" s="28"/>
    </row>
    <row r="30" spans="1:48" x14ac:dyDescent="0.15">
      <c r="A30" s="158" t="s">
        <v>34</v>
      </c>
      <c r="B30" s="158" t="s">
        <v>157</v>
      </c>
      <c r="C30" s="159">
        <v>2019</v>
      </c>
      <c r="D30" s="160" t="s">
        <v>184</v>
      </c>
      <c r="E30" s="159" t="s">
        <v>210</v>
      </c>
      <c r="F30" s="158" t="s">
        <v>364</v>
      </c>
      <c r="G30" s="161" t="s">
        <v>42</v>
      </c>
      <c r="H30" s="127" t="s">
        <v>164</v>
      </c>
      <c r="I30" s="127" t="s">
        <v>159</v>
      </c>
      <c r="J30" s="127" t="s">
        <v>38</v>
      </c>
      <c r="K30" s="127" t="s">
        <v>161</v>
      </c>
      <c r="L30" s="53">
        <v>2</v>
      </c>
      <c r="N30" s="53">
        <v>1</v>
      </c>
      <c r="O30" s="53">
        <v>0.7</v>
      </c>
      <c r="P30" s="53">
        <v>0.75</v>
      </c>
      <c r="Q30" s="74">
        <f t="shared" si="0"/>
        <v>0.72499999999999998</v>
      </c>
      <c r="R30" s="168">
        <v>14.1</v>
      </c>
      <c r="S30" s="168">
        <v>123</v>
      </c>
      <c r="T30" s="16">
        <f t="shared" si="1"/>
        <v>30</v>
      </c>
      <c r="U30" s="164">
        <v>97</v>
      </c>
      <c r="V30" s="38">
        <f t="shared" si="2"/>
        <v>2910</v>
      </c>
      <c r="W30" s="165">
        <v>20</v>
      </c>
      <c r="X30" s="166" t="s">
        <v>46</v>
      </c>
      <c r="Y30" s="172" t="s">
        <v>55</v>
      </c>
      <c r="Z30" s="172" t="s">
        <v>97</v>
      </c>
      <c r="AA30" s="172" t="s">
        <v>86</v>
      </c>
      <c r="AB30" s="53" t="s">
        <v>158</v>
      </c>
    </row>
    <row r="31" spans="1:48" x14ac:dyDescent="0.15">
      <c r="A31" s="158" t="s">
        <v>34</v>
      </c>
      <c r="B31" s="158" t="s">
        <v>157</v>
      </c>
      <c r="C31" s="158">
        <v>2019</v>
      </c>
      <c r="D31" s="160" t="s">
        <v>184</v>
      </c>
      <c r="E31" s="159" t="s">
        <v>210</v>
      </c>
      <c r="F31" s="158" t="s">
        <v>364</v>
      </c>
      <c r="G31" s="161" t="s">
        <v>42</v>
      </c>
      <c r="H31" s="127" t="s">
        <v>164</v>
      </c>
      <c r="I31" s="127" t="s">
        <v>159</v>
      </c>
      <c r="J31" s="127" t="s">
        <v>38</v>
      </c>
      <c r="K31" s="127" t="s">
        <v>161</v>
      </c>
      <c r="L31" s="53">
        <v>3</v>
      </c>
      <c r="N31" s="53">
        <v>1</v>
      </c>
      <c r="O31" s="53">
        <v>0.7</v>
      </c>
      <c r="P31" s="53">
        <v>0.7</v>
      </c>
      <c r="Q31" s="74">
        <f t="shared" si="0"/>
        <v>0.7</v>
      </c>
      <c r="R31" s="168">
        <v>14.3</v>
      </c>
      <c r="S31" s="168">
        <v>119</v>
      </c>
      <c r="T31" s="16">
        <f t="shared" si="1"/>
        <v>30</v>
      </c>
      <c r="U31" s="164">
        <v>97</v>
      </c>
      <c r="V31" s="38">
        <f t="shared" si="2"/>
        <v>2910</v>
      </c>
      <c r="W31" s="165">
        <v>20</v>
      </c>
      <c r="X31" s="166" t="s">
        <v>46</v>
      </c>
      <c r="Y31" s="172" t="s">
        <v>55</v>
      </c>
      <c r="Z31" s="172" t="s">
        <v>97</v>
      </c>
      <c r="AA31" s="172" t="s">
        <v>86</v>
      </c>
      <c r="AB31" s="53" t="s">
        <v>158</v>
      </c>
    </row>
    <row r="32" spans="1:48" x14ac:dyDescent="0.15">
      <c r="A32" s="158" t="s">
        <v>34</v>
      </c>
      <c r="B32" s="158" t="s">
        <v>157</v>
      </c>
      <c r="C32" s="159">
        <v>2019</v>
      </c>
      <c r="D32" s="160" t="s">
        <v>184</v>
      </c>
      <c r="E32" s="159" t="s">
        <v>210</v>
      </c>
      <c r="F32" s="158" t="s">
        <v>364</v>
      </c>
      <c r="G32" s="161" t="s">
        <v>42</v>
      </c>
      <c r="H32" s="127" t="s">
        <v>160</v>
      </c>
      <c r="I32" s="127" t="s">
        <v>159</v>
      </c>
      <c r="J32" s="127" t="s">
        <v>38</v>
      </c>
      <c r="K32" s="127" t="s">
        <v>161</v>
      </c>
      <c r="L32" s="53">
        <v>1</v>
      </c>
      <c r="N32" s="53">
        <v>1</v>
      </c>
      <c r="O32" s="53">
        <v>0.85</v>
      </c>
      <c r="P32" s="53">
        <v>0.9</v>
      </c>
      <c r="Q32" s="74">
        <f t="shared" si="0"/>
        <v>0.875</v>
      </c>
      <c r="R32" s="168">
        <v>15.9</v>
      </c>
      <c r="S32" s="168">
        <v>138</v>
      </c>
      <c r="T32" s="16">
        <f t="shared" si="1"/>
        <v>30</v>
      </c>
      <c r="U32" s="164">
        <v>97</v>
      </c>
      <c r="V32" s="38">
        <f t="shared" si="2"/>
        <v>2910</v>
      </c>
      <c r="W32" s="165">
        <v>20</v>
      </c>
      <c r="X32" s="166" t="s">
        <v>46</v>
      </c>
      <c r="Y32" s="172" t="s">
        <v>55</v>
      </c>
      <c r="Z32" s="172" t="s">
        <v>97</v>
      </c>
      <c r="AA32" s="172" t="s">
        <v>86</v>
      </c>
      <c r="AB32" s="53" t="s">
        <v>158</v>
      </c>
    </row>
    <row r="33" spans="1:28" x14ac:dyDescent="0.15">
      <c r="A33" s="158" t="s">
        <v>34</v>
      </c>
      <c r="B33" s="158" t="s">
        <v>157</v>
      </c>
      <c r="C33" s="158">
        <v>2019</v>
      </c>
      <c r="D33" s="160" t="s">
        <v>184</v>
      </c>
      <c r="E33" s="159" t="s">
        <v>210</v>
      </c>
      <c r="F33" s="158" t="s">
        <v>364</v>
      </c>
      <c r="G33" s="161" t="s">
        <v>42</v>
      </c>
      <c r="H33" s="127" t="s">
        <v>160</v>
      </c>
      <c r="I33" s="127" t="s">
        <v>159</v>
      </c>
      <c r="J33" s="127" t="s">
        <v>38</v>
      </c>
      <c r="K33" s="127" t="s">
        <v>161</v>
      </c>
      <c r="L33" s="53">
        <v>2</v>
      </c>
      <c r="N33" s="53">
        <v>1</v>
      </c>
      <c r="O33" s="53">
        <v>0.7</v>
      </c>
      <c r="P33" s="53">
        <v>0.8</v>
      </c>
      <c r="Q33" s="74">
        <f t="shared" si="0"/>
        <v>0.75</v>
      </c>
      <c r="R33" s="168">
        <v>16.100000000000001</v>
      </c>
      <c r="S33" s="168">
        <v>143</v>
      </c>
      <c r="T33" s="16">
        <f t="shared" si="1"/>
        <v>30</v>
      </c>
      <c r="U33" s="164">
        <v>97</v>
      </c>
      <c r="V33" s="38">
        <f t="shared" si="2"/>
        <v>2910</v>
      </c>
      <c r="W33" s="165">
        <v>20</v>
      </c>
      <c r="X33" s="166" t="s">
        <v>46</v>
      </c>
      <c r="Y33" s="172" t="s">
        <v>55</v>
      </c>
      <c r="Z33" s="172" t="s">
        <v>97</v>
      </c>
      <c r="AA33" s="172" t="s">
        <v>86</v>
      </c>
      <c r="AB33" s="53" t="s">
        <v>158</v>
      </c>
    </row>
    <row r="34" spans="1:28" ht="12.75" customHeight="1" x14ac:dyDescent="0.15">
      <c r="A34" s="158" t="s">
        <v>34</v>
      </c>
      <c r="B34" s="158" t="s">
        <v>157</v>
      </c>
      <c r="C34" s="159">
        <v>2019</v>
      </c>
      <c r="D34" s="160" t="s">
        <v>184</v>
      </c>
      <c r="E34" s="159" t="s">
        <v>210</v>
      </c>
      <c r="F34" s="158" t="s">
        <v>364</v>
      </c>
      <c r="G34" s="161" t="s">
        <v>42</v>
      </c>
      <c r="H34" s="127" t="s">
        <v>160</v>
      </c>
      <c r="I34" s="127" t="s">
        <v>159</v>
      </c>
      <c r="J34" s="127" t="s">
        <v>38</v>
      </c>
      <c r="K34" s="127" t="s">
        <v>161</v>
      </c>
      <c r="L34" s="53">
        <v>3</v>
      </c>
      <c r="N34" s="53">
        <v>1</v>
      </c>
      <c r="O34" s="53">
        <v>0.7</v>
      </c>
      <c r="P34" s="53">
        <v>0.65</v>
      </c>
      <c r="Q34" s="74">
        <f t="shared" si="0"/>
        <v>0.67500000000000004</v>
      </c>
      <c r="R34" s="168">
        <v>16.3</v>
      </c>
      <c r="S34" s="168">
        <v>137</v>
      </c>
      <c r="T34" s="16">
        <f t="shared" si="1"/>
        <v>30</v>
      </c>
      <c r="U34" s="164">
        <v>97</v>
      </c>
      <c r="V34" s="38">
        <f t="shared" si="2"/>
        <v>2910</v>
      </c>
      <c r="W34" s="165">
        <v>20</v>
      </c>
      <c r="X34" s="166" t="s">
        <v>46</v>
      </c>
      <c r="Y34" s="172" t="s">
        <v>55</v>
      </c>
      <c r="Z34" s="172" t="s">
        <v>97</v>
      </c>
      <c r="AA34" s="172" t="s">
        <v>86</v>
      </c>
      <c r="AB34" s="53" t="s">
        <v>158</v>
      </c>
    </row>
    <row r="35" spans="1:28" ht="12.75" customHeight="1" x14ac:dyDescent="0.15">
      <c r="A35" s="127" t="s">
        <v>34</v>
      </c>
      <c r="B35" s="158" t="s">
        <v>157</v>
      </c>
      <c r="C35" s="159">
        <v>2019</v>
      </c>
      <c r="D35" s="160" t="s">
        <v>184</v>
      </c>
      <c r="E35" s="159" t="s">
        <v>210</v>
      </c>
      <c r="F35" s="158" t="s">
        <v>366</v>
      </c>
      <c r="G35" s="161" t="s">
        <v>42</v>
      </c>
      <c r="H35" s="127" t="s">
        <v>164</v>
      </c>
      <c r="I35" s="127" t="s">
        <v>159</v>
      </c>
      <c r="J35" s="127" t="s">
        <v>38</v>
      </c>
      <c r="K35" s="127" t="s">
        <v>161</v>
      </c>
      <c r="L35" s="53">
        <v>1</v>
      </c>
      <c r="N35" s="53">
        <v>1</v>
      </c>
      <c r="O35" s="53">
        <v>0.65</v>
      </c>
      <c r="P35" s="53">
        <v>0.6</v>
      </c>
      <c r="Q35" s="74">
        <f t="shared" si="0"/>
        <v>0.625</v>
      </c>
      <c r="R35" s="168">
        <v>15.1</v>
      </c>
      <c r="S35" s="168">
        <v>132</v>
      </c>
      <c r="T35" s="16">
        <f t="shared" si="1"/>
        <v>30</v>
      </c>
      <c r="U35" s="164">
        <v>97</v>
      </c>
      <c r="V35" s="38">
        <f t="shared" si="2"/>
        <v>2910</v>
      </c>
      <c r="W35" s="53">
        <v>12</v>
      </c>
      <c r="X35" s="166" t="s">
        <v>46</v>
      </c>
      <c r="Y35" s="173" t="s">
        <v>69</v>
      </c>
      <c r="Z35" s="173" t="s">
        <v>55</v>
      </c>
      <c r="AA35" s="173" t="s">
        <v>47</v>
      </c>
      <c r="AB35" s="53" t="s">
        <v>158</v>
      </c>
    </row>
    <row r="36" spans="1:28" ht="12.75" customHeight="1" x14ac:dyDescent="0.15">
      <c r="A36" s="127" t="s">
        <v>34</v>
      </c>
      <c r="B36" s="158" t="s">
        <v>157</v>
      </c>
      <c r="C36" s="159">
        <v>2019</v>
      </c>
      <c r="D36" s="160" t="s">
        <v>184</v>
      </c>
      <c r="E36" s="159" t="s">
        <v>210</v>
      </c>
      <c r="F36" s="158" t="s">
        <v>366</v>
      </c>
      <c r="G36" s="161" t="s">
        <v>42</v>
      </c>
      <c r="H36" s="127" t="s">
        <v>164</v>
      </c>
      <c r="I36" s="127" t="s">
        <v>159</v>
      </c>
      <c r="J36" s="127" t="s">
        <v>38</v>
      </c>
      <c r="K36" s="127" t="s">
        <v>161</v>
      </c>
      <c r="L36" s="53">
        <v>2</v>
      </c>
      <c r="N36" s="53">
        <v>1</v>
      </c>
      <c r="O36" s="53">
        <v>0.7</v>
      </c>
      <c r="P36" s="53">
        <v>0.8</v>
      </c>
      <c r="Q36" s="74">
        <f t="shared" si="0"/>
        <v>0.75</v>
      </c>
      <c r="R36" s="168">
        <v>14.9</v>
      </c>
      <c r="S36" s="168">
        <v>116</v>
      </c>
      <c r="T36" s="16">
        <f t="shared" si="1"/>
        <v>30</v>
      </c>
      <c r="U36" s="164">
        <v>97</v>
      </c>
      <c r="V36" s="38">
        <f t="shared" si="2"/>
        <v>2910</v>
      </c>
      <c r="W36" s="53">
        <v>12</v>
      </c>
      <c r="X36" s="166" t="s">
        <v>46</v>
      </c>
      <c r="Y36" s="173" t="s">
        <v>69</v>
      </c>
      <c r="Z36" s="173" t="s">
        <v>55</v>
      </c>
      <c r="AA36" s="173" t="s">
        <v>47</v>
      </c>
      <c r="AB36" s="53" t="s">
        <v>158</v>
      </c>
    </row>
    <row r="37" spans="1:28" ht="12.75" customHeight="1" x14ac:dyDescent="0.15">
      <c r="A37" s="127" t="s">
        <v>34</v>
      </c>
      <c r="B37" s="158" t="s">
        <v>157</v>
      </c>
      <c r="C37" s="159">
        <v>2019</v>
      </c>
      <c r="D37" s="160" t="s">
        <v>184</v>
      </c>
      <c r="E37" s="159" t="s">
        <v>210</v>
      </c>
      <c r="F37" s="158" t="s">
        <v>366</v>
      </c>
      <c r="G37" s="161" t="s">
        <v>42</v>
      </c>
      <c r="H37" s="127" t="s">
        <v>164</v>
      </c>
      <c r="I37" s="127" t="s">
        <v>159</v>
      </c>
      <c r="J37" s="127" t="s">
        <v>38</v>
      </c>
      <c r="K37" s="127" t="s">
        <v>161</v>
      </c>
      <c r="L37" s="53">
        <v>3</v>
      </c>
      <c r="N37" s="53">
        <v>1</v>
      </c>
      <c r="O37" s="53">
        <v>0.75</v>
      </c>
      <c r="P37" s="53">
        <v>0.7</v>
      </c>
      <c r="Q37" s="74">
        <f t="shared" si="0"/>
        <v>0.72499999999999998</v>
      </c>
      <c r="R37" s="168">
        <v>14.4</v>
      </c>
      <c r="S37" s="168">
        <v>111</v>
      </c>
      <c r="T37" s="16">
        <f t="shared" si="1"/>
        <v>33</v>
      </c>
      <c r="U37" s="164">
        <v>97</v>
      </c>
      <c r="V37" s="38">
        <f t="shared" si="2"/>
        <v>3201</v>
      </c>
      <c r="W37" s="53">
        <v>12</v>
      </c>
      <c r="X37" s="166" t="s">
        <v>46</v>
      </c>
      <c r="Y37" s="173" t="s">
        <v>69</v>
      </c>
      <c r="Z37" s="173" t="s">
        <v>55</v>
      </c>
      <c r="AA37" s="173" t="s">
        <v>47</v>
      </c>
      <c r="AB37" s="53" t="s">
        <v>158</v>
      </c>
    </row>
    <row r="38" spans="1:28" x14ac:dyDescent="0.15">
      <c r="A38" s="53" t="s">
        <v>34</v>
      </c>
      <c r="B38" s="158" t="s">
        <v>157</v>
      </c>
      <c r="C38" s="159">
        <v>2019</v>
      </c>
      <c r="D38" s="160" t="s">
        <v>184</v>
      </c>
      <c r="E38" s="159" t="s">
        <v>210</v>
      </c>
      <c r="F38" s="158" t="s">
        <v>366</v>
      </c>
      <c r="G38" s="161" t="s">
        <v>42</v>
      </c>
      <c r="H38" s="127" t="s">
        <v>160</v>
      </c>
      <c r="I38" s="127" t="s">
        <v>159</v>
      </c>
      <c r="J38" s="53" t="s">
        <v>38</v>
      </c>
      <c r="K38" s="127" t="s">
        <v>161</v>
      </c>
      <c r="L38" s="53">
        <v>1</v>
      </c>
      <c r="N38" s="53">
        <v>1</v>
      </c>
      <c r="O38" s="53">
        <v>0.75</v>
      </c>
      <c r="P38" s="53">
        <v>0.65</v>
      </c>
      <c r="Q38" s="74">
        <f t="shared" si="0"/>
        <v>0.7</v>
      </c>
      <c r="R38" s="168">
        <v>16.2</v>
      </c>
      <c r="S38" s="168">
        <v>141</v>
      </c>
      <c r="T38" s="16">
        <f t="shared" si="1"/>
        <v>30</v>
      </c>
      <c r="U38" s="164">
        <v>97</v>
      </c>
      <c r="V38" s="16">
        <f t="shared" si="2"/>
        <v>2910</v>
      </c>
      <c r="W38" s="53">
        <v>12</v>
      </c>
      <c r="X38" s="166" t="s">
        <v>46</v>
      </c>
      <c r="Y38" s="173" t="s">
        <v>69</v>
      </c>
      <c r="Z38" s="173" t="s">
        <v>55</v>
      </c>
      <c r="AA38" s="173" t="s">
        <v>47</v>
      </c>
      <c r="AB38" s="53" t="s">
        <v>158</v>
      </c>
    </row>
    <row r="39" spans="1:28" x14ac:dyDescent="0.15">
      <c r="A39" s="53" t="s">
        <v>34</v>
      </c>
      <c r="B39" s="158" t="s">
        <v>157</v>
      </c>
      <c r="C39" s="158">
        <v>2019</v>
      </c>
      <c r="D39" s="160" t="s">
        <v>184</v>
      </c>
      <c r="E39" s="159" t="s">
        <v>210</v>
      </c>
      <c r="F39" s="158" t="s">
        <v>366</v>
      </c>
      <c r="G39" s="161" t="s">
        <v>42</v>
      </c>
      <c r="H39" s="127" t="s">
        <v>160</v>
      </c>
      <c r="I39" s="127" t="s">
        <v>159</v>
      </c>
      <c r="J39" s="53" t="s">
        <v>38</v>
      </c>
      <c r="K39" s="127" t="s">
        <v>161</v>
      </c>
      <c r="L39" s="53">
        <v>2</v>
      </c>
      <c r="N39" s="53">
        <v>1</v>
      </c>
      <c r="O39" s="53">
        <v>0.8</v>
      </c>
      <c r="P39" s="53">
        <v>0.8</v>
      </c>
      <c r="Q39" s="74">
        <f t="shared" si="0"/>
        <v>0.8</v>
      </c>
      <c r="R39" s="168">
        <v>15.8</v>
      </c>
      <c r="S39" s="168">
        <v>145</v>
      </c>
      <c r="T39" s="16">
        <f t="shared" si="1"/>
        <v>30</v>
      </c>
      <c r="U39" s="164">
        <v>97</v>
      </c>
      <c r="V39" s="16">
        <f t="shared" si="2"/>
        <v>2910</v>
      </c>
      <c r="W39" s="53">
        <v>12</v>
      </c>
      <c r="X39" s="166" t="s">
        <v>46</v>
      </c>
      <c r="Y39" s="173" t="s">
        <v>69</v>
      </c>
      <c r="Z39" s="173" t="s">
        <v>55</v>
      </c>
      <c r="AA39" s="173" t="s">
        <v>47</v>
      </c>
      <c r="AB39" s="53" t="s">
        <v>158</v>
      </c>
    </row>
    <row r="40" spans="1:28" x14ac:dyDescent="0.15">
      <c r="A40" s="53" t="s">
        <v>34</v>
      </c>
      <c r="B40" s="158" t="s">
        <v>157</v>
      </c>
      <c r="C40" s="159">
        <v>2019</v>
      </c>
      <c r="D40" s="160" t="s">
        <v>184</v>
      </c>
      <c r="E40" s="159" t="s">
        <v>210</v>
      </c>
      <c r="F40" s="158" t="s">
        <v>366</v>
      </c>
      <c r="G40" s="161" t="s">
        <v>42</v>
      </c>
      <c r="H40" s="127" t="s">
        <v>160</v>
      </c>
      <c r="I40" s="127" t="s">
        <v>159</v>
      </c>
      <c r="J40" s="53" t="s">
        <v>38</v>
      </c>
      <c r="K40" s="127" t="s">
        <v>161</v>
      </c>
      <c r="L40" s="53">
        <v>3</v>
      </c>
      <c r="N40" s="53">
        <v>1</v>
      </c>
      <c r="O40" s="53">
        <v>0.8</v>
      </c>
      <c r="P40" s="53">
        <v>0.7</v>
      </c>
      <c r="Q40" s="74">
        <f t="shared" si="0"/>
        <v>0.75</v>
      </c>
      <c r="R40" s="168">
        <v>16.3</v>
      </c>
      <c r="S40" s="168">
        <v>142</v>
      </c>
      <c r="T40" s="16">
        <f t="shared" si="1"/>
        <v>30</v>
      </c>
      <c r="U40" s="164">
        <v>97</v>
      </c>
      <c r="V40" s="16">
        <f t="shared" si="2"/>
        <v>2910</v>
      </c>
      <c r="W40" s="53">
        <v>12</v>
      </c>
      <c r="X40" s="166" t="s">
        <v>46</v>
      </c>
      <c r="Y40" s="173" t="s">
        <v>69</v>
      </c>
      <c r="Z40" s="173" t="s">
        <v>55</v>
      </c>
      <c r="AA40" s="173" t="s">
        <v>47</v>
      </c>
      <c r="AB40" s="53" t="s">
        <v>158</v>
      </c>
    </row>
    <row r="41" spans="1:28" x14ac:dyDescent="0.15">
      <c r="A41" s="53" t="s">
        <v>34</v>
      </c>
      <c r="B41" s="34" t="s">
        <v>157</v>
      </c>
      <c r="C41" s="53">
        <v>2019</v>
      </c>
      <c r="D41" s="174" t="s">
        <v>184</v>
      </c>
      <c r="E41" s="53" t="s">
        <v>139</v>
      </c>
      <c r="F41" s="158" t="s">
        <v>366</v>
      </c>
      <c r="G41" s="161" t="s">
        <v>36</v>
      </c>
      <c r="H41" s="127" t="s">
        <v>164</v>
      </c>
      <c r="I41" s="127" t="s">
        <v>159</v>
      </c>
      <c r="J41" s="53" t="s">
        <v>38</v>
      </c>
      <c r="K41" s="127" t="s">
        <v>161</v>
      </c>
      <c r="L41" s="53">
        <v>1</v>
      </c>
      <c r="N41" s="53">
        <v>1</v>
      </c>
      <c r="O41" s="53">
        <v>0.6</v>
      </c>
      <c r="P41" s="53">
        <v>0.65</v>
      </c>
      <c r="Q41" s="74">
        <f t="shared" si="0"/>
        <v>0.625</v>
      </c>
      <c r="R41" s="168">
        <v>15.5</v>
      </c>
      <c r="S41" s="168">
        <v>113</v>
      </c>
      <c r="T41" s="16">
        <f t="shared" si="1"/>
        <v>30</v>
      </c>
      <c r="U41" s="53">
        <v>100</v>
      </c>
      <c r="V41" s="16">
        <f t="shared" si="2"/>
        <v>3000</v>
      </c>
      <c r="W41" s="53">
        <v>16</v>
      </c>
      <c r="X41" s="166" t="s">
        <v>46</v>
      </c>
      <c r="Y41" s="53" t="s">
        <v>64</v>
      </c>
      <c r="Z41" s="53" t="s">
        <v>78</v>
      </c>
      <c r="AA41" s="53" t="s">
        <v>97</v>
      </c>
      <c r="AB41" s="53" t="s">
        <v>158</v>
      </c>
    </row>
    <row r="42" spans="1:28" x14ac:dyDescent="0.15">
      <c r="A42" s="53" t="s">
        <v>34</v>
      </c>
      <c r="B42" s="34" t="s">
        <v>157</v>
      </c>
      <c r="C42" s="53">
        <v>2019</v>
      </c>
      <c r="D42" s="174" t="s">
        <v>184</v>
      </c>
      <c r="E42" s="53" t="s">
        <v>139</v>
      </c>
      <c r="F42" s="158" t="s">
        <v>366</v>
      </c>
      <c r="G42" s="161" t="s">
        <v>36</v>
      </c>
      <c r="H42" s="127" t="s">
        <v>164</v>
      </c>
      <c r="I42" s="127" t="s">
        <v>159</v>
      </c>
      <c r="J42" s="53" t="s">
        <v>38</v>
      </c>
      <c r="K42" s="127" t="s">
        <v>161</v>
      </c>
      <c r="L42" s="53">
        <v>2</v>
      </c>
      <c r="N42" s="53">
        <v>1</v>
      </c>
      <c r="O42" s="53">
        <v>0.7</v>
      </c>
      <c r="P42" s="53">
        <v>0.65</v>
      </c>
      <c r="Q42" s="74">
        <f t="shared" si="0"/>
        <v>0.67500000000000004</v>
      </c>
      <c r="R42" s="168">
        <v>15.1</v>
      </c>
      <c r="S42" s="168">
        <v>110</v>
      </c>
      <c r="T42" s="16">
        <f t="shared" si="1"/>
        <v>33</v>
      </c>
      <c r="U42" s="53">
        <v>100</v>
      </c>
      <c r="V42" s="16">
        <f t="shared" si="2"/>
        <v>3300</v>
      </c>
      <c r="W42" s="53">
        <v>16</v>
      </c>
      <c r="X42" s="166" t="s">
        <v>46</v>
      </c>
      <c r="Y42" s="53" t="s">
        <v>64</v>
      </c>
      <c r="Z42" s="53" t="s">
        <v>78</v>
      </c>
      <c r="AA42" s="53" t="s">
        <v>97</v>
      </c>
      <c r="AB42" s="53" t="s">
        <v>158</v>
      </c>
    </row>
    <row r="43" spans="1:28" x14ac:dyDescent="0.15">
      <c r="A43" s="53" t="s">
        <v>34</v>
      </c>
      <c r="B43" s="34" t="s">
        <v>157</v>
      </c>
      <c r="C43" s="53">
        <v>2019</v>
      </c>
      <c r="D43" s="174" t="s">
        <v>184</v>
      </c>
      <c r="E43" s="53" t="s">
        <v>139</v>
      </c>
      <c r="F43" s="158" t="s">
        <v>366</v>
      </c>
      <c r="G43" s="161" t="s">
        <v>36</v>
      </c>
      <c r="H43" s="127" t="s">
        <v>164</v>
      </c>
      <c r="I43" s="127" t="s">
        <v>159</v>
      </c>
      <c r="J43" s="53" t="s">
        <v>38</v>
      </c>
      <c r="K43" s="127" t="s">
        <v>161</v>
      </c>
      <c r="L43" s="53">
        <v>3</v>
      </c>
      <c r="N43" s="53">
        <v>1</v>
      </c>
      <c r="O43" s="53">
        <v>0.65</v>
      </c>
      <c r="P43" s="53">
        <v>0.6</v>
      </c>
      <c r="Q43" s="74">
        <f t="shared" si="0"/>
        <v>0.625</v>
      </c>
      <c r="R43" s="168">
        <v>15.9</v>
      </c>
      <c r="S43" s="168">
        <v>106</v>
      </c>
      <c r="T43" s="16">
        <f t="shared" si="1"/>
        <v>33</v>
      </c>
      <c r="U43" s="53">
        <v>100</v>
      </c>
      <c r="V43" s="16">
        <f t="shared" si="2"/>
        <v>3300</v>
      </c>
      <c r="W43" s="53">
        <v>16</v>
      </c>
      <c r="X43" s="166" t="s">
        <v>46</v>
      </c>
      <c r="Y43" s="53" t="s">
        <v>64</v>
      </c>
      <c r="Z43" s="53" t="s">
        <v>78</v>
      </c>
      <c r="AA43" s="53" t="s">
        <v>97</v>
      </c>
      <c r="AB43" s="53" t="s">
        <v>158</v>
      </c>
    </row>
    <row r="44" spans="1:28" x14ac:dyDescent="0.15">
      <c r="A44" s="53" t="s">
        <v>34</v>
      </c>
      <c r="B44" s="53" t="s">
        <v>157</v>
      </c>
      <c r="C44" s="53">
        <v>2019</v>
      </c>
      <c r="D44" s="174" t="s">
        <v>184</v>
      </c>
      <c r="E44" s="53" t="s">
        <v>139</v>
      </c>
      <c r="F44" s="158" t="s">
        <v>366</v>
      </c>
      <c r="G44" s="161" t="s">
        <v>36</v>
      </c>
      <c r="H44" s="53" t="s">
        <v>160</v>
      </c>
      <c r="I44" s="53" t="s">
        <v>159</v>
      </c>
      <c r="J44" s="53" t="s">
        <v>38</v>
      </c>
      <c r="K44" s="127" t="s">
        <v>161</v>
      </c>
      <c r="L44" s="53">
        <v>1</v>
      </c>
      <c r="N44" s="53">
        <v>1</v>
      </c>
      <c r="O44" s="53">
        <v>0.7</v>
      </c>
      <c r="P44" s="53">
        <v>0.7</v>
      </c>
      <c r="Q44" s="74">
        <f t="shared" si="0"/>
        <v>0.7</v>
      </c>
      <c r="R44" s="53">
        <v>16.3</v>
      </c>
      <c r="S44" s="53">
        <v>135</v>
      </c>
      <c r="T44" s="16">
        <f t="shared" si="1"/>
        <v>30</v>
      </c>
      <c r="U44" s="53">
        <v>149</v>
      </c>
      <c r="V44" s="16">
        <f t="shared" si="2"/>
        <v>4470</v>
      </c>
      <c r="W44" s="53">
        <v>16</v>
      </c>
      <c r="X44" s="166" t="s">
        <v>46</v>
      </c>
      <c r="Y44" s="53" t="s">
        <v>64</v>
      </c>
      <c r="Z44" s="53" t="s">
        <v>78</v>
      </c>
      <c r="AA44" s="53" t="s">
        <v>97</v>
      </c>
      <c r="AB44" s="53" t="s">
        <v>158</v>
      </c>
    </row>
    <row r="45" spans="1:28" x14ac:dyDescent="0.15">
      <c r="A45" s="53" t="s">
        <v>34</v>
      </c>
      <c r="B45" s="53" t="s">
        <v>157</v>
      </c>
      <c r="C45" s="53">
        <v>2019</v>
      </c>
      <c r="D45" s="174" t="s">
        <v>184</v>
      </c>
      <c r="E45" s="53" t="s">
        <v>139</v>
      </c>
      <c r="F45" s="158" t="s">
        <v>366</v>
      </c>
      <c r="G45" s="161" t="s">
        <v>36</v>
      </c>
      <c r="H45" s="53" t="s">
        <v>160</v>
      </c>
      <c r="I45" s="53" t="s">
        <v>159</v>
      </c>
      <c r="J45" s="53" t="s">
        <v>38</v>
      </c>
      <c r="K45" s="127" t="s">
        <v>161</v>
      </c>
      <c r="L45" s="53">
        <v>2</v>
      </c>
      <c r="N45" s="53">
        <v>1</v>
      </c>
      <c r="O45" s="53">
        <v>0.85</v>
      </c>
      <c r="P45" s="53">
        <v>0.9</v>
      </c>
      <c r="Q45" s="74">
        <f t="shared" si="0"/>
        <v>0.875</v>
      </c>
      <c r="R45" s="53">
        <v>16</v>
      </c>
      <c r="S45" s="53">
        <v>143</v>
      </c>
      <c r="T45" s="16">
        <f t="shared" si="1"/>
        <v>30</v>
      </c>
      <c r="U45" s="53">
        <v>149</v>
      </c>
      <c r="V45" s="16">
        <f t="shared" si="2"/>
        <v>4470</v>
      </c>
      <c r="W45" s="53">
        <v>16</v>
      </c>
      <c r="X45" s="166" t="s">
        <v>46</v>
      </c>
      <c r="Y45" s="53" t="s">
        <v>64</v>
      </c>
      <c r="Z45" s="53" t="s">
        <v>78</v>
      </c>
      <c r="AA45" s="53" t="s">
        <v>97</v>
      </c>
      <c r="AB45" s="53" t="s">
        <v>158</v>
      </c>
    </row>
    <row r="46" spans="1:28" x14ac:dyDescent="0.15">
      <c r="A46" s="53" t="s">
        <v>34</v>
      </c>
      <c r="B46" s="53" t="s">
        <v>157</v>
      </c>
      <c r="C46" s="53">
        <v>2019</v>
      </c>
      <c r="D46" s="174" t="s">
        <v>184</v>
      </c>
      <c r="E46" s="53" t="s">
        <v>139</v>
      </c>
      <c r="F46" s="158" t="s">
        <v>366</v>
      </c>
      <c r="G46" s="161" t="s">
        <v>36</v>
      </c>
      <c r="H46" s="53" t="s">
        <v>160</v>
      </c>
      <c r="I46" s="53" t="s">
        <v>159</v>
      </c>
      <c r="J46" s="53" t="s">
        <v>38</v>
      </c>
      <c r="K46" s="127" t="s">
        <v>161</v>
      </c>
      <c r="L46" s="53">
        <v>3</v>
      </c>
      <c r="N46" s="53">
        <v>1</v>
      </c>
      <c r="O46" s="53">
        <v>0.7</v>
      </c>
      <c r="P46" s="53">
        <v>0.7</v>
      </c>
      <c r="Q46" s="74">
        <f t="shared" si="0"/>
        <v>0.7</v>
      </c>
      <c r="R46" s="53">
        <v>16.5</v>
      </c>
      <c r="S46" s="53">
        <v>137</v>
      </c>
      <c r="T46" s="16">
        <f t="shared" si="1"/>
        <v>30</v>
      </c>
      <c r="U46" s="53">
        <v>149</v>
      </c>
      <c r="V46" s="16">
        <f t="shared" si="2"/>
        <v>4470</v>
      </c>
      <c r="W46" s="53">
        <v>16</v>
      </c>
      <c r="X46" s="166" t="s">
        <v>46</v>
      </c>
      <c r="Y46" s="53" t="s">
        <v>64</v>
      </c>
      <c r="Z46" s="53" t="s">
        <v>78</v>
      </c>
      <c r="AA46" s="53" t="s">
        <v>97</v>
      </c>
      <c r="AB46" s="53" t="s">
        <v>158</v>
      </c>
    </row>
    <row r="47" spans="1:28" x14ac:dyDescent="0.15">
      <c r="A47" s="53" t="s">
        <v>34</v>
      </c>
      <c r="B47" s="53" t="s">
        <v>157</v>
      </c>
      <c r="C47" s="53">
        <v>2019</v>
      </c>
      <c r="D47" s="174" t="s">
        <v>184</v>
      </c>
      <c r="E47" s="53" t="s">
        <v>133</v>
      </c>
      <c r="F47" s="158" t="s">
        <v>367</v>
      </c>
      <c r="G47" s="161" t="s">
        <v>36</v>
      </c>
      <c r="H47" s="53" t="s">
        <v>186</v>
      </c>
      <c r="I47" s="53" t="s">
        <v>159</v>
      </c>
      <c r="J47" s="53" t="s">
        <v>38</v>
      </c>
      <c r="K47" s="127" t="s">
        <v>161</v>
      </c>
      <c r="L47" s="53">
        <v>1</v>
      </c>
      <c r="N47" s="53">
        <v>1</v>
      </c>
      <c r="O47" s="53">
        <v>1</v>
      </c>
      <c r="P47" s="53">
        <v>0.85</v>
      </c>
      <c r="Q47" s="74">
        <f t="shared" si="0"/>
        <v>0.92500000000000004</v>
      </c>
      <c r="R47" s="53">
        <v>16.899999999999999</v>
      </c>
      <c r="S47" s="53">
        <v>114</v>
      </c>
      <c r="T47" s="16">
        <f t="shared" si="1"/>
        <v>30</v>
      </c>
      <c r="U47" s="53">
        <v>98</v>
      </c>
      <c r="V47" s="16">
        <f t="shared" si="2"/>
        <v>2940</v>
      </c>
      <c r="W47" s="53">
        <v>22</v>
      </c>
      <c r="X47" s="166" t="s">
        <v>46</v>
      </c>
      <c r="Y47" s="53" t="s">
        <v>97</v>
      </c>
      <c r="Z47" s="53" t="s">
        <v>47</v>
      </c>
      <c r="AA47" s="53" t="s">
        <v>86</v>
      </c>
      <c r="AB47" s="53" t="s">
        <v>158</v>
      </c>
    </row>
    <row r="48" spans="1:28" x14ac:dyDescent="0.15">
      <c r="A48" s="53" t="s">
        <v>34</v>
      </c>
      <c r="B48" s="53" t="s">
        <v>157</v>
      </c>
      <c r="C48" s="53">
        <v>2019</v>
      </c>
      <c r="D48" s="174" t="s">
        <v>184</v>
      </c>
      <c r="E48" s="53" t="s">
        <v>133</v>
      </c>
      <c r="F48" s="158" t="s">
        <v>367</v>
      </c>
      <c r="G48" s="161" t="s">
        <v>36</v>
      </c>
      <c r="H48" s="53" t="s">
        <v>186</v>
      </c>
      <c r="I48" s="53" t="s">
        <v>159</v>
      </c>
      <c r="J48" s="53" t="s">
        <v>38</v>
      </c>
      <c r="K48" s="127" t="s">
        <v>161</v>
      </c>
      <c r="L48" s="53">
        <v>2</v>
      </c>
      <c r="N48" s="53">
        <v>1</v>
      </c>
      <c r="O48" s="53">
        <v>0.95</v>
      </c>
      <c r="P48" s="53">
        <v>0.8</v>
      </c>
      <c r="Q48" s="74">
        <f t="shared" si="0"/>
        <v>0.875</v>
      </c>
      <c r="R48" s="53">
        <v>173</v>
      </c>
      <c r="S48" s="53">
        <v>120</v>
      </c>
      <c r="T48" s="16">
        <f t="shared" si="1"/>
        <v>30</v>
      </c>
      <c r="U48" s="53">
        <v>98</v>
      </c>
      <c r="V48" s="16">
        <f t="shared" si="2"/>
        <v>2940</v>
      </c>
      <c r="W48" s="53">
        <v>22</v>
      </c>
      <c r="X48" s="166" t="s">
        <v>46</v>
      </c>
      <c r="Y48" s="53" t="s">
        <v>97</v>
      </c>
      <c r="Z48" s="53" t="s">
        <v>47</v>
      </c>
      <c r="AA48" s="53" t="s">
        <v>86</v>
      </c>
      <c r="AB48" s="53" t="s">
        <v>158</v>
      </c>
    </row>
    <row r="49" spans="1:28" x14ac:dyDescent="0.15">
      <c r="A49" s="53" t="s">
        <v>34</v>
      </c>
      <c r="B49" s="53" t="s">
        <v>157</v>
      </c>
      <c r="C49" s="53">
        <v>2019</v>
      </c>
      <c r="D49" s="174" t="s">
        <v>184</v>
      </c>
      <c r="E49" s="53" t="s">
        <v>133</v>
      </c>
      <c r="F49" s="158" t="s">
        <v>367</v>
      </c>
      <c r="G49" s="161" t="s">
        <v>36</v>
      </c>
      <c r="H49" s="53" t="s">
        <v>186</v>
      </c>
      <c r="I49" s="53" t="s">
        <v>159</v>
      </c>
      <c r="J49" s="53" t="s">
        <v>38</v>
      </c>
      <c r="K49" s="127" t="s">
        <v>161</v>
      </c>
      <c r="L49" s="53">
        <v>3</v>
      </c>
      <c r="N49" s="53">
        <v>1</v>
      </c>
      <c r="O49" s="53">
        <v>1</v>
      </c>
      <c r="P49" s="53">
        <v>0.95</v>
      </c>
      <c r="Q49" s="74">
        <f t="shared" si="0"/>
        <v>0.97499999999999998</v>
      </c>
      <c r="R49" s="53">
        <v>17.5</v>
      </c>
      <c r="S49" s="53">
        <v>117</v>
      </c>
      <c r="T49" s="16">
        <f t="shared" si="1"/>
        <v>30</v>
      </c>
      <c r="U49" s="53">
        <v>98</v>
      </c>
      <c r="V49" s="16">
        <f t="shared" si="2"/>
        <v>2940</v>
      </c>
      <c r="W49" s="53">
        <v>22</v>
      </c>
      <c r="X49" s="166" t="s">
        <v>46</v>
      </c>
      <c r="Y49" s="53" t="s">
        <v>97</v>
      </c>
      <c r="Z49" s="53" t="s">
        <v>47</v>
      </c>
      <c r="AA49" s="53" t="s">
        <v>86</v>
      </c>
      <c r="AB49" s="53" t="s">
        <v>158</v>
      </c>
    </row>
    <row r="50" spans="1:28" x14ac:dyDescent="0.15">
      <c r="A50" s="53" t="s">
        <v>34</v>
      </c>
      <c r="B50" s="53" t="s">
        <v>157</v>
      </c>
      <c r="C50" s="53">
        <v>2019</v>
      </c>
      <c r="D50" s="174" t="s">
        <v>184</v>
      </c>
      <c r="E50" s="53" t="s">
        <v>133</v>
      </c>
      <c r="F50" s="158" t="s">
        <v>367</v>
      </c>
      <c r="G50" s="161" t="s">
        <v>36</v>
      </c>
      <c r="H50" s="53" t="s">
        <v>160</v>
      </c>
      <c r="I50" s="53" t="s">
        <v>159</v>
      </c>
      <c r="J50" s="53" t="s">
        <v>38</v>
      </c>
      <c r="K50" s="127" t="s">
        <v>161</v>
      </c>
      <c r="L50" s="53">
        <v>1</v>
      </c>
      <c r="N50" s="53">
        <v>1</v>
      </c>
      <c r="O50" s="53">
        <v>0.85</v>
      </c>
      <c r="P50" s="53">
        <v>0.7</v>
      </c>
      <c r="Q50" s="74">
        <f t="shared" si="0"/>
        <v>0.77499999999999991</v>
      </c>
      <c r="R50" s="53">
        <v>15.9</v>
      </c>
      <c r="S50" s="53">
        <v>150</v>
      </c>
      <c r="T50" s="16">
        <f t="shared" si="1"/>
        <v>30</v>
      </c>
      <c r="U50" s="53">
        <v>138</v>
      </c>
      <c r="V50" s="16">
        <f t="shared" si="2"/>
        <v>4140</v>
      </c>
      <c r="W50" s="53">
        <v>22</v>
      </c>
      <c r="X50" s="166" t="s">
        <v>46</v>
      </c>
      <c r="Y50" s="53" t="s">
        <v>97</v>
      </c>
      <c r="Z50" s="53" t="s">
        <v>47</v>
      </c>
      <c r="AA50" s="53" t="s">
        <v>86</v>
      </c>
      <c r="AB50" s="53" t="s">
        <v>158</v>
      </c>
    </row>
    <row r="51" spans="1:28" x14ac:dyDescent="0.15">
      <c r="A51" s="53" t="s">
        <v>34</v>
      </c>
      <c r="B51" s="53" t="s">
        <v>157</v>
      </c>
      <c r="C51" s="53">
        <v>2019</v>
      </c>
      <c r="D51" s="174" t="s">
        <v>184</v>
      </c>
      <c r="E51" s="53" t="s">
        <v>133</v>
      </c>
      <c r="F51" s="158" t="s">
        <v>367</v>
      </c>
      <c r="G51" s="161" t="s">
        <v>36</v>
      </c>
      <c r="H51" s="53" t="s">
        <v>160</v>
      </c>
      <c r="I51" s="53" t="s">
        <v>159</v>
      </c>
      <c r="J51" s="53" t="s">
        <v>38</v>
      </c>
      <c r="K51" s="127" t="s">
        <v>161</v>
      </c>
      <c r="L51" s="53">
        <v>2</v>
      </c>
      <c r="N51" s="53">
        <v>1</v>
      </c>
      <c r="O51" s="53">
        <v>0.8</v>
      </c>
      <c r="P51" s="53">
        <v>0.85</v>
      </c>
      <c r="Q51" s="74">
        <f t="shared" si="0"/>
        <v>0.82499999999999996</v>
      </c>
      <c r="R51" s="53">
        <v>16.3</v>
      </c>
      <c r="S51" s="53">
        <v>153</v>
      </c>
      <c r="T51" s="16">
        <f t="shared" si="1"/>
        <v>30</v>
      </c>
      <c r="U51" s="53">
        <v>138</v>
      </c>
      <c r="V51" s="16">
        <f t="shared" si="2"/>
        <v>4140</v>
      </c>
      <c r="W51" s="53">
        <v>22</v>
      </c>
      <c r="X51" s="166" t="s">
        <v>46</v>
      </c>
      <c r="Y51" s="53" t="s">
        <v>97</v>
      </c>
      <c r="Z51" s="53" t="s">
        <v>47</v>
      </c>
      <c r="AA51" s="53" t="s">
        <v>86</v>
      </c>
      <c r="AB51" s="53" t="s">
        <v>158</v>
      </c>
    </row>
    <row r="52" spans="1:28" x14ac:dyDescent="0.15">
      <c r="A52" s="53" t="s">
        <v>34</v>
      </c>
      <c r="B52" s="53" t="s">
        <v>157</v>
      </c>
      <c r="C52" s="53">
        <v>2019</v>
      </c>
      <c r="D52" s="174" t="s">
        <v>184</v>
      </c>
      <c r="E52" s="53" t="s">
        <v>133</v>
      </c>
      <c r="F52" s="158" t="s">
        <v>367</v>
      </c>
      <c r="G52" s="161" t="s">
        <v>36</v>
      </c>
      <c r="H52" s="53" t="s">
        <v>160</v>
      </c>
      <c r="I52" s="53" t="s">
        <v>159</v>
      </c>
      <c r="J52" s="53" t="s">
        <v>38</v>
      </c>
      <c r="K52" s="127" t="s">
        <v>161</v>
      </c>
      <c r="L52" s="53">
        <v>3</v>
      </c>
      <c r="N52" s="53">
        <v>1</v>
      </c>
      <c r="O52" s="53">
        <v>0.9</v>
      </c>
      <c r="P52" s="53">
        <v>1</v>
      </c>
      <c r="Q52" s="74">
        <f t="shared" si="0"/>
        <v>0.95</v>
      </c>
      <c r="R52" s="53">
        <v>16.600000000000001</v>
      </c>
      <c r="S52" s="53">
        <v>154</v>
      </c>
      <c r="T52" s="16">
        <f t="shared" si="1"/>
        <v>30</v>
      </c>
      <c r="U52" s="53">
        <v>138</v>
      </c>
      <c r="V52" s="16">
        <f t="shared" si="2"/>
        <v>4140</v>
      </c>
      <c r="W52" s="53">
        <v>22</v>
      </c>
      <c r="X52" s="166" t="s">
        <v>46</v>
      </c>
      <c r="Y52" s="53" t="s">
        <v>97</v>
      </c>
      <c r="Z52" s="53" t="s">
        <v>47</v>
      </c>
      <c r="AA52" s="53" t="s">
        <v>86</v>
      </c>
      <c r="AB52" s="53" t="s">
        <v>158</v>
      </c>
    </row>
    <row r="53" spans="1:28" x14ac:dyDescent="0.15">
      <c r="A53" s="53" t="s">
        <v>34</v>
      </c>
      <c r="B53" s="53" t="s">
        <v>157</v>
      </c>
      <c r="C53" s="53">
        <v>2019</v>
      </c>
      <c r="D53" s="174" t="s">
        <v>184</v>
      </c>
      <c r="E53" s="53" t="s">
        <v>269</v>
      </c>
      <c r="F53" s="158" t="s">
        <v>368</v>
      </c>
      <c r="G53" s="161" t="s">
        <v>36</v>
      </c>
      <c r="H53" s="53" t="s">
        <v>164</v>
      </c>
      <c r="I53" s="53" t="s">
        <v>159</v>
      </c>
      <c r="J53" s="53" t="s">
        <v>38</v>
      </c>
      <c r="K53" s="127" t="s">
        <v>161</v>
      </c>
      <c r="L53" s="53">
        <v>1</v>
      </c>
      <c r="N53" s="53">
        <v>8</v>
      </c>
      <c r="O53" s="53">
        <v>0.95</v>
      </c>
      <c r="P53" s="53">
        <v>0.9</v>
      </c>
      <c r="Q53" s="74">
        <f t="shared" si="0"/>
        <v>0.92500000000000004</v>
      </c>
      <c r="R53" s="53">
        <v>15</v>
      </c>
      <c r="S53" s="53">
        <v>88</v>
      </c>
      <c r="T53" s="16">
        <f t="shared" si="1"/>
        <v>36</v>
      </c>
      <c r="U53" s="53">
        <v>498</v>
      </c>
      <c r="V53" s="16">
        <f t="shared" si="2"/>
        <v>2241</v>
      </c>
      <c r="W53" s="53">
        <v>8</v>
      </c>
      <c r="X53" s="166" t="s">
        <v>46</v>
      </c>
      <c r="Y53" s="53" t="s">
        <v>78</v>
      </c>
      <c r="Z53" s="53" t="s">
        <v>69</v>
      </c>
      <c r="AA53" s="53" t="s">
        <v>64</v>
      </c>
      <c r="AB53" s="53" t="s">
        <v>158</v>
      </c>
    </row>
    <row r="54" spans="1:28" x14ac:dyDescent="0.15">
      <c r="A54" s="53" t="s">
        <v>34</v>
      </c>
      <c r="B54" s="53" t="s">
        <v>157</v>
      </c>
      <c r="C54" s="53">
        <v>2019</v>
      </c>
      <c r="D54" s="174" t="s">
        <v>184</v>
      </c>
      <c r="E54" s="53" t="s">
        <v>269</v>
      </c>
      <c r="F54" s="158" t="s">
        <v>368</v>
      </c>
      <c r="G54" s="161" t="s">
        <v>36</v>
      </c>
      <c r="H54" s="53" t="s">
        <v>164</v>
      </c>
      <c r="I54" s="53" t="s">
        <v>159</v>
      </c>
      <c r="J54" s="53" t="s">
        <v>38</v>
      </c>
      <c r="K54" s="127" t="s">
        <v>161</v>
      </c>
      <c r="L54" s="53">
        <v>2</v>
      </c>
      <c r="N54" s="53">
        <v>8</v>
      </c>
      <c r="O54" s="53">
        <v>1</v>
      </c>
      <c r="P54" s="53">
        <v>0.85</v>
      </c>
      <c r="Q54" s="74">
        <f t="shared" si="0"/>
        <v>0.92500000000000004</v>
      </c>
      <c r="R54" s="53">
        <v>14.8</v>
      </c>
      <c r="S54" s="53">
        <v>83</v>
      </c>
      <c r="T54" s="16">
        <f t="shared" si="1"/>
        <v>39</v>
      </c>
      <c r="U54" s="53">
        <v>498</v>
      </c>
      <c r="V54" s="16">
        <f t="shared" si="2"/>
        <v>2427.75</v>
      </c>
      <c r="W54" s="53">
        <v>8</v>
      </c>
      <c r="X54" s="166" t="s">
        <v>46</v>
      </c>
      <c r="Y54" s="53" t="s">
        <v>78</v>
      </c>
      <c r="Z54" s="53" t="s">
        <v>69</v>
      </c>
      <c r="AA54" s="53" t="s">
        <v>64</v>
      </c>
      <c r="AB54" s="53" t="s">
        <v>158</v>
      </c>
    </row>
    <row r="55" spans="1:28" x14ac:dyDescent="0.15">
      <c r="A55" s="53" t="s">
        <v>34</v>
      </c>
      <c r="B55" s="53" t="s">
        <v>157</v>
      </c>
      <c r="C55" s="53">
        <v>2019</v>
      </c>
      <c r="D55" s="174" t="s">
        <v>184</v>
      </c>
      <c r="E55" s="53" t="s">
        <v>269</v>
      </c>
      <c r="F55" s="158" t="s">
        <v>368</v>
      </c>
      <c r="G55" s="161" t="s">
        <v>36</v>
      </c>
      <c r="H55" s="53" t="s">
        <v>164</v>
      </c>
      <c r="I55" s="53" t="s">
        <v>159</v>
      </c>
      <c r="J55" s="53" t="s">
        <v>38</v>
      </c>
      <c r="K55" s="127" t="s">
        <v>161</v>
      </c>
      <c r="L55" s="53">
        <v>3</v>
      </c>
      <c r="N55" s="53">
        <v>8</v>
      </c>
      <c r="O55" s="53">
        <v>0.65</v>
      </c>
      <c r="P55" s="53">
        <v>0.8</v>
      </c>
      <c r="Q55" s="74">
        <f t="shared" si="0"/>
        <v>0.72500000000000009</v>
      </c>
      <c r="R55" s="53">
        <v>15.7</v>
      </c>
      <c r="S55" s="53">
        <v>90</v>
      </c>
      <c r="T55" s="16">
        <f t="shared" si="1"/>
        <v>36</v>
      </c>
      <c r="U55" s="53">
        <v>498</v>
      </c>
      <c r="V55" s="16">
        <f t="shared" si="2"/>
        <v>2241</v>
      </c>
      <c r="W55" s="53">
        <v>8</v>
      </c>
      <c r="X55" s="166" t="s">
        <v>46</v>
      </c>
      <c r="Y55" s="53" t="s">
        <v>78</v>
      </c>
      <c r="Z55" s="53" t="s">
        <v>69</v>
      </c>
      <c r="AA55" s="53" t="s">
        <v>64</v>
      </c>
      <c r="AB55" s="53" t="s">
        <v>158</v>
      </c>
    </row>
    <row r="56" spans="1:28" x14ac:dyDescent="0.15">
      <c r="A56" s="53" t="s">
        <v>34</v>
      </c>
      <c r="B56" s="53" t="s">
        <v>157</v>
      </c>
      <c r="C56" s="53">
        <v>2019</v>
      </c>
      <c r="D56" s="174" t="s">
        <v>184</v>
      </c>
      <c r="E56" s="53" t="s">
        <v>269</v>
      </c>
      <c r="F56" s="158" t="s">
        <v>368</v>
      </c>
      <c r="G56" s="161" t="s">
        <v>36</v>
      </c>
      <c r="H56" s="53" t="s">
        <v>160</v>
      </c>
      <c r="I56" s="53" t="s">
        <v>159</v>
      </c>
      <c r="J56" s="53" t="s">
        <v>38</v>
      </c>
      <c r="K56" s="127" t="s">
        <v>161</v>
      </c>
      <c r="L56" s="53">
        <v>1</v>
      </c>
      <c r="N56" s="53">
        <v>7</v>
      </c>
      <c r="O56" s="53">
        <v>0.8</v>
      </c>
      <c r="P56" s="53">
        <v>0.75</v>
      </c>
      <c r="Q56" s="74">
        <f t="shared" si="0"/>
        <v>0.77500000000000002</v>
      </c>
      <c r="R56" s="53">
        <v>16.600000000000001</v>
      </c>
      <c r="S56" s="53">
        <v>84</v>
      </c>
      <c r="T56" s="16">
        <f t="shared" si="1"/>
        <v>36</v>
      </c>
      <c r="U56" s="53">
        <v>580</v>
      </c>
      <c r="V56" s="16">
        <f t="shared" si="2"/>
        <v>2982.8571428571431</v>
      </c>
      <c r="W56" s="53">
        <v>8</v>
      </c>
      <c r="X56" s="166" t="s">
        <v>46</v>
      </c>
      <c r="Y56" s="53" t="s">
        <v>78</v>
      </c>
      <c r="Z56" s="53" t="s">
        <v>69</v>
      </c>
      <c r="AA56" s="53" t="s">
        <v>64</v>
      </c>
      <c r="AB56" s="53" t="s">
        <v>158</v>
      </c>
    </row>
    <row r="57" spans="1:28" x14ac:dyDescent="0.15">
      <c r="A57" s="53" t="s">
        <v>34</v>
      </c>
      <c r="B57" s="53" t="s">
        <v>157</v>
      </c>
      <c r="C57" s="53">
        <v>2019</v>
      </c>
      <c r="D57" s="174" t="s">
        <v>184</v>
      </c>
      <c r="E57" s="53" t="s">
        <v>269</v>
      </c>
      <c r="F57" s="158" t="s">
        <v>368</v>
      </c>
      <c r="G57" s="161" t="s">
        <v>36</v>
      </c>
      <c r="H57" s="53" t="s">
        <v>160</v>
      </c>
      <c r="I57" s="53" t="s">
        <v>159</v>
      </c>
      <c r="J57" s="53" t="s">
        <v>38</v>
      </c>
      <c r="K57" s="127" t="s">
        <v>161</v>
      </c>
      <c r="L57" s="53">
        <v>2</v>
      </c>
      <c r="N57" s="53">
        <v>7</v>
      </c>
      <c r="O57" s="53">
        <v>0.95</v>
      </c>
      <c r="P57" s="53">
        <v>0.9</v>
      </c>
      <c r="Q57" s="74">
        <f t="shared" si="0"/>
        <v>0.92500000000000004</v>
      </c>
      <c r="R57" s="53">
        <v>16.3</v>
      </c>
      <c r="S57" s="53">
        <v>88</v>
      </c>
      <c r="T57" s="16">
        <f t="shared" si="1"/>
        <v>36</v>
      </c>
      <c r="U57" s="53">
        <v>580</v>
      </c>
      <c r="V57" s="16">
        <f t="shared" si="2"/>
        <v>2982.8571428571431</v>
      </c>
      <c r="W57" s="53">
        <v>8</v>
      </c>
      <c r="X57" s="166" t="s">
        <v>46</v>
      </c>
      <c r="Y57" s="53" t="s">
        <v>78</v>
      </c>
      <c r="Z57" s="53" t="s">
        <v>69</v>
      </c>
      <c r="AA57" s="53" t="s">
        <v>64</v>
      </c>
      <c r="AB57" s="53" t="s">
        <v>158</v>
      </c>
    </row>
    <row r="58" spans="1:28" x14ac:dyDescent="0.15">
      <c r="A58" s="53" t="s">
        <v>34</v>
      </c>
      <c r="B58" s="53" t="s">
        <v>157</v>
      </c>
      <c r="C58" s="53">
        <v>2019</v>
      </c>
      <c r="D58" s="174" t="s">
        <v>184</v>
      </c>
      <c r="E58" s="53" t="s">
        <v>269</v>
      </c>
      <c r="F58" s="158" t="s">
        <v>368</v>
      </c>
      <c r="G58" s="161" t="s">
        <v>36</v>
      </c>
      <c r="H58" s="53" t="s">
        <v>160</v>
      </c>
      <c r="I58" s="53" t="s">
        <v>159</v>
      </c>
      <c r="J58" s="53" t="s">
        <v>38</v>
      </c>
      <c r="K58" s="127" t="s">
        <v>161</v>
      </c>
      <c r="L58" s="53">
        <v>3</v>
      </c>
      <c r="N58" s="53">
        <v>7</v>
      </c>
      <c r="O58" s="53">
        <v>0.8</v>
      </c>
      <c r="P58" s="53">
        <v>0.9</v>
      </c>
      <c r="Q58" s="74">
        <f t="shared" si="0"/>
        <v>0.85000000000000009</v>
      </c>
      <c r="R58" s="53">
        <v>17.399999999999999</v>
      </c>
      <c r="S58" s="53">
        <v>87</v>
      </c>
      <c r="T58" s="16">
        <f t="shared" si="1"/>
        <v>36</v>
      </c>
      <c r="U58" s="53">
        <v>580</v>
      </c>
      <c r="V58" s="16">
        <f t="shared" si="2"/>
        <v>2982.8571428571431</v>
      </c>
      <c r="W58" s="53">
        <v>8</v>
      </c>
      <c r="X58" s="166" t="s">
        <v>46</v>
      </c>
      <c r="Y58" s="53" t="s">
        <v>78</v>
      </c>
      <c r="Z58" s="53" t="s">
        <v>69</v>
      </c>
      <c r="AA58" s="53" t="s">
        <v>64</v>
      </c>
      <c r="AB58" s="53" t="s">
        <v>158</v>
      </c>
    </row>
    <row r="59" spans="1:28" x14ac:dyDescent="0.15">
      <c r="D59" s="174"/>
      <c r="F59" s="158"/>
      <c r="G59" s="161"/>
      <c r="K59" s="127"/>
      <c r="Q59" s="74" t="str">
        <f t="shared" si="0"/>
        <v/>
      </c>
      <c r="T59" s="16" t="str">
        <f t="shared" si="1"/>
        <v/>
      </c>
      <c r="V59" s="16" t="str">
        <f t="shared" si="2"/>
        <v/>
      </c>
      <c r="X59" s="166"/>
    </row>
    <row r="60" spans="1:28" x14ac:dyDescent="0.15">
      <c r="D60" s="174"/>
      <c r="F60" s="158"/>
      <c r="G60" s="161"/>
      <c r="K60" s="127"/>
      <c r="Q60" s="74" t="str">
        <f t="shared" si="0"/>
        <v/>
      </c>
      <c r="T60" s="16" t="str">
        <f t="shared" si="1"/>
        <v/>
      </c>
      <c r="V60" s="16" t="str">
        <f t="shared" si="2"/>
        <v/>
      </c>
      <c r="X60" s="166"/>
    </row>
    <row r="61" spans="1:28" x14ac:dyDescent="0.15">
      <c r="D61" s="174"/>
      <c r="F61" s="158"/>
      <c r="G61" s="161"/>
      <c r="K61" s="127"/>
      <c r="Q61" s="74" t="str">
        <f t="shared" si="0"/>
        <v/>
      </c>
      <c r="T61" s="16" t="str">
        <f t="shared" si="1"/>
        <v/>
      </c>
      <c r="V61" s="16" t="str">
        <f t="shared" si="2"/>
        <v/>
      </c>
      <c r="X61" s="166"/>
    </row>
    <row r="62" spans="1:28" x14ac:dyDescent="0.15">
      <c r="D62" s="174"/>
      <c r="F62" s="158"/>
      <c r="G62" s="161"/>
      <c r="K62" s="127"/>
      <c r="Q62" s="74" t="str">
        <f t="shared" si="0"/>
        <v/>
      </c>
      <c r="T62" s="16" t="str">
        <f t="shared" si="1"/>
        <v/>
      </c>
      <c r="V62" s="16" t="str">
        <f t="shared" si="2"/>
        <v/>
      </c>
      <c r="X62" s="166"/>
    </row>
    <row r="63" spans="1:28" x14ac:dyDescent="0.15">
      <c r="D63" s="174"/>
      <c r="F63" s="158"/>
      <c r="G63" s="161"/>
      <c r="K63" s="127"/>
      <c r="Q63" s="74" t="str">
        <f t="shared" si="0"/>
        <v/>
      </c>
      <c r="T63" s="16" t="str">
        <f t="shared" si="1"/>
        <v/>
      </c>
      <c r="V63" s="16" t="str">
        <f t="shared" si="2"/>
        <v/>
      </c>
      <c r="X63" s="166"/>
    </row>
    <row r="64" spans="1:28" x14ac:dyDescent="0.15">
      <c r="D64" s="174"/>
      <c r="F64" s="158"/>
      <c r="G64" s="161"/>
      <c r="K64" s="127"/>
      <c r="Q64" s="74" t="str">
        <f t="shared" si="0"/>
        <v/>
      </c>
      <c r="T64" s="16" t="str">
        <f t="shared" si="1"/>
        <v/>
      </c>
      <c r="V64" s="16" t="str">
        <f t="shared" si="2"/>
        <v/>
      </c>
      <c r="X64" s="166"/>
    </row>
    <row r="65" spans="4:24" x14ac:dyDescent="0.15">
      <c r="D65" s="174"/>
      <c r="F65" s="158"/>
      <c r="G65" s="161"/>
      <c r="K65" s="127"/>
      <c r="Q65" s="74" t="str">
        <f t="shared" si="0"/>
        <v/>
      </c>
      <c r="T65" s="16" t="str">
        <f t="shared" si="1"/>
        <v/>
      </c>
      <c r="V65" s="16" t="str">
        <f t="shared" si="2"/>
        <v/>
      </c>
      <c r="X65" s="166"/>
    </row>
    <row r="66" spans="4:24" x14ac:dyDescent="0.15">
      <c r="D66" s="174"/>
      <c r="F66" s="158"/>
      <c r="G66" s="161"/>
      <c r="K66" s="127"/>
      <c r="Q66" s="74" t="str">
        <f t="shared" ref="Q66:Q91" si="3">IF(OR(O66="",P66=""),"",AVERAGE(O66,P66))</f>
        <v/>
      </c>
      <c r="T66" s="16" t="str">
        <f t="shared" ref="T66:T91" si="4">IF(H66="","",IF(OR(H66="GREEN",H66="GK"),IF(S66&gt;=$AX$2,VLOOKUP(S66,$AX$2:$AY$7,2,1),""),IF(S66&gt;=$AZ$2,VLOOKUP(S66,$AZ$2:$BA$7,2,1),"")))</f>
        <v/>
      </c>
      <c r="V66" s="16" t="str">
        <f t="shared" ref="V66:V91" si="5">IF(OR(N66="",U66="",T66=""),"",U66/N66*T66)</f>
        <v/>
      </c>
      <c r="X66" s="166"/>
    </row>
    <row r="67" spans="4:24" x14ac:dyDescent="0.15">
      <c r="D67" s="174"/>
      <c r="F67" s="158"/>
      <c r="G67" s="161"/>
      <c r="K67" s="127"/>
      <c r="Q67" s="74" t="str">
        <f t="shared" si="3"/>
        <v/>
      </c>
      <c r="T67" s="16" t="str">
        <f t="shared" si="4"/>
        <v/>
      </c>
      <c r="V67" s="16" t="str">
        <f t="shared" si="5"/>
        <v/>
      </c>
      <c r="X67" s="166"/>
    </row>
    <row r="68" spans="4:24" x14ac:dyDescent="0.15">
      <c r="D68" s="174"/>
      <c r="F68" s="158"/>
      <c r="G68" s="161"/>
      <c r="K68" s="127"/>
      <c r="Q68" s="74" t="str">
        <f t="shared" si="3"/>
        <v/>
      </c>
      <c r="T68" s="16" t="str">
        <f t="shared" si="4"/>
        <v/>
      </c>
      <c r="V68" s="16" t="str">
        <f t="shared" si="5"/>
        <v/>
      </c>
      <c r="X68" s="166"/>
    </row>
    <row r="69" spans="4:24" x14ac:dyDescent="0.15">
      <c r="D69" s="174"/>
      <c r="F69" s="158"/>
      <c r="G69" s="161"/>
      <c r="K69" s="127"/>
      <c r="Q69" s="74" t="str">
        <f t="shared" si="3"/>
        <v/>
      </c>
      <c r="T69" s="16" t="str">
        <f t="shared" si="4"/>
        <v/>
      </c>
      <c r="V69" s="16" t="str">
        <f t="shared" si="5"/>
        <v/>
      </c>
      <c r="X69" s="166"/>
    </row>
    <row r="70" spans="4:24" x14ac:dyDescent="0.15">
      <c r="D70" s="174"/>
      <c r="F70" s="158"/>
      <c r="G70" s="161"/>
      <c r="K70" s="127"/>
      <c r="Q70" s="74" t="str">
        <f t="shared" si="3"/>
        <v/>
      </c>
      <c r="T70" s="16" t="str">
        <f t="shared" si="4"/>
        <v/>
      </c>
      <c r="V70" s="16" t="str">
        <f t="shared" si="5"/>
        <v/>
      </c>
      <c r="X70" s="166"/>
    </row>
    <row r="71" spans="4:24" x14ac:dyDescent="0.15">
      <c r="D71" s="174"/>
      <c r="F71" s="158"/>
      <c r="G71" s="161"/>
      <c r="K71" s="127"/>
      <c r="Q71" s="74" t="str">
        <f t="shared" si="3"/>
        <v/>
      </c>
      <c r="T71" s="16" t="str">
        <f t="shared" si="4"/>
        <v/>
      </c>
      <c r="V71" s="16" t="str">
        <f t="shared" si="5"/>
        <v/>
      </c>
      <c r="X71" s="166"/>
    </row>
    <row r="72" spans="4:24" x14ac:dyDescent="0.15">
      <c r="D72" s="174"/>
      <c r="F72" s="158"/>
      <c r="G72" s="161"/>
      <c r="K72" s="127"/>
      <c r="Q72" s="74" t="str">
        <f t="shared" si="3"/>
        <v/>
      </c>
      <c r="T72" s="16" t="str">
        <f t="shared" si="4"/>
        <v/>
      </c>
      <c r="V72" s="16" t="str">
        <f t="shared" si="5"/>
        <v/>
      </c>
      <c r="X72" s="166"/>
    </row>
    <row r="73" spans="4:24" x14ac:dyDescent="0.15">
      <c r="D73" s="174"/>
      <c r="F73" s="158"/>
      <c r="G73" s="161"/>
      <c r="K73" s="127"/>
      <c r="Q73" s="74" t="str">
        <f t="shared" si="3"/>
        <v/>
      </c>
      <c r="T73" s="16" t="str">
        <f t="shared" si="4"/>
        <v/>
      </c>
      <c r="V73" s="16" t="str">
        <f t="shared" si="5"/>
        <v/>
      </c>
      <c r="X73" s="166"/>
    </row>
    <row r="74" spans="4:24" x14ac:dyDescent="0.15">
      <c r="K74" s="127"/>
      <c r="Q74" s="74" t="str">
        <f t="shared" si="3"/>
        <v/>
      </c>
      <c r="T74" s="16" t="str">
        <f t="shared" si="4"/>
        <v/>
      </c>
      <c r="V74" s="16" t="str">
        <f t="shared" si="5"/>
        <v/>
      </c>
    </row>
    <row r="75" spans="4:24" x14ac:dyDescent="0.15">
      <c r="K75" s="127"/>
      <c r="Q75" s="74" t="str">
        <f t="shared" si="3"/>
        <v/>
      </c>
      <c r="T75" s="16" t="str">
        <f t="shared" si="4"/>
        <v/>
      </c>
      <c r="V75" s="16" t="str">
        <f t="shared" si="5"/>
        <v/>
      </c>
    </row>
    <row r="76" spans="4:24" x14ac:dyDescent="0.15">
      <c r="K76" s="127"/>
      <c r="Q76" s="74" t="str">
        <f t="shared" si="3"/>
        <v/>
      </c>
      <c r="T76" s="16" t="str">
        <f t="shared" si="4"/>
        <v/>
      </c>
      <c r="V76" s="16" t="str">
        <f t="shared" si="5"/>
        <v/>
      </c>
    </row>
    <row r="77" spans="4:24" x14ac:dyDescent="0.15">
      <c r="K77" s="127"/>
      <c r="Q77" s="74" t="str">
        <f t="shared" si="3"/>
        <v/>
      </c>
      <c r="T77" s="16" t="str">
        <f t="shared" si="4"/>
        <v/>
      </c>
      <c r="V77" s="16" t="str">
        <f t="shared" si="5"/>
        <v/>
      </c>
    </row>
    <row r="78" spans="4:24" x14ac:dyDescent="0.15">
      <c r="K78" s="127"/>
      <c r="Q78" s="74" t="str">
        <f t="shared" si="3"/>
        <v/>
      </c>
      <c r="T78" s="16" t="str">
        <f t="shared" si="4"/>
        <v/>
      </c>
      <c r="V78" s="16" t="str">
        <f t="shared" si="5"/>
        <v/>
      </c>
    </row>
    <row r="79" spans="4:24" x14ac:dyDescent="0.15">
      <c r="K79" s="127"/>
      <c r="Q79" s="74" t="str">
        <f t="shared" si="3"/>
        <v/>
      </c>
      <c r="T79" s="16" t="str">
        <f t="shared" si="4"/>
        <v/>
      </c>
      <c r="V79" s="16" t="str">
        <f t="shared" si="5"/>
        <v/>
      </c>
    </row>
    <row r="80" spans="4:24" x14ac:dyDescent="0.15">
      <c r="K80" s="127"/>
      <c r="Q80" s="74" t="str">
        <f t="shared" si="3"/>
        <v/>
      </c>
      <c r="T80" s="16" t="str">
        <f t="shared" si="4"/>
        <v/>
      </c>
      <c r="V80" s="16" t="str">
        <f t="shared" si="5"/>
        <v/>
      </c>
    </row>
    <row r="81" spans="11:22" x14ac:dyDescent="0.15">
      <c r="K81" s="127"/>
      <c r="Q81" s="74" t="str">
        <f t="shared" si="3"/>
        <v/>
      </c>
      <c r="T81" s="16" t="str">
        <f t="shared" si="4"/>
        <v/>
      </c>
      <c r="V81" s="16" t="str">
        <f t="shared" si="5"/>
        <v/>
      </c>
    </row>
    <row r="82" spans="11:22" x14ac:dyDescent="0.15">
      <c r="K82" s="127"/>
      <c r="Q82" s="74" t="str">
        <f t="shared" si="3"/>
        <v/>
      </c>
      <c r="T82" s="16" t="str">
        <f t="shared" si="4"/>
        <v/>
      </c>
      <c r="V82" s="16" t="str">
        <f t="shared" si="5"/>
        <v/>
      </c>
    </row>
    <row r="83" spans="11:22" x14ac:dyDescent="0.15">
      <c r="K83" s="127"/>
      <c r="Q83" s="74" t="str">
        <f t="shared" si="3"/>
        <v/>
      </c>
      <c r="T83" s="16" t="str">
        <f t="shared" si="4"/>
        <v/>
      </c>
      <c r="V83" s="16" t="str">
        <f t="shared" si="5"/>
        <v/>
      </c>
    </row>
    <row r="84" spans="11:22" x14ac:dyDescent="0.15">
      <c r="K84" s="127"/>
      <c r="Q84" s="74" t="str">
        <f t="shared" si="3"/>
        <v/>
      </c>
      <c r="T84" s="16" t="str">
        <f t="shared" si="4"/>
        <v/>
      </c>
      <c r="V84" s="16" t="str">
        <f t="shared" si="5"/>
        <v/>
      </c>
    </row>
    <row r="85" spans="11:22" x14ac:dyDescent="0.15">
      <c r="K85" s="127"/>
      <c r="Q85" s="74" t="str">
        <f t="shared" si="3"/>
        <v/>
      </c>
      <c r="T85" s="16" t="str">
        <f t="shared" si="4"/>
        <v/>
      </c>
      <c r="V85" s="16" t="str">
        <f t="shared" si="5"/>
        <v/>
      </c>
    </row>
    <row r="86" spans="11:22" x14ac:dyDescent="0.15">
      <c r="K86" s="127"/>
      <c r="Q86" s="74"/>
    </row>
    <row r="87" spans="11:22" x14ac:dyDescent="0.15">
      <c r="K87" s="127"/>
      <c r="Q87" s="74"/>
    </row>
    <row r="88" spans="11:22" x14ac:dyDescent="0.15">
      <c r="K88" s="127"/>
      <c r="Q88" s="74"/>
    </row>
    <row r="89" spans="11:22" x14ac:dyDescent="0.15">
      <c r="K89" s="127"/>
      <c r="Q89" s="74"/>
    </row>
    <row r="90" spans="11:22" x14ac:dyDescent="0.15">
      <c r="K90" s="127"/>
      <c r="Q90" s="74"/>
    </row>
    <row r="91" spans="11:22" x14ac:dyDescent="0.15">
      <c r="K91" s="127"/>
      <c r="Q91" s="74"/>
    </row>
    <row r="92" spans="11:22" x14ac:dyDescent="0.15">
      <c r="K92" s="127"/>
      <c r="Q92" s="74"/>
    </row>
    <row r="93" spans="11:22" x14ac:dyDescent="0.15">
      <c r="K93" s="127"/>
      <c r="Q93" s="74"/>
    </row>
    <row r="94" spans="11:22" x14ac:dyDescent="0.15">
      <c r="K94" s="127"/>
      <c r="Q94" s="74"/>
    </row>
    <row r="95" spans="11:22" x14ac:dyDescent="0.15">
      <c r="K95" s="127"/>
      <c r="Q95" s="74"/>
    </row>
    <row r="96" spans="11:22" x14ac:dyDescent="0.15">
      <c r="K96" s="127"/>
      <c r="Q96" s="74"/>
    </row>
    <row r="97" spans="11:17" x14ac:dyDescent="0.15">
      <c r="K97" s="127"/>
      <c r="Q97" s="74"/>
    </row>
    <row r="98" spans="11:17" x14ac:dyDescent="0.15">
      <c r="K98" s="127"/>
      <c r="Q98" s="74"/>
    </row>
    <row r="99" spans="11:17" x14ac:dyDescent="0.15">
      <c r="K99" s="127"/>
      <c r="Q99" s="74"/>
    </row>
    <row r="100" spans="11:17" x14ac:dyDescent="0.15">
      <c r="K100" s="127"/>
      <c r="Q100" s="74"/>
    </row>
    <row r="101" spans="11:17" x14ac:dyDescent="0.15">
      <c r="K101" s="127"/>
      <c r="Q101" s="74"/>
    </row>
    <row r="102" spans="11:17" x14ac:dyDescent="0.15">
      <c r="K102" s="127"/>
      <c r="Q102" s="74"/>
    </row>
    <row r="103" spans="11:17" x14ac:dyDescent="0.15">
      <c r="K103" s="127"/>
      <c r="Q103" s="74"/>
    </row>
    <row r="104" spans="11:17" x14ac:dyDescent="0.15">
      <c r="K104" s="127"/>
      <c r="Q104" s="74"/>
    </row>
    <row r="105" spans="11:17" x14ac:dyDescent="0.15">
      <c r="K105" s="127"/>
      <c r="Q105" s="74"/>
    </row>
    <row r="106" spans="11:17" x14ac:dyDescent="0.15">
      <c r="K106" s="127"/>
      <c r="Q106" s="74"/>
    </row>
    <row r="107" spans="11:17" x14ac:dyDescent="0.15">
      <c r="K107" s="127"/>
      <c r="Q107" s="74"/>
    </row>
    <row r="108" spans="11:17" x14ac:dyDescent="0.15">
      <c r="K108" s="127"/>
      <c r="Q108" s="74"/>
    </row>
    <row r="109" spans="11:17" x14ac:dyDescent="0.15">
      <c r="K109" s="127"/>
      <c r="Q109" s="74"/>
    </row>
    <row r="110" spans="11:17" x14ac:dyDescent="0.15">
      <c r="K110" s="127"/>
      <c r="Q110" s="74"/>
    </row>
    <row r="111" spans="11:17" x14ac:dyDescent="0.15">
      <c r="K111" s="127"/>
      <c r="Q111" s="74"/>
    </row>
    <row r="112" spans="11:17" x14ac:dyDescent="0.15">
      <c r="K112" s="127"/>
      <c r="Q112" s="74"/>
    </row>
    <row r="113" spans="11:17" x14ac:dyDescent="0.15">
      <c r="K113" s="127"/>
      <c r="Q113" s="74"/>
    </row>
    <row r="114" spans="11:17" x14ac:dyDescent="0.15">
      <c r="K114" s="127"/>
      <c r="Q114" s="74"/>
    </row>
    <row r="115" spans="11:17" x14ac:dyDescent="0.15">
      <c r="K115" s="127"/>
      <c r="Q115" s="74"/>
    </row>
    <row r="116" spans="11:17" x14ac:dyDescent="0.15">
      <c r="K116" s="127"/>
      <c r="Q116" s="74"/>
    </row>
    <row r="117" spans="11:17" x14ac:dyDescent="0.15">
      <c r="K117" s="127"/>
      <c r="Q117" s="74"/>
    </row>
    <row r="118" spans="11:17" x14ac:dyDescent="0.15">
      <c r="K118" s="127"/>
      <c r="Q118" s="74"/>
    </row>
    <row r="119" spans="11:17" x14ac:dyDescent="0.15">
      <c r="K119" s="127"/>
      <c r="Q119" s="74"/>
    </row>
    <row r="120" spans="11:17" x14ac:dyDescent="0.15">
      <c r="K120" s="127"/>
      <c r="Q120" s="74"/>
    </row>
    <row r="121" spans="11:17" x14ac:dyDescent="0.15">
      <c r="K121" s="127"/>
      <c r="Q121" s="74"/>
    </row>
    <row r="122" spans="11:17" x14ac:dyDescent="0.15">
      <c r="K122" s="127"/>
      <c r="Q122" s="74"/>
    </row>
    <row r="123" spans="11:17" x14ac:dyDescent="0.15">
      <c r="K123" s="127"/>
      <c r="Q123" s="74"/>
    </row>
    <row r="124" spans="11:17" x14ac:dyDescent="0.15">
      <c r="K124" s="127"/>
      <c r="Q124" s="74"/>
    </row>
    <row r="125" spans="11:17" x14ac:dyDescent="0.15">
      <c r="K125" s="127"/>
      <c r="Q125" s="74"/>
    </row>
    <row r="126" spans="11:17" x14ac:dyDescent="0.15">
      <c r="K126" s="127"/>
      <c r="Q126" s="74"/>
    </row>
    <row r="127" spans="11:17" x14ac:dyDescent="0.15">
      <c r="K127" s="127"/>
      <c r="Q127" s="74"/>
    </row>
    <row r="128" spans="11:17" x14ac:dyDescent="0.15">
      <c r="K128" s="127"/>
      <c r="Q128" s="74"/>
    </row>
    <row r="129" spans="11:17" x14ac:dyDescent="0.15">
      <c r="K129" s="127"/>
      <c r="Q129" s="74"/>
    </row>
    <row r="130" spans="11:17" x14ac:dyDescent="0.15">
      <c r="K130" s="127"/>
      <c r="Q130" s="74"/>
    </row>
    <row r="131" spans="11:17" x14ac:dyDescent="0.15">
      <c r="K131" s="127"/>
      <c r="Q131" s="74"/>
    </row>
    <row r="132" spans="11:17" x14ac:dyDescent="0.15">
      <c r="K132" s="127"/>
      <c r="Q132" s="74"/>
    </row>
    <row r="133" spans="11:17" x14ac:dyDescent="0.15">
      <c r="K133" s="127"/>
      <c r="Q133" s="74"/>
    </row>
    <row r="134" spans="11:17" x14ac:dyDescent="0.15">
      <c r="K134" s="127"/>
      <c r="Q134" s="74"/>
    </row>
    <row r="135" spans="11:17" x14ac:dyDescent="0.15">
      <c r="K135" s="127"/>
      <c r="Q135" s="74"/>
    </row>
    <row r="136" spans="11:17" x14ac:dyDescent="0.15">
      <c r="K136" s="127"/>
      <c r="Q136" s="74"/>
    </row>
    <row r="137" spans="11:17" x14ac:dyDescent="0.15">
      <c r="K137" s="127"/>
      <c r="Q137" s="74"/>
    </row>
    <row r="138" spans="11:17" x14ac:dyDescent="0.15">
      <c r="K138" s="127"/>
      <c r="Q138" s="74"/>
    </row>
    <row r="139" spans="11:17" x14ac:dyDescent="0.15">
      <c r="K139" s="127"/>
      <c r="Q139" s="74"/>
    </row>
    <row r="140" spans="11:17" x14ac:dyDescent="0.15">
      <c r="K140" s="127"/>
      <c r="Q140" s="74"/>
    </row>
    <row r="141" spans="11:17" x14ac:dyDescent="0.15">
      <c r="K141" s="127"/>
      <c r="Q141" s="74"/>
    </row>
    <row r="142" spans="11:17" x14ac:dyDescent="0.15">
      <c r="K142" s="127"/>
      <c r="Q142" s="74"/>
    </row>
    <row r="143" spans="11:17" x14ac:dyDescent="0.15">
      <c r="K143" s="127"/>
      <c r="Q143" s="74"/>
    </row>
    <row r="144" spans="11:17" x14ac:dyDescent="0.15">
      <c r="K144" s="127"/>
      <c r="Q144" s="74"/>
    </row>
    <row r="145" spans="11:17" x14ac:dyDescent="0.15">
      <c r="K145" s="127"/>
      <c r="Q145" s="74"/>
    </row>
    <row r="146" spans="11:17" x14ac:dyDescent="0.15">
      <c r="K146" s="127"/>
      <c r="Q146" s="74"/>
    </row>
    <row r="147" spans="11:17" x14ac:dyDescent="0.15">
      <c r="K147" s="127"/>
      <c r="Q147" s="74"/>
    </row>
    <row r="148" spans="11:17" x14ac:dyDescent="0.15">
      <c r="K148" s="127"/>
      <c r="Q148" s="74"/>
    </row>
    <row r="149" spans="11:17" x14ac:dyDescent="0.15">
      <c r="K149" s="127"/>
      <c r="Q149" s="74"/>
    </row>
    <row r="150" spans="11:17" x14ac:dyDescent="0.15">
      <c r="K150" s="127"/>
      <c r="Q150" s="74"/>
    </row>
    <row r="151" spans="11:17" x14ac:dyDescent="0.15">
      <c r="K151" s="127"/>
      <c r="Q151" s="74"/>
    </row>
    <row r="152" spans="11:17" x14ac:dyDescent="0.15">
      <c r="K152" s="127"/>
      <c r="Q152" s="74"/>
    </row>
    <row r="153" spans="11:17" x14ac:dyDescent="0.15">
      <c r="K153" s="127"/>
      <c r="Q153" s="74"/>
    </row>
    <row r="154" spans="11:17" x14ac:dyDescent="0.15">
      <c r="K154" s="127"/>
      <c r="Q154" s="74"/>
    </row>
    <row r="155" spans="11:17" x14ac:dyDescent="0.15">
      <c r="K155" s="127"/>
      <c r="Q155" s="74"/>
    </row>
    <row r="156" spans="11:17" x14ac:dyDescent="0.15">
      <c r="K156" s="127"/>
      <c r="Q156" s="74"/>
    </row>
    <row r="157" spans="11:17" x14ac:dyDescent="0.15">
      <c r="K157" s="127"/>
      <c r="Q157" s="74"/>
    </row>
    <row r="158" spans="11:17" x14ac:dyDescent="0.15">
      <c r="K158" s="127"/>
      <c r="Q158" s="74"/>
    </row>
    <row r="159" spans="11:17" x14ac:dyDescent="0.15">
      <c r="K159" s="127"/>
      <c r="Q159" s="74"/>
    </row>
    <row r="160" spans="11:17" x14ac:dyDescent="0.15">
      <c r="K160" s="127"/>
      <c r="Q160" s="74"/>
    </row>
    <row r="161" spans="11:17" x14ac:dyDescent="0.15">
      <c r="K161" s="127"/>
      <c r="Q161" s="74"/>
    </row>
    <row r="162" spans="11:17" x14ac:dyDescent="0.15">
      <c r="K162" s="127"/>
      <c r="Q162" s="74"/>
    </row>
    <row r="163" spans="11:17" x14ac:dyDescent="0.15">
      <c r="K163" s="127"/>
      <c r="Q163" s="74"/>
    </row>
    <row r="164" spans="11:17" x14ac:dyDescent="0.15">
      <c r="K164" s="127"/>
      <c r="Q164" s="74"/>
    </row>
    <row r="165" spans="11:17" x14ac:dyDescent="0.15">
      <c r="K165" s="127"/>
      <c r="Q165" s="74"/>
    </row>
    <row r="166" spans="11:17" x14ac:dyDescent="0.15">
      <c r="K166" s="127"/>
      <c r="Q166" s="74"/>
    </row>
    <row r="167" spans="11:17" x14ac:dyDescent="0.15">
      <c r="K167" s="127"/>
      <c r="Q167" s="74"/>
    </row>
    <row r="168" spans="11:17" x14ac:dyDescent="0.15">
      <c r="K168" s="127"/>
      <c r="Q168" s="74"/>
    </row>
    <row r="169" spans="11:17" x14ac:dyDescent="0.15">
      <c r="K169" s="127"/>
      <c r="Q169" s="74"/>
    </row>
    <row r="170" spans="11:17" x14ac:dyDescent="0.15">
      <c r="K170" s="127"/>
      <c r="Q170" s="74"/>
    </row>
    <row r="171" spans="11:17" x14ac:dyDescent="0.15">
      <c r="K171" s="127"/>
      <c r="Q171" s="74"/>
    </row>
    <row r="172" spans="11:17" x14ac:dyDescent="0.15">
      <c r="K172" s="127"/>
      <c r="Q172" s="74"/>
    </row>
    <row r="173" spans="11:17" x14ac:dyDescent="0.15">
      <c r="K173" s="127"/>
      <c r="Q173" s="74"/>
    </row>
    <row r="174" spans="11:17" x14ac:dyDescent="0.15">
      <c r="K174" s="127"/>
      <c r="Q174" s="74"/>
    </row>
    <row r="175" spans="11:17" x14ac:dyDescent="0.15">
      <c r="K175" s="127"/>
      <c r="Q175" s="74"/>
    </row>
    <row r="176" spans="11:17" x14ac:dyDescent="0.15">
      <c r="K176" s="127"/>
      <c r="Q176" s="74"/>
    </row>
    <row r="177" spans="11:17" x14ac:dyDescent="0.15">
      <c r="K177" s="127"/>
      <c r="Q177" s="74"/>
    </row>
    <row r="178" spans="11:17" x14ac:dyDescent="0.15">
      <c r="K178" s="127"/>
      <c r="Q178" s="74"/>
    </row>
    <row r="179" spans="11:17" x14ac:dyDescent="0.15">
      <c r="K179" s="127"/>
      <c r="Q179" s="74"/>
    </row>
    <row r="180" spans="11:17" x14ac:dyDescent="0.15">
      <c r="K180" s="127"/>
      <c r="Q180" s="74"/>
    </row>
    <row r="181" spans="11:17" x14ac:dyDescent="0.15">
      <c r="K181" s="127"/>
      <c r="Q181" s="74"/>
    </row>
    <row r="182" spans="11:17" x14ac:dyDescent="0.15">
      <c r="K182" s="127"/>
      <c r="Q182" s="74"/>
    </row>
    <row r="183" spans="11:17" x14ac:dyDescent="0.15">
      <c r="K183" s="127"/>
      <c r="Q183" s="74"/>
    </row>
    <row r="184" spans="11:17" x14ac:dyDescent="0.15">
      <c r="K184" s="127"/>
      <c r="Q184" s="74"/>
    </row>
    <row r="185" spans="11:17" x14ac:dyDescent="0.15">
      <c r="K185" s="127"/>
      <c r="Q185" s="74"/>
    </row>
    <row r="186" spans="11:17" x14ac:dyDescent="0.15">
      <c r="K186" s="127"/>
      <c r="Q186" s="74"/>
    </row>
    <row r="187" spans="11:17" x14ac:dyDescent="0.15">
      <c r="K187" s="127"/>
      <c r="Q187" s="74"/>
    </row>
    <row r="188" spans="11:17" x14ac:dyDescent="0.15">
      <c r="K188" s="127"/>
      <c r="Q188" s="74"/>
    </row>
    <row r="189" spans="11:17" x14ac:dyDescent="0.15">
      <c r="K189" s="127"/>
      <c r="Q189" s="74"/>
    </row>
    <row r="190" spans="11:17" x14ac:dyDescent="0.15">
      <c r="K190" s="127"/>
      <c r="Q190" s="74"/>
    </row>
    <row r="191" spans="11:17" x14ac:dyDescent="0.15">
      <c r="K191" s="127"/>
      <c r="Q191" s="74"/>
    </row>
    <row r="192" spans="11:17" x14ac:dyDescent="0.15">
      <c r="K192" s="127"/>
      <c r="Q192" s="74"/>
    </row>
    <row r="193" spans="11:17" x14ac:dyDescent="0.15">
      <c r="K193" s="127"/>
      <c r="Q193" s="74"/>
    </row>
    <row r="194" spans="11:17" x14ac:dyDescent="0.15">
      <c r="K194" s="127"/>
      <c r="Q194" s="74"/>
    </row>
    <row r="195" spans="11:17" x14ac:dyDescent="0.15">
      <c r="K195" s="127"/>
      <c r="Q195" s="74"/>
    </row>
    <row r="196" spans="11:17" x14ac:dyDescent="0.15">
      <c r="K196" s="127"/>
      <c r="Q196" s="74"/>
    </row>
    <row r="197" spans="11:17" x14ac:dyDescent="0.15">
      <c r="K197" s="127"/>
      <c r="Q197" s="74"/>
    </row>
    <row r="198" spans="11:17" x14ac:dyDescent="0.15">
      <c r="K198" s="127"/>
      <c r="Q198" s="74"/>
    </row>
    <row r="199" spans="11:17" x14ac:dyDescent="0.15">
      <c r="K199" s="127"/>
      <c r="Q199" s="74"/>
    </row>
    <row r="200" spans="11:17" x14ac:dyDescent="0.15">
      <c r="K200" s="127"/>
      <c r="Q200" s="74"/>
    </row>
    <row r="201" spans="11:17" x14ac:dyDescent="0.15">
      <c r="K201" s="127"/>
      <c r="Q201" s="74"/>
    </row>
    <row r="202" spans="11:17" x14ac:dyDescent="0.15">
      <c r="K202" s="127"/>
      <c r="Q202" s="74"/>
    </row>
    <row r="203" spans="11:17" x14ac:dyDescent="0.15">
      <c r="K203" s="127"/>
      <c r="Q203" s="74"/>
    </row>
    <row r="204" spans="11:17" x14ac:dyDescent="0.15">
      <c r="K204" s="127"/>
      <c r="Q204" s="74"/>
    </row>
    <row r="205" spans="11:17" x14ac:dyDescent="0.15">
      <c r="K205" s="127"/>
      <c r="Q205" s="74"/>
    </row>
    <row r="206" spans="11:17" x14ac:dyDescent="0.15">
      <c r="K206" s="127"/>
      <c r="Q206" s="74"/>
    </row>
    <row r="207" spans="11:17" x14ac:dyDescent="0.15">
      <c r="K207" s="127"/>
      <c r="Q207" s="74"/>
    </row>
    <row r="208" spans="11:17" x14ac:dyDescent="0.15">
      <c r="K208" s="127"/>
      <c r="Q208" s="74"/>
    </row>
    <row r="209" spans="11:17" x14ac:dyDescent="0.15">
      <c r="K209" s="127"/>
      <c r="Q209" s="74"/>
    </row>
    <row r="210" spans="11:17" x14ac:dyDescent="0.15">
      <c r="K210" s="127"/>
      <c r="Q210" s="74"/>
    </row>
    <row r="211" spans="11:17" x14ac:dyDescent="0.15">
      <c r="K211" s="127"/>
      <c r="Q211" s="74"/>
    </row>
    <row r="212" spans="11:17" x14ac:dyDescent="0.15">
      <c r="K212" s="127"/>
      <c r="Q212" s="74"/>
    </row>
    <row r="213" spans="11:17" x14ac:dyDescent="0.15">
      <c r="K213" s="127"/>
      <c r="Q213" s="74"/>
    </row>
    <row r="214" spans="11:17" x14ac:dyDescent="0.15">
      <c r="K214" s="127"/>
      <c r="Q214" s="74"/>
    </row>
    <row r="215" spans="11:17" x14ac:dyDescent="0.15">
      <c r="K215" s="127"/>
      <c r="Q215" s="74"/>
    </row>
    <row r="216" spans="11:17" x14ac:dyDescent="0.15">
      <c r="K216" s="127"/>
      <c r="Q216" s="74"/>
    </row>
    <row r="217" spans="11:17" x14ac:dyDescent="0.15">
      <c r="K217" s="127"/>
      <c r="Q217" s="74"/>
    </row>
    <row r="218" spans="11:17" x14ac:dyDescent="0.15">
      <c r="K218" s="127"/>
      <c r="Q218" s="74"/>
    </row>
    <row r="219" spans="11:17" x14ac:dyDescent="0.15">
      <c r="K219" s="127"/>
      <c r="Q219" s="74"/>
    </row>
    <row r="220" spans="11:17" x14ac:dyDescent="0.15">
      <c r="K220" s="127"/>
      <c r="Q220" s="74"/>
    </row>
    <row r="221" spans="11:17" x14ac:dyDescent="0.15">
      <c r="K221" s="127"/>
      <c r="Q221" s="74"/>
    </row>
    <row r="222" spans="11:17" x14ac:dyDescent="0.15">
      <c r="K222" s="127"/>
      <c r="Q222" s="74"/>
    </row>
    <row r="223" spans="11:17" x14ac:dyDescent="0.15">
      <c r="K223" s="127"/>
      <c r="Q223" s="74"/>
    </row>
    <row r="224" spans="11:17" x14ac:dyDescent="0.15">
      <c r="K224" s="127"/>
      <c r="Q224" s="74"/>
    </row>
    <row r="225" spans="11:17" x14ac:dyDescent="0.15">
      <c r="K225" s="127"/>
      <c r="Q225" s="74"/>
    </row>
    <row r="226" spans="11:17" x14ac:dyDescent="0.15">
      <c r="K226" s="127"/>
      <c r="Q226" s="74"/>
    </row>
    <row r="227" spans="11:17" x14ac:dyDescent="0.15">
      <c r="K227" s="127"/>
      <c r="Q227" s="74"/>
    </row>
    <row r="228" spans="11:17" x14ac:dyDescent="0.15">
      <c r="K228" s="127"/>
      <c r="Q228" s="74"/>
    </row>
    <row r="229" spans="11:17" x14ac:dyDescent="0.15">
      <c r="K229" s="127"/>
      <c r="Q229" s="74"/>
    </row>
    <row r="230" spans="11:17" x14ac:dyDescent="0.15">
      <c r="K230" s="127"/>
      <c r="Q230" s="74"/>
    </row>
    <row r="231" spans="11:17" x14ac:dyDescent="0.15">
      <c r="K231" s="127"/>
      <c r="Q231" s="74"/>
    </row>
    <row r="232" spans="11:17" x14ac:dyDescent="0.15">
      <c r="K232" s="127"/>
      <c r="Q232" s="74"/>
    </row>
    <row r="233" spans="11:17" x14ac:dyDescent="0.15">
      <c r="K233" s="127"/>
      <c r="Q233" s="74"/>
    </row>
    <row r="234" spans="11:17" x14ac:dyDescent="0.15">
      <c r="K234" s="127"/>
      <c r="Q234" s="74"/>
    </row>
    <row r="235" spans="11:17" x14ac:dyDescent="0.15">
      <c r="K235" s="127"/>
      <c r="Q235" s="74"/>
    </row>
    <row r="236" spans="11:17" x14ac:dyDescent="0.15">
      <c r="K236" s="127"/>
      <c r="Q236" s="74"/>
    </row>
    <row r="237" spans="11:17" x14ac:dyDescent="0.15">
      <c r="K237" s="127"/>
      <c r="Q237" s="74"/>
    </row>
    <row r="238" spans="11:17" x14ac:dyDescent="0.15">
      <c r="K238" s="127"/>
      <c r="Q238" s="74"/>
    </row>
    <row r="239" spans="11:17" x14ac:dyDescent="0.15">
      <c r="K239" s="127"/>
      <c r="Q239" s="74"/>
    </row>
    <row r="240" spans="11:17" x14ac:dyDescent="0.15">
      <c r="K240" s="127"/>
      <c r="Q240" s="74"/>
    </row>
    <row r="241" spans="11:17" x14ac:dyDescent="0.15">
      <c r="K241" s="127"/>
      <c r="Q241" s="74"/>
    </row>
    <row r="242" spans="11:17" x14ac:dyDescent="0.15">
      <c r="K242" s="127"/>
      <c r="Q242" s="74"/>
    </row>
    <row r="243" spans="11:17" x14ac:dyDescent="0.15">
      <c r="K243" s="127"/>
      <c r="Q243" s="74"/>
    </row>
    <row r="244" spans="11:17" x14ac:dyDescent="0.15">
      <c r="K244" s="127"/>
      <c r="Q244" s="74"/>
    </row>
    <row r="245" spans="11:17" x14ac:dyDescent="0.15">
      <c r="K245" s="127"/>
      <c r="Q245" s="74"/>
    </row>
    <row r="246" spans="11:17" x14ac:dyDescent="0.15">
      <c r="K246" s="127"/>
      <c r="Q246" s="74"/>
    </row>
    <row r="247" spans="11:17" x14ac:dyDescent="0.15">
      <c r="K247" s="127"/>
      <c r="Q247" s="74"/>
    </row>
    <row r="248" spans="11:17" x14ac:dyDescent="0.15">
      <c r="K248" s="127"/>
      <c r="Q248" s="74"/>
    </row>
    <row r="249" spans="11:17" x14ac:dyDescent="0.15">
      <c r="K249" s="127"/>
      <c r="Q249" s="74"/>
    </row>
    <row r="250" spans="11:17" x14ac:dyDescent="0.15">
      <c r="K250" s="127"/>
      <c r="Q250" s="74"/>
    </row>
    <row r="251" spans="11:17" x14ac:dyDescent="0.15">
      <c r="K251" s="127"/>
      <c r="Q251" s="74"/>
    </row>
    <row r="252" spans="11:17" x14ac:dyDescent="0.15">
      <c r="K252" s="127"/>
      <c r="Q252" s="74"/>
    </row>
    <row r="253" spans="11:17" x14ac:dyDescent="0.15">
      <c r="K253" s="127"/>
      <c r="Q253" s="74"/>
    </row>
    <row r="254" spans="11:17" x14ac:dyDescent="0.15">
      <c r="K254" s="127"/>
      <c r="Q254" s="74"/>
    </row>
    <row r="255" spans="11:17" x14ac:dyDescent="0.15">
      <c r="K255" s="127"/>
      <c r="Q255" s="74"/>
    </row>
    <row r="256" spans="11:17" x14ac:dyDescent="0.15">
      <c r="K256" s="127"/>
      <c r="Q256" s="74"/>
    </row>
    <row r="257" spans="11:17" x14ac:dyDescent="0.15">
      <c r="K257" s="127"/>
      <c r="Q257" s="74"/>
    </row>
    <row r="258" spans="11:17" x14ac:dyDescent="0.15">
      <c r="K258" s="127"/>
      <c r="Q258" s="74"/>
    </row>
    <row r="259" spans="11:17" x14ac:dyDescent="0.15">
      <c r="K259" s="127"/>
      <c r="Q259" s="74"/>
    </row>
    <row r="260" spans="11:17" x14ac:dyDescent="0.15">
      <c r="K260" s="127"/>
      <c r="Q260" s="74"/>
    </row>
    <row r="261" spans="11:17" x14ac:dyDescent="0.15">
      <c r="K261" s="127"/>
      <c r="Q261" s="74"/>
    </row>
    <row r="262" spans="11:17" x14ac:dyDescent="0.15">
      <c r="K262" s="127"/>
      <c r="Q262" s="74"/>
    </row>
    <row r="263" spans="11:17" x14ac:dyDescent="0.15">
      <c r="K263" s="127"/>
      <c r="Q263" s="74"/>
    </row>
    <row r="264" spans="11:17" x14ac:dyDescent="0.15">
      <c r="K264" s="127"/>
      <c r="Q264" s="74"/>
    </row>
    <row r="265" spans="11:17" x14ac:dyDescent="0.15">
      <c r="K265" s="127"/>
      <c r="Q265" s="74"/>
    </row>
    <row r="266" spans="11:17" x14ac:dyDescent="0.15">
      <c r="K266" s="127"/>
      <c r="Q266" s="74"/>
    </row>
    <row r="267" spans="11:17" x14ac:dyDescent="0.15">
      <c r="K267" s="127"/>
      <c r="Q267" s="74"/>
    </row>
    <row r="268" spans="11:17" x14ac:dyDescent="0.15">
      <c r="K268" s="127"/>
      <c r="Q268" s="74"/>
    </row>
    <row r="269" spans="11:17" x14ac:dyDescent="0.15">
      <c r="K269" s="127"/>
      <c r="Q269" s="74"/>
    </row>
    <row r="270" spans="11:17" x14ac:dyDescent="0.15">
      <c r="K270" s="127"/>
      <c r="Q270" s="74"/>
    </row>
    <row r="271" spans="11:17" x14ac:dyDescent="0.15">
      <c r="K271" s="127"/>
      <c r="Q271" s="74"/>
    </row>
    <row r="272" spans="11:17" x14ac:dyDescent="0.15">
      <c r="K272" s="127"/>
      <c r="Q272" s="74"/>
    </row>
    <row r="273" spans="11:17" x14ac:dyDescent="0.15">
      <c r="K273" s="127"/>
      <c r="Q273" s="74"/>
    </row>
    <row r="274" spans="11:17" x14ac:dyDescent="0.15">
      <c r="K274" s="127"/>
      <c r="Q274" s="74"/>
    </row>
    <row r="275" spans="11:17" x14ac:dyDescent="0.15">
      <c r="K275" s="127"/>
      <c r="Q275" s="74"/>
    </row>
    <row r="276" spans="11:17" x14ac:dyDescent="0.15">
      <c r="K276" s="127"/>
      <c r="Q276" s="74"/>
    </row>
    <row r="277" spans="11:17" x14ac:dyDescent="0.15">
      <c r="K277" s="127"/>
      <c r="Q277" s="74"/>
    </row>
    <row r="278" spans="11:17" x14ac:dyDescent="0.15">
      <c r="K278" s="127"/>
      <c r="Q278" s="74"/>
    </row>
    <row r="279" spans="11:17" x14ac:dyDescent="0.15">
      <c r="K279" s="127"/>
      <c r="Q279" s="74"/>
    </row>
    <row r="280" spans="11:17" x14ac:dyDescent="0.15">
      <c r="K280" s="127"/>
      <c r="Q280" s="74"/>
    </row>
    <row r="281" spans="11:17" x14ac:dyDescent="0.15">
      <c r="K281" s="127"/>
      <c r="Q281" s="74"/>
    </row>
    <row r="282" spans="11:17" x14ac:dyDescent="0.15">
      <c r="K282" s="127"/>
      <c r="Q282" s="74"/>
    </row>
    <row r="283" spans="11:17" x14ac:dyDescent="0.15">
      <c r="K283" s="127"/>
      <c r="Q283" s="74"/>
    </row>
    <row r="284" spans="11:17" x14ac:dyDescent="0.15">
      <c r="K284" s="127"/>
      <c r="Q284" s="74"/>
    </row>
    <row r="285" spans="11:17" x14ac:dyDescent="0.15">
      <c r="K285" s="127"/>
      <c r="Q285" s="74"/>
    </row>
    <row r="286" spans="11:17" x14ac:dyDescent="0.15">
      <c r="K286" s="127"/>
    </row>
    <row r="287" spans="11:17" x14ac:dyDescent="0.15">
      <c r="K287" s="127"/>
    </row>
    <row r="288" spans="11:17" x14ac:dyDescent="0.15">
      <c r="K288" s="127"/>
    </row>
    <row r="289" spans="11:11" x14ac:dyDescent="0.15">
      <c r="K289" s="127"/>
    </row>
    <row r="290" spans="11:11" x14ac:dyDescent="0.15">
      <c r="K290" s="127"/>
    </row>
    <row r="291" spans="11:11" x14ac:dyDescent="0.15">
      <c r="K291" s="127"/>
    </row>
    <row r="292" spans="11:11" x14ac:dyDescent="0.15">
      <c r="K292" s="127"/>
    </row>
    <row r="293" spans="11:11" x14ac:dyDescent="0.15">
      <c r="K293" s="127"/>
    </row>
    <row r="294" spans="11:11" x14ac:dyDescent="0.15">
      <c r="K294" s="127"/>
    </row>
    <row r="295" spans="11:11" x14ac:dyDescent="0.15">
      <c r="K295" s="127"/>
    </row>
    <row r="296" spans="11:11" x14ac:dyDescent="0.15">
      <c r="K296" s="127"/>
    </row>
    <row r="297" spans="11:11" x14ac:dyDescent="0.15">
      <c r="K297" s="127"/>
    </row>
    <row r="298" spans="11:11" x14ac:dyDescent="0.15">
      <c r="K298" s="127"/>
    </row>
    <row r="299" spans="11:11" x14ac:dyDescent="0.15">
      <c r="K299" s="127"/>
    </row>
    <row r="300" spans="11:11" x14ac:dyDescent="0.15">
      <c r="K300" s="127"/>
    </row>
    <row r="301" spans="11:11" x14ac:dyDescent="0.15">
      <c r="K301" s="127"/>
    </row>
    <row r="302" spans="11:11" x14ac:dyDescent="0.15">
      <c r="K302" s="127"/>
    </row>
    <row r="303" spans="11:11" x14ac:dyDescent="0.15">
      <c r="K303" s="127"/>
    </row>
    <row r="304" spans="11:11"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sheetData>
  <autoFilter ref="A1:BA1" xr:uid="{00000000-0009-0000-0000-000000000000}"/>
  <phoneticPr fontId="3"/>
  <dataValidations count="20">
    <dataValidation type="list" allowBlank="1" showInputMessage="1" showErrorMessage="1" sqref="F2:F485" xr:uid="{D345CAEB-6B09-4EED-8F5E-CFCC597466DD}">
      <formula1>$AH$2:$AH$11</formula1>
    </dataValidation>
    <dataValidation type="decimal" allowBlank="1" showInputMessage="1" showErrorMessage="1" error="硬度を正しく入力して下さい。" sqref="O2:P485" xr:uid="{AFEA6F0E-1157-4814-85FE-81554B921CD1}">
      <formula1>0</formula1>
      <formula2>7</formula2>
    </dataValidation>
    <dataValidation type="list" allowBlank="1" showInputMessage="1" showErrorMessage="1" sqref="Y2:AA485" xr:uid="{61EF2EA8-F51A-4483-9021-20F81FFD2FA9}">
      <formula1>$AV$2:$AV$21</formula1>
    </dataValidation>
    <dataValidation type="list" allowBlank="1" showInputMessage="1" showErrorMessage="1" sqref="I2:I485" xr:uid="{C3B99AC0-CF85-4633-BB50-77B31BA75AA0}">
      <formula1>$AN$5:$AN$6</formula1>
    </dataValidation>
    <dataValidation type="list" allowBlank="1" showInputMessage="1" showErrorMessage="1" sqref="H2:H485" xr:uid="{9CE959F4-CBA5-4687-B89C-235B8B108640}">
      <formula1>$AL$2:$AL$8</formula1>
    </dataValidation>
    <dataValidation type="list" allowBlank="1" showInputMessage="1" showErrorMessage="1" sqref="A2:A485" xr:uid="{E84D9F6A-0306-4A86-84B0-9AC591BEDDF1}">
      <formula1>$AE$2:$AE$19</formula1>
    </dataValidation>
    <dataValidation type="list" allowBlank="1" showInputMessage="1" showErrorMessage="1" sqref="X2:X485" xr:uid="{FDDFBA0A-BE8B-4593-8406-A6B36EB43A62}">
      <formula1>$AT$2:$AT$3</formula1>
    </dataValidation>
    <dataValidation type="list" allowBlank="1" showInputMessage="1" showErrorMessage="1" sqref="G2:G485" xr:uid="{66772F7D-E071-4BD4-81F6-00C8A571ECDF}">
      <formula1>$AJ$2:$AJ$4</formula1>
    </dataValidation>
    <dataValidation type="list" allowBlank="1" showInputMessage="1" showErrorMessage="1" sqref="J2:J485" xr:uid="{FE6B4435-121C-48D9-9B40-F269D920C066}">
      <formula1>$AP$2:$AP$27</formula1>
    </dataValidation>
    <dataValidation operator="equal" allowBlank="1" showInputMessage="1" showErrorMessage="1" sqref="B2:B40" xr:uid="{C75EEC0E-CE25-4C02-980E-36AA79A40109}"/>
    <dataValidation type="list" allowBlank="1" showInputMessage="1" showErrorMessage="1" sqref="K2:K437" xr:uid="{0C399CE5-7500-443D-8EFD-F5BBAB4E7ED4}">
      <formula1>$AR$2:$AR$26</formula1>
    </dataValidation>
    <dataValidation type="list" allowBlank="1" showInputMessage="1" showErrorMessage="1" sqref="E2:E485" xr:uid="{ADB102BA-53C1-4BAF-85E6-EB733E060654}">
      <formula1>$AG$2:$AG$11</formula1>
    </dataValidation>
    <dataValidation type="list" allowBlank="1" showInputMessage="1" showErrorMessage="1" sqref="K438:K485" xr:uid="{B2A9FD21-C50A-44EE-9C4C-37D687941639}">
      <formula1>$AR$2:$AR$25</formula1>
    </dataValidation>
    <dataValidation type="list" allowBlank="1" showInputMessage="1" showErrorMessage="1" sqref="F486:F64236" xr:uid="{59D3EB32-59A6-4FD3-9B77-6EBC428C6D64}">
      <formula1>$AH$2:$AH$8</formula1>
    </dataValidation>
    <dataValidation type="list" allowBlank="1" showInputMessage="1" showErrorMessage="1" sqref="E486:E64236" xr:uid="{C942247F-349D-4656-97D2-A52D664AB8FC}">
      <formula1>$AG$2:$AG$9</formula1>
    </dataValidation>
    <dataValidation type="list" allowBlank="1" showInputMessage="1" showErrorMessage="1" sqref="H486:H64236" xr:uid="{B7919F7B-7F88-45D4-9B68-793EB2325E74}">
      <formula1>$AL$2:$AL$10</formula1>
    </dataValidation>
    <dataValidation type="list" allowBlank="1" showInputMessage="1" showErrorMessage="1" sqref="K486:K64236" xr:uid="{AC85F38F-71AC-47D4-96D7-9F696FF77F13}">
      <formula1>$AR$2:$AR$28</formula1>
    </dataValidation>
    <dataValidation type="list" allowBlank="1" showInputMessage="1" showErrorMessage="1" sqref="Y486:AA64236" xr:uid="{6BF95323-F803-4842-A903-B1A29B234838}">
      <formula1>$AV$2:$AV$26</formula1>
    </dataValidation>
    <dataValidation type="list" allowBlank="1" showInputMessage="1" showErrorMessage="1" sqref="I486:I64236" xr:uid="{FAA0BAD9-F59C-4350-A17A-3F92C5B17B2B}">
      <formula1>$AN$2:$AN$6</formula1>
    </dataValidation>
    <dataValidation type="list" allowBlank="1" showInputMessage="1" showErrorMessage="1" sqref="J486:J64236" xr:uid="{103AA9C0-6BE0-40D1-8BBF-083F07C12A96}">
      <formula1>$AP$2:$AP$16</formula1>
    </dataValidation>
  </dataValidations>
  <pageMargins left="0.7" right="0.7" top="0.75" bottom="0.75" header="0.3" footer="0.3"/>
  <pageSetup paperSize="8" scale="77" orientation="landscape" r:id="rId1"/>
  <headerFooter alignWithMargins="0"/>
  <rowBreaks count="1" manualBreakCount="1">
    <brk id="37"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DA304-6814-4200-9531-68E3DFD567C4}">
  <dimension ref="A1:BA133"/>
  <sheetViews>
    <sheetView topLeftCell="A91" zoomScale="70" zoomScaleNormal="70" workbookViewId="0">
      <selection activeCell="AB42" sqref="AB42"/>
    </sheetView>
  </sheetViews>
  <sheetFormatPr defaultColWidth="9" defaultRowHeight="13.5" x14ac:dyDescent="0.15"/>
  <cols>
    <col min="1" max="3" width="9" style="53"/>
    <col min="4" max="4" width="10.5" style="53" bestFit="1" customWidth="1"/>
    <col min="5" max="5" width="10.875" style="53" bestFit="1" customWidth="1"/>
    <col min="6" max="6" width="18.875" style="53" bestFit="1" customWidth="1"/>
    <col min="7" max="9" width="9" style="53"/>
    <col min="10" max="10" width="9.25" style="53" customWidth="1"/>
    <col min="11"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316</v>
      </c>
      <c r="V1" s="5" t="s">
        <v>20</v>
      </c>
      <c r="W1" s="56" t="s">
        <v>21</v>
      </c>
      <c r="X1" s="45" t="s">
        <v>22</v>
      </c>
      <c r="Y1" s="45" t="s">
        <v>23</v>
      </c>
      <c r="Z1" s="45" t="s">
        <v>369</v>
      </c>
      <c r="AA1" s="46" t="s">
        <v>25</v>
      </c>
      <c r="AB1" s="80" t="s">
        <v>26</v>
      </c>
      <c r="AE1" s="60" t="s">
        <v>0</v>
      </c>
      <c r="AF1" s="61"/>
      <c r="AG1" s="175"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232</v>
      </c>
      <c r="C2" s="53">
        <v>2019</v>
      </c>
      <c r="D2" s="176" t="s">
        <v>167</v>
      </c>
      <c r="E2" s="53" t="s">
        <v>370</v>
      </c>
      <c r="F2" s="53" t="s">
        <v>371</v>
      </c>
      <c r="G2" s="53" t="s">
        <v>36</v>
      </c>
      <c r="H2" s="53" t="s">
        <v>164</v>
      </c>
      <c r="I2" s="53" t="s">
        <v>159</v>
      </c>
      <c r="J2" s="53" t="s">
        <v>38</v>
      </c>
      <c r="K2" s="53" t="s">
        <v>161</v>
      </c>
      <c r="L2" s="53">
        <v>1</v>
      </c>
      <c r="N2" s="53">
        <v>1</v>
      </c>
      <c r="O2" s="53">
        <v>0.85</v>
      </c>
      <c r="P2" s="53">
        <v>1.1000000000000001</v>
      </c>
      <c r="Q2" s="74">
        <f t="shared" ref="Q2:Q82" si="0">IF(OR(O2="",P2=""),"",AVERAGE(O2,P2))</f>
        <v>0.97500000000000009</v>
      </c>
      <c r="R2" s="53">
        <v>17.5</v>
      </c>
      <c r="S2" s="53">
        <v>143</v>
      </c>
      <c r="T2" s="16">
        <f t="shared" ref="T2:T82" si="1">IF(H2="","",IF(OR(H2="GREEN",H2="GK"),IF(S2&gt;=$AX$2,VLOOKUP(S2,$AX$2:$AY$9,2,1),""),IF(S2&gt;=$AZ$2,VLOOKUP(S2,$AZ$2:$BA$9,2,1),"")))</f>
        <v>30</v>
      </c>
      <c r="U2" s="53">
        <v>103</v>
      </c>
      <c r="V2" s="16">
        <f t="shared" ref="V2:V82" si="2">IF(OR(N2="",U2="",T2=""),"",U2/N2*T2)</f>
        <v>3090</v>
      </c>
      <c r="W2" s="53">
        <v>2</v>
      </c>
      <c r="X2" s="53" t="s">
        <v>46</v>
      </c>
      <c r="Y2" s="53" t="s">
        <v>55</v>
      </c>
      <c r="Z2" s="53" t="s">
        <v>69</v>
      </c>
      <c r="AA2" s="53" t="s">
        <v>47</v>
      </c>
      <c r="AB2" s="53" t="s">
        <v>288</v>
      </c>
      <c r="AE2" s="64" t="s">
        <v>35</v>
      </c>
      <c r="AG2" s="177" t="s">
        <v>362</v>
      </c>
      <c r="AH2" s="67" t="s">
        <v>372</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232</v>
      </c>
      <c r="C3" s="53">
        <v>2019</v>
      </c>
      <c r="D3" s="176" t="s">
        <v>167</v>
      </c>
      <c r="E3" s="53" t="s">
        <v>370</v>
      </c>
      <c r="F3" s="53" t="s">
        <v>371</v>
      </c>
      <c r="G3" s="53" t="s">
        <v>36</v>
      </c>
      <c r="H3" s="53" t="s">
        <v>164</v>
      </c>
      <c r="I3" s="53" t="s">
        <v>159</v>
      </c>
      <c r="J3" s="53" t="s">
        <v>38</v>
      </c>
      <c r="K3" s="53" t="s">
        <v>161</v>
      </c>
      <c r="L3" s="53">
        <v>2</v>
      </c>
      <c r="N3" s="53">
        <v>1</v>
      </c>
      <c r="O3" s="53">
        <v>0.65</v>
      </c>
      <c r="P3" s="53">
        <v>0.55000000000000004</v>
      </c>
      <c r="Q3" s="74">
        <f t="shared" si="0"/>
        <v>0.60000000000000009</v>
      </c>
      <c r="R3" s="53">
        <v>17</v>
      </c>
      <c r="S3" s="53">
        <v>107</v>
      </c>
      <c r="T3" s="16">
        <f t="shared" si="1"/>
        <v>33</v>
      </c>
      <c r="U3" s="53">
        <v>103</v>
      </c>
      <c r="V3" s="16">
        <f t="shared" si="2"/>
        <v>3399</v>
      </c>
      <c r="W3" s="53">
        <v>2</v>
      </c>
      <c r="X3" s="53" t="s">
        <v>46</v>
      </c>
      <c r="Y3" s="53" t="s">
        <v>55</v>
      </c>
      <c r="Z3" s="53" t="s">
        <v>69</v>
      </c>
      <c r="AA3" s="53" t="s">
        <v>47</v>
      </c>
      <c r="AB3" s="53" t="s">
        <v>288</v>
      </c>
      <c r="AE3" s="22" t="s">
        <v>41</v>
      </c>
      <c r="AG3" s="178" t="s">
        <v>373</v>
      </c>
      <c r="AH3" s="67" t="s">
        <v>372</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232</v>
      </c>
      <c r="C4" s="53">
        <v>2019</v>
      </c>
      <c r="D4" s="176" t="s">
        <v>167</v>
      </c>
      <c r="E4" s="53" t="s">
        <v>370</v>
      </c>
      <c r="F4" s="53" t="s">
        <v>371</v>
      </c>
      <c r="G4" s="53" t="s">
        <v>36</v>
      </c>
      <c r="H4" s="53" t="s">
        <v>164</v>
      </c>
      <c r="I4" s="53" t="s">
        <v>159</v>
      </c>
      <c r="J4" s="53" t="s">
        <v>38</v>
      </c>
      <c r="K4" s="53" t="s">
        <v>161</v>
      </c>
      <c r="L4" s="53">
        <v>3</v>
      </c>
      <c r="N4" s="53">
        <v>1</v>
      </c>
      <c r="O4" s="53">
        <v>0.7</v>
      </c>
      <c r="P4" s="53">
        <v>0.9</v>
      </c>
      <c r="Q4" s="74">
        <f t="shared" si="0"/>
        <v>0.8</v>
      </c>
      <c r="R4" s="53">
        <v>17</v>
      </c>
      <c r="S4" s="53">
        <v>106</v>
      </c>
      <c r="T4" s="16">
        <f t="shared" si="1"/>
        <v>33</v>
      </c>
      <c r="U4" s="53">
        <v>103</v>
      </c>
      <c r="V4" s="16">
        <f t="shared" si="2"/>
        <v>3399</v>
      </c>
      <c r="W4" s="53">
        <v>2</v>
      </c>
      <c r="X4" s="53" t="s">
        <v>46</v>
      </c>
      <c r="Y4" s="53" t="s">
        <v>55</v>
      </c>
      <c r="Z4" s="53" t="s">
        <v>69</v>
      </c>
      <c r="AA4" s="53" t="s">
        <v>47</v>
      </c>
      <c r="AB4" s="53" t="s">
        <v>288</v>
      </c>
      <c r="AE4" s="22" t="s">
        <v>34</v>
      </c>
      <c r="AG4" s="178" t="s">
        <v>374</v>
      </c>
      <c r="AH4" s="67" t="s">
        <v>375</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232</v>
      </c>
      <c r="C5" s="53">
        <v>2019</v>
      </c>
      <c r="D5" s="176" t="s">
        <v>167</v>
      </c>
      <c r="E5" s="53" t="s">
        <v>370</v>
      </c>
      <c r="F5" s="53" t="s">
        <v>371</v>
      </c>
      <c r="G5" s="53" t="s">
        <v>36</v>
      </c>
      <c r="H5" s="53" t="s">
        <v>160</v>
      </c>
      <c r="I5" s="53" t="s">
        <v>159</v>
      </c>
      <c r="J5" s="53" t="s">
        <v>38</v>
      </c>
      <c r="K5" s="53" t="s">
        <v>161</v>
      </c>
      <c r="L5" s="53">
        <v>1</v>
      </c>
      <c r="N5" s="53">
        <v>1</v>
      </c>
      <c r="O5" s="53">
        <v>1.6</v>
      </c>
      <c r="P5" s="53">
        <v>2.0499999999999998</v>
      </c>
      <c r="Q5" s="74">
        <f t="shared" si="0"/>
        <v>1.825</v>
      </c>
      <c r="R5" s="53">
        <v>12.8</v>
      </c>
      <c r="S5" s="53">
        <v>117</v>
      </c>
      <c r="T5" s="16">
        <f t="shared" si="1"/>
        <v>30</v>
      </c>
      <c r="U5" s="53">
        <v>103</v>
      </c>
      <c r="V5" s="16">
        <f t="shared" si="2"/>
        <v>3090</v>
      </c>
      <c r="W5" s="53">
        <v>5</v>
      </c>
      <c r="X5" s="53" t="s">
        <v>46</v>
      </c>
      <c r="Y5" s="53" t="s">
        <v>55</v>
      </c>
      <c r="Z5" s="53" t="s">
        <v>69</v>
      </c>
      <c r="AA5" s="53" t="s">
        <v>47</v>
      </c>
      <c r="AB5" s="53" t="s">
        <v>288</v>
      </c>
      <c r="AE5" s="22" t="s">
        <v>51</v>
      </c>
      <c r="AG5" s="178" t="s">
        <v>376</v>
      </c>
      <c r="AH5" s="67" t="s">
        <v>377</v>
      </c>
      <c r="AJ5" s="28"/>
      <c r="AL5" s="72" t="s">
        <v>66</v>
      </c>
      <c r="AN5" s="72" t="s">
        <v>52</v>
      </c>
      <c r="AP5" s="23" t="s">
        <v>119</v>
      </c>
      <c r="AR5" s="23" t="s">
        <v>54</v>
      </c>
      <c r="AV5" s="23" t="s">
        <v>55</v>
      </c>
      <c r="AX5" s="24">
        <v>84</v>
      </c>
      <c r="AY5" s="25">
        <v>39</v>
      </c>
      <c r="AZ5" s="25">
        <v>84</v>
      </c>
      <c r="BA5" s="26">
        <v>36</v>
      </c>
    </row>
    <row r="6" spans="1:53" x14ac:dyDescent="0.15">
      <c r="A6" s="53" t="s">
        <v>34</v>
      </c>
      <c r="B6" s="53" t="s">
        <v>232</v>
      </c>
      <c r="C6" s="53">
        <v>2019</v>
      </c>
      <c r="D6" s="176" t="s">
        <v>167</v>
      </c>
      <c r="E6" s="53" t="s">
        <v>370</v>
      </c>
      <c r="F6" s="53" t="s">
        <v>371</v>
      </c>
      <c r="G6" s="53" t="s">
        <v>36</v>
      </c>
      <c r="H6" s="53" t="s">
        <v>160</v>
      </c>
      <c r="I6" s="53" t="s">
        <v>159</v>
      </c>
      <c r="J6" s="53" t="s">
        <v>38</v>
      </c>
      <c r="K6" s="53" t="s">
        <v>161</v>
      </c>
      <c r="L6" s="53">
        <v>2</v>
      </c>
      <c r="N6" s="53">
        <v>1</v>
      </c>
      <c r="O6" s="53">
        <v>0.8</v>
      </c>
      <c r="P6" s="53">
        <v>0.65</v>
      </c>
      <c r="Q6" s="74">
        <f t="shared" si="0"/>
        <v>0.72500000000000009</v>
      </c>
      <c r="R6" s="53">
        <v>17.899999999999999</v>
      </c>
      <c r="S6" s="53">
        <v>121</v>
      </c>
      <c r="T6" s="16">
        <f t="shared" si="1"/>
        <v>30</v>
      </c>
      <c r="U6" s="53">
        <v>103</v>
      </c>
      <c r="V6" s="16">
        <f t="shared" si="2"/>
        <v>3090</v>
      </c>
      <c r="W6" s="53">
        <v>5</v>
      </c>
      <c r="X6" s="53" t="s">
        <v>46</v>
      </c>
      <c r="Y6" s="53" t="s">
        <v>55</v>
      </c>
      <c r="Z6" s="53" t="s">
        <v>69</v>
      </c>
      <c r="AA6" s="53" t="s">
        <v>47</v>
      </c>
      <c r="AB6" s="53" t="s">
        <v>288</v>
      </c>
      <c r="AE6" s="22" t="s">
        <v>56</v>
      </c>
      <c r="AG6" s="178" t="s">
        <v>378</v>
      </c>
      <c r="AH6" s="67" t="s">
        <v>379</v>
      </c>
      <c r="AL6" s="72" t="s">
        <v>99</v>
      </c>
      <c r="AN6" s="72" t="s">
        <v>57</v>
      </c>
      <c r="AP6" s="23" t="s">
        <v>53</v>
      </c>
      <c r="AR6" s="23" t="s">
        <v>59</v>
      </c>
      <c r="AV6" s="23" t="s">
        <v>60</v>
      </c>
      <c r="AX6" s="24">
        <v>97</v>
      </c>
      <c r="AY6" s="25">
        <v>36</v>
      </c>
      <c r="AZ6" s="25">
        <v>99</v>
      </c>
      <c r="BA6" s="26">
        <v>33</v>
      </c>
    </row>
    <row r="7" spans="1:53" x14ac:dyDescent="0.15">
      <c r="A7" s="53" t="s">
        <v>34</v>
      </c>
      <c r="B7" s="53" t="s">
        <v>232</v>
      </c>
      <c r="C7" s="53">
        <v>2019</v>
      </c>
      <c r="D7" s="176" t="s">
        <v>167</v>
      </c>
      <c r="E7" s="53" t="s">
        <v>370</v>
      </c>
      <c r="F7" s="53" t="s">
        <v>371</v>
      </c>
      <c r="G7" s="53" t="s">
        <v>36</v>
      </c>
      <c r="H7" s="53" t="s">
        <v>160</v>
      </c>
      <c r="I7" s="53" t="s">
        <v>159</v>
      </c>
      <c r="J7" s="53" t="s">
        <v>38</v>
      </c>
      <c r="K7" s="53" t="s">
        <v>161</v>
      </c>
      <c r="L7" s="53">
        <v>3</v>
      </c>
      <c r="N7" s="53">
        <v>1</v>
      </c>
      <c r="O7" s="53">
        <v>0.85</v>
      </c>
      <c r="P7" s="53">
        <v>0.65</v>
      </c>
      <c r="Q7" s="74">
        <f t="shared" si="0"/>
        <v>0.75</v>
      </c>
      <c r="R7" s="53">
        <v>19.100000000000001</v>
      </c>
      <c r="S7" s="53">
        <v>118</v>
      </c>
      <c r="T7" s="16">
        <f t="shared" si="1"/>
        <v>30</v>
      </c>
      <c r="U7" s="53">
        <v>103</v>
      </c>
      <c r="V7" s="16">
        <f t="shared" si="2"/>
        <v>3090</v>
      </c>
      <c r="W7" s="53">
        <v>5</v>
      </c>
      <c r="X7" s="53" t="s">
        <v>46</v>
      </c>
      <c r="Y7" s="53" t="s">
        <v>55</v>
      </c>
      <c r="Z7" s="53" t="s">
        <v>69</v>
      </c>
      <c r="AA7" s="53" t="s">
        <v>47</v>
      </c>
      <c r="AB7" s="53" t="s">
        <v>288</v>
      </c>
      <c r="AE7" s="22" t="s">
        <v>61</v>
      </c>
      <c r="AG7" s="178" t="s">
        <v>269</v>
      </c>
      <c r="AH7" s="67" t="s">
        <v>380</v>
      </c>
      <c r="AL7" s="34" t="s">
        <v>109</v>
      </c>
      <c r="AP7" s="23" t="s">
        <v>58</v>
      </c>
      <c r="AR7" s="23" t="s">
        <v>122</v>
      </c>
      <c r="AV7" s="23" t="s">
        <v>64</v>
      </c>
      <c r="AX7" s="24">
        <v>109</v>
      </c>
      <c r="AY7" s="25">
        <v>33</v>
      </c>
      <c r="AZ7" s="25">
        <v>113</v>
      </c>
      <c r="BA7" s="26">
        <v>30</v>
      </c>
    </row>
    <row r="8" spans="1:53" x14ac:dyDescent="0.15">
      <c r="A8" s="53" t="s">
        <v>34</v>
      </c>
      <c r="B8" s="53" t="s">
        <v>232</v>
      </c>
      <c r="C8" s="53">
        <v>2019</v>
      </c>
      <c r="D8" s="176" t="s">
        <v>167</v>
      </c>
      <c r="E8" s="53" t="s">
        <v>370</v>
      </c>
      <c r="F8" s="53" t="s">
        <v>371</v>
      </c>
      <c r="G8" s="53" t="s">
        <v>36</v>
      </c>
      <c r="H8" s="53" t="s">
        <v>160</v>
      </c>
      <c r="I8" s="53" t="s">
        <v>159</v>
      </c>
      <c r="J8" s="53" t="s">
        <v>38</v>
      </c>
      <c r="K8" s="53" t="s">
        <v>161</v>
      </c>
      <c r="L8" s="53">
        <v>1</v>
      </c>
      <c r="N8" s="53">
        <v>4</v>
      </c>
      <c r="O8" s="53">
        <v>0.55000000000000004</v>
      </c>
      <c r="P8" s="53">
        <v>0.6</v>
      </c>
      <c r="Q8" s="74">
        <f t="shared" si="0"/>
        <v>0.57499999999999996</v>
      </c>
      <c r="R8" s="53">
        <v>17.600000000000001</v>
      </c>
      <c r="S8" s="53">
        <v>91</v>
      </c>
      <c r="T8" s="16">
        <f t="shared" si="1"/>
        <v>36</v>
      </c>
      <c r="U8" s="53">
        <v>319</v>
      </c>
      <c r="V8" s="16">
        <f t="shared" si="2"/>
        <v>2871</v>
      </c>
      <c r="W8" s="53">
        <v>5</v>
      </c>
      <c r="X8" s="53" t="s">
        <v>46</v>
      </c>
      <c r="Y8" s="53" t="s">
        <v>55</v>
      </c>
      <c r="Z8" s="53" t="s">
        <v>69</v>
      </c>
      <c r="AA8" s="53" t="s">
        <v>47</v>
      </c>
      <c r="AB8" s="53" t="s">
        <v>288</v>
      </c>
      <c r="AE8" s="22" t="s">
        <v>59</v>
      </c>
      <c r="AG8" s="178" t="s">
        <v>381</v>
      </c>
      <c r="AH8" s="67" t="s">
        <v>382</v>
      </c>
      <c r="AL8" s="34" t="s">
        <v>134</v>
      </c>
      <c r="AP8" s="23" t="s">
        <v>62</v>
      </c>
      <c r="AR8" s="23" t="s">
        <v>81</v>
      </c>
      <c r="AV8" s="23" t="s">
        <v>97</v>
      </c>
      <c r="AX8" s="24">
        <v>151</v>
      </c>
      <c r="AY8" s="25">
        <v>22</v>
      </c>
      <c r="AZ8" s="25">
        <v>152</v>
      </c>
      <c r="BA8" s="26">
        <v>18</v>
      </c>
    </row>
    <row r="9" spans="1:53" x14ac:dyDescent="0.15">
      <c r="A9" s="53" t="s">
        <v>34</v>
      </c>
      <c r="B9" s="53" t="s">
        <v>232</v>
      </c>
      <c r="C9" s="53">
        <v>2019</v>
      </c>
      <c r="D9" s="176" t="s">
        <v>167</v>
      </c>
      <c r="E9" s="53" t="s">
        <v>370</v>
      </c>
      <c r="F9" s="53" t="s">
        <v>371</v>
      </c>
      <c r="G9" s="53" t="s">
        <v>36</v>
      </c>
      <c r="H9" s="53" t="s">
        <v>160</v>
      </c>
      <c r="I9" s="53" t="s">
        <v>159</v>
      </c>
      <c r="J9" s="53" t="s">
        <v>38</v>
      </c>
      <c r="K9" s="53" t="s">
        <v>161</v>
      </c>
      <c r="L9" s="53">
        <v>2</v>
      </c>
      <c r="N9" s="53">
        <v>4</v>
      </c>
      <c r="O9" s="53">
        <v>0.55000000000000004</v>
      </c>
      <c r="P9" s="53">
        <v>0.55000000000000004</v>
      </c>
      <c r="Q9" s="74">
        <f t="shared" si="0"/>
        <v>0.55000000000000004</v>
      </c>
      <c r="R9" s="53">
        <v>17.100000000000001</v>
      </c>
      <c r="S9" s="53">
        <v>94</v>
      </c>
      <c r="T9" s="16">
        <f t="shared" si="1"/>
        <v>36</v>
      </c>
      <c r="U9" s="53">
        <v>319</v>
      </c>
      <c r="V9" s="16">
        <f t="shared" si="2"/>
        <v>2871</v>
      </c>
      <c r="W9" s="53">
        <v>5</v>
      </c>
      <c r="X9" s="53" t="s">
        <v>46</v>
      </c>
      <c r="Y9" s="53" t="s">
        <v>55</v>
      </c>
      <c r="Z9" s="53" t="s">
        <v>69</v>
      </c>
      <c r="AA9" s="53" t="s">
        <v>47</v>
      </c>
      <c r="AB9" s="53" t="s">
        <v>288</v>
      </c>
      <c r="AE9" s="22" t="s">
        <v>98</v>
      </c>
      <c r="AG9" s="178" t="s">
        <v>383</v>
      </c>
      <c r="AH9" s="67" t="s">
        <v>384</v>
      </c>
      <c r="AL9" s="72"/>
      <c r="AP9" s="23" t="s">
        <v>95</v>
      </c>
      <c r="AR9" s="23" t="s">
        <v>89</v>
      </c>
      <c r="AV9" s="23" t="s">
        <v>102</v>
      </c>
      <c r="AX9" s="31">
        <v>180</v>
      </c>
      <c r="AY9" s="32">
        <v>18</v>
      </c>
      <c r="AZ9" s="32">
        <v>181</v>
      </c>
      <c r="BA9" s="33">
        <v>16</v>
      </c>
    </row>
    <row r="10" spans="1:53" x14ac:dyDescent="0.15">
      <c r="A10" s="53" t="s">
        <v>34</v>
      </c>
      <c r="B10" s="53" t="s">
        <v>232</v>
      </c>
      <c r="C10" s="53">
        <v>2019</v>
      </c>
      <c r="D10" s="176" t="s">
        <v>167</v>
      </c>
      <c r="E10" s="53" t="s">
        <v>370</v>
      </c>
      <c r="F10" s="53" t="s">
        <v>371</v>
      </c>
      <c r="G10" s="53" t="s">
        <v>36</v>
      </c>
      <c r="H10" s="53" t="s">
        <v>160</v>
      </c>
      <c r="I10" s="53" t="s">
        <v>159</v>
      </c>
      <c r="J10" s="53" t="s">
        <v>38</v>
      </c>
      <c r="K10" s="53" t="s">
        <v>161</v>
      </c>
      <c r="L10" s="53">
        <v>3</v>
      </c>
      <c r="N10" s="53">
        <v>4</v>
      </c>
      <c r="O10" s="53">
        <v>0.65</v>
      </c>
      <c r="P10" s="53">
        <v>0.55000000000000004</v>
      </c>
      <c r="Q10" s="74">
        <f t="shared" si="0"/>
        <v>0.60000000000000009</v>
      </c>
      <c r="R10" s="53">
        <v>18.5</v>
      </c>
      <c r="S10" s="53">
        <v>91</v>
      </c>
      <c r="T10" s="16">
        <f t="shared" si="1"/>
        <v>36</v>
      </c>
      <c r="U10" s="53">
        <v>319</v>
      </c>
      <c r="V10" s="16">
        <f t="shared" si="2"/>
        <v>2871</v>
      </c>
      <c r="W10" s="53">
        <v>5</v>
      </c>
      <c r="X10" s="53" t="s">
        <v>46</v>
      </c>
      <c r="Y10" s="53" t="s">
        <v>55</v>
      </c>
      <c r="Z10" s="53" t="s">
        <v>69</v>
      </c>
      <c r="AA10" s="53" t="s">
        <v>47</v>
      </c>
      <c r="AB10" s="53" t="s">
        <v>288</v>
      </c>
      <c r="AE10" s="22" t="s">
        <v>103</v>
      </c>
      <c r="AG10" s="178" t="s">
        <v>370</v>
      </c>
      <c r="AH10" s="67" t="s">
        <v>371</v>
      </c>
      <c r="AL10" s="34"/>
      <c r="AP10" s="23" t="s">
        <v>100</v>
      </c>
      <c r="AR10" s="23" t="s">
        <v>123</v>
      </c>
      <c r="AV10" s="23" t="s">
        <v>106</v>
      </c>
    </row>
    <row r="11" spans="1:53" x14ac:dyDescent="0.15">
      <c r="A11" s="53" t="s">
        <v>34</v>
      </c>
      <c r="B11" s="53" t="s">
        <v>232</v>
      </c>
      <c r="C11" s="53">
        <v>2019</v>
      </c>
      <c r="D11" s="176" t="s">
        <v>167</v>
      </c>
      <c r="E11" s="53" t="s">
        <v>381</v>
      </c>
      <c r="F11" s="53" t="s">
        <v>382</v>
      </c>
      <c r="G11" s="53" t="s">
        <v>36</v>
      </c>
      <c r="H11" s="53" t="s">
        <v>160</v>
      </c>
      <c r="I11" s="53" t="s">
        <v>159</v>
      </c>
      <c r="J11" s="53" t="s">
        <v>38</v>
      </c>
      <c r="K11" s="53" t="s">
        <v>161</v>
      </c>
      <c r="L11" s="53">
        <v>1</v>
      </c>
      <c r="N11" s="53">
        <v>1</v>
      </c>
      <c r="O11" s="53">
        <v>0.45</v>
      </c>
      <c r="P11" s="53">
        <v>0.5</v>
      </c>
      <c r="Q11" s="74">
        <f t="shared" si="0"/>
        <v>0.47499999999999998</v>
      </c>
      <c r="R11" s="53">
        <v>20.2</v>
      </c>
      <c r="S11" s="53">
        <v>124</v>
      </c>
      <c r="T11" s="16">
        <f t="shared" si="1"/>
        <v>30</v>
      </c>
      <c r="U11" s="53">
        <v>138</v>
      </c>
      <c r="V11" s="16">
        <f t="shared" si="2"/>
        <v>4140</v>
      </c>
      <c r="W11" s="53">
        <v>7</v>
      </c>
      <c r="X11" s="53" t="s">
        <v>46</v>
      </c>
      <c r="Y11" s="53" t="s">
        <v>69</v>
      </c>
      <c r="Z11" s="53" t="s">
        <v>78</v>
      </c>
      <c r="AA11" s="53" t="s">
        <v>55</v>
      </c>
      <c r="AB11" s="53" t="s">
        <v>288</v>
      </c>
      <c r="AE11" s="22" t="s">
        <v>65</v>
      </c>
      <c r="AG11" s="178" t="s">
        <v>210</v>
      </c>
      <c r="AH11" s="67" t="s">
        <v>385</v>
      </c>
      <c r="AL11" s="34"/>
      <c r="AP11" s="23" t="s">
        <v>104</v>
      </c>
      <c r="AR11" s="23" t="s">
        <v>87</v>
      </c>
      <c r="AV11" s="23" t="s">
        <v>69</v>
      </c>
    </row>
    <row r="12" spans="1:53" x14ac:dyDescent="0.15">
      <c r="A12" s="53" t="s">
        <v>34</v>
      </c>
      <c r="B12" s="53" t="s">
        <v>232</v>
      </c>
      <c r="C12" s="53">
        <v>2019</v>
      </c>
      <c r="D12" s="176" t="s">
        <v>167</v>
      </c>
      <c r="E12" s="53" t="s">
        <v>381</v>
      </c>
      <c r="F12" s="53" t="s">
        <v>382</v>
      </c>
      <c r="G12" s="53" t="s">
        <v>36</v>
      </c>
      <c r="H12" s="53" t="s">
        <v>160</v>
      </c>
      <c r="I12" s="53" t="s">
        <v>159</v>
      </c>
      <c r="J12" s="53" t="s">
        <v>38</v>
      </c>
      <c r="K12" s="53" t="s">
        <v>161</v>
      </c>
      <c r="L12" s="53">
        <v>2</v>
      </c>
      <c r="N12" s="53">
        <v>1</v>
      </c>
      <c r="O12" s="53">
        <v>0.55000000000000004</v>
      </c>
      <c r="P12" s="53">
        <v>0.8</v>
      </c>
      <c r="Q12" s="74">
        <f t="shared" si="0"/>
        <v>0.67500000000000004</v>
      </c>
      <c r="R12" s="53">
        <v>15.8</v>
      </c>
      <c r="S12" s="53">
        <v>131</v>
      </c>
      <c r="T12" s="16">
        <f t="shared" si="1"/>
        <v>30</v>
      </c>
      <c r="U12" s="53">
        <v>138</v>
      </c>
      <c r="V12" s="16">
        <f t="shared" si="2"/>
        <v>4140</v>
      </c>
      <c r="W12" s="53">
        <v>7</v>
      </c>
      <c r="X12" s="53" t="s">
        <v>46</v>
      </c>
      <c r="Y12" s="53" t="s">
        <v>69</v>
      </c>
      <c r="Z12" s="53" t="s">
        <v>78</v>
      </c>
      <c r="AA12" s="53" t="s">
        <v>55</v>
      </c>
      <c r="AB12" s="53" t="s">
        <v>288</v>
      </c>
      <c r="AE12" s="22" t="s">
        <v>70</v>
      </c>
      <c r="AG12" s="28"/>
      <c r="AH12" s="23"/>
      <c r="AL12" s="34"/>
      <c r="AP12" s="23" t="s">
        <v>67</v>
      </c>
      <c r="AR12" s="23" t="s">
        <v>124</v>
      </c>
      <c r="AV12" s="23" t="s">
        <v>72</v>
      </c>
    </row>
    <row r="13" spans="1:53" x14ac:dyDescent="0.15">
      <c r="A13" s="53" t="s">
        <v>34</v>
      </c>
      <c r="B13" s="53" t="s">
        <v>232</v>
      </c>
      <c r="C13" s="53">
        <v>2019</v>
      </c>
      <c r="D13" s="176" t="s">
        <v>167</v>
      </c>
      <c r="E13" s="53" t="s">
        <v>381</v>
      </c>
      <c r="F13" s="53" t="s">
        <v>382</v>
      </c>
      <c r="G13" s="53" t="s">
        <v>36</v>
      </c>
      <c r="H13" s="53" t="s">
        <v>160</v>
      </c>
      <c r="I13" s="53" t="s">
        <v>159</v>
      </c>
      <c r="J13" s="53" t="s">
        <v>38</v>
      </c>
      <c r="K13" s="53" t="s">
        <v>161</v>
      </c>
      <c r="L13" s="53">
        <v>3</v>
      </c>
      <c r="N13" s="53">
        <v>1</v>
      </c>
      <c r="O13" s="53">
        <v>0.2</v>
      </c>
      <c r="P13" s="53">
        <v>0.2</v>
      </c>
      <c r="Q13" s="74">
        <f t="shared" si="0"/>
        <v>0.2</v>
      </c>
      <c r="R13" s="53">
        <v>18.7</v>
      </c>
      <c r="S13" s="53">
        <v>124</v>
      </c>
      <c r="T13" s="16">
        <f t="shared" si="1"/>
        <v>30</v>
      </c>
      <c r="U13" s="53">
        <v>138</v>
      </c>
      <c r="V13" s="16">
        <f t="shared" si="2"/>
        <v>4140</v>
      </c>
      <c r="W13" s="53">
        <v>7</v>
      </c>
      <c r="X13" s="53" t="s">
        <v>46</v>
      </c>
      <c r="Y13" s="53" t="s">
        <v>69</v>
      </c>
      <c r="Z13" s="53" t="s">
        <v>78</v>
      </c>
      <c r="AA13" s="53" t="s">
        <v>55</v>
      </c>
      <c r="AB13" s="53" t="s">
        <v>288</v>
      </c>
      <c r="AE13" s="22" t="s">
        <v>73</v>
      </c>
      <c r="AH13" s="28"/>
      <c r="AP13" s="23" t="s">
        <v>71</v>
      </c>
      <c r="AR13" s="23" t="s">
        <v>103</v>
      </c>
      <c r="AV13" s="23" t="s">
        <v>75</v>
      </c>
    </row>
    <row r="14" spans="1:53" x14ac:dyDescent="0.15">
      <c r="A14" s="53" t="s">
        <v>34</v>
      </c>
      <c r="B14" s="53" t="s">
        <v>232</v>
      </c>
      <c r="C14" s="53">
        <v>2019</v>
      </c>
      <c r="D14" s="176" t="s">
        <v>167</v>
      </c>
      <c r="E14" s="53" t="s">
        <v>381</v>
      </c>
      <c r="F14" s="53" t="s">
        <v>382</v>
      </c>
      <c r="G14" s="53" t="s">
        <v>36</v>
      </c>
      <c r="H14" s="53" t="s">
        <v>160</v>
      </c>
      <c r="I14" s="53" t="s">
        <v>159</v>
      </c>
      <c r="J14" s="53" t="s">
        <v>38</v>
      </c>
      <c r="K14" s="53" t="s">
        <v>161</v>
      </c>
      <c r="L14" s="53">
        <v>1</v>
      </c>
      <c r="N14" s="53">
        <v>5</v>
      </c>
      <c r="O14" s="53">
        <v>0.5</v>
      </c>
      <c r="P14" s="53">
        <v>0.55000000000000004</v>
      </c>
      <c r="Q14" s="74">
        <f t="shared" si="0"/>
        <v>0.52500000000000002</v>
      </c>
      <c r="R14" s="53">
        <v>18.100000000000001</v>
      </c>
      <c r="S14" s="53">
        <v>83</v>
      </c>
      <c r="T14" s="16">
        <f t="shared" si="1"/>
        <v>39</v>
      </c>
      <c r="U14" s="53">
        <v>429</v>
      </c>
      <c r="V14" s="16">
        <f t="shared" si="2"/>
        <v>3346.2</v>
      </c>
      <c r="W14" s="53">
        <v>7</v>
      </c>
      <c r="X14" s="53" t="s">
        <v>46</v>
      </c>
      <c r="Y14" s="53" t="s">
        <v>69</v>
      </c>
      <c r="Z14" s="53" t="s">
        <v>78</v>
      </c>
      <c r="AA14" s="53" t="s">
        <v>55</v>
      </c>
      <c r="AB14" s="53" t="s">
        <v>288</v>
      </c>
      <c r="AE14" s="22" t="s">
        <v>76</v>
      </c>
      <c r="AG14" s="179"/>
      <c r="AP14" s="23" t="s">
        <v>74</v>
      </c>
      <c r="AR14" s="23" t="s">
        <v>125</v>
      </c>
      <c r="AV14" s="23" t="s">
        <v>78</v>
      </c>
    </row>
    <row r="15" spans="1:53" x14ac:dyDescent="0.15">
      <c r="A15" s="53" t="s">
        <v>34</v>
      </c>
      <c r="B15" s="53" t="s">
        <v>232</v>
      </c>
      <c r="C15" s="53">
        <v>2019</v>
      </c>
      <c r="D15" s="176" t="s">
        <v>167</v>
      </c>
      <c r="E15" s="53" t="s">
        <v>381</v>
      </c>
      <c r="F15" s="53" t="s">
        <v>382</v>
      </c>
      <c r="G15" s="53" t="s">
        <v>36</v>
      </c>
      <c r="H15" s="53" t="s">
        <v>160</v>
      </c>
      <c r="I15" s="53" t="s">
        <v>159</v>
      </c>
      <c r="J15" s="53" t="s">
        <v>38</v>
      </c>
      <c r="K15" s="53" t="s">
        <v>161</v>
      </c>
      <c r="L15" s="53">
        <v>2</v>
      </c>
      <c r="N15" s="53">
        <v>5</v>
      </c>
      <c r="O15" s="53">
        <v>0.5</v>
      </c>
      <c r="P15" s="53">
        <v>0.55000000000000004</v>
      </c>
      <c r="Q15" s="74">
        <f t="shared" si="0"/>
        <v>0.52500000000000002</v>
      </c>
      <c r="R15" s="53">
        <v>18</v>
      </c>
      <c r="S15" s="53">
        <v>87</v>
      </c>
      <c r="T15" s="16">
        <f t="shared" si="1"/>
        <v>36</v>
      </c>
      <c r="U15" s="53">
        <v>429</v>
      </c>
      <c r="V15" s="16">
        <f t="shared" si="2"/>
        <v>3088.7999999999997</v>
      </c>
      <c r="W15" s="53">
        <v>7</v>
      </c>
      <c r="X15" s="53" t="s">
        <v>46</v>
      </c>
      <c r="Y15" s="53" t="s">
        <v>69</v>
      </c>
      <c r="Z15" s="53" t="s">
        <v>78</v>
      </c>
      <c r="AA15" s="53" t="s">
        <v>55</v>
      </c>
      <c r="AB15" s="53" t="s">
        <v>288</v>
      </c>
      <c r="AE15" s="22" t="s">
        <v>79</v>
      </c>
      <c r="AP15" s="23" t="s">
        <v>77</v>
      </c>
      <c r="AR15" s="23" t="s">
        <v>94</v>
      </c>
      <c r="AV15" s="23" t="s">
        <v>107</v>
      </c>
    </row>
    <row r="16" spans="1:53" x14ac:dyDescent="0.15">
      <c r="A16" s="53" t="s">
        <v>34</v>
      </c>
      <c r="B16" s="53" t="s">
        <v>232</v>
      </c>
      <c r="C16" s="53">
        <v>2019</v>
      </c>
      <c r="D16" s="176" t="s">
        <v>167</v>
      </c>
      <c r="E16" s="53" t="s">
        <v>381</v>
      </c>
      <c r="F16" s="53" t="s">
        <v>382</v>
      </c>
      <c r="G16" s="53" t="s">
        <v>36</v>
      </c>
      <c r="H16" s="53" t="s">
        <v>160</v>
      </c>
      <c r="I16" s="53" t="s">
        <v>159</v>
      </c>
      <c r="J16" s="53" t="s">
        <v>38</v>
      </c>
      <c r="K16" s="53" t="s">
        <v>161</v>
      </c>
      <c r="L16" s="53">
        <v>3</v>
      </c>
      <c r="N16" s="53">
        <v>5</v>
      </c>
      <c r="O16" s="53">
        <v>0.6</v>
      </c>
      <c r="P16" s="53">
        <v>0.2</v>
      </c>
      <c r="Q16" s="74">
        <f t="shared" si="0"/>
        <v>0.4</v>
      </c>
      <c r="R16" s="53">
        <v>18.7</v>
      </c>
      <c r="S16" s="53">
        <v>86</v>
      </c>
      <c r="T16" s="16">
        <f t="shared" si="1"/>
        <v>36</v>
      </c>
      <c r="U16" s="53">
        <v>429</v>
      </c>
      <c r="V16" s="16">
        <f t="shared" si="2"/>
        <v>3088.7999999999997</v>
      </c>
      <c r="W16" s="53">
        <v>7</v>
      </c>
      <c r="X16" s="53" t="s">
        <v>46</v>
      </c>
      <c r="Y16" s="53" t="s">
        <v>69</v>
      </c>
      <c r="Z16" s="53" t="s">
        <v>78</v>
      </c>
      <c r="AA16" s="53" t="s">
        <v>55</v>
      </c>
      <c r="AB16" s="53" t="s">
        <v>288</v>
      </c>
      <c r="AE16" s="22" t="s">
        <v>82</v>
      </c>
      <c r="AP16" s="23" t="s">
        <v>80</v>
      </c>
      <c r="AR16" s="23" t="s">
        <v>63</v>
      </c>
      <c r="AV16" s="23" t="s">
        <v>84</v>
      </c>
    </row>
    <row r="17" spans="1:48" x14ac:dyDescent="0.15">
      <c r="A17" s="53" t="s">
        <v>34</v>
      </c>
      <c r="B17" s="53" t="s">
        <v>232</v>
      </c>
      <c r="C17" s="53">
        <v>2019</v>
      </c>
      <c r="D17" s="176" t="s">
        <v>167</v>
      </c>
      <c r="E17" s="53" t="s">
        <v>381</v>
      </c>
      <c r="F17" s="53" t="s">
        <v>382</v>
      </c>
      <c r="G17" s="53" t="s">
        <v>36</v>
      </c>
      <c r="H17" s="53" t="s">
        <v>164</v>
      </c>
      <c r="I17" s="53" t="s">
        <v>159</v>
      </c>
      <c r="J17" s="53" t="s">
        <v>38</v>
      </c>
      <c r="K17" s="53" t="s">
        <v>161</v>
      </c>
      <c r="L17" s="53">
        <v>1</v>
      </c>
      <c r="N17" s="53">
        <v>8</v>
      </c>
      <c r="O17" s="53">
        <v>0.65</v>
      </c>
      <c r="P17" s="53">
        <v>0.75</v>
      </c>
      <c r="Q17" s="74">
        <f t="shared" si="0"/>
        <v>0.7</v>
      </c>
      <c r="R17" s="53">
        <v>17.2</v>
      </c>
      <c r="S17" s="53">
        <v>83</v>
      </c>
      <c r="T17" s="16">
        <f t="shared" si="1"/>
        <v>39</v>
      </c>
      <c r="U17" s="53">
        <v>410</v>
      </c>
      <c r="V17" s="16">
        <f t="shared" si="2"/>
        <v>1998.75</v>
      </c>
      <c r="W17" s="53">
        <v>2</v>
      </c>
      <c r="X17" s="53" t="s">
        <v>46</v>
      </c>
      <c r="Y17" s="53" t="s">
        <v>69</v>
      </c>
      <c r="Z17" s="53" t="s">
        <v>78</v>
      </c>
      <c r="AA17" s="53" t="s">
        <v>55</v>
      </c>
      <c r="AB17" s="53" t="s">
        <v>288</v>
      </c>
      <c r="AE17" s="22" t="s">
        <v>85</v>
      </c>
      <c r="AP17" s="27" t="s">
        <v>110</v>
      </c>
      <c r="AR17" s="23" t="s">
        <v>96</v>
      </c>
      <c r="AV17" s="23" t="s">
        <v>86</v>
      </c>
    </row>
    <row r="18" spans="1:48" x14ac:dyDescent="0.15">
      <c r="A18" s="53" t="s">
        <v>34</v>
      </c>
      <c r="B18" s="53" t="s">
        <v>232</v>
      </c>
      <c r="C18" s="53">
        <v>2019</v>
      </c>
      <c r="D18" s="176" t="s">
        <v>167</v>
      </c>
      <c r="E18" s="53" t="s">
        <v>381</v>
      </c>
      <c r="F18" s="53" t="s">
        <v>382</v>
      </c>
      <c r="G18" s="53" t="s">
        <v>36</v>
      </c>
      <c r="H18" s="53" t="s">
        <v>164</v>
      </c>
      <c r="I18" s="53" t="s">
        <v>159</v>
      </c>
      <c r="J18" s="53" t="s">
        <v>38</v>
      </c>
      <c r="K18" s="53" t="s">
        <v>161</v>
      </c>
      <c r="L18" s="53">
        <v>2</v>
      </c>
      <c r="N18" s="53">
        <v>8</v>
      </c>
      <c r="O18" s="53">
        <v>0.55000000000000004</v>
      </c>
      <c r="P18" s="53">
        <v>0.5</v>
      </c>
      <c r="Q18" s="74">
        <f t="shared" si="0"/>
        <v>0.52500000000000002</v>
      </c>
      <c r="R18" s="53">
        <v>17.3</v>
      </c>
      <c r="S18" s="53">
        <v>86</v>
      </c>
      <c r="T18" s="16">
        <f t="shared" si="1"/>
        <v>36</v>
      </c>
      <c r="U18" s="53">
        <v>410</v>
      </c>
      <c r="V18" s="16">
        <f t="shared" si="2"/>
        <v>1845</v>
      </c>
      <c r="W18" s="53">
        <v>2</v>
      </c>
      <c r="X18" s="53" t="s">
        <v>46</v>
      </c>
      <c r="Y18" s="53" t="s">
        <v>69</v>
      </c>
      <c r="Z18" s="53" t="s">
        <v>78</v>
      </c>
      <c r="AA18" s="53" t="s">
        <v>55</v>
      </c>
      <c r="AB18" s="53" t="s">
        <v>288</v>
      </c>
      <c r="AE18" s="22" t="s">
        <v>87</v>
      </c>
      <c r="AP18" s="27" t="s">
        <v>111</v>
      </c>
      <c r="AR18" s="23" t="s">
        <v>101</v>
      </c>
      <c r="AV18" s="23" t="s">
        <v>88</v>
      </c>
    </row>
    <row r="19" spans="1:48" x14ac:dyDescent="0.15">
      <c r="A19" s="53" t="s">
        <v>34</v>
      </c>
      <c r="B19" s="53" t="s">
        <v>232</v>
      </c>
      <c r="C19" s="53">
        <v>2019</v>
      </c>
      <c r="D19" s="176" t="s">
        <v>167</v>
      </c>
      <c r="E19" s="53" t="s">
        <v>381</v>
      </c>
      <c r="F19" s="53" t="s">
        <v>382</v>
      </c>
      <c r="G19" s="53" t="s">
        <v>36</v>
      </c>
      <c r="H19" s="53" t="s">
        <v>164</v>
      </c>
      <c r="I19" s="53" t="s">
        <v>159</v>
      </c>
      <c r="J19" s="53" t="s">
        <v>38</v>
      </c>
      <c r="K19" s="53" t="s">
        <v>161</v>
      </c>
      <c r="L19" s="53">
        <v>3</v>
      </c>
      <c r="N19" s="53">
        <v>8</v>
      </c>
      <c r="O19" s="53">
        <v>0.55000000000000004</v>
      </c>
      <c r="P19" s="53">
        <v>0.55000000000000004</v>
      </c>
      <c r="Q19" s="74">
        <f t="shared" si="0"/>
        <v>0.55000000000000004</v>
      </c>
      <c r="R19" s="53">
        <v>16.600000000000001</v>
      </c>
      <c r="S19" s="53">
        <v>91</v>
      </c>
      <c r="T19" s="16">
        <f t="shared" si="1"/>
        <v>36</v>
      </c>
      <c r="U19" s="53">
        <v>410</v>
      </c>
      <c r="V19" s="16">
        <f t="shared" si="2"/>
        <v>1845</v>
      </c>
      <c r="W19" s="53">
        <v>2</v>
      </c>
      <c r="X19" s="53" t="s">
        <v>46</v>
      </c>
      <c r="Y19" s="53" t="s">
        <v>69</v>
      </c>
      <c r="Z19" s="53" t="s">
        <v>78</v>
      </c>
      <c r="AA19" s="53" t="s">
        <v>55</v>
      </c>
      <c r="AB19" s="53" t="s">
        <v>288</v>
      </c>
      <c r="AE19" s="35" t="s">
        <v>89</v>
      </c>
      <c r="AP19" s="27" t="s">
        <v>112</v>
      </c>
      <c r="AR19" s="23" t="s">
        <v>126</v>
      </c>
      <c r="AV19" s="23" t="s">
        <v>90</v>
      </c>
    </row>
    <row r="20" spans="1:48" x14ac:dyDescent="0.15">
      <c r="A20" s="53" t="s">
        <v>34</v>
      </c>
      <c r="B20" s="53" t="s">
        <v>232</v>
      </c>
      <c r="C20" s="53">
        <v>2019</v>
      </c>
      <c r="D20" s="176" t="s">
        <v>167</v>
      </c>
      <c r="E20" s="53" t="s">
        <v>210</v>
      </c>
      <c r="F20" s="53" t="s">
        <v>385</v>
      </c>
      <c r="G20" s="53" t="s">
        <v>36</v>
      </c>
      <c r="H20" s="53" t="s">
        <v>160</v>
      </c>
      <c r="I20" s="53" t="s">
        <v>159</v>
      </c>
      <c r="J20" s="53" t="s">
        <v>38</v>
      </c>
      <c r="K20" s="53" t="s">
        <v>161</v>
      </c>
      <c r="L20" s="53">
        <v>1</v>
      </c>
      <c r="N20" s="53">
        <v>1</v>
      </c>
      <c r="O20" s="53">
        <v>0.6</v>
      </c>
      <c r="P20" s="53">
        <v>0.65</v>
      </c>
      <c r="Q20" s="74">
        <f t="shared" si="0"/>
        <v>0.625</v>
      </c>
      <c r="R20" s="53">
        <v>18.399999999999999</v>
      </c>
      <c r="S20" s="53">
        <v>146</v>
      </c>
      <c r="T20" s="16">
        <f t="shared" si="1"/>
        <v>30</v>
      </c>
      <c r="U20" s="53">
        <v>137</v>
      </c>
      <c r="V20" s="16">
        <f t="shared" si="2"/>
        <v>4110</v>
      </c>
      <c r="W20" s="53">
        <v>8</v>
      </c>
      <c r="X20" s="53" t="s">
        <v>46</v>
      </c>
      <c r="Y20" s="53" t="s">
        <v>69</v>
      </c>
      <c r="Z20" s="53" t="s">
        <v>47</v>
      </c>
      <c r="AA20" s="53" t="s">
        <v>55</v>
      </c>
      <c r="AB20" s="53" t="s">
        <v>288</v>
      </c>
      <c r="AP20" s="27" t="s">
        <v>113</v>
      </c>
      <c r="AR20" s="23" t="s">
        <v>105</v>
      </c>
      <c r="AV20" s="27" t="s">
        <v>135</v>
      </c>
    </row>
    <row r="21" spans="1:48" x14ac:dyDescent="0.15">
      <c r="A21" s="53" t="s">
        <v>34</v>
      </c>
      <c r="B21" s="53" t="s">
        <v>232</v>
      </c>
      <c r="C21" s="53">
        <v>2019</v>
      </c>
      <c r="D21" s="176" t="s">
        <v>167</v>
      </c>
      <c r="E21" s="53" t="s">
        <v>210</v>
      </c>
      <c r="F21" s="53" t="s">
        <v>385</v>
      </c>
      <c r="G21" s="53" t="s">
        <v>36</v>
      </c>
      <c r="H21" s="53" t="s">
        <v>160</v>
      </c>
      <c r="I21" s="53" t="s">
        <v>159</v>
      </c>
      <c r="J21" s="53" t="s">
        <v>38</v>
      </c>
      <c r="K21" s="53" t="s">
        <v>161</v>
      </c>
      <c r="L21" s="53">
        <v>2</v>
      </c>
      <c r="N21" s="53">
        <v>1</v>
      </c>
      <c r="O21" s="53">
        <v>0.6</v>
      </c>
      <c r="P21" s="53">
        <v>0.7</v>
      </c>
      <c r="Q21" s="74">
        <f t="shared" si="0"/>
        <v>0.64999999999999991</v>
      </c>
      <c r="R21" s="53">
        <v>19</v>
      </c>
      <c r="S21" s="53">
        <v>142</v>
      </c>
      <c r="T21" s="16">
        <f t="shared" si="1"/>
        <v>30</v>
      </c>
      <c r="U21" s="53">
        <v>137</v>
      </c>
      <c r="V21" s="16">
        <f t="shared" si="2"/>
        <v>4110</v>
      </c>
      <c r="W21" s="53">
        <v>8</v>
      </c>
      <c r="X21" s="53" t="s">
        <v>46</v>
      </c>
      <c r="Y21" s="53" t="s">
        <v>69</v>
      </c>
      <c r="Z21" s="53" t="s">
        <v>47</v>
      </c>
      <c r="AA21" s="53" t="s">
        <v>55</v>
      </c>
      <c r="AB21" s="53" t="s">
        <v>288</v>
      </c>
      <c r="AP21" s="27" t="s">
        <v>114</v>
      </c>
      <c r="AR21" s="23" t="s">
        <v>68</v>
      </c>
      <c r="AV21" s="27" t="s">
        <v>136</v>
      </c>
    </row>
    <row r="22" spans="1:48" x14ac:dyDescent="0.15">
      <c r="A22" s="53" t="s">
        <v>34</v>
      </c>
      <c r="B22" s="53" t="s">
        <v>232</v>
      </c>
      <c r="C22" s="53">
        <v>2019</v>
      </c>
      <c r="D22" s="176" t="s">
        <v>167</v>
      </c>
      <c r="E22" s="53" t="s">
        <v>210</v>
      </c>
      <c r="F22" s="53" t="s">
        <v>385</v>
      </c>
      <c r="G22" s="53" t="s">
        <v>36</v>
      </c>
      <c r="H22" s="53" t="s">
        <v>386</v>
      </c>
      <c r="I22" s="53" t="s">
        <v>159</v>
      </c>
      <c r="J22" s="53" t="s">
        <v>38</v>
      </c>
      <c r="K22" s="53" t="s">
        <v>161</v>
      </c>
      <c r="L22" s="53">
        <v>3</v>
      </c>
      <c r="N22" s="53">
        <v>1</v>
      </c>
      <c r="O22" s="53">
        <v>0.5</v>
      </c>
      <c r="P22" s="53">
        <v>0.55000000000000004</v>
      </c>
      <c r="Q22" s="74">
        <f t="shared" si="0"/>
        <v>0.52500000000000002</v>
      </c>
      <c r="R22" s="53">
        <v>19</v>
      </c>
      <c r="S22" s="53">
        <v>141</v>
      </c>
      <c r="T22" s="16">
        <f t="shared" si="1"/>
        <v>30</v>
      </c>
      <c r="U22" s="53">
        <v>137</v>
      </c>
      <c r="V22" s="16">
        <f t="shared" si="2"/>
        <v>4110</v>
      </c>
      <c r="W22" s="53">
        <v>8</v>
      </c>
      <c r="X22" s="53" t="s">
        <v>46</v>
      </c>
      <c r="Y22" s="53" t="s">
        <v>69</v>
      </c>
      <c r="Z22" s="53" t="s">
        <v>47</v>
      </c>
      <c r="AA22" s="53" t="s">
        <v>55</v>
      </c>
      <c r="AB22" s="53" t="s">
        <v>288</v>
      </c>
      <c r="AP22" s="27" t="s">
        <v>115</v>
      </c>
      <c r="AR22" s="23" t="s">
        <v>83</v>
      </c>
      <c r="AV22" s="27"/>
    </row>
    <row r="23" spans="1:48" x14ac:dyDescent="0.15">
      <c r="A23" s="53" t="s">
        <v>34</v>
      </c>
      <c r="B23" s="53" t="s">
        <v>232</v>
      </c>
      <c r="C23" s="53">
        <v>2019</v>
      </c>
      <c r="D23" s="176" t="s">
        <v>167</v>
      </c>
      <c r="E23" s="53" t="s">
        <v>210</v>
      </c>
      <c r="F23" s="53" t="s">
        <v>385</v>
      </c>
      <c r="G23" s="53" t="s">
        <v>36</v>
      </c>
      <c r="H23" s="53" t="s">
        <v>386</v>
      </c>
      <c r="I23" s="53" t="s">
        <v>159</v>
      </c>
      <c r="J23" s="53" t="s">
        <v>38</v>
      </c>
      <c r="K23" s="53" t="s">
        <v>161</v>
      </c>
      <c r="L23" s="53">
        <v>1</v>
      </c>
      <c r="N23" s="53">
        <v>4</v>
      </c>
      <c r="O23" s="53">
        <v>0.5</v>
      </c>
      <c r="P23" s="53">
        <v>0.55000000000000004</v>
      </c>
      <c r="Q23" s="74">
        <f t="shared" si="0"/>
        <v>0.52500000000000002</v>
      </c>
      <c r="R23" s="53">
        <v>18.3</v>
      </c>
      <c r="S23" s="53">
        <v>90</v>
      </c>
      <c r="T23" s="16">
        <f t="shared" si="1"/>
        <v>36</v>
      </c>
      <c r="U23" s="53">
        <v>407</v>
      </c>
      <c r="V23" s="16">
        <f t="shared" si="2"/>
        <v>3663</v>
      </c>
      <c r="W23" s="53">
        <v>8</v>
      </c>
      <c r="X23" s="53" t="s">
        <v>46</v>
      </c>
      <c r="Y23" s="53" t="s">
        <v>69</v>
      </c>
      <c r="Z23" s="53" t="s">
        <v>47</v>
      </c>
      <c r="AA23" s="53" t="s">
        <v>55</v>
      </c>
      <c r="AB23" s="53" t="s">
        <v>288</v>
      </c>
      <c r="AP23" s="27" t="s">
        <v>117</v>
      </c>
      <c r="AR23" s="23" t="s">
        <v>153</v>
      </c>
    </row>
    <row r="24" spans="1:48" x14ac:dyDescent="0.15">
      <c r="A24" s="53" t="s">
        <v>34</v>
      </c>
      <c r="B24" s="53" t="s">
        <v>232</v>
      </c>
      <c r="C24" s="53">
        <v>2019</v>
      </c>
      <c r="D24" s="176" t="s">
        <v>167</v>
      </c>
      <c r="E24" s="53" t="s">
        <v>210</v>
      </c>
      <c r="F24" s="53" t="s">
        <v>385</v>
      </c>
      <c r="G24" s="53" t="s">
        <v>36</v>
      </c>
      <c r="H24" s="53" t="s">
        <v>386</v>
      </c>
      <c r="I24" s="53" t="s">
        <v>159</v>
      </c>
      <c r="J24" s="53" t="s">
        <v>38</v>
      </c>
      <c r="K24" s="53" t="s">
        <v>161</v>
      </c>
      <c r="L24" s="53">
        <v>2</v>
      </c>
      <c r="N24" s="53">
        <v>4</v>
      </c>
      <c r="O24" s="53">
        <v>0.65</v>
      </c>
      <c r="P24" s="53">
        <v>0.6</v>
      </c>
      <c r="Q24" s="74">
        <f t="shared" si="0"/>
        <v>0.625</v>
      </c>
      <c r="R24" s="53">
        <v>17.8</v>
      </c>
      <c r="S24" s="53">
        <v>93</v>
      </c>
      <c r="T24" s="16">
        <f t="shared" si="1"/>
        <v>36</v>
      </c>
      <c r="U24" s="53">
        <v>407</v>
      </c>
      <c r="V24" s="16">
        <f t="shared" si="2"/>
        <v>3663</v>
      </c>
      <c r="W24" s="53">
        <v>8</v>
      </c>
      <c r="X24" s="53" t="s">
        <v>46</v>
      </c>
      <c r="Y24" s="53" t="s">
        <v>69</v>
      </c>
      <c r="Z24" s="53" t="s">
        <v>47</v>
      </c>
      <c r="AA24" s="53" t="s">
        <v>55</v>
      </c>
      <c r="AB24" s="53" t="s">
        <v>288</v>
      </c>
      <c r="AP24" s="27" t="s">
        <v>118</v>
      </c>
    </row>
    <row r="25" spans="1:48" x14ac:dyDescent="0.15">
      <c r="A25" s="53" t="s">
        <v>34</v>
      </c>
      <c r="B25" s="53" t="s">
        <v>232</v>
      </c>
      <c r="C25" s="53">
        <v>2019</v>
      </c>
      <c r="D25" s="176" t="s">
        <v>167</v>
      </c>
      <c r="E25" s="53" t="s">
        <v>210</v>
      </c>
      <c r="F25" s="53" t="s">
        <v>385</v>
      </c>
      <c r="G25" s="53" t="s">
        <v>36</v>
      </c>
      <c r="H25" s="53" t="s">
        <v>386</v>
      </c>
      <c r="I25" s="53" t="s">
        <v>159</v>
      </c>
      <c r="J25" s="53" t="s">
        <v>38</v>
      </c>
      <c r="K25" s="53" t="s">
        <v>161</v>
      </c>
      <c r="L25" s="53">
        <v>3</v>
      </c>
      <c r="N25" s="53">
        <v>4</v>
      </c>
      <c r="O25" s="53">
        <v>0.55000000000000004</v>
      </c>
      <c r="P25" s="53">
        <v>0.6</v>
      </c>
      <c r="Q25" s="74">
        <f t="shared" si="0"/>
        <v>0.57499999999999996</v>
      </c>
      <c r="R25" s="53">
        <v>17.8</v>
      </c>
      <c r="S25" s="53">
        <v>93</v>
      </c>
      <c r="T25" s="16">
        <f t="shared" si="1"/>
        <v>36</v>
      </c>
      <c r="U25" s="53">
        <v>407</v>
      </c>
      <c r="V25" s="16">
        <f t="shared" si="2"/>
        <v>3663</v>
      </c>
      <c r="W25" s="53">
        <v>8</v>
      </c>
      <c r="X25" s="53" t="s">
        <v>46</v>
      </c>
      <c r="Y25" s="53" t="s">
        <v>69</v>
      </c>
      <c r="Z25" s="53" t="s">
        <v>47</v>
      </c>
      <c r="AA25" s="53" t="s">
        <v>55</v>
      </c>
      <c r="AB25" s="53" t="s">
        <v>288</v>
      </c>
    </row>
    <row r="26" spans="1:48" x14ac:dyDescent="0.15">
      <c r="A26" s="53" t="s">
        <v>34</v>
      </c>
      <c r="B26" s="53" t="s">
        <v>232</v>
      </c>
      <c r="C26" s="53">
        <v>2019</v>
      </c>
      <c r="D26" s="176" t="s">
        <v>167</v>
      </c>
      <c r="E26" s="53" t="s">
        <v>210</v>
      </c>
      <c r="F26" s="53" t="s">
        <v>385</v>
      </c>
      <c r="G26" s="53" t="s">
        <v>36</v>
      </c>
      <c r="H26" s="53" t="s">
        <v>164</v>
      </c>
      <c r="I26" s="53" t="s">
        <v>159</v>
      </c>
      <c r="J26" s="53" t="s">
        <v>38</v>
      </c>
      <c r="K26" s="53" t="s">
        <v>161</v>
      </c>
      <c r="L26" s="53">
        <v>1</v>
      </c>
      <c r="N26" s="53">
        <v>1</v>
      </c>
      <c r="O26" s="53">
        <v>0.6</v>
      </c>
      <c r="P26" s="53">
        <v>0.6</v>
      </c>
      <c r="Q26" s="74">
        <f t="shared" si="0"/>
        <v>0.6</v>
      </c>
      <c r="R26" s="53">
        <v>15.1</v>
      </c>
      <c r="S26" s="53">
        <v>104</v>
      </c>
      <c r="T26" s="16">
        <f t="shared" si="1"/>
        <v>33</v>
      </c>
      <c r="U26" s="53">
        <v>137</v>
      </c>
      <c r="V26" s="16">
        <f t="shared" si="2"/>
        <v>4521</v>
      </c>
      <c r="W26" s="53">
        <v>9</v>
      </c>
      <c r="X26" s="53" t="s">
        <v>46</v>
      </c>
      <c r="Y26" s="53" t="s">
        <v>69</v>
      </c>
      <c r="Z26" s="53" t="s">
        <v>47</v>
      </c>
      <c r="AA26" s="53" t="s">
        <v>55</v>
      </c>
      <c r="AB26" s="53" t="s">
        <v>288</v>
      </c>
    </row>
    <row r="27" spans="1:48" x14ac:dyDescent="0.15">
      <c r="A27" s="53" t="s">
        <v>34</v>
      </c>
      <c r="B27" s="53" t="s">
        <v>232</v>
      </c>
      <c r="C27" s="53">
        <v>2019</v>
      </c>
      <c r="D27" s="176" t="s">
        <v>167</v>
      </c>
      <c r="E27" s="53" t="s">
        <v>210</v>
      </c>
      <c r="F27" s="53" t="s">
        <v>385</v>
      </c>
      <c r="G27" s="53" t="s">
        <v>36</v>
      </c>
      <c r="H27" s="53" t="s">
        <v>164</v>
      </c>
      <c r="I27" s="53" t="s">
        <v>159</v>
      </c>
      <c r="J27" s="53" t="s">
        <v>38</v>
      </c>
      <c r="K27" s="53" t="s">
        <v>161</v>
      </c>
      <c r="L27" s="53">
        <v>2</v>
      </c>
      <c r="N27" s="53">
        <v>1</v>
      </c>
      <c r="O27" s="53">
        <v>0.75</v>
      </c>
      <c r="P27" s="53">
        <v>0.45</v>
      </c>
      <c r="Q27" s="74">
        <f t="shared" si="0"/>
        <v>0.6</v>
      </c>
      <c r="R27" s="53">
        <v>16</v>
      </c>
      <c r="S27" s="53">
        <v>107</v>
      </c>
      <c r="T27" s="16">
        <f t="shared" si="1"/>
        <v>33</v>
      </c>
      <c r="U27" s="53">
        <v>137</v>
      </c>
      <c r="V27" s="16">
        <f t="shared" si="2"/>
        <v>4521</v>
      </c>
      <c r="W27" s="53">
        <v>9</v>
      </c>
      <c r="X27" s="53" t="s">
        <v>46</v>
      </c>
      <c r="Y27" s="53" t="s">
        <v>69</v>
      </c>
      <c r="Z27" s="53" t="s">
        <v>47</v>
      </c>
      <c r="AA27" s="53" t="s">
        <v>55</v>
      </c>
      <c r="AB27" s="53" t="s">
        <v>288</v>
      </c>
    </row>
    <row r="28" spans="1:48" x14ac:dyDescent="0.15">
      <c r="A28" s="53" t="s">
        <v>34</v>
      </c>
      <c r="B28" s="53" t="s">
        <v>232</v>
      </c>
      <c r="C28" s="53">
        <v>2019</v>
      </c>
      <c r="D28" s="176" t="s">
        <v>167</v>
      </c>
      <c r="E28" s="53" t="s">
        <v>210</v>
      </c>
      <c r="F28" s="53" t="s">
        <v>385</v>
      </c>
      <c r="G28" s="53" t="s">
        <v>36</v>
      </c>
      <c r="H28" s="53" t="s">
        <v>164</v>
      </c>
      <c r="I28" s="53" t="s">
        <v>159</v>
      </c>
      <c r="J28" s="53" t="s">
        <v>38</v>
      </c>
      <c r="K28" s="53" t="s">
        <v>161</v>
      </c>
      <c r="L28" s="53">
        <v>3</v>
      </c>
      <c r="N28" s="53">
        <v>1</v>
      </c>
      <c r="O28" s="53">
        <v>0.75</v>
      </c>
      <c r="P28" s="53">
        <v>0.8</v>
      </c>
      <c r="Q28" s="74">
        <f>IF(OR(O28="",P28=""),"",AVERAGE(O28,P28))</f>
        <v>0.77500000000000002</v>
      </c>
      <c r="R28" s="53">
        <v>17.100000000000001</v>
      </c>
      <c r="S28" s="53">
        <v>106</v>
      </c>
      <c r="T28" s="16">
        <f t="shared" si="1"/>
        <v>33</v>
      </c>
      <c r="U28" s="53">
        <v>137</v>
      </c>
      <c r="V28" s="16">
        <f t="shared" si="2"/>
        <v>4521</v>
      </c>
      <c r="W28" s="53">
        <v>9</v>
      </c>
      <c r="X28" s="53" t="s">
        <v>46</v>
      </c>
      <c r="Y28" s="53" t="s">
        <v>69</v>
      </c>
      <c r="Z28" s="53" t="s">
        <v>47</v>
      </c>
      <c r="AA28" s="53" t="s">
        <v>55</v>
      </c>
      <c r="AB28" s="53" t="s">
        <v>288</v>
      </c>
    </row>
    <row r="29" spans="1:48" x14ac:dyDescent="0.15">
      <c r="A29" s="53" t="s">
        <v>34</v>
      </c>
      <c r="B29" s="53" t="s">
        <v>232</v>
      </c>
      <c r="C29" s="53">
        <v>2019</v>
      </c>
      <c r="D29" s="176" t="s">
        <v>167</v>
      </c>
      <c r="E29" s="53" t="s">
        <v>210</v>
      </c>
      <c r="F29" s="53" t="s">
        <v>385</v>
      </c>
      <c r="G29" s="53" t="s">
        <v>36</v>
      </c>
      <c r="H29" s="53" t="s">
        <v>164</v>
      </c>
      <c r="I29" s="53" t="s">
        <v>159</v>
      </c>
      <c r="J29" s="53" t="s">
        <v>38</v>
      </c>
      <c r="K29" s="53" t="s">
        <v>161</v>
      </c>
      <c r="L29" s="53">
        <v>1</v>
      </c>
      <c r="N29" s="53">
        <v>4</v>
      </c>
      <c r="O29" s="53">
        <v>0.55000000000000004</v>
      </c>
      <c r="P29" s="53">
        <v>0.65</v>
      </c>
      <c r="Q29" s="74">
        <f t="shared" si="0"/>
        <v>0.60000000000000009</v>
      </c>
      <c r="R29" s="53">
        <v>16.5</v>
      </c>
      <c r="S29" s="53">
        <v>81</v>
      </c>
      <c r="T29" s="16">
        <f t="shared" si="1"/>
        <v>39</v>
      </c>
      <c r="U29" s="53">
        <v>407</v>
      </c>
      <c r="V29" s="16">
        <f t="shared" si="2"/>
        <v>3968.25</v>
      </c>
      <c r="W29" s="53">
        <v>9</v>
      </c>
      <c r="X29" s="53" t="s">
        <v>46</v>
      </c>
      <c r="Y29" s="53" t="s">
        <v>69</v>
      </c>
      <c r="Z29" s="53" t="s">
        <v>47</v>
      </c>
      <c r="AA29" s="53" t="s">
        <v>55</v>
      </c>
      <c r="AB29" s="53" t="s">
        <v>288</v>
      </c>
    </row>
    <row r="30" spans="1:48" x14ac:dyDescent="0.15">
      <c r="A30" s="53" t="s">
        <v>34</v>
      </c>
      <c r="B30" s="53" t="s">
        <v>232</v>
      </c>
      <c r="C30" s="53">
        <v>2019</v>
      </c>
      <c r="D30" s="176" t="s">
        <v>167</v>
      </c>
      <c r="E30" s="53" t="s">
        <v>210</v>
      </c>
      <c r="F30" s="53" t="s">
        <v>385</v>
      </c>
      <c r="G30" s="53" t="s">
        <v>36</v>
      </c>
      <c r="H30" s="53" t="s">
        <v>164</v>
      </c>
      <c r="I30" s="53" t="s">
        <v>159</v>
      </c>
      <c r="J30" s="53" t="s">
        <v>38</v>
      </c>
      <c r="K30" s="53" t="s">
        <v>161</v>
      </c>
      <c r="L30" s="53">
        <v>2</v>
      </c>
      <c r="N30" s="53">
        <v>4</v>
      </c>
      <c r="O30" s="53">
        <v>0.55000000000000004</v>
      </c>
      <c r="P30" s="53">
        <v>0.6</v>
      </c>
      <c r="Q30" s="74">
        <f t="shared" si="0"/>
        <v>0.57499999999999996</v>
      </c>
      <c r="R30" s="53">
        <v>14.5</v>
      </c>
      <c r="S30" s="53">
        <v>84</v>
      </c>
      <c r="T30" s="16">
        <f t="shared" si="1"/>
        <v>36</v>
      </c>
      <c r="U30" s="53">
        <v>407</v>
      </c>
      <c r="V30" s="16">
        <f t="shared" si="2"/>
        <v>3663</v>
      </c>
      <c r="W30" s="53">
        <v>9</v>
      </c>
      <c r="X30" s="53" t="s">
        <v>46</v>
      </c>
      <c r="Y30" s="53" t="s">
        <v>69</v>
      </c>
      <c r="Z30" s="53" t="s">
        <v>47</v>
      </c>
      <c r="AA30" s="53" t="s">
        <v>55</v>
      </c>
      <c r="AB30" s="53" t="s">
        <v>288</v>
      </c>
    </row>
    <row r="31" spans="1:48" x14ac:dyDescent="0.15">
      <c r="A31" s="53" t="s">
        <v>34</v>
      </c>
      <c r="B31" s="53" t="s">
        <v>232</v>
      </c>
      <c r="C31" s="53">
        <v>2019</v>
      </c>
      <c r="D31" s="176" t="s">
        <v>167</v>
      </c>
      <c r="E31" s="53" t="s">
        <v>210</v>
      </c>
      <c r="F31" s="53" t="s">
        <v>385</v>
      </c>
      <c r="G31" s="53" t="s">
        <v>36</v>
      </c>
      <c r="H31" s="53" t="s">
        <v>164</v>
      </c>
      <c r="I31" s="53" t="s">
        <v>159</v>
      </c>
      <c r="J31" s="53" t="s">
        <v>38</v>
      </c>
      <c r="K31" s="53" t="s">
        <v>161</v>
      </c>
      <c r="L31" s="53">
        <v>3</v>
      </c>
      <c r="N31" s="53">
        <v>4</v>
      </c>
      <c r="O31" s="53">
        <v>0.6</v>
      </c>
      <c r="P31" s="53">
        <v>0.6</v>
      </c>
      <c r="Q31" s="74">
        <f t="shared" si="0"/>
        <v>0.6</v>
      </c>
      <c r="R31" s="53">
        <v>17</v>
      </c>
      <c r="S31" s="53">
        <v>90</v>
      </c>
      <c r="T31" s="16">
        <f t="shared" si="1"/>
        <v>36</v>
      </c>
      <c r="U31" s="53">
        <v>407</v>
      </c>
      <c r="V31" s="16">
        <f t="shared" si="2"/>
        <v>3663</v>
      </c>
      <c r="W31" s="53">
        <v>9</v>
      </c>
      <c r="X31" s="53" t="s">
        <v>46</v>
      </c>
      <c r="Y31" s="53" t="s">
        <v>69</v>
      </c>
      <c r="Z31" s="53" t="s">
        <v>47</v>
      </c>
      <c r="AA31" s="53" t="s">
        <v>55</v>
      </c>
      <c r="AB31" s="53" t="s">
        <v>288</v>
      </c>
    </row>
    <row r="32" spans="1:48" x14ac:dyDescent="0.15">
      <c r="A32" s="53" t="s">
        <v>34</v>
      </c>
      <c r="B32" s="53" t="s">
        <v>232</v>
      </c>
      <c r="C32" s="53">
        <v>2019</v>
      </c>
      <c r="D32" s="176" t="s">
        <v>167</v>
      </c>
      <c r="E32" s="53" t="s">
        <v>387</v>
      </c>
      <c r="F32" s="53" t="s">
        <v>375</v>
      </c>
      <c r="G32" s="53" t="s">
        <v>36</v>
      </c>
      <c r="H32" s="53" t="s">
        <v>160</v>
      </c>
      <c r="I32" s="53" t="s">
        <v>159</v>
      </c>
      <c r="J32" s="53" t="s">
        <v>38</v>
      </c>
      <c r="K32" s="53" t="s">
        <v>161</v>
      </c>
      <c r="L32" s="53">
        <v>1</v>
      </c>
      <c r="N32" s="53">
        <v>1</v>
      </c>
      <c r="O32" s="53">
        <v>0.55000000000000004</v>
      </c>
      <c r="P32" s="53">
        <v>0.7</v>
      </c>
      <c r="Q32" s="74">
        <f t="shared" si="0"/>
        <v>0.625</v>
      </c>
      <c r="R32" s="53">
        <v>21.4</v>
      </c>
      <c r="S32" s="53">
        <v>147</v>
      </c>
      <c r="T32" s="16">
        <f t="shared" si="1"/>
        <v>30</v>
      </c>
      <c r="U32" s="53">
        <v>138</v>
      </c>
      <c r="V32" s="16">
        <f t="shared" si="2"/>
        <v>4140</v>
      </c>
      <c r="W32" s="53">
        <v>8</v>
      </c>
      <c r="X32" s="53" t="s">
        <v>46</v>
      </c>
      <c r="Y32" s="53" t="s">
        <v>55</v>
      </c>
      <c r="Z32" s="53" t="s">
        <v>69</v>
      </c>
      <c r="AA32" s="53" t="s">
        <v>84</v>
      </c>
      <c r="AB32" s="53" t="s">
        <v>288</v>
      </c>
    </row>
    <row r="33" spans="1:28" x14ac:dyDescent="0.15">
      <c r="A33" s="53" t="s">
        <v>34</v>
      </c>
      <c r="B33" s="53" t="s">
        <v>232</v>
      </c>
      <c r="C33" s="53">
        <v>2019</v>
      </c>
      <c r="D33" s="176" t="s">
        <v>167</v>
      </c>
      <c r="E33" s="53" t="s">
        <v>374</v>
      </c>
      <c r="F33" s="53" t="s">
        <v>375</v>
      </c>
      <c r="G33" s="53" t="s">
        <v>36</v>
      </c>
      <c r="H33" s="53" t="s">
        <v>160</v>
      </c>
      <c r="I33" s="53" t="s">
        <v>159</v>
      </c>
      <c r="J33" s="53" t="s">
        <v>38</v>
      </c>
      <c r="K33" s="53" t="s">
        <v>161</v>
      </c>
      <c r="L33" s="53">
        <v>2</v>
      </c>
      <c r="N33" s="53">
        <v>1</v>
      </c>
      <c r="O33" s="53">
        <v>0.55000000000000004</v>
      </c>
      <c r="P33" s="53">
        <v>0.6</v>
      </c>
      <c r="Q33" s="74">
        <f t="shared" si="0"/>
        <v>0.57499999999999996</v>
      </c>
      <c r="R33" s="53">
        <v>18</v>
      </c>
      <c r="S33" s="53">
        <v>143</v>
      </c>
      <c r="T33" s="16">
        <f t="shared" si="1"/>
        <v>30</v>
      </c>
      <c r="U33" s="53">
        <v>138</v>
      </c>
      <c r="V33" s="16">
        <f t="shared" si="2"/>
        <v>4140</v>
      </c>
      <c r="W33" s="53">
        <v>8</v>
      </c>
      <c r="X33" s="53" t="s">
        <v>46</v>
      </c>
      <c r="Y33" s="53" t="s">
        <v>55</v>
      </c>
      <c r="Z33" s="53" t="s">
        <v>69</v>
      </c>
      <c r="AA33" s="53" t="s">
        <v>84</v>
      </c>
      <c r="AB33" s="53" t="s">
        <v>288</v>
      </c>
    </row>
    <row r="34" spans="1:28" x14ac:dyDescent="0.15">
      <c r="A34" s="53" t="s">
        <v>34</v>
      </c>
      <c r="B34" s="53" t="s">
        <v>232</v>
      </c>
      <c r="C34" s="53">
        <v>2019</v>
      </c>
      <c r="D34" s="176" t="s">
        <v>167</v>
      </c>
      <c r="E34" s="53" t="s">
        <v>374</v>
      </c>
      <c r="F34" s="53" t="s">
        <v>375</v>
      </c>
      <c r="G34" s="53" t="s">
        <v>36</v>
      </c>
      <c r="H34" s="53" t="s">
        <v>160</v>
      </c>
      <c r="I34" s="53" t="s">
        <v>159</v>
      </c>
      <c r="J34" s="53" t="s">
        <v>38</v>
      </c>
      <c r="K34" s="53" t="s">
        <v>161</v>
      </c>
      <c r="L34" s="53">
        <v>3</v>
      </c>
      <c r="N34" s="53">
        <v>1</v>
      </c>
      <c r="O34" s="53">
        <v>0.45</v>
      </c>
      <c r="P34" s="53">
        <v>0.45</v>
      </c>
      <c r="Q34" s="74">
        <f>IF(OR(O34="",P34=""),"",AVERAGE(O34,P34))</f>
        <v>0.45</v>
      </c>
      <c r="R34" s="53">
        <v>18.5</v>
      </c>
      <c r="S34" s="53">
        <v>120</v>
      </c>
      <c r="T34" s="16">
        <f t="shared" si="1"/>
        <v>30</v>
      </c>
      <c r="U34" s="53">
        <v>138</v>
      </c>
      <c r="V34" s="16">
        <f t="shared" si="2"/>
        <v>4140</v>
      </c>
      <c r="W34" s="53">
        <v>8</v>
      </c>
      <c r="X34" s="53" t="s">
        <v>46</v>
      </c>
      <c r="Y34" s="53" t="s">
        <v>55</v>
      </c>
      <c r="Z34" s="53" t="s">
        <v>69</v>
      </c>
      <c r="AA34" s="53" t="s">
        <v>84</v>
      </c>
      <c r="AB34" s="53" t="s">
        <v>288</v>
      </c>
    </row>
    <row r="35" spans="1:28" x14ac:dyDescent="0.15">
      <c r="A35" s="53" t="s">
        <v>34</v>
      </c>
      <c r="B35" s="53" t="s">
        <v>232</v>
      </c>
      <c r="C35" s="53">
        <v>2019</v>
      </c>
      <c r="D35" s="176" t="s">
        <v>167</v>
      </c>
      <c r="E35" s="53" t="s">
        <v>374</v>
      </c>
      <c r="F35" s="53" t="s">
        <v>375</v>
      </c>
      <c r="G35" s="53" t="s">
        <v>36</v>
      </c>
      <c r="H35" s="53" t="s">
        <v>160</v>
      </c>
      <c r="I35" s="53" t="s">
        <v>159</v>
      </c>
      <c r="J35" s="53" t="s">
        <v>38</v>
      </c>
      <c r="K35" s="53" t="s">
        <v>161</v>
      </c>
      <c r="L35" s="53">
        <v>1</v>
      </c>
      <c r="N35" s="53">
        <v>4</v>
      </c>
      <c r="O35" s="53">
        <v>0.8</v>
      </c>
      <c r="P35" s="53">
        <v>0.75</v>
      </c>
      <c r="Q35" s="74">
        <f t="shared" ref="Q35:Q36" si="3">IF(OR(O35="",P35=""),"",AVERAGE(O35,P35))</f>
        <v>0.77500000000000002</v>
      </c>
      <c r="R35" s="53">
        <v>17.3</v>
      </c>
      <c r="S35" s="53">
        <v>113</v>
      </c>
      <c r="T35" s="16">
        <f t="shared" si="1"/>
        <v>30</v>
      </c>
      <c r="U35" s="53">
        <v>321</v>
      </c>
      <c r="V35" s="16">
        <f t="shared" si="2"/>
        <v>2407.5</v>
      </c>
      <c r="W35" s="53">
        <v>8</v>
      </c>
      <c r="X35" s="53" t="s">
        <v>46</v>
      </c>
      <c r="Y35" s="53" t="s">
        <v>55</v>
      </c>
      <c r="Z35" s="53" t="s">
        <v>69</v>
      </c>
      <c r="AA35" s="53" t="s">
        <v>84</v>
      </c>
      <c r="AB35" s="53" t="s">
        <v>288</v>
      </c>
    </row>
    <row r="36" spans="1:28" x14ac:dyDescent="0.15">
      <c r="A36" s="53" t="s">
        <v>34</v>
      </c>
      <c r="B36" s="53" t="s">
        <v>232</v>
      </c>
      <c r="C36" s="53">
        <v>2019</v>
      </c>
      <c r="D36" s="176" t="s">
        <v>167</v>
      </c>
      <c r="E36" s="53" t="s">
        <v>374</v>
      </c>
      <c r="F36" s="53" t="s">
        <v>375</v>
      </c>
      <c r="G36" s="53" t="s">
        <v>36</v>
      </c>
      <c r="H36" s="53" t="s">
        <v>160</v>
      </c>
      <c r="I36" s="53" t="s">
        <v>159</v>
      </c>
      <c r="J36" s="53" t="s">
        <v>38</v>
      </c>
      <c r="K36" s="53" t="s">
        <v>161</v>
      </c>
      <c r="L36" s="53">
        <v>2</v>
      </c>
      <c r="N36" s="53">
        <v>4</v>
      </c>
      <c r="O36" s="53">
        <v>0.7</v>
      </c>
      <c r="P36" s="53">
        <v>0.6</v>
      </c>
      <c r="Q36" s="74">
        <f t="shared" si="3"/>
        <v>0.64999999999999991</v>
      </c>
      <c r="R36" s="53">
        <v>17.3</v>
      </c>
      <c r="S36" s="53">
        <v>109</v>
      </c>
      <c r="T36" s="16">
        <f t="shared" si="1"/>
        <v>33</v>
      </c>
      <c r="U36" s="53">
        <v>321</v>
      </c>
      <c r="V36" s="16">
        <f t="shared" si="2"/>
        <v>2648.25</v>
      </c>
      <c r="W36" s="53">
        <v>8</v>
      </c>
      <c r="X36" s="53" t="s">
        <v>46</v>
      </c>
      <c r="Y36" s="53" t="s">
        <v>55</v>
      </c>
      <c r="Z36" s="53" t="s">
        <v>69</v>
      </c>
      <c r="AA36" s="53" t="s">
        <v>84</v>
      </c>
      <c r="AB36" s="53" t="s">
        <v>288</v>
      </c>
    </row>
    <row r="37" spans="1:28" x14ac:dyDescent="0.15">
      <c r="A37" s="53" t="s">
        <v>34</v>
      </c>
      <c r="B37" s="53" t="s">
        <v>232</v>
      </c>
      <c r="C37" s="53">
        <v>2019</v>
      </c>
      <c r="D37" s="176" t="s">
        <v>167</v>
      </c>
      <c r="E37" s="53" t="s">
        <v>374</v>
      </c>
      <c r="F37" s="53" t="s">
        <v>375</v>
      </c>
      <c r="G37" s="53" t="s">
        <v>36</v>
      </c>
      <c r="H37" s="53" t="s">
        <v>160</v>
      </c>
      <c r="I37" s="53" t="s">
        <v>159</v>
      </c>
      <c r="J37" s="53" t="s">
        <v>38</v>
      </c>
      <c r="K37" s="53" t="s">
        <v>161</v>
      </c>
      <c r="L37" s="53">
        <v>3</v>
      </c>
      <c r="N37" s="53">
        <v>4</v>
      </c>
      <c r="O37" s="53">
        <v>0.65</v>
      </c>
      <c r="P37" s="53">
        <v>0.8</v>
      </c>
      <c r="Q37" s="74">
        <f>IF(OR(O37="",P37=""),"",AVERAGE(O37,P37))</f>
        <v>0.72500000000000009</v>
      </c>
      <c r="R37" s="53">
        <v>16.3</v>
      </c>
      <c r="S37" s="53">
        <v>107</v>
      </c>
      <c r="T37" s="16">
        <f t="shared" si="1"/>
        <v>33</v>
      </c>
      <c r="U37" s="53">
        <v>321</v>
      </c>
      <c r="V37" s="16">
        <f t="shared" si="2"/>
        <v>2648.25</v>
      </c>
      <c r="W37" s="53">
        <v>8</v>
      </c>
      <c r="X37" s="53" t="s">
        <v>46</v>
      </c>
      <c r="Y37" s="53" t="s">
        <v>55</v>
      </c>
      <c r="Z37" s="53" t="s">
        <v>69</v>
      </c>
      <c r="AA37" s="53" t="s">
        <v>84</v>
      </c>
      <c r="AB37" s="53" t="s">
        <v>288</v>
      </c>
    </row>
    <row r="38" spans="1:28" x14ac:dyDescent="0.15">
      <c r="A38" s="53" t="s">
        <v>34</v>
      </c>
      <c r="B38" s="53" t="s">
        <v>232</v>
      </c>
      <c r="C38" s="53">
        <v>2019</v>
      </c>
      <c r="D38" s="176" t="s">
        <v>167</v>
      </c>
      <c r="E38" s="53" t="s">
        <v>374</v>
      </c>
      <c r="F38" s="53" t="s">
        <v>375</v>
      </c>
      <c r="G38" s="53" t="s">
        <v>36</v>
      </c>
      <c r="H38" s="53" t="s">
        <v>160</v>
      </c>
      <c r="I38" s="53" t="s">
        <v>159</v>
      </c>
      <c r="J38" s="53" t="s">
        <v>38</v>
      </c>
      <c r="K38" s="53" t="s">
        <v>161</v>
      </c>
      <c r="L38" s="53">
        <v>1</v>
      </c>
      <c r="N38" s="53">
        <v>10</v>
      </c>
      <c r="O38" s="53">
        <v>0.6</v>
      </c>
      <c r="P38" s="53">
        <v>0.6</v>
      </c>
      <c r="Q38" s="74">
        <f t="shared" ref="Q38:Q39" si="4">IF(OR(O38="",P38=""),"",AVERAGE(O38,P38))</f>
        <v>0.6</v>
      </c>
      <c r="R38" s="53">
        <v>17.899999999999999</v>
      </c>
      <c r="S38" s="53">
        <v>110</v>
      </c>
      <c r="T38" s="16">
        <f t="shared" si="1"/>
        <v>33</v>
      </c>
      <c r="U38" s="53">
        <v>842</v>
      </c>
      <c r="V38" s="16">
        <f t="shared" si="2"/>
        <v>2778.6</v>
      </c>
      <c r="W38" s="53">
        <v>8</v>
      </c>
      <c r="X38" s="53" t="s">
        <v>46</v>
      </c>
      <c r="Y38" s="53" t="s">
        <v>55</v>
      </c>
      <c r="Z38" s="53" t="s">
        <v>69</v>
      </c>
      <c r="AA38" s="53" t="s">
        <v>84</v>
      </c>
      <c r="AB38" s="53" t="s">
        <v>288</v>
      </c>
    </row>
    <row r="39" spans="1:28" x14ac:dyDescent="0.15">
      <c r="A39" s="53" t="s">
        <v>34</v>
      </c>
      <c r="B39" s="53" t="s">
        <v>232</v>
      </c>
      <c r="C39" s="53">
        <v>2019</v>
      </c>
      <c r="D39" s="176" t="s">
        <v>167</v>
      </c>
      <c r="E39" s="53" t="s">
        <v>374</v>
      </c>
      <c r="F39" s="53" t="s">
        <v>375</v>
      </c>
      <c r="G39" s="53" t="s">
        <v>36</v>
      </c>
      <c r="H39" s="53" t="s">
        <v>160</v>
      </c>
      <c r="I39" s="53" t="s">
        <v>159</v>
      </c>
      <c r="J39" s="53" t="s">
        <v>38</v>
      </c>
      <c r="K39" s="53" t="s">
        <v>161</v>
      </c>
      <c r="L39" s="53">
        <v>2</v>
      </c>
      <c r="N39" s="53">
        <v>10</v>
      </c>
      <c r="O39" s="53">
        <v>0.75</v>
      </c>
      <c r="P39" s="53">
        <v>0.65</v>
      </c>
      <c r="Q39" s="74">
        <f t="shared" si="4"/>
        <v>0.7</v>
      </c>
      <c r="R39" s="53">
        <v>18</v>
      </c>
      <c r="S39" s="53">
        <v>111</v>
      </c>
      <c r="T39" s="16">
        <f t="shared" si="1"/>
        <v>33</v>
      </c>
      <c r="U39" s="53">
        <v>842</v>
      </c>
      <c r="V39" s="16">
        <f t="shared" si="2"/>
        <v>2778.6</v>
      </c>
      <c r="W39" s="53">
        <v>8</v>
      </c>
      <c r="X39" s="53" t="s">
        <v>46</v>
      </c>
      <c r="Y39" s="53" t="s">
        <v>55</v>
      </c>
      <c r="Z39" s="53" t="s">
        <v>69</v>
      </c>
      <c r="AA39" s="53" t="s">
        <v>84</v>
      </c>
      <c r="AB39" s="53" t="s">
        <v>288</v>
      </c>
    </row>
    <row r="40" spans="1:28" x14ac:dyDescent="0.15">
      <c r="A40" s="53" t="s">
        <v>34</v>
      </c>
      <c r="B40" s="53" t="s">
        <v>232</v>
      </c>
      <c r="C40" s="53">
        <v>2019</v>
      </c>
      <c r="D40" s="176" t="s">
        <v>167</v>
      </c>
      <c r="E40" s="53" t="s">
        <v>374</v>
      </c>
      <c r="F40" s="53" t="s">
        <v>375</v>
      </c>
      <c r="G40" s="53" t="s">
        <v>36</v>
      </c>
      <c r="H40" s="53" t="s">
        <v>160</v>
      </c>
      <c r="I40" s="53" t="s">
        <v>159</v>
      </c>
      <c r="J40" s="53" t="s">
        <v>38</v>
      </c>
      <c r="K40" s="53" t="s">
        <v>161</v>
      </c>
      <c r="L40" s="53">
        <v>3</v>
      </c>
      <c r="N40" s="53">
        <v>10</v>
      </c>
      <c r="O40" s="53">
        <v>0.85</v>
      </c>
      <c r="P40" s="53">
        <v>0.75</v>
      </c>
      <c r="Q40" s="74">
        <f>IF(OR(O40="",P40=""),"",AVERAGE(O40,P40))</f>
        <v>0.8</v>
      </c>
      <c r="R40" s="53">
        <v>19.5</v>
      </c>
      <c r="S40" s="53">
        <v>115</v>
      </c>
      <c r="T40" s="16">
        <f t="shared" si="1"/>
        <v>30</v>
      </c>
      <c r="U40" s="53">
        <v>842</v>
      </c>
      <c r="V40" s="16">
        <f t="shared" si="2"/>
        <v>2526</v>
      </c>
      <c r="W40" s="53">
        <v>8</v>
      </c>
      <c r="X40" s="53" t="s">
        <v>46</v>
      </c>
      <c r="Y40" s="53" t="s">
        <v>55</v>
      </c>
      <c r="Z40" s="53" t="s">
        <v>69</v>
      </c>
      <c r="AA40" s="53" t="s">
        <v>84</v>
      </c>
      <c r="AB40" s="53" t="s">
        <v>288</v>
      </c>
    </row>
    <row r="41" spans="1:28" x14ac:dyDescent="0.15">
      <c r="A41" s="53" t="s">
        <v>34</v>
      </c>
      <c r="B41" s="53" t="s">
        <v>232</v>
      </c>
      <c r="C41" s="53">
        <v>2019</v>
      </c>
      <c r="D41" s="176" t="s">
        <v>167</v>
      </c>
      <c r="E41" s="53" t="s">
        <v>374</v>
      </c>
      <c r="F41" s="53" t="s">
        <v>375</v>
      </c>
      <c r="G41" s="53" t="s">
        <v>36</v>
      </c>
      <c r="H41" s="53" t="s">
        <v>164</v>
      </c>
      <c r="I41" s="53" t="s">
        <v>159</v>
      </c>
      <c r="J41" s="53" t="s">
        <v>38</v>
      </c>
      <c r="K41" s="53" t="s">
        <v>161</v>
      </c>
      <c r="L41" s="53">
        <v>1</v>
      </c>
      <c r="N41" s="53">
        <v>1</v>
      </c>
      <c r="O41" s="53">
        <v>0.45</v>
      </c>
      <c r="P41" s="53">
        <v>0.45</v>
      </c>
      <c r="Q41" s="74">
        <f t="shared" si="0"/>
        <v>0.45</v>
      </c>
      <c r="R41" s="53">
        <v>17.100000000000001</v>
      </c>
      <c r="S41" s="53">
        <v>134</v>
      </c>
      <c r="T41" s="16">
        <f t="shared" si="1"/>
        <v>30</v>
      </c>
      <c r="U41" s="53">
        <v>108</v>
      </c>
      <c r="V41" s="16">
        <f t="shared" si="2"/>
        <v>3240</v>
      </c>
      <c r="W41" s="53">
        <v>7</v>
      </c>
      <c r="X41" s="53" t="s">
        <v>46</v>
      </c>
      <c r="Y41" s="53" t="s">
        <v>55</v>
      </c>
      <c r="Z41" s="53" t="s">
        <v>69</v>
      </c>
      <c r="AA41" s="53" t="s">
        <v>84</v>
      </c>
      <c r="AB41" s="53" t="s">
        <v>288</v>
      </c>
    </row>
    <row r="42" spans="1:28" x14ac:dyDescent="0.15">
      <c r="A42" s="53" t="s">
        <v>34</v>
      </c>
      <c r="B42" s="53" t="s">
        <v>232</v>
      </c>
      <c r="C42" s="53">
        <v>2019</v>
      </c>
      <c r="D42" s="176" t="s">
        <v>167</v>
      </c>
      <c r="E42" s="53" t="s">
        <v>374</v>
      </c>
      <c r="F42" s="53" t="s">
        <v>375</v>
      </c>
      <c r="G42" s="53" t="s">
        <v>36</v>
      </c>
      <c r="H42" s="53" t="s">
        <v>164</v>
      </c>
      <c r="I42" s="53" t="s">
        <v>159</v>
      </c>
      <c r="J42" s="53" t="s">
        <v>38</v>
      </c>
      <c r="K42" s="53" t="s">
        <v>161</v>
      </c>
      <c r="L42" s="53">
        <v>2</v>
      </c>
      <c r="N42" s="53">
        <v>1</v>
      </c>
      <c r="O42" s="53">
        <v>0.2</v>
      </c>
      <c r="P42" s="53">
        <v>0.2</v>
      </c>
      <c r="Q42" s="74">
        <f t="shared" si="0"/>
        <v>0.2</v>
      </c>
      <c r="R42" s="53">
        <v>16.7</v>
      </c>
      <c r="S42" s="53">
        <v>135</v>
      </c>
      <c r="T42" s="16">
        <f t="shared" si="1"/>
        <v>30</v>
      </c>
      <c r="U42" s="53">
        <v>108</v>
      </c>
      <c r="V42" s="16">
        <f t="shared" si="2"/>
        <v>3240</v>
      </c>
      <c r="W42" s="53">
        <v>7</v>
      </c>
      <c r="X42" s="53" t="s">
        <v>46</v>
      </c>
      <c r="Y42" s="53" t="s">
        <v>55</v>
      </c>
      <c r="Z42" s="53" t="s">
        <v>69</v>
      </c>
      <c r="AA42" s="53" t="s">
        <v>84</v>
      </c>
      <c r="AB42" s="53" t="s">
        <v>288</v>
      </c>
    </row>
    <row r="43" spans="1:28" x14ac:dyDescent="0.15">
      <c r="A43" s="53" t="s">
        <v>34</v>
      </c>
      <c r="B43" s="53" t="s">
        <v>232</v>
      </c>
      <c r="C43" s="53">
        <v>2019</v>
      </c>
      <c r="D43" s="176" t="s">
        <v>167</v>
      </c>
      <c r="E43" s="53" t="s">
        <v>374</v>
      </c>
      <c r="F43" s="53" t="s">
        <v>375</v>
      </c>
      <c r="G43" s="53" t="s">
        <v>36</v>
      </c>
      <c r="H43" s="53" t="s">
        <v>164</v>
      </c>
      <c r="I43" s="53" t="s">
        <v>159</v>
      </c>
      <c r="J43" s="53" t="s">
        <v>38</v>
      </c>
      <c r="K43" s="53" t="s">
        <v>161</v>
      </c>
      <c r="L43" s="53">
        <v>3</v>
      </c>
      <c r="N43" s="53">
        <v>1</v>
      </c>
      <c r="O43" s="53">
        <v>0.2</v>
      </c>
      <c r="P43" s="53">
        <v>0.2</v>
      </c>
      <c r="Q43" s="74">
        <f t="shared" si="0"/>
        <v>0.2</v>
      </c>
      <c r="R43" s="53">
        <v>17.2</v>
      </c>
      <c r="S43" s="53">
        <v>140</v>
      </c>
      <c r="T43" s="16">
        <f t="shared" si="1"/>
        <v>30</v>
      </c>
      <c r="U43" s="53">
        <v>108</v>
      </c>
      <c r="V43" s="16">
        <f t="shared" si="2"/>
        <v>3240</v>
      </c>
      <c r="W43" s="53">
        <v>7</v>
      </c>
      <c r="X43" s="53" t="s">
        <v>46</v>
      </c>
      <c r="Y43" s="53" t="s">
        <v>55</v>
      </c>
      <c r="Z43" s="53" t="s">
        <v>69</v>
      </c>
      <c r="AA43" s="53" t="s">
        <v>84</v>
      </c>
      <c r="AB43" s="53" t="s">
        <v>288</v>
      </c>
    </row>
    <row r="44" spans="1:28" x14ac:dyDescent="0.15">
      <c r="A44" s="53" t="s">
        <v>34</v>
      </c>
      <c r="B44" s="53" t="s">
        <v>232</v>
      </c>
      <c r="C44" s="53">
        <v>2019</v>
      </c>
      <c r="D44" s="176" t="s">
        <v>167</v>
      </c>
      <c r="E44" s="53" t="s">
        <v>374</v>
      </c>
      <c r="F44" s="53" t="s">
        <v>375</v>
      </c>
      <c r="G44" s="53" t="s">
        <v>36</v>
      </c>
      <c r="H44" s="53" t="s">
        <v>164</v>
      </c>
      <c r="I44" s="53" t="s">
        <v>159</v>
      </c>
      <c r="J44" s="53" t="s">
        <v>38</v>
      </c>
      <c r="K44" s="53" t="s">
        <v>161</v>
      </c>
      <c r="L44" s="53">
        <v>1</v>
      </c>
      <c r="N44" s="53">
        <v>4</v>
      </c>
      <c r="O44" s="53">
        <v>0.2</v>
      </c>
      <c r="P44" s="53">
        <v>0.2</v>
      </c>
      <c r="Q44" s="74">
        <f t="shared" si="0"/>
        <v>0.2</v>
      </c>
      <c r="R44" s="53">
        <v>17</v>
      </c>
      <c r="S44" s="53">
        <v>101</v>
      </c>
      <c r="T44" s="16">
        <f t="shared" si="1"/>
        <v>33</v>
      </c>
      <c r="U44" s="53">
        <v>278</v>
      </c>
      <c r="V44" s="16">
        <f t="shared" si="2"/>
        <v>2293.5</v>
      </c>
      <c r="W44" s="53">
        <v>7</v>
      </c>
      <c r="X44" s="53" t="s">
        <v>46</v>
      </c>
      <c r="Y44" s="53" t="s">
        <v>55</v>
      </c>
      <c r="Z44" s="53" t="s">
        <v>69</v>
      </c>
      <c r="AA44" s="53" t="s">
        <v>84</v>
      </c>
      <c r="AB44" s="53" t="s">
        <v>288</v>
      </c>
    </row>
    <row r="45" spans="1:28" x14ac:dyDescent="0.15">
      <c r="A45" s="53" t="s">
        <v>34</v>
      </c>
      <c r="B45" s="53" t="s">
        <v>232</v>
      </c>
      <c r="C45" s="53">
        <v>2019</v>
      </c>
      <c r="D45" s="176" t="s">
        <v>167</v>
      </c>
      <c r="E45" s="53" t="s">
        <v>374</v>
      </c>
      <c r="F45" s="53" t="s">
        <v>375</v>
      </c>
      <c r="G45" s="53" t="s">
        <v>36</v>
      </c>
      <c r="H45" s="53" t="s">
        <v>164</v>
      </c>
      <c r="I45" s="53" t="s">
        <v>159</v>
      </c>
      <c r="J45" s="53" t="s">
        <v>38</v>
      </c>
      <c r="K45" s="53" t="s">
        <v>161</v>
      </c>
      <c r="L45" s="53">
        <v>2</v>
      </c>
      <c r="N45" s="53">
        <v>4</v>
      </c>
      <c r="O45" s="53">
        <v>0.2</v>
      </c>
      <c r="P45" s="53">
        <v>0.2</v>
      </c>
      <c r="Q45" s="74">
        <f t="shared" si="0"/>
        <v>0.2</v>
      </c>
      <c r="R45" s="53">
        <v>16.7</v>
      </c>
      <c r="S45" s="53">
        <v>106</v>
      </c>
      <c r="T45" s="16">
        <f t="shared" si="1"/>
        <v>33</v>
      </c>
      <c r="U45" s="53">
        <v>278</v>
      </c>
      <c r="V45" s="16">
        <f t="shared" si="2"/>
        <v>2293.5</v>
      </c>
      <c r="W45" s="53">
        <v>7</v>
      </c>
      <c r="X45" s="53" t="s">
        <v>46</v>
      </c>
      <c r="Y45" s="53" t="s">
        <v>55</v>
      </c>
      <c r="Z45" s="53" t="s">
        <v>69</v>
      </c>
      <c r="AA45" s="53" t="s">
        <v>84</v>
      </c>
      <c r="AB45" s="53" t="s">
        <v>288</v>
      </c>
    </row>
    <row r="46" spans="1:28" x14ac:dyDescent="0.15">
      <c r="A46" s="53" t="s">
        <v>34</v>
      </c>
      <c r="B46" s="53" t="s">
        <v>232</v>
      </c>
      <c r="C46" s="53">
        <v>2019</v>
      </c>
      <c r="D46" s="176" t="s">
        <v>167</v>
      </c>
      <c r="E46" s="53" t="s">
        <v>374</v>
      </c>
      <c r="F46" s="53" t="s">
        <v>375</v>
      </c>
      <c r="G46" s="53" t="s">
        <v>36</v>
      </c>
      <c r="H46" s="53" t="s">
        <v>164</v>
      </c>
      <c r="I46" s="53" t="s">
        <v>159</v>
      </c>
      <c r="J46" s="53" t="s">
        <v>38</v>
      </c>
      <c r="K46" s="53" t="s">
        <v>161</v>
      </c>
      <c r="L46" s="53">
        <v>3</v>
      </c>
      <c r="N46" s="53">
        <v>4</v>
      </c>
      <c r="O46" s="53">
        <v>0.2</v>
      </c>
      <c r="P46" s="53">
        <v>0.2</v>
      </c>
      <c r="Q46" s="74">
        <f t="shared" si="0"/>
        <v>0.2</v>
      </c>
      <c r="R46" s="53">
        <v>14.4</v>
      </c>
      <c r="S46" s="53">
        <v>101</v>
      </c>
      <c r="T46" s="16">
        <f t="shared" si="1"/>
        <v>33</v>
      </c>
      <c r="U46" s="53">
        <v>278</v>
      </c>
      <c r="V46" s="16">
        <f t="shared" si="2"/>
        <v>2293.5</v>
      </c>
      <c r="W46" s="53">
        <v>7</v>
      </c>
      <c r="X46" s="53" t="s">
        <v>46</v>
      </c>
      <c r="Y46" s="53" t="s">
        <v>55</v>
      </c>
      <c r="Z46" s="53" t="s">
        <v>69</v>
      </c>
      <c r="AA46" s="53" t="s">
        <v>84</v>
      </c>
      <c r="AB46" s="53" t="s">
        <v>288</v>
      </c>
    </row>
    <row r="47" spans="1:28" x14ac:dyDescent="0.15">
      <c r="A47" s="53" t="s">
        <v>34</v>
      </c>
      <c r="B47" s="53" t="s">
        <v>232</v>
      </c>
      <c r="C47" s="53">
        <v>2019</v>
      </c>
      <c r="D47" s="176" t="s">
        <v>167</v>
      </c>
      <c r="E47" s="53" t="s">
        <v>374</v>
      </c>
      <c r="F47" s="53" t="s">
        <v>375</v>
      </c>
      <c r="G47" s="53" t="s">
        <v>36</v>
      </c>
      <c r="H47" s="53" t="s">
        <v>160</v>
      </c>
      <c r="I47" s="53" t="s">
        <v>159</v>
      </c>
      <c r="J47" s="53" t="s">
        <v>38</v>
      </c>
      <c r="K47" s="53" t="s">
        <v>161</v>
      </c>
      <c r="L47" s="53">
        <v>1</v>
      </c>
      <c r="N47" s="53">
        <v>10</v>
      </c>
      <c r="O47" s="53">
        <v>0.55000000000000004</v>
      </c>
      <c r="P47" s="53">
        <v>0.45</v>
      </c>
      <c r="Q47" s="74">
        <f t="shared" si="0"/>
        <v>0.5</v>
      </c>
      <c r="R47" s="53">
        <v>17</v>
      </c>
      <c r="S47" s="53">
        <v>103</v>
      </c>
      <c r="T47" s="16">
        <f t="shared" si="1"/>
        <v>33</v>
      </c>
      <c r="U47" s="53">
        <v>842</v>
      </c>
      <c r="V47" s="16">
        <f t="shared" si="2"/>
        <v>2778.6</v>
      </c>
      <c r="W47" s="53">
        <v>7</v>
      </c>
      <c r="X47" s="53" t="s">
        <v>46</v>
      </c>
      <c r="Y47" s="53" t="s">
        <v>55</v>
      </c>
      <c r="Z47" s="53" t="s">
        <v>69</v>
      </c>
      <c r="AA47" s="53" t="s">
        <v>84</v>
      </c>
      <c r="AB47" s="53" t="s">
        <v>288</v>
      </c>
    </row>
    <row r="48" spans="1:28" x14ac:dyDescent="0.15">
      <c r="A48" s="53" t="s">
        <v>34</v>
      </c>
      <c r="B48" s="53" t="s">
        <v>232</v>
      </c>
      <c r="C48" s="53">
        <v>2019</v>
      </c>
      <c r="D48" s="176" t="s">
        <v>167</v>
      </c>
      <c r="E48" s="53" t="s">
        <v>374</v>
      </c>
      <c r="F48" s="53" t="s">
        <v>375</v>
      </c>
      <c r="G48" s="53" t="s">
        <v>36</v>
      </c>
      <c r="H48" s="53" t="s">
        <v>160</v>
      </c>
      <c r="I48" s="53" t="s">
        <v>159</v>
      </c>
      <c r="J48" s="53" t="s">
        <v>38</v>
      </c>
      <c r="K48" s="53" t="s">
        <v>161</v>
      </c>
      <c r="L48" s="53">
        <v>2</v>
      </c>
      <c r="N48" s="53">
        <v>10</v>
      </c>
      <c r="O48" s="53">
        <v>0.65</v>
      </c>
      <c r="P48" s="53">
        <v>0.8</v>
      </c>
      <c r="Q48" s="74">
        <f t="shared" si="0"/>
        <v>0.72500000000000009</v>
      </c>
      <c r="R48" s="53">
        <v>14</v>
      </c>
      <c r="S48" s="53">
        <v>102</v>
      </c>
      <c r="T48" s="16">
        <f t="shared" si="1"/>
        <v>33</v>
      </c>
      <c r="U48" s="53">
        <v>842</v>
      </c>
      <c r="V48" s="16">
        <f t="shared" si="2"/>
        <v>2778.6</v>
      </c>
      <c r="W48" s="53">
        <v>7</v>
      </c>
      <c r="X48" s="53" t="s">
        <v>46</v>
      </c>
      <c r="Y48" s="53" t="s">
        <v>55</v>
      </c>
      <c r="Z48" s="53" t="s">
        <v>69</v>
      </c>
      <c r="AA48" s="53" t="s">
        <v>84</v>
      </c>
      <c r="AB48" s="53" t="s">
        <v>288</v>
      </c>
    </row>
    <row r="49" spans="1:28" x14ac:dyDescent="0.15">
      <c r="A49" s="53" t="s">
        <v>34</v>
      </c>
      <c r="B49" s="53" t="s">
        <v>232</v>
      </c>
      <c r="C49" s="53">
        <v>2019</v>
      </c>
      <c r="D49" s="176" t="s">
        <v>167</v>
      </c>
      <c r="E49" s="53" t="s">
        <v>374</v>
      </c>
      <c r="F49" s="53" t="s">
        <v>375</v>
      </c>
      <c r="G49" s="53" t="s">
        <v>36</v>
      </c>
      <c r="H49" s="53" t="s">
        <v>160</v>
      </c>
      <c r="I49" s="53" t="s">
        <v>159</v>
      </c>
      <c r="J49" s="53" t="s">
        <v>38</v>
      </c>
      <c r="K49" s="53" t="s">
        <v>161</v>
      </c>
      <c r="L49" s="53">
        <v>3</v>
      </c>
      <c r="N49" s="53">
        <v>10</v>
      </c>
      <c r="O49" s="53">
        <v>0.5</v>
      </c>
      <c r="P49" s="53">
        <v>0.5</v>
      </c>
      <c r="Q49" s="74">
        <f t="shared" si="0"/>
        <v>0.5</v>
      </c>
      <c r="R49" s="53">
        <v>17.100000000000001</v>
      </c>
      <c r="S49" s="53">
        <v>94</v>
      </c>
      <c r="T49" s="16">
        <f t="shared" si="1"/>
        <v>36</v>
      </c>
      <c r="U49" s="53">
        <v>842</v>
      </c>
      <c r="V49" s="16">
        <f t="shared" si="2"/>
        <v>3031.2000000000003</v>
      </c>
      <c r="W49" s="53">
        <v>7</v>
      </c>
      <c r="X49" s="53" t="s">
        <v>46</v>
      </c>
      <c r="Y49" s="53" t="s">
        <v>55</v>
      </c>
      <c r="Z49" s="53" t="s">
        <v>69</v>
      </c>
      <c r="AA49" s="53" t="s">
        <v>84</v>
      </c>
      <c r="AB49" s="53" t="s">
        <v>288</v>
      </c>
    </row>
    <row r="50" spans="1:28" x14ac:dyDescent="0.15">
      <c r="A50" s="53" t="s">
        <v>34</v>
      </c>
      <c r="B50" s="53" t="s">
        <v>232</v>
      </c>
      <c r="C50" s="53">
        <v>2019</v>
      </c>
      <c r="D50" s="176" t="s">
        <v>167</v>
      </c>
      <c r="E50" s="53" t="s">
        <v>383</v>
      </c>
      <c r="F50" s="53" t="s">
        <v>384</v>
      </c>
      <c r="G50" s="53" t="s">
        <v>36</v>
      </c>
      <c r="H50" s="53" t="s">
        <v>164</v>
      </c>
      <c r="I50" s="53" t="s">
        <v>159</v>
      </c>
      <c r="J50" s="53" t="s">
        <v>38</v>
      </c>
      <c r="K50" s="53" t="s">
        <v>161</v>
      </c>
      <c r="L50" s="53">
        <v>1</v>
      </c>
      <c r="N50" s="53">
        <v>1</v>
      </c>
      <c r="O50" s="53">
        <v>1.1000000000000001</v>
      </c>
      <c r="P50" s="53">
        <v>1.25</v>
      </c>
      <c r="Q50" s="74">
        <f t="shared" si="0"/>
        <v>1.175</v>
      </c>
      <c r="R50" s="53">
        <v>17.7</v>
      </c>
      <c r="S50" s="53">
        <v>118</v>
      </c>
      <c r="T50" s="16">
        <f t="shared" si="1"/>
        <v>30</v>
      </c>
      <c r="U50" s="53">
        <v>138</v>
      </c>
      <c r="V50" s="16">
        <f t="shared" si="2"/>
        <v>4140</v>
      </c>
      <c r="W50" s="53">
        <v>6</v>
      </c>
      <c r="X50" s="53" t="s">
        <v>46</v>
      </c>
      <c r="Y50" s="53" t="s">
        <v>55</v>
      </c>
      <c r="Z50" s="53" t="s">
        <v>69</v>
      </c>
      <c r="AA50" s="53" t="s">
        <v>97</v>
      </c>
      <c r="AB50" s="53" t="s">
        <v>288</v>
      </c>
    </row>
    <row r="51" spans="1:28" x14ac:dyDescent="0.15">
      <c r="A51" s="53" t="s">
        <v>34</v>
      </c>
      <c r="B51" s="53" t="s">
        <v>232</v>
      </c>
      <c r="C51" s="53">
        <v>2019</v>
      </c>
      <c r="D51" s="176" t="s">
        <v>167</v>
      </c>
      <c r="E51" s="53" t="s">
        <v>383</v>
      </c>
      <c r="F51" s="53" t="s">
        <v>384</v>
      </c>
      <c r="G51" s="53" t="s">
        <v>36</v>
      </c>
      <c r="H51" s="53" t="s">
        <v>164</v>
      </c>
      <c r="I51" s="53" t="s">
        <v>159</v>
      </c>
      <c r="J51" s="53" t="s">
        <v>38</v>
      </c>
      <c r="K51" s="53" t="s">
        <v>161</v>
      </c>
      <c r="L51" s="53">
        <v>2</v>
      </c>
      <c r="N51" s="53">
        <v>1</v>
      </c>
      <c r="O51" s="53">
        <v>0.2</v>
      </c>
      <c r="P51" s="53">
        <v>0.2</v>
      </c>
      <c r="Q51" s="74">
        <f t="shared" si="0"/>
        <v>0.2</v>
      </c>
      <c r="R51" s="53">
        <v>16.8</v>
      </c>
      <c r="S51" s="53">
        <v>119</v>
      </c>
      <c r="T51" s="16">
        <f t="shared" si="1"/>
        <v>30</v>
      </c>
      <c r="U51" s="53">
        <v>138</v>
      </c>
      <c r="V51" s="16">
        <f t="shared" si="2"/>
        <v>4140</v>
      </c>
      <c r="W51" s="53">
        <v>6</v>
      </c>
      <c r="X51" s="53" t="s">
        <v>46</v>
      </c>
      <c r="Y51" s="53" t="s">
        <v>55</v>
      </c>
      <c r="Z51" s="53" t="s">
        <v>69</v>
      </c>
      <c r="AA51" s="53" t="s">
        <v>97</v>
      </c>
      <c r="AB51" s="53" t="s">
        <v>288</v>
      </c>
    </row>
    <row r="52" spans="1:28" x14ac:dyDescent="0.15">
      <c r="A52" s="53" t="s">
        <v>34</v>
      </c>
      <c r="B52" s="53" t="s">
        <v>232</v>
      </c>
      <c r="C52" s="53">
        <v>2019</v>
      </c>
      <c r="D52" s="176" t="s">
        <v>167</v>
      </c>
      <c r="E52" s="53" t="s">
        <v>383</v>
      </c>
      <c r="F52" s="53" t="s">
        <v>384</v>
      </c>
      <c r="G52" s="53" t="s">
        <v>36</v>
      </c>
      <c r="H52" s="53" t="s">
        <v>164</v>
      </c>
      <c r="I52" s="53" t="s">
        <v>159</v>
      </c>
      <c r="J52" s="53" t="s">
        <v>38</v>
      </c>
      <c r="K52" s="53" t="s">
        <v>161</v>
      </c>
      <c r="L52" s="53">
        <v>3</v>
      </c>
      <c r="N52" s="53">
        <v>1</v>
      </c>
      <c r="O52" s="53">
        <v>1.45</v>
      </c>
      <c r="P52" s="53">
        <v>1.25</v>
      </c>
      <c r="Q52" s="74">
        <f t="shared" si="0"/>
        <v>1.35</v>
      </c>
      <c r="R52" s="53">
        <v>17.100000000000001</v>
      </c>
      <c r="S52" s="53">
        <v>123</v>
      </c>
      <c r="T52" s="16">
        <f t="shared" si="1"/>
        <v>30</v>
      </c>
      <c r="U52" s="53">
        <v>138</v>
      </c>
      <c r="V52" s="16">
        <f t="shared" si="2"/>
        <v>4140</v>
      </c>
      <c r="W52" s="53">
        <v>6</v>
      </c>
      <c r="X52" s="53" t="s">
        <v>46</v>
      </c>
      <c r="Y52" s="53" t="s">
        <v>55</v>
      </c>
      <c r="Z52" s="53" t="s">
        <v>69</v>
      </c>
      <c r="AA52" s="53" t="s">
        <v>97</v>
      </c>
      <c r="AB52" s="53" t="s">
        <v>288</v>
      </c>
    </row>
    <row r="53" spans="1:28" x14ac:dyDescent="0.15">
      <c r="A53" s="53" t="s">
        <v>34</v>
      </c>
      <c r="B53" s="53" t="s">
        <v>232</v>
      </c>
      <c r="C53" s="53">
        <v>2019</v>
      </c>
      <c r="D53" s="176" t="s">
        <v>167</v>
      </c>
      <c r="E53" s="53" t="s">
        <v>383</v>
      </c>
      <c r="F53" s="53" t="s">
        <v>384</v>
      </c>
      <c r="G53" s="53" t="s">
        <v>36</v>
      </c>
      <c r="H53" s="53" t="s">
        <v>164</v>
      </c>
      <c r="I53" s="53" t="s">
        <v>159</v>
      </c>
      <c r="J53" s="53" t="s">
        <v>38</v>
      </c>
      <c r="K53" s="53" t="s">
        <v>161</v>
      </c>
      <c r="L53" s="53">
        <v>1</v>
      </c>
      <c r="N53" s="53">
        <v>4</v>
      </c>
      <c r="O53" s="53">
        <v>0.7</v>
      </c>
      <c r="P53" s="53">
        <v>0.75</v>
      </c>
      <c r="Q53" s="74">
        <f t="shared" si="0"/>
        <v>0.72499999999999998</v>
      </c>
      <c r="R53" s="53">
        <v>16.600000000000001</v>
      </c>
      <c r="S53" s="53">
        <v>82</v>
      </c>
      <c r="T53" s="16">
        <f t="shared" si="1"/>
        <v>39</v>
      </c>
      <c r="U53" s="53">
        <v>429</v>
      </c>
      <c r="V53" s="16">
        <f t="shared" si="2"/>
        <v>4182.75</v>
      </c>
      <c r="W53" s="53">
        <v>6</v>
      </c>
      <c r="X53" s="53" t="s">
        <v>46</v>
      </c>
      <c r="Y53" s="53" t="s">
        <v>55</v>
      </c>
      <c r="Z53" s="53" t="s">
        <v>69</v>
      </c>
      <c r="AA53" s="53" t="s">
        <v>97</v>
      </c>
      <c r="AB53" s="53" t="s">
        <v>288</v>
      </c>
    </row>
    <row r="54" spans="1:28" x14ac:dyDescent="0.15">
      <c r="A54" s="53" t="s">
        <v>34</v>
      </c>
      <c r="B54" s="53" t="s">
        <v>232</v>
      </c>
      <c r="C54" s="53">
        <v>2019</v>
      </c>
      <c r="D54" s="176" t="s">
        <v>167</v>
      </c>
      <c r="E54" s="53" t="s">
        <v>383</v>
      </c>
      <c r="F54" s="53" t="s">
        <v>384</v>
      </c>
      <c r="G54" s="53" t="s">
        <v>36</v>
      </c>
      <c r="H54" s="53" t="s">
        <v>164</v>
      </c>
      <c r="I54" s="53" t="s">
        <v>159</v>
      </c>
      <c r="J54" s="53" t="s">
        <v>38</v>
      </c>
      <c r="K54" s="53" t="s">
        <v>161</v>
      </c>
      <c r="L54" s="53">
        <v>2</v>
      </c>
      <c r="N54" s="53">
        <v>4</v>
      </c>
      <c r="O54" s="53">
        <v>0.65</v>
      </c>
      <c r="P54" s="53">
        <v>0.7</v>
      </c>
      <c r="Q54" s="74">
        <f t="shared" si="0"/>
        <v>0.67500000000000004</v>
      </c>
      <c r="R54" s="53">
        <v>14.2</v>
      </c>
      <c r="S54" s="53">
        <v>88</v>
      </c>
      <c r="T54" s="16">
        <f t="shared" si="1"/>
        <v>36</v>
      </c>
      <c r="U54" s="53">
        <v>429</v>
      </c>
      <c r="V54" s="16">
        <f t="shared" si="2"/>
        <v>3861</v>
      </c>
      <c r="W54" s="53">
        <v>6</v>
      </c>
      <c r="X54" s="53" t="s">
        <v>46</v>
      </c>
      <c r="Y54" s="53" t="s">
        <v>55</v>
      </c>
      <c r="Z54" s="53" t="s">
        <v>69</v>
      </c>
      <c r="AA54" s="53" t="s">
        <v>97</v>
      </c>
      <c r="AB54" s="53" t="s">
        <v>288</v>
      </c>
    </row>
    <row r="55" spans="1:28" x14ac:dyDescent="0.15">
      <c r="A55" s="53" t="s">
        <v>34</v>
      </c>
      <c r="B55" s="53" t="s">
        <v>232</v>
      </c>
      <c r="C55" s="53">
        <v>2019</v>
      </c>
      <c r="D55" s="176" t="s">
        <v>167</v>
      </c>
      <c r="E55" s="53" t="s">
        <v>383</v>
      </c>
      <c r="F55" s="53" t="s">
        <v>384</v>
      </c>
      <c r="G55" s="53" t="s">
        <v>36</v>
      </c>
      <c r="H55" s="53" t="s">
        <v>164</v>
      </c>
      <c r="I55" s="53" t="s">
        <v>159</v>
      </c>
      <c r="J55" s="53" t="s">
        <v>38</v>
      </c>
      <c r="K55" s="53" t="s">
        <v>161</v>
      </c>
      <c r="L55" s="53">
        <v>3</v>
      </c>
      <c r="N55" s="53">
        <v>4</v>
      </c>
      <c r="O55" s="53">
        <v>0.85</v>
      </c>
      <c r="P55" s="53">
        <v>1.05</v>
      </c>
      <c r="Q55" s="74">
        <f t="shared" si="0"/>
        <v>0.95</v>
      </c>
      <c r="R55" s="53">
        <v>15.6</v>
      </c>
      <c r="S55" s="53">
        <v>91</v>
      </c>
      <c r="T55" s="16">
        <f t="shared" si="1"/>
        <v>36</v>
      </c>
      <c r="U55" s="53">
        <v>429</v>
      </c>
      <c r="V55" s="16">
        <f t="shared" si="2"/>
        <v>3861</v>
      </c>
      <c r="W55" s="53">
        <v>6</v>
      </c>
      <c r="X55" s="53" t="s">
        <v>46</v>
      </c>
      <c r="Y55" s="53" t="s">
        <v>55</v>
      </c>
      <c r="Z55" s="53" t="s">
        <v>69</v>
      </c>
      <c r="AA55" s="53" t="s">
        <v>97</v>
      </c>
      <c r="AB55" s="53" t="s">
        <v>288</v>
      </c>
    </row>
    <row r="56" spans="1:28" x14ac:dyDescent="0.15">
      <c r="A56" s="53" t="s">
        <v>34</v>
      </c>
      <c r="B56" s="53" t="s">
        <v>232</v>
      </c>
      <c r="C56" s="53">
        <v>2019</v>
      </c>
      <c r="D56" s="176" t="s">
        <v>167</v>
      </c>
      <c r="E56" s="53" t="s">
        <v>383</v>
      </c>
      <c r="F56" s="53" t="s">
        <v>384</v>
      </c>
      <c r="G56" s="53" t="s">
        <v>36</v>
      </c>
      <c r="H56" s="53" t="s">
        <v>164</v>
      </c>
      <c r="I56" s="53" t="s">
        <v>159</v>
      </c>
      <c r="J56" s="53" t="s">
        <v>38</v>
      </c>
      <c r="K56" s="53" t="s">
        <v>161</v>
      </c>
      <c r="L56" s="53">
        <v>1</v>
      </c>
      <c r="N56" s="53">
        <v>8</v>
      </c>
      <c r="O56" s="53">
        <v>0.45</v>
      </c>
      <c r="P56" s="53">
        <v>0.5</v>
      </c>
      <c r="Q56" s="74">
        <f t="shared" si="0"/>
        <v>0.47499999999999998</v>
      </c>
      <c r="R56" s="53">
        <v>14.9</v>
      </c>
      <c r="S56" s="53">
        <v>82</v>
      </c>
      <c r="T56" s="16">
        <f t="shared" si="1"/>
        <v>39</v>
      </c>
      <c r="U56" s="53">
        <v>753</v>
      </c>
      <c r="V56" s="16">
        <f t="shared" si="2"/>
        <v>3670.875</v>
      </c>
      <c r="W56" s="53">
        <v>6</v>
      </c>
      <c r="X56" s="53" t="s">
        <v>46</v>
      </c>
      <c r="Y56" s="53" t="s">
        <v>55</v>
      </c>
      <c r="Z56" s="53" t="s">
        <v>69</v>
      </c>
      <c r="AA56" s="53" t="s">
        <v>97</v>
      </c>
      <c r="AB56" s="53" t="s">
        <v>288</v>
      </c>
    </row>
    <row r="57" spans="1:28" x14ac:dyDescent="0.15">
      <c r="A57" s="53" t="s">
        <v>34</v>
      </c>
      <c r="B57" s="53" t="s">
        <v>232</v>
      </c>
      <c r="C57" s="53">
        <v>2019</v>
      </c>
      <c r="D57" s="176" t="s">
        <v>167</v>
      </c>
      <c r="E57" s="53" t="s">
        <v>383</v>
      </c>
      <c r="F57" s="53" t="s">
        <v>384</v>
      </c>
      <c r="G57" s="53" t="s">
        <v>36</v>
      </c>
      <c r="H57" s="53" t="s">
        <v>164</v>
      </c>
      <c r="I57" s="53" t="s">
        <v>159</v>
      </c>
      <c r="J57" s="53" t="s">
        <v>38</v>
      </c>
      <c r="K57" s="53" t="s">
        <v>161</v>
      </c>
      <c r="L57" s="53">
        <v>2</v>
      </c>
      <c r="N57" s="53">
        <v>8</v>
      </c>
      <c r="O57" s="53">
        <v>0.9</v>
      </c>
      <c r="P57" s="53">
        <v>0.8</v>
      </c>
      <c r="Q57" s="74">
        <f t="shared" si="0"/>
        <v>0.85000000000000009</v>
      </c>
      <c r="R57" s="53">
        <v>16.7</v>
      </c>
      <c r="S57" s="53">
        <v>84</v>
      </c>
      <c r="T57" s="16">
        <f t="shared" si="1"/>
        <v>36</v>
      </c>
      <c r="U57" s="53">
        <v>753</v>
      </c>
      <c r="V57" s="16">
        <f t="shared" si="2"/>
        <v>3388.5</v>
      </c>
      <c r="W57" s="53">
        <v>6</v>
      </c>
      <c r="X57" s="53" t="s">
        <v>46</v>
      </c>
      <c r="Y57" s="53" t="s">
        <v>55</v>
      </c>
      <c r="Z57" s="53" t="s">
        <v>69</v>
      </c>
      <c r="AA57" s="53" t="s">
        <v>97</v>
      </c>
      <c r="AB57" s="53" t="s">
        <v>288</v>
      </c>
    </row>
    <row r="58" spans="1:28" x14ac:dyDescent="0.15">
      <c r="A58" s="53" t="s">
        <v>34</v>
      </c>
      <c r="B58" s="53" t="s">
        <v>232</v>
      </c>
      <c r="C58" s="53">
        <v>2019</v>
      </c>
      <c r="D58" s="176" t="s">
        <v>167</v>
      </c>
      <c r="E58" s="53" t="s">
        <v>383</v>
      </c>
      <c r="F58" s="53" t="s">
        <v>384</v>
      </c>
      <c r="G58" s="53" t="s">
        <v>36</v>
      </c>
      <c r="H58" s="53" t="s">
        <v>164</v>
      </c>
      <c r="I58" s="53" t="s">
        <v>159</v>
      </c>
      <c r="J58" s="53" t="s">
        <v>38</v>
      </c>
      <c r="K58" s="53" t="s">
        <v>161</v>
      </c>
      <c r="L58" s="53">
        <v>3</v>
      </c>
      <c r="N58" s="53">
        <v>8</v>
      </c>
      <c r="O58" s="53">
        <v>0.55000000000000004</v>
      </c>
      <c r="P58" s="53">
        <v>0.6</v>
      </c>
      <c r="Q58" s="74">
        <f t="shared" si="0"/>
        <v>0.57499999999999996</v>
      </c>
      <c r="R58" s="53">
        <v>17.399999999999999</v>
      </c>
      <c r="S58" s="53">
        <v>91</v>
      </c>
      <c r="T58" s="16">
        <f t="shared" si="1"/>
        <v>36</v>
      </c>
      <c r="U58" s="53">
        <v>753</v>
      </c>
      <c r="V58" s="16">
        <f t="shared" si="2"/>
        <v>3388.5</v>
      </c>
      <c r="W58" s="53">
        <v>6</v>
      </c>
      <c r="X58" s="53" t="s">
        <v>46</v>
      </c>
      <c r="Y58" s="53" t="s">
        <v>55</v>
      </c>
      <c r="Z58" s="53" t="s">
        <v>69</v>
      </c>
      <c r="AA58" s="53" t="s">
        <v>97</v>
      </c>
      <c r="AB58" s="53" t="s">
        <v>288</v>
      </c>
    </row>
    <row r="59" spans="1:28" x14ac:dyDescent="0.15">
      <c r="A59" s="53" t="s">
        <v>34</v>
      </c>
      <c r="B59" s="53" t="s">
        <v>232</v>
      </c>
      <c r="C59" s="53">
        <v>2019</v>
      </c>
      <c r="D59" s="176" t="s">
        <v>167</v>
      </c>
      <c r="E59" s="53" t="s">
        <v>383</v>
      </c>
      <c r="F59" s="53" t="s">
        <v>384</v>
      </c>
      <c r="G59" s="53" t="s">
        <v>36</v>
      </c>
      <c r="H59" s="53" t="s">
        <v>160</v>
      </c>
      <c r="I59" s="53" t="s">
        <v>159</v>
      </c>
      <c r="J59" s="53" t="s">
        <v>38</v>
      </c>
      <c r="K59" s="53" t="s">
        <v>161</v>
      </c>
      <c r="L59" s="53">
        <v>1</v>
      </c>
      <c r="N59" s="53">
        <v>1</v>
      </c>
      <c r="O59" s="53">
        <v>0.6</v>
      </c>
      <c r="P59" s="53">
        <v>0.6</v>
      </c>
      <c r="Q59" s="74">
        <f t="shared" si="0"/>
        <v>0.6</v>
      </c>
      <c r="R59" s="53">
        <v>18.100000000000001</v>
      </c>
      <c r="S59" s="53">
        <v>115</v>
      </c>
      <c r="T59" s="16">
        <f t="shared" si="1"/>
        <v>30</v>
      </c>
      <c r="U59" s="53">
        <v>105</v>
      </c>
      <c r="V59" s="16">
        <f t="shared" si="2"/>
        <v>3150</v>
      </c>
      <c r="W59" s="53">
        <v>12</v>
      </c>
      <c r="X59" s="53" t="s">
        <v>46</v>
      </c>
      <c r="Y59" s="53" t="s">
        <v>55</v>
      </c>
      <c r="Z59" s="53" t="s">
        <v>69</v>
      </c>
      <c r="AA59" s="53" t="s">
        <v>97</v>
      </c>
      <c r="AB59" s="53" t="s">
        <v>288</v>
      </c>
    </row>
    <row r="60" spans="1:28" x14ac:dyDescent="0.15">
      <c r="A60" s="53" t="s">
        <v>34</v>
      </c>
      <c r="B60" s="53" t="s">
        <v>232</v>
      </c>
      <c r="C60" s="53">
        <v>2019</v>
      </c>
      <c r="D60" s="176" t="s">
        <v>167</v>
      </c>
      <c r="E60" s="53" t="s">
        <v>383</v>
      </c>
      <c r="F60" s="53" t="s">
        <v>384</v>
      </c>
      <c r="G60" s="53" t="s">
        <v>36</v>
      </c>
      <c r="H60" s="53" t="s">
        <v>160</v>
      </c>
      <c r="I60" s="53" t="s">
        <v>159</v>
      </c>
      <c r="J60" s="53" t="s">
        <v>38</v>
      </c>
      <c r="K60" s="53" t="s">
        <v>161</v>
      </c>
      <c r="L60" s="53">
        <v>2</v>
      </c>
      <c r="N60" s="53">
        <v>1</v>
      </c>
      <c r="O60" s="53">
        <v>0.5</v>
      </c>
      <c r="P60" s="53">
        <v>0.45</v>
      </c>
      <c r="Q60" s="74">
        <f t="shared" si="0"/>
        <v>0.47499999999999998</v>
      </c>
      <c r="R60" s="53">
        <v>17.7</v>
      </c>
      <c r="S60" s="53">
        <v>109</v>
      </c>
      <c r="T60" s="16">
        <f t="shared" si="1"/>
        <v>33</v>
      </c>
      <c r="U60" s="53">
        <v>105</v>
      </c>
      <c r="V60" s="16">
        <f t="shared" si="2"/>
        <v>3465</v>
      </c>
      <c r="W60" s="53">
        <v>12</v>
      </c>
      <c r="X60" s="53" t="s">
        <v>46</v>
      </c>
      <c r="Y60" s="53" t="s">
        <v>55</v>
      </c>
      <c r="Z60" s="53" t="s">
        <v>69</v>
      </c>
      <c r="AA60" s="53" t="s">
        <v>97</v>
      </c>
      <c r="AB60" s="53" t="s">
        <v>288</v>
      </c>
    </row>
    <row r="61" spans="1:28" x14ac:dyDescent="0.15">
      <c r="A61" s="53" t="s">
        <v>34</v>
      </c>
      <c r="B61" s="53" t="s">
        <v>232</v>
      </c>
      <c r="C61" s="53">
        <v>2019</v>
      </c>
      <c r="D61" s="176" t="s">
        <v>167</v>
      </c>
      <c r="E61" s="53" t="s">
        <v>383</v>
      </c>
      <c r="F61" s="53" t="s">
        <v>384</v>
      </c>
      <c r="G61" s="53" t="s">
        <v>36</v>
      </c>
      <c r="H61" s="53" t="s">
        <v>160</v>
      </c>
      <c r="I61" s="53" t="s">
        <v>159</v>
      </c>
      <c r="J61" s="53" t="s">
        <v>38</v>
      </c>
      <c r="K61" s="53" t="s">
        <v>161</v>
      </c>
      <c r="L61" s="53">
        <v>3</v>
      </c>
      <c r="N61" s="53">
        <v>1</v>
      </c>
      <c r="O61" s="53">
        <v>0.55000000000000004</v>
      </c>
      <c r="P61" s="53">
        <v>0.5</v>
      </c>
      <c r="Q61" s="74">
        <f t="shared" si="0"/>
        <v>0.52500000000000002</v>
      </c>
      <c r="R61" s="53">
        <v>18.399999999999999</v>
      </c>
      <c r="S61" s="53">
        <v>104</v>
      </c>
      <c r="T61" s="16">
        <f t="shared" si="1"/>
        <v>33</v>
      </c>
      <c r="U61" s="53">
        <v>105</v>
      </c>
      <c r="V61" s="16">
        <f t="shared" si="2"/>
        <v>3465</v>
      </c>
      <c r="W61" s="53">
        <v>12</v>
      </c>
      <c r="X61" s="53" t="s">
        <v>46</v>
      </c>
      <c r="Y61" s="53" t="s">
        <v>55</v>
      </c>
      <c r="Z61" s="53" t="s">
        <v>69</v>
      </c>
      <c r="AA61" s="53" t="s">
        <v>97</v>
      </c>
      <c r="AB61" s="53" t="s">
        <v>288</v>
      </c>
    </row>
    <row r="62" spans="1:28" x14ac:dyDescent="0.15">
      <c r="A62" s="53" t="s">
        <v>34</v>
      </c>
      <c r="B62" s="53" t="s">
        <v>232</v>
      </c>
      <c r="C62" s="53">
        <v>2019</v>
      </c>
      <c r="D62" s="176" t="s">
        <v>167</v>
      </c>
      <c r="E62" s="53" t="s">
        <v>383</v>
      </c>
      <c r="F62" s="53" t="s">
        <v>384</v>
      </c>
      <c r="G62" s="53" t="s">
        <v>36</v>
      </c>
      <c r="H62" s="53" t="s">
        <v>160</v>
      </c>
      <c r="I62" s="53" t="s">
        <v>159</v>
      </c>
      <c r="J62" s="53" t="s">
        <v>38</v>
      </c>
      <c r="K62" s="53" t="s">
        <v>161</v>
      </c>
      <c r="L62" s="53">
        <v>1</v>
      </c>
      <c r="N62" s="53">
        <v>4</v>
      </c>
      <c r="O62" s="53">
        <v>0.5</v>
      </c>
      <c r="P62" s="53">
        <v>0.5</v>
      </c>
      <c r="Q62" s="74">
        <f t="shared" si="0"/>
        <v>0.5</v>
      </c>
      <c r="R62" s="53">
        <v>17.600000000000001</v>
      </c>
      <c r="S62" s="53">
        <v>98</v>
      </c>
      <c r="T62" s="16">
        <f t="shared" si="1"/>
        <v>36</v>
      </c>
      <c r="U62" s="53">
        <v>537</v>
      </c>
      <c r="V62" s="16">
        <f t="shared" si="2"/>
        <v>4833</v>
      </c>
      <c r="W62" s="53">
        <v>12</v>
      </c>
      <c r="X62" s="53" t="s">
        <v>46</v>
      </c>
      <c r="Y62" s="53" t="s">
        <v>55</v>
      </c>
      <c r="Z62" s="53" t="s">
        <v>69</v>
      </c>
      <c r="AA62" s="53" t="s">
        <v>97</v>
      </c>
      <c r="AB62" s="53" t="s">
        <v>288</v>
      </c>
    </row>
    <row r="63" spans="1:28" x14ac:dyDescent="0.15">
      <c r="A63" s="53" t="s">
        <v>34</v>
      </c>
      <c r="B63" s="53" t="s">
        <v>232</v>
      </c>
      <c r="C63" s="53">
        <v>2019</v>
      </c>
      <c r="D63" s="176" t="s">
        <v>167</v>
      </c>
      <c r="E63" s="53" t="s">
        <v>383</v>
      </c>
      <c r="F63" s="53" t="s">
        <v>384</v>
      </c>
      <c r="G63" s="53" t="s">
        <v>36</v>
      </c>
      <c r="H63" s="53" t="s">
        <v>160</v>
      </c>
      <c r="I63" s="53" t="s">
        <v>159</v>
      </c>
      <c r="J63" s="53" t="s">
        <v>38</v>
      </c>
      <c r="K63" s="53" t="s">
        <v>161</v>
      </c>
      <c r="L63" s="53">
        <v>2</v>
      </c>
      <c r="N63" s="53">
        <v>4</v>
      </c>
      <c r="O63" s="53">
        <v>0.45</v>
      </c>
      <c r="P63" s="53">
        <v>0.5</v>
      </c>
      <c r="Q63" s="74">
        <f t="shared" si="0"/>
        <v>0.47499999999999998</v>
      </c>
      <c r="R63" s="53">
        <v>17</v>
      </c>
      <c r="S63" s="53">
        <v>100</v>
      </c>
      <c r="T63" s="16">
        <f t="shared" si="1"/>
        <v>33</v>
      </c>
      <c r="U63" s="53">
        <v>537</v>
      </c>
      <c r="V63" s="16">
        <f t="shared" si="2"/>
        <v>4430.25</v>
      </c>
      <c r="W63" s="53">
        <v>12</v>
      </c>
      <c r="X63" s="53" t="s">
        <v>46</v>
      </c>
      <c r="Y63" s="53" t="s">
        <v>55</v>
      </c>
      <c r="Z63" s="53" t="s">
        <v>69</v>
      </c>
      <c r="AA63" s="53" t="s">
        <v>97</v>
      </c>
      <c r="AB63" s="53" t="s">
        <v>288</v>
      </c>
    </row>
    <row r="64" spans="1:28" x14ac:dyDescent="0.15">
      <c r="A64" s="53" t="s">
        <v>34</v>
      </c>
      <c r="B64" s="53" t="s">
        <v>232</v>
      </c>
      <c r="C64" s="53">
        <v>2019</v>
      </c>
      <c r="D64" s="176" t="s">
        <v>167</v>
      </c>
      <c r="E64" s="53" t="s">
        <v>383</v>
      </c>
      <c r="F64" s="53" t="s">
        <v>384</v>
      </c>
      <c r="G64" s="53" t="s">
        <v>36</v>
      </c>
      <c r="H64" s="53" t="s">
        <v>160</v>
      </c>
      <c r="I64" s="53" t="s">
        <v>159</v>
      </c>
      <c r="J64" s="53" t="s">
        <v>38</v>
      </c>
      <c r="K64" s="53" t="s">
        <v>161</v>
      </c>
      <c r="L64" s="53">
        <v>3</v>
      </c>
      <c r="N64" s="53">
        <v>4</v>
      </c>
      <c r="O64" s="53">
        <v>0.55000000000000004</v>
      </c>
      <c r="P64" s="53">
        <v>0.55000000000000004</v>
      </c>
      <c r="Q64" s="74">
        <f t="shared" si="0"/>
        <v>0.55000000000000004</v>
      </c>
      <c r="R64" s="53">
        <v>17.899999999999999</v>
      </c>
      <c r="S64" s="53">
        <v>103</v>
      </c>
      <c r="T64" s="16">
        <f t="shared" si="1"/>
        <v>33</v>
      </c>
      <c r="U64" s="53">
        <v>537</v>
      </c>
      <c r="V64" s="16">
        <f t="shared" si="2"/>
        <v>4430.25</v>
      </c>
      <c r="W64" s="53">
        <v>12</v>
      </c>
      <c r="X64" s="53" t="s">
        <v>46</v>
      </c>
      <c r="Y64" s="53" t="s">
        <v>55</v>
      </c>
      <c r="Z64" s="53" t="s">
        <v>69</v>
      </c>
      <c r="AA64" s="53" t="s">
        <v>97</v>
      </c>
      <c r="AB64" s="53" t="s">
        <v>288</v>
      </c>
    </row>
    <row r="65" spans="1:28" x14ac:dyDescent="0.15">
      <c r="A65" s="53" t="s">
        <v>34</v>
      </c>
      <c r="B65" s="53" t="s">
        <v>232</v>
      </c>
      <c r="C65" s="53">
        <v>2019</v>
      </c>
      <c r="D65" s="176" t="s">
        <v>167</v>
      </c>
      <c r="E65" s="53" t="s">
        <v>383</v>
      </c>
      <c r="F65" s="53" t="s">
        <v>384</v>
      </c>
      <c r="G65" s="53" t="s">
        <v>36</v>
      </c>
      <c r="H65" s="53" t="s">
        <v>160</v>
      </c>
      <c r="I65" s="53" t="s">
        <v>159</v>
      </c>
      <c r="J65" s="53" t="s">
        <v>38</v>
      </c>
      <c r="K65" s="53" t="s">
        <v>161</v>
      </c>
      <c r="L65" s="53">
        <v>1</v>
      </c>
      <c r="N65" s="53">
        <v>8</v>
      </c>
      <c r="O65" s="53">
        <v>0.2</v>
      </c>
      <c r="P65" s="53">
        <v>0.2</v>
      </c>
      <c r="Q65" s="74">
        <f t="shared" si="0"/>
        <v>0.2</v>
      </c>
      <c r="R65" s="53">
        <v>20.100000000000001</v>
      </c>
      <c r="S65" s="53">
        <v>96</v>
      </c>
      <c r="T65" s="16">
        <f t="shared" si="1"/>
        <v>36</v>
      </c>
      <c r="U65" s="53">
        <v>645</v>
      </c>
      <c r="V65" s="16">
        <f t="shared" si="2"/>
        <v>2902.5</v>
      </c>
      <c r="W65" s="53">
        <v>12</v>
      </c>
      <c r="X65" s="53" t="s">
        <v>46</v>
      </c>
      <c r="Y65" s="53" t="s">
        <v>55</v>
      </c>
      <c r="Z65" s="53" t="s">
        <v>69</v>
      </c>
      <c r="AA65" s="53" t="s">
        <v>97</v>
      </c>
      <c r="AB65" s="53" t="s">
        <v>288</v>
      </c>
    </row>
    <row r="66" spans="1:28" x14ac:dyDescent="0.15">
      <c r="A66" s="53" t="s">
        <v>34</v>
      </c>
      <c r="B66" s="53" t="s">
        <v>232</v>
      </c>
      <c r="C66" s="53">
        <v>2019</v>
      </c>
      <c r="D66" s="176" t="s">
        <v>167</v>
      </c>
      <c r="E66" s="53" t="s">
        <v>383</v>
      </c>
      <c r="F66" s="53" t="s">
        <v>384</v>
      </c>
      <c r="G66" s="53" t="s">
        <v>36</v>
      </c>
      <c r="H66" s="53" t="s">
        <v>160</v>
      </c>
      <c r="I66" s="53" t="s">
        <v>159</v>
      </c>
      <c r="J66" s="53" t="s">
        <v>38</v>
      </c>
      <c r="K66" s="53" t="s">
        <v>161</v>
      </c>
      <c r="L66" s="53">
        <v>2</v>
      </c>
      <c r="N66" s="53">
        <v>8</v>
      </c>
      <c r="O66" s="53">
        <v>0.5</v>
      </c>
      <c r="P66" s="53">
        <v>0.65</v>
      </c>
      <c r="Q66" s="74">
        <f t="shared" si="0"/>
        <v>0.57499999999999996</v>
      </c>
      <c r="R66" s="53">
        <v>19.5</v>
      </c>
      <c r="S66" s="53">
        <v>94</v>
      </c>
      <c r="T66" s="16">
        <f t="shared" si="1"/>
        <v>36</v>
      </c>
      <c r="U66" s="53">
        <v>645</v>
      </c>
      <c r="V66" s="16">
        <f t="shared" si="2"/>
        <v>2902.5</v>
      </c>
      <c r="W66" s="53">
        <v>12</v>
      </c>
      <c r="X66" s="53" t="s">
        <v>46</v>
      </c>
      <c r="Y66" s="53" t="s">
        <v>55</v>
      </c>
      <c r="Z66" s="53" t="s">
        <v>69</v>
      </c>
      <c r="AA66" s="53" t="s">
        <v>97</v>
      </c>
      <c r="AB66" s="53" t="s">
        <v>288</v>
      </c>
    </row>
    <row r="67" spans="1:28" x14ac:dyDescent="0.15">
      <c r="A67" s="53" t="s">
        <v>34</v>
      </c>
      <c r="B67" s="53" t="s">
        <v>232</v>
      </c>
      <c r="C67" s="53">
        <v>2019</v>
      </c>
      <c r="D67" s="176" t="s">
        <v>167</v>
      </c>
      <c r="E67" s="53" t="s">
        <v>383</v>
      </c>
      <c r="F67" s="53" t="s">
        <v>384</v>
      </c>
      <c r="G67" s="53" t="s">
        <v>36</v>
      </c>
      <c r="H67" s="53" t="s">
        <v>160</v>
      </c>
      <c r="I67" s="53" t="s">
        <v>159</v>
      </c>
      <c r="J67" s="53" t="s">
        <v>38</v>
      </c>
      <c r="K67" s="53" t="s">
        <v>161</v>
      </c>
      <c r="L67" s="53">
        <v>3</v>
      </c>
      <c r="N67" s="53">
        <v>8</v>
      </c>
      <c r="O67" s="53">
        <v>0.5</v>
      </c>
      <c r="P67" s="53">
        <v>0.5</v>
      </c>
      <c r="Q67" s="74">
        <f t="shared" si="0"/>
        <v>0.5</v>
      </c>
      <c r="R67" s="53">
        <v>18.8</v>
      </c>
      <c r="S67" s="53">
        <v>95</v>
      </c>
      <c r="T67" s="16">
        <f t="shared" si="1"/>
        <v>36</v>
      </c>
      <c r="U67" s="53">
        <v>645</v>
      </c>
      <c r="V67" s="16">
        <f t="shared" si="2"/>
        <v>2902.5</v>
      </c>
      <c r="W67" s="53">
        <v>12</v>
      </c>
      <c r="X67" s="53" t="s">
        <v>46</v>
      </c>
      <c r="Y67" s="53" t="s">
        <v>55</v>
      </c>
      <c r="Z67" s="53" t="s">
        <v>69</v>
      </c>
      <c r="AA67" s="53" t="s">
        <v>97</v>
      </c>
      <c r="AB67" s="53" t="s">
        <v>288</v>
      </c>
    </row>
    <row r="68" spans="1:28" x14ac:dyDescent="0.15">
      <c r="A68" s="53" t="s">
        <v>34</v>
      </c>
      <c r="B68" s="53" t="s">
        <v>232</v>
      </c>
      <c r="C68" s="53">
        <v>2019</v>
      </c>
      <c r="D68" s="176" t="s">
        <v>167</v>
      </c>
      <c r="E68" s="53" t="s">
        <v>373</v>
      </c>
      <c r="F68" s="53" t="s">
        <v>372</v>
      </c>
      <c r="G68" s="53" t="s">
        <v>36</v>
      </c>
      <c r="H68" s="53" t="s">
        <v>160</v>
      </c>
      <c r="I68" s="53" t="s">
        <v>159</v>
      </c>
      <c r="J68" s="53" t="s">
        <v>38</v>
      </c>
      <c r="K68" s="53" t="s">
        <v>161</v>
      </c>
      <c r="L68" s="53">
        <v>1</v>
      </c>
      <c r="N68" s="53">
        <v>1</v>
      </c>
      <c r="O68" s="53">
        <v>0.7</v>
      </c>
      <c r="P68" s="53">
        <v>0.7</v>
      </c>
      <c r="Q68" s="74">
        <f t="shared" si="0"/>
        <v>0.7</v>
      </c>
      <c r="R68" s="53">
        <v>20.3</v>
      </c>
      <c r="S68" s="53">
        <v>121</v>
      </c>
      <c r="T68" s="16">
        <f t="shared" si="1"/>
        <v>30</v>
      </c>
      <c r="U68" s="53">
        <v>105</v>
      </c>
      <c r="V68" s="16">
        <f t="shared" si="2"/>
        <v>3150</v>
      </c>
      <c r="W68" s="53">
        <v>7</v>
      </c>
      <c r="X68" s="53" t="s">
        <v>46</v>
      </c>
      <c r="Y68" s="53" t="s">
        <v>47</v>
      </c>
      <c r="Z68" s="53" t="s">
        <v>86</v>
      </c>
      <c r="AA68" s="53" t="s">
        <v>69</v>
      </c>
      <c r="AB68" s="53" t="s">
        <v>288</v>
      </c>
    </row>
    <row r="69" spans="1:28" x14ac:dyDescent="0.15">
      <c r="A69" s="53" t="s">
        <v>34</v>
      </c>
      <c r="B69" s="53" t="s">
        <v>232</v>
      </c>
      <c r="C69" s="53">
        <v>2019</v>
      </c>
      <c r="D69" s="176" t="s">
        <v>167</v>
      </c>
      <c r="E69" s="53" t="s">
        <v>373</v>
      </c>
      <c r="F69" s="53" t="s">
        <v>372</v>
      </c>
      <c r="G69" s="53" t="s">
        <v>36</v>
      </c>
      <c r="H69" s="53" t="s">
        <v>160</v>
      </c>
      <c r="I69" s="53" t="s">
        <v>159</v>
      </c>
      <c r="J69" s="53" t="s">
        <v>38</v>
      </c>
      <c r="K69" s="53" t="s">
        <v>161</v>
      </c>
      <c r="L69" s="53">
        <v>2</v>
      </c>
      <c r="N69" s="53">
        <v>1</v>
      </c>
      <c r="O69" s="53">
        <v>0.2</v>
      </c>
      <c r="P69" s="53">
        <v>0.5</v>
      </c>
      <c r="Q69" s="74">
        <f t="shared" si="0"/>
        <v>0.35</v>
      </c>
      <c r="R69" s="53">
        <v>17</v>
      </c>
      <c r="S69" s="53">
        <v>122</v>
      </c>
      <c r="T69" s="16">
        <f t="shared" si="1"/>
        <v>30</v>
      </c>
      <c r="U69" s="53">
        <v>105</v>
      </c>
      <c r="V69" s="16">
        <f t="shared" si="2"/>
        <v>3150</v>
      </c>
      <c r="W69" s="53">
        <v>7</v>
      </c>
      <c r="X69" s="53" t="s">
        <v>46</v>
      </c>
      <c r="Y69" s="53" t="s">
        <v>47</v>
      </c>
      <c r="Z69" s="53" t="s">
        <v>86</v>
      </c>
      <c r="AA69" s="53" t="s">
        <v>69</v>
      </c>
      <c r="AB69" s="53" t="s">
        <v>288</v>
      </c>
    </row>
    <row r="70" spans="1:28" x14ac:dyDescent="0.15">
      <c r="A70" s="53" t="s">
        <v>34</v>
      </c>
      <c r="B70" s="53" t="s">
        <v>232</v>
      </c>
      <c r="C70" s="53">
        <v>2019</v>
      </c>
      <c r="D70" s="176" t="s">
        <v>167</v>
      </c>
      <c r="E70" s="53" t="s">
        <v>373</v>
      </c>
      <c r="F70" s="53" t="s">
        <v>372</v>
      </c>
      <c r="G70" s="53" t="s">
        <v>36</v>
      </c>
      <c r="H70" s="53" t="s">
        <v>160</v>
      </c>
      <c r="I70" s="53" t="s">
        <v>159</v>
      </c>
      <c r="J70" s="53" t="s">
        <v>38</v>
      </c>
      <c r="K70" s="53" t="s">
        <v>161</v>
      </c>
      <c r="L70" s="53">
        <v>3</v>
      </c>
      <c r="N70" s="53">
        <v>1</v>
      </c>
      <c r="O70" s="53">
        <v>0.6</v>
      </c>
      <c r="P70" s="53">
        <v>0.55000000000000004</v>
      </c>
      <c r="Q70" s="74">
        <f t="shared" si="0"/>
        <v>0.57499999999999996</v>
      </c>
      <c r="R70" s="53">
        <v>18.399999999999999</v>
      </c>
      <c r="S70" s="53">
        <v>117</v>
      </c>
      <c r="T70" s="16">
        <f t="shared" si="1"/>
        <v>30</v>
      </c>
      <c r="U70" s="53">
        <v>105</v>
      </c>
      <c r="V70" s="16">
        <f t="shared" si="2"/>
        <v>3150</v>
      </c>
      <c r="W70" s="53">
        <v>7</v>
      </c>
      <c r="X70" s="53" t="s">
        <v>46</v>
      </c>
      <c r="Y70" s="53" t="s">
        <v>47</v>
      </c>
      <c r="Z70" s="53" t="s">
        <v>86</v>
      </c>
      <c r="AA70" s="53" t="s">
        <v>69</v>
      </c>
      <c r="AB70" s="53" t="s">
        <v>288</v>
      </c>
    </row>
    <row r="71" spans="1:28" x14ac:dyDescent="0.15">
      <c r="A71" s="53" t="s">
        <v>34</v>
      </c>
      <c r="B71" s="53" t="s">
        <v>232</v>
      </c>
      <c r="C71" s="53">
        <v>2019</v>
      </c>
      <c r="D71" s="176" t="s">
        <v>167</v>
      </c>
      <c r="E71" s="53" t="s">
        <v>373</v>
      </c>
      <c r="F71" s="53" t="s">
        <v>372</v>
      </c>
      <c r="G71" s="53" t="s">
        <v>36</v>
      </c>
      <c r="H71" s="53" t="s">
        <v>160</v>
      </c>
      <c r="I71" s="53" t="s">
        <v>159</v>
      </c>
      <c r="J71" s="53" t="s">
        <v>38</v>
      </c>
      <c r="K71" s="53" t="s">
        <v>161</v>
      </c>
      <c r="L71" s="53">
        <v>1</v>
      </c>
      <c r="N71" s="53">
        <v>4</v>
      </c>
      <c r="O71" s="53">
        <v>0.55000000000000004</v>
      </c>
      <c r="P71" s="53">
        <v>0.55000000000000004</v>
      </c>
      <c r="Q71" s="74">
        <f t="shared" si="0"/>
        <v>0.55000000000000004</v>
      </c>
      <c r="R71" s="53">
        <v>18.399999999999999</v>
      </c>
      <c r="S71" s="53">
        <v>109</v>
      </c>
      <c r="T71" s="16">
        <f t="shared" si="1"/>
        <v>33</v>
      </c>
      <c r="U71" s="53">
        <v>429</v>
      </c>
      <c r="V71" s="16">
        <f t="shared" si="2"/>
        <v>3539.25</v>
      </c>
      <c r="W71" s="53">
        <v>7</v>
      </c>
      <c r="X71" s="53" t="s">
        <v>46</v>
      </c>
      <c r="Y71" s="53" t="s">
        <v>47</v>
      </c>
      <c r="Z71" s="53" t="s">
        <v>86</v>
      </c>
      <c r="AA71" s="53" t="s">
        <v>69</v>
      </c>
      <c r="AB71" s="53" t="s">
        <v>288</v>
      </c>
    </row>
    <row r="72" spans="1:28" x14ac:dyDescent="0.15">
      <c r="A72" s="53" t="s">
        <v>34</v>
      </c>
      <c r="B72" s="53" t="s">
        <v>232</v>
      </c>
      <c r="C72" s="53">
        <v>2019</v>
      </c>
      <c r="D72" s="176" t="s">
        <v>167</v>
      </c>
      <c r="E72" s="53" t="s">
        <v>373</v>
      </c>
      <c r="F72" s="53" t="s">
        <v>372</v>
      </c>
      <c r="G72" s="53" t="s">
        <v>36</v>
      </c>
      <c r="H72" s="53" t="s">
        <v>160</v>
      </c>
      <c r="I72" s="53" t="s">
        <v>159</v>
      </c>
      <c r="J72" s="53" t="s">
        <v>38</v>
      </c>
      <c r="K72" s="53" t="s">
        <v>161</v>
      </c>
      <c r="L72" s="53">
        <v>2</v>
      </c>
      <c r="N72" s="53">
        <v>4</v>
      </c>
      <c r="O72" s="53">
        <v>0.7</v>
      </c>
      <c r="P72" s="53">
        <v>0.65</v>
      </c>
      <c r="Q72" s="74">
        <f t="shared" si="0"/>
        <v>0.67500000000000004</v>
      </c>
      <c r="R72" s="53">
        <v>16.8</v>
      </c>
      <c r="S72" s="53">
        <v>117</v>
      </c>
      <c r="T72" s="16">
        <f t="shared" si="1"/>
        <v>30</v>
      </c>
      <c r="U72" s="53">
        <v>429</v>
      </c>
      <c r="V72" s="16">
        <f t="shared" si="2"/>
        <v>3217.5</v>
      </c>
      <c r="W72" s="53">
        <v>7</v>
      </c>
      <c r="X72" s="53" t="s">
        <v>46</v>
      </c>
      <c r="Y72" s="53" t="s">
        <v>47</v>
      </c>
      <c r="Z72" s="53" t="s">
        <v>86</v>
      </c>
      <c r="AA72" s="53" t="s">
        <v>69</v>
      </c>
      <c r="AB72" s="53" t="s">
        <v>288</v>
      </c>
    </row>
    <row r="73" spans="1:28" x14ac:dyDescent="0.15">
      <c r="A73" s="53" t="s">
        <v>34</v>
      </c>
      <c r="B73" s="53" t="s">
        <v>232</v>
      </c>
      <c r="C73" s="53">
        <v>2019</v>
      </c>
      <c r="D73" s="176" t="s">
        <v>167</v>
      </c>
      <c r="E73" s="53" t="s">
        <v>373</v>
      </c>
      <c r="F73" s="53" t="s">
        <v>372</v>
      </c>
      <c r="G73" s="53" t="s">
        <v>36</v>
      </c>
      <c r="H73" s="53" t="s">
        <v>160</v>
      </c>
      <c r="I73" s="53" t="s">
        <v>159</v>
      </c>
      <c r="J73" s="53" t="s">
        <v>38</v>
      </c>
      <c r="K73" s="53" t="s">
        <v>161</v>
      </c>
      <c r="L73" s="53">
        <v>3</v>
      </c>
      <c r="N73" s="53">
        <v>4</v>
      </c>
      <c r="O73" s="53">
        <v>0.55000000000000004</v>
      </c>
      <c r="P73" s="53">
        <v>0.65</v>
      </c>
      <c r="Q73" s="74">
        <f t="shared" si="0"/>
        <v>0.60000000000000009</v>
      </c>
      <c r="R73" s="53">
        <v>17.7</v>
      </c>
      <c r="S73" s="53">
        <v>106</v>
      </c>
      <c r="T73" s="16">
        <f t="shared" si="1"/>
        <v>33</v>
      </c>
      <c r="U73" s="53">
        <v>429</v>
      </c>
      <c r="V73" s="16">
        <f t="shared" si="2"/>
        <v>3539.25</v>
      </c>
      <c r="W73" s="53">
        <v>7</v>
      </c>
      <c r="X73" s="53" t="s">
        <v>46</v>
      </c>
      <c r="Y73" s="53" t="s">
        <v>47</v>
      </c>
      <c r="Z73" s="53" t="s">
        <v>86</v>
      </c>
      <c r="AA73" s="53" t="s">
        <v>69</v>
      </c>
      <c r="AB73" s="53" t="s">
        <v>288</v>
      </c>
    </row>
    <row r="74" spans="1:28" x14ac:dyDescent="0.15">
      <c r="A74" s="53" t="s">
        <v>34</v>
      </c>
      <c r="B74" s="53" t="s">
        <v>232</v>
      </c>
      <c r="C74" s="53">
        <v>2019</v>
      </c>
      <c r="D74" s="176" t="s">
        <v>167</v>
      </c>
      <c r="E74" s="53" t="s">
        <v>373</v>
      </c>
      <c r="F74" s="53" t="s">
        <v>372</v>
      </c>
      <c r="G74" s="53" t="s">
        <v>36</v>
      </c>
      <c r="H74" s="53" t="s">
        <v>164</v>
      </c>
      <c r="I74" s="53" t="s">
        <v>159</v>
      </c>
      <c r="J74" s="53" t="s">
        <v>38</v>
      </c>
      <c r="K74" s="53" t="s">
        <v>161</v>
      </c>
      <c r="L74" s="53">
        <v>1</v>
      </c>
      <c r="N74" s="53">
        <v>1</v>
      </c>
      <c r="O74" s="53">
        <v>0.6</v>
      </c>
      <c r="P74" s="53">
        <v>0.65</v>
      </c>
      <c r="Q74" s="74">
        <f t="shared" si="0"/>
        <v>0.625</v>
      </c>
      <c r="R74" s="53">
        <v>17.5</v>
      </c>
      <c r="S74" s="53">
        <v>136</v>
      </c>
      <c r="T74" s="16">
        <f t="shared" si="1"/>
        <v>30</v>
      </c>
      <c r="U74" s="53">
        <v>105</v>
      </c>
      <c r="V74" s="16">
        <f t="shared" si="2"/>
        <v>3150</v>
      </c>
      <c r="W74" s="53">
        <v>2</v>
      </c>
      <c r="X74" s="53" t="s">
        <v>46</v>
      </c>
      <c r="Y74" s="53" t="s">
        <v>47</v>
      </c>
      <c r="Z74" s="53" t="s">
        <v>86</v>
      </c>
      <c r="AA74" s="53" t="s">
        <v>69</v>
      </c>
      <c r="AB74" s="53" t="s">
        <v>288</v>
      </c>
    </row>
    <row r="75" spans="1:28" x14ac:dyDescent="0.15">
      <c r="A75" s="53" t="s">
        <v>34</v>
      </c>
      <c r="B75" s="53" t="s">
        <v>232</v>
      </c>
      <c r="C75" s="53">
        <v>2019</v>
      </c>
      <c r="D75" s="176" t="s">
        <v>167</v>
      </c>
      <c r="E75" s="53" t="s">
        <v>373</v>
      </c>
      <c r="F75" s="53" t="s">
        <v>372</v>
      </c>
      <c r="G75" s="53" t="s">
        <v>36</v>
      </c>
      <c r="H75" s="53" t="s">
        <v>164</v>
      </c>
      <c r="I75" s="53" t="s">
        <v>159</v>
      </c>
      <c r="J75" s="53" t="s">
        <v>38</v>
      </c>
      <c r="K75" s="53" t="s">
        <v>161</v>
      </c>
      <c r="L75" s="53">
        <v>2</v>
      </c>
      <c r="N75" s="53">
        <v>1</v>
      </c>
      <c r="O75" s="53">
        <v>0.8</v>
      </c>
      <c r="P75" s="53">
        <v>0.85</v>
      </c>
      <c r="Q75" s="74">
        <f t="shared" si="0"/>
        <v>0.82499999999999996</v>
      </c>
      <c r="R75" s="53">
        <v>18.399999999999999</v>
      </c>
      <c r="S75" s="53">
        <v>126</v>
      </c>
      <c r="T75" s="16">
        <f t="shared" si="1"/>
        <v>30</v>
      </c>
      <c r="U75" s="53">
        <v>105</v>
      </c>
      <c r="V75" s="16">
        <f t="shared" si="2"/>
        <v>3150</v>
      </c>
      <c r="W75" s="53">
        <v>2</v>
      </c>
      <c r="X75" s="53" t="s">
        <v>46</v>
      </c>
      <c r="Y75" s="53" t="s">
        <v>47</v>
      </c>
      <c r="Z75" s="53" t="s">
        <v>86</v>
      </c>
      <c r="AA75" s="53" t="s">
        <v>69</v>
      </c>
      <c r="AB75" s="53" t="s">
        <v>288</v>
      </c>
    </row>
    <row r="76" spans="1:28" x14ac:dyDescent="0.15">
      <c r="A76" s="53" t="s">
        <v>34</v>
      </c>
      <c r="B76" s="53" t="s">
        <v>232</v>
      </c>
      <c r="C76" s="53">
        <v>2019</v>
      </c>
      <c r="D76" s="176" t="s">
        <v>167</v>
      </c>
      <c r="E76" s="53" t="s">
        <v>373</v>
      </c>
      <c r="F76" s="53" t="s">
        <v>372</v>
      </c>
      <c r="G76" s="53" t="s">
        <v>36</v>
      </c>
      <c r="H76" s="53" t="s">
        <v>164</v>
      </c>
      <c r="I76" s="53" t="s">
        <v>159</v>
      </c>
      <c r="J76" s="53" t="s">
        <v>38</v>
      </c>
      <c r="K76" s="53" t="s">
        <v>161</v>
      </c>
      <c r="L76" s="53">
        <v>3</v>
      </c>
      <c r="N76" s="53">
        <v>1</v>
      </c>
      <c r="O76" s="53">
        <v>0.6</v>
      </c>
      <c r="P76" s="53">
        <v>0.5</v>
      </c>
      <c r="Q76" s="74">
        <f t="shared" si="0"/>
        <v>0.55000000000000004</v>
      </c>
      <c r="R76" s="53">
        <v>17.899999999999999</v>
      </c>
      <c r="S76" s="53">
        <v>135</v>
      </c>
      <c r="T76" s="16">
        <f t="shared" si="1"/>
        <v>30</v>
      </c>
      <c r="U76" s="53">
        <v>105</v>
      </c>
      <c r="V76" s="16">
        <f t="shared" si="2"/>
        <v>3150</v>
      </c>
      <c r="W76" s="53">
        <v>2</v>
      </c>
      <c r="X76" s="53" t="s">
        <v>46</v>
      </c>
      <c r="Y76" s="53" t="s">
        <v>47</v>
      </c>
      <c r="Z76" s="53" t="s">
        <v>86</v>
      </c>
      <c r="AA76" s="53" t="s">
        <v>69</v>
      </c>
      <c r="AB76" s="53" t="s">
        <v>288</v>
      </c>
    </row>
    <row r="77" spans="1:28" x14ac:dyDescent="0.15">
      <c r="A77" s="53" t="s">
        <v>34</v>
      </c>
      <c r="B77" s="53" t="s">
        <v>232</v>
      </c>
      <c r="C77" s="53">
        <v>2019</v>
      </c>
      <c r="D77" s="176" t="s">
        <v>167</v>
      </c>
      <c r="E77" s="53" t="s">
        <v>373</v>
      </c>
      <c r="F77" s="53" t="s">
        <v>372</v>
      </c>
      <c r="G77" s="53" t="s">
        <v>36</v>
      </c>
      <c r="H77" s="53" t="s">
        <v>164</v>
      </c>
      <c r="I77" s="53" t="s">
        <v>159</v>
      </c>
      <c r="J77" s="53" t="s">
        <v>38</v>
      </c>
      <c r="K77" s="53" t="s">
        <v>161</v>
      </c>
      <c r="L77" s="53">
        <v>1</v>
      </c>
      <c r="N77" s="53">
        <v>4</v>
      </c>
      <c r="O77" s="53">
        <v>0.2</v>
      </c>
      <c r="P77" s="53">
        <v>0.2</v>
      </c>
      <c r="Q77" s="74">
        <f t="shared" si="0"/>
        <v>0.2</v>
      </c>
      <c r="R77" s="53">
        <v>15.4</v>
      </c>
      <c r="S77" s="53">
        <v>85</v>
      </c>
      <c r="T77" s="16">
        <f t="shared" si="1"/>
        <v>36</v>
      </c>
      <c r="U77" s="53">
        <v>321</v>
      </c>
      <c r="V77" s="16">
        <f t="shared" si="2"/>
        <v>2889</v>
      </c>
      <c r="W77" s="53">
        <v>2</v>
      </c>
      <c r="X77" s="53" t="s">
        <v>46</v>
      </c>
      <c r="Y77" s="53" t="s">
        <v>47</v>
      </c>
      <c r="Z77" s="53" t="s">
        <v>86</v>
      </c>
      <c r="AA77" s="53" t="s">
        <v>69</v>
      </c>
      <c r="AB77" s="53" t="s">
        <v>288</v>
      </c>
    </row>
    <row r="78" spans="1:28" x14ac:dyDescent="0.15">
      <c r="A78" s="53" t="s">
        <v>34</v>
      </c>
      <c r="B78" s="53" t="s">
        <v>232</v>
      </c>
      <c r="C78" s="53">
        <v>2019</v>
      </c>
      <c r="D78" s="176" t="s">
        <v>167</v>
      </c>
      <c r="E78" s="53" t="s">
        <v>373</v>
      </c>
      <c r="F78" s="53" t="s">
        <v>372</v>
      </c>
      <c r="G78" s="53" t="s">
        <v>36</v>
      </c>
      <c r="H78" s="53" t="s">
        <v>164</v>
      </c>
      <c r="I78" s="53" t="s">
        <v>159</v>
      </c>
      <c r="J78" s="53" t="s">
        <v>38</v>
      </c>
      <c r="K78" s="53" t="s">
        <v>161</v>
      </c>
      <c r="L78" s="53">
        <v>2</v>
      </c>
      <c r="N78" s="53">
        <v>4</v>
      </c>
      <c r="O78" s="53">
        <v>0.2</v>
      </c>
      <c r="P78" s="53">
        <v>0.2</v>
      </c>
      <c r="Q78" s="74">
        <f t="shared" si="0"/>
        <v>0.2</v>
      </c>
      <c r="R78" s="53">
        <v>17.399999999999999</v>
      </c>
      <c r="S78" s="53">
        <v>98</v>
      </c>
      <c r="T78" s="16">
        <f t="shared" si="1"/>
        <v>36</v>
      </c>
      <c r="U78" s="53">
        <v>321</v>
      </c>
      <c r="V78" s="16">
        <f t="shared" si="2"/>
        <v>2889</v>
      </c>
      <c r="W78" s="53">
        <v>2</v>
      </c>
      <c r="X78" s="53" t="s">
        <v>46</v>
      </c>
      <c r="Y78" s="53" t="s">
        <v>47</v>
      </c>
      <c r="Z78" s="53" t="s">
        <v>86</v>
      </c>
      <c r="AA78" s="53" t="s">
        <v>69</v>
      </c>
      <c r="AB78" s="53" t="s">
        <v>288</v>
      </c>
    </row>
    <row r="79" spans="1:28" x14ac:dyDescent="0.15">
      <c r="A79" s="53" t="s">
        <v>34</v>
      </c>
      <c r="B79" s="53" t="s">
        <v>232</v>
      </c>
      <c r="C79" s="53">
        <v>2019</v>
      </c>
      <c r="D79" s="176" t="s">
        <v>167</v>
      </c>
      <c r="E79" s="53" t="s">
        <v>373</v>
      </c>
      <c r="F79" s="53" t="s">
        <v>372</v>
      </c>
      <c r="G79" s="53" t="s">
        <v>36</v>
      </c>
      <c r="H79" s="53" t="s">
        <v>164</v>
      </c>
      <c r="I79" s="53" t="s">
        <v>159</v>
      </c>
      <c r="J79" s="53" t="s">
        <v>38</v>
      </c>
      <c r="K79" s="53" t="s">
        <v>161</v>
      </c>
      <c r="L79" s="53">
        <v>3</v>
      </c>
      <c r="N79" s="53">
        <v>4</v>
      </c>
      <c r="O79" s="53">
        <v>0.2</v>
      </c>
      <c r="P79" s="53">
        <v>0.2</v>
      </c>
      <c r="Q79" s="74">
        <f t="shared" si="0"/>
        <v>0.2</v>
      </c>
      <c r="R79" s="53">
        <v>16.7</v>
      </c>
      <c r="S79" s="53">
        <v>98</v>
      </c>
      <c r="T79" s="16">
        <f t="shared" si="1"/>
        <v>36</v>
      </c>
      <c r="U79" s="53">
        <v>321</v>
      </c>
      <c r="V79" s="16">
        <f t="shared" si="2"/>
        <v>2889</v>
      </c>
      <c r="W79" s="53">
        <v>2</v>
      </c>
      <c r="X79" s="53" t="s">
        <v>46</v>
      </c>
      <c r="Y79" s="53" t="s">
        <v>47</v>
      </c>
      <c r="Z79" s="53" t="s">
        <v>86</v>
      </c>
      <c r="AA79" s="53" t="s">
        <v>69</v>
      </c>
      <c r="AB79" s="53" t="s">
        <v>288</v>
      </c>
    </row>
    <row r="80" spans="1:28" x14ac:dyDescent="0.15">
      <c r="A80" s="53" t="s">
        <v>34</v>
      </c>
      <c r="B80" s="53" t="s">
        <v>232</v>
      </c>
      <c r="C80" s="53">
        <v>2019</v>
      </c>
      <c r="D80" s="176" t="s">
        <v>167</v>
      </c>
      <c r="E80" s="53" t="s">
        <v>362</v>
      </c>
      <c r="F80" s="53" t="s">
        <v>372</v>
      </c>
      <c r="G80" s="53" t="s">
        <v>36</v>
      </c>
      <c r="H80" s="53" t="s">
        <v>160</v>
      </c>
      <c r="I80" s="53" t="s">
        <v>159</v>
      </c>
      <c r="J80" s="53" t="s">
        <v>38</v>
      </c>
      <c r="K80" s="53" t="s">
        <v>161</v>
      </c>
      <c r="L80" s="53">
        <v>1</v>
      </c>
      <c r="N80" s="53">
        <v>1</v>
      </c>
      <c r="O80" s="53">
        <v>0.6</v>
      </c>
      <c r="P80" s="53">
        <v>0.55000000000000004</v>
      </c>
      <c r="Q80" s="74">
        <f t="shared" si="0"/>
        <v>0.57499999999999996</v>
      </c>
      <c r="R80" s="53">
        <v>20.100000000000001</v>
      </c>
      <c r="S80" s="53">
        <v>145</v>
      </c>
      <c r="T80" s="16">
        <f t="shared" si="1"/>
        <v>30</v>
      </c>
      <c r="U80" s="53">
        <v>101</v>
      </c>
      <c r="V80" s="16">
        <f t="shared" si="2"/>
        <v>3030</v>
      </c>
      <c r="W80" s="53">
        <v>7</v>
      </c>
      <c r="X80" s="53" t="s">
        <v>46</v>
      </c>
      <c r="Y80" s="53" t="s">
        <v>55</v>
      </c>
      <c r="Z80" s="53" t="s">
        <v>69</v>
      </c>
      <c r="AA80" s="53" t="s">
        <v>97</v>
      </c>
      <c r="AB80" s="53" t="s">
        <v>288</v>
      </c>
    </row>
    <row r="81" spans="1:28" x14ac:dyDescent="0.15">
      <c r="A81" s="53" t="s">
        <v>34</v>
      </c>
      <c r="B81" s="53" t="s">
        <v>232</v>
      </c>
      <c r="C81" s="53">
        <v>2019</v>
      </c>
      <c r="D81" s="176" t="s">
        <v>167</v>
      </c>
      <c r="E81" s="53" t="s">
        <v>362</v>
      </c>
      <c r="F81" s="53" t="s">
        <v>372</v>
      </c>
      <c r="G81" s="53" t="s">
        <v>36</v>
      </c>
      <c r="H81" s="53" t="s">
        <v>160</v>
      </c>
      <c r="I81" s="53" t="s">
        <v>159</v>
      </c>
      <c r="J81" s="53" t="s">
        <v>38</v>
      </c>
      <c r="K81" s="53" t="s">
        <v>161</v>
      </c>
      <c r="L81" s="53">
        <v>2</v>
      </c>
      <c r="N81" s="53">
        <v>1</v>
      </c>
      <c r="O81" s="53">
        <v>0.55000000000000004</v>
      </c>
      <c r="P81" s="53">
        <v>0.55000000000000004</v>
      </c>
      <c r="Q81" s="74">
        <f t="shared" si="0"/>
        <v>0.55000000000000004</v>
      </c>
      <c r="R81" s="53">
        <v>19</v>
      </c>
      <c r="S81" s="53">
        <v>141</v>
      </c>
      <c r="T81" s="16">
        <f t="shared" si="1"/>
        <v>30</v>
      </c>
      <c r="U81" s="53">
        <v>101</v>
      </c>
      <c r="V81" s="16">
        <f t="shared" si="2"/>
        <v>3030</v>
      </c>
      <c r="W81" s="53">
        <v>7</v>
      </c>
      <c r="X81" s="53" t="s">
        <v>46</v>
      </c>
      <c r="Y81" s="53" t="s">
        <v>55</v>
      </c>
      <c r="Z81" s="53" t="s">
        <v>69</v>
      </c>
      <c r="AA81" s="53" t="s">
        <v>97</v>
      </c>
      <c r="AB81" s="53" t="s">
        <v>288</v>
      </c>
    </row>
    <row r="82" spans="1:28" x14ac:dyDescent="0.15">
      <c r="A82" s="53" t="s">
        <v>34</v>
      </c>
      <c r="B82" s="53" t="s">
        <v>232</v>
      </c>
      <c r="C82" s="53">
        <v>2019</v>
      </c>
      <c r="D82" s="176" t="s">
        <v>167</v>
      </c>
      <c r="E82" s="53" t="s">
        <v>362</v>
      </c>
      <c r="F82" s="53" t="s">
        <v>372</v>
      </c>
      <c r="G82" s="53" t="s">
        <v>36</v>
      </c>
      <c r="H82" s="53" t="s">
        <v>160</v>
      </c>
      <c r="I82" s="53" t="s">
        <v>159</v>
      </c>
      <c r="J82" s="53" t="s">
        <v>38</v>
      </c>
      <c r="K82" s="53" t="s">
        <v>161</v>
      </c>
      <c r="L82" s="53">
        <v>3</v>
      </c>
      <c r="N82" s="53">
        <v>1</v>
      </c>
      <c r="O82" s="53">
        <v>0.45</v>
      </c>
      <c r="P82" s="53">
        <v>0.5</v>
      </c>
      <c r="Q82" s="74">
        <f t="shared" si="0"/>
        <v>0.47499999999999998</v>
      </c>
      <c r="R82" s="53">
        <v>18.8</v>
      </c>
      <c r="S82" s="53">
        <v>149</v>
      </c>
      <c r="T82" s="16">
        <f t="shared" si="1"/>
        <v>30</v>
      </c>
      <c r="U82" s="53">
        <v>101</v>
      </c>
      <c r="V82" s="16">
        <f t="shared" si="2"/>
        <v>3030</v>
      </c>
      <c r="W82" s="53">
        <v>7</v>
      </c>
      <c r="X82" s="53" t="s">
        <v>46</v>
      </c>
      <c r="Y82" s="53" t="s">
        <v>55</v>
      </c>
      <c r="Z82" s="53" t="s">
        <v>69</v>
      </c>
      <c r="AA82" s="53" t="s">
        <v>97</v>
      </c>
      <c r="AB82" s="53" t="s">
        <v>288</v>
      </c>
    </row>
    <row r="83" spans="1:28" x14ac:dyDescent="0.15">
      <c r="A83" s="53" t="s">
        <v>34</v>
      </c>
      <c r="B83" s="53" t="s">
        <v>232</v>
      </c>
      <c r="C83" s="53">
        <v>2019</v>
      </c>
      <c r="D83" s="176" t="s">
        <v>167</v>
      </c>
      <c r="E83" s="53" t="s">
        <v>362</v>
      </c>
      <c r="F83" s="53" t="s">
        <v>372</v>
      </c>
      <c r="G83" s="53" t="s">
        <v>36</v>
      </c>
      <c r="H83" s="53" t="s">
        <v>160</v>
      </c>
      <c r="I83" s="53" t="s">
        <v>159</v>
      </c>
      <c r="J83" s="53" t="s">
        <v>38</v>
      </c>
      <c r="K83" s="53" t="s">
        <v>161</v>
      </c>
      <c r="L83" s="53">
        <v>1</v>
      </c>
      <c r="N83" s="53">
        <v>4</v>
      </c>
      <c r="O83" s="53">
        <v>0.6</v>
      </c>
      <c r="P83" s="53">
        <v>0.5</v>
      </c>
      <c r="Q83" s="74">
        <f t="shared" ref="Q83:Q133" si="5">IF(OR(O83="",P83=""),"",AVERAGE(O83,P83))</f>
        <v>0.55000000000000004</v>
      </c>
      <c r="R83" s="53">
        <v>19.5</v>
      </c>
      <c r="S83" s="53">
        <v>125</v>
      </c>
      <c r="T83" s="16">
        <f t="shared" ref="T83:T133" si="6">IF(H83="","",IF(OR(H83="GREEN",H83="GK"),IF(S83&gt;=$AX$2,VLOOKUP(S83,$AX$2:$AY$9,2,1),""),IF(S83&gt;=$AZ$2,VLOOKUP(S83,$AZ$2:$BA$9,2,1),"")))</f>
        <v>30</v>
      </c>
      <c r="U83" s="53">
        <v>537</v>
      </c>
      <c r="V83" s="16">
        <f t="shared" ref="V83:V133" si="7">IF(OR(N83="",U83="",T83=""),"",U83/N83*T83)</f>
        <v>4027.5</v>
      </c>
      <c r="W83" s="53">
        <v>7</v>
      </c>
      <c r="X83" s="53" t="s">
        <v>46</v>
      </c>
      <c r="Y83" s="53" t="s">
        <v>55</v>
      </c>
      <c r="Z83" s="53" t="s">
        <v>69</v>
      </c>
      <c r="AA83" s="53" t="s">
        <v>97</v>
      </c>
      <c r="AB83" s="53" t="s">
        <v>288</v>
      </c>
    </row>
    <row r="84" spans="1:28" x14ac:dyDescent="0.15">
      <c r="A84" s="53" t="s">
        <v>34</v>
      </c>
      <c r="B84" s="53" t="s">
        <v>232</v>
      </c>
      <c r="C84" s="53">
        <v>2019</v>
      </c>
      <c r="D84" s="176" t="s">
        <v>167</v>
      </c>
      <c r="E84" s="53" t="s">
        <v>362</v>
      </c>
      <c r="F84" s="53" t="s">
        <v>372</v>
      </c>
      <c r="G84" s="53" t="s">
        <v>36</v>
      </c>
      <c r="H84" s="53" t="s">
        <v>160</v>
      </c>
      <c r="I84" s="53" t="s">
        <v>159</v>
      </c>
      <c r="J84" s="53" t="s">
        <v>38</v>
      </c>
      <c r="K84" s="53" t="s">
        <v>161</v>
      </c>
      <c r="L84" s="53">
        <v>2</v>
      </c>
      <c r="N84" s="53">
        <v>4</v>
      </c>
      <c r="O84" s="53">
        <v>0.55000000000000004</v>
      </c>
      <c r="P84" s="53">
        <v>0.6</v>
      </c>
      <c r="Q84" s="74">
        <f t="shared" si="5"/>
        <v>0.57499999999999996</v>
      </c>
      <c r="R84" s="53">
        <v>21.2</v>
      </c>
      <c r="S84" s="53">
        <v>125</v>
      </c>
      <c r="T84" s="16">
        <f t="shared" si="6"/>
        <v>30</v>
      </c>
      <c r="U84" s="53">
        <v>537</v>
      </c>
      <c r="V84" s="16">
        <f t="shared" si="7"/>
        <v>4027.5</v>
      </c>
      <c r="W84" s="53">
        <v>7</v>
      </c>
      <c r="X84" s="53" t="s">
        <v>46</v>
      </c>
      <c r="Y84" s="53" t="s">
        <v>55</v>
      </c>
      <c r="Z84" s="53" t="s">
        <v>69</v>
      </c>
      <c r="AA84" s="53" t="s">
        <v>97</v>
      </c>
      <c r="AB84" s="53" t="s">
        <v>288</v>
      </c>
    </row>
    <row r="85" spans="1:28" x14ac:dyDescent="0.15">
      <c r="A85" s="53" t="s">
        <v>34</v>
      </c>
      <c r="B85" s="53" t="s">
        <v>232</v>
      </c>
      <c r="C85" s="53">
        <v>2019</v>
      </c>
      <c r="D85" s="176" t="s">
        <v>167</v>
      </c>
      <c r="E85" s="53" t="s">
        <v>362</v>
      </c>
      <c r="F85" s="53" t="s">
        <v>372</v>
      </c>
      <c r="G85" s="53" t="s">
        <v>36</v>
      </c>
      <c r="H85" s="53" t="s">
        <v>160</v>
      </c>
      <c r="I85" s="53" t="s">
        <v>159</v>
      </c>
      <c r="J85" s="53" t="s">
        <v>38</v>
      </c>
      <c r="K85" s="53" t="s">
        <v>161</v>
      </c>
      <c r="L85" s="53">
        <v>3</v>
      </c>
      <c r="N85" s="53">
        <v>4</v>
      </c>
      <c r="O85" s="53">
        <v>0.55000000000000004</v>
      </c>
      <c r="P85" s="53">
        <v>0.65</v>
      </c>
      <c r="Q85" s="74">
        <f t="shared" si="5"/>
        <v>0.60000000000000009</v>
      </c>
      <c r="R85" s="53">
        <v>19.899999999999999</v>
      </c>
      <c r="S85" s="53">
        <v>127</v>
      </c>
      <c r="T85" s="16">
        <f t="shared" si="6"/>
        <v>30</v>
      </c>
      <c r="U85" s="53">
        <v>537</v>
      </c>
      <c r="V85" s="16">
        <f t="shared" si="7"/>
        <v>4027.5</v>
      </c>
      <c r="W85" s="53">
        <v>7</v>
      </c>
      <c r="X85" s="53" t="s">
        <v>46</v>
      </c>
      <c r="Y85" s="53" t="s">
        <v>55</v>
      </c>
      <c r="Z85" s="53" t="s">
        <v>69</v>
      </c>
      <c r="AA85" s="53" t="s">
        <v>97</v>
      </c>
      <c r="AB85" s="53" t="s">
        <v>288</v>
      </c>
    </row>
    <row r="86" spans="1:28" x14ac:dyDescent="0.15">
      <c r="A86" s="53" t="s">
        <v>34</v>
      </c>
      <c r="B86" s="53" t="s">
        <v>232</v>
      </c>
      <c r="C86" s="53">
        <v>2019</v>
      </c>
      <c r="D86" s="176" t="s">
        <v>167</v>
      </c>
      <c r="E86" s="53" t="s">
        <v>362</v>
      </c>
      <c r="F86" s="53" t="s">
        <v>372</v>
      </c>
      <c r="G86" s="53" t="s">
        <v>36</v>
      </c>
      <c r="H86" s="53" t="s">
        <v>164</v>
      </c>
      <c r="I86" s="53" t="s">
        <v>159</v>
      </c>
      <c r="J86" s="53" t="s">
        <v>38</v>
      </c>
      <c r="K86" s="53" t="s">
        <v>161</v>
      </c>
      <c r="L86" s="53">
        <v>1</v>
      </c>
      <c r="N86" s="53">
        <v>1</v>
      </c>
      <c r="O86" s="53">
        <v>0.9</v>
      </c>
      <c r="P86" s="53">
        <v>1</v>
      </c>
      <c r="Q86" s="74">
        <f t="shared" si="5"/>
        <v>0.95</v>
      </c>
      <c r="R86" s="53">
        <v>16.7</v>
      </c>
      <c r="S86" s="53">
        <v>115</v>
      </c>
      <c r="T86" s="16">
        <f t="shared" si="6"/>
        <v>30</v>
      </c>
      <c r="U86" s="53">
        <v>101</v>
      </c>
      <c r="V86" s="16">
        <f t="shared" si="7"/>
        <v>3030</v>
      </c>
      <c r="W86" s="53">
        <v>3</v>
      </c>
      <c r="X86" s="53" t="s">
        <v>46</v>
      </c>
      <c r="Y86" s="53" t="s">
        <v>55</v>
      </c>
      <c r="Z86" s="53" t="s">
        <v>69</v>
      </c>
      <c r="AA86" s="53" t="s">
        <v>97</v>
      </c>
      <c r="AB86" s="53" t="s">
        <v>288</v>
      </c>
    </row>
    <row r="87" spans="1:28" x14ac:dyDescent="0.15">
      <c r="A87" s="53" t="s">
        <v>34</v>
      </c>
      <c r="B87" s="53" t="s">
        <v>232</v>
      </c>
      <c r="C87" s="53">
        <v>2019</v>
      </c>
      <c r="D87" s="176" t="s">
        <v>167</v>
      </c>
      <c r="E87" s="53" t="s">
        <v>362</v>
      </c>
      <c r="F87" s="53" t="s">
        <v>372</v>
      </c>
      <c r="G87" s="53" t="s">
        <v>36</v>
      </c>
      <c r="H87" s="53" t="s">
        <v>164</v>
      </c>
      <c r="I87" s="53" t="s">
        <v>159</v>
      </c>
      <c r="J87" s="53" t="s">
        <v>38</v>
      </c>
      <c r="K87" s="53" t="s">
        <v>161</v>
      </c>
      <c r="L87" s="53">
        <v>2</v>
      </c>
      <c r="N87" s="53">
        <v>1</v>
      </c>
      <c r="O87" s="53">
        <v>0.95</v>
      </c>
      <c r="P87" s="53">
        <v>0.7</v>
      </c>
      <c r="Q87" s="74">
        <f t="shared" si="5"/>
        <v>0.82499999999999996</v>
      </c>
      <c r="R87" s="53">
        <v>16.8</v>
      </c>
      <c r="S87" s="53">
        <v>122</v>
      </c>
      <c r="T87" s="16">
        <f t="shared" si="6"/>
        <v>30</v>
      </c>
      <c r="U87" s="53">
        <v>101</v>
      </c>
      <c r="V87" s="16">
        <f t="shared" si="7"/>
        <v>3030</v>
      </c>
      <c r="W87" s="53">
        <v>3</v>
      </c>
      <c r="X87" s="53" t="s">
        <v>46</v>
      </c>
      <c r="Y87" s="53" t="s">
        <v>55</v>
      </c>
      <c r="Z87" s="53" t="s">
        <v>69</v>
      </c>
      <c r="AA87" s="53" t="s">
        <v>97</v>
      </c>
      <c r="AB87" s="53" t="s">
        <v>288</v>
      </c>
    </row>
    <row r="88" spans="1:28" x14ac:dyDescent="0.15">
      <c r="A88" s="53" t="s">
        <v>34</v>
      </c>
      <c r="B88" s="53" t="s">
        <v>232</v>
      </c>
      <c r="C88" s="53">
        <v>2019</v>
      </c>
      <c r="D88" s="176" t="s">
        <v>167</v>
      </c>
      <c r="E88" s="53" t="s">
        <v>362</v>
      </c>
      <c r="F88" s="53" t="s">
        <v>372</v>
      </c>
      <c r="G88" s="53" t="s">
        <v>36</v>
      </c>
      <c r="H88" s="53" t="s">
        <v>164</v>
      </c>
      <c r="I88" s="53" t="s">
        <v>159</v>
      </c>
      <c r="J88" s="53" t="s">
        <v>38</v>
      </c>
      <c r="K88" s="53" t="s">
        <v>161</v>
      </c>
      <c r="L88" s="53">
        <v>3</v>
      </c>
      <c r="N88" s="53">
        <v>1</v>
      </c>
      <c r="O88" s="53">
        <v>0.75</v>
      </c>
      <c r="P88" s="53">
        <v>0.75</v>
      </c>
      <c r="Q88" s="74">
        <f t="shared" si="5"/>
        <v>0.75</v>
      </c>
      <c r="R88" s="53">
        <v>17.399999999999999</v>
      </c>
      <c r="S88" s="53">
        <v>122</v>
      </c>
      <c r="T88" s="16">
        <f t="shared" si="6"/>
        <v>30</v>
      </c>
      <c r="U88" s="53">
        <v>101</v>
      </c>
      <c r="V88" s="16">
        <f t="shared" si="7"/>
        <v>3030</v>
      </c>
      <c r="W88" s="53">
        <v>3</v>
      </c>
      <c r="X88" s="53" t="s">
        <v>46</v>
      </c>
      <c r="Y88" s="53" t="s">
        <v>55</v>
      </c>
      <c r="Z88" s="53" t="s">
        <v>69</v>
      </c>
      <c r="AA88" s="53" t="s">
        <v>97</v>
      </c>
      <c r="AB88" s="53" t="s">
        <v>288</v>
      </c>
    </row>
    <row r="89" spans="1:28" x14ac:dyDescent="0.15">
      <c r="A89" s="53" t="s">
        <v>34</v>
      </c>
      <c r="B89" s="53" t="s">
        <v>232</v>
      </c>
      <c r="C89" s="53">
        <v>2019</v>
      </c>
      <c r="D89" s="176" t="s">
        <v>167</v>
      </c>
      <c r="E89" s="53" t="s">
        <v>362</v>
      </c>
      <c r="F89" s="53" t="s">
        <v>372</v>
      </c>
      <c r="G89" s="53" t="s">
        <v>36</v>
      </c>
      <c r="H89" s="53" t="s">
        <v>164</v>
      </c>
      <c r="I89" s="53" t="s">
        <v>159</v>
      </c>
      <c r="J89" s="53" t="s">
        <v>38</v>
      </c>
      <c r="K89" s="53" t="s">
        <v>161</v>
      </c>
      <c r="L89" s="53">
        <v>1</v>
      </c>
      <c r="N89" s="53">
        <v>6</v>
      </c>
      <c r="O89" s="53">
        <v>0.55000000000000004</v>
      </c>
      <c r="P89" s="53">
        <v>0.55000000000000004</v>
      </c>
      <c r="Q89" s="74">
        <f t="shared" si="5"/>
        <v>0.55000000000000004</v>
      </c>
      <c r="R89" s="53">
        <v>16.7</v>
      </c>
      <c r="S89" s="53">
        <v>113</v>
      </c>
      <c r="T89" s="16">
        <f t="shared" si="6"/>
        <v>30</v>
      </c>
      <c r="U89" s="53">
        <v>537</v>
      </c>
      <c r="V89" s="16">
        <f t="shared" si="7"/>
        <v>2685</v>
      </c>
      <c r="W89" s="53">
        <v>3</v>
      </c>
      <c r="X89" s="53" t="s">
        <v>46</v>
      </c>
      <c r="Y89" s="53" t="s">
        <v>55</v>
      </c>
      <c r="Z89" s="53" t="s">
        <v>69</v>
      </c>
      <c r="AA89" s="53" t="s">
        <v>97</v>
      </c>
      <c r="AB89" s="53" t="s">
        <v>288</v>
      </c>
    </row>
    <row r="90" spans="1:28" x14ac:dyDescent="0.15">
      <c r="A90" s="53" t="s">
        <v>34</v>
      </c>
      <c r="B90" s="53" t="s">
        <v>232</v>
      </c>
      <c r="C90" s="53">
        <v>2019</v>
      </c>
      <c r="D90" s="176" t="s">
        <v>167</v>
      </c>
      <c r="E90" s="53" t="s">
        <v>362</v>
      </c>
      <c r="F90" s="53" t="s">
        <v>372</v>
      </c>
      <c r="G90" s="53" t="s">
        <v>36</v>
      </c>
      <c r="H90" s="53" t="s">
        <v>164</v>
      </c>
      <c r="I90" s="53" t="s">
        <v>159</v>
      </c>
      <c r="J90" s="53" t="s">
        <v>38</v>
      </c>
      <c r="K90" s="53" t="s">
        <v>161</v>
      </c>
      <c r="L90" s="53">
        <v>2</v>
      </c>
      <c r="N90" s="53">
        <v>6</v>
      </c>
      <c r="O90" s="53">
        <v>0.45</v>
      </c>
      <c r="P90" s="53">
        <v>0.6</v>
      </c>
      <c r="Q90" s="74">
        <f t="shared" si="5"/>
        <v>0.52500000000000002</v>
      </c>
      <c r="R90" s="53">
        <v>16.3</v>
      </c>
      <c r="S90" s="53">
        <v>112</v>
      </c>
      <c r="T90" s="16">
        <f t="shared" si="6"/>
        <v>33</v>
      </c>
      <c r="U90" s="53">
        <v>537</v>
      </c>
      <c r="V90" s="16">
        <f t="shared" si="7"/>
        <v>2953.5</v>
      </c>
      <c r="W90" s="53">
        <v>3</v>
      </c>
      <c r="X90" s="53" t="s">
        <v>46</v>
      </c>
      <c r="Y90" s="53" t="s">
        <v>55</v>
      </c>
      <c r="Z90" s="53" t="s">
        <v>69</v>
      </c>
      <c r="AA90" s="53" t="s">
        <v>97</v>
      </c>
      <c r="AB90" s="53" t="s">
        <v>288</v>
      </c>
    </row>
    <row r="91" spans="1:28" x14ac:dyDescent="0.15">
      <c r="A91" s="53" t="s">
        <v>34</v>
      </c>
      <c r="B91" s="53" t="s">
        <v>232</v>
      </c>
      <c r="C91" s="53">
        <v>2019</v>
      </c>
      <c r="D91" s="176" t="s">
        <v>167</v>
      </c>
      <c r="E91" s="53" t="s">
        <v>362</v>
      </c>
      <c r="F91" s="53" t="s">
        <v>372</v>
      </c>
      <c r="G91" s="53" t="s">
        <v>36</v>
      </c>
      <c r="H91" s="53" t="s">
        <v>164</v>
      </c>
      <c r="I91" s="53" t="s">
        <v>159</v>
      </c>
      <c r="J91" s="53" t="s">
        <v>38</v>
      </c>
      <c r="K91" s="53" t="s">
        <v>161</v>
      </c>
      <c r="L91" s="53">
        <v>3</v>
      </c>
      <c r="N91" s="53">
        <v>6</v>
      </c>
      <c r="O91" s="53">
        <v>0.7</v>
      </c>
      <c r="P91" s="53">
        <v>0.7</v>
      </c>
      <c r="Q91" s="74">
        <f t="shared" si="5"/>
        <v>0.7</v>
      </c>
      <c r="R91" s="53">
        <v>17.100000000000001</v>
      </c>
      <c r="S91" s="53">
        <v>121</v>
      </c>
      <c r="T91" s="16">
        <f t="shared" si="6"/>
        <v>30</v>
      </c>
      <c r="U91" s="53">
        <v>537</v>
      </c>
      <c r="V91" s="16">
        <f t="shared" si="7"/>
        <v>2685</v>
      </c>
      <c r="W91" s="53">
        <v>3</v>
      </c>
      <c r="X91" s="53" t="s">
        <v>46</v>
      </c>
      <c r="Y91" s="53" t="s">
        <v>55</v>
      </c>
      <c r="Z91" s="53" t="s">
        <v>69</v>
      </c>
      <c r="AA91" s="53" t="s">
        <v>97</v>
      </c>
      <c r="AB91" s="53" t="s">
        <v>288</v>
      </c>
    </row>
    <row r="92" spans="1:28" x14ac:dyDescent="0.15">
      <c r="A92" s="53" t="s">
        <v>34</v>
      </c>
      <c r="B92" s="53" t="s">
        <v>232</v>
      </c>
      <c r="C92" s="53">
        <v>2019</v>
      </c>
      <c r="D92" s="176" t="s">
        <v>167</v>
      </c>
      <c r="E92" s="53" t="s">
        <v>376</v>
      </c>
      <c r="F92" s="53" t="s">
        <v>377</v>
      </c>
      <c r="G92" s="53" t="s">
        <v>36</v>
      </c>
      <c r="H92" s="53" t="s">
        <v>160</v>
      </c>
      <c r="I92" s="53" t="s">
        <v>159</v>
      </c>
      <c r="J92" s="53" t="s">
        <v>38</v>
      </c>
      <c r="K92" s="53" t="s">
        <v>161</v>
      </c>
      <c r="L92" s="53">
        <v>1</v>
      </c>
      <c r="N92" s="53">
        <v>1</v>
      </c>
      <c r="O92" s="53">
        <v>0.75</v>
      </c>
      <c r="P92" s="53">
        <v>0.75</v>
      </c>
      <c r="Q92" s="74">
        <f t="shared" si="5"/>
        <v>0.75</v>
      </c>
      <c r="R92" s="53">
        <v>18.600000000000001</v>
      </c>
      <c r="S92" s="53">
        <v>132</v>
      </c>
      <c r="T92" s="16">
        <f t="shared" si="6"/>
        <v>30</v>
      </c>
      <c r="U92" s="53">
        <v>130</v>
      </c>
      <c r="V92" s="16">
        <f t="shared" si="7"/>
        <v>3900</v>
      </c>
      <c r="W92" s="53">
        <v>8</v>
      </c>
      <c r="X92" s="53" t="s">
        <v>46</v>
      </c>
      <c r="Y92" s="53" t="s">
        <v>69</v>
      </c>
      <c r="Z92" s="53" t="s">
        <v>55</v>
      </c>
      <c r="AA92" s="53" t="s">
        <v>78</v>
      </c>
      <c r="AB92" s="53" t="s">
        <v>288</v>
      </c>
    </row>
    <row r="93" spans="1:28" x14ac:dyDescent="0.15">
      <c r="A93" s="53" t="s">
        <v>34</v>
      </c>
      <c r="B93" s="53" t="s">
        <v>232</v>
      </c>
      <c r="C93" s="53">
        <v>2019</v>
      </c>
      <c r="D93" s="176" t="s">
        <v>167</v>
      </c>
      <c r="E93" s="53" t="s">
        <v>376</v>
      </c>
      <c r="F93" s="53" t="s">
        <v>377</v>
      </c>
      <c r="G93" s="53" t="s">
        <v>36</v>
      </c>
      <c r="H93" s="53" t="s">
        <v>160</v>
      </c>
      <c r="I93" s="53" t="s">
        <v>159</v>
      </c>
      <c r="J93" s="53" t="s">
        <v>38</v>
      </c>
      <c r="K93" s="53" t="s">
        <v>161</v>
      </c>
      <c r="L93" s="53">
        <v>2</v>
      </c>
      <c r="N93" s="53">
        <v>1</v>
      </c>
      <c r="O93" s="53">
        <v>0.65</v>
      </c>
      <c r="P93" s="53">
        <v>0.8</v>
      </c>
      <c r="Q93" s="74">
        <f t="shared" si="5"/>
        <v>0.72500000000000009</v>
      </c>
      <c r="R93" s="53">
        <v>17</v>
      </c>
      <c r="S93" s="53">
        <v>131</v>
      </c>
      <c r="T93" s="16">
        <f t="shared" si="6"/>
        <v>30</v>
      </c>
      <c r="U93" s="53">
        <v>130</v>
      </c>
      <c r="V93" s="16">
        <f t="shared" si="7"/>
        <v>3900</v>
      </c>
      <c r="W93" s="53">
        <v>8</v>
      </c>
      <c r="X93" s="53" t="s">
        <v>46</v>
      </c>
      <c r="Y93" s="53" t="s">
        <v>69</v>
      </c>
      <c r="Z93" s="53" t="s">
        <v>55</v>
      </c>
      <c r="AA93" s="53" t="s">
        <v>78</v>
      </c>
      <c r="AB93" s="53" t="s">
        <v>288</v>
      </c>
    </row>
    <row r="94" spans="1:28" x14ac:dyDescent="0.15">
      <c r="A94" s="53" t="s">
        <v>34</v>
      </c>
      <c r="B94" s="53" t="s">
        <v>232</v>
      </c>
      <c r="C94" s="53">
        <v>2019</v>
      </c>
      <c r="D94" s="176" t="s">
        <v>167</v>
      </c>
      <c r="E94" s="53" t="s">
        <v>376</v>
      </c>
      <c r="F94" s="53" t="s">
        <v>377</v>
      </c>
      <c r="G94" s="53" t="s">
        <v>36</v>
      </c>
      <c r="H94" s="53" t="s">
        <v>160</v>
      </c>
      <c r="I94" s="53" t="s">
        <v>159</v>
      </c>
      <c r="J94" s="53" t="s">
        <v>38</v>
      </c>
      <c r="K94" s="53" t="s">
        <v>161</v>
      </c>
      <c r="L94" s="53">
        <v>3</v>
      </c>
      <c r="N94" s="53">
        <v>1</v>
      </c>
      <c r="O94" s="53">
        <v>0.6</v>
      </c>
      <c r="P94" s="53">
        <v>0.65</v>
      </c>
      <c r="Q94" s="74">
        <f t="shared" si="5"/>
        <v>0.625</v>
      </c>
      <c r="R94" s="53">
        <v>19.2</v>
      </c>
      <c r="S94" s="53">
        <v>130</v>
      </c>
      <c r="T94" s="16">
        <f t="shared" si="6"/>
        <v>30</v>
      </c>
      <c r="U94" s="53">
        <v>130</v>
      </c>
      <c r="V94" s="16">
        <f t="shared" si="7"/>
        <v>3900</v>
      </c>
      <c r="W94" s="53">
        <v>8</v>
      </c>
      <c r="X94" s="53" t="s">
        <v>46</v>
      </c>
      <c r="Y94" s="53" t="s">
        <v>69</v>
      </c>
      <c r="Z94" s="53" t="s">
        <v>55</v>
      </c>
      <c r="AA94" s="53" t="s">
        <v>78</v>
      </c>
      <c r="AB94" s="53" t="s">
        <v>288</v>
      </c>
    </row>
    <row r="95" spans="1:28" x14ac:dyDescent="0.15">
      <c r="A95" s="53" t="s">
        <v>34</v>
      </c>
      <c r="B95" s="53" t="s">
        <v>232</v>
      </c>
      <c r="C95" s="53">
        <v>2019</v>
      </c>
      <c r="D95" s="176" t="s">
        <v>167</v>
      </c>
      <c r="E95" s="53" t="s">
        <v>376</v>
      </c>
      <c r="F95" s="53" t="s">
        <v>377</v>
      </c>
      <c r="G95" s="53" t="s">
        <v>36</v>
      </c>
      <c r="H95" s="53" t="s">
        <v>160</v>
      </c>
      <c r="I95" s="53" t="s">
        <v>159</v>
      </c>
      <c r="J95" s="53" t="s">
        <v>38</v>
      </c>
      <c r="K95" s="53" t="s">
        <v>161</v>
      </c>
      <c r="L95" s="53">
        <v>1</v>
      </c>
      <c r="N95" s="53">
        <v>4</v>
      </c>
      <c r="O95" s="53">
        <v>0.2</v>
      </c>
      <c r="P95" s="53">
        <v>0.2</v>
      </c>
      <c r="Q95" s="74">
        <f t="shared" si="5"/>
        <v>0.2</v>
      </c>
      <c r="R95" s="53">
        <v>19.7</v>
      </c>
      <c r="S95" s="53">
        <v>93</v>
      </c>
      <c r="T95" s="16">
        <f t="shared" si="6"/>
        <v>36</v>
      </c>
      <c r="U95" s="53">
        <v>537</v>
      </c>
      <c r="V95" s="16">
        <f t="shared" si="7"/>
        <v>4833</v>
      </c>
      <c r="W95" s="53">
        <v>8</v>
      </c>
      <c r="X95" s="53" t="s">
        <v>46</v>
      </c>
      <c r="Y95" s="53" t="s">
        <v>69</v>
      </c>
      <c r="Z95" s="53" t="s">
        <v>55</v>
      </c>
      <c r="AA95" s="53" t="s">
        <v>78</v>
      </c>
      <c r="AB95" s="53" t="s">
        <v>288</v>
      </c>
    </row>
    <row r="96" spans="1:28" x14ac:dyDescent="0.15">
      <c r="A96" s="53" t="s">
        <v>34</v>
      </c>
      <c r="B96" s="53" t="s">
        <v>232</v>
      </c>
      <c r="C96" s="53">
        <v>2019</v>
      </c>
      <c r="D96" s="176" t="s">
        <v>167</v>
      </c>
      <c r="E96" s="53" t="s">
        <v>376</v>
      </c>
      <c r="F96" s="53" t="s">
        <v>377</v>
      </c>
      <c r="G96" s="53" t="s">
        <v>36</v>
      </c>
      <c r="H96" s="53" t="s">
        <v>160</v>
      </c>
      <c r="I96" s="53" t="s">
        <v>159</v>
      </c>
      <c r="J96" s="53" t="s">
        <v>38</v>
      </c>
      <c r="K96" s="53" t="s">
        <v>161</v>
      </c>
      <c r="L96" s="53">
        <v>2</v>
      </c>
      <c r="N96" s="53">
        <v>4</v>
      </c>
      <c r="O96" s="53">
        <v>0.65</v>
      </c>
      <c r="P96" s="53">
        <v>0.6</v>
      </c>
      <c r="Q96" s="74">
        <f t="shared" si="5"/>
        <v>0.625</v>
      </c>
      <c r="R96" s="53">
        <v>18.600000000000001</v>
      </c>
      <c r="S96" s="53">
        <v>110</v>
      </c>
      <c r="T96" s="16">
        <f t="shared" si="6"/>
        <v>33</v>
      </c>
      <c r="U96" s="53">
        <v>537</v>
      </c>
      <c r="V96" s="16">
        <f t="shared" si="7"/>
        <v>4430.25</v>
      </c>
      <c r="W96" s="53">
        <v>8</v>
      </c>
      <c r="X96" s="53" t="s">
        <v>46</v>
      </c>
      <c r="Y96" s="53" t="s">
        <v>69</v>
      </c>
      <c r="Z96" s="53" t="s">
        <v>55</v>
      </c>
      <c r="AA96" s="53" t="s">
        <v>78</v>
      </c>
      <c r="AB96" s="53" t="s">
        <v>288</v>
      </c>
    </row>
    <row r="97" spans="1:28" x14ac:dyDescent="0.15">
      <c r="A97" s="53" t="s">
        <v>34</v>
      </c>
      <c r="B97" s="53" t="s">
        <v>232</v>
      </c>
      <c r="C97" s="53">
        <v>2019</v>
      </c>
      <c r="D97" s="176" t="s">
        <v>167</v>
      </c>
      <c r="E97" s="53" t="s">
        <v>376</v>
      </c>
      <c r="F97" s="53" t="s">
        <v>377</v>
      </c>
      <c r="G97" s="53" t="s">
        <v>36</v>
      </c>
      <c r="H97" s="53" t="s">
        <v>160</v>
      </c>
      <c r="I97" s="53" t="s">
        <v>159</v>
      </c>
      <c r="J97" s="53" t="s">
        <v>38</v>
      </c>
      <c r="K97" s="53" t="s">
        <v>161</v>
      </c>
      <c r="L97" s="53">
        <v>3</v>
      </c>
      <c r="N97" s="53">
        <v>4</v>
      </c>
      <c r="O97" s="53">
        <v>0.6</v>
      </c>
      <c r="P97" s="53">
        <v>0.6</v>
      </c>
      <c r="Q97" s="74">
        <f t="shared" si="5"/>
        <v>0.6</v>
      </c>
      <c r="R97" s="53">
        <v>17.7</v>
      </c>
      <c r="S97" s="53">
        <v>108</v>
      </c>
      <c r="T97" s="16">
        <f t="shared" si="6"/>
        <v>33</v>
      </c>
      <c r="U97" s="53">
        <v>537</v>
      </c>
      <c r="V97" s="16">
        <f t="shared" si="7"/>
        <v>4430.25</v>
      </c>
      <c r="W97" s="53">
        <v>8</v>
      </c>
      <c r="X97" s="53" t="s">
        <v>46</v>
      </c>
      <c r="Y97" s="53" t="s">
        <v>69</v>
      </c>
      <c r="Z97" s="53" t="s">
        <v>55</v>
      </c>
      <c r="AA97" s="53" t="s">
        <v>78</v>
      </c>
      <c r="AB97" s="53" t="s">
        <v>288</v>
      </c>
    </row>
    <row r="98" spans="1:28" x14ac:dyDescent="0.15">
      <c r="A98" s="53" t="s">
        <v>34</v>
      </c>
      <c r="B98" s="53" t="s">
        <v>232</v>
      </c>
      <c r="C98" s="53">
        <v>2019</v>
      </c>
      <c r="D98" s="176" t="s">
        <v>167</v>
      </c>
      <c r="E98" s="53" t="s">
        <v>376</v>
      </c>
      <c r="F98" s="53" t="s">
        <v>377</v>
      </c>
      <c r="G98" s="53" t="s">
        <v>36</v>
      </c>
      <c r="H98" s="53" t="s">
        <v>164</v>
      </c>
      <c r="I98" s="53" t="s">
        <v>159</v>
      </c>
      <c r="J98" s="53" t="s">
        <v>38</v>
      </c>
      <c r="K98" s="53" t="s">
        <v>161</v>
      </c>
      <c r="L98" s="53">
        <v>1</v>
      </c>
      <c r="N98" s="53">
        <v>1</v>
      </c>
      <c r="O98" s="53">
        <v>0.8</v>
      </c>
      <c r="P98" s="53">
        <v>0.9</v>
      </c>
      <c r="Q98" s="74">
        <f t="shared" si="5"/>
        <v>0.85000000000000009</v>
      </c>
      <c r="R98" s="53">
        <v>17.2</v>
      </c>
      <c r="S98" s="53">
        <v>135</v>
      </c>
      <c r="T98" s="16">
        <f t="shared" si="6"/>
        <v>30</v>
      </c>
      <c r="U98" s="53">
        <v>127</v>
      </c>
      <c r="V98" s="16">
        <f t="shared" si="7"/>
        <v>3810</v>
      </c>
      <c r="W98" s="53">
        <v>4</v>
      </c>
      <c r="X98" s="53" t="s">
        <v>46</v>
      </c>
      <c r="Y98" s="53" t="s">
        <v>69</v>
      </c>
      <c r="Z98" s="53" t="s">
        <v>55</v>
      </c>
      <c r="AA98" s="53" t="s">
        <v>78</v>
      </c>
      <c r="AB98" s="53" t="s">
        <v>288</v>
      </c>
    </row>
    <row r="99" spans="1:28" x14ac:dyDescent="0.15">
      <c r="A99" s="53" t="s">
        <v>34</v>
      </c>
      <c r="B99" s="53" t="s">
        <v>232</v>
      </c>
      <c r="C99" s="53">
        <v>2019</v>
      </c>
      <c r="D99" s="176" t="s">
        <v>167</v>
      </c>
      <c r="E99" s="53" t="s">
        <v>376</v>
      </c>
      <c r="F99" s="53" t="s">
        <v>377</v>
      </c>
      <c r="G99" s="53" t="s">
        <v>36</v>
      </c>
      <c r="H99" s="53" t="s">
        <v>164</v>
      </c>
      <c r="I99" s="53" t="s">
        <v>159</v>
      </c>
      <c r="J99" s="53" t="s">
        <v>38</v>
      </c>
      <c r="K99" s="53" t="s">
        <v>161</v>
      </c>
      <c r="L99" s="53">
        <v>2</v>
      </c>
      <c r="N99" s="53">
        <v>1</v>
      </c>
      <c r="O99" s="53">
        <v>0.9</v>
      </c>
      <c r="P99" s="53">
        <v>0.8</v>
      </c>
      <c r="Q99" s="74">
        <f t="shared" si="5"/>
        <v>0.85000000000000009</v>
      </c>
      <c r="R99" s="53">
        <v>17.3</v>
      </c>
      <c r="S99" s="53">
        <v>132</v>
      </c>
      <c r="T99" s="16">
        <f t="shared" si="6"/>
        <v>30</v>
      </c>
      <c r="U99" s="53">
        <v>127</v>
      </c>
      <c r="V99" s="16">
        <f t="shared" si="7"/>
        <v>3810</v>
      </c>
      <c r="W99" s="53">
        <v>4</v>
      </c>
      <c r="X99" s="53" t="s">
        <v>46</v>
      </c>
      <c r="Y99" s="53" t="s">
        <v>69</v>
      </c>
      <c r="Z99" s="53" t="s">
        <v>55</v>
      </c>
      <c r="AA99" s="53" t="s">
        <v>78</v>
      </c>
      <c r="AB99" s="53" t="s">
        <v>288</v>
      </c>
    </row>
    <row r="100" spans="1:28" x14ac:dyDescent="0.15">
      <c r="A100" s="53" t="s">
        <v>34</v>
      </c>
      <c r="B100" s="53" t="s">
        <v>232</v>
      </c>
      <c r="C100" s="53">
        <v>2019</v>
      </c>
      <c r="D100" s="176" t="s">
        <v>167</v>
      </c>
      <c r="E100" s="53" t="s">
        <v>376</v>
      </c>
      <c r="F100" s="53" t="s">
        <v>377</v>
      </c>
      <c r="G100" s="53" t="s">
        <v>36</v>
      </c>
      <c r="H100" s="53" t="s">
        <v>164</v>
      </c>
      <c r="I100" s="53" t="s">
        <v>159</v>
      </c>
      <c r="J100" s="53" t="s">
        <v>38</v>
      </c>
      <c r="K100" s="53" t="s">
        <v>161</v>
      </c>
      <c r="L100" s="53">
        <v>3</v>
      </c>
      <c r="N100" s="53">
        <v>1</v>
      </c>
      <c r="O100" s="53">
        <v>0.9</v>
      </c>
      <c r="P100" s="53">
        <v>0.9</v>
      </c>
      <c r="Q100" s="74">
        <f t="shared" si="5"/>
        <v>0.9</v>
      </c>
      <c r="R100" s="53">
        <v>17.3</v>
      </c>
      <c r="S100" s="53">
        <v>130</v>
      </c>
      <c r="T100" s="16">
        <f t="shared" si="6"/>
        <v>30</v>
      </c>
      <c r="U100" s="53">
        <v>127</v>
      </c>
      <c r="V100" s="16">
        <f t="shared" si="7"/>
        <v>3810</v>
      </c>
      <c r="W100" s="53">
        <v>4</v>
      </c>
      <c r="X100" s="53" t="s">
        <v>46</v>
      </c>
      <c r="Y100" s="53" t="s">
        <v>69</v>
      </c>
      <c r="Z100" s="53" t="s">
        <v>55</v>
      </c>
      <c r="AA100" s="53" t="s">
        <v>78</v>
      </c>
      <c r="AB100" s="53" t="s">
        <v>288</v>
      </c>
    </row>
    <row r="101" spans="1:28" x14ac:dyDescent="0.15">
      <c r="A101" s="53" t="s">
        <v>34</v>
      </c>
      <c r="B101" s="53" t="s">
        <v>232</v>
      </c>
      <c r="C101" s="53">
        <v>2019</v>
      </c>
      <c r="D101" s="176" t="s">
        <v>167</v>
      </c>
      <c r="E101" s="53" t="s">
        <v>376</v>
      </c>
      <c r="F101" s="53" t="s">
        <v>377</v>
      </c>
      <c r="G101" s="53" t="s">
        <v>36</v>
      </c>
      <c r="H101" s="53" t="s">
        <v>164</v>
      </c>
      <c r="I101" s="53" t="s">
        <v>159</v>
      </c>
      <c r="J101" s="53" t="s">
        <v>38</v>
      </c>
      <c r="K101" s="53" t="s">
        <v>161</v>
      </c>
      <c r="L101" s="53">
        <v>1</v>
      </c>
      <c r="N101" s="53">
        <v>4</v>
      </c>
      <c r="O101" s="53">
        <v>0.9</v>
      </c>
      <c r="P101" s="53">
        <v>0.8</v>
      </c>
      <c r="Q101" s="74">
        <f t="shared" si="5"/>
        <v>0.85000000000000009</v>
      </c>
      <c r="R101" s="53">
        <v>20.100000000000001</v>
      </c>
      <c r="S101" s="53">
        <v>88</v>
      </c>
      <c r="T101" s="16">
        <f t="shared" si="6"/>
        <v>36</v>
      </c>
      <c r="U101" s="53">
        <v>321</v>
      </c>
      <c r="V101" s="16">
        <f t="shared" si="7"/>
        <v>2889</v>
      </c>
      <c r="W101" s="53">
        <v>4</v>
      </c>
      <c r="X101" s="53" t="s">
        <v>46</v>
      </c>
      <c r="Y101" s="53" t="s">
        <v>69</v>
      </c>
      <c r="Z101" s="53" t="s">
        <v>55</v>
      </c>
      <c r="AA101" s="53" t="s">
        <v>78</v>
      </c>
      <c r="AB101" s="53" t="s">
        <v>288</v>
      </c>
    </row>
    <row r="102" spans="1:28" x14ac:dyDescent="0.15">
      <c r="A102" s="53" t="s">
        <v>34</v>
      </c>
      <c r="B102" s="53" t="s">
        <v>232</v>
      </c>
      <c r="C102" s="53">
        <v>2019</v>
      </c>
      <c r="D102" s="176" t="s">
        <v>167</v>
      </c>
      <c r="E102" s="53" t="s">
        <v>376</v>
      </c>
      <c r="F102" s="53" t="s">
        <v>377</v>
      </c>
      <c r="G102" s="53" t="s">
        <v>36</v>
      </c>
      <c r="H102" s="53" t="s">
        <v>164</v>
      </c>
      <c r="I102" s="53" t="s">
        <v>159</v>
      </c>
      <c r="J102" s="53" t="s">
        <v>38</v>
      </c>
      <c r="K102" s="53" t="s">
        <v>161</v>
      </c>
      <c r="L102" s="53">
        <v>2</v>
      </c>
      <c r="N102" s="53">
        <v>4</v>
      </c>
      <c r="O102" s="53">
        <v>0.85</v>
      </c>
      <c r="P102" s="53">
        <v>0.6</v>
      </c>
      <c r="Q102" s="74">
        <f t="shared" si="5"/>
        <v>0.72499999999999998</v>
      </c>
      <c r="R102" s="53">
        <v>16.7</v>
      </c>
      <c r="S102" s="53">
        <v>91</v>
      </c>
      <c r="T102" s="16">
        <f t="shared" si="6"/>
        <v>36</v>
      </c>
      <c r="U102" s="53">
        <v>321</v>
      </c>
      <c r="V102" s="16">
        <f t="shared" si="7"/>
        <v>2889</v>
      </c>
      <c r="W102" s="53">
        <v>4</v>
      </c>
      <c r="X102" s="53" t="s">
        <v>46</v>
      </c>
      <c r="Y102" s="53" t="s">
        <v>69</v>
      </c>
      <c r="Z102" s="53" t="s">
        <v>55</v>
      </c>
      <c r="AA102" s="53" t="s">
        <v>78</v>
      </c>
      <c r="AB102" s="53" t="s">
        <v>288</v>
      </c>
    </row>
    <row r="103" spans="1:28" x14ac:dyDescent="0.15">
      <c r="A103" s="53" t="s">
        <v>34</v>
      </c>
      <c r="B103" s="53" t="s">
        <v>232</v>
      </c>
      <c r="C103" s="53">
        <v>2019</v>
      </c>
      <c r="D103" s="176" t="s">
        <v>167</v>
      </c>
      <c r="E103" s="53" t="s">
        <v>376</v>
      </c>
      <c r="F103" s="53" t="s">
        <v>377</v>
      </c>
      <c r="G103" s="53" t="s">
        <v>36</v>
      </c>
      <c r="H103" s="53" t="s">
        <v>164</v>
      </c>
      <c r="I103" s="53" t="s">
        <v>159</v>
      </c>
      <c r="J103" s="53" t="s">
        <v>38</v>
      </c>
      <c r="K103" s="53" t="s">
        <v>161</v>
      </c>
      <c r="L103" s="53">
        <v>3</v>
      </c>
      <c r="N103" s="53">
        <v>4</v>
      </c>
      <c r="O103" s="53">
        <v>0.85</v>
      </c>
      <c r="P103" s="53">
        <v>0.8</v>
      </c>
      <c r="Q103" s="74">
        <f t="shared" si="5"/>
        <v>0.82499999999999996</v>
      </c>
      <c r="R103" s="53">
        <v>17.3</v>
      </c>
      <c r="S103" s="53">
        <v>90</v>
      </c>
      <c r="T103" s="16">
        <f t="shared" si="6"/>
        <v>36</v>
      </c>
      <c r="U103" s="53">
        <v>321</v>
      </c>
      <c r="V103" s="16">
        <f t="shared" si="7"/>
        <v>2889</v>
      </c>
      <c r="W103" s="53">
        <v>4</v>
      </c>
      <c r="X103" s="53" t="s">
        <v>46</v>
      </c>
      <c r="Y103" s="53" t="s">
        <v>69</v>
      </c>
      <c r="Z103" s="53" t="s">
        <v>55</v>
      </c>
      <c r="AA103" s="53" t="s">
        <v>78</v>
      </c>
      <c r="AB103" s="53" t="s">
        <v>288</v>
      </c>
    </row>
    <row r="104" spans="1:28" x14ac:dyDescent="0.15">
      <c r="A104" s="53" t="s">
        <v>34</v>
      </c>
      <c r="B104" s="53" t="s">
        <v>232</v>
      </c>
      <c r="C104" s="53">
        <v>2019</v>
      </c>
      <c r="D104" s="176" t="s">
        <v>167</v>
      </c>
      <c r="E104" s="53" t="s">
        <v>378</v>
      </c>
      <c r="F104" s="53" t="s">
        <v>379</v>
      </c>
      <c r="G104" s="53" t="s">
        <v>36</v>
      </c>
      <c r="H104" s="53" t="s">
        <v>160</v>
      </c>
      <c r="I104" s="53" t="s">
        <v>159</v>
      </c>
      <c r="J104" s="53" t="s">
        <v>38</v>
      </c>
      <c r="K104" s="53" t="s">
        <v>161</v>
      </c>
      <c r="L104" s="53">
        <v>1</v>
      </c>
      <c r="N104" s="53">
        <v>1</v>
      </c>
      <c r="O104" s="53">
        <v>0.65</v>
      </c>
      <c r="P104" s="53">
        <v>0.5</v>
      </c>
      <c r="Q104" s="74">
        <f t="shared" si="5"/>
        <v>0.57499999999999996</v>
      </c>
      <c r="R104" s="53">
        <v>8.1</v>
      </c>
      <c r="S104" s="53">
        <v>129</v>
      </c>
      <c r="T104" s="16">
        <f t="shared" si="6"/>
        <v>30</v>
      </c>
      <c r="U104" s="53">
        <v>149</v>
      </c>
      <c r="V104" s="16">
        <f t="shared" si="7"/>
        <v>4470</v>
      </c>
      <c r="W104" s="53">
        <v>8</v>
      </c>
      <c r="X104" s="53" t="s">
        <v>46</v>
      </c>
      <c r="Y104" s="53" t="s">
        <v>55</v>
      </c>
      <c r="Z104" s="53" t="s">
        <v>97</v>
      </c>
      <c r="AA104" s="53" t="s">
        <v>69</v>
      </c>
      <c r="AB104" s="53" t="s">
        <v>288</v>
      </c>
    </row>
    <row r="105" spans="1:28" x14ac:dyDescent="0.15">
      <c r="A105" s="53" t="s">
        <v>34</v>
      </c>
      <c r="B105" s="53" t="s">
        <v>232</v>
      </c>
      <c r="C105" s="53">
        <v>2019</v>
      </c>
      <c r="D105" s="176" t="s">
        <v>167</v>
      </c>
      <c r="E105" s="53" t="s">
        <v>378</v>
      </c>
      <c r="F105" s="53" t="s">
        <v>379</v>
      </c>
      <c r="G105" s="53" t="s">
        <v>36</v>
      </c>
      <c r="H105" s="53" t="s">
        <v>160</v>
      </c>
      <c r="I105" s="53" t="s">
        <v>159</v>
      </c>
      <c r="J105" s="53" t="s">
        <v>38</v>
      </c>
      <c r="K105" s="53" t="s">
        <v>161</v>
      </c>
      <c r="L105" s="53">
        <v>2</v>
      </c>
      <c r="N105" s="53">
        <v>1</v>
      </c>
      <c r="O105" s="53">
        <v>0.55000000000000004</v>
      </c>
      <c r="P105" s="53">
        <v>0.65</v>
      </c>
      <c r="Q105" s="74">
        <f t="shared" si="5"/>
        <v>0.60000000000000009</v>
      </c>
      <c r="R105" s="53">
        <v>18</v>
      </c>
      <c r="S105" s="53">
        <v>116</v>
      </c>
      <c r="T105" s="16">
        <f t="shared" si="6"/>
        <v>30</v>
      </c>
      <c r="U105" s="53">
        <v>149</v>
      </c>
      <c r="V105" s="16">
        <f t="shared" si="7"/>
        <v>4470</v>
      </c>
      <c r="W105" s="53">
        <v>8</v>
      </c>
      <c r="X105" s="53" t="s">
        <v>46</v>
      </c>
      <c r="Y105" s="53" t="s">
        <v>55</v>
      </c>
      <c r="Z105" s="53" t="s">
        <v>97</v>
      </c>
      <c r="AA105" s="53" t="s">
        <v>69</v>
      </c>
      <c r="AB105" s="53" t="s">
        <v>288</v>
      </c>
    </row>
    <row r="106" spans="1:28" x14ac:dyDescent="0.15">
      <c r="A106" s="53" t="s">
        <v>34</v>
      </c>
      <c r="B106" s="53" t="s">
        <v>232</v>
      </c>
      <c r="C106" s="53">
        <v>2019</v>
      </c>
      <c r="D106" s="176" t="s">
        <v>167</v>
      </c>
      <c r="E106" s="53" t="s">
        <v>378</v>
      </c>
      <c r="F106" s="53" t="s">
        <v>379</v>
      </c>
      <c r="G106" s="53" t="s">
        <v>36</v>
      </c>
      <c r="H106" s="53" t="s">
        <v>160</v>
      </c>
      <c r="I106" s="53" t="s">
        <v>159</v>
      </c>
      <c r="J106" s="53" t="s">
        <v>38</v>
      </c>
      <c r="K106" s="53" t="s">
        <v>161</v>
      </c>
      <c r="L106" s="53">
        <v>3</v>
      </c>
      <c r="N106" s="53">
        <v>1</v>
      </c>
      <c r="O106" s="53">
        <v>0.5</v>
      </c>
      <c r="P106" s="53">
        <v>0.65</v>
      </c>
      <c r="Q106" s="74">
        <f t="shared" si="5"/>
        <v>0.57499999999999996</v>
      </c>
      <c r="R106" s="53">
        <v>16.8</v>
      </c>
      <c r="S106" s="53">
        <v>116</v>
      </c>
      <c r="T106" s="16">
        <f t="shared" si="6"/>
        <v>30</v>
      </c>
      <c r="U106" s="53">
        <v>149</v>
      </c>
      <c r="V106" s="16">
        <f t="shared" si="7"/>
        <v>4470</v>
      </c>
      <c r="W106" s="53">
        <v>8</v>
      </c>
      <c r="X106" s="53" t="s">
        <v>46</v>
      </c>
      <c r="Y106" s="53" t="s">
        <v>55</v>
      </c>
      <c r="Z106" s="53" t="s">
        <v>97</v>
      </c>
      <c r="AA106" s="53" t="s">
        <v>69</v>
      </c>
      <c r="AB106" s="53" t="s">
        <v>288</v>
      </c>
    </row>
    <row r="107" spans="1:28" x14ac:dyDescent="0.15">
      <c r="A107" s="53" t="s">
        <v>34</v>
      </c>
      <c r="B107" s="53" t="s">
        <v>232</v>
      </c>
      <c r="C107" s="53">
        <v>2019</v>
      </c>
      <c r="D107" s="176" t="s">
        <v>167</v>
      </c>
      <c r="E107" s="53" t="s">
        <v>378</v>
      </c>
      <c r="F107" s="53" t="s">
        <v>379</v>
      </c>
      <c r="G107" s="53" t="s">
        <v>36</v>
      </c>
      <c r="H107" s="53" t="s">
        <v>160</v>
      </c>
      <c r="I107" s="53" t="s">
        <v>159</v>
      </c>
      <c r="J107" s="53" t="s">
        <v>38</v>
      </c>
      <c r="K107" s="53" t="s">
        <v>161</v>
      </c>
      <c r="L107" s="53">
        <v>1</v>
      </c>
      <c r="N107" s="53">
        <v>8</v>
      </c>
      <c r="O107" s="53">
        <v>0.6</v>
      </c>
      <c r="P107" s="53">
        <v>0.5</v>
      </c>
      <c r="Q107" s="74">
        <f t="shared" si="5"/>
        <v>0.55000000000000004</v>
      </c>
      <c r="R107" s="53">
        <v>18</v>
      </c>
      <c r="S107" s="53">
        <v>99</v>
      </c>
      <c r="T107" s="16">
        <f t="shared" si="6"/>
        <v>33</v>
      </c>
      <c r="U107" s="53">
        <v>861</v>
      </c>
      <c r="V107" s="16">
        <f t="shared" si="7"/>
        <v>3551.625</v>
      </c>
      <c r="W107" s="53">
        <v>8</v>
      </c>
      <c r="X107" s="53" t="s">
        <v>46</v>
      </c>
      <c r="Y107" s="53" t="s">
        <v>55</v>
      </c>
      <c r="Z107" s="53" t="s">
        <v>97</v>
      </c>
      <c r="AA107" s="53" t="s">
        <v>69</v>
      </c>
      <c r="AB107" s="53" t="s">
        <v>288</v>
      </c>
    </row>
    <row r="108" spans="1:28" x14ac:dyDescent="0.15">
      <c r="A108" s="53" t="s">
        <v>34</v>
      </c>
      <c r="B108" s="53" t="s">
        <v>232</v>
      </c>
      <c r="C108" s="53">
        <v>2019</v>
      </c>
      <c r="D108" s="176" t="s">
        <v>167</v>
      </c>
      <c r="E108" s="53" t="s">
        <v>378</v>
      </c>
      <c r="F108" s="53" t="s">
        <v>379</v>
      </c>
      <c r="G108" s="53" t="s">
        <v>36</v>
      </c>
      <c r="H108" s="53" t="s">
        <v>160</v>
      </c>
      <c r="I108" s="53" t="s">
        <v>159</v>
      </c>
      <c r="J108" s="53" t="s">
        <v>38</v>
      </c>
      <c r="K108" s="53" t="s">
        <v>161</v>
      </c>
      <c r="L108" s="53">
        <v>2</v>
      </c>
      <c r="N108" s="53">
        <v>8</v>
      </c>
      <c r="O108" s="53">
        <v>0.6</v>
      </c>
      <c r="P108" s="53">
        <v>0.2</v>
      </c>
      <c r="Q108" s="74">
        <f t="shared" si="5"/>
        <v>0.4</v>
      </c>
      <c r="R108" s="53">
        <v>16.8</v>
      </c>
      <c r="S108" s="53">
        <v>94</v>
      </c>
      <c r="T108" s="16">
        <f t="shared" si="6"/>
        <v>36</v>
      </c>
      <c r="U108" s="53">
        <v>861</v>
      </c>
      <c r="V108" s="16">
        <f t="shared" si="7"/>
        <v>3874.5</v>
      </c>
      <c r="W108" s="53">
        <v>8</v>
      </c>
      <c r="X108" s="53" t="s">
        <v>46</v>
      </c>
      <c r="Y108" s="53" t="s">
        <v>55</v>
      </c>
      <c r="Z108" s="53" t="s">
        <v>97</v>
      </c>
      <c r="AA108" s="53" t="s">
        <v>69</v>
      </c>
      <c r="AB108" s="53" t="s">
        <v>288</v>
      </c>
    </row>
    <row r="109" spans="1:28" x14ac:dyDescent="0.15">
      <c r="A109" s="53" t="s">
        <v>34</v>
      </c>
      <c r="B109" s="53" t="s">
        <v>232</v>
      </c>
      <c r="C109" s="53">
        <v>2019</v>
      </c>
      <c r="D109" s="176" t="s">
        <v>167</v>
      </c>
      <c r="E109" s="53" t="s">
        <v>378</v>
      </c>
      <c r="F109" s="53" t="s">
        <v>379</v>
      </c>
      <c r="G109" s="53" t="s">
        <v>36</v>
      </c>
      <c r="H109" s="53" t="s">
        <v>160</v>
      </c>
      <c r="I109" s="53" t="s">
        <v>159</v>
      </c>
      <c r="J109" s="53" t="s">
        <v>38</v>
      </c>
      <c r="K109" s="53" t="s">
        <v>161</v>
      </c>
      <c r="L109" s="53">
        <v>3</v>
      </c>
      <c r="N109" s="53">
        <v>8</v>
      </c>
      <c r="O109" s="53">
        <v>0.65</v>
      </c>
      <c r="P109" s="53">
        <v>0.7</v>
      </c>
      <c r="Q109" s="74">
        <f t="shared" si="5"/>
        <v>0.67500000000000004</v>
      </c>
      <c r="R109" s="53">
        <v>17</v>
      </c>
      <c r="S109" s="53">
        <v>96</v>
      </c>
      <c r="T109" s="16">
        <f t="shared" si="6"/>
        <v>36</v>
      </c>
      <c r="U109" s="53">
        <v>861</v>
      </c>
      <c r="V109" s="16">
        <f t="shared" si="7"/>
        <v>3874.5</v>
      </c>
      <c r="W109" s="53">
        <v>8</v>
      </c>
      <c r="X109" s="53" t="s">
        <v>46</v>
      </c>
      <c r="Y109" s="53" t="s">
        <v>55</v>
      </c>
      <c r="Z109" s="53" t="s">
        <v>97</v>
      </c>
      <c r="AA109" s="53" t="s">
        <v>69</v>
      </c>
      <c r="AB109" s="53" t="s">
        <v>288</v>
      </c>
    </row>
    <row r="110" spans="1:28" x14ac:dyDescent="0.15">
      <c r="A110" s="53" t="s">
        <v>34</v>
      </c>
      <c r="B110" s="53" t="s">
        <v>232</v>
      </c>
      <c r="C110" s="53">
        <v>2019</v>
      </c>
      <c r="D110" s="176" t="s">
        <v>167</v>
      </c>
      <c r="E110" s="53" t="s">
        <v>378</v>
      </c>
      <c r="F110" s="53" t="s">
        <v>379</v>
      </c>
      <c r="G110" s="53" t="s">
        <v>36</v>
      </c>
      <c r="H110" s="53" t="s">
        <v>164</v>
      </c>
      <c r="I110" s="53" t="s">
        <v>159</v>
      </c>
      <c r="J110" s="53" t="s">
        <v>38</v>
      </c>
      <c r="K110" s="53" t="s">
        <v>161</v>
      </c>
      <c r="L110" s="53">
        <v>1</v>
      </c>
      <c r="N110" s="53">
        <v>1</v>
      </c>
      <c r="O110" s="53">
        <v>0.55000000000000004</v>
      </c>
      <c r="P110" s="53">
        <v>0.7</v>
      </c>
      <c r="Q110" s="74">
        <f t="shared" si="5"/>
        <v>0.625</v>
      </c>
      <c r="R110" s="53">
        <v>17</v>
      </c>
      <c r="S110" s="53">
        <v>110</v>
      </c>
      <c r="T110" s="16">
        <f t="shared" si="6"/>
        <v>33</v>
      </c>
      <c r="U110" s="53">
        <v>101</v>
      </c>
      <c r="V110" s="16">
        <f t="shared" si="7"/>
        <v>3333</v>
      </c>
      <c r="W110" s="53">
        <v>9</v>
      </c>
      <c r="X110" s="53" t="s">
        <v>46</v>
      </c>
      <c r="Y110" s="53" t="s">
        <v>55</v>
      </c>
      <c r="Z110" s="53" t="s">
        <v>97</v>
      </c>
      <c r="AA110" s="53" t="s">
        <v>69</v>
      </c>
      <c r="AB110" s="53" t="s">
        <v>288</v>
      </c>
    </row>
    <row r="111" spans="1:28" x14ac:dyDescent="0.15">
      <c r="A111" s="53" t="s">
        <v>34</v>
      </c>
      <c r="B111" s="53" t="s">
        <v>232</v>
      </c>
      <c r="C111" s="53">
        <v>2019</v>
      </c>
      <c r="D111" s="176" t="s">
        <v>167</v>
      </c>
      <c r="E111" s="53" t="s">
        <v>378</v>
      </c>
      <c r="F111" s="53" t="s">
        <v>379</v>
      </c>
      <c r="G111" s="53" t="s">
        <v>36</v>
      </c>
      <c r="H111" s="53" t="s">
        <v>164</v>
      </c>
      <c r="I111" s="53" t="s">
        <v>159</v>
      </c>
      <c r="J111" s="53" t="s">
        <v>38</v>
      </c>
      <c r="K111" s="53" t="s">
        <v>161</v>
      </c>
      <c r="L111" s="53">
        <v>2</v>
      </c>
      <c r="N111" s="53">
        <v>1</v>
      </c>
      <c r="O111" s="53">
        <v>0.65</v>
      </c>
      <c r="P111" s="53">
        <v>0.7</v>
      </c>
      <c r="Q111" s="74">
        <f t="shared" si="5"/>
        <v>0.67500000000000004</v>
      </c>
      <c r="R111" s="53">
        <v>16.8</v>
      </c>
      <c r="S111" s="53">
        <v>112</v>
      </c>
      <c r="T111" s="16">
        <f t="shared" si="6"/>
        <v>33</v>
      </c>
      <c r="U111" s="53">
        <v>101</v>
      </c>
      <c r="V111" s="16">
        <f t="shared" si="7"/>
        <v>3333</v>
      </c>
      <c r="W111" s="53">
        <v>9</v>
      </c>
      <c r="X111" s="53" t="s">
        <v>46</v>
      </c>
      <c r="Y111" s="53" t="s">
        <v>55</v>
      </c>
      <c r="Z111" s="53" t="s">
        <v>97</v>
      </c>
      <c r="AA111" s="53" t="s">
        <v>69</v>
      </c>
      <c r="AB111" s="53" t="s">
        <v>288</v>
      </c>
    </row>
    <row r="112" spans="1:28" x14ac:dyDescent="0.15">
      <c r="A112" s="53" t="s">
        <v>34</v>
      </c>
      <c r="B112" s="53" t="s">
        <v>232</v>
      </c>
      <c r="C112" s="53">
        <v>2019</v>
      </c>
      <c r="D112" s="176" t="s">
        <v>167</v>
      </c>
      <c r="E112" s="53" t="s">
        <v>378</v>
      </c>
      <c r="F112" s="53" t="s">
        <v>379</v>
      </c>
      <c r="G112" s="53" t="s">
        <v>36</v>
      </c>
      <c r="H112" s="53" t="s">
        <v>164</v>
      </c>
      <c r="I112" s="53" t="s">
        <v>159</v>
      </c>
      <c r="J112" s="53" t="s">
        <v>38</v>
      </c>
      <c r="K112" s="53" t="s">
        <v>161</v>
      </c>
      <c r="L112" s="53">
        <v>3</v>
      </c>
      <c r="N112" s="53">
        <v>1</v>
      </c>
      <c r="O112" s="53">
        <v>0.2</v>
      </c>
      <c r="P112" s="53">
        <v>0.2</v>
      </c>
      <c r="Q112" s="74">
        <f t="shared" si="5"/>
        <v>0.2</v>
      </c>
      <c r="R112" s="53">
        <v>17.3</v>
      </c>
      <c r="S112" s="53">
        <v>111</v>
      </c>
      <c r="T112" s="16">
        <f t="shared" si="6"/>
        <v>33</v>
      </c>
      <c r="U112" s="53">
        <v>101</v>
      </c>
      <c r="V112" s="16">
        <f t="shared" si="7"/>
        <v>3333</v>
      </c>
      <c r="W112" s="53">
        <v>9</v>
      </c>
      <c r="X112" s="53" t="s">
        <v>46</v>
      </c>
      <c r="Y112" s="53" t="s">
        <v>55</v>
      </c>
      <c r="Z112" s="53" t="s">
        <v>97</v>
      </c>
      <c r="AA112" s="53" t="s">
        <v>69</v>
      </c>
      <c r="AB112" s="53" t="s">
        <v>288</v>
      </c>
    </row>
    <row r="113" spans="1:28" x14ac:dyDescent="0.15">
      <c r="A113" s="53" t="s">
        <v>34</v>
      </c>
      <c r="B113" s="53" t="s">
        <v>232</v>
      </c>
      <c r="C113" s="53">
        <v>2019</v>
      </c>
      <c r="D113" s="176" t="s">
        <v>167</v>
      </c>
      <c r="E113" s="53" t="s">
        <v>378</v>
      </c>
      <c r="F113" s="53" t="s">
        <v>379</v>
      </c>
      <c r="G113" s="53" t="s">
        <v>36</v>
      </c>
      <c r="H113" s="53" t="s">
        <v>164</v>
      </c>
      <c r="I113" s="53" t="s">
        <v>159</v>
      </c>
      <c r="J113" s="53" t="s">
        <v>38</v>
      </c>
      <c r="K113" s="53" t="s">
        <v>161</v>
      </c>
      <c r="L113" s="53">
        <v>1</v>
      </c>
      <c r="N113" s="53">
        <v>8</v>
      </c>
      <c r="O113" s="53">
        <v>0.65</v>
      </c>
      <c r="P113" s="53">
        <v>0.65</v>
      </c>
      <c r="Q113" s="16">
        <f t="shared" si="5"/>
        <v>0.65</v>
      </c>
      <c r="R113" s="53">
        <v>17.100000000000001</v>
      </c>
      <c r="S113" s="53">
        <v>87</v>
      </c>
      <c r="T113" s="16">
        <f t="shared" si="6"/>
        <v>36</v>
      </c>
      <c r="U113" s="53">
        <v>645</v>
      </c>
      <c r="V113" s="16">
        <f t="shared" si="7"/>
        <v>2902.5</v>
      </c>
      <c r="W113" s="53">
        <v>9</v>
      </c>
      <c r="X113" s="53" t="s">
        <v>46</v>
      </c>
      <c r="Y113" s="53" t="s">
        <v>55</v>
      </c>
      <c r="Z113" s="53" t="s">
        <v>97</v>
      </c>
      <c r="AA113" s="53" t="s">
        <v>69</v>
      </c>
      <c r="AB113" s="53" t="s">
        <v>288</v>
      </c>
    </row>
    <row r="114" spans="1:28" x14ac:dyDescent="0.15">
      <c r="A114" s="53" t="s">
        <v>34</v>
      </c>
      <c r="B114" s="53" t="s">
        <v>232</v>
      </c>
      <c r="C114" s="53">
        <v>2019</v>
      </c>
      <c r="D114" s="176" t="s">
        <v>167</v>
      </c>
      <c r="E114" s="53" t="s">
        <v>378</v>
      </c>
      <c r="F114" s="53" t="s">
        <v>379</v>
      </c>
      <c r="G114" s="53" t="s">
        <v>36</v>
      </c>
      <c r="H114" s="53" t="s">
        <v>164</v>
      </c>
      <c r="I114" s="53" t="s">
        <v>159</v>
      </c>
      <c r="J114" s="53" t="s">
        <v>38</v>
      </c>
      <c r="K114" s="53" t="s">
        <v>161</v>
      </c>
      <c r="L114" s="53">
        <v>2</v>
      </c>
      <c r="N114" s="53">
        <v>8</v>
      </c>
      <c r="O114" s="53">
        <v>0.7</v>
      </c>
      <c r="P114" s="53">
        <v>0.7</v>
      </c>
      <c r="Q114" s="16">
        <f t="shared" si="5"/>
        <v>0.7</v>
      </c>
      <c r="R114" s="53">
        <v>17.2</v>
      </c>
      <c r="S114" s="53">
        <v>83</v>
      </c>
      <c r="T114" s="16">
        <f t="shared" si="6"/>
        <v>39</v>
      </c>
      <c r="U114" s="53">
        <v>645</v>
      </c>
      <c r="V114" s="16">
        <f t="shared" si="7"/>
        <v>3144.375</v>
      </c>
      <c r="W114" s="53">
        <v>9</v>
      </c>
      <c r="X114" s="53" t="s">
        <v>46</v>
      </c>
      <c r="Y114" s="53" t="s">
        <v>55</v>
      </c>
      <c r="Z114" s="53" t="s">
        <v>97</v>
      </c>
      <c r="AA114" s="53" t="s">
        <v>69</v>
      </c>
      <c r="AB114" s="53" t="s">
        <v>288</v>
      </c>
    </row>
    <row r="115" spans="1:28" x14ac:dyDescent="0.15">
      <c r="A115" s="53" t="s">
        <v>34</v>
      </c>
      <c r="B115" s="53" t="s">
        <v>232</v>
      </c>
      <c r="C115" s="53">
        <v>2019</v>
      </c>
      <c r="D115" s="176" t="s">
        <v>167</v>
      </c>
      <c r="E115" s="53" t="s">
        <v>378</v>
      </c>
      <c r="F115" s="53" t="s">
        <v>379</v>
      </c>
      <c r="G115" s="53" t="s">
        <v>36</v>
      </c>
      <c r="H115" s="53" t="s">
        <v>164</v>
      </c>
      <c r="I115" s="53" t="s">
        <v>159</v>
      </c>
      <c r="J115" s="53" t="s">
        <v>38</v>
      </c>
      <c r="K115" s="53" t="s">
        <v>161</v>
      </c>
      <c r="L115" s="53">
        <v>3</v>
      </c>
      <c r="N115" s="53">
        <v>8</v>
      </c>
      <c r="O115" s="53">
        <v>0.7</v>
      </c>
      <c r="P115" s="53">
        <v>0.55000000000000004</v>
      </c>
      <c r="Q115" s="16">
        <f t="shared" si="5"/>
        <v>0.625</v>
      </c>
      <c r="R115" s="53">
        <v>19.5</v>
      </c>
      <c r="S115" s="53">
        <v>89</v>
      </c>
      <c r="T115" s="16">
        <f t="shared" si="6"/>
        <v>36</v>
      </c>
      <c r="U115" s="53">
        <v>645</v>
      </c>
      <c r="V115" s="16">
        <f t="shared" si="7"/>
        <v>2902.5</v>
      </c>
      <c r="W115" s="53">
        <v>9</v>
      </c>
      <c r="X115" s="53" t="s">
        <v>46</v>
      </c>
      <c r="Y115" s="53" t="s">
        <v>55</v>
      </c>
      <c r="Z115" s="53" t="s">
        <v>97</v>
      </c>
      <c r="AA115" s="53" t="s">
        <v>69</v>
      </c>
      <c r="AB115" s="53" t="s">
        <v>288</v>
      </c>
    </row>
    <row r="116" spans="1:28" x14ac:dyDescent="0.15">
      <c r="A116" s="53" t="s">
        <v>34</v>
      </c>
      <c r="B116" s="53" t="s">
        <v>232</v>
      </c>
      <c r="C116" s="53">
        <v>2019</v>
      </c>
      <c r="D116" s="176" t="s">
        <v>167</v>
      </c>
      <c r="E116" s="53" t="s">
        <v>378</v>
      </c>
      <c r="F116" s="53" t="s">
        <v>379</v>
      </c>
      <c r="G116" s="53" t="s">
        <v>36</v>
      </c>
      <c r="H116" s="53" t="s">
        <v>164</v>
      </c>
      <c r="I116" s="53" t="s">
        <v>165</v>
      </c>
      <c r="J116" s="53" t="s">
        <v>38</v>
      </c>
      <c r="K116" s="53" t="s">
        <v>161</v>
      </c>
      <c r="L116" s="53">
        <v>1</v>
      </c>
      <c r="N116" s="53">
        <v>4</v>
      </c>
      <c r="O116" s="53">
        <v>0.7</v>
      </c>
      <c r="P116" s="53">
        <v>0.5</v>
      </c>
      <c r="Q116" s="16">
        <f t="shared" si="5"/>
        <v>0.6</v>
      </c>
      <c r="R116" s="53">
        <v>17.100000000000001</v>
      </c>
      <c r="S116" s="53">
        <v>94</v>
      </c>
      <c r="T116" s="16">
        <f t="shared" si="6"/>
        <v>36</v>
      </c>
      <c r="U116" s="53">
        <v>429</v>
      </c>
      <c r="V116" s="16">
        <f t="shared" si="7"/>
        <v>3861</v>
      </c>
      <c r="W116" s="53">
        <v>9</v>
      </c>
      <c r="X116" s="53" t="s">
        <v>46</v>
      </c>
      <c r="Y116" s="53" t="s">
        <v>55</v>
      </c>
      <c r="Z116" s="53" t="s">
        <v>97</v>
      </c>
      <c r="AA116" s="53" t="s">
        <v>69</v>
      </c>
      <c r="AB116" s="53" t="s">
        <v>288</v>
      </c>
    </row>
    <row r="117" spans="1:28" x14ac:dyDescent="0.15">
      <c r="A117" s="53" t="s">
        <v>34</v>
      </c>
      <c r="B117" s="53" t="s">
        <v>232</v>
      </c>
      <c r="C117" s="53">
        <v>2019</v>
      </c>
      <c r="D117" s="176" t="s">
        <v>167</v>
      </c>
      <c r="E117" s="53" t="s">
        <v>378</v>
      </c>
      <c r="F117" s="53" t="s">
        <v>379</v>
      </c>
      <c r="G117" s="53" t="s">
        <v>36</v>
      </c>
      <c r="H117" s="53" t="s">
        <v>164</v>
      </c>
      <c r="I117" s="53" t="s">
        <v>165</v>
      </c>
      <c r="J117" s="53" t="s">
        <v>38</v>
      </c>
      <c r="K117" s="53" t="s">
        <v>161</v>
      </c>
      <c r="L117" s="53">
        <v>2</v>
      </c>
      <c r="N117" s="53">
        <v>4</v>
      </c>
      <c r="O117" s="53">
        <v>1</v>
      </c>
      <c r="P117" s="53">
        <v>0.95</v>
      </c>
      <c r="Q117" s="16">
        <f t="shared" si="5"/>
        <v>0.97499999999999998</v>
      </c>
      <c r="R117" s="53">
        <v>17</v>
      </c>
      <c r="S117" s="53">
        <v>98</v>
      </c>
      <c r="T117" s="16">
        <f t="shared" si="6"/>
        <v>36</v>
      </c>
      <c r="U117" s="53">
        <v>429</v>
      </c>
      <c r="V117" s="16">
        <f t="shared" si="7"/>
        <v>3861</v>
      </c>
      <c r="W117" s="53">
        <v>9</v>
      </c>
      <c r="X117" s="53" t="s">
        <v>46</v>
      </c>
      <c r="Y117" s="53" t="s">
        <v>55</v>
      </c>
      <c r="Z117" s="53" t="s">
        <v>97</v>
      </c>
      <c r="AA117" s="53" t="s">
        <v>69</v>
      </c>
      <c r="AB117" s="53" t="s">
        <v>288</v>
      </c>
    </row>
    <row r="118" spans="1:28" x14ac:dyDescent="0.15">
      <c r="A118" s="53" t="s">
        <v>34</v>
      </c>
      <c r="B118" s="53" t="s">
        <v>232</v>
      </c>
      <c r="C118" s="53">
        <v>2019</v>
      </c>
      <c r="D118" s="176" t="s">
        <v>167</v>
      </c>
      <c r="E118" s="53" t="s">
        <v>378</v>
      </c>
      <c r="F118" s="53" t="s">
        <v>379</v>
      </c>
      <c r="G118" s="53" t="s">
        <v>36</v>
      </c>
      <c r="H118" s="53" t="s">
        <v>164</v>
      </c>
      <c r="I118" s="53" t="s">
        <v>165</v>
      </c>
      <c r="J118" s="53" t="s">
        <v>38</v>
      </c>
      <c r="K118" s="53" t="s">
        <v>161</v>
      </c>
      <c r="L118" s="53">
        <v>3</v>
      </c>
      <c r="N118" s="53">
        <v>4</v>
      </c>
      <c r="O118" s="53">
        <v>0.8</v>
      </c>
      <c r="P118" s="53">
        <v>0.8</v>
      </c>
      <c r="Q118" s="16">
        <f t="shared" si="5"/>
        <v>0.8</v>
      </c>
      <c r="R118" s="53">
        <v>15.4</v>
      </c>
      <c r="S118" s="53">
        <v>99</v>
      </c>
      <c r="T118" s="16">
        <f t="shared" si="6"/>
        <v>33</v>
      </c>
      <c r="U118" s="53">
        <v>429</v>
      </c>
      <c r="V118" s="16">
        <f t="shared" si="7"/>
        <v>3539.25</v>
      </c>
      <c r="W118" s="53">
        <v>9</v>
      </c>
      <c r="X118" s="53" t="s">
        <v>46</v>
      </c>
      <c r="Y118" s="53" t="s">
        <v>55</v>
      </c>
      <c r="Z118" s="53" t="s">
        <v>97</v>
      </c>
      <c r="AA118" s="53" t="s">
        <v>69</v>
      </c>
      <c r="AB118" s="53" t="s">
        <v>288</v>
      </c>
    </row>
    <row r="119" spans="1:28" x14ac:dyDescent="0.15">
      <c r="A119" s="53" t="s">
        <v>34</v>
      </c>
      <c r="B119" s="53" t="s">
        <v>232</v>
      </c>
      <c r="C119" s="53">
        <v>2019</v>
      </c>
      <c r="D119" s="176" t="s">
        <v>167</v>
      </c>
      <c r="E119" s="53" t="s">
        <v>378</v>
      </c>
      <c r="F119" s="53" t="s">
        <v>379</v>
      </c>
      <c r="G119" s="53" t="s">
        <v>36</v>
      </c>
      <c r="H119" s="53" t="s">
        <v>186</v>
      </c>
      <c r="I119" s="53" t="s">
        <v>159</v>
      </c>
      <c r="J119" s="53" t="s">
        <v>38</v>
      </c>
      <c r="K119" s="53" t="s">
        <v>161</v>
      </c>
      <c r="L119" s="53">
        <v>1</v>
      </c>
      <c r="N119" s="53">
        <v>6</v>
      </c>
      <c r="O119" s="53">
        <v>0.5</v>
      </c>
      <c r="P119" s="53">
        <v>0.45</v>
      </c>
      <c r="Q119" s="16">
        <f t="shared" si="5"/>
        <v>0.47499999999999998</v>
      </c>
      <c r="R119" s="53">
        <v>16.5</v>
      </c>
      <c r="S119" s="53">
        <v>73</v>
      </c>
      <c r="T119" s="16">
        <f t="shared" si="6"/>
        <v>42</v>
      </c>
      <c r="U119" s="53">
        <v>537</v>
      </c>
      <c r="V119" s="16">
        <f t="shared" si="7"/>
        <v>3759</v>
      </c>
      <c r="W119" s="53">
        <v>1</v>
      </c>
      <c r="X119" s="53" t="s">
        <v>46</v>
      </c>
      <c r="Y119" s="53" t="s">
        <v>55</v>
      </c>
      <c r="Z119" s="53" t="s">
        <v>97</v>
      </c>
      <c r="AA119" s="53" t="s">
        <v>69</v>
      </c>
      <c r="AB119" s="53" t="s">
        <v>288</v>
      </c>
    </row>
    <row r="120" spans="1:28" x14ac:dyDescent="0.15">
      <c r="A120" s="53" t="s">
        <v>34</v>
      </c>
      <c r="B120" s="53" t="s">
        <v>232</v>
      </c>
      <c r="C120" s="53">
        <v>2019</v>
      </c>
      <c r="D120" s="176" t="s">
        <v>167</v>
      </c>
      <c r="E120" s="53" t="s">
        <v>378</v>
      </c>
      <c r="F120" s="53" t="s">
        <v>379</v>
      </c>
      <c r="G120" s="53" t="s">
        <v>36</v>
      </c>
      <c r="H120" s="53" t="s">
        <v>186</v>
      </c>
      <c r="I120" s="53" t="s">
        <v>159</v>
      </c>
      <c r="J120" s="53" t="s">
        <v>38</v>
      </c>
      <c r="K120" s="53" t="s">
        <v>161</v>
      </c>
      <c r="L120" s="53">
        <v>2</v>
      </c>
      <c r="N120" s="53">
        <v>6</v>
      </c>
      <c r="O120" s="53">
        <v>0.55000000000000004</v>
      </c>
      <c r="P120" s="53">
        <v>0.45</v>
      </c>
      <c r="Q120" s="16">
        <f t="shared" si="5"/>
        <v>0.5</v>
      </c>
      <c r="R120" s="53">
        <v>17</v>
      </c>
      <c r="S120" s="53">
        <v>74</v>
      </c>
      <c r="T120" s="16">
        <f t="shared" si="6"/>
        <v>42</v>
      </c>
      <c r="U120" s="53">
        <v>537</v>
      </c>
      <c r="V120" s="16">
        <f t="shared" si="7"/>
        <v>3759</v>
      </c>
      <c r="W120" s="53">
        <v>1</v>
      </c>
      <c r="X120" s="53" t="s">
        <v>46</v>
      </c>
      <c r="Y120" s="53" t="s">
        <v>55</v>
      </c>
      <c r="Z120" s="53" t="s">
        <v>97</v>
      </c>
      <c r="AA120" s="53" t="s">
        <v>69</v>
      </c>
      <c r="AB120" s="53" t="s">
        <v>288</v>
      </c>
    </row>
    <row r="121" spans="1:28" x14ac:dyDescent="0.15">
      <c r="A121" s="53" t="s">
        <v>34</v>
      </c>
      <c r="B121" s="53" t="s">
        <v>232</v>
      </c>
      <c r="C121" s="53">
        <v>2019</v>
      </c>
      <c r="D121" s="176" t="s">
        <v>167</v>
      </c>
      <c r="E121" s="53" t="s">
        <v>378</v>
      </c>
      <c r="F121" s="53" t="s">
        <v>379</v>
      </c>
      <c r="G121" s="53" t="s">
        <v>36</v>
      </c>
      <c r="H121" s="53" t="s">
        <v>186</v>
      </c>
      <c r="I121" s="53" t="s">
        <v>159</v>
      </c>
      <c r="J121" s="53" t="s">
        <v>38</v>
      </c>
      <c r="K121" s="53" t="s">
        <v>161</v>
      </c>
      <c r="L121" s="53">
        <v>3</v>
      </c>
      <c r="N121" s="53">
        <v>6</v>
      </c>
      <c r="O121" s="53">
        <v>0.6</v>
      </c>
      <c r="P121" s="53">
        <v>0.5</v>
      </c>
      <c r="Q121" s="16">
        <f t="shared" si="5"/>
        <v>0.55000000000000004</v>
      </c>
      <c r="R121" s="53">
        <v>15.3</v>
      </c>
      <c r="S121" s="53">
        <v>73</v>
      </c>
      <c r="T121" s="16">
        <f t="shared" si="6"/>
        <v>42</v>
      </c>
      <c r="U121" s="53">
        <v>537</v>
      </c>
      <c r="V121" s="16">
        <f t="shared" si="7"/>
        <v>3759</v>
      </c>
      <c r="W121" s="53">
        <v>1</v>
      </c>
      <c r="X121" s="53" t="s">
        <v>46</v>
      </c>
      <c r="Y121" s="53" t="s">
        <v>55</v>
      </c>
      <c r="Z121" s="53" t="s">
        <v>97</v>
      </c>
      <c r="AA121" s="53" t="s">
        <v>69</v>
      </c>
      <c r="AB121" s="53" t="s">
        <v>288</v>
      </c>
    </row>
    <row r="122" spans="1:28" x14ac:dyDescent="0.15">
      <c r="A122" s="53" t="s">
        <v>34</v>
      </c>
      <c r="B122" s="53" t="s">
        <v>232</v>
      </c>
      <c r="C122" s="53">
        <v>2019</v>
      </c>
      <c r="D122" s="176" t="s">
        <v>167</v>
      </c>
      <c r="E122" s="53" t="s">
        <v>269</v>
      </c>
      <c r="F122" s="53" t="s">
        <v>380</v>
      </c>
      <c r="G122" s="53" t="s">
        <v>36</v>
      </c>
      <c r="H122" s="53" t="s">
        <v>160</v>
      </c>
      <c r="I122" s="53" t="s">
        <v>159</v>
      </c>
      <c r="J122" s="53" t="s">
        <v>38</v>
      </c>
      <c r="K122" s="53" t="s">
        <v>161</v>
      </c>
      <c r="L122" s="53">
        <v>1</v>
      </c>
      <c r="N122" s="53">
        <v>1</v>
      </c>
      <c r="O122" s="53">
        <v>0.55000000000000004</v>
      </c>
      <c r="P122" s="53">
        <v>0.65</v>
      </c>
      <c r="Q122" s="16">
        <f t="shared" si="5"/>
        <v>0.60000000000000009</v>
      </c>
      <c r="R122" s="53">
        <v>17.600000000000001</v>
      </c>
      <c r="S122" s="53">
        <v>85</v>
      </c>
      <c r="T122" s="16">
        <f t="shared" si="6"/>
        <v>36</v>
      </c>
      <c r="U122" s="53">
        <v>105</v>
      </c>
      <c r="V122" s="16">
        <f t="shared" si="7"/>
        <v>3780</v>
      </c>
      <c r="W122" s="53">
        <v>6</v>
      </c>
      <c r="X122" s="53" t="s">
        <v>46</v>
      </c>
      <c r="Y122" s="53" t="s">
        <v>55</v>
      </c>
      <c r="Z122" s="53" t="s">
        <v>78</v>
      </c>
      <c r="AA122" s="53" t="s">
        <v>69</v>
      </c>
      <c r="AB122" s="53" t="s">
        <v>288</v>
      </c>
    </row>
    <row r="123" spans="1:28" x14ac:dyDescent="0.15">
      <c r="A123" s="53" t="s">
        <v>34</v>
      </c>
      <c r="B123" s="53" t="s">
        <v>232</v>
      </c>
      <c r="C123" s="53">
        <v>2019</v>
      </c>
      <c r="D123" s="176" t="s">
        <v>167</v>
      </c>
      <c r="E123" s="53" t="s">
        <v>269</v>
      </c>
      <c r="F123" s="53" t="s">
        <v>380</v>
      </c>
      <c r="G123" s="53" t="s">
        <v>36</v>
      </c>
      <c r="H123" s="53" t="s">
        <v>160</v>
      </c>
      <c r="I123" s="53" t="s">
        <v>159</v>
      </c>
      <c r="J123" s="53" t="s">
        <v>38</v>
      </c>
      <c r="K123" s="53" t="s">
        <v>161</v>
      </c>
      <c r="L123" s="53">
        <v>2</v>
      </c>
      <c r="N123" s="53">
        <v>1</v>
      </c>
      <c r="O123" s="53">
        <v>0.7</v>
      </c>
      <c r="P123" s="53">
        <v>0.55000000000000004</v>
      </c>
      <c r="Q123" s="16">
        <f t="shared" si="5"/>
        <v>0.625</v>
      </c>
      <c r="R123" s="53">
        <v>17.899999999999999</v>
      </c>
      <c r="S123" s="53">
        <v>82</v>
      </c>
      <c r="T123" s="16">
        <f t="shared" si="6"/>
        <v>39</v>
      </c>
      <c r="U123" s="53">
        <v>105</v>
      </c>
      <c r="V123" s="16">
        <f t="shared" si="7"/>
        <v>4095</v>
      </c>
      <c r="W123" s="53">
        <v>6</v>
      </c>
      <c r="X123" s="53" t="s">
        <v>46</v>
      </c>
      <c r="Y123" s="53" t="s">
        <v>55</v>
      </c>
      <c r="Z123" s="53" t="s">
        <v>78</v>
      </c>
      <c r="AA123" s="53" t="s">
        <v>69</v>
      </c>
      <c r="AB123" s="53" t="s">
        <v>288</v>
      </c>
    </row>
    <row r="124" spans="1:28" x14ac:dyDescent="0.15">
      <c r="A124" s="53" t="s">
        <v>34</v>
      </c>
      <c r="B124" s="53" t="s">
        <v>232</v>
      </c>
      <c r="C124" s="53">
        <v>2019</v>
      </c>
      <c r="D124" s="176" t="s">
        <v>167</v>
      </c>
      <c r="E124" s="53" t="s">
        <v>269</v>
      </c>
      <c r="F124" s="53" t="s">
        <v>380</v>
      </c>
      <c r="G124" s="53" t="s">
        <v>36</v>
      </c>
      <c r="H124" s="53" t="s">
        <v>160</v>
      </c>
      <c r="I124" s="53" t="s">
        <v>159</v>
      </c>
      <c r="J124" s="53" t="s">
        <v>38</v>
      </c>
      <c r="K124" s="53" t="s">
        <v>161</v>
      </c>
      <c r="L124" s="53">
        <v>3</v>
      </c>
      <c r="N124" s="53">
        <v>1</v>
      </c>
      <c r="O124" s="53">
        <v>0.65</v>
      </c>
      <c r="P124" s="53">
        <v>0.65</v>
      </c>
      <c r="Q124" s="16">
        <f t="shared" si="5"/>
        <v>0.65</v>
      </c>
      <c r="R124" s="53">
        <v>18.8</v>
      </c>
      <c r="S124" s="53">
        <v>89</v>
      </c>
      <c r="T124" s="16">
        <f t="shared" si="6"/>
        <v>36</v>
      </c>
      <c r="U124" s="53">
        <v>105</v>
      </c>
      <c r="V124" s="16">
        <f t="shared" si="7"/>
        <v>3780</v>
      </c>
      <c r="W124" s="53">
        <v>6</v>
      </c>
      <c r="X124" s="53" t="s">
        <v>46</v>
      </c>
      <c r="Y124" s="53" t="s">
        <v>55</v>
      </c>
      <c r="Z124" s="53" t="s">
        <v>78</v>
      </c>
      <c r="AA124" s="53" t="s">
        <v>69</v>
      </c>
      <c r="AB124" s="53" t="s">
        <v>288</v>
      </c>
    </row>
    <row r="125" spans="1:28" x14ac:dyDescent="0.15">
      <c r="A125" s="53" t="s">
        <v>34</v>
      </c>
      <c r="B125" s="53" t="s">
        <v>232</v>
      </c>
      <c r="C125" s="53">
        <v>2019</v>
      </c>
      <c r="D125" s="176" t="s">
        <v>167</v>
      </c>
      <c r="E125" s="53" t="s">
        <v>269</v>
      </c>
      <c r="F125" s="53" t="s">
        <v>380</v>
      </c>
      <c r="G125" s="53" t="s">
        <v>36</v>
      </c>
      <c r="H125" s="53" t="s">
        <v>160</v>
      </c>
      <c r="I125" s="53" t="s">
        <v>159</v>
      </c>
      <c r="J125" s="53" t="s">
        <v>38</v>
      </c>
      <c r="K125" s="53" t="s">
        <v>161</v>
      </c>
      <c r="L125" s="53">
        <v>1</v>
      </c>
      <c r="N125" s="53">
        <v>6</v>
      </c>
      <c r="O125" s="53">
        <v>0.2</v>
      </c>
      <c r="P125" s="53">
        <v>0.2</v>
      </c>
      <c r="Q125" s="16">
        <f t="shared" si="5"/>
        <v>0.2</v>
      </c>
      <c r="R125" s="53">
        <v>18.899999999999999</v>
      </c>
      <c r="S125" s="53">
        <v>86</v>
      </c>
      <c r="T125" s="16">
        <f t="shared" si="6"/>
        <v>36</v>
      </c>
      <c r="U125" s="53">
        <v>626</v>
      </c>
      <c r="V125" s="16">
        <f t="shared" si="7"/>
        <v>3756</v>
      </c>
      <c r="W125" s="53">
        <v>6</v>
      </c>
      <c r="X125" s="53" t="s">
        <v>46</v>
      </c>
      <c r="Y125" s="53" t="s">
        <v>55</v>
      </c>
      <c r="Z125" s="53" t="s">
        <v>78</v>
      </c>
      <c r="AA125" s="53" t="s">
        <v>69</v>
      </c>
      <c r="AB125" s="53" t="s">
        <v>288</v>
      </c>
    </row>
    <row r="126" spans="1:28" x14ac:dyDescent="0.15">
      <c r="A126" s="53" t="s">
        <v>34</v>
      </c>
      <c r="B126" s="53" t="s">
        <v>232</v>
      </c>
      <c r="C126" s="53">
        <v>2019</v>
      </c>
      <c r="D126" s="176" t="s">
        <v>167</v>
      </c>
      <c r="E126" s="53" t="s">
        <v>269</v>
      </c>
      <c r="F126" s="53" t="s">
        <v>380</v>
      </c>
      <c r="G126" s="53" t="s">
        <v>36</v>
      </c>
      <c r="H126" s="53" t="s">
        <v>160</v>
      </c>
      <c r="I126" s="53" t="s">
        <v>159</v>
      </c>
      <c r="J126" s="53" t="s">
        <v>38</v>
      </c>
      <c r="K126" s="53" t="s">
        <v>161</v>
      </c>
      <c r="L126" s="53">
        <v>2</v>
      </c>
      <c r="N126" s="53">
        <v>6</v>
      </c>
      <c r="O126" s="53">
        <v>0.2</v>
      </c>
      <c r="P126" s="53">
        <v>0.2</v>
      </c>
      <c r="Q126" s="16">
        <f t="shared" si="5"/>
        <v>0.2</v>
      </c>
      <c r="R126" s="53">
        <v>19.8</v>
      </c>
      <c r="S126" s="53">
        <v>83</v>
      </c>
      <c r="T126" s="16">
        <f t="shared" si="6"/>
        <v>39</v>
      </c>
      <c r="U126" s="53">
        <v>626</v>
      </c>
      <c r="V126" s="16">
        <f t="shared" si="7"/>
        <v>4069</v>
      </c>
      <c r="W126" s="53">
        <v>6</v>
      </c>
      <c r="X126" s="53" t="s">
        <v>46</v>
      </c>
      <c r="Y126" s="53" t="s">
        <v>55</v>
      </c>
      <c r="Z126" s="53" t="s">
        <v>78</v>
      </c>
      <c r="AA126" s="53" t="s">
        <v>69</v>
      </c>
      <c r="AB126" s="53" t="s">
        <v>288</v>
      </c>
    </row>
    <row r="127" spans="1:28" x14ac:dyDescent="0.15">
      <c r="A127" s="53" t="s">
        <v>34</v>
      </c>
      <c r="B127" s="53" t="s">
        <v>232</v>
      </c>
      <c r="C127" s="53">
        <v>2019</v>
      </c>
      <c r="D127" s="176" t="s">
        <v>167</v>
      </c>
      <c r="E127" s="53" t="s">
        <v>269</v>
      </c>
      <c r="F127" s="53" t="s">
        <v>380</v>
      </c>
      <c r="G127" s="53" t="s">
        <v>36</v>
      </c>
      <c r="H127" s="53" t="s">
        <v>160</v>
      </c>
      <c r="I127" s="53" t="s">
        <v>159</v>
      </c>
      <c r="J127" s="53" t="s">
        <v>38</v>
      </c>
      <c r="K127" s="53" t="s">
        <v>161</v>
      </c>
      <c r="L127" s="53">
        <v>3</v>
      </c>
      <c r="N127" s="53">
        <v>6</v>
      </c>
      <c r="O127" s="53">
        <v>0.2</v>
      </c>
      <c r="P127" s="53">
        <v>0.2</v>
      </c>
      <c r="Q127" s="16">
        <f t="shared" si="5"/>
        <v>0.2</v>
      </c>
      <c r="R127" s="53">
        <v>18.100000000000001</v>
      </c>
      <c r="S127" s="53">
        <v>90</v>
      </c>
      <c r="T127" s="16">
        <f t="shared" si="6"/>
        <v>36</v>
      </c>
      <c r="U127" s="53">
        <v>626</v>
      </c>
      <c r="V127" s="16">
        <f t="shared" si="7"/>
        <v>3756</v>
      </c>
      <c r="W127" s="53">
        <v>6</v>
      </c>
      <c r="X127" s="53" t="s">
        <v>46</v>
      </c>
      <c r="Y127" s="53" t="s">
        <v>55</v>
      </c>
      <c r="Z127" s="53" t="s">
        <v>78</v>
      </c>
      <c r="AA127" s="53" t="s">
        <v>69</v>
      </c>
      <c r="AB127" s="53" t="s">
        <v>288</v>
      </c>
    </row>
    <row r="128" spans="1:28" x14ac:dyDescent="0.15">
      <c r="A128" s="53" t="s">
        <v>34</v>
      </c>
      <c r="B128" s="53" t="s">
        <v>232</v>
      </c>
      <c r="C128" s="53">
        <v>2019</v>
      </c>
      <c r="D128" s="176" t="s">
        <v>167</v>
      </c>
      <c r="E128" s="53" t="s">
        <v>269</v>
      </c>
      <c r="F128" s="53" t="s">
        <v>380</v>
      </c>
      <c r="G128" s="53" t="s">
        <v>36</v>
      </c>
      <c r="H128" s="53" t="s">
        <v>164</v>
      </c>
      <c r="I128" s="53" t="s">
        <v>159</v>
      </c>
      <c r="J128" s="53" t="s">
        <v>38</v>
      </c>
      <c r="K128" s="53" t="s">
        <v>161</v>
      </c>
      <c r="L128" s="53">
        <v>1</v>
      </c>
      <c r="N128" s="53">
        <v>1</v>
      </c>
      <c r="O128" s="53">
        <v>0.75</v>
      </c>
      <c r="P128" s="53">
        <v>0.7</v>
      </c>
      <c r="Q128" s="16">
        <f t="shared" si="5"/>
        <v>0.72499999999999998</v>
      </c>
      <c r="R128" s="53">
        <v>17.100000000000001</v>
      </c>
      <c r="S128" s="53">
        <v>123</v>
      </c>
      <c r="T128" s="16">
        <f t="shared" si="6"/>
        <v>30</v>
      </c>
      <c r="U128" s="53">
        <v>138</v>
      </c>
      <c r="V128" s="16">
        <f t="shared" si="7"/>
        <v>4140</v>
      </c>
      <c r="W128" s="53">
        <v>5</v>
      </c>
      <c r="X128" s="53" t="s">
        <v>46</v>
      </c>
      <c r="Y128" s="53" t="s">
        <v>55</v>
      </c>
      <c r="Z128" s="53" t="s">
        <v>78</v>
      </c>
      <c r="AA128" s="53" t="s">
        <v>69</v>
      </c>
      <c r="AB128" s="53" t="s">
        <v>288</v>
      </c>
    </row>
    <row r="129" spans="1:28" x14ac:dyDescent="0.15">
      <c r="A129" s="53" t="s">
        <v>34</v>
      </c>
      <c r="B129" s="53" t="s">
        <v>232</v>
      </c>
      <c r="C129" s="53">
        <v>2019</v>
      </c>
      <c r="D129" s="176" t="s">
        <v>167</v>
      </c>
      <c r="E129" s="53" t="s">
        <v>269</v>
      </c>
      <c r="F129" s="53" t="s">
        <v>380</v>
      </c>
      <c r="G129" s="53" t="s">
        <v>36</v>
      </c>
      <c r="H129" s="53" t="s">
        <v>164</v>
      </c>
      <c r="I129" s="53" t="s">
        <v>159</v>
      </c>
      <c r="J129" s="53" t="s">
        <v>38</v>
      </c>
      <c r="K129" s="53" t="s">
        <v>161</v>
      </c>
      <c r="L129" s="53">
        <v>2</v>
      </c>
      <c r="N129" s="53">
        <v>1</v>
      </c>
      <c r="O129" s="53">
        <v>0.8</v>
      </c>
      <c r="P129" s="53">
        <v>0.75</v>
      </c>
      <c r="Q129" s="16">
        <f t="shared" si="5"/>
        <v>0.77500000000000002</v>
      </c>
      <c r="R129" s="53">
        <v>17</v>
      </c>
      <c r="S129" s="53">
        <v>115</v>
      </c>
      <c r="T129" s="16">
        <f t="shared" si="6"/>
        <v>30</v>
      </c>
      <c r="U129" s="53">
        <v>138</v>
      </c>
      <c r="V129" s="16">
        <f t="shared" si="7"/>
        <v>4140</v>
      </c>
      <c r="W129" s="53">
        <v>5</v>
      </c>
      <c r="X129" s="53" t="s">
        <v>46</v>
      </c>
      <c r="Y129" s="53" t="s">
        <v>55</v>
      </c>
      <c r="Z129" s="53" t="s">
        <v>78</v>
      </c>
      <c r="AA129" s="53" t="s">
        <v>69</v>
      </c>
      <c r="AB129" s="53" t="s">
        <v>288</v>
      </c>
    </row>
    <row r="130" spans="1:28" x14ac:dyDescent="0.15">
      <c r="A130" s="53" t="s">
        <v>34</v>
      </c>
      <c r="B130" s="53" t="s">
        <v>232</v>
      </c>
      <c r="C130" s="53">
        <v>2019</v>
      </c>
      <c r="D130" s="176" t="s">
        <v>167</v>
      </c>
      <c r="E130" s="53" t="s">
        <v>269</v>
      </c>
      <c r="F130" s="53" t="s">
        <v>380</v>
      </c>
      <c r="G130" s="53" t="s">
        <v>36</v>
      </c>
      <c r="H130" s="53" t="s">
        <v>164</v>
      </c>
      <c r="I130" s="53" t="s">
        <v>159</v>
      </c>
      <c r="J130" s="53" t="s">
        <v>38</v>
      </c>
      <c r="K130" s="53" t="s">
        <v>161</v>
      </c>
      <c r="L130" s="53">
        <v>3</v>
      </c>
      <c r="N130" s="53">
        <v>1</v>
      </c>
      <c r="O130" s="53">
        <v>0.85</v>
      </c>
      <c r="P130" s="53">
        <v>0.9</v>
      </c>
      <c r="Q130" s="16">
        <f t="shared" si="5"/>
        <v>0.875</v>
      </c>
      <c r="R130" s="53">
        <v>14.2</v>
      </c>
      <c r="S130" s="53">
        <v>124</v>
      </c>
      <c r="T130" s="16">
        <f t="shared" si="6"/>
        <v>30</v>
      </c>
      <c r="U130" s="53">
        <v>138</v>
      </c>
      <c r="V130" s="16">
        <f t="shared" si="7"/>
        <v>4140</v>
      </c>
      <c r="W130" s="53">
        <v>5</v>
      </c>
      <c r="X130" s="53" t="s">
        <v>46</v>
      </c>
      <c r="Y130" s="53" t="s">
        <v>55</v>
      </c>
      <c r="Z130" s="53" t="s">
        <v>78</v>
      </c>
      <c r="AA130" s="53" t="s">
        <v>69</v>
      </c>
      <c r="AB130" s="53" t="s">
        <v>288</v>
      </c>
    </row>
    <row r="131" spans="1:28" x14ac:dyDescent="0.15">
      <c r="A131" s="53" t="s">
        <v>34</v>
      </c>
      <c r="B131" s="53" t="s">
        <v>232</v>
      </c>
      <c r="C131" s="53">
        <v>2019</v>
      </c>
      <c r="D131" s="176" t="s">
        <v>167</v>
      </c>
      <c r="E131" s="53" t="s">
        <v>269</v>
      </c>
      <c r="F131" s="53" t="s">
        <v>380</v>
      </c>
      <c r="G131" s="53" t="s">
        <v>36</v>
      </c>
      <c r="H131" s="53" t="s">
        <v>164</v>
      </c>
      <c r="I131" s="53" t="s">
        <v>159</v>
      </c>
      <c r="J131" s="53" t="s">
        <v>38</v>
      </c>
      <c r="K131" s="53" t="s">
        <v>161</v>
      </c>
      <c r="L131" s="53">
        <v>1</v>
      </c>
      <c r="N131" s="53">
        <v>8</v>
      </c>
      <c r="O131" s="53">
        <v>0.55000000000000004</v>
      </c>
      <c r="P131" s="53">
        <v>0.5</v>
      </c>
      <c r="Q131" s="16">
        <f t="shared" si="5"/>
        <v>0.52500000000000002</v>
      </c>
      <c r="R131" s="53">
        <v>17.2</v>
      </c>
      <c r="S131" s="53">
        <v>83</v>
      </c>
      <c r="T131" s="16">
        <f t="shared" si="6"/>
        <v>39</v>
      </c>
      <c r="U131" s="53">
        <v>429</v>
      </c>
      <c r="V131" s="16">
        <f t="shared" si="7"/>
        <v>2091.375</v>
      </c>
      <c r="W131" s="53">
        <v>5</v>
      </c>
      <c r="X131" s="53" t="s">
        <v>46</v>
      </c>
      <c r="Y131" s="53" t="s">
        <v>55</v>
      </c>
      <c r="Z131" s="53" t="s">
        <v>78</v>
      </c>
      <c r="AA131" s="53" t="s">
        <v>69</v>
      </c>
      <c r="AB131" s="53" t="s">
        <v>288</v>
      </c>
    </row>
    <row r="132" spans="1:28" x14ac:dyDescent="0.15">
      <c r="A132" s="53" t="s">
        <v>34</v>
      </c>
      <c r="B132" s="53" t="s">
        <v>232</v>
      </c>
      <c r="C132" s="53">
        <v>2019</v>
      </c>
      <c r="D132" s="176" t="s">
        <v>167</v>
      </c>
      <c r="E132" s="53" t="s">
        <v>269</v>
      </c>
      <c r="F132" s="53" t="s">
        <v>380</v>
      </c>
      <c r="G132" s="53" t="s">
        <v>36</v>
      </c>
      <c r="H132" s="53" t="s">
        <v>164</v>
      </c>
      <c r="I132" s="53" t="s">
        <v>159</v>
      </c>
      <c r="J132" s="53" t="s">
        <v>38</v>
      </c>
      <c r="K132" s="53" t="s">
        <v>161</v>
      </c>
      <c r="L132" s="53">
        <v>2</v>
      </c>
      <c r="N132" s="53">
        <v>8</v>
      </c>
      <c r="O132" s="53">
        <v>0.6</v>
      </c>
      <c r="P132" s="53">
        <v>0.7</v>
      </c>
      <c r="Q132" s="16">
        <f t="shared" si="5"/>
        <v>0.64999999999999991</v>
      </c>
      <c r="R132" s="53">
        <v>14.3</v>
      </c>
      <c r="S132" s="53">
        <v>93</v>
      </c>
      <c r="T132" s="16">
        <f t="shared" si="6"/>
        <v>36</v>
      </c>
      <c r="U132" s="53">
        <v>429</v>
      </c>
      <c r="V132" s="16">
        <f t="shared" si="7"/>
        <v>1930.5</v>
      </c>
      <c r="W132" s="53">
        <v>5</v>
      </c>
      <c r="X132" s="53" t="s">
        <v>46</v>
      </c>
      <c r="Y132" s="53" t="s">
        <v>55</v>
      </c>
      <c r="Z132" s="53" t="s">
        <v>78</v>
      </c>
      <c r="AA132" s="53" t="s">
        <v>69</v>
      </c>
      <c r="AB132" s="53" t="s">
        <v>288</v>
      </c>
    </row>
    <row r="133" spans="1:28" x14ac:dyDescent="0.15">
      <c r="A133" s="53" t="s">
        <v>34</v>
      </c>
      <c r="B133" s="53" t="s">
        <v>232</v>
      </c>
      <c r="C133" s="53">
        <v>2019</v>
      </c>
      <c r="D133" s="176" t="s">
        <v>167</v>
      </c>
      <c r="E133" s="53" t="s">
        <v>269</v>
      </c>
      <c r="F133" s="53" t="s">
        <v>380</v>
      </c>
      <c r="G133" s="53" t="s">
        <v>36</v>
      </c>
      <c r="H133" s="53" t="s">
        <v>164</v>
      </c>
      <c r="I133" s="53" t="s">
        <v>159</v>
      </c>
      <c r="J133" s="53" t="s">
        <v>38</v>
      </c>
      <c r="K133" s="53" t="s">
        <v>161</v>
      </c>
      <c r="L133" s="53">
        <v>3</v>
      </c>
      <c r="N133" s="53">
        <v>8</v>
      </c>
      <c r="O133" s="53">
        <v>0.7</v>
      </c>
      <c r="P133" s="53">
        <v>0.7</v>
      </c>
      <c r="Q133" s="16">
        <f t="shared" si="5"/>
        <v>0.7</v>
      </c>
      <c r="R133" s="53">
        <v>17.100000000000001</v>
      </c>
      <c r="S133" s="53">
        <v>87</v>
      </c>
      <c r="T133" s="16">
        <f t="shared" si="6"/>
        <v>36</v>
      </c>
      <c r="U133" s="53">
        <v>429</v>
      </c>
      <c r="V133" s="16">
        <f t="shared" si="7"/>
        <v>1930.5</v>
      </c>
      <c r="W133" s="53">
        <v>5</v>
      </c>
      <c r="X133" s="53" t="s">
        <v>46</v>
      </c>
      <c r="Y133" s="53" t="s">
        <v>55</v>
      </c>
      <c r="Z133" s="53" t="s">
        <v>78</v>
      </c>
      <c r="AA133" s="53" t="s">
        <v>69</v>
      </c>
      <c r="AB133" s="53" t="s">
        <v>288</v>
      </c>
    </row>
  </sheetData>
  <autoFilter ref="A1:BA82" xr:uid="{00000000-0009-0000-0000-000000000000}"/>
  <phoneticPr fontId="3"/>
  <dataValidations count="12">
    <dataValidation type="list" allowBlank="1" showInputMessage="1" showErrorMessage="1" sqref="K2:K738" xr:uid="{4D5D2DF0-B70B-4E2B-B99F-C764E1C3994E}">
      <formula1>$AR$2:$AR$23</formula1>
    </dataValidation>
    <dataValidation type="list" allowBlank="1" showInputMessage="1" showErrorMessage="1" sqref="A2:A425" xr:uid="{43C5FB17-CBAB-46CC-9A20-1A0ED74FA835}">
      <formula1>$AE$2:$AE$19</formula1>
    </dataValidation>
    <dataValidation type="list" allowBlank="1" showInputMessage="1" showErrorMessage="1" sqref="Y2:AA426" xr:uid="{7E0B066C-4909-4319-A067-2634F8226B38}">
      <formula1>$AV$2:$AV$21</formula1>
    </dataValidation>
    <dataValidation type="list" allowBlank="1" showInputMessage="1" showErrorMessage="1" sqref="H2:H426" xr:uid="{38C8569E-991E-4A29-9DEA-43E62C7D1068}">
      <formula1>$AL$2:$AL$8</formula1>
    </dataValidation>
    <dataValidation type="list" allowBlank="1" showInputMessage="1" showErrorMessage="1" sqref="X2:X426" xr:uid="{AB0A007C-20A7-4E3E-80D6-49A8B352DC89}">
      <formula1>$AT$2:$AT$3</formula1>
    </dataValidation>
    <dataValidation type="list" allowBlank="1" showInputMessage="1" showErrorMessage="1" sqref="G2:G426" xr:uid="{5B8985B0-1044-4CB0-88A5-338A9DC06F2C}">
      <formula1>$AJ$2:$AJ$4</formula1>
    </dataValidation>
    <dataValidation type="list" allowBlank="1" showInputMessage="1" showErrorMessage="1" sqref="I2:I426" xr:uid="{0B5705F6-1BBD-480A-BBC9-61370ED69248}">
      <formula1>$AN$5:$AN$6</formula1>
    </dataValidation>
    <dataValidation type="list" allowBlank="1" showInputMessage="1" showErrorMessage="1" sqref="J2:J426" xr:uid="{7810B767-F469-422B-B406-1CE5225A81AE}">
      <formula1>$AP$2:$AP$24</formula1>
    </dataValidation>
    <dataValidation type="list" allowBlank="1" showInputMessage="1" showErrorMessage="1" sqref="F2:F426" xr:uid="{458BBD2E-598A-4A62-9934-24C81B3C78D2}">
      <formula1>$AH$2:$AH$11</formula1>
    </dataValidation>
    <dataValidation type="list" allowBlank="1" showInputMessage="1" showErrorMessage="1" sqref="E2:E426" xr:uid="{8BB6BEDD-6617-45F3-AE4C-CAD4AEF180B2}">
      <formula1>$AG$2:$AG$11</formula1>
    </dataValidation>
    <dataValidation type="decimal" allowBlank="1" showInputMessage="1" showErrorMessage="1" error="硬度を正しく入力して下さい。" sqref="O2:P49 O59:P426" xr:uid="{EECBDD58-E6E9-4545-AC45-9682B0879FDB}">
      <formula1>0</formula1>
      <formula2>7</formula2>
    </dataValidation>
    <dataValidation operator="equal" allowBlank="1" showInputMessage="1" showErrorMessage="1" sqref="B2:B133" xr:uid="{7E69ADF5-5CB7-4AE9-A35E-692D1D1584DE}"/>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C239ADE-CD18-458B-A207-F276B2830D1C}"/>
</file>

<file path=customXml/itemProps2.xml><?xml version="1.0" encoding="utf-8"?>
<ds:datastoreItem xmlns:ds="http://schemas.openxmlformats.org/officeDocument/2006/customXml" ds:itemID="{2CE423A1-BDE7-4F8C-9D5B-8E390E1462F6}"/>
</file>

<file path=customXml/itemProps3.xml><?xml version="1.0" encoding="utf-8"?>
<ds:datastoreItem xmlns:ds="http://schemas.openxmlformats.org/officeDocument/2006/customXml" ds:itemID="{5AF42E6E-001E-46F1-9CF5-7BAA59981F6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2019-06-10T01:39:32Z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